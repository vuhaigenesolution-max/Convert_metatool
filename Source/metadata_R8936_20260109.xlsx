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nesolutionsvietnam-my.sharepoint.com/personal/haivu_genesolutions_vn/Documents/Tool Excel Team Bi/Metadata_tool/Source/"/>
    </mc:Choice>
  </mc:AlternateContent>
  <xr:revisionPtr revIDLastSave="58" documentId="8_{9D6BF112-F062-48D4-9856-468A24895A0C}" xr6:coauthVersionLast="47" xr6:coauthVersionMax="47" xr10:uidLastSave="{23E8FE0F-4CD6-4190-A728-4BC1D97EBCE5}"/>
  <bookViews>
    <workbookView xWindow="-110" yWindow="-110" windowWidth="19420" windowHeight="10300" xr2:uid="{00000000-000D-0000-FFFF-FFFF00000000}"/>
  </bookViews>
  <sheets>
    <sheet name="Sample" sheetId="10" r:id="rId1"/>
    <sheet name="SampleImport" sheetId="2" r:id="rId2"/>
    <sheet name="Aviti Manifest" sheetId="13" r:id="rId3"/>
    <sheet name="Aviti Manifest TEST" sheetId="14" r:id="rId4"/>
    <sheet name="Definitions" sheetId="3" r:id="rId5"/>
    <sheet name="Index Sequence" sheetId="11" r:id="rId6"/>
    <sheet name="Index Sets" sheetId="12" r:id="rId7"/>
    <sheet name="PCR" sheetId="6" r:id="rId8"/>
  </sheets>
  <definedNames>
    <definedName name="_xlnm._FilterDatabase" localSheetId="0" hidden="1">Sample!$A$21:$T$214</definedName>
    <definedName name="_xlnm._FilterDatabase" localSheetId="1" hidden="1">SampleImport!$A$23:$K$24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0" i="14" l="1"/>
  <c r="F360" i="14"/>
  <c r="G360" i="14" s="1"/>
  <c r="H360" i="14"/>
  <c r="A360" i="14"/>
  <c r="B360" i="14"/>
  <c r="C360" i="14"/>
  <c r="A352" i="13"/>
  <c r="B352" i="13"/>
  <c r="D352" i="13"/>
  <c r="K359" i="14"/>
  <c r="F359" i="14"/>
  <c r="G359" i="14" s="1"/>
  <c r="H359" i="14"/>
  <c r="A359" i="14"/>
  <c r="B359" i="14"/>
  <c r="C359" i="14"/>
  <c r="C351" i="13"/>
  <c r="B351" i="13"/>
  <c r="I351" i="13"/>
  <c r="D351" i="13"/>
  <c r="A351" i="13"/>
  <c r="K358" i="14"/>
  <c r="F358" i="14"/>
  <c r="G358" i="14" s="1"/>
  <c r="H358" i="14"/>
  <c r="A358" i="14"/>
  <c r="B358" i="14"/>
  <c r="C358" i="14"/>
  <c r="D350" i="13"/>
  <c r="B350" i="13"/>
  <c r="I350" i="13"/>
  <c r="C350" i="13" s="1"/>
  <c r="A350" i="13"/>
  <c r="K357" i="14"/>
  <c r="F357" i="14"/>
  <c r="G357" i="14"/>
  <c r="H357" i="14"/>
  <c r="A357" i="14"/>
  <c r="B357" i="14"/>
  <c r="C357" i="14"/>
  <c r="A349" i="13"/>
  <c r="D349" i="13"/>
  <c r="B349" i="13"/>
  <c r="O357" i="14"/>
  <c r="I357" i="14" s="1"/>
  <c r="K356" i="14"/>
  <c r="F356" i="14"/>
  <c r="G356" i="14" s="1"/>
  <c r="H356" i="14"/>
  <c r="A356" i="14"/>
  <c r="B356" i="14"/>
  <c r="C356" i="14"/>
  <c r="B348" i="13"/>
  <c r="D348" i="13"/>
  <c r="A348" i="13"/>
  <c r="K355" i="14"/>
  <c r="F355" i="14"/>
  <c r="G355" i="14"/>
  <c r="H355" i="14"/>
  <c r="A355" i="14"/>
  <c r="B355" i="14"/>
  <c r="C355" i="14"/>
  <c r="A347" i="13"/>
  <c r="B347" i="13"/>
  <c r="O355" i="14"/>
  <c r="I355" i="14" s="1"/>
  <c r="D347" i="13"/>
  <c r="K354" i="14"/>
  <c r="F354" i="14"/>
  <c r="G354" i="14" s="1"/>
  <c r="H354" i="14"/>
  <c r="A354" i="14"/>
  <c r="B354" i="14"/>
  <c r="C354" i="14"/>
  <c r="B346" i="13"/>
  <c r="D346" i="13"/>
  <c r="A346" i="13"/>
  <c r="K353" i="14"/>
  <c r="F353" i="14"/>
  <c r="G353" i="14" s="1"/>
  <c r="H353" i="14"/>
  <c r="A353" i="14"/>
  <c r="B353" i="14"/>
  <c r="C353" i="14"/>
  <c r="D345" i="13"/>
  <c r="B345" i="13"/>
  <c r="O353" i="14"/>
  <c r="I353" i="14" s="1"/>
  <c r="A345" i="13"/>
  <c r="K352" i="14"/>
  <c r="F352" i="14"/>
  <c r="G352" i="14"/>
  <c r="H352" i="14"/>
  <c r="A352" i="14"/>
  <c r="B352" i="14"/>
  <c r="C352" i="14"/>
  <c r="A344" i="13"/>
  <c r="B344" i="13"/>
  <c r="D344" i="13"/>
  <c r="K351" i="14"/>
  <c r="F351" i="14"/>
  <c r="G351" i="14" s="1"/>
  <c r="H351" i="14"/>
  <c r="A351" i="14"/>
  <c r="B351" i="14"/>
  <c r="C351" i="14"/>
  <c r="B343" i="13"/>
  <c r="D343" i="13"/>
  <c r="A343" i="13"/>
  <c r="K350" i="14"/>
  <c r="F350" i="14"/>
  <c r="G350" i="14"/>
  <c r="H350" i="14"/>
  <c r="A350" i="14"/>
  <c r="B350" i="14"/>
  <c r="C350" i="14"/>
  <c r="A342" i="13"/>
  <c r="B342" i="13"/>
  <c r="O350" i="14"/>
  <c r="I350" i="14" s="1"/>
  <c r="D342" i="13"/>
  <c r="K349" i="14"/>
  <c r="F349" i="14"/>
  <c r="G349" i="14"/>
  <c r="H349" i="14"/>
  <c r="A349" i="14"/>
  <c r="B349" i="14"/>
  <c r="C349" i="14"/>
  <c r="A341" i="13"/>
  <c r="B341" i="13"/>
  <c r="D341" i="13"/>
  <c r="K348" i="14"/>
  <c r="F348" i="14"/>
  <c r="G348" i="14"/>
  <c r="H348" i="14"/>
  <c r="A348" i="14"/>
  <c r="B348" i="14"/>
  <c r="C348" i="14"/>
  <c r="B340" i="13"/>
  <c r="I340" i="13"/>
  <c r="C340" i="13" s="1"/>
  <c r="D340" i="13"/>
  <c r="A340" i="13"/>
  <c r="O347" i="14"/>
  <c r="I347" i="14" s="1"/>
  <c r="K347" i="14"/>
  <c r="F347" i="14"/>
  <c r="G347" i="14" s="1"/>
  <c r="H347" i="14"/>
  <c r="A347" i="14"/>
  <c r="B347" i="14"/>
  <c r="C347" i="14"/>
  <c r="D339" i="13"/>
  <c r="B339" i="13"/>
  <c r="I339" i="13"/>
  <c r="C339" i="13" s="1"/>
  <c r="A339" i="13"/>
  <c r="O346" i="14"/>
  <c r="I346" i="14" s="1"/>
  <c r="K346" i="14"/>
  <c r="F346" i="14"/>
  <c r="G346" i="14"/>
  <c r="H346" i="14"/>
  <c r="A346" i="14"/>
  <c r="B346" i="14"/>
  <c r="C346" i="14"/>
  <c r="A338" i="13"/>
  <c r="D338" i="13"/>
  <c r="I338" i="13"/>
  <c r="C338" i="13" s="1"/>
  <c r="B338" i="13"/>
  <c r="K345" i="14"/>
  <c r="F345" i="14"/>
  <c r="G345" i="14" s="1"/>
  <c r="H345" i="14"/>
  <c r="A345" i="14"/>
  <c r="B345" i="14"/>
  <c r="C345" i="14"/>
  <c r="A337" i="13"/>
  <c r="B337" i="13"/>
  <c r="O345" i="14"/>
  <c r="I345" i="14" s="1"/>
  <c r="D337" i="13"/>
  <c r="K344" i="14"/>
  <c r="F344" i="14"/>
  <c r="G344" i="14" s="1"/>
  <c r="H344" i="14"/>
  <c r="A344" i="14"/>
  <c r="B344" i="14"/>
  <c r="C344" i="14"/>
  <c r="B336" i="13"/>
  <c r="O344" i="14"/>
  <c r="I344" i="14" s="1"/>
  <c r="D336" i="13"/>
  <c r="A336" i="13"/>
  <c r="K343" i="14"/>
  <c r="F343" i="14"/>
  <c r="G343" i="14"/>
  <c r="H343" i="14"/>
  <c r="A343" i="14"/>
  <c r="B343" i="14"/>
  <c r="C343" i="14"/>
  <c r="B335" i="13"/>
  <c r="D335" i="13"/>
  <c r="A335" i="13"/>
  <c r="K342" i="14"/>
  <c r="F342" i="14"/>
  <c r="G342" i="14"/>
  <c r="H342" i="14"/>
  <c r="A342" i="14"/>
  <c r="B342" i="14"/>
  <c r="C342" i="14"/>
  <c r="A334" i="13"/>
  <c r="I334" i="13"/>
  <c r="C334" i="13" s="1"/>
  <c r="B334" i="13"/>
  <c r="O342" i="14"/>
  <c r="I342" i="14" s="1"/>
  <c r="D334" i="13"/>
  <c r="K341" i="14"/>
  <c r="F341" i="14"/>
  <c r="G341" i="14"/>
  <c r="H341" i="14"/>
  <c r="A341" i="14"/>
  <c r="B341" i="14"/>
  <c r="C341" i="14"/>
  <c r="B333" i="13"/>
  <c r="D333" i="13"/>
  <c r="A333" i="13"/>
  <c r="O340" i="14"/>
  <c r="I340" i="14" s="1"/>
  <c r="K340" i="14"/>
  <c r="F340" i="14"/>
  <c r="G340" i="14"/>
  <c r="H340" i="14"/>
  <c r="A340" i="14"/>
  <c r="B340" i="14"/>
  <c r="C340" i="14"/>
  <c r="A332" i="13"/>
  <c r="D332" i="13"/>
  <c r="I332" i="13"/>
  <c r="C332" i="13" s="1"/>
  <c r="B332" i="13"/>
  <c r="K339" i="14"/>
  <c r="F339" i="14"/>
  <c r="G339" i="14" s="1"/>
  <c r="H339" i="14"/>
  <c r="A339" i="14"/>
  <c r="B339" i="14"/>
  <c r="C339" i="14"/>
  <c r="B331" i="13"/>
  <c r="D331" i="13"/>
  <c r="A331" i="13"/>
  <c r="K338" i="14"/>
  <c r="F338" i="14"/>
  <c r="G338" i="14"/>
  <c r="H338" i="14"/>
  <c r="A338" i="14"/>
  <c r="B338" i="14"/>
  <c r="C338" i="14"/>
  <c r="A330" i="13"/>
  <c r="B330" i="13"/>
  <c r="O338" i="14"/>
  <c r="I338" i="14" s="1"/>
  <c r="D330" i="13"/>
  <c r="K337" i="14"/>
  <c r="F337" i="14"/>
  <c r="G337" i="14"/>
  <c r="H337" i="14"/>
  <c r="A337" i="14"/>
  <c r="B337" i="14"/>
  <c r="C337" i="14"/>
  <c r="D329" i="13"/>
  <c r="B329" i="13"/>
  <c r="A329" i="13"/>
  <c r="K336" i="14"/>
  <c r="F336" i="14"/>
  <c r="G336" i="14"/>
  <c r="H336" i="14"/>
  <c r="A336" i="14"/>
  <c r="B336" i="14"/>
  <c r="C336" i="14"/>
  <c r="D328" i="13"/>
  <c r="B328" i="13"/>
  <c r="O336" i="14"/>
  <c r="I336" i="14" s="1"/>
  <c r="A328" i="13"/>
  <c r="O335" i="14"/>
  <c r="K335" i="14"/>
  <c r="F335" i="14"/>
  <c r="G335" i="14"/>
  <c r="H335" i="14"/>
  <c r="I335" i="14"/>
  <c r="A335" i="14"/>
  <c r="B335" i="14"/>
  <c r="C335" i="14"/>
  <c r="I327" i="13"/>
  <c r="C327" i="13" s="1"/>
  <c r="B327" i="13"/>
  <c r="D327" i="13"/>
  <c r="A327" i="13"/>
  <c r="K334" i="14"/>
  <c r="F334" i="14"/>
  <c r="G334" i="14"/>
  <c r="H334" i="14"/>
  <c r="A334" i="14"/>
  <c r="B334" i="14"/>
  <c r="C334" i="14"/>
  <c r="A326" i="13"/>
  <c r="B326" i="13"/>
  <c r="O334" i="14"/>
  <c r="I334" i="14" s="1"/>
  <c r="D326" i="13"/>
  <c r="K333" i="14"/>
  <c r="F333" i="14"/>
  <c r="G333" i="14" s="1"/>
  <c r="H333" i="14"/>
  <c r="A333" i="14"/>
  <c r="B333" i="14"/>
  <c r="C333" i="14"/>
  <c r="A325" i="13"/>
  <c r="B325" i="13"/>
  <c r="D325" i="13"/>
  <c r="K332" i="14"/>
  <c r="F332" i="14"/>
  <c r="G332" i="14"/>
  <c r="H332" i="14"/>
  <c r="A332" i="14"/>
  <c r="B332" i="14"/>
  <c r="C332" i="14"/>
  <c r="B324" i="13"/>
  <c r="C324" i="13"/>
  <c r="I324" i="13"/>
  <c r="O332" i="14"/>
  <c r="I332" i="14" s="1"/>
  <c r="D324" i="13"/>
  <c r="A324" i="13"/>
  <c r="O331" i="14"/>
  <c r="I331" i="14" s="1"/>
  <c r="K331" i="14"/>
  <c r="F331" i="14"/>
  <c r="G331" i="14"/>
  <c r="H331" i="14"/>
  <c r="A331" i="14"/>
  <c r="B331" i="14"/>
  <c r="C331" i="14"/>
  <c r="D323" i="13"/>
  <c r="I323" i="13"/>
  <c r="C323" i="13" s="1"/>
  <c r="B323" i="13"/>
  <c r="A323" i="13"/>
  <c r="K330" i="14"/>
  <c r="F330" i="14"/>
  <c r="G330" i="14"/>
  <c r="H330" i="14"/>
  <c r="A330" i="14"/>
  <c r="B330" i="14"/>
  <c r="C330" i="14"/>
  <c r="A322" i="13"/>
  <c r="B322" i="13"/>
  <c r="O330" i="14"/>
  <c r="I330" i="14" s="1"/>
  <c r="D322" i="13"/>
  <c r="K329" i="14"/>
  <c r="F329" i="14"/>
  <c r="G329" i="14"/>
  <c r="H329" i="14"/>
  <c r="A329" i="14"/>
  <c r="B329" i="14"/>
  <c r="C329" i="14"/>
  <c r="A321" i="13"/>
  <c r="B321" i="13"/>
  <c r="D321" i="13"/>
  <c r="O328" i="14"/>
  <c r="I328" i="14" s="1"/>
  <c r="K328" i="14"/>
  <c r="F328" i="14"/>
  <c r="G328" i="14" s="1"/>
  <c r="H328" i="14"/>
  <c r="A328" i="14"/>
  <c r="B328" i="14"/>
  <c r="C328" i="14"/>
  <c r="A320" i="13"/>
  <c r="B320" i="13"/>
  <c r="I320" i="13"/>
  <c r="C320" i="13" s="1"/>
  <c r="D320" i="13"/>
  <c r="K327" i="14"/>
  <c r="F327" i="14"/>
  <c r="G327" i="14" s="1"/>
  <c r="H327" i="14"/>
  <c r="A327" i="14"/>
  <c r="B327" i="14"/>
  <c r="C327" i="14"/>
  <c r="B319" i="13"/>
  <c r="D319" i="13"/>
  <c r="A319" i="13"/>
  <c r="K326" i="14"/>
  <c r="F326" i="14"/>
  <c r="G326" i="14"/>
  <c r="H326" i="14"/>
  <c r="A326" i="14"/>
  <c r="B326" i="14"/>
  <c r="C326" i="14"/>
  <c r="A318" i="13"/>
  <c r="B318" i="13"/>
  <c r="O326" i="14"/>
  <c r="I326" i="14" s="1"/>
  <c r="D318" i="13"/>
  <c r="K325" i="14"/>
  <c r="F325" i="14"/>
  <c r="G325" i="14" s="1"/>
  <c r="H325" i="14"/>
  <c r="A325" i="14"/>
  <c r="B325" i="14"/>
  <c r="C325" i="14"/>
  <c r="A317" i="13"/>
  <c r="D317" i="13"/>
  <c r="B317" i="13"/>
  <c r="K324" i="14"/>
  <c r="F324" i="14"/>
  <c r="G324" i="14"/>
  <c r="H324" i="14"/>
  <c r="A324" i="14"/>
  <c r="B324" i="14"/>
  <c r="C324" i="14"/>
  <c r="A316" i="13"/>
  <c r="B316" i="13"/>
  <c r="I316" i="13"/>
  <c r="C316" i="13" s="1"/>
  <c r="O324" i="14"/>
  <c r="I324" i="14" s="1"/>
  <c r="D316" i="13"/>
  <c r="O323" i="14"/>
  <c r="I323" i="14" s="1"/>
  <c r="K323" i="14"/>
  <c r="F323" i="14"/>
  <c r="G323" i="14" s="1"/>
  <c r="H323" i="14"/>
  <c r="A323" i="14"/>
  <c r="B323" i="14"/>
  <c r="C323" i="14"/>
  <c r="D315" i="13"/>
  <c r="B315" i="13"/>
  <c r="I315" i="13"/>
  <c r="C315" i="13" s="1"/>
  <c r="A315" i="13"/>
  <c r="K322" i="14"/>
  <c r="F322" i="14"/>
  <c r="G322" i="14" s="1"/>
  <c r="H322" i="14"/>
  <c r="A322" i="14"/>
  <c r="B322" i="14"/>
  <c r="C322" i="14"/>
  <c r="D314" i="13"/>
  <c r="I314" i="13"/>
  <c r="C314" i="13" s="1"/>
  <c r="B314" i="13"/>
  <c r="O322" i="14"/>
  <c r="I322" i="14" s="1"/>
  <c r="A314" i="13"/>
  <c r="K321" i="14"/>
  <c r="F321" i="14"/>
  <c r="G321" i="14" s="1"/>
  <c r="H321" i="14"/>
  <c r="A321" i="14"/>
  <c r="B321" i="14"/>
  <c r="C321" i="14"/>
  <c r="A313" i="13"/>
  <c r="B313" i="13"/>
  <c r="O321" i="14"/>
  <c r="I321" i="14" s="1"/>
  <c r="D313" i="13"/>
  <c r="K320" i="14"/>
  <c r="F320" i="14"/>
  <c r="G320" i="14"/>
  <c r="H320" i="14"/>
  <c r="A320" i="14"/>
  <c r="B320" i="14"/>
  <c r="C320" i="14"/>
  <c r="A312" i="13"/>
  <c r="B312" i="13"/>
  <c r="D312" i="13"/>
  <c r="K319" i="14"/>
  <c r="F319" i="14"/>
  <c r="G319" i="14" s="1"/>
  <c r="H319" i="14"/>
  <c r="A319" i="14"/>
  <c r="B319" i="14"/>
  <c r="C319" i="14"/>
  <c r="A311" i="13"/>
  <c r="B311" i="13"/>
  <c r="D311" i="13"/>
  <c r="K318" i="14"/>
  <c r="F318" i="14"/>
  <c r="G318" i="14"/>
  <c r="H318" i="14"/>
  <c r="A318" i="14"/>
  <c r="B318" i="14"/>
  <c r="C318" i="14"/>
  <c r="A310" i="13"/>
  <c r="I310" i="13"/>
  <c r="C310" i="13" s="1"/>
  <c r="B310" i="13"/>
  <c r="O318" i="14"/>
  <c r="I318" i="14" s="1"/>
  <c r="D310" i="13"/>
  <c r="K317" i="14"/>
  <c r="F317" i="14"/>
  <c r="G317" i="14"/>
  <c r="H317" i="14"/>
  <c r="A317" i="14"/>
  <c r="B317" i="14"/>
  <c r="C317" i="14"/>
  <c r="A309" i="13"/>
  <c r="B309" i="13"/>
  <c r="C309" i="13"/>
  <c r="I309" i="13"/>
  <c r="O317" i="14"/>
  <c r="I317" i="14" s="1"/>
  <c r="D309" i="13"/>
  <c r="K316" i="14"/>
  <c r="F316" i="14"/>
  <c r="G316" i="14" s="1"/>
  <c r="H316" i="14"/>
  <c r="A316" i="14"/>
  <c r="B316" i="14"/>
  <c r="C316" i="14"/>
  <c r="D308" i="13"/>
  <c r="I308" i="13"/>
  <c r="C308" i="13" s="1"/>
  <c r="B308" i="13"/>
  <c r="O316" i="14"/>
  <c r="I316" i="14" s="1"/>
  <c r="A308" i="13"/>
  <c r="K315" i="14"/>
  <c r="F315" i="14"/>
  <c r="G315" i="14"/>
  <c r="H315" i="14"/>
  <c r="A315" i="14"/>
  <c r="B315" i="14"/>
  <c r="C315" i="14"/>
  <c r="D307" i="13"/>
  <c r="B307" i="13"/>
  <c r="A307" i="13"/>
  <c r="K314" i="14"/>
  <c r="F314" i="14"/>
  <c r="G314" i="14"/>
  <c r="H314" i="14"/>
  <c r="A314" i="14"/>
  <c r="B314" i="14"/>
  <c r="C314" i="14"/>
  <c r="D306" i="13"/>
  <c r="B306" i="13"/>
  <c r="A306" i="13"/>
  <c r="K313" i="14"/>
  <c r="F313" i="14"/>
  <c r="G313" i="14"/>
  <c r="H313" i="14"/>
  <c r="A313" i="14"/>
  <c r="B313" i="14"/>
  <c r="C313" i="14"/>
  <c r="A305" i="13"/>
  <c r="C305" i="13"/>
  <c r="I305" i="13"/>
  <c r="B305" i="13"/>
  <c r="O313" i="14"/>
  <c r="I313" i="14" s="1"/>
  <c r="D305" i="13"/>
  <c r="O312" i="14"/>
  <c r="I312" i="14" s="1"/>
  <c r="K312" i="14"/>
  <c r="F312" i="14"/>
  <c r="G312" i="14" s="1"/>
  <c r="H312" i="14"/>
  <c r="A312" i="14"/>
  <c r="B312" i="14"/>
  <c r="C312" i="14"/>
  <c r="D304" i="13"/>
  <c r="B304" i="13"/>
  <c r="I304" i="13"/>
  <c r="C304" i="13" s="1"/>
  <c r="A304" i="13"/>
  <c r="K311" i="14"/>
  <c r="F311" i="14"/>
  <c r="G311" i="14" s="1"/>
  <c r="H311" i="14"/>
  <c r="A311" i="14"/>
  <c r="B311" i="14"/>
  <c r="C311" i="14"/>
  <c r="A303" i="13"/>
  <c r="D303" i="13"/>
  <c r="B303" i="13"/>
  <c r="I303" i="13"/>
  <c r="C303" i="13" s="1"/>
  <c r="K310" i="14"/>
  <c r="F310" i="14"/>
  <c r="G310" i="14"/>
  <c r="H310" i="14"/>
  <c r="A310" i="14"/>
  <c r="B310" i="14"/>
  <c r="C310" i="14"/>
  <c r="A302" i="13"/>
  <c r="B302" i="13"/>
  <c r="O310" i="14"/>
  <c r="I310" i="14" s="1"/>
  <c r="D302" i="13"/>
  <c r="K309" i="14"/>
  <c r="F309" i="14"/>
  <c r="G309" i="14" s="1"/>
  <c r="H309" i="14"/>
  <c r="A309" i="14"/>
  <c r="B309" i="14"/>
  <c r="C309" i="14"/>
  <c r="C301" i="13"/>
  <c r="D301" i="13"/>
  <c r="B301" i="13"/>
  <c r="I301" i="13"/>
  <c r="A301" i="13"/>
  <c r="K308" i="14"/>
  <c r="F308" i="14"/>
  <c r="G308" i="14" s="1"/>
  <c r="H308" i="14"/>
  <c r="A308" i="14"/>
  <c r="B308" i="14"/>
  <c r="C308" i="14"/>
  <c r="D300" i="13"/>
  <c r="B300" i="13"/>
  <c r="O308" i="14"/>
  <c r="I308" i="14" s="1"/>
  <c r="A300" i="13"/>
  <c r="K307" i="14"/>
  <c r="F307" i="14"/>
  <c r="G307" i="14" s="1"/>
  <c r="H307" i="14"/>
  <c r="A307" i="14"/>
  <c r="B307" i="14"/>
  <c r="C307" i="14"/>
  <c r="C299" i="13"/>
  <c r="I299" i="13"/>
  <c r="B299" i="13"/>
  <c r="O307" i="14"/>
  <c r="I307" i="14" s="1"/>
  <c r="D299" i="13"/>
  <c r="A299" i="13"/>
  <c r="K306" i="14"/>
  <c r="F306" i="14"/>
  <c r="G306" i="14"/>
  <c r="H306" i="14"/>
  <c r="I306" i="14"/>
  <c r="A306" i="14"/>
  <c r="B306" i="14"/>
  <c r="C306" i="14"/>
  <c r="A298" i="13"/>
  <c r="I298" i="13"/>
  <c r="C298" i="13" s="1"/>
  <c r="B298" i="13"/>
  <c r="O306" i="14"/>
  <c r="D298" i="13"/>
  <c r="O305" i="14"/>
  <c r="I305" i="14" s="1"/>
  <c r="K305" i="14"/>
  <c r="F305" i="14"/>
  <c r="G305" i="14" s="1"/>
  <c r="H305" i="14"/>
  <c r="A305" i="14"/>
  <c r="B305" i="14"/>
  <c r="C305" i="14"/>
  <c r="B297" i="13"/>
  <c r="D297" i="13"/>
  <c r="I297" i="13"/>
  <c r="C297" i="13" s="1"/>
  <c r="A297" i="13"/>
  <c r="K304" i="14"/>
  <c r="F304" i="14"/>
  <c r="G304" i="14" s="1"/>
  <c r="H304" i="14"/>
  <c r="A304" i="14"/>
  <c r="B304" i="14"/>
  <c r="C304" i="14"/>
  <c r="D296" i="13"/>
  <c r="B296" i="13"/>
  <c r="I296" i="13"/>
  <c r="C296" i="13" s="1"/>
  <c r="A296" i="13"/>
  <c r="K303" i="14"/>
  <c r="F303" i="14"/>
  <c r="G303" i="14"/>
  <c r="H303" i="14"/>
  <c r="A303" i="14"/>
  <c r="B303" i="14"/>
  <c r="C303" i="14"/>
  <c r="A295" i="13"/>
  <c r="D295" i="13"/>
  <c r="I295" i="13"/>
  <c r="C295" i="13" s="1"/>
  <c r="B295" i="13"/>
  <c r="O303" i="14"/>
  <c r="I303" i="14" s="1"/>
  <c r="K302" i="14"/>
  <c r="F302" i="14"/>
  <c r="G302" i="14"/>
  <c r="H302" i="14"/>
  <c r="A302" i="14"/>
  <c r="B302" i="14"/>
  <c r="C302" i="14"/>
  <c r="A294" i="13"/>
  <c r="B294" i="13"/>
  <c r="I294" i="13"/>
  <c r="C294" i="13" s="1"/>
  <c r="O302" i="14"/>
  <c r="I302" i="14" s="1"/>
  <c r="D294" i="13"/>
  <c r="O301" i="14"/>
  <c r="I301" i="14" s="1"/>
  <c r="K301" i="14"/>
  <c r="F301" i="14"/>
  <c r="G301" i="14" s="1"/>
  <c r="H301" i="14"/>
  <c r="A301" i="14"/>
  <c r="B301" i="14"/>
  <c r="C301" i="14"/>
  <c r="B293" i="13"/>
  <c r="I293" i="13"/>
  <c r="C293" i="13" s="1"/>
  <c r="D293" i="13"/>
  <c r="A293" i="13"/>
  <c r="K300" i="14"/>
  <c r="F300" i="14"/>
  <c r="G300" i="14" s="1"/>
  <c r="H300" i="14"/>
  <c r="A300" i="14"/>
  <c r="B300" i="14"/>
  <c r="C300" i="14"/>
  <c r="A292" i="13"/>
  <c r="B292" i="13"/>
  <c r="D292" i="13"/>
  <c r="O300" i="14"/>
  <c r="I300" i="14" s="1"/>
  <c r="K299" i="14"/>
  <c r="F299" i="14"/>
  <c r="G299" i="14"/>
  <c r="H299" i="14"/>
  <c r="A299" i="14"/>
  <c r="B299" i="14"/>
  <c r="C299" i="14"/>
  <c r="D291" i="13"/>
  <c r="B291" i="13"/>
  <c r="I291" i="13"/>
  <c r="C291" i="13" s="1"/>
  <c r="A291" i="13"/>
  <c r="K298" i="14"/>
  <c r="F298" i="14"/>
  <c r="G298" i="14"/>
  <c r="H298" i="14"/>
  <c r="A298" i="14"/>
  <c r="B298" i="14"/>
  <c r="C298" i="14"/>
  <c r="A290" i="13"/>
  <c r="D290" i="13"/>
  <c r="I290" i="13"/>
  <c r="C290" i="13" s="1"/>
  <c r="B290" i="13"/>
  <c r="O298" i="14"/>
  <c r="I298" i="14" s="1"/>
  <c r="O297" i="14"/>
  <c r="I297" i="14" s="1"/>
  <c r="K297" i="14"/>
  <c r="F297" i="14"/>
  <c r="G297" i="14"/>
  <c r="H297" i="14"/>
  <c r="A297" i="14"/>
  <c r="B297" i="14"/>
  <c r="C297" i="14"/>
  <c r="I289" i="13"/>
  <c r="C289" i="13" s="1"/>
  <c r="B289" i="13"/>
  <c r="D289" i="13"/>
  <c r="A289" i="13"/>
  <c r="K296" i="14"/>
  <c r="F296" i="14"/>
  <c r="G296" i="14"/>
  <c r="H296" i="14"/>
  <c r="A296" i="14"/>
  <c r="B296" i="14"/>
  <c r="C296" i="14"/>
  <c r="A288" i="13"/>
  <c r="C288" i="13"/>
  <c r="I288" i="13"/>
  <c r="B288" i="13"/>
  <c r="O296" i="14"/>
  <c r="I296" i="14" s="1"/>
  <c r="D288" i="13"/>
  <c r="K295" i="14"/>
  <c r="F295" i="14"/>
  <c r="G295" i="14"/>
  <c r="H295" i="14"/>
  <c r="A295" i="14"/>
  <c r="B295" i="14"/>
  <c r="C295" i="14"/>
  <c r="A287" i="13"/>
  <c r="B287" i="13"/>
  <c r="O295" i="14"/>
  <c r="I295" i="14" s="1"/>
  <c r="D287" i="13"/>
  <c r="O294" i="14"/>
  <c r="I294" i="14" s="1"/>
  <c r="K294" i="14"/>
  <c r="F294" i="14"/>
  <c r="G294" i="14" s="1"/>
  <c r="H294" i="14"/>
  <c r="A294" i="14"/>
  <c r="B294" i="14"/>
  <c r="C294" i="14"/>
  <c r="B286" i="13"/>
  <c r="C286" i="13"/>
  <c r="I286" i="13"/>
  <c r="D286" i="13"/>
  <c r="A286" i="13"/>
  <c r="K293" i="14"/>
  <c r="F293" i="14"/>
  <c r="G293" i="14" s="1"/>
  <c r="H293" i="14"/>
  <c r="A293" i="14"/>
  <c r="B293" i="14"/>
  <c r="C293" i="14"/>
  <c r="B285" i="13"/>
  <c r="D285" i="13"/>
  <c r="O293" i="14"/>
  <c r="I293" i="14" s="1"/>
  <c r="A285" i="13"/>
  <c r="K292" i="14"/>
  <c r="F292" i="14"/>
  <c r="G292" i="14"/>
  <c r="H292" i="14"/>
  <c r="A292" i="14"/>
  <c r="B292" i="14"/>
  <c r="C292" i="14"/>
  <c r="A284" i="13"/>
  <c r="B284" i="13"/>
  <c r="O292" i="14"/>
  <c r="I292" i="14" s="1"/>
  <c r="D284" i="13"/>
  <c r="K291" i="14"/>
  <c r="F291" i="14"/>
  <c r="G291" i="14" s="1"/>
  <c r="H291" i="14"/>
  <c r="A291" i="14"/>
  <c r="B291" i="14"/>
  <c r="C291" i="14"/>
  <c r="D283" i="13"/>
  <c r="B283" i="13"/>
  <c r="I283" i="13"/>
  <c r="C283" i="13" s="1"/>
  <c r="A283" i="13"/>
  <c r="K290" i="14"/>
  <c r="F290" i="14"/>
  <c r="G290" i="14"/>
  <c r="H290" i="14"/>
  <c r="A290" i="14"/>
  <c r="B290" i="14"/>
  <c r="C290" i="14"/>
  <c r="A282" i="13"/>
  <c r="B282" i="13"/>
  <c r="D282" i="13"/>
  <c r="K289" i="14"/>
  <c r="F289" i="14"/>
  <c r="G289" i="14" s="1"/>
  <c r="H289" i="14"/>
  <c r="A289" i="14"/>
  <c r="B289" i="14"/>
  <c r="C289" i="14"/>
  <c r="D281" i="13"/>
  <c r="B281" i="13"/>
  <c r="I281" i="13"/>
  <c r="C281" i="13" s="1"/>
  <c r="A281" i="13"/>
  <c r="K288" i="14"/>
  <c r="F288" i="14"/>
  <c r="G288" i="14"/>
  <c r="H288" i="14"/>
  <c r="I288" i="14"/>
  <c r="A288" i="14"/>
  <c r="B288" i="14"/>
  <c r="C288" i="14"/>
  <c r="I280" i="13"/>
  <c r="C280" i="13" s="1"/>
  <c r="B280" i="13"/>
  <c r="O288" i="14"/>
  <c r="D280" i="13"/>
  <c r="A280" i="13"/>
  <c r="K287" i="14"/>
  <c r="F287" i="14"/>
  <c r="G287" i="14"/>
  <c r="H287" i="14"/>
  <c r="I287" i="14"/>
  <c r="A287" i="14"/>
  <c r="B287" i="14"/>
  <c r="C287" i="14"/>
  <c r="C279" i="13"/>
  <c r="I279" i="13"/>
  <c r="B279" i="13"/>
  <c r="O287" i="14"/>
  <c r="D279" i="13"/>
  <c r="A279" i="13"/>
  <c r="K286" i="14"/>
  <c r="F286" i="14"/>
  <c r="G286" i="14"/>
  <c r="H286" i="14"/>
  <c r="I286" i="14"/>
  <c r="A286" i="14"/>
  <c r="B286" i="14"/>
  <c r="C286" i="14"/>
  <c r="A278" i="13"/>
  <c r="B278" i="13"/>
  <c r="O286" i="14"/>
  <c r="D278" i="13"/>
  <c r="O285" i="14"/>
  <c r="I285" i="14" s="1"/>
  <c r="K285" i="14"/>
  <c r="F285" i="14"/>
  <c r="G285" i="14" s="1"/>
  <c r="H285" i="14"/>
  <c r="A285" i="14"/>
  <c r="B285" i="14"/>
  <c r="C285" i="14"/>
  <c r="B277" i="13"/>
  <c r="D277" i="13"/>
  <c r="I277" i="13"/>
  <c r="C277" i="13" s="1"/>
  <c r="A277" i="13"/>
  <c r="O284" i="14"/>
  <c r="I284" i="14" s="1"/>
  <c r="K284" i="14"/>
  <c r="F284" i="14"/>
  <c r="G284" i="14"/>
  <c r="H284" i="14"/>
  <c r="A284" i="14"/>
  <c r="B284" i="14"/>
  <c r="C284" i="14"/>
  <c r="D276" i="13"/>
  <c r="I276" i="13"/>
  <c r="C276" i="13" s="1"/>
  <c r="B276" i="13"/>
  <c r="A276" i="13"/>
  <c r="O283" i="14"/>
  <c r="I283" i="14" s="1"/>
  <c r="K283" i="14"/>
  <c r="F283" i="14"/>
  <c r="G283" i="14"/>
  <c r="H283" i="14"/>
  <c r="A283" i="14"/>
  <c r="B283" i="14"/>
  <c r="C283" i="14"/>
  <c r="A275" i="13"/>
  <c r="D275" i="13"/>
  <c r="I275" i="13"/>
  <c r="C275" i="13" s="1"/>
  <c r="B275" i="13"/>
  <c r="K282" i="14"/>
  <c r="F282" i="14"/>
  <c r="G282" i="14"/>
  <c r="H282" i="14"/>
  <c r="A282" i="14"/>
  <c r="B282" i="14"/>
  <c r="C282" i="14"/>
  <c r="A274" i="13"/>
  <c r="D274" i="13"/>
  <c r="I274" i="13"/>
  <c r="C274" i="13" s="1"/>
  <c r="B274" i="13"/>
  <c r="O282" i="14"/>
  <c r="I282" i="14" s="1"/>
  <c r="K281" i="14"/>
  <c r="F281" i="14"/>
  <c r="G281" i="14"/>
  <c r="H281" i="14"/>
  <c r="A281" i="14"/>
  <c r="B281" i="14"/>
  <c r="C281" i="14"/>
  <c r="A273" i="13"/>
  <c r="I273" i="13"/>
  <c r="C273" i="13" s="1"/>
  <c r="B273" i="13"/>
  <c r="O281" i="14"/>
  <c r="I281" i="14" s="1"/>
  <c r="D273" i="13"/>
  <c r="O280" i="14"/>
  <c r="I280" i="14" s="1"/>
  <c r="K280" i="14"/>
  <c r="F280" i="14"/>
  <c r="G280" i="14" s="1"/>
  <c r="H280" i="14"/>
  <c r="A280" i="14"/>
  <c r="B280" i="14"/>
  <c r="C280" i="14"/>
  <c r="D272" i="13"/>
  <c r="B272" i="13"/>
  <c r="I272" i="13"/>
  <c r="C272" i="13" s="1"/>
  <c r="A272" i="13"/>
  <c r="O279" i="14"/>
  <c r="I279" i="14" s="1"/>
  <c r="K279" i="14"/>
  <c r="F279" i="14"/>
  <c r="G279" i="14" s="1"/>
  <c r="H279" i="14"/>
  <c r="A279" i="14"/>
  <c r="B279" i="14"/>
  <c r="C279" i="14"/>
  <c r="D271" i="13"/>
  <c r="B271" i="13"/>
  <c r="I271" i="13"/>
  <c r="C271" i="13" s="1"/>
  <c r="A271" i="13"/>
  <c r="K278" i="14"/>
  <c r="F278" i="14"/>
  <c r="G278" i="14"/>
  <c r="H278" i="14"/>
  <c r="A278" i="14"/>
  <c r="B278" i="14"/>
  <c r="C278" i="14"/>
  <c r="A270" i="13"/>
  <c r="I270" i="13"/>
  <c r="C270" i="13" s="1"/>
  <c r="B270" i="13"/>
  <c r="O278" i="14"/>
  <c r="I278" i="14" s="1"/>
  <c r="D270" i="13"/>
  <c r="O277" i="14"/>
  <c r="I277" i="14" s="1"/>
  <c r="K277" i="14"/>
  <c r="F277" i="14"/>
  <c r="G277" i="14" s="1"/>
  <c r="H277" i="14"/>
  <c r="A277" i="14"/>
  <c r="B277" i="14"/>
  <c r="C277" i="14"/>
  <c r="D269" i="13"/>
  <c r="B269" i="13"/>
  <c r="I269" i="13"/>
  <c r="C269" i="13" s="1"/>
  <c r="A269" i="13"/>
  <c r="K276" i="14"/>
  <c r="F276" i="14"/>
  <c r="G276" i="14"/>
  <c r="H276" i="14"/>
  <c r="A276" i="14"/>
  <c r="B276" i="14"/>
  <c r="C276" i="14"/>
  <c r="A268" i="13"/>
  <c r="D268" i="13"/>
  <c r="B268" i="13"/>
  <c r="O276" i="14"/>
  <c r="I276" i="14" s="1"/>
  <c r="O275" i="14"/>
  <c r="I275" i="14" s="1"/>
  <c r="K275" i="14"/>
  <c r="F275" i="14"/>
  <c r="G275" i="14" s="1"/>
  <c r="H275" i="14"/>
  <c r="A275" i="14"/>
  <c r="B275" i="14"/>
  <c r="C275" i="14"/>
  <c r="B267" i="13"/>
  <c r="D267" i="13"/>
  <c r="I267" i="13"/>
  <c r="C267" i="13" s="1"/>
  <c r="A267" i="13"/>
  <c r="K274" i="14"/>
  <c r="F274" i="14"/>
  <c r="G274" i="14"/>
  <c r="H274" i="14"/>
  <c r="A274" i="14"/>
  <c r="B274" i="14"/>
  <c r="C274" i="14"/>
  <c r="A266" i="13"/>
  <c r="I266" i="13"/>
  <c r="C266" i="13" s="1"/>
  <c r="B266" i="13"/>
  <c r="O274" i="14"/>
  <c r="I274" i="14" s="1"/>
  <c r="D266" i="13"/>
  <c r="K273" i="14"/>
  <c r="F273" i="14"/>
  <c r="G273" i="14" s="1"/>
  <c r="H273" i="14"/>
  <c r="A273" i="14"/>
  <c r="B273" i="14"/>
  <c r="C273" i="14"/>
  <c r="D265" i="13"/>
  <c r="B265" i="13"/>
  <c r="I265" i="13"/>
  <c r="C265" i="13" s="1"/>
  <c r="A265" i="13"/>
  <c r="K272" i="14"/>
  <c r="F272" i="14"/>
  <c r="G272" i="14"/>
  <c r="H272" i="14"/>
  <c r="I272" i="14"/>
  <c r="A272" i="14"/>
  <c r="B272" i="14"/>
  <c r="C272" i="14"/>
  <c r="A264" i="13"/>
  <c r="I264" i="13"/>
  <c r="C264" i="13" s="1"/>
  <c r="B264" i="13"/>
  <c r="O272" i="14"/>
  <c r="D264" i="13"/>
  <c r="K271" i="14"/>
  <c r="F271" i="14"/>
  <c r="G271" i="14" s="1"/>
  <c r="H271" i="14"/>
  <c r="A271" i="14"/>
  <c r="B271" i="14"/>
  <c r="C271" i="14"/>
  <c r="B263" i="13"/>
  <c r="D263" i="13"/>
  <c r="I263" i="13"/>
  <c r="C263" i="13" s="1"/>
  <c r="A263" i="13"/>
  <c r="K270" i="14"/>
  <c r="F270" i="14"/>
  <c r="G270" i="14"/>
  <c r="H270" i="14"/>
  <c r="A270" i="14"/>
  <c r="B270" i="14"/>
  <c r="C270" i="14"/>
  <c r="A262" i="13"/>
  <c r="B262" i="13"/>
  <c r="O270" i="14"/>
  <c r="I270" i="14" s="1"/>
  <c r="D262" i="13"/>
  <c r="O269" i="14"/>
  <c r="I269" i="14" s="1"/>
  <c r="K269" i="14"/>
  <c r="F269" i="14"/>
  <c r="G269" i="14" s="1"/>
  <c r="H269" i="14"/>
  <c r="A269" i="14"/>
  <c r="B269" i="14"/>
  <c r="C269" i="14"/>
  <c r="B261" i="13"/>
  <c r="I261" i="13"/>
  <c r="C261" i="13" s="1"/>
  <c r="D261" i="13"/>
  <c r="A261" i="13"/>
  <c r="K268" i="14"/>
  <c r="F268" i="14"/>
  <c r="G268" i="14"/>
  <c r="H268" i="14"/>
  <c r="A268" i="14"/>
  <c r="B268" i="14"/>
  <c r="C268" i="14"/>
  <c r="A260" i="13"/>
  <c r="I260" i="13"/>
  <c r="C260" i="13" s="1"/>
  <c r="B260" i="13"/>
  <c r="O268" i="14"/>
  <c r="I268" i="14" s="1"/>
  <c r="D260" i="13"/>
  <c r="K267" i="14"/>
  <c r="F267" i="14"/>
  <c r="G267" i="14"/>
  <c r="H267" i="14"/>
  <c r="A267" i="14"/>
  <c r="B267" i="14"/>
  <c r="C267" i="14"/>
  <c r="A259" i="13"/>
  <c r="I259" i="13"/>
  <c r="C259" i="13" s="1"/>
  <c r="B259" i="13"/>
  <c r="O267" i="14"/>
  <c r="I267" i="14" s="1"/>
  <c r="D259" i="13"/>
  <c r="K266" i="14"/>
  <c r="F266" i="14"/>
  <c r="G266" i="14" s="1"/>
  <c r="H266" i="14"/>
  <c r="A266" i="14"/>
  <c r="B266" i="14"/>
  <c r="C266" i="14"/>
  <c r="D258" i="13"/>
  <c r="B258" i="13"/>
  <c r="I258" i="13"/>
  <c r="C258" i="13" s="1"/>
  <c r="A258" i="13"/>
  <c r="O265" i="14"/>
  <c r="I265" i="14" s="1"/>
  <c r="K265" i="14"/>
  <c r="F265" i="14"/>
  <c r="G265" i="14"/>
  <c r="H265" i="14"/>
  <c r="A265" i="14"/>
  <c r="B265" i="14"/>
  <c r="C265" i="14"/>
  <c r="A257" i="13"/>
  <c r="B257" i="13"/>
  <c r="D257" i="13"/>
  <c r="I257" i="13"/>
  <c r="C257" i="13" s="1"/>
  <c r="O264" i="14"/>
  <c r="I264" i="14" s="1"/>
  <c r="K264" i="14"/>
  <c r="F264" i="14"/>
  <c r="G264" i="14" s="1"/>
  <c r="H264" i="14"/>
  <c r="A264" i="14"/>
  <c r="B264" i="14"/>
  <c r="C264" i="14"/>
  <c r="A256" i="13"/>
  <c r="C256" i="13"/>
  <c r="I256" i="13"/>
  <c r="B256" i="13"/>
  <c r="D256" i="13"/>
  <c r="O263" i="14"/>
  <c r="I263" i="14" s="1"/>
  <c r="K263" i="14"/>
  <c r="F263" i="14"/>
  <c r="G263" i="14"/>
  <c r="H263" i="14"/>
  <c r="A263" i="14"/>
  <c r="B263" i="14"/>
  <c r="C263" i="14"/>
  <c r="B255" i="13"/>
  <c r="D255" i="13"/>
  <c r="I255" i="13"/>
  <c r="C255" i="13" s="1"/>
  <c r="A255" i="13"/>
  <c r="K262" i="14"/>
  <c r="F262" i="14"/>
  <c r="G262" i="14"/>
  <c r="H262" i="14"/>
  <c r="A262" i="14"/>
  <c r="B262" i="14"/>
  <c r="C262" i="14"/>
  <c r="A254" i="13"/>
  <c r="D254" i="13"/>
  <c r="B254" i="13"/>
  <c r="K261" i="14"/>
  <c r="F261" i="14"/>
  <c r="G261" i="14" s="1"/>
  <c r="H261" i="14"/>
  <c r="A261" i="14"/>
  <c r="B261" i="14"/>
  <c r="C261" i="14"/>
  <c r="D253" i="13"/>
  <c r="B253" i="13"/>
  <c r="A253" i="13"/>
  <c r="K260" i="14"/>
  <c r="F260" i="14"/>
  <c r="G260" i="14"/>
  <c r="H260" i="14"/>
  <c r="A260" i="14"/>
  <c r="B260" i="14"/>
  <c r="C260" i="14"/>
  <c r="A252" i="13"/>
  <c r="I252" i="13"/>
  <c r="C252" i="13" s="1"/>
  <c r="B252" i="13"/>
  <c r="O260" i="14"/>
  <c r="I260" i="14" s="1"/>
  <c r="D252" i="13"/>
  <c r="K259" i="14"/>
  <c r="F259" i="14"/>
  <c r="G259" i="14" s="1"/>
  <c r="H259" i="14"/>
  <c r="A259" i="14"/>
  <c r="B259" i="14"/>
  <c r="C259" i="14"/>
  <c r="B251" i="13"/>
  <c r="D251" i="13"/>
  <c r="I251" i="13"/>
  <c r="C251" i="13" s="1"/>
  <c r="A251" i="13"/>
  <c r="K258" i="14"/>
  <c r="F258" i="14"/>
  <c r="G258" i="14"/>
  <c r="H258" i="14"/>
  <c r="A258" i="14"/>
  <c r="B258" i="14"/>
  <c r="C258" i="14"/>
  <c r="A250" i="13"/>
  <c r="B250" i="13"/>
  <c r="D250" i="13"/>
  <c r="K257" i="14"/>
  <c r="F257" i="14"/>
  <c r="G257" i="14" s="1"/>
  <c r="H257" i="14"/>
  <c r="A257" i="14"/>
  <c r="B257" i="14"/>
  <c r="C257" i="14"/>
  <c r="B249" i="13"/>
  <c r="D249" i="13"/>
  <c r="A249" i="13"/>
  <c r="K256" i="14"/>
  <c r="F256" i="14"/>
  <c r="G256" i="14"/>
  <c r="H256" i="14"/>
  <c r="A256" i="14"/>
  <c r="B256" i="14"/>
  <c r="C256" i="14"/>
  <c r="D248" i="13"/>
  <c r="B248" i="13"/>
  <c r="O256" i="14"/>
  <c r="I256" i="14" s="1"/>
  <c r="A248" i="13"/>
  <c r="O255" i="14"/>
  <c r="I255" i="14" s="1"/>
  <c r="K255" i="14"/>
  <c r="F255" i="14"/>
  <c r="G255" i="14"/>
  <c r="H255" i="14"/>
  <c r="A255" i="14"/>
  <c r="B255" i="14"/>
  <c r="C255" i="14"/>
  <c r="I247" i="13"/>
  <c r="C247" i="13" s="1"/>
  <c r="B247" i="13"/>
  <c r="D247" i="13"/>
  <c r="A247" i="13"/>
  <c r="K254" i="14"/>
  <c r="F254" i="14"/>
  <c r="G254" i="14"/>
  <c r="H254" i="14"/>
  <c r="A254" i="14"/>
  <c r="B254" i="14"/>
  <c r="C254" i="14"/>
  <c r="D246" i="13"/>
  <c r="B246" i="13"/>
  <c r="A246" i="13"/>
  <c r="K253" i="14"/>
  <c r="F253" i="14"/>
  <c r="G253" i="14"/>
  <c r="H253" i="14"/>
  <c r="A253" i="14"/>
  <c r="B253" i="14"/>
  <c r="C253" i="14"/>
  <c r="A245" i="13"/>
  <c r="B245" i="13"/>
  <c r="D245" i="13"/>
  <c r="K252" i="14"/>
  <c r="F252" i="14"/>
  <c r="G252" i="14" s="1"/>
  <c r="H252" i="14"/>
  <c r="A252" i="14"/>
  <c r="B252" i="14"/>
  <c r="C252" i="14"/>
  <c r="B244" i="13"/>
  <c r="O252" i="14"/>
  <c r="I252" i="14" s="1"/>
  <c r="D244" i="13"/>
  <c r="A244" i="13"/>
  <c r="O251" i="14"/>
  <c r="I251" i="14" s="1"/>
  <c r="K251" i="14"/>
  <c r="F251" i="14"/>
  <c r="G251" i="14" s="1"/>
  <c r="H251" i="14"/>
  <c r="A251" i="14"/>
  <c r="B251" i="14"/>
  <c r="C251" i="14"/>
  <c r="I243" i="13"/>
  <c r="C243" i="13" s="1"/>
  <c r="B243" i="13"/>
  <c r="D243" i="13"/>
  <c r="A243" i="13"/>
  <c r="O250" i="14"/>
  <c r="I250" i="14" s="1"/>
  <c r="K250" i="14"/>
  <c r="F250" i="14"/>
  <c r="G250" i="14" s="1"/>
  <c r="H250" i="14"/>
  <c r="A250" i="14"/>
  <c r="B250" i="14"/>
  <c r="C250" i="14"/>
  <c r="A242" i="13"/>
  <c r="D242" i="13"/>
  <c r="B242" i="13"/>
  <c r="I242" i="13"/>
  <c r="C242" i="13" s="1"/>
  <c r="K249" i="14"/>
  <c r="F249" i="14"/>
  <c r="G249" i="14" s="1"/>
  <c r="H249" i="14"/>
  <c r="A249" i="14"/>
  <c r="B249" i="14"/>
  <c r="C249" i="14"/>
  <c r="A241" i="13"/>
  <c r="D241" i="13"/>
  <c r="B241" i="13"/>
  <c r="I241" i="13"/>
  <c r="C241" i="13" s="1"/>
  <c r="K248" i="14"/>
  <c r="F248" i="14"/>
  <c r="G248" i="14" s="1"/>
  <c r="H248" i="14"/>
  <c r="A248" i="14"/>
  <c r="B248" i="14"/>
  <c r="C248" i="14"/>
  <c r="D240" i="13"/>
  <c r="B240" i="13"/>
  <c r="A240" i="13"/>
  <c r="K247" i="14"/>
  <c r="F247" i="14"/>
  <c r="G247" i="14" s="1"/>
  <c r="H247" i="14"/>
  <c r="A247" i="14"/>
  <c r="B247" i="14"/>
  <c r="C247" i="14"/>
  <c r="A239" i="13"/>
  <c r="I239" i="13"/>
  <c r="C239" i="13" s="1"/>
  <c r="B239" i="13"/>
  <c r="O247" i="14"/>
  <c r="I247" i="14" s="1"/>
  <c r="D239" i="13"/>
  <c r="K246" i="14"/>
  <c r="F246" i="14"/>
  <c r="G246" i="14"/>
  <c r="H246" i="14"/>
  <c r="A246" i="14"/>
  <c r="B246" i="14"/>
  <c r="C246" i="14"/>
  <c r="D238" i="13"/>
  <c r="B238" i="13"/>
  <c r="A238" i="13"/>
  <c r="K245" i="14"/>
  <c r="F245" i="14"/>
  <c r="G245" i="14"/>
  <c r="H245" i="14"/>
  <c r="A245" i="14"/>
  <c r="B245" i="14"/>
  <c r="C245" i="14"/>
  <c r="A237" i="13"/>
  <c r="B237" i="13"/>
  <c r="D237" i="13"/>
  <c r="K244" i="14"/>
  <c r="F244" i="14"/>
  <c r="G244" i="14" s="1"/>
  <c r="H244" i="14"/>
  <c r="A244" i="14"/>
  <c r="B244" i="14"/>
  <c r="C244" i="14"/>
  <c r="D236" i="13"/>
  <c r="B236" i="13"/>
  <c r="O244" i="14"/>
  <c r="I244" i="14" s="1"/>
  <c r="A236" i="13"/>
  <c r="K243" i="14"/>
  <c r="F243" i="14"/>
  <c r="G243" i="14"/>
  <c r="H243" i="14"/>
  <c r="A243" i="14"/>
  <c r="B243" i="14"/>
  <c r="C243" i="14"/>
  <c r="A235" i="13"/>
  <c r="B235" i="13"/>
  <c r="O243" i="14"/>
  <c r="I243" i="14" s="1"/>
  <c r="D235" i="13"/>
  <c r="K242" i="14"/>
  <c r="F242" i="14"/>
  <c r="G242" i="14" s="1"/>
  <c r="H242" i="14"/>
  <c r="A242" i="14"/>
  <c r="B242" i="14"/>
  <c r="C242" i="14"/>
  <c r="B234" i="13"/>
  <c r="D234" i="13"/>
  <c r="A234" i="13"/>
  <c r="O241" i="14"/>
  <c r="K241" i="14"/>
  <c r="F241" i="14"/>
  <c r="G241" i="14"/>
  <c r="H241" i="14"/>
  <c r="I241" i="14"/>
  <c r="A241" i="14"/>
  <c r="B241" i="14"/>
  <c r="C241" i="14"/>
  <c r="A233" i="13"/>
  <c r="D233" i="13"/>
  <c r="I233" i="13"/>
  <c r="C233" i="13" s="1"/>
  <c r="B233" i="13"/>
  <c r="K240" i="14"/>
  <c r="F240" i="14"/>
  <c r="G240" i="14"/>
  <c r="H240" i="14"/>
  <c r="A240" i="14"/>
  <c r="B240" i="14"/>
  <c r="C240" i="14"/>
  <c r="A232" i="13"/>
  <c r="B232" i="13"/>
  <c r="C232" i="13"/>
  <c r="D232" i="13"/>
  <c r="I232" i="13"/>
  <c r="O240" i="14"/>
  <c r="I240" i="14" s="1"/>
  <c r="K239" i="14"/>
  <c r="F239" i="14"/>
  <c r="G239" i="14"/>
  <c r="H239" i="14"/>
  <c r="A239" i="14"/>
  <c r="B239" i="14"/>
  <c r="C239" i="14"/>
  <c r="A231" i="13"/>
  <c r="D231" i="13"/>
  <c r="B231" i="13"/>
  <c r="O239" i="14"/>
  <c r="I239" i="14" s="1"/>
  <c r="K238" i="14"/>
  <c r="F238" i="14"/>
  <c r="G238" i="14" s="1"/>
  <c r="H238" i="14"/>
  <c r="A238" i="14"/>
  <c r="B238" i="14"/>
  <c r="C238" i="14"/>
  <c r="D230" i="13"/>
  <c r="B230" i="13"/>
  <c r="A230" i="13"/>
  <c r="K237" i="14"/>
  <c r="F237" i="14"/>
  <c r="G237" i="14" s="1"/>
  <c r="H237" i="14"/>
  <c r="A237" i="14"/>
  <c r="B237" i="14"/>
  <c r="C237" i="14"/>
  <c r="A229" i="13"/>
  <c r="I229" i="13"/>
  <c r="C229" i="13" s="1"/>
  <c r="B229" i="13"/>
  <c r="O237" i="14"/>
  <c r="I237" i="14" s="1"/>
  <c r="D229" i="13"/>
  <c r="K236" i="14"/>
  <c r="F236" i="14"/>
  <c r="G236" i="14"/>
  <c r="H236" i="14"/>
  <c r="A236" i="14"/>
  <c r="B236" i="14"/>
  <c r="C236" i="14"/>
  <c r="D228" i="13"/>
  <c r="B228" i="13"/>
  <c r="A228" i="13"/>
  <c r="K235" i="14"/>
  <c r="F235" i="14"/>
  <c r="G235" i="14"/>
  <c r="H235" i="14"/>
  <c r="A235" i="14"/>
  <c r="B235" i="14"/>
  <c r="C235" i="14"/>
  <c r="A227" i="13"/>
  <c r="B227" i="13"/>
  <c r="D227" i="13"/>
  <c r="K234" i="14"/>
  <c r="F234" i="14"/>
  <c r="G234" i="14" s="1"/>
  <c r="H234" i="14"/>
  <c r="A234" i="14"/>
  <c r="B234" i="14"/>
  <c r="C234" i="14"/>
  <c r="D226" i="13"/>
  <c r="B226" i="13"/>
  <c r="O234" i="14"/>
  <c r="I234" i="14" s="1"/>
  <c r="A226" i="13"/>
  <c r="K233" i="14"/>
  <c r="F233" i="14"/>
  <c r="G233" i="14"/>
  <c r="H233" i="14"/>
  <c r="A233" i="14"/>
  <c r="B233" i="14"/>
  <c r="C233" i="14"/>
  <c r="A225" i="13"/>
  <c r="B225" i="13"/>
  <c r="O233" i="14"/>
  <c r="I233" i="14" s="1"/>
  <c r="D225" i="13"/>
  <c r="K232" i="14"/>
  <c r="F232" i="14"/>
  <c r="G232" i="14" s="1"/>
  <c r="H232" i="14"/>
  <c r="A232" i="14"/>
  <c r="B232" i="14"/>
  <c r="C232" i="14"/>
  <c r="B224" i="13"/>
  <c r="D224" i="13"/>
  <c r="A224" i="13"/>
  <c r="O231" i="14"/>
  <c r="I231" i="14" s="1"/>
  <c r="K231" i="14"/>
  <c r="F231" i="14"/>
  <c r="G231" i="14"/>
  <c r="H231" i="14"/>
  <c r="A231" i="14"/>
  <c r="B231" i="14"/>
  <c r="C231" i="14"/>
  <c r="I223" i="13"/>
  <c r="C223" i="13" s="1"/>
  <c r="B223" i="13"/>
  <c r="D223" i="13"/>
  <c r="A223" i="13"/>
  <c r="K230" i="14"/>
  <c r="F230" i="14"/>
  <c r="G230" i="14" s="1"/>
  <c r="H230" i="14"/>
  <c r="A230" i="14"/>
  <c r="B230" i="14"/>
  <c r="C230" i="14"/>
  <c r="A222" i="13"/>
  <c r="D222" i="13"/>
  <c r="B222" i="13"/>
  <c r="K229" i="14"/>
  <c r="F229" i="14"/>
  <c r="G229" i="14"/>
  <c r="H229" i="14"/>
  <c r="A229" i="14"/>
  <c r="B229" i="14"/>
  <c r="C229" i="14"/>
  <c r="A221" i="13"/>
  <c r="B221" i="13"/>
  <c r="C221" i="13"/>
  <c r="I221" i="13"/>
  <c r="O229" i="14"/>
  <c r="I229" i="14" s="1"/>
  <c r="D221" i="13"/>
  <c r="K228" i="14"/>
  <c r="F228" i="14"/>
  <c r="G228" i="14" s="1"/>
  <c r="H228" i="14"/>
  <c r="A228" i="14"/>
  <c r="B228" i="14"/>
  <c r="C228" i="14"/>
  <c r="D220" i="13"/>
  <c r="B220" i="13"/>
  <c r="A220" i="13"/>
  <c r="O227" i="14"/>
  <c r="I227" i="14" s="1"/>
  <c r="K227" i="14"/>
  <c r="F227" i="14"/>
  <c r="G227" i="14"/>
  <c r="H227" i="14"/>
  <c r="A227" i="14"/>
  <c r="B227" i="14"/>
  <c r="C227" i="14"/>
  <c r="A219" i="13"/>
  <c r="D219" i="13"/>
  <c r="B219" i="13"/>
  <c r="I219" i="13"/>
  <c r="C219" i="13" s="1"/>
  <c r="O226" i="14"/>
  <c r="I226" i="14" s="1"/>
  <c r="K226" i="14"/>
  <c r="F226" i="14"/>
  <c r="G226" i="14" s="1"/>
  <c r="H226" i="14"/>
  <c r="A226" i="14"/>
  <c r="B226" i="14"/>
  <c r="C226" i="14"/>
  <c r="D218" i="13"/>
  <c r="I218" i="13"/>
  <c r="C218" i="13" s="1"/>
  <c r="B218" i="13"/>
  <c r="A218" i="13"/>
  <c r="K225" i="14"/>
  <c r="F225" i="14"/>
  <c r="G225" i="14" s="1"/>
  <c r="H225" i="14"/>
  <c r="A225" i="14"/>
  <c r="B225" i="14"/>
  <c r="C225" i="14"/>
  <c r="A217" i="13"/>
  <c r="I217" i="13"/>
  <c r="C217" i="13" s="1"/>
  <c r="B217" i="13"/>
  <c r="O225" i="14"/>
  <c r="I225" i="14" s="1"/>
  <c r="D217" i="13"/>
  <c r="K224" i="14"/>
  <c r="F224" i="14"/>
  <c r="G224" i="14"/>
  <c r="H224" i="14"/>
  <c r="A224" i="14"/>
  <c r="B224" i="14"/>
  <c r="C224" i="14"/>
  <c r="B216" i="13"/>
  <c r="D216" i="13"/>
  <c r="A216" i="13"/>
  <c r="K223" i="14"/>
  <c r="F223" i="14"/>
  <c r="G223" i="14"/>
  <c r="H223" i="14"/>
  <c r="A223" i="14"/>
  <c r="B223" i="14"/>
  <c r="C223" i="14"/>
  <c r="A215" i="13"/>
  <c r="B215" i="13"/>
  <c r="D215" i="13"/>
  <c r="K222" i="14"/>
  <c r="F222" i="14"/>
  <c r="G222" i="14" s="1"/>
  <c r="H222" i="14"/>
  <c r="A222" i="14"/>
  <c r="B222" i="14"/>
  <c r="C222" i="14"/>
  <c r="A214" i="13"/>
  <c r="D214" i="13"/>
  <c r="B214" i="13"/>
  <c r="O222" i="14"/>
  <c r="I222" i="14" s="1"/>
  <c r="K221" i="14"/>
  <c r="F221" i="14"/>
  <c r="G221" i="14"/>
  <c r="H221" i="14"/>
  <c r="A221" i="14"/>
  <c r="B221" i="14"/>
  <c r="C221" i="14"/>
  <c r="A213" i="13"/>
  <c r="B213" i="13"/>
  <c r="O221" i="14"/>
  <c r="I221" i="14" s="1"/>
  <c r="D213" i="13"/>
  <c r="K220" i="14"/>
  <c r="F220" i="14"/>
  <c r="G220" i="14" s="1"/>
  <c r="H220" i="14"/>
  <c r="A220" i="14"/>
  <c r="B220" i="14"/>
  <c r="C220" i="14"/>
  <c r="B212" i="13"/>
  <c r="D212" i="13"/>
  <c r="A212" i="13"/>
  <c r="O219" i="14"/>
  <c r="I219" i="14" s="1"/>
  <c r="K219" i="14"/>
  <c r="F219" i="14"/>
  <c r="G219" i="14"/>
  <c r="H219" i="14"/>
  <c r="A219" i="14"/>
  <c r="B219" i="14"/>
  <c r="C219" i="14"/>
  <c r="I211" i="13"/>
  <c r="C211" i="13" s="1"/>
  <c r="B211" i="13"/>
  <c r="D211" i="13"/>
  <c r="A211" i="13"/>
  <c r="K218" i="14"/>
  <c r="F218" i="14"/>
  <c r="G218" i="14" s="1"/>
  <c r="H218" i="14"/>
  <c r="A218" i="14"/>
  <c r="B218" i="14"/>
  <c r="C218" i="14"/>
  <c r="A210" i="13"/>
  <c r="D210" i="13"/>
  <c r="B210" i="13"/>
  <c r="K217" i="14"/>
  <c r="F217" i="14"/>
  <c r="G217" i="14"/>
  <c r="H217" i="14"/>
  <c r="A217" i="14"/>
  <c r="B217" i="14"/>
  <c r="C217" i="14"/>
  <c r="A209" i="13"/>
  <c r="B209" i="13"/>
  <c r="O217" i="14"/>
  <c r="I217" i="14" s="1"/>
  <c r="D209" i="13"/>
  <c r="K216" i="14"/>
  <c r="A216" i="14"/>
  <c r="B216" i="14"/>
  <c r="C216" i="14"/>
  <c r="J216" i="2"/>
  <c r="K216" i="2"/>
  <c r="D208" i="13" s="1"/>
  <c r="A216" i="2"/>
  <c r="A208" i="13" s="1"/>
  <c r="B216" i="2"/>
  <c r="C216" i="2"/>
  <c r="M214" i="10"/>
  <c r="L214" i="10"/>
  <c r="H216" i="14" s="1"/>
  <c r="K214" i="10"/>
  <c r="F216" i="14" s="1"/>
  <c r="G216" i="14" s="1"/>
  <c r="K215" i="14"/>
  <c r="A215" i="14"/>
  <c r="B215" i="14"/>
  <c r="C215" i="14"/>
  <c r="J215" i="2"/>
  <c r="K215" i="2"/>
  <c r="D207" i="13" s="1"/>
  <c r="A215" i="2"/>
  <c r="A207" i="13" s="1"/>
  <c r="B215" i="2"/>
  <c r="C215" i="2"/>
  <c r="M213" i="10"/>
  <c r="L213" i="10"/>
  <c r="H215" i="14" s="1"/>
  <c r="K213" i="10"/>
  <c r="F215" i="14" s="1"/>
  <c r="G215" i="14" s="1"/>
  <c r="K214" i="14"/>
  <c r="A214" i="14"/>
  <c r="B214" i="14"/>
  <c r="C214" i="14"/>
  <c r="J214" i="2"/>
  <c r="K214" i="2"/>
  <c r="D206" i="13" s="1"/>
  <c r="A214" i="2"/>
  <c r="A206" i="13" s="1"/>
  <c r="B214" i="2"/>
  <c r="C214" i="2"/>
  <c r="M212" i="10"/>
  <c r="L212" i="10"/>
  <c r="H214" i="14" s="1"/>
  <c r="K212" i="10"/>
  <c r="F214" i="14" s="1"/>
  <c r="G214" i="14" s="1"/>
  <c r="K213" i="14"/>
  <c r="A213" i="14"/>
  <c r="B213" i="14"/>
  <c r="C213" i="14"/>
  <c r="J213" i="2"/>
  <c r="K213" i="2"/>
  <c r="D205" i="13" s="1"/>
  <c r="A213" i="2"/>
  <c r="A205" i="13" s="1"/>
  <c r="B213" i="2"/>
  <c r="C213" i="2"/>
  <c r="M211" i="10"/>
  <c r="L211" i="10"/>
  <c r="H213" i="14" s="1"/>
  <c r="K211" i="10"/>
  <c r="F213" i="2" s="1"/>
  <c r="G213" i="2" s="1"/>
  <c r="B205" i="13" s="1"/>
  <c r="K212" i="14"/>
  <c r="A212" i="14"/>
  <c r="B212" i="14"/>
  <c r="C212" i="14"/>
  <c r="J212" i="2"/>
  <c r="K212" i="2"/>
  <c r="D204" i="13" s="1"/>
  <c r="A212" i="2"/>
  <c r="A204" i="13" s="1"/>
  <c r="B212" i="2"/>
  <c r="C212" i="2"/>
  <c r="M210" i="10"/>
  <c r="L210" i="10"/>
  <c r="H212" i="14" s="1"/>
  <c r="K210" i="10"/>
  <c r="F212" i="14" s="1"/>
  <c r="G212" i="14" s="1"/>
  <c r="K211" i="14"/>
  <c r="A211" i="14"/>
  <c r="B211" i="14"/>
  <c r="C211" i="14"/>
  <c r="J211" i="2"/>
  <c r="K211" i="2"/>
  <c r="D203" i="13" s="1"/>
  <c r="A211" i="2"/>
  <c r="A203" i="13" s="1"/>
  <c r="B211" i="2"/>
  <c r="C211" i="2"/>
  <c r="M209" i="10"/>
  <c r="L209" i="10"/>
  <c r="H211" i="14" s="1"/>
  <c r="K209" i="10"/>
  <c r="F211" i="14" s="1"/>
  <c r="G211" i="14" s="1"/>
  <c r="K210" i="14"/>
  <c r="A210" i="14"/>
  <c r="B210" i="14"/>
  <c r="C210" i="14"/>
  <c r="J210" i="2"/>
  <c r="K210" i="2"/>
  <c r="D202" i="13" s="1"/>
  <c r="A210" i="2"/>
  <c r="A202" i="13" s="1"/>
  <c r="B210" i="2"/>
  <c r="C210" i="2"/>
  <c r="M208" i="10"/>
  <c r="L208" i="10"/>
  <c r="H210" i="2" s="1"/>
  <c r="I210" i="2" s="1"/>
  <c r="O210" i="14" s="1"/>
  <c r="I210" i="14" s="1"/>
  <c r="K208" i="10"/>
  <c r="F210" i="2" s="1"/>
  <c r="G210" i="2" s="1"/>
  <c r="B202" i="13" s="1"/>
  <c r="K209" i="14"/>
  <c r="A209" i="14"/>
  <c r="B209" i="14"/>
  <c r="C209" i="14"/>
  <c r="J209" i="2"/>
  <c r="K209" i="2"/>
  <c r="D201" i="13" s="1"/>
  <c r="A209" i="2"/>
  <c r="A201" i="13" s="1"/>
  <c r="B209" i="2"/>
  <c r="C209" i="2"/>
  <c r="M207" i="10"/>
  <c r="L207" i="10"/>
  <c r="H209" i="2" s="1"/>
  <c r="I209" i="2" s="1"/>
  <c r="O209" i="14" s="1"/>
  <c r="I209" i="14" s="1"/>
  <c r="K207" i="10"/>
  <c r="F209" i="14" s="1"/>
  <c r="G209" i="14" s="1"/>
  <c r="K208" i="14"/>
  <c r="A208" i="14"/>
  <c r="B208" i="14"/>
  <c r="C208" i="14"/>
  <c r="J208" i="2"/>
  <c r="K208" i="2"/>
  <c r="D200" i="13" s="1"/>
  <c r="A208" i="2"/>
  <c r="A200" i="13" s="1"/>
  <c r="B208" i="2"/>
  <c r="C208" i="2"/>
  <c r="M206" i="10"/>
  <c r="L206" i="10"/>
  <c r="H208" i="14" s="1"/>
  <c r="K206" i="10"/>
  <c r="F208" i="2" s="1"/>
  <c r="G208" i="2" s="1"/>
  <c r="B200" i="13" s="1"/>
  <c r="K207" i="14"/>
  <c r="A207" i="14"/>
  <c r="B207" i="14"/>
  <c r="C207" i="14"/>
  <c r="J207" i="2"/>
  <c r="K207" i="2"/>
  <c r="D199" i="13" s="1"/>
  <c r="A207" i="2"/>
  <c r="A199" i="13" s="1"/>
  <c r="B207" i="2"/>
  <c r="C207" i="2"/>
  <c r="M205" i="10"/>
  <c r="L205" i="10"/>
  <c r="H207" i="2" s="1"/>
  <c r="I207" i="2" s="1"/>
  <c r="K205" i="10"/>
  <c r="F207" i="14" s="1"/>
  <c r="G207" i="14" s="1"/>
  <c r="K206" i="14"/>
  <c r="A206" i="14"/>
  <c r="B206" i="14"/>
  <c r="C206" i="14"/>
  <c r="J206" i="2"/>
  <c r="K206" i="2"/>
  <c r="D198" i="13" s="1"/>
  <c r="A206" i="2"/>
  <c r="A198" i="13" s="1"/>
  <c r="B206" i="2"/>
  <c r="C206" i="2"/>
  <c r="M204" i="10"/>
  <c r="L204" i="10"/>
  <c r="H206" i="14" s="1"/>
  <c r="K204" i="10"/>
  <c r="F206" i="14" s="1"/>
  <c r="G206" i="14" s="1"/>
  <c r="K205" i="14"/>
  <c r="A205" i="14"/>
  <c r="B205" i="14"/>
  <c r="C205" i="14"/>
  <c r="J205" i="2"/>
  <c r="K205" i="2"/>
  <c r="D197" i="13" s="1"/>
  <c r="A205" i="2"/>
  <c r="A197" i="13" s="1"/>
  <c r="B205" i="2"/>
  <c r="C205" i="2"/>
  <c r="M203" i="10"/>
  <c r="L203" i="10"/>
  <c r="H205" i="2" s="1"/>
  <c r="I205" i="2" s="1"/>
  <c r="K203" i="10"/>
  <c r="F205" i="14" s="1"/>
  <c r="G205" i="14" s="1"/>
  <c r="K204" i="14"/>
  <c r="A204" i="14"/>
  <c r="B204" i="14"/>
  <c r="C204" i="14"/>
  <c r="J204" i="2"/>
  <c r="K204" i="2"/>
  <c r="D196" i="13" s="1"/>
  <c r="A204" i="2"/>
  <c r="A196" i="13" s="1"/>
  <c r="B204" i="2"/>
  <c r="C204" i="2"/>
  <c r="M202" i="10"/>
  <c r="L202" i="10"/>
  <c r="H204" i="14" s="1"/>
  <c r="K202" i="10"/>
  <c r="F204" i="14" s="1"/>
  <c r="G204" i="14" s="1"/>
  <c r="K203" i="14"/>
  <c r="A203" i="14"/>
  <c r="B203" i="14"/>
  <c r="C203" i="14"/>
  <c r="J203" i="2"/>
  <c r="K203" i="2"/>
  <c r="D195" i="13" s="1"/>
  <c r="A203" i="2"/>
  <c r="A195" i="13" s="1"/>
  <c r="B203" i="2"/>
  <c r="C203" i="2"/>
  <c r="M201" i="10"/>
  <c r="L201" i="10"/>
  <c r="H203" i="14" s="1"/>
  <c r="K201" i="10"/>
  <c r="F203" i="14" s="1"/>
  <c r="G203" i="14" s="1"/>
  <c r="K202" i="14"/>
  <c r="A202" i="14"/>
  <c r="B202" i="14"/>
  <c r="C202" i="14"/>
  <c r="J202" i="2"/>
  <c r="K202" i="2"/>
  <c r="D194" i="13" s="1"/>
  <c r="A202" i="2"/>
  <c r="A194" i="13" s="1"/>
  <c r="B202" i="2"/>
  <c r="C202" i="2"/>
  <c r="M200" i="10"/>
  <c r="L200" i="10"/>
  <c r="H202" i="14" s="1"/>
  <c r="K200" i="10"/>
  <c r="K201" i="14"/>
  <c r="A201" i="14"/>
  <c r="B201" i="14"/>
  <c r="C201" i="14"/>
  <c r="J201" i="2"/>
  <c r="K201" i="2"/>
  <c r="D193" i="13" s="1"/>
  <c r="A201" i="2"/>
  <c r="A193" i="13" s="1"/>
  <c r="B201" i="2"/>
  <c r="C201" i="2"/>
  <c r="M199" i="10"/>
  <c r="L199" i="10"/>
  <c r="H201" i="14" s="1"/>
  <c r="K199" i="10"/>
  <c r="K200" i="14"/>
  <c r="A200" i="14"/>
  <c r="B200" i="14"/>
  <c r="C200" i="14"/>
  <c r="J200" i="2"/>
  <c r="K200" i="2"/>
  <c r="D192" i="13" s="1"/>
  <c r="A200" i="2"/>
  <c r="A192" i="13" s="1"/>
  <c r="B200" i="2"/>
  <c r="C200" i="2"/>
  <c r="M198" i="10"/>
  <c r="L198" i="10"/>
  <c r="H200" i="14" s="1"/>
  <c r="K198" i="10"/>
  <c r="K199" i="14"/>
  <c r="A199" i="14"/>
  <c r="B199" i="14"/>
  <c r="C199" i="14"/>
  <c r="J199" i="2"/>
  <c r="K199" i="2"/>
  <c r="D191" i="13" s="1"/>
  <c r="A199" i="2"/>
  <c r="A191" i="13" s="1"/>
  <c r="B199" i="2"/>
  <c r="C199" i="2"/>
  <c r="M197" i="10"/>
  <c r="L197" i="10"/>
  <c r="K197" i="10"/>
  <c r="F199" i="14" s="1"/>
  <c r="G199" i="14" s="1"/>
  <c r="K198" i="14"/>
  <c r="A198" i="14"/>
  <c r="B198" i="14"/>
  <c r="C198" i="14"/>
  <c r="J198" i="2"/>
  <c r="K198" i="2"/>
  <c r="D190" i="13" s="1"/>
  <c r="A198" i="2"/>
  <c r="A190" i="13" s="1"/>
  <c r="B198" i="2"/>
  <c r="C198" i="2"/>
  <c r="M196" i="10"/>
  <c r="L196" i="10"/>
  <c r="H198" i="2" s="1"/>
  <c r="I198" i="2" s="1"/>
  <c r="K196" i="10"/>
  <c r="F198" i="14" s="1"/>
  <c r="G198" i="14" s="1"/>
  <c r="K197" i="14"/>
  <c r="A197" i="14"/>
  <c r="B197" i="14"/>
  <c r="C197" i="14"/>
  <c r="J197" i="2"/>
  <c r="K197" i="2"/>
  <c r="D189" i="13" s="1"/>
  <c r="A197" i="2"/>
  <c r="A189" i="13" s="1"/>
  <c r="B197" i="2"/>
  <c r="C197" i="2"/>
  <c r="M195" i="10"/>
  <c r="L195" i="10"/>
  <c r="H197" i="14" s="1"/>
  <c r="K195" i="10"/>
  <c r="F197" i="2" s="1"/>
  <c r="G197" i="2" s="1"/>
  <c r="B189" i="13" s="1"/>
  <c r="K196" i="14"/>
  <c r="A196" i="14"/>
  <c r="B196" i="14"/>
  <c r="C196" i="14"/>
  <c r="J196" i="2"/>
  <c r="K196" i="2"/>
  <c r="D188" i="13" s="1"/>
  <c r="A196" i="2"/>
  <c r="A188" i="13" s="1"/>
  <c r="B196" i="2"/>
  <c r="C196" i="2"/>
  <c r="M194" i="10"/>
  <c r="L194" i="10"/>
  <c r="H196" i="2" s="1"/>
  <c r="I196" i="2" s="1"/>
  <c r="K194" i="10"/>
  <c r="F196" i="2" s="1"/>
  <c r="G196" i="2" s="1"/>
  <c r="B188" i="13" s="1"/>
  <c r="K195" i="14"/>
  <c r="A195" i="14"/>
  <c r="B195" i="14"/>
  <c r="C195" i="14"/>
  <c r="J195" i="2"/>
  <c r="K195" i="2"/>
  <c r="D187" i="13" s="1"/>
  <c r="A195" i="2"/>
  <c r="A187" i="13" s="1"/>
  <c r="B195" i="2"/>
  <c r="C195" i="2"/>
  <c r="M193" i="10"/>
  <c r="L193" i="10"/>
  <c r="H195" i="2" s="1"/>
  <c r="I195" i="2" s="1"/>
  <c r="K193" i="10"/>
  <c r="F195" i="2" s="1"/>
  <c r="G195" i="2" s="1"/>
  <c r="B187" i="13" s="1"/>
  <c r="K194" i="14"/>
  <c r="A194" i="14"/>
  <c r="B194" i="14"/>
  <c r="C194" i="14"/>
  <c r="J194" i="2"/>
  <c r="K194" i="2"/>
  <c r="D186" i="13" s="1"/>
  <c r="A194" i="2"/>
  <c r="A186" i="13" s="1"/>
  <c r="B194" i="2"/>
  <c r="C194" i="2"/>
  <c r="M192" i="10"/>
  <c r="L192" i="10"/>
  <c r="H194" i="2" s="1"/>
  <c r="I194" i="2" s="1"/>
  <c r="K192" i="10"/>
  <c r="F194" i="14" s="1"/>
  <c r="G194" i="14" s="1"/>
  <c r="K193" i="14"/>
  <c r="A193" i="14"/>
  <c r="B193" i="14"/>
  <c r="C193" i="14"/>
  <c r="J193" i="2"/>
  <c r="K193" i="2"/>
  <c r="D185" i="13" s="1"/>
  <c r="A193" i="2"/>
  <c r="A185" i="13" s="1"/>
  <c r="B193" i="2"/>
  <c r="C193" i="2"/>
  <c r="M191" i="10"/>
  <c r="L191" i="10"/>
  <c r="H193" i="14" s="1"/>
  <c r="K191" i="10"/>
  <c r="F193" i="14" s="1"/>
  <c r="G193" i="14" s="1"/>
  <c r="K192" i="14"/>
  <c r="A192" i="14"/>
  <c r="B192" i="14"/>
  <c r="C192" i="14"/>
  <c r="J192" i="2"/>
  <c r="K192" i="2"/>
  <c r="D184" i="13" s="1"/>
  <c r="A192" i="2"/>
  <c r="A184" i="13" s="1"/>
  <c r="B192" i="2"/>
  <c r="C192" i="2"/>
  <c r="M190" i="10"/>
  <c r="L190" i="10"/>
  <c r="H192" i="14" s="1"/>
  <c r="K190" i="10"/>
  <c r="F192" i="2" s="1"/>
  <c r="G192" i="2" s="1"/>
  <c r="B184" i="13" s="1"/>
  <c r="K191" i="14"/>
  <c r="A191" i="14"/>
  <c r="B191" i="14"/>
  <c r="C191" i="14"/>
  <c r="J191" i="2"/>
  <c r="K191" i="2"/>
  <c r="D183" i="13" s="1"/>
  <c r="A191" i="2"/>
  <c r="A183" i="13" s="1"/>
  <c r="B191" i="2"/>
  <c r="C191" i="2"/>
  <c r="M189" i="10"/>
  <c r="L189" i="10"/>
  <c r="H191" i="2" s="1"/>
  <c r="I191" i="2" s="1"/>
  <c r="K189" i="10"/>
  <c r="F191" i="2" s="1"/>
  <c r="G191" i="2" s="1"/>
  <c r="B183" i="13" s="1"/>
  <c r="K190" i="14"/>
  <c r="A190" i="14"/>
  <c r="B190" i="14"/>
  <c r="C190" i="14"/>
  <c r="J190" i="2"/>
  <c r="K190" i="2"/>
  <c r="D182" i="13" s="1"/>
  <c r="A190" i="2"/>
  <c r="A182" i="13" s="1"/>
  <c r="B190" i="2"/>
  <c r="C190" i="2"/>
  <c r="M188" i="10"/>
  <c r="L188" i="10"/>
  <c r="H190" i="2" s="1"/>
  <c r="I190" i="2" s="1"/>
  <c r="K188" i="10"/>
  <c r="F190" i="14" s="1"/>
  <c r="G190" i="14" s="1"/>
  <c r="K189" i="14"/>
  <c r="A189" i="14"/>
  <c r="B189" i="14"/>
  <c r="C189" i="14"/>
  <c r="J189" i="2"/>
  <c r="K189" i="2"/>
  <c r="D181" i="13" s="1"/>
  <c r="A189" i="2"/>
  <c r="A181" i="13" s="1"/>
  <c r="B189" i="2"/>
  <c r="C189" i="2"/>
  <c r="M187" i="10"/>
  <c r="L187" i="10"/>
  <c r="K187" i="10"/>
  <c r="K188" i="14"/>
  <c r="A188" i="14"/>
  <c r="B188" i="14"/>
  <c r="C188" i="14"/>
  <c r="J188" i="2"/>
  <c r="K188" i="2"/>
  <c r="D180" i="13" s="1"/>
  <c r="A188" i="2"/>
  <c r="A180" i="13" s="1"/>
  <c r="B188" i="2"/>
  <c r="C188" i="2"/>
  <c r="M186" i="10"/>
  <c r="L186" i="10"/>
  <c r="H188" i="2" s="1"/>
  <c r="I188" i="2" s="1"/>
  <c r="K186" i="10"/>
  <c r="K187" i="14"/>
  <c r="A187" i="14"/>
  <c r="B187" i="14"/>
  <c r="C187" i="14"/>
  <c r="J187" i="2"/>
  <c r="K187" i="2"/>
  <c r="D179" i="13" s="1"/>
  <c r="A187" i="2"/>
  <c r="A179" i="13" s="1"/>
  <c r="B187" i="2"/>
  <c r="C187" i="2"/>
  <c r="M185" i="10"/>
  <c r="L185" i="10"/>
  <c r="H187" i="14" s="1"/>
  <c r="K185" i="10"/>
  <c r="K186" i="14"/>
  <c r="A186" i="14"/>
  <c r="B186" i="14"/>
  <c r="C186" i="14"/>
  <c r="J186" i="2"/>
  <c r="K186" i="2"/>
  <c r="D178" i="13" s="1"/>
  <c r="A186" i="2"/>
  <c r="A178" i="13" s="1"/>
  <c r="B186" i="2"/>
  <c r="C186" i="2"/>
  <c r="M184" i="10"/>
  <c r="L184" i="10"/>
  <c r="K184" i="10"/>
  <c r="K185" i="14"/>
  <c r="A185" i="14"/>
  <c r="B185" i="14"/>
  <c r="C185" i="14"/>
  <c r="J185" i="2"/>
  <c r="K185" i="2"/>
  <c r="D177" i="13" s="1"/>
  <c r="A185" i="2"/>
  <c r="A177" i="13" s="1"/>
  <c r="B185" i="2"/>
  <c r="C185" i="2"/>
  <c r="M183" i="10"/>
  <c r="L183" i="10"/>
  <c r="H185" i="14" s="1"/>
  <c r="K183" i="10"/>
  <c r="F185" i="14" s="1"/>
  <c r="G185" i="14" s="1"/>
  <c r="K184" i="14"/>
  <c r="A184" i="14"/>
  <c r="B184" i="14"/>
  <c r="C184" i="14"/>
  <c r="J184" i="2"/>
  <c r="K184" i="2"/>
  <c r="D176" i="13" s="1"/>
  <c r="A184" i="2"/>
  <c r="A176" i="13" s="1"/>
  <c r="B184" i="2"/>
  <c r="C184" i="2"/>
  <c r="M182" i="10"/>
  <c r="L182" i="10"/>
  <c r="H184" i="2" s="1"/>
  <c r="I184" i="2" s="1"/>
  <c r="K182" i="10"/>
  <c r="F184" i="2" s="1"/>
  <c r="G184" i="2" s="1"/>
  <c r="B176" i="13" s="1"/>
  <c r="K183" i="14"/>
  <c r="A183" i="14"/>
  <c r="B183" i="14"/>
  <c r="C183" i="14"/>
  <c r="J183" i="2"/>
  <c r="K183" i="2"/>
  <c r="D175" i="13" s="1"/>
  <c r="A183" i="2"/>
  <c r="A175" i="13" s="1"/>
  <c r="B183" i="2"/>
  <c r="C183" i="2"/>
  <c r="M181" i="10"/>
  <c r="L181" i="10"/>
  <c r="K181" i="10"/>
  <c r="F183" i="2" s="1"/>
  <c r="G183" i="2" s="1"/>
  <c r="B175" i="13" s="1"/>
  <c r="K182" i="14"/>
  <c r="A182" i="14"/>
  <c r="B182" i="14"/>
  <c r="C182" i="14"/>
  <c r="J182" i="2"/>
  <c r="K182" i="2"/>
  <c r="D174" i="13" s="1"/>
  <c r="A182" i="2"/>
  <c r="A174" i="13" s="1"/>
  <c r="B182" i="2"/>
  <c r="C182" i="2"/>
  <c r="M180" i="10"/>
  <c r="L180" i="10"/>
  <c r="K180" i="10"/>
  <c r="K181" i="14"/>
  <c r="A181" i="14"/>
  <c r="B181" i="14"/>
  <c r="C181" i="14"/>
  <c r="J181" i="2"/>
  <c r="K181" i="2"/>
  <c r="D173" i="13" s="1"/>
  <c r="A181" i="2"/>
  <c r="A173" i="13" s="1"/>
  <c r="B181" i="2"/>
  <c r="C181" i="2"/>
  <c r="M179" i="10"/>
  <c r="L179" i="10"/>
  <c r="H181" i="2" s="1"/>
  <c r="I181" i="2" s="1"/>
  <c r="K179" i="10"/>
  <c r="F181" i="14" s="1"/>
  <c r="G181" i="14" s="1"/>
  <c r="K180" i="14"/>
  <c r="A180" i="14"/>
  <c r="B180" i="14"/>
  <c r="C180" i="14"/>
  <c r="J180" i="2"/>
  <c r="K180" i="2"/>
  <c r="D172" i="13" s="1"/>
  <c r="A180" i="2"/>
  <c r="A172" i="13" s="1"/>
  <c r="B180" i="2"/>
  <c r="C180" i="2"/>
  <c r="M178" i="10"/>
  <c r="L178" i="10"/>
  <c r="H180" i="2" s="1"/>
  <c r="I180" i="2" s="1"/>
  <c r="O180" i="14" s="1"/>
  <c r="I180" i="14" s="1"/>
  <c r="K178" i="10"/>
  <c r="F180" i="2" s="1"/>
  <c r="G180" i="2" s="1"/>
  <c r="B172" i="13" s="1"/>
  <c r="K179" i="14"/>
  <c r="A179" i="14"/>
  <c r="B179" i="14"/>
  <c r="C179" i="14"/>
  <c r="J179" i="2"/>
  <c r="K179" i="2"/>
  <c r="D171" i="13" s="1"/>
  <c r="A179" i="2"/>
  <c r="A171" i="13" s="1"/>
  <c r="B179" i="2"/>
  <c r="C179" i="2"/>
  <c r="M177" i="10"/>
  <c r="L177" i="10"/>
  <c r="H179" i="14" s="1"/>
  <c r="K177" i="10"/>
  <c r="F179" i="14" s="1"/>
  <c r="G179" i="14" s="1"/>
  <c r="K178" i="14"/>
  <c r="A178" i="14"/>
  <c r="B178" i="14"/>
  <c r="C178" i="14"/>
  <c r="J178" i="2"/>
  <c r="K178" i="2"/>
  <c r="D170" i="13" s="1"/>
  <c r="A178" i="2"/>
  <c r="A170" i="13" s="1"/>
  <c r="B178" i="2"/>
  <c r="C178" i="2"/>
  <c r="M176" i="10"/>
  <c r="L176" i="10"/>
  <c r="H178" i="2" s="1"/>
  <c r="I178" i="2" s="1"/>
  <c r="K176" i="10"/>
  <c r="F178" i="14" s="1"/>
  <c r="G178" i="14" s="1"/>
  <c r="K177" i="14"/>
  <c r="A177" i="14"/>
  <c r="B177" i="14"/>
  <c r="C177" i="14"/>
  <c r="J177" i="2"/>
  <c r="K177" i="2"/>
  <c r="D169" i="13" s="1"/>
  <c r="A177" i="2"/>
  <c r="A169" i="13" s="1"/>
  <c r="B177" i="2"/>
  <c r="C177" i="2"/>
  <c r="M175" i="10"/>
  <c r="L175" i="10"/>
  <c r="H177" i="2" s="1"/>
  <c r="I177" i="2" s="1"/>
  <c r="K175" i="10"/>
  <c r="F177" i="2" s="1"/>
  <c r="G177" i="2" s="1"/>
  <c r="B169" i="13" s="1"/>
  <c r="K176" i="14"/>
  <c r="A176" i="14"/>
  <c r="B176" i="14"/>
  <c r="C176" i="14"/>
  <c r="J176" i="2"/>
  <c r="K176" i="2"/>
  <c r="D168" i="13" s="1"/>
  <c r="A176" i="2"/>
  <c r="A168" i="13" s="1"/>
  <c r="B176" i="2"/>
  <c r="C176" i="2"/>
  <c r="M174" i="10"/>
  <c r="L174" i="10"/>
  <c r="H176" i="14" s="1"/>
  <c r="K174" i="10"/>
  <c r="F176" i="14" s="1"/>
  <c r="G176" i="14" s="1"/>
  <c r="K175" i="14"/>
  <c r="A175" i="14"/>
  <c r="B175" i="14"/>
  <c r="C175" i="14"/>
  <c r="J175" i="2"/>
  <c r="K175" i="2"/>
  <c r="D167" i="13" s="1"/>
  <c r="A175" i="2"/>
  <c r="A167" i="13" s="1"/>
  <c r="B175" i="2"/>
  <c r="C175" i="2"/>
  <c r="M173" i="10"/>
  <c r="L173" i="10"/>
  <c r="H175" i="2" s="1"/>
  <c r="I175" i="2" s="1"/>
  <c r="K173" i="10"/>
  <c r="F175" i="14" s="1"/>
  <c r="G175" i="14" s="1"/>
  <c r="K174" i="14"/>
  <c r="A174" i="14"/>
  <c r="B174" i="14"/>
  <c r="C174" i="14"/>
  <c r="J174" i="2"/>
  <c r="K174" i="2"/>
  <c r="D166" i="13" s="1"/>
  <c r="A174" i="2"/>
  <c r="A166" i="13" s="1"/>
  <c r="B174" i="2"/>
  <c r="C174" i="2"/>
  <c r="M172" i="10"/>
  <c r="L172" i="10"/>
  <c r="H174" i="2" s="1"/>
  <c r="I174" i="2" s="1"/>
  <c r="K172" i="10"/>
  <c r="F174" i="2" s="1"/>
  <c r="G174" i="2" s="1"/>
  <c r="B166" i="13" s="1"/>
  <c r="K173" i="14"/>
  <c r="A173" i="14"/>
  <c r="B173" i="14"/>
  <c r="C173" i="14"/>
  <c r="J173" i="2"/>
  <c r="K173" i="2"/>
  <c r="D165" i="13" s="1"/>
  <c r="A173" i="2"/>
  <c r="A165" i="13" s="1"/>
  <c r="B173" i="2"/>
  <c r="C173" i="2"/>
  <c r="M171" i="10"/>
  <c r="L171" i="10"/>
  <c r="H173" i="14" s="1"/>
  <c r="K171" i="10"/>
  <c r="F173" i="2" s="1"/>
  <c r="G173" i="2" s="1"/>
  <c r="B165" i="13" s="1"/>
  <c r="K172" i="14"/>
  <c r="A172" i="14"/>
  <c r="B172" i="14"/>
  <c r="C172" i="14"/>
  <c r="J172" i="2"/>
  <c r="K172" i="2"/>
  <c r="D164" i="13" s="1"/>
  <c r="A172" i="2"/>
  <c r="A164" i="13" s="1"/>
  <c r="B172" i="2"/>
  <c r="C172" i="2"/>
  <c r="M170" i="10"/>
  <c r="L170" i="10"/>
  <c r="H172" i="2" s="1"/>
  <c r="I172" i="2" s="1"/>
  <c r="K170" i="10"/>
  <c r="F172" i="2" s="1"/>
  <c r="G172" i="2" s="1"/>
  <c r="B164" i="13" s="1"/>
  <c r="K171" i="14"/>
  <c r="A171" i="14"/>
  <c r="B171" i="14"/>
  <c r="C171" i="14"/>
  <c r="J171" i="2"/>
  <c r="K171" i="2"/>
  <c r="D163" i="13" s="1"/>
  <c r="A171" i="2"/>
  <c r="A163" i="13" s="1"/>
  <c r="B171" i="2"/>
  <c r="C171" i="2"/>
  <c r="M169" i="10"/>
  <c r="L169" i="10"/>
  <c r="H171" i="2" s="1"/>
  <c r="I171" i="2" s="1"/>
  <c r="K169" i="10"/>
  <c r="F171" i="2" s="1"/>
  <c r="G171" i="2" s="1"/>
  <c r="B163" i="13" s="1"/>
  <c r="K170" i="14"/>
  <c r="A170" i="14"/>
  <c r="B170" i="14"/>
  <c r="C170" i="14"/>
  <c r="J170" i="2"/>
  <c r="K170" i="2"/>
  <c r="D162" i="13" s="1"/>
  <c r="A170" i="2"/>
  <c r="A162" i="13" s="1"/>
  <c r="B170" i="2"/>
  <c r="C170" i="2"/>
  <c r="M168" i="10"/>
  <c r="L168" i="10"/>
  <c r="H170" i="14" s="1"/>
  <c r="K168" i="10"/>
  <c r="K169" i="14"/>
  <c r="A169" i="14"/>
  <c r="B169" i="14"/>
  <c r="C169" i="14"/>
  <c r="J169" i="2"/>
  <c r="K169" i="2"/>
  <c r="D161" i="13" s="1"/>
  <c r="A169" i="2"/>
  <c r="A161" i="13" s="1"/>
  <c r="B169" i="2"/>
  <c r="C169" i="2"/>
  <c r="M167" i="10"/>
  <c r="L167" i="10"/>
  <c r="H169" i="2" s="1"/>
  <c r="I169" i="2" s="1"/>
  <c r="I161" i="13" s="1"/>
  <c r="C161" i="13" s="1"/>
  <c r="K167" i="10"/>
  <c r="K168" i="14"/>
  <c r="A168" i="14"/>
  <c r="B168" i="14"/>
  <c r="C168" i="14"/>
  <c r="J168" i="2"/>
  <c r="K168" i="2"/>
  <c r="D160" i="13" s="1"/>
  <c r="A168" i="2"/>
  <c r="A160" i="13" s="1"/>
  <c r="B168" i="2"/>
  <c r="C168" i="2"/>
  <c r="M166" i="10"/>
  <c r="L166" i="10"/>
  <c r="K166" i="10"/>
  <c r="K167" i="14"/>
  <c r="A167" i="14"/>
  <c r="B167" i="14"/>
  <c r="C167" i="14"/>
  <c r="J167" i="2"/>
  <c r="K167" i="2"/>
  <c r="D159" i="13" s="1"/>
  <c r="A167" i="2"/>
  <c r="A159" i="13" s="1"/>
  <c r="B167" i="2"/>
  <c r="C167" i="2"/>
  <c r="M165" i="10"/>
  <c r="L165" i="10"/>
  <c r="H167" i="2" s="1"/>
  <c r="I167" i="2" s="1"/>
  <c r="O167" i="14" s="1"/>
  <c r="I167" i="14" s="1"/>
  <c r="K165" i="10"/>
  <c r="K166" i="14"/>
  <c r="A166" i="14"/>
  <c r="B166" i="14"/>
  <c r="C166" i="14"/>
  <c r="J166" i="2"/>
  <c r="K166" i="2"/>
  <c r="D158" i="13" s="1"/>
  <c r="A166" i="2"/>
  <c r="A158" i="13" s="1"/>
  <c r="B166" i="2"/>
  <c r="C166" i="2"/>
  <c r="M164" i="10"/>
  <c r="L164" i="10"/>
  <c r="H166" i="14" s="1"/>
  <c r="K164" i="10"/>
  <c r="F166" i="14" s="1"/>
  <c r="G166" i="14" s="1"/>
  <c r="K165" i="14"/>
  <c r="A165" i="14"/>
  <c r="B165" i="14"/>
  <c r="C165" i="14"/>
  <c r="J165" i="2"/>
  <c r="K165" i="2"/>
  <c r="D157" i="13" s="1"/>
  <c r="A165" i="2"/>
  <c r="A157" i="13" s="1"/>
  <c r="B165" i="2"/>
  <c r="C165" i="2"/>
  <c r="M163" i="10"/>
  <c r="L163" i="10"/>
  <c r="K163" i="10"/>
  <c r="K164" i="14"/>
  <c r="A164" i="14"/>
  <c r="B164" i="14"/>
  <c r="C164" i="14"/>
  <c r="J164" i="2"/>
  <c r="K164" i="2"/>
  <c r="D156" i="13" s="1"/>
  <c r="A164" i="2"/>
  <c r="A156" i="13" s="1"/>
  <c r="B164" i="2"/>
  <c r="C164" i="2"/>
  <c r="M162" i="10"/>
  <c r="L162" i="10"/>
  <c r="K162" i="10"/>
  <c r="F164" i="14" s="1"/>
  <c r="G164" i="14" s="1"/>
  <c r="K163" i="14"/>
  <c r="A163" i="14"/>
  <c r="B163" i="14"/>
  <c r="C163" i="14"/>
  <c r="J163" i="2"/>
  <c r="K163" i="2"/>
  <c r="D155" i="13" s="1"/>
  <c r="A163" i="2"/>
  <c r="A155" i="13" s="1"/>
  <c r="B163" i="2"/>
  <c r="C163" i="2"/>
  <c r="M161" i="10"/>
  <c r="L161" i="10"/>
  <c r="H163" i="14" s="1"/>
  <c r="K161" i="10"/>
  <c r="F163" i="14" s="1"/>
  <c r="G163" i="14" s="1"/>
  <c r="K162" i="14"/>
  <c r="A162" i="14"/>
  <c r="B162" i="14"/>
  <c r="C162" i="14"/>
  <c r="J162" i="2"/>
  <c r="K162" i="2"/>
  <c r="D154" i="13" s="1"/>
  <c r="A162" i="2"/>
  <c r="A154" i="13" s="1"/>
  <c r="B162" i="2"/>
  <c r="C162" i="2"/>
  <c r="M160" i="10"/>
  <c r="L160" i="10"/>
  <c r="H162" i="2" s="1"/>
  <c r="I162" i="2" s="1"/>
  <c r="I154" i="13" s="1"/>
  <c r="C154" i="13" s="1"/>
  <c r="K160" i="10"/>
  <c r="F162" i="2" s="1"/>
  <c r="G162" i="2" s="1"/>
  <c r="B154" i="13" s="1"/>
  <c r="K161" i="14"/>
  <c r="A161" i="14"/>
  <c r="B161" i="14"/>
  <c r="C161" i="14"/>
  <c r="J161" i="2"/>
  <c r="K161" i="2"/>
  <c r="D153" i="13" s="1"/>
  <c r="A161" i="2"/>
  <c r="A153" i="13" s="1"/>
  <c r="B161" i="2"/>
  <c r="C161" i="2"/>
  <c r="M159" i="10"/>
  <c r="L159" i="10"/>
  <c r="H161" i="14" s="1"/>
  <c r="K159" i="10"/>
  <c r="F161" i="2" s="1"/>
  <c r="G161" i="2" s="1"/>
  <c r="B153" i="13" s="1"/>
  <c r="K160" i="14"/>
  <c r="A160" i="14"/>
  <c r="B160" i="14"/>
  <c r="C160" i="14"/>
  <c r="J160" i="2"/>
  <c r="K160" i="2"/>
  <c r="D152" i="13" s="1"/>
  <c r="A160" i="2"/>
  <c r="A152" i="13" s="1"/>
  <c r="B160" i="2"/>
  <c r="C160" i="2"/>
  <c r="M158" i="10"/>
  <c r="L158" i="10"/>
  <c r="H160" i="2" s="1"/>
  <c r="I160" i="2" s="1"/>
  <c r="K158" i="10"/>
  <c r="F160" i="2" s="1"/>
  <c r="G160" i="2" s="1"/>
  <c r="B152" i="13" s="1"/>
  <c r="K159" i="14"/>
  <c r="A159" i="14"/>
  <c r="B159" i="14"/>
  <c r="C159" i="14"/>
  <c r="J159" i="2"/>
  <c r="K159" i="2"/>
  <c r="D151" i="13" s="1"/>
  <c r="A159" i="2"/>
  <c r="A151" i="13" s="1"/>
  <c r="B159" i="2"/>
  <c r="C159" i="2"/>
  <c r="M157" i="10"/>
  <c r="L157" i="10"/>
  <c r="H159" i="14" s="1"/>
  <c r="K157" i="10"/>
  <c r="F159" i="14" s="1"/>
  <c r="G159" i="14" s="1"/>
  <c r="K158" i="14"/>
  <c r="A158" i="14"/>
  <c r="B158" i="14"/>
  <c r="C158" i="14"/>
  <c r="J158" i="2"/>
  <c r="K158" i="2"/>
  <c r="D150" i="13" s="1"/>
  <c r="A158" i="2"/>
  <c r="A150" i="13" s="1"/>
  <c r="B158" i="2"/>
  <c r="C158" i="2"/>
  <c r="M156" i="10"/>
  <c r="L156" i="10"/>
  <c r="H158" i="2" s="1"/>
  <c r="I158" i="2" s="1"/>
  <c r="K156" i="10"/>
  <c r="F158" i="2" s="1"/>
  <c r="G158" i="2" s="1"/>
  <c r="B150" i="13" s="1"/>
  <c r="K157" i="14"/>
  <c r="A157" i="14"/>
  <c r="B157" i="14"/>
  <c r="C157" i="14"/>
  <c r="J157" i="2"/>
  <c r="K157" i="2"/>
  <c r="D149" i="13" s="1"/>
  <c r="A157" i="2"/>
  <c r="A149" i="13" s="1"/>
  <c r="B157" i="2"/>
  <c r="C157" i="2"/>
  <c r="M155" i="10"/>
  <c r="L155" i="10"/>
  <c r="H157" i="2" s="1"/>
  <c r="I157" i="2" s="1"/>
  <c r="O157" i="14" s="1"/>
  <c r="I157" i="14" s="1"/>
  <c r="K155" i="10"/>
  <c r="F157" i="2" s="1"/>
  <c r="G157" i="2" s="1"/>
  <c r="B149" i="13" s="1"/>
  <c r="K156" i="14"/>
  <c r="A156" i="14"/>
  <c r="B156" i="14"/>
  <c r="C156" i="14"/>
  <c r="J156" i="2"/>
  <c r="K156" i="2"/>
  <c r="D148" i="13" s="1"/>
  <c r="A156" i="2"/>
  <c r="A148" i="13" s="1"/>
  <c r="B156" i="2"/>
  <c r="C156" i="2"/>
  <c r="M154" i="10"/>
  <c r="L154" i="10"/>
  <c r="H156" i="14" s="1"/>
  <c r="K154" i="10"/>
  <c r="F156" i="2" s="1"/>
  <c r="G156" i="2" s="1"/>
  <c r="B148" i="13" s="1"/>
  <c r="K155" i="14"/>
  <c r="A155" i="14"/>
  <c r="B155" i="14"/>
  <c r="C155" i="14"/>
  <c r="J155" i="2"/>
  <c r="K155" i="2"/>
  <c r="D147" i="13" s="1"/>
  <c r="A155" i="2"/>
  <c r="A147" i="13" s="1"/>
  <c r="B155" i="2"/>
  <c r="C155" i="2"/>
  <c r="M153" i="10"/>
  <c r="L153" i="10"/>
  <c r="H155" i="14" s="1"/>
  <c r="K153" i="10"/>
  <c r="F155" i="14" s="1"/>
  <c r="G155" i="14" s="1"/>
  <c r="K154" i="14"/>
  <c r="A154" i="14"/>
  <c r="B154" i="14"/>
  <c r="C154" i="14"/>
  <c r="J154" i="2"/>
  <c r="K154" i="2"/>
  <c r="D146" i="13" s="1"/>
  <c r="A154" i="2"/>
  <c r="A146" i="13" s="1"/>
  <c r="B154" i="2"/>
  <c r="C154" i="2"/>
  <c r="M152" i="10"/>
  <c r="L152" i="10"/>
  <c r="K152" i="10"/>
  <c r="F154" i="2" s="1"/>
  <c r="G154" i="2" s="1"/>
  <c r="B146" i="13" s="1"/>
  <c r="K153" i="14"/>
  <c r="A153" i="14"/>
  <c r="B153" i="14"/>
  <c r="C153" i="14"/>
  <c r="J153" i="2"/>
  <c r="K153" i="2"/>
  <c r="D145" i="13" s="1"/>
  <c r="A153" i="2"/>
  <c r="A145" i="13" s="1"/>
  <c r="B153" i="2"/>
  <c r="C153" i="2"/>
  <c r="M151" i="10"/>
  <c r="L151" i="10"/>
  <c r="H153" i="14" s="1"/>
  <c r="K151" i="10"/>
  <c r="K152" i="14"/>
  <c r="A152" i="14"/>
  <c r="B152" i="14"/>
  <c r="C152" i="14"/>
  <c r="J152" i="2"/>
  <c r="K152" i="2"/>
  <c r="D144" i="13" s="1"/>
  <c r="A152" i="2"/>
  <c r="A144" i="13" s="1"/>
  <c r="B152" i="2"/>
  <c r="C152" i="2"/>
  <c r="M150" i="10"/>
  <c r="L150" i="10"/>
  <c r="H152" i="14" s="1"/>
  <c r="K150" i="10"/>
  <c r="K151" i="14"/>
  <c r="A151" i="14"/>
  <c r="B151" i="14"/>
  <c r="C151" i="14"/>
  <c r="J151" i="2"/>
  <c r="K151" i="2"/>
  <c r="D143" i="13" s="1"/>
  <c r="A151" i="2"/>
  <c r="A143" i="13" s="1"/>
  <c r="B151" i="2"/>
  <c r="C151" i="2"/>
  <c r="M149" i="10"/>
  <c r="L149" i="10"/>
  <c r="H151" i="14" s="1"/>
  <c r="K149" i="10"/>
  <c r="F151" i="14" s="1"/>
  <c r="G151" i="14" s="1"/>
  <c r="K150" i="14"/>
  <c r="A150" i="14"/>
  <c r="B150" i="14"/>
  <c r="C150" i="14"/>
  <c r="J150" i="2"/>
  <c r="K150" i="2"/>
  <c r="D142" i="13" s="1"/>
  <c r="A150" i="2"/>
  <c r="A142" i="13" s="1"/>
  <c r="B150" i="2"/>
  <c r="C150" i="2"/>
  <c r="M148" i="10"/>
  <c r="L148" i="10"/>
  <c r="H150" i="2" s="1"/>
  <c r="I150" i="2" s="1"/>
  <c r="K148" i="10"/>
  <c r="F150" i="2" s="1"/>
  <c r="G150" i="2" s="1"/>
  <c r="B142" i="13" s="1"/>
  <c r="K149" i="14"/>
  <c r="A149" i="14"/>
  <c r="B149" i="14"/>
  <c r="C149" i="14"/>
  <c r="J149" i="2"/>
  <c r="K149" i="2"/>
  <c r="D141" i="13" s="1"/>
  <c r="A149" i="2"/>
  <c r="A141" i="13" s="1"/>
  <c r="B149" i="2"/>
  <c r="C149" i="2"/>
  <c r="M147" i="10"/>
  <c r="L147" i="10"/>
  <c r="H149" i="14" s="1"/>
  <c r="K147" i="10"/>
  <c r="F149" i="2" s="1"/>
  <c r="G149" i="2" s="1"/>
  <c r="B141" i="13" s="1"/>
  <c r="K148" i="14"/>
  <c r="A148" i="14"/>
  <c r="B148" i="14"/>
  <c r="C148" i="14"/>
  <c r="J148" i="2"/>
  <c r="K148" i="2"/>
  <c r="D140" i="13" s="1"/>
  <c r="A148" i="2"/>
  <c r="A140" i="13" s="1"/>
  <c r="B148" i="2"/>
  <c r="C148" i="2"/>
  <c r="M146" i="10"/>
  <c r="L146" i="10"/>
  <c r="H148" i="2" s="1"/>
  <c r="I148" i="2" s="1"/>
  <c r="K146" i="10"/>
  <c r="F148" i="2" s="1"/>
  <c r="G148" i="2" s="1"/>
  <c r="B140" i="13" s="1"/>
  <c r="K147" i="14"/>
  <c r="A147" i="14"/>
  <c r="B147" i="14"/>
  <c r="C147" i="14"/>
  <c r="J147" i="2"/>
  <c r="K147" i="2"/>
  <c r="D139" i="13" s="1"/>
  <c r="A147" i="2"/>
  <c r="A139" i="13" s="1"/>
  <c r="B147" i="2"/>
  <c r="C147" i="2"/>
  <c r="M145" i="10"/>
  <c r="L145" i="10"/>
  <c r="H147" i="2" s="1"/>
  <c r="I147" i="2" s="1"/>
  <c r="K145" i="10"/>
  <c r="F147" i="14" s="1"/>
  <c r="G147" i="14" s="1"/>
  <c r="K146" i="14"/>
  <c r="A146" i="14"/>
  <c r="B146" i="14"/>
  <c r="C146" i="14"/>
  <c r="J146" i="2"/>
  <c r="K146" i="2"/>
  <c r="D138" i="13" s="1"/>
  <c r="A146" i="2"/>
  <c r="A138" i="13" s="1"/>
  <c r="B146" i="2"/>
  <c r="C146" i="2"/>
  <c r="M144" i="10"/>
  <c r="L144" i="10"/>
  <c r="H146" i="14" s="1"/>
  <c r="K144" i="10"/>
  <c r="K145" i="14"/>
  <c r="A145" i="14"/>
  <c r="B145" i="14"/>
  <c r="C145" i="14"/>
  <c r="J145" i="2"/>
  <c r="K145" i="2"/>
  <c r="D137" i="13" s="1"/>
  <c r="A145" i="2"/>
  <c r="A137" i="13" s="1"/>
  <c r="B145" i="2"/>
  <c r="C145" i="2"/>
  <c r="M143" i="10"/>
  <c r="L143" i="10"/>
  <c r="H145" i="14" s="1"/>
  <c r="K143" i="10"/>
  <c r="F145" i="2" s="1"/>
  <c r="G145" i="2" s="1"/>
  <c r="B137" i="13" s="1"/>
  <c r="K144" i="14"/>
  <c r="A144" i="14"/>
  <c r="B144" i="14"/>
  <c r="C144" i="14"/>
  <c r="J144" i="2"/>
  <c r="K144" i="2"/>
  <c r="D136" i="13" s="1"/>
  <c r="A144" i="2"/>
  <c r="A136" i="13" s="1"/>
  <c r="B144" i="2"/>
  <c r="C144" i="2"/>
  <c r="M142" i="10"/>
  <c r="L142" i="10"/>
  <c r="H144" i="2" s="1"/>
  <c r="I144" i="2" s="1"/>
  <c r="K142" i="10"/>
  <c r="F144" i="14" s="1"/>
  <c r="G144" i="14" s="1"/>
  <c r="K143" i="14"/>
  <c r="A143" i="14"/>
  <c r="B143" i="14"/>
  <c r="C143" i="14"/>
  <c r="J143" i="2"/>
  <c r="K143" i="2"/>
  <c r="D135" i="13" s="1"/>
  <c r="A143" i="2"/>
  <c r="A135" i="13" s="1"/>
  <c r="B143" i="2"/>
  <c r="C143" i="2"/>
  <c r="M141" i="10"/>
  <c r="L141" i="10"/>
  <c r="H143" i="2" s="1"/>
  <c r="I143" i="2" s="1"/>
  <c r="I135" i="13" s="1"/>
  <c r="C135" i="13" s="1"/>
  <c r="K141" i="10"/>
  <c r="F143" i="14" s="1"/>
  <c r="G143" i="14" s="1"/>
  <c r="K142" i="14"/>
  <c r="A142" i="14"/>
  <c r="B142" i="14"/>
  <c r="C142" i="14"/>
  <c r="J142" i="2"/>
  <c r="K142" i="2"/>
  <c r="D134" i="13" s="1"/>
  <c r="A142" i="2"/>
  <c r="A134" i="13" s="1"/>
  <c r="B142" i="2"/>
  <c r="C142" i="2"/>
  <c r="M140" i="10"/>
  <c r="L140" i="10"/>
  <c r="H142" i="14" s="1"/>
  <c r="K140" i="10"/>
  <c r="K141" i="14"/>
  <c r="A141" i="14"/>
  <c r="B141" i="14"/>
  <c r="C141" i="14"/>
  <c r="J141" i="2"/>
  <c r="K141" i="2"/>
  <c r="D133" i="13" s="1"/>
  <c r="A141" i="2"/>
  <c r="A133" i="13" s="1"/>
  <c r="B141" i="2"/>
  <c r="C141" i="2"/>
  <c r="M139" i="10"/>
  <c r="L139" i="10"/>
  <c r="H141" i="14" s="1"/>
  <c r="K139" i="10"/>
  <c r="F141" i="14" s="1"/>
  <c r="G141" i="14" s="1"/>
  <c r="K140" i="14"/>
  <c r="A140" i="14"/>
  <c r="B140" i="14"/>
  <c r="C140" i="14"/>
  <c r="J140" i="2"/>
  <c r="K140" i="2"/>
  <c r="D132" i="13" s="1"/>
  <c r="A140" i="2"/>
  <c r="A132" i="13" s="1"/>
  <c r="B140" i="2"/>
  <c r="C140" i="2"/>
  <c r="M138" i="10"/>
  <c r="L138" i="10"/>
  <c r="H140" i="14" s="1"/>
  <c r="K138" i="10"/>
  <c r="K139" i="14"/>
  <c r="A139" i="14"/>
  <c r="B139" i="14"/>
  <c r="C139" i="14"/>
  <c r="J139" i="2"/>
  <c r="K139" i="2"/>
  <c r="D131" i="13" s="1"/>
  <c r="A139" i="2"/>
  <c r="A131" i="13" s="1"/>
  <c r="B139" i="2"/>
  <c r="C139" i="2"/>
  <c r="M137" i="10"/>
  <c r="L137" i="10"/>
  <c r="H139" i="14" s="1"/>
  <c r="K137" i="10"/>
  <c r="F139" i="14" s="1"/>
  <c r="G139" i="14" s="1"/>
  <c r="K138" i="14"/>
  <c r="A138" i="14"/>
  <c r="B138" i="14"/>
  <c r="C138" i="14"/>
  <c r="J138" i="2"/>
  <c r="K138" i="2"/>
  <c r="D130" i="13" s="1"/>
  <c r="A138" i="2"/>
  <c r="A130" i="13" s="1"/>
  <c r="B138" i="2"/>
  <c r="C138" i="2"/>
  <c r="M136" i="10"/>
  <c r="L136" i="10"/>
  <c r="H138" i="14" s="1"/>
  <c r="K136" i="10"/>
  <c r="F138" i="2" s="1"/>
  <c r="G138" i="2" s="1"/>
  <c r="B130" i="13" s="1"/>
  <c r="K137" i="14"/>
  <c r="A137" i="14"/>
  <c r="B137" i="14"/>
  <c r="C137" i="14"/>
  <c r="J137" i="2"/>
  <c r="K137" i="2"/>
  <c r="D129" i="13" s="1"/>
  <c r="A137" i="2"/>
  <c r="A129" i="13" s="1"/>
  <c r="B137" i="2"/>
  <c r="C137" i="2"/>
  <c r="M135" i="10"/>
  <c r="L135" i="10"/>
  <c r="H137" i="14" s="1"/>
  <c r="K135" i="10"/>
  <c r="F137" i="2" s="1"/>
  <c r="G137" i="2" s="1"/>
  <c r="B129" i="13" s="1"/>
  <c r="K136" i="14"/>
  <c r="A136" i="14"/>
  <c r="B136" i="14"/>
  <c r="C136" i="14"/>
  <c r="J136" i="2"/>
  <c r="K136" i="2"/>
  <c r="D128" i="13" s="1"/>
  <c r="A136" i="2"/>
  <c r="A128" i="13" s="1"/>
  <c r="B136" i="2"/>
  <c r="C136" i="2"/>
  <c r="M134" i="10"/>
  <c r="L134" i="10"/>
  <c r="K134" i="10"/>
  <c r="K135" i="14"/>
  <c r="A135" i="14"/>
  <c r="B135" i="14"/>
  <c r="C135" i="14"/>
  <c r="J135" i="2"/>
  <c r="K135" i="2"/>
  <c r="D127" i="13" s="1"/>
  <c r="A135" i="2"/>
  <c r="A127" i="13" s="1"/>
  <c r="B135" i="2"/>
  <c r="C135" i="2"/>
  <c r="M133" i="10"/>
  <c r="L133" i="10"/>
  <c r="H135" i="2" s="1"/>
  <c r="I135" i="2" s="1"/>
  <c r="K133" i="10"/>
  <c r="F135" i="2" s="1"/>
  <c r="G135" i="2" s="1"/>
  <c r="B127" i="13" s="1"/>
  <c r="K134" i="14"/>
  <c r="A134" i="14"/>
  <c r="B134" i="14"/>
  <c r="C134" i="14"/>
  <c r="J134" i="2"/>
  <c r="K134" i="2"/>
  <c r="D126" i="13" s="1"/>
  <c r="A134" i="2"/>
  <c r="A126" i="13" s="1"/>
  <c r="B134" i="2"/>
  <c r="C134" i="2"/>
  <c r="M132" i="10"/>
  <c r="L132" i="10"/>
  <c r="K132" i="10"/>
  <c r="F134" i="2" s="1"/>
  <c r="G134" i="2" s="1"/>
  <c r="B126" i="13" s="1"/>
  <c r="K133" i="14"/>
  <c r="A133" i="14"/>
  <c r="B133" i="14"/>
  <c r="C133" i="14"/>
  <c r="J133" i="2"/>
  <c r="K133" i="2"/>
  <c r="D125" i="13" s="1"/>
  <c r="A133" i="2"/>
  <c r="A125" i="13" s="1"/>
  <c r="B133" i="2"/>
  <c r="C133" i="2"/>
  <c r="M131" i="10"/>
  <c r="L131" i="10"/>
  <c r="K131" i="10"/>
  <c r="K132" i="14"/>
  <c r="A132" i="14"/>
  <c r="B132" i="14"/>
  <c r="C132" i="14"/>
  <c r="J132" i="2"/>
  <c r="K132" i="2"/>
  <c r="D124" i="13" s="1"/>
  <c r="A132" i="2"/>
  <c r="A124" i="13" s="1"/>
  <c r="B132" i="2"/>
  <c r="C132" i="2"/>
  <c r="M130" i="10"/>
  <c r="L130" i="10"/>
  <c r="H132" i="2" s="1"/>
  <c r="I132" i="2" s="1"/>
  <c r="K130" i="10"/>
  <c r="F132" i="14" s="1"/>
  <c r="G132" i="14" s="1"/>
  <c r="K131" i="14"/>
  <c r="A131" i="14"/>
  <c r="B131" i="14"/>
  <c r="C131" i="14"/>
  <c r="J131" i="2"/>
  <c r="K131" i="2"/>
  <c r="D123" i="13" s="1"/>
  <c r="A131" i="2"/>
  <c r="A123" i="13" s="1"/>
  <c r="B131" i="2"/>
  <c r="C131" i="2"/>
  <c r="M129" i="10"/>
  <c r="L129" i="10"/>
  <c r="H131" i="14" s="1"/>
  <c r="K129" i="10"/>
  <c r="F131" i="14" s="1"/>
  <c r="G131" i="14" s="1"/>
  <c r="K130" i="14"/>
  <c r="A130" i="14"/>
  <c r="B130" i="14"/>
  <c r="C130" i="14"/>
  <c r="J130" i="2"/>
  <c r="K130" i="2"/>
  <c r="D122" i="13" s="1"/>
  <c r="A130" i="2"/>
  <c r="A122" i="13" s="1"/>
  <c r="B130" i="2"/>
  <c r="C130" i="2"/>
  <c r="M128" i="10"/>
  <c r="L128" i="10"/>
  <c r="K128" i="10"/>
  <c r="K129" i="14"/>
  <c r="A129" i="14"/>
  <c r="B129" i="14"/>
  <c r="C129" i="14"/>
  <c r="J129" i="2"/>
  <c r="K129" i="2"/>
  <c r="D121" i="13" s="1"/>
  <c r="A129" i="2"/>
  <c r="A121" i="13" s="1"/>
  <c r="B129" i="2"/>
  <c r="C129" i="2"/>
  <c r="M127" i="10"/>
  <c r="L127" i="10"/>
  <c r="H129" i="2" s="1"/>
  <c r="I129" i="2" s="1"/>
  <c r="K127" i="10"/>
  <c r="F129" i="14" s="1"/>
  <c r="G129" i="14" s="1"/>
  <c r="K128" i="14"/>
  <c r="A128" i="14"/>
  <c r="B128" i="14"/>
  <c r="C128" i="14"/>
  <c r="J128" i="2"/>
  <c r="K128" i="2"/>
  <c r="D120" i="13" s="1"/>
  <c r="A128" i="2"/>
  <c r="A120" i="13" s="1"/>
  <c r="B128" i="2"/>
  <c r="C128" i="2"/>
  <c r="M126" i="10"/>
  <c r="L126" i="10"/>
  <c r="H128" i="2" s="1"/>
  <c r="I128" i="2" s="1"/>
  <c r="K126" i="10"/>
  <c r="F128" i="14" s="1"/>
  <c r="G128" i="14" s="1"/>
  <c r="K127" i="14"/>
  <c r="A127" i="14"/>
  <c r="B127" i="14"/>
  <c r="C127" i="14"/>
  <c r="J127" i="2"/>
  <c r="K127" i="2"/>
  <c r="D119" i="13" s="1"/>
  <c r="A127" i="2"/>
  <c r="A119" i="13" s="1"/>
  <c r="B127" i="2"/>
  <c r="C127" i="2"/>
  <c r="M125" i="10"/>
  <c r="L125" i="10"/>
  <c r="H127" i="2" s="1"/>
  <c r="I127" i="2" s="1"/>
  <c r="K125" i="10"/>
  <c r="F127" i="2" s="1"/>
  <c r="G127" i="2" s="1"/>
  <c r="B119" i="13" s="1"/>
  <c r="K126" i="14"/>
  <c r="A126" i="14"/>
  <c r="B126" i="14"/>
  <c r="C126" i="14"/>
  <c r="J126" i="2"/>
  <c r="K126" i="2"/>
  <c r="D118" i="13" s="1"/>
  <c r="A126" i="2"/>
  <c r="A118" i="13" s="1"/>
  <c r="B126" i="2"/>
  <c r="C126" i="2"/>
  <c r="M124" i="10"/>
  <c r="L124" i="10"/>
  <c r="K124" i="10"/>
  <c r="K125" i="14"/>
  <c r="A125" i="14"/>
  <c r="B125" i="14"/>
  <c r="C125" i="14"/>
  <c r="J125" i="2"/>
  <c r="K125" i="2"/>
  <c r="D117" i="13" s="1"/>
  <c r="A125" i="2"/>
  <c r="A117" i="13" s="1"/>
  <c r="B125" i="2"/>
  <c r="C125" i="2"/>
  <c r="M123" i="10"/>
  <c r="L123" i="10"/>
  <c r="H125" i="2" s="1"/>
  <c r="I125" i="2" s="1"/>
  <c r="O125" i="14" s="1"/>
  <c r="I125" i="14" s="1"/>
  <c r="K123" i="10"/>
  <c r="F125" i="14" s="1"/>
  <c r="G125" i="14" s="1"/>
  <c r="K124" i="14"/>
  <c r="A124" i="14"/>
  <c r="B124" i="14"/>
  <c r="C124" i="14"/>
  <c r="J124" i="2"/>
  <c r="K124" i="2"/>
  <c r="D116" i="13" s="1"/>
  <c r="A124" i="2"/>
  <c r="A116" i="13" s="1"/>
  <c r="B124" i="2"/>
  <c r="C124" i="2"/>
  <c r="M122" i="10"/>
  <c r="L122" i="10"/>
  <c r="H124" i="14" s="1"/>
  <c r="K122" i="10"/>
  <c r="F124" i="2" s="1"/>
  <c r="G124" i="2" s="1"/>
  <c r="B116" i="13" s="1"/>
  <c r="K123" i="14"/>
  <c r="A123" i="14"/>
  <c r="B123" i="14"/>
  <c r="C123" i="14"/>
  <c r="J123" i="2"/>
  <c r="K123" i="2"/>
  <c r="D115" i="13" s="1"/>
  <c r="A123" i="2"/>
  <c r="A115" i="13" s="1"/>
  <c r="B123" i="2"/>
  <c r="C123" i="2"/>
  <c r="M121" i="10"/>
  <c r="L121" i="10"/>
  <c r="H123" i="2" s="1"/>
  <c r="I123" i="2" s="1"/>
  <c r="O123" i="14" s="1"/>
  <c r="I123" i="14" s="1"/>
  <c r="K121" i="10"/>
  <c r="F123" i="14" s="1"/>
  <c r="G123" i="14" s="1"/>
  <c r="K122" i="14"/>
  <c r="A122" i="14"/>
  <c r="B122" i="14"/>
  <c r="C122" i="14"/>
  <c r="J122" i="2"/>
  <c r="K122" i="2"/>
  <c r="D114" i="13" s="1"/>
  <c r="A122" i="2"/>
  <c r="A114" i="13" s="1"/>
  <c r="B122" i="2"/>
  <c r="C122" i="2"/>
  <c r="M120" i="10"/>
  <c r="L120" i="10"/>
  <c r="H122" i="14" s="1"/>
  <c r="K120" i="10"/>
  <c r="F122" i="2" s="1"/>
  <c r="G122" i="2" s="1"/>
  <c r="B114" i="13" s="1"/>
  <c r="K121" i="14"/>
  <c r="A121" i="14"/>
  <c r="B121" i="14"/>
  <c r="C121" i="14"/>
  <c r="J121" i="2"/>
  <c r="K121" i="2"/>
  <c r="D113" i="13" s="1"/>
  <c r="A121" i="2"/>
  <c r="A113" i="13" s="1"/>
  <c r="B121" i="2"/>
  <c r="C121" i="2"/>
  <c r="M119" i="10"/>
  <c r="L119" i="10"/>
  <c r="H121" i="14" s="1"/>
  <c r="K119" i="10"/>
  <c r="F121" i="14" s="1"/>
  <c r="G121" i="14" s="1"/>
  <c r="K120" i="14"/>
  <c r="A120" i="14"/>
  <c r="B120" i="14"/>
  <c r="C120" i="14"/>
  <c r="J120" i="2"/>
  <c r="K120" i="2"/>
  <c r="D112" i="13" s="1"/>
  <c r="A120" i="2"/>
  <c r="A112" i="13" s="1"/>
  <c r="B120" i="2"/>
  <c r="C120" i="2"/>
  <c r="M118" i="10"/>
  <c r="L118" i="10"/>
  <c r="H120" i="2" s="1"/>
  <c r="I120" i="2" s="1"/>
  <c r="K118" i="10"/>
  <c r="K119" i="14"/>
  <c r="A119" i="14"/>
  <c r="B119" i="14"/>
  <c r="C119" i="14"/>
  <c r="J119" i="2"/>
  <c r="K119" i="2"/>
  <c r="D111" i="13" s="1"/>
  <c r="A119" i="2"/>
  <c r="A111" i="13" s="1"/>
  <c r="B119" i="2"/>
  <c r="C119" i="2"/>
  <c r="M117" i="10"/>
  <c r="L117" i="10"/>
  <c r="K117" i="10"/>
  <c r="F119" i="2" s="1"/>
  <c r="G119" i="2" s="1"/>
  <c r="B111" i="13" s="1"/>
  <c r="K118" i="14"/>
  <c r="A118" i="14"/>
  <c r="B118" i="14"/>
  <c r="C118" i="14"/>
  <c r="J118" i="2"/>
  <c r="K118" i="2"/>
  <c r="D110" i="13" s="1"/>
  <c r="A118" i="2"/>
  <c r="A110" i="13" s="1"/>
  <c r="B118" i="2"/>
  <c r="C118" i="2"/>
  <c r="M116" i="10"/>
  <c r="L116" i="10"/>
  <c r="H118" i="2" s="1"/>
  <c r="I118" i="2" s="1"/>
  <c r="O118" i="14" s="1"/>
  <c r="I118" i="14" s="1"/>
  <c r="K116" i="10"/>
  <c r="F118" i="2" s="1"/>
  <c r="G118" i="2" s="1"/>
  <c r="B110" i="13" s="1"/>
  <c r="K117" i="14"/>
  <c r="A117" i="14"/>
  <c r="B117" i="14"/>
  <c r="C117" i="14"/>
  <c r="J117" i="2"/>
  <c r="K117" i="2"/>
  <c r="D109" i="13" s="1"/>
  <c r="A117" i="2"/>
  <c r="A109" i="13" s="1"/>
  <c r="B117" i="2"/>
  <c r="C117" i="2"/>
  <c r="M115" i="10"/>
  <c r="L115" i="10"/>
  <c r="H117" i="14" s="1"/>
  <c r="K115" i="10"/>
  <c r="K116" i="14"/>
  <c r="A116" i="14"/>
  <c r="B116" i="14"/>
  <c r="C116" i="14"/>
  <c r="J116" i="2"/>
  <c r="K116" i="2"/>
  <c r="D108" i="13" s="1"/>
  <c r="A116" i="2"/>
  <c r="A108" i="13" s="1"/>
  <c r="B116" i="2"/>
  <c r="C116" i="2"/>
  <c r="M114" i="10"/>
  <c r="L114" i="10"/>
  <c r="H116" i="14" s="1"/>
  <c r="K114" i="10"/>
  <c r="F116" i="2" s="1"/>
  <c r="G116" i="2" s="1"/>
  <c r="B108" i="13" s="1"/>
  <c r="K115" i="14"/>
  <c r="A115" i="14"/>
  <c r="B115" i="14"/>
  <c r="C115" i="14"/>
  <c r="J115" i="2"/>
  <c r="K115" i="2"/>
  <c r="D107" i="13" s="1"/>
  <c r="A115" i="2"/>
  <c r="A107" i="13" s="1"/>
  <c r="B115" i="2"/>
  <c r="C115" i="2"/>
  <c r="M113" i="10"/>
  <c r="L113" i="10"/>
  <c r="H115" i="2" s="1"/>
  <c r="I115" i="2" s="1"/>
  <c r="O115" i="14" s="1"/>
  <c r="I115" i="14" s="1"/>
  <c r="K113" i="10"/>
  <c r="K114" i="14"/>
  <c r="A114" i="14"/>
  <c r="B114" i="14"/>
  <c r="C114" i="14"/>
  <c r="J114" i="2"/>
  <c r="K114" i="2"/>
  <c r="D106" i="13" s="1"/>
  <c r="A114" i="2"/>
  <c r="A106" i="13" s="1"/>
  <c r="B114" i="2"/>
  <c r="C114" i="2"/>
  <c r="M112" i="10"/>
  <c r="L112" i="10"/>
  <c r="K112" i="10"/>
  <c r="F114" i="14" s="1"/>
  <c r="G114" i="14" s="1"/>
  <c r="K113" i="14"/>
  <c r="A113" i="14"/>
  <c r="B113" i="14"/>
  <c r="C113" i="14"/>
  <c r="J113" i="2"/>
  <c r="K113" i="2"/>
  <c r="D105" i="13" s="1"/>
  <c r="A113" i="2"/>
  <c r="A105" i="13" s="1"/>
  <c r="B113" i="2"/>
  <c r="C113" i="2"/>
  <c r="M111" i="10"/>
  <c r="L111" i="10"/>
  <c r="H113" i="2" s="1"/>
  <c r="I113" i="2" s="1"/>
  <c r="I105" i="13" s="1"/>
  <c r="C105" i="13" s="1"/>
  <c r="K111" i="10"/>
  <c r="F113" i="14" s="1"/>
  <c r="G113" i="14" s="1"/>
  <c r="K112" i="14"/>
  <c r="A112" i="14"/>
  <c r="B112" i="14"/>
  <c r="C112" i="14"/>
  <c r="J112" i="2"/>
  <c r="K112" i="2"/>
  <c r="D104" i="13" s="1"/>
  <c r="A112" i="2"/>
  <c r="A104" i="13" s="1"/>
  <c r="B112" i="2"/>
  <c r="C112" i="2"/>
  <c r="M110" i="10"/>
  <c r="L110" i="10"/>
  <c r="H112" i="2" s="1"/>
  <c r="I112" i="2" s="1"/>
  <c r="I104" i="13" s="1"/>
  <c r="C104" i="13" s="1"/>
  <c r="K110" i="10"/>
  <c r="F112" i="14" s="1"/>
  <c r="G112" i="14" s="1"/>
  <c r="K111" i="14"/>
  <c r="A111" i="14"/>
  <c r="B111" i="14"/>
  <c r="C111" i="14"/>
  <c r="J111" i="2"/>
  <c r="K111" i="2"/>
  <c r="D103" i="13" s="1"/>
  <c r="A111" i="2"/>
  <c r="A103" i="13" s="1"/>
  <c r="B111" i="2"/>
  <c r="C111" i="2"/>
  <c r="M109" i="10"/>
  <c r="L109" i="10"/>
  <c r="H111" i="14" s="1"/>
  <c r="K109" i="10"/>
  <c r="F111" i="14" s="1"/>
  <c r="G111" i="14" s="1"/>
  <c r="K110" i="14"/>
  <c r="A110" i="14"/>
  <c r="B110" i="14"/>
  <c r="C110" i="14"/>
  <c r="J110" i="2"/>
  <c r="K110" i="2"/>
  <c r="D102" i="13" s="1"/>
  <c r="A110" i="2"/>
  <c r="A102" i="13" s="1"/>
  <c r="B110" i="2"/>
  <c r="C110" i="2"/>
  <c r="M108" i="10"/>
  <c r="L108" i="10"/>
  <c r="K108" i="10"/>
  <c r="F110" i="2" s="1"/>
  <c r="G110" i="2" s="1"/>
  <c r="B102" i="13" s="1"/>
  <c r="K109" i="14"/>
  <c r="A109" i="14"/>
  <c r="B109" i="14"/>
  <c r="C109" i="14"/>
  <c r="J109" i="2"/>
  <c r="K109" i="2"/>
  <c r="D101" i="13" s="1"/>
  <c r="A109" i="2"/>
  <c r="A101" i="13" s="1"/>
  <c r="B109" i="2"/>
  <c r="C109" i="2"/>
  <c r="M107" i="10"/>
  <c r="L107" i="10"/>
  <c r="H109" i="2" s="1"/>
  <c r="I109" i="2" s="1"/>
  <c r="I101" i="13" s="1"/>
  <c r="C101" i="13" s="1"/>
  <c r="K107" i="10"/>
  <c r="K108" i="14"/>
  <c r="A108" i="14"/>
  <c r="B108" i="14"/>
  <c r="C108" i="14"/>
  <c r="J108" i="2"/>
  <c r="K108" i="2"/>
  <c r="D100" i="13" s="1"/>
  <c r="A108" i="2"/>
  <c r="A100" i="13" s="1"/>
  <c r="B108" i="2"/>
  <c r="C108" i="2"/>
  <c r="M106" i="10"/>
  <c r="L106" i="10"/>
  <c r="H108" i="14" s="1"/>
  <c r="K106" i="10"/>
  <c r="F108" i="2" s="1"/>
  <c r="G108" i="2" s="1"/>
  <c r="B100" i="13" s="1"/>
  <c r="K107" i="14"/>
  <c r="A107" i="14"/>
  <c r="B107" i="14"/>
  <c r="C107" i="14"/>
  <c r="J107" i="2"/>
  <c r="K107" i="2"/>
  <c r="D99" i="13" s="1"/>
  <c r="A107" i="2"/>
  <c r="A99" i="13" s="1"/>
  <c r="B107" i="2"/>
  <c r="C107" i="2"/>
  <c r="M105" i="10"/>
  <c r="L105" i="10"/>
  <c r="K105" i="10"/>
  <c r="F107" i="2" s="1"/>
  <c r="G107" i="2" s="1"/>
  <c r="B99" i="13" s="1"/>
  <c r="K106" i="14"/>
  <c r="A106" i="14"/>
  <c r="B106" i="14"/>
  <c r="C106" i="14"/>
  <c r="J106" i="2"/>
  <c r="K106" i="2"/>
  <c r="D98" i="13" s="1"/>
  <c r="A106" i="2"/>
  <c r="A98" i="13" s="1"/>
  <c r="B106" i="2"/>
  <c r="C106" i="2"/>
  <c r="M104" i="10"/>
  <c r="L104" i="10"/>
  <c r="H106" i="14" s="1"/>
  <c r="K104" i="10"/>
  <c r="F106" i="14" s="1"/>
  <c r="G106" i="14" s="1"/>
  <c r="K105" i="14"/>
  <c r="A105" i="14"/>
  <c r="B105" i="14"/>
  <c r="C105" i="14"/>
  <c r="J105" i="2"/>
  <c r="K105" i="2"/>
  <c r="D97" i="13" s="1"/>
  <c r="A105" i="2"/>
  <c r="A97" i="13" s="1"/>
  <c r="B105" i="2"/>
  <c r="C105" i="2"/>
  <c r="M103" i="10"/>
  <c r="L103" i="10"/>
  <c r="H105" i="14" s="1"/>
  <c r="K103" i="10"/>
  <c r="F105" i="2" s="1"/>
  <c r="G105" i="2" s="1"/>
  <c r="B97" i="13" s="1"/>
  <c r="K104" i="14"/>
  <c r="A104" i="14"/>
  <c r="B104" i="14"/>
  <c r="C104" i="14"/>
  <c r="J104" i="2"/>
  <c r="K104" i="2"/>
  <c r="D96" i="13" s="1"/>
  <c r="A104" i="2"/>
  <c r="A96" i="13" s="1"/>
  <c r="B104" i="2"/>
  <c r="C104" i="2"/>
  <c r="M102" i="10"/>
  <c r="L102" i="10"/>
  <c r="H104" i="2" s="1"/>
  <c r="I104" i="2" s="1"/>
  <c r="K102" i="10"/>
  <c r="F104" i="14" s="1"/>
  <c r="G104" i="14" s="1"/>
  <c r="K103" i="14"/>
  <c r="A103" i="14"/>
  <c r="B103" i="14"/>
  <c r="C103" i="14"/>
  <c r="J103" i="2"/>
  <c r="K103" i="2"/>
  <c r="D95" i="13" s="1"/>
  <c r="A103" i="2"/>
  <c r="A95" i="13" s="1"/>
  <c r="B103" i="2"/>
  <c r="C103" i="2"/>
  <c r="M101" i="10"/>
  <c r="L101" i="10"/>
  <c r="H103" i="14" s="1"/>
  <c r="K101" i="10"/>
  <c r="F103" i="14" s="1"/>
  <c r="G103" i="14" s="1"/>
  <c r="K102" i="14"/>
  <c r="A102" i="14"/>
  <c r="B102" i="14"/>
  <c r="C102" i="14"/>
  <c r="J102" i="2"/>
  <c r="K102" i="2"/>
  <c r="D94" i="13" s="1"/>
  <c r="A102" i="2"/>
  <c r="A94" i="13" s="1"/>
  <c r="B102" i="2"/>
  <c r="C102" i="2"/>
  <c r="M100" i="10"/>
  <c r="L100" i="10"/>
  <c r="H102" i="14" s="1"/>
  <c r="K100" i="10"/>
  <c r="F102" i="2" s="1"/>
  <c r="G102" i="2" s="1"/>
  <c r="B94" i="13" s="1"/>
  <c r="K101" i="14"/>
  <c r="A101" i="14"/>
  <c r="B101" i="14"/>
  <c r="C101" i="14"/>
  <c r="J101" i="2"/>
  <c r="K101" i="2"/>
  <c r="D93" i="13" s="1"/>
  <c r="A101" i="2"/>
  <c r="A93" i="13" s="1"/>
  <c r="B101" i="2"/>
  <c r="C101" i="2"/>
  <c r="M99" i="10"/>
  <c r="L99" i="10"/>
  <c r="H101" i="14" s="1"/>
  <c r="K99" i="10"/>
  <c r="K100" i="14"/>
  <c r="A100" i="14"/>
  <c r="B100" i="14"/>
  <c r="C100" i="14"/>
  <c r="J100" i="2"/>
  <c r="K100" i="2"/>
  <c r="D92" i="13" s="1"/>
  <c r="A100" i="2"/>
  <c r="A92" i="13" s="1"/>
  <c r="B100" i="2"/>
  <c r="C100" i="2"/>
  <c r="M98" i="10"/>
  <c r="L98" i="10"/>
  <c r="H100" i="2" s="1"/>
  <c r="I100" i="2" s="1"/>
  <c r="K98" i="10"/>
  <c r="K99" i="14"/>
  <c r="A99" i="14"/>
  <c r="B99" i="14"/>
  <c r="C99" i="14"/>
  <c r="J99" i="2"/>
  <c r="K99" i="2"/>
  <c r="D91" i="13" s="1"/>
  <c r="A99" i="2"/>
  <c r="A91" i="13" s="1"/>
  <c r="B99" i="2"/>
  <c r="C99" i="2"/>
  <c r="M97" i="10"/>
  <c r="L97" i="10"/>
  <c r="H99" i="14" s="1"/>
  <c r="K97" i="10"/>
  <c r="K98" i="14"/>
  <c r="A98" i="14"/>
  <c r="B98" i="14"/>
  <c r="C98" i="14"/>
  <c r="J98" i="2"/>
  <c r="K98" i="2"/>
  <c r="D90" i="13" s="1"/>
  <c r="A98" i="2"/>
  <c r="A90" i="13" s="1"/>
  <c r="B98" i="2"/>
  <c r="C98" i="2"/>
  <c r="M96" i="10"/>
  <c r="L96" i="10"/>
  <c r="K96" i="10"/>
  <c r="K97" i="14"/>
  <c r="A97" i="14"/>
  <c r="B97" i="14"/>
  <c r="C97" i="14"/>
  <c r="J97" i="2"/>
  <c r="K97" i="2"/>
  <c r="D89" i="13" s="1"/>
  <c r="A97" i="2"/>
  <c r="A89" i="13" s="1"/>
  <c r="B97" i="2"/>
  <c r="C97" i="2"/>
  <c r="M95" i="10"/>
  <c r="L95" i="10"/>
  <c r="H97" i="14" s="1"/>
  <c r="K95" i="10"/>
  <c r="K96" i="14"/>
  <c r="A96" i="14"/>
  <c r="B96" i="14"/>
  <c r="C96" i="14"/>
  <c r="J96" i="2"/>
  <c r="K96" i="2"/>
  <c r="D88" i="13" s="1"/>
  <c r="A96" i="2"/>
  <c r="A88" i="13" s="1"/>
  <c r="B96" i="2"/>
  <c r="C96" i="2"/>
  <c r="M94" i="10"/>
  <c r="L94" i="10"/>
  <c r="H96" i="2" s="1"/>
  <c r="I96" i="2" s="1"/>
  <c r="K94" i="10"/>
  <c r="K95" i="14"/>
  <c r="A95" i="14"/>
  <c r="B95" i="14"/>
  <c r="C95" i="14"/>
  <c r="J95" i="2"/>
  <c r="K95" i="2"/>
  <c r="D87" i="13" s="1"/>
  <c r="A95" i="2"/>
  <c r="A87" i="13" s="1"/>
  <c r="B95" i="2"/>
  <c r="C95" i="2"/>
  <c r="M93" i="10"/>
  <c r="L93" i="10"/>
  <c r="H95" i="2" s="1"/>
  <c r="I95" i="2" s="1"/>
  <c r="K93" i="10"/>
  <c r="F95" i="14" s="1"/>
  <c r="G95" i="14" s="1"/>
  <c r="K94" i="14"/>
  <c r="A94" i="14"/>
  <c r="B94" i="14"/>
  <c r="C94" i="14"/>
  <c r="J94" i="2"/>
  <c r="K94" i="2"/>
  <c r="D86" i="13" s="1"/>
  <c r="A94" i="2"/>
  <c r="A86" i="13" s="1"/>
  <c r="B94" i="2"/>
  <c r="C94" i="2"/>
  <c r="M92" i="10"/>
  <c r="L92" i="10"/>
  <c r="H94" i="14" s="1"/>
  <c r="K92" i="10"/>
  <c r="F94" i="14" s="1"/>
  <c r="G94" i="14" s="1"/>
  <c r="K93" i="14"/>
  <c r="A93" i="14"/>
  <c r="B93" i="14"/>
  <c r="C93" i="14"/>
  <c r="J93" i="2"/>
  <c r="K93" i="2"/>
  <c r="D85" i="13" s="1"/>
  <c r="A93" i="2"/>
  <c r="A85" i="13" s="1"/>
  <c r="B93" i="2"/>
  <c r="C93" i="2"/>
  <c r="M91" i="10"/>
  <c r="L91" i="10"/>
  <c r="H93" i="14" s="1"/>
  <c r="K91" i="10"/>
  <c r="F93" i="2" s="1"/>
  <c r="G93" i="2" s="1"/>
  <c r="B85" i="13" s="1"/>
  <c r="K92" i="14"/>
  <c r="A92" i="14"/>
  <c r="B92" i="14"/>
  <c r="C92" i="14"/>
  <c r="J92" i="2"/>
  <c r="K92" i="2"/>
  <c r="D84" i="13" s="1"/>
  <c r="A92" i="2"/>
  <c r="A84" i="13" s="1"/>
  <c r="B92" i="2"/>
  <c r="C92" i="2"/>
  <c r="M90" i="10"/>
  <c r="L90" i="10"/>
  <c r="H92" i="14" s="1"/>
  <c r="K90" i="10"/>
  <c r="F92" i="2" s="1"/>
  <c r="G92" i="2" s="1"/>
  <c r="B84" i="13" s="1"/>
  <c r="K91" i="14"/>
  <c r="A91" i="14"/>
  <c r="B91" i="14"/>
  <c r="C91" i="14"/>
  <c r="J91" i="2"/>
  <c r="K91" i="2"/>
  <c r="D83" i="13" s="1"/>
  <c r="A91" i="2"/>
  <c r="A83" i="13" s="1"/>
  <c r="B91" i="2"/>
  <c r="C91" i="2"/>
  <c r="M89" i="10"/>
  <c r="L89" i="10"/>
  <c r="H91" i="14" s="1"/>
  <c r="K89" i="10"/>
  <c r="F91" i="2" s="1"/>
  <c r="G91" i="2" s="1"/>
  <c r="B83" i="13" s="1"/>
  <c r="K90" i="14"/>
  <c r="A90" i="14"/>
  <c r="B90" i="14"/>
  <c r="C90" i="14"/>
  <c r="J90" i="2"/>
  <c r="K90" i="2"/>
  <c r="D82" i="13" s="1"/>
  <c r="A90" i="2"/>
  <c r="A82" i="13" s="1"/>
  <c r="B90" i="2"/>
  <c r="C90" i="2"/>
  <c r="M88" i="10"/>
  <c r="L88" i="10"/>
  <c r="H90" i="2" s="1"/>
  <c r="I90" i="2" s="1"/>
  <c r="K88" i="10"/>
  <c r="F90" i="14" s="1"/>
  <c r="G90" i="14" s="1"/>
  <c r="K89" i="14"/>
  <c r="A89" i="14"/>
  <c r="B89" i="14"/>
  <c r="C89" i="14"/>
  <c r="J89" i="2"/>
  <c r="K89" i="2"/>
  <c r="D81" i="13" s="1"/>
  <c r="A89" i="2"/>
  <c r="A81" i="13" s="1"/>
  <c r="B89" i="2"/>
  <c r="C89" i="2"/>
  <c r="M87" i="10"/>
  <c r="L87" i="10"/>
  <c r="K87" i="10"/>
  <c r="F89" i="2" s="1"/>
  <c r="G89" i="2" s="1"/>
  <c r="B81" i="13" s="1"/>
  <c r="K88" i="14"/>
  <c r="A88" i="14"/>
  <c r="B88" i="14"/>
  <c r="C88" i="14"/>
  <c r="J88" i="2"/>
  <c r="K88" i="2"/>
  <c r="D80" i="13" s="1"/>
  <c r="A88" i="2"/>
  <c r="A80" i="13" s="1"/>
  <c r="B88" i="2"/>
  <c r="C88" i="2"/>
  <c r="M86" i="10"/>
  <c r="L86" i="10"/>
  <c r="H88" i="2" s="1"/>
  <c r="I88" i="2" s="1"/>
  <c r="O88" i="14" s="1"/>
  <c r="I88" i="14" s="1"/>
  <c r="K86" i="10"/>
  <c r="K87" i="14"/>
  <c r="A87" i="14"/>
  <c r="B87" i="14"/>
  <c r="C87" i="14"/>
  <c r="J87" i="2"/>
  <c r="K87" i="2"/>
  <c r="D79" i="13" s="1"/>
  <c r="A87" i="2"/>
  <c r="A79" i="13" s="1"/>
  <c r="B87" i="2"/>
  <c r="C87" i="2"/>
  <c r="M85" i="10"/>
  <c r="L85" i="10"/>
  <c r="H87" i="2" s="1"/>
  <c r="I87" i="2" s="1"/>
  <c r="K85" i="10"/>
  <c r="F87" i="14" s="1"/>
  <c r="G87" i="14" s="1"/>
  <c r="K86" i="14"/>
  <c r="A86" i="14"/>
  <c r="B86" i="14"/>
  <c r="C86" i="14"/>
  <c r="J86" i="2"/>
  <c r="K86" i="2"/>
  <c r="D78" i="13" s="1"/>
  <c r="A86" i="2"/>
  <c r="A78" i="13" s="1"/>
  <c r="B86" i="2"/>
  <c r="C86" i="2"/>
  <c r="M84" i="10"/>
  <c r="L84" i="10"/>
  <c r="H86" i="2" s="1"/>
  <c r="I86" i="2" s="1"/>
  <c r="K84" i="10"/>
  <c r="F86" i="2" s="1"/>
  <c r="G86" i="2" s="1"/>
  <c r="B78" i="13" s="1"/>
  <c r="K85" i="14"/>
  <c r="A85" i="14"/>
  <c r="B85" i="14"/>
  <c r="C85" i="14"/>
  <c r="J85" i="2"/>
  <c r="K85" i="2"/>
  <c r="D77" i="13" s="1"/>
  <c r="A85" i="2"/>
  <c r="A77" i="13" s="1"/>
  <c r="B85" i="2"/>
  <c r="C85" i="2"/>
  <c r="M83" i="10"/>
  <c r="L83" i="10"/>
  <c r="H85" i="14" s="1"/>
  <c r="K83" i="10"/>
  <c r="F85" i="2" s="1"/>
  <c r="G85" i="2" s="1"/>
  <c r="B77" i="13" s="1"/>
  <c r="K84" i="14"/>
  <c r="A84" i="14"/>
  <c r="B84" i="14"/>
  <c r="C84" i="14"/>
  <c r="J84" i="2"/>
  <c r="K84" i="2"/>
  <c r="D76" i="13" s="1"/>
  <c r="A84" i="2"/>
  <c r="A76" i="13" s="1"/>
  <c r="B84" i="2"/>
  <c r="C84" i="2"/>
  <c r="M82" i="10"/>
  <c r="L82" i="10"/>
  <c r="H84" i="2" s="1"/>
  <c r="I84" i="2" s="1"/>
  <c r="I76" i="13" s="1"/>
  <c r="C76" i="13" s="1"/>
  <c r="K82" i="10"/>
  <c r="K83" i="14"/>
  <c r="A83" i="14"/>
  <c r="B83" i="14"/>
  <c r="C83" i="14"/>
  <c r="J83" i="2"/>
  <c r="K83" i="2"/>
  <c r="D75" i="13" s="1"/>
  <c r="A83" i="2"/>
  <c r="A75" i="13" s="1"/>
  <c r="B83" i="2"/>
  <c r="C83" i="2"/>
  <c r="M81" i="10"/>
  <c r="L81" i="10"/>
  <c r="H83" i="14" s="1"/>
  <c r="K81" i="10"/>
  <c r="K82" i="14"/>
  <c r="A82" i="14"/>
  <c r="B82" i="14"/>
  <c r="C82" i="14"/>
  <c r="J82" i="2"/>
  <c r="K82" i="2"/>
  <c r="D74" i="13" s="1"/>
  <c r="A82" i="2"/>
  <c r="A74" i="13" s="1"/>
  <c r="B82" i="2"/>
  <c r="C82" i="2"/>
  <c r="M80" i="10"/>
  <c r="L80" i="10"/>
  <c r="H82" i="2" s="1"/>
  <c r="I82" i="2" s="1"/>
  <c r="K80" i="10"/>
  <c r="F82" i="2" s="1"/>
  <c r="G82" i="2" s="1"/>
  <c r="B74" i="13" s="1"/>
  <c r="K81" i="14"/>
  <c r="A81" i="14"/>
  <c r="B81" i="14"/>
  <c r="C81" i="14"/>
  <c r="J81" i="2"/>
  <c r="K81" i="2"/>
  <c r="D73" i="13" s="1"/>
  <c r="A81" i="2"/>
  <c r="A73" i="13" s="1"/>
  <c r="B81" i="2"/>
  <c r="C81" i="2"/>
  <c r="M79" i="10"/>
  <c r="L79" i="10"/>
  <c r="H81" i="14" s="1"/>
  <c r="K79" i="10"/>
  <c r="F81" i="14" s="1"/>
  <c r="G81" i="14" s="1"/>
  <c r="K80" i="14"/>
  <c r="A80" i="14"/>
  <c r="B80" i="14"/>
  <c r="C80" i="14"/>
  <c r="J80" i="2"/>
  <c r="K80" i="2"/>
  <c r="D72" i="13" s="1"/>
  <c r="A80" i="2"/>
  <c r="A72" i="13" s="1"/>
  <c r="B80" i="2"/>
  <c r="C80" i="2"/>
  <c r="M78" i="10"/>
  <c r="L78" i="10"/>
  <c r="K78" i="10"/>
  <c r="F80" i="2" s="1"/>
  <c r="G80" i="2" s="1"/>
  <c r="B72" i="13" s="1"/>
  <c r="K79" i="14"/>
  <c r="A79" i="14"/>
  <c r="B79" i="14"/>
  <c r="C79" i="14"/>
  <c r="J79" i="2"/>
  <c r="K79" i="2"/>
  <c r="D71" i="13" s="1"/>
  <c r="A79" i="2"/>
  <c r="A71" i="13" s="1"/>
  <c r="B79" i="2"/>
  <c r="C79" i="2"/>
  <c r="M77" i="10"/>
  <c r="L77" i="10"/>
  <c r="H79" i="14" s="1"/>
  <c r="K77" i="10"/>
  <c r="K78" i="14"/>
  <c r="A78" i="14"/>
  <c r="B78" i="14"/>
  <c r="C78" i="14"/>
  <c r="J78" i="2"/>
  <c r="K78" i="2"/>
  <c r="D70" i="13" s="1"/>
  <c r="A78" i="2"/>
  <c r="A70" i="13" s="1"/>
  <c r="B78" i="2"/>
  <c r="C78" i="2"/>
  <c r="M76" i="10"/>
  <c r="L76" i="10"/>
  <c r="H78" i="14" s="1"/>
  <c r="K76" i="10"/>
  <c r="K77" i="14"/>
  <c r="A77" i="14"/>
  <c r="B77" i="14"/>
  <c r="C77" i="14"/>
  <c r="J77" i="2"/>
  <c r="K77" i="2"/>
  <c r="D69" i="13" s="1"/>
  <c r="A77" i="2"/>
  <c r="A69" i="13" s="1"/>
  <c r="B77" i="2"/>
  <c r="C77" i="2"/>
  <c r="M75" i="10"/>
  <c r="L75" i="10"/>
  <c r="K75" i="10"/>
  <c r="F77" i="14" s="1"/>
  <c r="G77" i="14" s="1"/>
  <c r="K76" i="14"/>
  <c r="A76" i="14"/>
  <c r="B76" i="14"/>
  <c r="C76" i="14"/>
  <c r="J76" i="2"/>
  <c r="K76" i="2"/>
  <c r="D68" i="13" s="1"/>
  <c r="A76" i="2"/>
  <c r="A68" i="13" s="1"/>
  <c r="B76" i="2"/>
  <c r="C76" i="2"/>
  <c r="M74" i="10"/>
  <c r="L74" i="10"/>
  <c r="H76" i="2" s="1"/>
  <c r="I76" i="2" s="1"/>
  <c r="K74" i="10"/>
  <c r="F76" i="14" s="1"/>
  <c r="G76" i="14" s="1"/>
  <c r="K75" i="14"/>
  <c r="A75" i="14"/>
  <c r="B75" i="14"/>
  <c r="C75" i="14"/>
  <c r="J75" i="2"/>
  <c r="K75" i="2"/>
  <c r="D67" i="13" s="1"/>
  <c r="A75" i="2"/>
  <c r="A67" i="13" s="1"/>
  <c r="B75" i="2"/>
  <c r="C75" i="2"/>
  <c r="M73" i="10"/>
  <c r="L73" i="10"/>
  <c r="H75" i="2" s="1"/>
  <c r="I75" i="2" s="1"/>
  <c r="K73" i="10"/>
  <c r="K74" i="14"/>
  <c r="A74" i="14"/>
  <c r="B74" i="14"/>
  <c r="C74" i="14"/>
  <c r="J74" i="2"/>
  <c r="K74" i="2"/>
  <c r="D66" i="13" s="1"/>
  <c r="A74" i="2"/>
  <c r="A66" i="13" s="1"/>
  <c r="B74" i="2"/>
  <c r="C74" i="2"/>
  <c r="M72" i="10"/>
  <c r="L72" i="10"/>
  <c r="H74" i="14" s="1"/>
  <c r="K72" i="10"/>
  <c r="F74" i="2" s="1"/>
  <c r="G74" i="2" s="1"/>
  <c r="B66" i="13" s="1"/>
  <c r="K73" i="14"/>
  <c r="A73" i="14"/>
  <c r="B73" i="14"/>
  <c r="C73" i="14"/>
  <c r="J73" i="2"/>
  <c r="K73" i="2"/>
  <c r="D65" i="13" s="1"/>
  <c r="A73" i="2"/>
  <c r="A65" i="13" s="1"/>
  <c r="B73" i="2"/>
  <c r="C73" i="2"/>
  <c r="M71" i="10"/>
  <c r="L71" i="10"/>
  <c r="H73" i="2" s="1"/>
  <c r="I73" i="2" s="1"/>
  <c r="O73" i="14" s="1"/>
  <c r="I73" i="14" s="1"/>
  <c r="K71" i="10"/>
  <c r="F73" i="2" s="1"/>
  <c r="G73" i="2" s="1"/>
  <c r="B65" i="13" s="1"/>
  <c r="K72" i="14"/>
  <c r="A72" i="14"/>
  <c r="B72" i="14"/>
  <c r="C72" i="14"/>
  <c r="J72" i="2"/>
  <c r="K72" i="2"/>
  <c r="D64" i="13" s="1"/>
  <c r="A72" i="2"/>
  <c r="A64" i="13" s="1"/>
  <c r="B72" i="2"/>
  <c r="C72" i="2"/>
  <c r="M70" i="10"/>
  <c r="L70" i="10"/>
  <c r="H72" i="14" s="1"/>
  <c r="K70" i="10"/>
  <c r="F72" i="2" s="1"/>
  <c r="G72" i="2" s="1"/>
  <c r="B64" i="13" s="1"/>
  <c r="K71" i="14"/>
  <c r="A71" i="14"/>
  <c r="B71" i="14"/>
  <c r="C71" i="14"/>
  <c r="J71" i="2"/>
  <c r="K71" i="2"/>
  <c r="D63" i="13" s="1"/>
  <c r="A71" i="2"/>
  <c r="A63" i="13" s="1"/>
  <c r="B71" i="2"/>
  <c r="C71" i="2"/>
  <c r="M69" i="10"/>
  <c r="L69" i="10"/>
  <c r="H71" i="14" s="1"/>
  <c r="K69" i="10"/>
  <c r="F71" i="2" s="1"/>
  <c r="G71" i="2" s="1"/>
  <c r="B63" i="13" s="1"/>
  <c r="K70" i="14"/>
  <c r="A70" i="14"/>
  <c r="B70" i="14"/>
  <c r="C70" i="14"/>
  <c r="J70" i="2"/>
  <c r="K70" i="2"/>
  <c r="D62" i="13" s="1"/>
  <c r="A70" i="2"/>
  <c r="A62" i="13" s="1"/>
  <c r="B70" i="2"/>
  <c r="C70" i="2"/>
  <c r="M68" i="10"/>
  <c r="L68" i="10"/>
  <c r="H70" i="2" s="1"/>
  <c r="I70" i="2" s="1"/>
  <c r="K68" i="10"/>
  <c r="F70" i="2" s="1"/>
  <c r="G70" i="2" s="1"/>
  <c r="B62" i="13" s="1"/>
  <c r="K69" i="14"/>
  <c r="A69" i="14"/>
  <c r="B69" i="14"/>
  <c r="C69" i="14"/>
  <c r="J69" i="2"/>
  <c r="K69" i="2"/>
  <c r="D61" i="13" s="1"/>
  <c r="A69" i="2"/>
  <c r="A61" i="13" s="1"/>
  <c r="B69" i="2"/>
  <c r="C69" i="2"/>
  <c r="M67" i="10"/>
  <c r="L67" i="10"/>
  <c r="H69" i="2" s="1"/>
  <c r="I69" i="2" s="1"/>
  <c r="K67" i="10"/>
  <c r="F69" i="2" s="1"/>
  <c r="G69" i="2" s="1"/>
  <c r="B61" i="13" s="1"/>
  <c r="K68" i="14"/>
  <c r="A68" i="14"/>
  <c r="B68" i="14"/>
  <c r="C68" i="14"/>
  <c r="J68" i="2"/>
  <c r="K68" i="2"/>
  <c r="D60" i="13" s="1"/>
  <c r="A68" i="2"/>
  <c r="A60" i="13" s="1"/>
  <c r="B68" i="2"/>
  <c r="C68" i="2"/>
  <c r="M66" i="10"/>
  <c r="L66" i="10"/>
  <c r="H68" i="14" s="1"/>
  <c r="K66" i="10"/>
  <c r="F68" i="14" s="1"/>
  <c r="G68" i="14" s="1"/>
  <c r="K67" i="14"/>
  <c r="A67" i="14"/>
  <c r="B67" i="14"/>
  <c r="C67" i="14"/>
  <c r="J67" i="2"/>
  <c r="K67" i="2"/>
  <c r="D59" i="13" s="1"/>
  <c r="A67" i="2"/>
  <c r="A59" i="13" s="1"/>
  <c r="B67" i="2"/>
  <c r="C67" i="2"/>
  <c r="M65" i="10"/>
  <c r="L65" i="10"/>
  <c r="K65" i="10"/>
  <c r="F67" i="14" s="1"/>
  <c r="G67" i="14" s="1"/>
  <c r="K66" i="14"/>
  <c r="A66" i="14"/>
  <c r="B66" i="14"/>
  <c r="C66" i="14"/>
  <c r="J66" i="2"/>
  <c r="K66" i="2"/>
  <c r="D58" i="13" s="1"/>
  <c r="A66" i="2"/>
  <c r="A58" i="13" s="1"/>
  <c r="B66" i="2"/>
  <c r="C66" i="2"/>
  <c r="M64" i="10"/>
  <c r="L64" i="10"/>
  <c r="H66" i="14" s="1"/>
  <c r="K64" i="10"/>
  <c r="K65" i="14"/>
  <c r="A65" i="14"/>
  <c r="B65" i="14"/>
  <c r="C65" i="14"/>
  <c r="J65" i="2"/>
  <c r="K65" i="2"/>
  <c r="D57" i="13" s="1"/>
  <c r="A65" i="2"/>
  <c r="A57" i="13" s="1"/>
  <c r="B65" i="2"/>
  <c r="C65" i="2"/>
  <c r="M63" i="10"/>
  <c r="L63" i="10"/>
  <c r="H65" i="2" s="1"/>
  <c r="I65" i="2" s="1"/>
  <c r="K63" i="10"/>
  <c r="F65" i="14" s="1"/>
  <c r="G65" i="14" s="1"/>
  <c r="K64" i="14"/>
  <c r="A64" i="14"/>
  <c r="B64" i="14"/>
  <c r="C64" i="14"/>
  <c r="J64" i="2"/>
  <c r="K64" i="2"/>
  <c r="D56" i="13" s="1"/>
  <c r="A64" i="2"/>
  <c r="A56" i="13" s="1"/>
  <c r="B64" i="2"/>
  <c r="C64" i="2"/>
  <c r="M62" i="10"/>
  <c r="L62" i="10"/>
  <c r="H64" i="14" s="1"/>
  <c r="K62" i="10"/>
  <c r="F64" i="2" s="1"/>
  <c r="G64" i="2" s="1"/>
  <c r="B56" i="13" s="1"/>
  <c r="K63" i="14"/>
  <c r="A63" i="14"/>
  <c r="B63" i="14"/>
  <c r="C63" i="14"/>
  <c r="J63" i="2"/>
  <c r="K63" i="2"/>
  <c r="D55" i="13" s="1"/>
  <c r="A63" i="2"/>
  <c r="A55" i="13" s="1"/>
  <c r="B63" i="2"/>
  <c r="C63" i="2"/>
  <c r="M61" i="10"/>
  <c r="L61" i="10"/>
  <c r="H63" i="2" s="1"/>
  <c r="I63" i="2" s="1"/>
  <c r="K61" i="10"/>
  <c r="F63" i="2" s="1"/>
  <c r="G63" i="2" s="1"/>
  <c r="B55" i="13" s="1"/>
  <c r="K62" i="14"/>
  <c r="A62" i="14"/>
  <c r="B62" i="14"/>
  <c r="C62" i="14"/>
  <c r="J62" i="2"/>
  <c r="K62" i="2"/>
  <c r="D54" i="13" s="1"/>
  <c r="A62" i="2"/>
  <c r="A54" i="13" s="1"/>
  <c r="B62" i="2"/>
  <c r="C62" i="2"/>
  <c r="M60" i="10"/>
  <c r="L60" i="10"/>
  <c r="H62" i="14" s="1"/>
  <c r="K60" i="10"/>
  <c r="K61" i="14"/>
  <c r="A61" i="14"/>
  <c r="B61" i="14"/>
  <c r="C61" i="14"/>
  <c r="J61" i="2"/>
  <c r="K61" i="2"/>
  <c r="D53" i="13" s="1"/>
  <c r="A61" i="2"/>
  <c r="A53" i="13" s="1"/>
  <c r="B61" i="2"/>
  <c r="C61" i="2"/>
  <c r="M59" i="10"/>
  <c r="L59" i="10"/>
  <c r="H61" i="14" s="1"/>
  <c r="K59" i="10"/>
  <c r="F61" i="14" s="1"/>
  <c r="G61" i="14" s="1"/>
  <c r="K60" i="14"/>
  <c r="A60" i="14"/>
  <c r="B60" i="14"/>
  <c r="C60" i="14"/>
  <c r="J60" i="2"/>
  <c r="K60" i="2"/>
  <c r="D52" i="13" s="1"/>
  <c r="A60" i="2"/>
  <c r="A52" i="13" s="1"/>
  <c r="B60" i="2"/>
  <c r="C60" i="2"/>
  <c r="M58" i="10"/>
  <c r="L58" i="10"/>
  <c r="H60" i="14" s="1"/>
  <c r="K58" i="10"/>
  <c r="F60" i="14" s="1"/>
  <c r="G60" i="14" s="1"/>
  <c r="K59" i="14"/>
  <c r="A59" i="14"/>
  <c r="B59" i="14"/>
  <c r="C59" i="14"/>
  <c r="J59" i="2"/>
  <c r="K59" i="2"/>
  <c r="D51" i="13" s="1"/>
  <c r="A59" i="2"/>
  <c r="A51" i="13" s="1"/>
  <c r="B59" i="2"/>
  <c r="C59" i="2"/>
  <c r="M57" i="10"/>
  <c r="L57" i="10"/>
  <c r="H59" i="14" s="1"/>
  <c r="K57" i="10"/>
  <c r="F59" i="2" s="1"/>
  <c r="G59" i="2" s="1"/>
  <c r="B51" i="13" s="1"/>
  <c r="K58" i="14"/>
  <c r="A58" i="14"/>
  <c r="B58" i="14"/>
  <c r="C58" i="14"/>
  <c r="J58" i="2"/>
  <c r="K58" i="2"/>
  <c r="D50" i="13" s="1"/>
  <c r="A58" i="2"/>
  <c r="A50" i="13" s="1"/>
  <c r="B58" i="2"/>
  <c r="C58" i="2"/>
  <c r="M56" i="10"/>
  <c r="L56" i="10"/>
  <c r="H58" i="14" s="1"/>
  <c r="K56" i="10"/>
  <c r="F58" i="2" s="1"/>
  <c r="G58" i="2" s="1"/>
  <c r="B50" i="13" s="1"/>
  <c r="K57" i="14"/>
  <c r="A57" i="14"/>
  <c r="B57" i="14"/>
  <c r="C57" i="14"/>
  <c r="J57" i="2"/>
  <c r="K57" i="2"/>
  <c r="D49" i="13" s="1"/>
  <c r="A57" i="2"/>
  <c r="A49" i="13" s="1"/>
  <c r="B57" i="2"/>
  <c r="C57" i="2"/>
  <c r="M55" i="10"/>
  <c r="L55" i="10"/>
  <c r="H57" i="14" s="1"/>
  <c r="K55" i="10"/>
  <c r="F57" i="2" s="1"/>
  <c r="G57" i="2" s="1"/>
  <c r="B49" i="13" s="1"/>
  <c r="K56" i="14"/>
  <c r="A56" i="14"/>
  <c r="B56" i="14"/>
  <c r="C56" i="14"/>
  <c r="J56" i="2"/>
  <c r="K56" i="2"/>
  <c r="D48" i="13" s="1"/>
  <c r="A56" i="2"/>
  <c r="A48" i="13" s="1"/>
  <c r="B56" i="2"/>
  <c r="C56" i="2"/>
  <c r="M54" i="10"/>
  <c r="L54" i="10"/>
  <c r="H56" i="14" s="1"/>
  <c r="K54" i="10"/>
  <c r="F56" i="2" s="1"/>
  <c r="G56" i="2" s="1"/>
  <c r="B48" i="13" s="1"/>
  <c r="K55" i="14"/>
  <c r="A55" i="14"/>
  <c r="B55" i="14"/>
  <c r="C55" i="14"/>
  <c r="J55" i="2"/>
  <c r="K55" i="2"/>
  <c r="D47" i="13" s="1"/>
  <c r="A55" i="2"/>
  <c r="A47" i="13" s="1"/>
  <c r="B55" i="2"/>
  <c r="C55" i="2"/>
  <c r="M53" i="10"/>
  <c r="L53" i="10"/>
  <c r="H55" i="14" s="1"/>
  <c r="K53" i="10"/>
  <c r="F55" i="2" s="1"/>
  <c r="G55" i="2" s="1"/>
  <c r="B47" i="13" s="1"/>
  <c r="K54" i="14"/>
  <c r="A54" i="14"/>
  <c r="B54" i="14"/>
  <c r="C54" i="14"/>
  <c r="J54" i="2"/>
  <c r="K54" i="2"/>
  <c r="D46" i="13" s="1"/>
  <c r="A54" i="2"/>
  <c r="A46" i="13" s="1"/>
  <c r="B54" i="2"/>
  <c r="C54" i="2"/>
  <c r="M52" i="10"/>
  <c r="L52" i="10"/>
  <c r="H54" i="14" s="1"/>
  <c r="K52" i="10"/>
  <c r="F54" i="2" s="1"/>
  <c r="G54" i="2" s="1"/>
  <c r="B46" i="13" s="1"/>
  <c r="K53" i="14"/>
  <c r="A53" i="14"/>
  <c r="B53" i="14"/>
  <c r="C53" i="14"/>
  <c r="J53" i="2"/>
  <c r="K53" i="2"/>
  <c r="D45" i="13" s="1"/>
  <c r="A53" i="2"/>
  <c r="A45" i="13" s="1"/>
  <c r="B53" i="2"/>
  <c r="C53" i="2"/>
  <c r="M51" i="10"/>
  <c r="L51" i="10"/>
  <c r="H53" i="14" s="1"/>
  <c r="K51" i="10"/>
  <c r="F53" i="2" s="1"/>
  <c r="G53" i="2" s="1"/>
  <c r="B45" i="13" s="1"/>
  <c r="K52" i="14"/>
  <c r="A52" i="14"/>
  <c r="B52" i="14"/>
  <c r="C52" i="14"/>
  <c r="J52" i="2"/>
  <c r="K52" i="2"/>
  <c r="D44" i="13" s="1"/>
  <c r="A52" i="2"/>
  <c r="A44" i="13" s="1"/>
  <c r="B52" i="2"/>
  <c r="C52" i="2"/>
  <c r="M50" i="10"/>
  <c r="L50" i="10"/>
  <c r="K50" i="10"/>
  <c r="F52" i="14" s="1"/>
  <c r="G52" i="14" s="1"/>
  <c r="K51" i="14"/>
  <c r="A51" i="14"/>
  <c r="B51" i="14"/>
  <c r="C51" i="14"/>
  <c r="J51" i="2"/>
  <c r="K51" i="2"/>
  <c r="D43" i="13" s="1"/>
  <c r="A51" i="2"/>
  <c r="A43" i="13" s="1"/>
  <c r="B51" i="2"/>
  <c r="C51" i="2"/>
  <c r="M49" i="10"/>
  <c r="L49" i="10"/>
  <c r="H51" i="2" s="1"/>
  <c r="I51" i="2" s="1"/>
  <c r="K49" i="10"/>
  <c r="F51" i="2" s="1"/>
  <c r="G51" i="2" s="1"/>
  <c r="B43" i="13" s="1"/>
  <c r="K50" i="14"/>
  <c r="A50" i="14"/>
  <c r="B50" i="14"/>
  <c r="C50" i="14"/>
  <c r="J50" i="2"/>
  <c r="K50" i="2"/>
  <c r="D42" i="13" s="1"/>
  <c r="A50" i="2"/>
  <c r="A42" i="13" s="1"/>
  <c r="B50" i="2"/>
  <c r="C50" i="2"/>
  <c r="M48" i="10"/>
  <c r="L48" i="10"/>
  <c r="H50" i="14" s="1"/>
  <c r="K48" i="10"/>
  <c r="F50" i="2" s="1"/>
  <c r="G50" i="2" s="1"/>
  <c r="B42" i="13" s="1"/>
  <c r="K49" i="14"/>
  <c r="A49" i="14"/>
  <c r="B49" i="14"/>
  <c r="C49" i="14"/>
  <c r="J49" i="2"/>
  <c r="K49" i="2"/>
  <c r="D41" i="13" s="1"/>
  <c r="A49" i="2"/>
  <c r="A41" i="13" s="1"/>
  <c r="B49" i="2"/>
  <c r="C49" i="2"/>
  <c r="M47" i="10"/>
  <c r="L47" i="10"/>
  <c r="H49" i="14" s="1"/>
  <c r="K47" i="10"/>
  <c r="F49" i="14" s="1"/>
  <c r="G49" i="14" s="1"/>
  <c r="K48" i="14"/>
  <c r="A48" i="14"/>
  <c r="B48" i="14"/>
  <c r="C48" i="14"/>
  <c r="J48" i="2"/>
  <c r="K48" i="2"/>
  <c r="D40" i="13" s="1"/>
  <c r="A48" i="2"/>
  <c r="A40" i="13" s="1"/>
  <c r="B48" i="2"/>
  <c r="C48" i="2"/>
  <c r="M46" i="10"/>
  <c r="L46" i="10"/>
  <c r="H48" i="14" s="1"/>
  <c r="K46" i="10"/>
  <c r="F48" i="14" s="1"/>
  <c r="G48" i="14" s="1"/>
  <c r="K47" i="14"/>
  <c r="A47" i="14"/>
  <c r="B47" i="14"/>
  <c r="C47" i="14"/>
  <c r="J47" i="2"/>
  <c r="K47" i="2"/>
  <c r="D39" i="13" s="1"/>
  <c r="A47" i="2"/>
  <c r="A39" i="13" s="1"/>
  <c r="B47" i="2"/>
  <c r="C47" i="2"/>
  <c r="M45" i="10"/>
  <c r="L45" i="10"/>
  <c r="H47" i="14" s="1"/>
  <c r="K45" i="10"/>
  <c r="F47" i="14" s="1"/>
  <c r="G47" i="14" s="1"/>
  <c r="K46" i="14"/>
  <c r="A46" i="14"/>
  <c r="B46" i="14"/>
  <c r="C46" i="14"/>
  <c r="J46" i="2"/>
  <c r="K46" i="2"/>
  <c r="D38" i="13" s="1"/>
  <c r="A46" i="2"/>
  <c r="A38" i="13" s="1"/>
  <c r="B46" i="2"/>
  <c r="C46" i="2"/>
  <c r="M44" i="10"/>
  <c r="L44" i="10"/>
  <c r="H46" i="14" s="1"/>
  <c r="K44" i="10"/>
  <c r="K45" i="14"/>
  <c r="A45" i="14"/>
  <c r="B45" i="14"/>
  <c r="C45" i="14"/>
  <c r="J45" i="2"/>
  <c r="K45" i="2"/>
  <c r="D37" i="13" s="1"/>
  <c r="A45" i="2"/>
  <c r="A37" i="13" s="1"/>
  <c r="B45" i="2"/>
  <c r="C45" i="2"/>
  <c r="M43" i="10"/>
  <c r="L43" i="10"/>
  <c r="K43" i="10"/>
  <c r="F45" i="2" s="1"/>
  <c r="G45" i="2" s="1"/>
  <c r="B37" i="13" s="1"/>
  <c r="K44" i="14"/>
  <c r="A44" i="14"/>
  <c r="B44" i="14"/>
  <c r="C44" i="14"/>
  <c r="J44" i="2"/>
  <c r="K44" i="2"/>
  <c r="D36" i="13" s="1"/>
  <c r="A44" i="2"/>
  <c r="A36" i="13" s="1"/>
  <c r="B44" i="2"/>
  <c r="C44" i="2"/>
  <c r="M42" i="10"/>
  <c r="L42" i="10"/>
  <c r="H44" i="2" s="1"/>
  <c r="I44" i="2" s="1"/>
  <c r="K42" i="10"/>
  <c r="F44" i="14" s="1"/>
  <c r="G44" i="14" s="1"/>
  <c r="K43" i="14"/>
  <c r="A43" i="14"/>
  <c r="B43" i="14"/>
  <c r="C43" i="14"/>
  <c r="J43" i="2"/>
  <c r="K43" i="2"/>
  <c r="D35" i="13" s="1"/>
  <c r="A43" i="2"/>
  <c r="A35" i="13" s="1"/>
  <c r="B43" i="2"/>
  <c r="C43" i="2"/>
  <c r="M41" i="10"/>
  <c r="L41" i="10"/>
  <c r="H43" i="14" s="1"/>
  <c r="K41" i="10"/>
  <c r="F43" i="14" s="1"/>
  <c r="G43" i="14" s="1"/>
  <c r="K42" i="14"/>
  <c r="A42" i="14"/>
  <c r="B42" i="14"/>
  <c r="C42" i="14"/>
  <c r="J42" i="2"/>
  <c r="K42" i="2"/>
  <c r="D34" i="13" s="1"/>
  <c r="A42" i="2"/>
  <c r="A34" i="13" s="1"/>
  <c r="B42" i="2"/>
  <c r="C42" i="2"/>
  <c r="M40" i="10"/>
  <c r="L40" i="10"/>
  <c r="H42" i="2" s="1"/>
  <c r="I42" i="2" s="1"/>
  <c r="O42" i="14" s="1"/>
  <c r="I42" i="14" s="1"/>
  <c r="K40" i="10"/>
  <c r="K41" i="14"/>
  <c r="A41" i="14"/>
  <c r="B41" i="14"/>
  <c r="C41" i="14"/>
  <c r="J41" i="2"/>
  <c r="K41" i="2"/>
  <c r="D33" i="13" s="1"/>
  <c r="A41" i="2"/>
  <c r="A33" i="13" s="1"/>
  <c r="B41" i="2"/>
  <c r="C41" i="2"/>
  <c r="M39" i="10"/>
  <c r="L39" i="10"/>
  <c r="H41" i="14" s="1"/>
  <c r="K39" i="10"/>
  <c r="F41" i="2" s="1"/>
  <c r="G41" i="2" s="1"/>
  <c r="B33" i="13" s="1"/>
  <c r="K40" i="14"/>
  <c r="A40" i="14"/>
  <c r="B40" i="14"/>
  <c r="C40" i="14"/>
  <c r="J40" i="2"/>
  <c r="K40" i="2"/>
  <c r="D32" i="13" s="1"/>
  <c r="A40" i="2"/>
  <c r="A32" i="13" s="1"/>
  <c r="B40" i="2"/>
  <c r="C40" i="2"/>
  <c r="M38" i="10"/>
  <c r="L38" i="10"/>
  <c r="H40" i="14" s="1"/>
  <c r="K38" i="10"/>
  <c r="F40" i="14" s="1"/>
  <c r="G40" i="14" s="1"/>
  <c r="K39" i="14"/>
  <c r="A39" i="14"/>
  <c r="B39" i="14"/>
  <c r="C39" i="14"/>
  <c r="J39" i="2"/>
  <c r="K39" i="2"/>
  <c r="D31" i="13" s="1"/>
  <c r="A39" i="2"/>
  <c r="A31" i="13" s="1"/>
  <c r="B39" i="2"/>
  <c r="C39" i="2"/>
  <c r="M37" i="10"/>
  <c r="L37" i="10"/>
  <c r="K37" i="10"/>
  <c r="F39" i="2" s="1"/>
  <c r="G39" i="2" s="1"/>
  <c r="B31" i="13" s="1"/>
  <c r="K38" i="14"/>
  <c r="A38" i="14"/>
  <c r="B38" i="14"/>
  <c r="C38" i="14"/>
  <c r="J38" i="2"/>
  <c r="K38" i="2"/>
  <c r="D30" i="13" s="1"/>
  <c r="A38" i="2"/>
  <c r="A30" i="13" s="1"/>
  <c r="B38" i="2"/>
  <c r="C38" i="2"/>
  <c r="M36" i="10"/>
  <c r="L36" i="10"/>
  <c r="H38" i="2" s="1"/>
  <c r="I38" i="2" s="1"/>
  <c r="K36" i="10"/>
  <c r="F38" i="2" s="1"/>
  <c r="G38" i="2" s="1"/>
  <c r="B30" i="13" s="1"/>
  <c r="K37" i="14"/>
  <c r="A37" i="14"/>
  <c r="B37" i="14"/>
  <c r="C37" i="14"/>
  <c r="J37" i="2"/>
  <c r="K37" i="2"/>
  <c r="D29" i="13" s="1"/>
  <c r="A37" i="2"/>
  <c r="A29" i="13" s="1"/>
  <c r="B37" i="2"/>
  <c r="C37" i="2"/>
  <c r="M35" i="10"/>
  <c r="L35" i="10"/>
  <c r="K35" i="10"/>
  <c r="F37" i="14" s="1"/>
  <c r="G37" i="14" s="1"/>
  <c r="K36" i="14"/>
  <c r="A36" i="14"/>
  <c r="B36" i="14"/>
  <c r="C36" i="14"/>
  <c r="J36" i="2"/>
  <c r="K36" i="2"/>
  <c r="D28" i="13" s="1"/>
  <c r="A36" i="2"/>
  <c r="A28" i="13" s="1"/>
  <c r="B36" i="2"/>
  <c r="C36" i="2"/>
  <c r="M34" i="10"/>
  <c r="L34" i="10"/>
  <c r="H36" i="2" s="1"/>
  <c r="I36" i="2" s="1"/>
  <c r="I28" i="13" s="1"/>
  <c r="C28" i="13" s="1"/>
  <c r="K34" i="10"/>
  <c r="K35" i="14"/>
  <c r="A35" i="14"/>
  <c r="B35" i="14"/>
  <c r="C35" i="14"/>
  <c r="J35" i="2"/>
  <c r="K35" i="2"/>
  <c r="D27" i="13" s="1"/>
  <c r="A35" i="2"/>
  <c r="A27" i="13" s="1"/>
  <c r="B35" i="2"/>
  <c r="C35" i="2"/>
  <c r="M33" i="10"/>
  <c r="L33" i="10"/>
  <c r="H35" i="14" s="1"/>
  <c r="K33" i="10"/>
  <c r="F35" i="2" s="1"/>
  <c r="G35" i="2" s="1"/>
  <c r="B27" i="13" s="1"/>
  <c r="K34" i="14"/>
  <c r="A34" i="14"/>
  <c r="B34" i="14"/>
  <c r="C34" i="14"/>
  <c r="J34" i="2"/>
  <c r="K34" i="2"/>
  <c r="D26" i="13" s="1"/>
  <c r="A34" i="2"/>
  <c r="A26" i="13" s="1"/>
  <c r="B34" i="2"/>
  <c r="C34" i="2"/>
  <c r="M32" i="10"/>
  <c r="L32" i="10"/>
  <c r="H34" i="2" s="1"/>
  <c r="I34" i="2" s="1"/>
  <c r="K32" i="10"/>
  <c r="F34" i="2" s="1"/>
  <c r="G34" i="2" s="1"/>
  <c r="B26" i="13" s="1"/>
  <c r="K33" i="14"/>
  <c r="A33" i="14"/>
  <c r="B33" i="14"/>
  <c r="C33" i="14"/>
  <c r="J33" i="2"/>
  <c r="K33" i="2"/>
  <c r="D25" i="13" s="1"/>
  <c r="A33" i="2"/>
  <c r="A25" i="13" s="1"/>
  <c r="B33" i="2"/>
  <c r="C33" i="2"/>
  <c r="M31" i="10"/>
  <c r="L31" i="10"/>
  <c r="H33" i="2" s="1"/>
  <c r="I33" i="2" s="1"/>
  <c r="I25" i="13" s="1"/>
  <c r="C25" i="13" s="1"/>
  <c r="K31" i="10"/>
  <c r="F33" i="14" s="1"/>
  <c r="G33" i="14" s="1"/>
  <c r="K32" i="14"/>
  <c r="A32" i="14"/>
  <c r="B32" i="14"/>
  <c r="C32" i="14"/>
  <c r="J32" i="2"/>
  <c r="K32" i="2"/>
  <c r="D24" i="13" s="1"/>
  <c r="A32" i="2"/>
  <c r="A24" i="13" s="1"/>
  <c r="B32" i="2"/>
  <c r="C32" i="2"/>
  <c r="M30" i="10"/>
  <c r="L30" i="10"/>
  <c r="H32" i="14" s="1"/>
  <c r="K30" i="10"/>
  <c r="F32" i="2" s="1"/>
  <c r="G32" i="2" s="1"/>
  <c r="B24" i="13" s="1"/>
  <c r="K31" i="14"/>
  <c r="A31" i="14"/>
  <c r="B31" i="14"/>
  <c r="C31" i="14"/>
  <c r="J31" i="2"/>
  <c r="K31" i="2"/>
  <c r="D23" i="13" s="1"/>
  <c r="A31" i="2"/>
  <c r="A23" i="13" s="1"/>
  <c r="B31" i="2"/>
  <c r="C31" i="2"/>
  <c r="M29" i="10"/>
  <c r="L29" i="10"/>
  <c r="H31" i="2" s="1"/>
  <c r="I31" i="2" s="1"/>
  <c r="K29" i="10"/>
  <c r="F31" i="14" s="1"/>
  <c r="G31" i="14" s="1"/>
  <c r="K30" i="14"/>
  <c r="A30" i="14"/>
  <c r="B30" i="14"/>
  <c r="C30" i="14"/>
  <c r="J30" i="2"/>
  <c r="K30" i="2"/>
  <c r="D22" i="13" s="1"/>
  <c r="A30" i="2"/>
  <c r="A22" i="13" s="1"/>
  <c r="B30" i="2"/>
  <c r="C30" i="2"/>
  <c r="M28" i="10"/>
  <c r="L28" i="10"/>
  <c r="H30" i="2" s="1"/>
  <c r="I30" i="2" s="1"/>
  <c r="K28" i="10"/>
  <c r="F30" i="2" s="1"/>
  <c r="G30" i="2" s="1"/>
  <c r="B22" i="13" s="1"/>
  <c r="K29" i="14"/>
  <c r="A29" i="14"/>
  <c r="B29" i="14"/>
  <c r="C29" i="14"/>
  <c r="J29" i="2"/>
  <c r="K29" i="2"/>
  <c r="D21" i="13" s="1"/>
  <c r="A29" i="2"/>
  <c r="A21" i="13" s="1"/>
  <c r="B29" i="2"/>
  <c r="C29" i="2"/>
  <c r="M27" i="10"/>
  <c r="L27" i="10"/>
  <c r="H29" i="2" s="1"/>
  <c r="I29" i="2" s="1"/>
  <c r="K27" i="10"/>
  <c r="F29" i="2" s="1"/>
  <c r="G29" i="2" s="1"/>
  <c r="B21" i="13" s="1"/>
  <c r="K28" i="14"/>
  <c r="A28" i="14"/>
  <c r="B28" i="14"/>
  <c r="C28" i="14"/>
  <c r="J28" i="2"/>
  <c r="K28" i="2"/>
  <c r="D20" i="13" s="1"/>
  <c r="A28" i="2"/>
  <c r="A20" i="13" s="1"/>
  <c r="B28" i="2"/>
  <c r="C28" i="2"/>
  <c r="M26" i="10"/>
  <c r="L26" i="10"/>
  <c r="H28" i="14" s="1"/>
  <c r="K26" i="10"/>
  <c r="F28" i="2" s="1"/>
  <c r="G28" i="2" s="1"/>
  <c r="B20" i="13" s="1"/>
  <c r="K27" i="14"/>
  <c r="A27" i="14"/>
  <c r="B27" i="14"/>
  <c r="C27" i="14"/>
  <c r="J27" i="2"/>
  <c r="K27" i="2"/>
  <c r="D19" i="13" s="1"/>
  <c r="A27" i="2"/>
  <c r="A19" i="13" s="1"/>
  <c r="B27" i="2"/>
  <c r="C27" i="2"/>
  <c r="M25" i="10"/>
  <c r="L25" i="10"/>
  <c r="H27" i="14" s="1"/>
  <c r="K25" i="10"/>
  <c r="F27" i="2" s="1"/>
  <c r="G27" i="2" s="1"/>
  <c r="B19" i="13" s="1"/>
  <c r="K26" i="14"/>
  <c r="A26" i="14"/>
  <c r="B26" i="14"/>
  <c r="C26" i="14"/>
  <c r="J26" i="2"/>
  <c r="K26" i="2"/>
  <c r="D18" i="13" s="1"/>
  <c r="A26" i="2"/>
  <c r="A18" i="13" s="1"/>
  <c r="B26" i="2"/>
  <c r="C26" i="2"/>
  <c r="M24" i="10"/>
  <c r="L24" i="10"/>
  <c r="K24" i="10"/>
  <c r="F26" i="14" s="1"/>
  <c r="G26" i="14" s="1"/>
  <c r="K25" i="14"/>
  <c r="A25" i="14"/>
  <c r="B25" i="14"/>
  <c r="C25" i="14"/>
  <c r="J25" i="2"/>
  <c r="K25" i="2"/>
  <c r="D17" i="13" s="1"/>
  <c r="A25" i="2"/>
  <c r="A17" i="13" s="1"/>
  <c r="B25" i="2"/>
  <c r="C25" i="2"/>
  <c r="M23" i="10"/>
  <c r="L23" i="10"/>
  <c r="H25" i="2" s="1"/>
  <c r="I25" i="2" s="1"/>
  <c r="K23" i="10"/>
  <c r="F25" i="14" s="1"/>
  <c r="G25" i="14" s="1"/>
  <c r="K24" i="2" a="1"/>
  <c r="K24" i="2" s="1"/>
  <c r="H111" i="2" l="1"/>
  <c r="I111" i="2" s="1"/>
  <c r="F111" i="2"/>
  <c r="G111" i="2" s="1"/>
  <c r="B103" i="13" s="1"/>
  <c r="F151" i="2"/>
  <c r="G151" i="2" s="1"/>
  <c r="B143" i="13" s="1"/>
  <c r="H166" i="2"/>
  <c r="I166" i="2" s="1"/>
  <c r="H179" i="2"/>
  <c r="I179" i="2" s="1"/>
  <c r="O179" i="14" s="1"/>
  <c r="I179" i="14" s="1"/>
  <c r="O113" i="14"/>
  <c r="I113" i="14" s="1"/>
  <c r="F179" i="2"/>
  <c r="G179" i="2" s="1"/>
  <c r="B171" i="13" s="1"/>
  <c r="F49" i="2"/>
  <c r="G49" i="2" s="1"/>
  <c r="B41" i="13" s="1"/>
  <c r="H72" i="2"/>
  <c r="I72" i="2" s="1"/>
  <c r="I64" i="13" s="1"/>
  <c r="C64" i="13" s="1"/>
  <c r="H81" i="2"/>
  <c r="I81" i="2" s="1"/>
  <c r="I73" i="13" s="1"/>
  <c r="C73" i="13" s="1"/>
  <c r="F86" i="14"/>
  <c r="G86" i="14" s="1"/>
  <c r="F40" i="2"/>
  <c r="G40" i="2" s="1"/>
  <c r="B32" i="13" s="1"/>
  <c r="H93" i="2"/>
  <c r="I93" i="2" s="1"/>
  <c r="I85" i="13" s="1"/>
  <c r="C85" i="13" s="1"/>
  <c r="F181" i="2"/>
  <c r="G181" i="2" s="1"/>
  <c r="B173" i="13" s="1"/>
  <c r="F56" i="14"/>
  <c r="G56" i="14" s="1"/>
  <c r="H79" i="2"/>
  <c r="I79" i="2" s="1"/>
  <c r="H197" i="2"/>
  <c r="I197" i="2" s="1"/>
  <c r="I189" i="13" s="1"/>
  <c r="C189" i="13" s="1"/>
  <c r="H163" i="2"/>
  <c r="I163" i="2" s="1"/>
  <c r="O163" i="14" s="1"/>
  <c r="I163" i="14" s="1"/>
  <c r="F205" i="2"/>
  <c r="G205" i="2" s="1"/>
  <c r="B197" i="13" s="1"/>
  <c r="F25" i="2"/>
  <c r="G25" i="2" s="1"/>
  <c r="B17" i="13" s="1"/>
  <c r="F121" i="2"/>
  <c r="G121" i="2" s="1"/>
  <c r="B113" i="13" s="1"/>
  <c r="F90" i="2"/>
  <c r="G90" i="2" s="1"/>
  <c r="B82" i="13" s="1"/>
  <c r="H158" i="14"/>
  <c r="H123" i="14"/>
  <c r="F163" i="2"/>
  <c r="G163" i="2" s="1"/>
  <c r="B155" i="13" s="1"/>
  <c r="H162" i="14"/>
  <c r="F41" i="14"/>
  <c r="G41" i="14" s="1"/>
  <c r="F199" i="2"/>
  <c r="G199" i="2" s="1"/>
  <c r="B191" i="13" s="1"/>
  <c r="F33" i="2"/>
  <c r="G33" i="2" s="1"/>
  <c r="B25" i="13" s="1"/>
  <c r="H155" i="2"/>
  <c r="I155" i="2" s="1"/>
  <c r="F103" i="2"/>
  <c r="G103" i="2" s="1"/>
  <c r="B95" i="13" s="1"/>
  <c r="F155" i="2"/>
  <c r="G155" i="2" s="1"/>
  <c r="B147" i="13" s="1"/>
  <c r="I159" i="13"/>
  <c r="C159" i="13" s="1"/>
  <c r="F37" i="2"/>
  <c r="G37" i="2" s="1"/>
  <c r="B29" i="13" s="1"/>
  <c r="F55" i="14"/>
  <c r="G55" i="14" s="1"/>
  <c r="F104" i="2"/>
  <c r="G104" i="2" s="1"/>
  <c r="B96" i="13" s="1"/>
  <c r="H122" i="2"/>
  <c r="I122" i="2" s="1"/>
  <c r="I114" i="13" s="1"/>
  <c r="C114" i="13" s="1"/>
  <c r="F135" i="14"/>
  <c r="G135" i="14" s="1"/>
  <c r="H173" i="2"/>
  <c r="I173" i="2" s="1"/>
  <c r="I165" i="13" s="1"/>
  <c r="C165" i="13" s="1"/>
  <c r="F183" i="14"/>
  <c r="G183" i="14" s="1"/>
  <c r="H187" i="2"/>
  <c r="I187" i="2" s="1"/>
  <c r="O187" i="14" s="1"/>
  <c r="I187" i="14" s="1"/>
  <c r="H211" i="2"/>
  <c r="I211" i="2" s="1"/>
  <c r="O211" i="14" s="1"/>
  <c r="I211" i="14" s="1"/>
  <c r="H64" i="2"/>
  <c r="I64" i="2" s="1"/>
  <c r="O64" i="14" s="1"/>
  <c r="I64" i="14" s="1"/>
  <c r="H82" i="14"/>
  <c r="H41" i="2"/>
  <c r="I41" i="2" s="1"/>
  <c r="O41" i="14" s="1"/>
  <c r="I41" i="14" s="1"/>
  <c r="H142" i="2"/>
  <c r="I142" i="2" s="1"/>
  <c r="I134" i="13" s="1"/>
  <c r="C134" i="13" s="1"/>
  <c r="H193" i="2"/>
  <c r="I193" i="2" s="1"/>
  <c r="F129" i="2"/>
  <c r="G129" i="2" s="1"/>
  <c r="B121" i="13" s="1"/>
  <c r="F178" i="2"/>
  <c r="G178" i="2" s="1"/>
  <c r="B170" i="13" s="1"/>
  <c r="F193" i="2"/>
  <c r="G193" i="2" s="1"/>
  <c r="B185" i="13" s="1"/>
  <c r="F127" i="14"/>
  <c r="G127" i="14" s="1"/>
  <c r="F138" i="14"/>
  <c r="G138" i="14" s="1"/>
  <c r="H109" i="14"/>
  <c r="F154" i="14"/>
  <c r="G154" i="14" s="1"/>
  <c r="H172" i="14"/>
  <c r="F196" i="14"/>
  <c r="G196" i="14" s="1"/>
  <c r="H63" i="14"/>
  <c r="F102" i="14"/>
  <c r="G102" i="14" s="1"/>
  <c r="F134" i="14"/>
  <c r="G134" i="14" s="1"/>
  <c r="H147" i="14"/>
  <c r="F177" i="14"/>
  <c r="G177" i="14" s="1"/>
  <c r="H180" i="14"/>
  <c r="H191" i="14"/>
  <c r="H210" i="14"/>
  <c r="H90" i="14"/>
  <c r="H60" i="2"/>
  <c r="I60" i="2" s="1"/>
  <c r="I52" i="13" s="1"/>
  <c r="C52" i="13" s="1"/>
  <c r="F63" i="14"/>
  <c r="G63" i="14" s="1"/>
  <c r="H66" i="2"/>
  <c r="I66" i="2" s="1"/>
  <c r="O109" i="14"/>
  <c r="I109" i="14" s="1"/>
  <c r="H128" i="14"/>
  <c r="F172" i="14"/>
  <c r="G172" i="14" s="1"/>
  <c r="F184" i="14"/>
  <c r="G184" i="14" s="1"/>
  <c r="F69" i="14"/>
  <c r="G69" i="14" s="1"/>
  <c r="H35" i="2"/>
  <c r="I35" i="2" s="1"/>
  <c r="I27" i="13" s="1"/>
  <c r="C27" i="13" s="1"/>
  <c r="F39" i="14"/>
  <c r="G39" i="14" s="1"/>
  <c r="F85" i="14"/>
  <c r="G85" i="14" s="1"/>
  <c r="F26" i="2"/>
  <c r="G26" i="2" s="1"/>
  <c r="B18" i="13" s="1"/>
  <c r="H61" i="2"/>
  <c r="I61" i="2" s="1"/>
  <c r="I53" i="13" s="1"/>
  <c r="C53" i="13" s="1"/>
  <c r="F67" i="2"/>
  <c r="G67" i="2" s="1"/>
  <c r="B59" i="13" s="1"/>
  <c r="F110" i="14"/>
  <c r="G110" i="14" s="1"/>
  <c r="F112" i="2"/>
  <c r="G112" i="2" s="1"/>
  <c r="B104" i="13" s="1"/>
  <c r="H131" i="2"/>
  <c r="I131" i="2" s="1"/>
  <c r="I123" i="13" s="1"/>
  <c r="C123" i="13" s="1"/>
  <c r="H135" i="14"/>
  <c r="H137" i="2"/>
  <c r="I137" i="2" s="1"/>
  <c r="F144" i="2"/>
  <c r="G144" i="2" s="1"/>
  <c r="B136" i="13" s="1"/>
  <c r="F148" i="14"/>
  <c r="G148" i="14" s="1"/>
  <c r="H156" i="2"/>
  <c r="I156" i="2" s="1"/>
  <c r="O156" i="14" s="1"/>
  <c r="I156" i="14" s="1"/>
  <c r="F180" i="14"/>
  <c r="G180" i="14" s="1"/>
  <c r="F197" i="14"/>
  <c r="G197" i="14" s="1"/>
  <c r="H205" i="14"/>
  <c r="F210" i="14"/>
  <c r="G210" i="14" s="1"/>
  <c r="F211" i="2"/>
  <c r="G211" i="2" s="1"/>
  <c r="B203" i="13" s="1"/>
  <c r="F54" i="14"/>
  <c r="G54" i="14" s="1"/>
  <c r="H74" i="2"/>
  <c r="I74" i="2" s="1"/>
  <c r="O74" i="14" s="1"/>
  <c r="I74" i="14" s="1"/>
  <c r="F34" i="14"/>
  <c r="G34" i="14" s="1"/>
  <c r="F50" i="14"/>
  <c r="G50" i="14" s="1"/>
  <c r="H53" i="2"/>
  <c r="I53" i="2" s="1"/>
  <c r="O53" i="14" s="1"/>
  <c r="I53" i="14" s="1"/>
  <c r="F61" i="2"/>
  <c r="G61" i="2" s="1"/>
  <c r="B53" i="13" s="1"/>
  <c r="I80" i="13"/>
  <c r="C80" i="13" s="1"/>
  <c r="F95" i="2"/>
  <c r="G95" i="2" s="1"/>
  <c r="B87" i="13" s="1"/>
  <c r="F131" i="2"/>
  <c r="G131" i="2" s="1"/>
  <c r="B123" i="13" s="1"/>
  <c r="O162" i="14"/>
  <c r="I162" i="14" s="1"/>
  <c r="H170" i="2"/>
  <c r="I170" i="2" s="1"/>
  <c r="I162" i="13" s="1"/>
  <c r="C162" i="13" s="1"/>
  <c r="H176" i="2"/>
  <c r="I176" i="2" s="1"/>
  <c r="F194" i="2"/>
  <c r="G194" i="2" s="1"/>
  <c r="B186" i="13" s="1"/>
  <c r="H208" i="2"/>
  <c r="I208" i="2" s="1"/>
  <c r="O208" i="14" s="1"/>
  <c r="I208" i="14" s="1"/>
  <c r="H86" i="14"/>
  <c r="H124" i="2"/>
  <c r="I124" i="2" s="1"/>
  <c r="I116" i="13" s="1"/>
  <c r="C116" i="13" s="1"/>
  <c r="H143" i="14"/>
  <c r="F149" i="14"/>
  <c r="G149" i="14" s="1"/>
  <c r="F176" i="2"/>
  <c r="G176" i="2" s="1"/>
  <c r="B168" i="13" s="1"/>
  <c r="H28" i="2"/>
  <c r="I28" i="2" s="1"/>
  <c r="O28" i="14" s="1"/>
  <c r="I28" i="14" s="1"/>
  <c r="F44" i="2"/>
  <c r="G44" i="2" s="1"/>
  <c r="B36" i="13" s="1"/>
  <c r="H51" i="14"/>
  <c r="F68" i="2"/>
  <c r="G68" i="2" s="1"/>
  <c r="B60" i="13" s="1"/>
  <c r="F76" i="2"/>
  <c r="G76" i="2" s="1"/>
  <c r="B68" i="13" s="1"/>
  <c r="O81" i="14"/>
  <c r="I81" i="14" s="1"/>
  <c r="H97" i="2"/>
  <c r="I97" i="2" s="1"/>
  <c r="O97" i="14" s="1"/>
  <c r="I97" i="14" s="1"/>
  <c r="F150" i="14"/>
  <c r="G150" i="14" s="1"/>
  <c r="H153" i="2"/>
  <c r="I153" i="2" s="1"/>
  <c r="F174" i="14"/>
  <c r="G174" i="14" s="1"/>
  <c r="F190" i="2"/>
  <c r="G190" i="2" s="1"/>
  <c r="B182" i="13" s="1"/>
  <c r="H202" i="2"/>
  <c r="I202" i="2" s="1"/>
  <c r="O202" i="14" s="1"/>
  <c r="I202" i="14" s="1"/>
  <c r="F38" i="14"/>
  <c r="G38" i="14" s="1"/>
  <c r="O169" i="14"/>
  <c r="I169" i="14" s="1"/>
  <c r="F209" i="2"/>
  <c r="G209" i="2" s="1"/>
  <c r="B201" i="13" s="1"/>
  <c r="H32" i="2"/>
  <c r="I32" i="2" s="1"/>
  <c r="O32" i="14" s="1"/>
  <c r="I32" i="14" s="1"/>
  <c r="H75" i="14"/>
  <c r="H78" i="2"/>
  <c r="I78" i="2" s="1"/>
  <c r="H83" i="2"/>
  <c r="I83" i="2" s="1"/>
  <c r="O83" i="14" s="1"/>
  <c r="I83" i="14" s="1"/>
  <c r="H102" i="2"/>
  <c r="I102" i="2" s="1"/>
  <c r="O102" i="14" s="1"/>
  <c r="I102" i="14" s="1"/>
  <c r="O112" i="14"/>
  <c r="I112" i="14" s="1"/>
  <c r="F114" i="2"/>
  <c r="G114" i="2" s="1"/>
  <c r="B106" i="13" s="1"/>
  <c r="H194" i="14"/>
  <c r="F53" i="14"/>
  <c r="G53" i="14" s="1"/>
  <c r="H85" i="2"/>
  <c r="I85" i="2" s="1"/>
  <c r="O85" i="14" s="1"/>
  <c r="I85" i="14" s="1"/>
  <c r="F107" i="14"/>
  <c r="G107" i="14" s="1"/>
  <c r="F128" i="2"/>
  <c r="G128" i="2" s="1"/>
  <c r="B120" i="13" s="1"/>
  <c r="H139" i="2"/>
  <c r="I139" i="2" s="1"/>
  <c r="O139" i="14" s="1"/>
  <c r="I139" i="14" s="1"/>
  <c r="F157" i="14"/>
  <c r="G157" i="14" s="1"/>
  <c r="H159" i="2"/>
  <c r="I159" i="2" s="1"/>
  <c r="O159" i="14" s="1"/>
  <c r="I159" i="14" s="1"/>
  <c r="F171" i="14"/>
  <c r="G171" i="14" s="1"/>
  <c r="F208" i="14"/>
  <c r="G208" i="14" s="1"/>
  <c r="F213" i="14"/>
  <c r="G213" i="14" s="1"/>
  <c r="F45" i="14"/>
  <c r="G45" i="14" s="1"/>
  <c r="H195" i="14"/>
  <c r="I68" i="13"/>
  <c r="C68" i="13" s="1"/>
  <c r="O76" i="14"/>
  <c r="I76" i="14" s="1"/>
  <c r="O171" i="14"/>
  <c r="I171" i="14" s="1"/>
  <c r="I163" i="13"/>
  <c r="C163" i="13" s="1"/>
  <c r="O75" i="14"/>
  <c r="I75" i="14" s="1"/>
  <c r="I67" i="13"/>
  <c r="C67" i="13" s="1"/>
  <c r="O44" i="14"/>
  <c r="I44" i="14" s="1"/>
  <c r="I36" i="13"/>
  <c r="C36" i="13" s="1"/>
  <c r="I103" i="13"/>
  <c r="C103" i="13" s="1"/>
  <c r="O111" i="14"/>
  <c r="I111" i="14" s="1"/>
  <c r="O128" i="14"/>
  <c r="I128" i="14" s="1"/>
  <c r="I120" i="13"/>
  <c r="C120" i="13" s="1"/>
  <c r="I152" i="13"/>
  <c r="C152" i="13" s="1"/>
  <c r="O160" i="14"/>
  <c r="I160" i="14" s="1"/>
  <c r="O66" i="14"/>
  <c r="I66" i="14" s="1"/>
  <c r="I58" i="13"/>
  <c r="C58" i="13" s="1"/>
  <c r="O70" i="14"/>
  <c r="I70" i="14" s="1"/>
  <c r="I62" i="13"/>
  <c r="C62" i="13" s="1"/>
  <c r="I112" i="13"/>
  <c r="C112" i="13" s="1"/>
  <c r="O120" i="14"/>
  <c r="I120" i="14" s="1"/>
  <c r="O166" i="14"/>
  <c r="I166" i="14" s="1"/>
  <c r="I158" i="13"/>
  <c r="C158" i="13" s="1"/>
  <c r="O194" i="14"/>
  <c r="I194" i="14" s="1"/>
  <c r="I186" i="13"/>
  <c r="C186" i="13" s="1"/>
  <c r="F31" i="2"/>
  <c r="G31" i="2" s="1"/>
  <c r="B23" i="13" s="1"/>
  <c r="F106" i="2"/>
  <c r="G106" i="2" s="1"/>
  <c r="B98" i="13" s="1"/>
  <c r="H145" i="2"/>
  <c r="I145" i="2" s="1"/>
  <c r="I137" i="13" s="1"/>
  <c r="C137" i="13" s="1"/>
  <c r="F156" i="14"/>
  <c r="G156" i="14" s="1"/>
  <c r="H177" i="14"/>
  <c r="H184" i="14"/>
  <c r="H188" i="14"/>
  <c r="F198" i="2"/>
  <c r="G198" i="2" s="1"/>
  <c r="B190" i="13" s="1"/>
  <c r="F214" i="2"/>
  <c r="G214" i="2" s="1"/>
  <c r="B206" i="13" s="1"/>
  <c r="H44" i="14"/>
  <c r="H94" i="2"/>
  <c r="I94" i="2" s="1"/>
  <c r="O94" i="14" s="1"/>
  <c r="I94" i="14" s="1"/>
  <c r="F124" i="14"/>
  <c r="G124" i="14" s="1"/>
  <c r="H42" i="14"/>
  <c r="F35" i="14"/>
  <c r="G35" i="14" s="1"/>
  <c r="H84" i="14"/>
  <c r="H100" i="14"/>
  <c r="O33" i="14"/>
  <c r="I33" i="14" s="1"/>
  <c r="F57" i="14"/>
  <c r="G57" i="14" s="1"/>
  <c r="F65" i="2"/>
  <c r="G65" i="2" s="1"/>
  <c r="B57" i="13" s="1"/>
  <c r="H68" i="2"/>
  <c r="I68" i="2" s="1"/>
  <c r="O68" i="14" s="1"/>
  <c r="I68" i="14" s="1"/>
  <c r="H76" i="14"/>
  <c r="F77" i="2"/>
  <c r="G77" i="2" s="1"/>
  <c r="B69" i="13" s="1"/>
  <c r="F81" i="2"/>
  <c r="G81" i="2" s="1"/>
  <c r="B73" i="13" s="1"/>
  <c r="H92" i="2"/>
  <c r="I92" i="2" s="1"/>
  <c r="O92" i="14" s="1"/>
  <c r="I92" i="14" s="1"/>
  <c r="F94" i="2"/>
  <c r="G94" i="2" s="1"/>
  <c r="B86" i="13" s="1"/>
  <c r="F105" i="14"/>
  <c r="G105" i="14" s="1"/>
  <c r="F123" i="2"/>
  <c r="G123" i="2" s="1"/>
  <c r="B115" i="13" s="1"/>
  <c r="F137" i="14"/>
  <c r="G137" i="14" s="1"/>
  <c r="O170" i="14"/>
  <c r="I170" i="14" s="1"/>
  <c r="H49" i="2"/>
  <c r="I49" i="2" s="1"/>
  <c r="F52" i="2"/>
  <c r="G52" i="2" s="1"/>
  <c r="B44" i="13" s="1"/>
  <c r="H55" i="2"/>
  <c r="I55" i="2" s="1"/>
  <c r="O55" i="14" s="1"/>
  <c r="I55" i="14" s="1"/>
  <c r="H59" i="2"/>
  <c r="I59" i="2" s="1"/>
  <c r="O59" i="14" s="1"/>
  <c r="I59" i="14" s="1"/>
  <c r="F64" i="14"/>
  <c r="G64" i="14" s="1"/>
  <c r="I65" i="13"/>
  <c r="C65" i="13" s="1"/>
  <c r="F80" i="14"/>
  <c r="G80" i="14" s="1"/>
  <c r="O93" i="14"/>
  <c r="I93" i="14" s="1"/>
  <c r="H96" i="14"/>
  <c r="H121" i="2"/>
  <c r="I121" i="2" s="1"/>
  <c r="F122" i="14"/>
  <c r="G122" i="14" s="1"/>
  <c r="I115" i="13"/>
  <c r="C115" i="13" s="1"/>
  <c r="H146" i="2"/>
  <c r="I146" i="2" s="1"/>
  <c r="O146" i="14" s="1"/>
  <c r="I146" i="14" s="1"/>
  <c r="H149" i="2"/>
  <c r="I149" i="2" s="1"/>
  <c r="H151" i="2"/>
  <c r="I151" i="2" s="1"/>
  <c r="O151" i="14" s="1"/>
  <c r="I151" i="14" s="1"/>
  <c r="H157" i="14"/>
  <c r="H71" i="2"/>
  <c r="I71" i="2" s="1"/>
  <c r="O71" i="14" s="1"/>
  <c r="I71" i="14" s="1"/>
  <c r="H99" i="2"/>
  <c r="I99" i="2" s="1"/>
  <c r="H120" i="14"/>
  <c r="F143" i="2"/>
  <c r="G143" i="2" s="1"/>
  <c r="B135" i="13" s="1"/>
  <c r="H148" i="14"/>
  <c r="H150" i="14"/>
  <c r="H160" i="14"/>
  <c r="H161" i="2"/>
  <c r="I161" i="2" s="1"/>
  <c r="H175" i="14"/>
  <c r="H190" i="14"/>
  <c r="F192" i="14"/>
  <c r="G192" i="14" s="1"/>
  <c r="F204" i="2"/>
  <c r="G204" i="2" s="1"/>
  <c r="B196" i="13" s="1"/>
  <c r="H125" i="14"/>
  <c r="H129" i="14"/>
  <c r="F145" i="14"/>
  <c r="G145" i="14" s="1"/>
  <c r="I179" i="13"/>
  <c r="C179" i="13" s="1"/>
  <c r="H198" i="14"/>
  <c r="H215" i="2"/>
  <c r="I215" i="2" s="1"/>
  <c r="O215" i="14" s="1"/>
  <c r="I215" i="14" s="1"/>
  <c r="F58" i="14"/>
  <c r="G58" i="14" s="1"/>
  <c r="F27" i="14"/>
  <c r="G27" i="14" s="1"/>
  <c r="H46" i="2"/>
  <c r="I46" i="2" s="1"/>
  <c r="H56" i="2"/>
  <c r="I56" i="2" s="1"/>
  <c r="H70" i="14"/>
  <c r="O72" i="14"/>
  <c r="I72" i="14" s="1"/>
  <c r="H88" i="14"/>
  <c r="H104" i="14"/>
  <c r="H112" i="14"/>
  <c r="H117" i="2"/>
  <c r="I117" i="2" s="1"/>
  <c r="O117" i="14" s="1"/>
  <c r="I117" i="14" s="1"/>
  <c r="F159" i="2"/>
  <c r="G159" i="2" s="1"/>
  <c r="B151" i="13" s="1"/>
  <c r="H169" i="14"/>
  <c r="H178" i="14"/>
  <c r="H207" i="14"/>
  <c r="H36" i="14"/>
  <c r="H40" i="2"/>
  <c r="I40" i="2" s="1"/>
  <c r="I32" i="13" s="1"/>
  <c r="C32" i="13" s="1"/>
  <c r="F59" i="14"/>
  <c r="G59" i="14" s="1"/>
  <c r="F82" i="14"/>
  <c r="G82" i="14" s="1"/>
  <c r="H105" i="2"/>
  <c r="I105" i="2" s="1"/>
  <c r="O105" i="14" s="1"/>
  <c r="I105" i="14" s="1"/>
  <c r="H108" i="2"/>
  <c r="I108" i="2" s="1"/>
  <c r="I100" i="13" s="1"/>
  <c r="C100" i="13" s="1"/>
  <c r="H115" i="14"/>
  <c r="F147" i="2"/>
  <c r="G147" i="2" s="1"/>
  <c r="B139" i="13" s="1"/>
  <c r="H152" i="2"/>
  <c r="I152" i="2" s="1"/>
  <c r="I144" i="13" s="1"/>
  <c r="C144" i="13" s="1"/>
  <c r="H171" i="14"/>
  <c r="H209" i="14"/>
  <c r="I110" i="13"/>
  <c r="C110" i="13" s="1"/>
  <c r="H73" i="14"/>
  <c r="F32" i="14"/>
  <c r="G32" i="14" s="1"/>
  <c r="H38" i="14"/>
  <c r="H50" i="2"/>
  <c r="I50" i="2" s="1"/>
  <c r="O50" i="14" s="1"/>
  <c r="I50" i="14" s="1"/>
  <c r="H57" i="2"/>
  <c r="I57" i="2" s="1"/>
  <c r="I49" i="13" s="1"/>
  <c r="C49" i="13" s="1"/>
  <c r="F73" i="14"/>
  <c r="G73" i="14" s="1"/>
  <c r="O143" i="14"/>
  <c r="I143" i="14" s="1"/>
  <c r="H27" i="2"/>
  <c r="I27" i="2" s="1"/>
  <c r="F28" i="14"/>
  <c r="G28" i="14" s="1"/>
  <c r="H48" i="2"/>
  <c r="I48" i="2" s="1"/>
  <c r="I40" i="13" s="1"/>
  <c r="C40" i="13" s="1"/>
  <c r="H69" i="14"/>
  <c r="F71" i="14"/>
  <c r="G71" i="14" s="1"/>
  <c r="H91" i="2"/>
  <c r="I91" i="2" s="1"/>
  <c r="I83" i="13" s="1"/>
  <c r="C83" i="13" s="1"/>
  <c r="H95" i="14"/>
  <c r="F108" i="14"/>
  <c r="G108" i="14" s="1"/>
  <c r="I117" i="13"/>
  <c r="C117" i="13" s="1"/>
  <c r="F141" i="2"/>
  <c r="G141" i="2" s="1"/>
  <c r="B133" i="13" s="1"/>
  <c r="H174" i="14"/>
  <c r="F175" i="2"/>
  <c r="G175" i="2" s="1"/>
  <c r="B167" i="13" s="1"/>
  <c r="F191" i="14"/>
  <c r="G191" i="14" s="1"/>
  <c r="O38" i="14"/>
  <c r="I38" i="14" s="1"/>
  <c r="I30" i="13"/>
  <c r="C30" i="13" s="1"/>
  <c r="I21" i="13"/>
  <c r="C21" i="13" s="1"/>
  <c r="O29" i="14"/>
  <c r="I29" i="14" s="1"/>
  <c r="O30" i="14"/>
  <c r="I30" i="14" s="1"/>
  <c r="I22" i="13"/>
  <c r="C22" i="13" s="1"/>
  <c r="O34" i="14"/>
  <c r="I34" i="14" s="1"/>
  <c r="I26" i="13"/>
  <c r="C26" i="13" s="1"/>
  <c r="I79" i="13"/>
  <c r="C79" i="13" s="1"/>
  <c r="O87" i="14"/>
  <c r="I87" i="14" s="1"/>
  <c r="O65" i="14"/>
  <c r="I65" i="14" s="1"/>
  <c r="I57" i="13"/>
  <c r="C57" i="13" s="1"/>
  <c r="I23" i="13"/>
  <c r="C23" i="13" s="1"/>
  <c r="O31" i="14"/>
  <c r="I31" i="14" s="1"/>
  <c r="O25" i="14"/>
  <c r="I25" i="14" s="1"/>
  <c r="I17" i="13"/>
  <c r="C17" i="13" s="1"/>
  <c r="O78" i="14"/>
  <c r="I78" i="14" s="1"/>
  <c r="I70" i="13"/>
  <c r="C70" i="13" s="1"/>
  <c r="F62" i="14"/>
  <c r="G62" i="14" s="1"/>
  <c r="F62" i="2"/>
  <c r="G62" i="2" s="1"/>
  <c r="B54" i="13" s="1"/>
  <c r="F70" i="14"/>
  <c r="G70" i="14" s="1"/>
  <c r="F72" i="14"/>
  <c r="G72" i="14" s="1"/>
  <c r="H43" i="2"/>
  <c r="I43" i="2" s="1"/>
  <c r="F48" i="2"/>
  <c r="G48" i="2" s="1"/>
  <c r="B40" i="13" s="1"/>
  <c r="F51" i="14"/>
  <c r="G51" i="14" s="1"/>
  <c r="F43" i="2"/>
  <c r="G43" i="2" s="1"/>
  <c r="B35" i="13" s="1"/>
  <c r="H47" i="2"/>
  <c r="I47" i="2" s="1"/>
  <c r="F60" i="2"/>
  <c r="G60" i="2" s="1"/>
  <c r="B52" i="13" s="1"/>
  <c r="H26" i="14"/>
  <c r="H26" i="2"/>
  <c r="I26" i="2" s="1"/>
  <c r="F47" i="2"/>
  <c r="G47" i="2" s="1"/>
  <c r="B39" i="13" s="1"/>
  <c r="H54" i="2"/>
  <c r="I54" i="2" s="1"/>
  <c r="O63" i="14"/>
  <c r="I63" i="14" s="1"/>
  <c r="I55" i="13"/>
  <c r="C55" i="13" s="1"/>
  <c r="F79" i="14"/>
  <c r="G79" i="14" s="1"/>
  <c r="F79" i="2"/>
  <c r="G79" i="2" s="1"/>
  <c r="B71" i="13" s="1"/>
  <c r="O84" i="14"/>
  <c r="I84" i="14" s="1"/>
  <c r="H52" i="2"/>
  <c r="I52" i="2" s="1"/>
  <c r="H52" i="14"/>
  <c r="H67" i="14"/>
  <c r="H67" i="2"/>
  <c r="I67" i="2" s="1"/>
  <c r="F75" i="2"/>
  <c r="G75" i="2" s="1"/>
  <c r="B67" i="13" s="1"/>
  <c r="F75" i="14"/>
  <c r="G75" i="14" s="1"/>
  <c r="O82" i="14"/>
  <c r="I82" i="14" s="1"/>
  <c r="I74" i="13"/>
  <c r="C74" i="13" s="1"/>
  <c r="H65" i="14"/>
  <c r="F83" i="2"/>
  <c r="G83" i="2" s="1"/>
  <c r="B75" i="13" s="1"/>
  <c r="F83" i="14"/>
  <c r="G83" i="14" s="1"/>
  <c r="H98" i="14"/>
  <c r="H98" i="2"/>
  <c r="I98" i="2" s="1"/>
  <c r="I92" i="13"/>
  <c r="C92" i="13" s="1"/>
  <c r="O100" i="14"/>
  <c r="I100" i="14" s="1"/>
  <c r="H103" i="2"/>
  <c r="I103" i="2" s="1"/>
  <c r="O104" i="14"/>
  <c r="I104" i="14" s="1"/>
  <c r="I96" i="13"/>
  <c r="C96" i="13" s="1"/>
  <c r="O95" i="14"/>
  <c r="I95" i="14" s="1"/>
  <c r="I87" i="13"/>
  <c r="C87" i="13" s="1"/>
  <c r="I121" i="13"/>
  <c r="C121" i="13" s="1"/>
  <c r="O129" i="14"/>
  <c r="I129" i="14" s="1"/>
  <c r="F42" i="14"/>
  <c r="G42" i="14" s="1"/>
  <c r="F42" i="2"/>
  <c r="G42" i="2" s="1"/>
  <c r="B34" i="13" s="1"/>
  <c r="F46" i="14"/>
  <c r="G46" i="14" s="1"/>
  <c r="F46" i="2"/>
  <c r="G46" i="2" s="1"/>
  <c r="B38" i="13" s="1"/>
  <c r="O51" i="14"/>
  <c r="I51" i="14" s="1"/>
  <c r="I43" i="13"/>
  <c r="C43" i="13" s="1"/>
  <c r="O86" i="14"/>
  <c r="I86" i="14" s="1"/>
  <c r="I78" i="13"/>
  <c r="C78" i="13" s="1"/>
  <c r="F88" i="14"/>
  <c r="G88" i="14" s="1"/>
  <c r="F88" i="2"/>
  <c r="G88" i="2" s="1"/>
  <c r="B80" i="13" s="1"/>
  <c r="F66" i="2"/>
  <c r="G66" i="2" s="1"/>
  <c r="B58" i="13" s="1"/>
  <c r="F66" i="14"/>
  <c r="G66" i="14" s="1"/>
  <c r="O69" i="14"/>
  <c r="I69" i="14" s="1"/>
  <c r="I61" i="13"/>
  <c r="C61" i="13" s="1"/>
  <c r="H80" i="14"/>
  <c r="H80" i="2"/>
  <c r="I80" i="2" s="1"/>
  <c r="I84" i="13"/>
  <c r="C84" i="13" s="1"/>
  <c r="F100" i="14"/>
  <c r="G100" i="14" s="1"/>
  <c r="F100" i="2"/>
  <c r="G100" i="2" s="1"/>
  <c r="B92" i="13" s="1"/>
  <c r="F78" i="2"/>
  <c r="G78" i="2" s="1"/>
  <c r="B70" i="13" s="1"/>
  <c r="F78" i="14"/>
  <c r="G78" i="14" s="1"/>
  <c r="F84" i="2"/>
  <c r="G84" i="2" s="1"/>
  <c r="B76" i="13" s="1"/>
  <c r="F84" i="14"/>
  <c r="G84" i="14" s="1"/>
  <c r="F96" i="14"/>
  <c r="G96" i="14" s="1"/>
  <c r="F96" i="2"/>
  <c r="G96" i="2" s="1"/>
  <c r="B88" i="13" s="1"/>
  <c r="H77" i="2"/>
  <c r="I77" i="2" s="1"/>
  <c r="H77" i="14"/>
  <c r="I33" i="13"/>
  <c r="C33" i="13" s="1"/>
  <c r="H25" i="14"/>
  <c r="H31" i="14"/>
  <c r="H30" i="14"/>
  <c r="H34" i="14"/>
  <c r="O36" i="14"/>
  <c r="I36" i="14" s="1"/>
  <c r="H45" i="14"/>
  <c r="H45" i="2"/>
  <c r="I45" i="2" s="1"/>
  <c r="H58" i="2"/>
  <c r="I58" i="2" s="1"/>
  <c r="O79" i="14"/>
  <c r="I79" i="14" s="1"/>
  <c r="I71" i="13"/>
  <c r="C71" i="13" s="1"/>
  <c r="I94" i="13"/>
  <c r="C94" i="13" s="1"/>
  <c r="I88" i="13"/>
  <c r="C88" i="13" s="1"/>
  <c r="O96" i="14"/>
  <c r="I96" i="14" s="1"/>
  <c r="I34" i="13"/>
  <c r="C34" i="13" s="1"/>
  <c r="O90" i="14"/>
  <c r="I90" i="14" s="1"/>
  <c r="I82" i="13"/>
  <c r="C82" i="13" s="1"/>
  <c r="F130" i="14"/>
  <c r="G130" i="14" s="1"/>
  <c r="F130" i="2"/>
  <c r="G130" i="2" s="1"/>
  <c r="B122" i="13" s="1"/>
  <c r="H29" i="14"/>
  <c r="F30" i="14"/>
  <c r="G30" i="14" s="1"/>
  <c r="H39" i="14"/>
  <c r="H39" i="2"/>
  <c r="I39" i="2" s="1"/>
  <c r="F101" i="2"/>
  <c r="G101" i="2" s="1"/>
  <c r="B93" i="13" s="1"/>
  <c r="F101" i="14"/>
  <c r="G101" i="14" s="1"/>
  <c r="I119" i="13"/>
  <c r="C119" i="13" s="1"/>
  <c r="O127" i="14"/>
  <c r="I127" i="14" s="1"/>
  <c r="F29" i="14"/>
  <c r="G29" i="14" s="1"/>
  <c r="H37" i="14"/>
  <c r="H37" i="2"/>
  <c r="I37" i="2" s="1"/>
  <c r="H33" i="14"/>
  <c r="F36" i="14"/>
  <c r="G36" i="14" s="1"/>
  <c r="F36" i="2"/>
  <c r="G36" i="2" s="1"/>
  <c r="B28" i="13" s="1"/>
  <c r="F89" i="14"/>
  <c r="G89" i="14" s="1"/>
  <c r="F98" i="2"/>
  <c r="G98" i="2" s="1"/>
  <c r="B90" i="13" s="1"/>
  <c r="F98" i="14"/>
  <c r="G98" i="14" s="1"/>
  <c r="I109" i="13"/>
  <c r="C109" i="13" s="1"/>
  <c r="O132" i="14"/>
  <c r="I132" i="14" s="1"/>
  <c r="I124" i="13"/>
  <c r="C124" i="13" s="1"/>
  <c r="O173" i="14"/>
  <c r="I173" i="14" s="1"/>
  <c r="I185" i="13"/>
  <c r="C185" i="13" s="1"/>
  <c r="O193" i="14"/>
  <c r="I193" i="14" s="1"/>
  <c r="F97" i="14"/>
  <c r="G97" i="14" s="1"/>
  <c r="F97" i="2"/>
  <c r="G97" i="2" s="1"/>
  <c r="B89" i="13" s="1"/>
  <c r="F120" i="2"/>
  <c r="G120" i="2" s="1"/>
  <c r="B112" i="13" s="1"/>
  <c r="F120" i="14"/>
  <c r="G120" i="14" s="1"/>
  <c r="O191" i="14"/>
  <c r="I191" i="14" s="1"/>
  <c r="I183" i="13"/>
  <c r="C183" i="13" s="1"/>
  <c r="F74" i="14"/>
  <c r="G74" i="14" s="1"/>
  <c r="H106" i="2"/>
  <c r="I106" i="2" s="1"/>
  <c r="F113" i="2"/>
  <c r="G113" i="2" s="1"/>
  <c r="B105" i="13" s="1"/>
  <c r="H114" i="2"/>
  <c r="I114" i="2" s="1"/>
  <c r="H114" i="14"/>
  <c r="F116" i="14"/>
  <c r="G116" i="14" s="1"/>
  <c r="H136" i="2"/>
  <c r="I136" i="2" s="1"/>
  <c r="H136" i="14"/>
  <c r="F93" i="14"/>
  <c r="G93" i="14" s="1"/>
  <c r="I107" i="13"/>
  <c r="C107" i="13" s="1"/>
  <c r="F186" i="2"/>
  <c r="G186" i="2" s="1"/>
  <c r="B178" i="13" s="1"/>
  <c r="F186" i="14"/>
  <c r="G186" i="14" s="1"/>
  <c r="F91" i="14"/>
  <c r="G91" i="14" s="1"/>
  <c r="F92" i="14"/>
  <c r="G92" i="14" s="1"/>
  <c r="O135" i="14"/>
  <c r="I135" i="14" s="1"/>
  <c r="I127" i="13"/>
  <c r="C127" i="13" s="1"/>
  <c r="F99" i="2"/>
  <c r="G99" i="2" s="1"/>
  <c r="B91" i="13" s="1"/>
  <c r="F99" i="14"/>
  <c r="G99" i="14" s="1"/>
  <c r="H62" i="2"/>
  <c r="I62" i="2" s="1"/>
  <c r="H87" i="14"/>
  <c r="F126" i="14"/>
  <c r="G126" i="14" s="1"/>
  <c r="F126" i="2"/>
  <c r="G126" i="2" s="1"/>
  <c r="B118" i="13" s="1"/>
  <c r="O144" i="14"/>
  <c r="I144" i="14" s="1"/>
  <c r="I136" i="13"/>
  <c r="C136" i="13" s="1"/>
  <c r="H89" i="14"/>
  <c r="H89" i="2"/>
  <c r="I89" i="2" s="1"/>
  <c r="F136" i="14"/>
  <c r="G136" i="14" s="1"/>
  <c r="F136" i="2"/>
  <c r="G136" i="2" s="1"/>
  <c r="B128" i="13" s="1"/>
  <c r="H138" i="2"/>
  <c r="I138" i="2" s="1"/>
  <c r="F146" i="14"/>
  <c r="G146" i="14" s="1"/>
  <c r="F146" i="2"/>
  <c r="G146" i="2" s="1"/>
  <c r="B138" i="13" s="1"/>
  <c r="F87" i="2"/>
  <c r="G87" i="2" s="1"/>
  <c r="B79" i="13" s="1"/>
  <c r="H118" i="14"/>
  <c r="F119" i="14"/>
  <c r="G119" i="14" s="1"/>
  <c r="H126" i="14"/>
  <c r="H126" i="2"/>
  <c r="I126" i="2" s="1"/>
  <c r="H141" i="2"/>
  <c r="I141" i="2" s="1"/>
  <c r="F169" i="14"/>
  <c r="G169" i="14" s="1"/>
  <c r="F169" i="2"/>
  <c r="G169" i="2" s="1"/>
  <c r="B161" i="13" s="1"/>
  <c r="O177" i="14"/>
  <c r="I177" i="14" s="1"/>
  <c r="I169" i="13"/>
  <c r="C169" i="13" s="1"/>
  <c r="O178" i="14"/>
  <c r="I178" i="14" s="1"/>
  <c r="I170" i="13"/>
  <c r="C170" i="13" s="1"/>
  <c r="H186" i="2"/>
  <c r="I186" i="2" s="1"/>
  <c r="H186" i="14"/>
  <c r="H101" i="2"/>
  <c r="I101" i="2" s="1"/>
  <c r="F109" i="14"/>
  <c r="G109" i="14" s="1"/>
  <c r="F109" i="2"/>
  <c r="G109" i="2" s="1"/>
  <c r="B101" i="13" s="1"/>
  <c r="H110" i="14"/>
  <c r="H110" i="2"/>
  <c r="I110" i="2" s="1"/>
  <c r="F118" i="14"/>
  <c r="G118" i="14" s="1"/>
  <c r="H127" i="14"/>
  <c r="H144" i="14"/>
  <c r="O158" i="14"/>
  <c r="I158" i="14" s="1"/>
  <c r="I150" i="13"/>
  <c r="C150" i="13" s="1"/>
  <c r="F187" i="14"/>
  <c r="G187" i="14" s="1"/>
  <c r="F187" i="2"/>
  <c r="G187" i="2" s="1"/>
  <c r="B179" i="13" s="1"/>
  <c r="I182" i="13"/>
  <c r="C182" i="13" s="1"/>
  <c r="O190" i="14"/>
  <c r="I190" i="14" s="1"/>
  <c r="O147" i="14"/>
  <c r="I147" i="14" s="1"/>
  <c r="I139" i="13"/>
  <c r="C139" i="13" s="1"/>
  <c r="I173" i="13"/>
  <c r="C173" i="13" s="1"/>
  <c r="O181" i="14"/>
  <c r="I181" i="14" s="1"/>
  <c r="O184" i="14"/>
  <c r="I184" i="14" s="1"/>
  <c r="I176" i="13"/>
  <c r="C176" i="13" s="1"/>
  <c r="O188" i="14"/>
  <c r="I188" i="14" s="1"/>
  <c r="I180" i="13"/>
  <c r="C180" i="13" s="1"/>
  <c r="H164" i="14"/>
  <c r="H164" i="2"/>
  <c r="I164" i="2" s="1"/>
  <c r="O172" i="14"/>
  <c r="I172" i="14" s="1"/>
  <c r="I164" i="13"/>
  <c r="C164" i="13" s="1"/>
  <c r="I166" i="13"/>
  <c r="C166" i="13" s="1"/>
  <c r="O174" i="14"/>
  <c r="I174" i="14" s="1"/>
  <c r="O175" i="14"/>
  <c r="I175" i="14" s="1"/>
  <c r="I167" i="13"/>
  <c r="C167" i="13" s="1"/>
  <c r="H113" i="14"/>
  <c r="H130" i="14"/>
  <c r="H130" i="2"/>
  <c r="I130" i="2" s="1"/>
  <c r="H132" i="14"/>
  <c r="O155" i="14"/>
  <c r="I155" i="14" s="1"/>
  <c r="I147" i="13"/>
  <c r="C147" i="13" s="1"/>
  <c r="F167" i="14"/>
  <c r="G167" i="14" s="1"/>
  <c r="F167" i="2"/>
  <c r="G167" i="2" s="1"/>
  <c r="B159" i="13" s="1"/>
  <c r="F117" i="14"/>
  <c r="G117" i="14" s="1"/>
  <c r="F117" i="2"/>
  <c r="G117" i="2" s="1"/>
  <c r="B109" i="13" s="1"/>
  <c r="H119" i="14"/>
  <c r="H119" i="2"/>
  <c r="I119" i="2" s="1"/>
  <c r="H134" i="14"/>
  <c r="H134" i="2"/>
  <c r="I134" i="2" s="1"/>
  <c r="F165" i="14"/>
  <c r="G165" i="14" s="1"/>
  <c r="F165" i="2"/>
  <c r="G165" i="2" s="1"/>
  <c r="B157" i="13" s="1"/>
  <c r="F170" i="14"/>
  <c r="G170" i="14" s="1"/>
  <c r="F170" i="2"/>
  <c r="G170" i="2" s="1"/>
  <c r="B162" i="13" s="1"/>
  <c r="H107" i="14"/>
  <c r="H107" i="2"/>
  <c r="I107" i="2" s="1"/>
  <c r="H165" i="2"/>
  <c r="I165" i="2" s="1"/>
  <c r="H165" i="14"/>
  <c r="I188" i="13"/>
  <c r="C188" i="13" s="1"/>
  <c r="O196" i="14"/>
  <c r="I196" i="14" s="1"/>
  <c r="F133" i="14"/>
  <c r="G133" i="14" s="1"/>
  <c r="F133" i="2"/>
  <c r="G133" i="2" s="1"/>
  <c r="B125" i="13" s="1"/>
  <c r="O148" i="14"/>
  <c r="I148" i="14" s="1"/>
  <c r="I140" i="13"/>
  <c r="C140" i="13" s="1"/>
  <c r="F166" i="2"/>
  <c r="G166" i="2" s="1"/>
  <c r="B158" i="13" s="1"/>
  <c r="H182" i="2"/>
  <c r="I182" i="2" s="1"/>
  <c r="H182" i="14"/>
  <c r="F115" i="14"/>
  <c r="G115" i="14" s="1"/>
  <c r="F115" i="2"/>
  <c r="G115" i="2" s="1"/>
  <c r="B107" i="13" s="1"/>
  <c r="H133" i="14"/>
  <c r="H133" i="2"/>
  <c r="I133" i="2" s="1"/>
  <c r="F168" i="14"/>
  <c r="G168" i="14" s="1"/>
  <c r="F168" i="2"/>
  <c r="G168" i="2" s="1"/>
  <c r="B160" i="13" s="1"/>
  <c r="F140" i="14"/>
  <c r="G140" i="14" s="1"/>
  <c r="F140" i="2"/>
  <c r="G140" i="2" s="1"/>
  <c r="B132" i="13" s="1"/>
  <c r="O150" i="14"/>
  <c r="I150" i="14" s="1"/>
  <c r="I142" i="13"/>
  <c r="C142" i="13" s="1"/>
  <c r="I187" i="13"/>
  <c r="C187" i="13" s="1"/>
  <c r="O195" i="14"/>
  <c r="I195" i="14" s="1"/>
  <c r="I194" i="13"/>
  <c r="C194" i="13" s="1"/>
  <c r="F182" i="14"/>
  <c r="G182" i="14" s="1"/>
  <c r="F182" i="2"/>
  <c r="G182" i="2" s="1"/>
  <c r="B174" i="13" s="1"/>
  <c r="H183" i="14"/>
  <c r="H183" i="2"/>
  <c r="I183" i="2" s="1"/>
  <c r="F188" i="14"/>
  <c r="G188" i="14" s="1"/>
  <c r="F188" i="2"/>
  <c r="G188" i="2" s="1"/>
  <c r="B180" i="13" s="1"/>
  <c r="H192" i="2"/>
  <c r="I192" i="2" s="1"/>
  <c r="O198" i="14"/>
  <c r="I198" i="14" s="1"/>
  <c r="I190" i="13"/>
  <c r="C190" i="13" s="1"/>
  <c r="H199" i="14"/>
  <c r="H199" i="2"/>
  <c r="I199" i="2" s="1"/>
  <c r="F201" i="14"/>
  <c r="G201" i="14" s="1"/>
  <c r="F201" i="2"/>
  <c r="G201" i="2" s="1"/>
  <c r="B193" i="13" s="1"/>
  <c r="F125" i="2"/>
  <c r="G125" i="2" s="1"/>
  <c r="B117" i="13" s="1"/>
  <c r="F132" i="2"/>
  <c r="G132" i="2" s="1"/>
  <c r="B124" i="13" s="1"/>
  <c r="F139" i="2"/>
  <c r="G139" i="2" s="1"/>
  <c r="B131" i="13" s="1"/>
  <c r="H140" i="2"/>
  <c r="I140" i="2" s="1"/>
  <c r="H168" i="14"/>
  <c r="H168" i="2"/>
  <c r="I168" i="2" s="1"/>
  <c r="F173" i="14"/>
  <c r="G173" i="14" s="1"/>
  <c r="O197" i="14"/>
  <c r="I197" i="14" s="1"/>
  <c r="H196" i="14"/>
  <c r="F202" i="14"/>
  <c r="G202" i="14" s="1"/>
  <c r="F202" i="2"/>
  <c r="G202" i="2" s="1"/>
  <c r="B194" i="13" s="1"/>
  <c r="H154" i="14"/>
  <c r="H154" i="2"/>
  <c r="I154" i="2" s="1"/>
  <c r="F142" i="14"/>
  <c r="G142" i="14" s="1"/>
  <c r="F142" i="2"/>
  <c r="G142" i="2" s="1"/>
  <c r="B134" i="13" s="1"/>
  <c r="F152" i="14"/>
  <c r="G152" i="14" s="1"/>
  <c r="F152" i="2"/>
  <c r="G152" i="2" s="1"/>
  <c r="B144" i="13" s="1"/>
  <c r="F153" i="14"/>
  <c r="G153" i="14" s="1"/>
  <c r="F153" i="2"/>
  <c r="G153" i="2" s="1"/>
  <c r="B145" i="13" s="1"/>
  <c r="I149" i="13"/>
  <c r="C149" i="13" s="1"/>
  <c r="F158" i="14"/>
  <c r="G158" i="14" s="1"/>
  <c r="F160" i="14"/>
  <c r="G160" i="14" s="1"/>
  <c r="F161" i="14"/>
  <c r="G161" i="14" s="1"/>
  <c r="F162" i="14"/>
  <c r="G162" i="14" s="1"/>
  <c r="H181" i="14"/>
  <c r="F200" i="14"/>
  <c r="G200" i="14" s="1"/>
  <c r="F200" i="2"/>
  <c r="G200" i="2" s="1"/>
  <c r="B192" i="13" s="1"/>
  <c r="O205" i="14"/>
  <c r="I205" i="14" s="1"/>
  <c r="I197" i="13"/>
  <c r="C197" i="13" s="1"/>
  <c r="H185" i="2"/>
  <c r="I185" i="2" s="1"/>
  <c r="F195" i="14"/>
  <c r="G195" i="14" s="1"/>
  <c r="O207" i="14"/>
  <c r="I207" i="14" s="1"/>
  <c r="I199" i="13"/>
  <c r="C199" i="13" s="1"/>
  <c r="I151" i="13"/>
  <c r="C151" i="13" s="1"/>
  <c r="I155" i="13"/>
  <c r="C155" i="13" s="1"/>
  <c r="F164" i="2"/>
  <c r="G164" i="2" s="1"/>
  <c r="B156" i="13" s="1"/>
  <c r="H167" i="14"/>
  <c r="I171" i="13"/>
  <c r="C171" i="13" s="1"/>
  <c r="I172" i="13"/>
  <c r="C172" i="13" s="1"/>
  <c r="F185" i="2"/>
  <c r="G185" i="2" s="1"/>
  <c r="B177" i="13" s="1"/>
  <c r="F189" i="14"/>
  <c r="G189" i="14" s="1"/>
  <c r="F189" i="2"/>
  <c r="G189" i="2" s="1"/>
  <c r="B181" i="13" s="1"/>
  <c r="H116" i="2"/>
  <c r="I116" i="2" s="1"/>
  <c r="H189" i="14"/>
  <c r="H189" i="2"/>
  <c r="I189" i="2" s="1"/>
  <c r="H203" i="2"/>
  <c r="I203" i="2" s="1"/>
  <c r="I201" i="13"/>
  <c r="C201" i="13" s="1"/>
  <c r="I202" i="13"/>
  <c r="C202" i="13" s="1"/>
  <c r="H212" i="2"/>
  <c r="I212" i="2" s="1"/>
  <c r="F203" i="2"/>
  <c r="G203" i="2" s="1"/>
  <c r="B195" i="13" s="1"/>
  <c r="H204" i="2"/>
  <c r="I204" i="2" s="1"/>
  <c r="I203" i="13"/>
  <c r="C203" i="13" s="1"/>
  <c r="H213" i="2"/>
  <c r="I213" i="2" s="1"/>
  <c r="F212" i="2"/>
  <c r="G212" i="2" s="1"/>
  <c r="B204" i="13" s="1"/>
  <c r="H214" i="2"/>
  <c r="I214" i="2" s="1"/>
  <c r="H200" i="2"/>
  <c r="I200" i="2" s="1"/>
  <c r="H206" i="2"/>
  <c r="I206" i="2" s="1"/>
  <c r="F215" i="2"/>
  <c r="G215" i="2" s="1"/>
  <c r="B207" i="13" s="1"/>
  <c r="H216" i="2"/>
  <c r="I216" i="2" s="1"/>
  <c r="H201" i="2"/>
  <c r="I201" i="2" s="1"/>
  <c r="F206" i="2"/>
  <c r="G206" i="2" s="1"/>
  <c r="B198" i="13" s="1"/>
  <c r="F207" i="2"/>
  <c r="G207" i="2" s="1"/>
  <c r="B199" i="13" s="1"/>
  <c r="F216" i="2"/>
  <c r="G216" i="2" s="1"/>
  <c r="B208" i="13" s="1"/>
  <c r="I220" i="13"/>
  <c r="C220" i="13" s="1"/>
  <c r="O228" i="14"/>
  <c r="I228" i="14" s="1"/>
  <c r="O223" i="14"/>
  <c r="I223" i="14" s="1"/>
  <c r="I215" i="13"/>
  <c r="C215" i="13" s="1"/>
  <c r="O220" i="14"/>
  <c r="I220" i="14" s="1"/>
  <c r="I212" i="13"/>
  <c r="C212" i="13" s="1"/>
  <c r="O245" i="14"/>
  <c r="I245" i="14" s="1"/>
  <c r="I237" i="13"/>
  <c r="C237" i="13" s="1"/>
  <c r="I240" i="13"/>
  <c r="C240" i="13" s="1"/>
  <c r="O248" i="14"/>
  <c r="I248" i="14" s="1"/>
  <c r="O258" i="14"/>
  <c r="I258" i="14" s="1"/>
  <c r="I250" i="13"/>
  <c r="C250" i="13" s="1"/>
  <c r="O290" i="14"/>
  <c r="I290" i="14" s="1"/>
  <c r="I282" i="13"/>
  <c r="C282" i="13" s="1"/>
  <c r="O218" i="14"/>
  <c r="I218" i="14" s="1"/>
  <c r="I210" i="13"/>
  <c r="C210" i="13" s="1"/>
  <c r="O224" i="14"/>
  <c r="I224" i="14" s="1"/>
  <c r="I216" i="13"/>
  <c r="C216" i="13" s="1"/>
  <c r="O235" i="14"/>
  <c r="I235" i="14" s="1"/>
  <c r="I227" i="13"/>
  <c r="C227" i="13" s="1"/>
  <c r="I230" i="13"/>
  <c r="C230" i="13" s="1"/>
  <c r="O238" i="14"/>
  <c r="I238" i="14" s="1"/>
  <c r="O242" i="14"/>
  <c r="I242" i="14" s="1"/>
  <c r="I234" i="13"/>
  <c r="C234" i="13" s="1"/>
  <c r="O246" i="14"/>
  <c r="I246" i="14" s="1"/>
  <c r="I238" i="13"/>
  <c r="C238" i="13" s="1"/>
  <c r="I253" i="13"/>
  <c r="C253" i="13" s="1"/>
  <c r="O261" i="14"/>
  <c r="I261" i="14" s="1"/>
  <c r="O232" i="14"/>
  <c r="I232" i="14" s="1"/>
  <c r="I224" i="13"/>
  <c r="C224" i="13" s="1"/>
  <c r="O253" i="14"/>
  <c r="I253" i="14" s="1"/>
  <c r="I245" i="13"/>
  <c r="C245" i="13" s="1"/>
  <c r="O236" i="14"/>
  <c r="I236" i="14" s="1"/>
  <c r="I228" i="13"/>
  <c r="C228" i="13" s="1"/>
  <c r="I254" i="13"/>
  <c r="C254" i="13" s="1"/>
  <c r="O262" i="14"/>
  <c r="I262" i="14" s="1"/>
  <c r="O230" i="14"/>
  <c r="I230" i="14" s="1"/>
  <c r="I222" i="13"/>
  <c r="C222" i="13" s="1"/>
  <c r="O254" i="14"/>
  <c r="I254" i="14" s="1"/>
  <c r="I246" i="13"/>
  <c r="C246" i="13" s="1"/>
  <c r="I249" i="13"/>
  <c r="C249" i="13" s="1"/>
  <c r="O257" i="14"/>
  <c r="I257" i="14" s="1"/>
  <c r="I231" i="13"/>
  <c r="C231" i="13" s="1"/>
  <c r="O249" i="14"/>
  <c r="I249" i="14" s="1"/>
  <c r="O266" i="14"/>
  <c r="I266" i="14" s="1"/>
  <c r="O273" i="14"/>
  <c r="I273" i="14" s="1"/>
  <c r="I285" i="13"/>
  <c r="C285" i="13" s="1"/>
  <c r="I287" i="13"/>
  <c r="C287" i="13" s="1"/>
  <c r="I292" i="13"/>
  <c r="C292" i="13" s="1"/>
  <c r="O304" i="14"/>
  <c r="I304" i="14" s="1"/>
  <c r="O356" i="14"/>
  <c r="I356" i="14" s="1"/>
  <c r="I348" i="13"/>
  <c r="C348" i="13" s="1"/>
  <c r="I302" i="13"/>
  <c r="C302" i="13" s="1"/>
  <c r="O360" i="14"/>
  <c r="I360" i="14" s="1"/>
  <c r="I352" i="13"/>
  <c r="C352" i="13" s="1"/>
  <c r="O339" i="14"/>
  <c r="I339" i="14" s="1"/>
  <c r="I331" i="13"/>
  <c r="C331" i="13" s="1"/>
  <c r="O299" i="14"/>
  <c r="I299" i="14" s="1"/>
  <c r="I300" i="13"/>
  <c r="C300" i="13" s="1"/>
  <c r="O309" i="14"/>
  <c r="I309" i="14" s="1"/>
  <c r="O337" i="14"/>
  <c r="I337" i="14" s="1"/>
  <c r="I329" i="13"/>
  <c r="C329" i="13" s="1"/>
  <c r="I214" i="13"/>
  <c r="C214" i="13" s="1"/>
  <c r="I226" i="13"/>
  <c r="C226" i="13" s="1"/>
  <c r="I236" i="13"/>
  <c r="C236" i="13" s="1"/>
  <c r="I349" i="13"/>
  <c r="C349" i="13" s="1"/>
  <c r="O358" i="14"/>
  <c r="I358" i="14" s="1"/>
  <c r="I213" i="13"/>
  <c r="C213" i="13" s="1"/>
  <c r="I235" i="13"/>
  <c r="C235" i="13" s="1"/>
  <c r="I244" i="13"/>
  <c r="C244" i="13" s="1"/>
  <c r="I262" i="13"/>
  <c r="C262" i="13" s="1"/>
  <c r="O289" i="14"/>
  <c r="I289" i="14" s="1"/>
  <c r="I284" i="13"/>
  <c r="C284" i="13" s="1"/>
  <c r="O311" i="14"/>
  <c r="I311" i="14" s="1"/>
  <c r="O315" i="14"/>
  <c r="I315" i="14" s="1"/>
  <c r="I307" i="13"/>
  <c r="C307" i="13" s="1"/>
  <c r="O327" i="14"/>
  <c r="I327" i="14" s="1"/>
  <c r="I319" i="13"/>
  <c r="C319" i="13" s="1"/>
  <c r="O354" i="14"/>
  <c r="I354" i="14" s="1"/>
  <c r="I346" i="13"/>
  <c r="C346" i="13" s="1"/>
  <c r="I225" i="13"/>
  <c r="C225" i="13" s="1"/>
  <c r="O319" i="14"/>
  <c r="I319" i="14" s="1"/>
  <c r="I311" i="13"/>
  <c r="C311" i="13" s="1"/>
  <c r="O291" i="14"/>
  <c r="I291" i="14" s="1"/>
  <c r="O333" i="14"/>
  <c r="I333" i="14" s="1"/>
  <c r="I325" i="13"/>
  <c r="C325" i="13" s="1"/>
  <c r="O343" i="14"/>
  <c r="I343" i="14" s="1"/>
  <c r="I335" i="13"/>
  <c r="C335" i="13" s="1"/>
  <c r="O320" i="14"/>
  <c r="I320" i="14" s="1"/>
  <c r="I312" i="13"/>
  <c r="C312" i="13" s="1"/>
  <c r="O325" i="14"/>
  <c r="I325" i="14" s="1"/>
  <c r="I317" i="13"/>
  <c r="C317" i="13" s="1"/>
  <c r="I333" i="13"/>
  <c r="C333" i="13" s="1"/>
  <c r="O341" i="14"/>
  <c r="I341" i="14" s="1"/>
  <c r="O351" i="14"/>
  <c r="I351" i="14" s="1"/>
  <c r="I343" i="13"/>
  <c r="C343" i="13" s="1"/>
  <c r="I209" i="13"/>
  <c r="C209" i="13" s="1"/>
  <c r="O259" i="14"/>
  <c r="I259" i="14" s="1"/>
  <c r="O271" i="14"/>
  <c r="I271" i="14" s="1"/>
  <c r="I248" i="13"/>
  <c r="C248" i="13" s="1"/>
  <c r="I268" i="13"/>
  <c r="C268" i="13" s="1"/>
  <c r="I278" i="13"/>
  <c r="C278" i="13" s="1"/>
  <c r="O314" i="14"/>
  <c r="I314" i="14" s="1"/>
  <c r="I306" i="13"/>
  <c r="C306" i="13" s="1"/>
  <c r="O329" i="14"/>
  <c r="I329" i="14" s="1"/>
  <c r="I321" i="13"/>
  <c r="C321" i="13" s="1"/>
  <c r="O349" i="14"/>
  <c r="I349" i="14" s="1"/>
  <c r="I341" i="13"/>
  <c r="C341" i="13" s="1"/>
  <c r="O352" i="14"/>
  <c r="I352" i="14" s="1"/>
  <c r="I344" i="13"/>
  <c r="C344" i="13" s="1"/>
  <c r="O348" i="14"/>
  <c r="I348" i="14" s="1"/>
  <c r="O359" i="14"/>
  <c r="I359" i="14" s="1"/>
  <c r="I313" i="13"/>
  <c r="C313" i="13" s="1"/>
  <c r="I322" i="13"/>
  <c r="C322" i="13" s="1"/>
  <c r="I330" i="13"/>
  <c r="C330" i="13" s="1"/>
  <c r="I337" i="13"/>
  <c r="C337" i="13" s="1"/>
  <c r="I347" i="13"/>
  <c r="C347" i="13" s="1"/>
  <c r="I328" i="13"/>
  <c r="C328" i="13" s="1"/>
  <c r="I336" i="13"/>
  <c r="C336" i="13" s="1"/>
  <c r="I345" i="13"/>
  <c r="C345" i="13" s="1"/>
  <c r="I318" i="13"/>
  <c r="C318" i="13" s="1"/>
  <c r="I326" i="13"/>
  <c r="C326" i="13" s="1"/>
  <c r="I342" i="13"/>
  <c r="C342" i="13" s="1"/>
  <c r="J24" i="2"/>
  <c r="B22" i="2"/>
  <c r="L22" i="10"/>
  <c r="H24" i="14" s="1"/>
  <c r="K22" i="10"/>
  <c r="F24" i="14" s="1"/>
  <c r="G24" i="14" s="1"/>
  <c r="K24" i="14"/>
  <c r="C24" i="14"/>
  <c r="B24" i="14"/>
  <c r="A24" i="14"/>
  <c r="A24" i="2"/>
  <c r="A16" i="13" s="1"/>
  <c r="D16" i="13"/>
  <c r="O152" i="14" l="1"/>
  <c r="I152" i="14" s="1"/>
  <c r="I148" i="13"/>
  <c r="C148" i="13" s="1"/>
  <c r="I75" i="13"/>
  <c r="C75" i="13" s="1"/>
  <c r="O145" i="14"/>
  <c r="I145" i="14" s="1"/>
  <c r="O124" i="14"/>
  <c r="I124" i="14" s="1"/>
  <c r="O35" i="14"/>
  <c r="I35" i="14" s="1"/>
  <c r="O48" i="14"/>
  <c r="I48" i="14" s="1"/>
  <c r="I63" i="13"/>
  <c r="C63" i="13" s="1"/>
  <c r="I20" i="13"/>
  <c r="C20" i="13" s="1"/>
  <c r="I24" i="13"/>
  <c r="C24" i="13" s="1"/>
  <c r="I77" i="13"/>
  <c r="C77" i="13" s="1"/>
  <c r="I131" i="13"/>
  <c r="C131" i="13" s="1"/>
  <c r="I56" i="13"/>
  <c r="C56" i="13" s="1"/>
  <c r="O40" i="14"/>
  <c r="I40" i="14" s="1"/>
  <c r="O122" i="14"/>
  <c r="I122" i="14" s="1"/>
  <c r="I60" i="13"/>
  <c r="C60" i="13" s="1"/>
  <c r="I66" i="13"/>
  <c r="C66" i="13" s="1"/>
  <c r="O142" i="14"/>
  <c r="I142" i="14" s="1"/>
  <c r="O131" i="14"/>
  <c r="I131" i="14" s="1"/>
  <c r="I200" i="13"/>
  <c r="C200" i="13" s="1"/>
  <c r="I143" i="13"/>
  <c r="C143" i="13" s="1"/>
  <c r="I138" i="13"/>
  <c r="C138" i="13" s="1"/>
  <c r="O91" i="14"/>
  <c r="I91" i="14" s="1"/>
  <c r="I89" i="13"/>
  <c r="C89" i="13" s="1"/>
  <c r="I51" i="13"/>
  <c r="C51" i="13" s="1"/>
  <c r="I47" i="13"/>
  <c r="C47" i="13" s="1"/>
  <c r="O61" i="14"/>
  <c r="I61" i="14" s="1"/>
  <c r="I145" i="13"/>
  <c r="C145" i="13" s="1"/>
  <c r="O153" i="14"/>
  <c r="I153" i="14" s="1"/>
  <c r="I129" i="13"/>
  <c r="C129" i="13" s="1"/>
  <c r="O137" i="14"/>
  <c r="I137" i="14" s="1"/>
  <c r="I45" i="13"/>
  <c r="C45" i="13" s="1"/>
  <c r="I168" i="13"/>
  <c r="C168" i="13" s="1"/>
  <c r="O176" i="14"/>
  <c r="I176" i="14" s="1"/>
  <c r="O60" i="14"/>
  <c r="I60" i="14" s="1"/>
  <c r="I207" i="13"/>
  <c r="C207" i="13" s="1"/>
  <c r="I86" i="13"/>
  <c r="C86" i="13" s="1"/>
  <c r="O99" i="14"/>
  <c r="I99" i="14" s="1"/>
  <c r="I91" i="13"/>
  <c r="C91" i="13" s="1"/>
  <c r="I97" i="13"/>
  <c r="C97" i="13" s="1"/>
  <c r="O108" i="14"/>
  <c r="I108" i="14" s="1"/>
  <c r="O57" i="14"/>
  <c r="I57" i="14" s="1"/>
  <c r="I48" i="13"/>
  <c r="C48" i="13" s="1"/>
  <c r="O56" i="14"/>
  <c r="I56" i="14" s="1"/>
  <c r="I42" i="13"/>
  <c r="C42" i="13" s="1"/>
  <c r="O46" i="14"/>
  <c r="I46" i="14" s="1"/>
  <c r="I38" i="13"/>
  <c r="C38" i="13" s="1"/>
  <c r="I141" i="13"/>
  <c r="C141" i="13" s="1"/>
  <c r="O149" i="14"/>
  <c r="I149" i="14" s="1"/>
  <c r="I153" i="13"/>
  <c r="C153" i="13" s="1"/>
  <c r="O161" i="14"/>
  <c r="I161" i="14" s="1"/>
  <c r="I41" i="13"/>
  <c r="C41" i="13" s="1"/>
  <c r="O49" i="14"/>
  <c r="I49" i="14" s="1"/>
  <c r="O27" i="14"/>
  <c r="I27" i="14" s="1"/>
  <c r="I19" i="13"/>
  <c r="C19" i="13" s="1"/>
  <c r="I113" i="13"/>
  <c r="C113" i="13" s="1"/>
  <c r="O121" i="14"/>
  <c r="I121" i="14" s="1"/>
  <c r="I125" i="13"/>
  <c r="C125" i="13" s="1"/>
  <c r="O133" i="14"/>
  <c r="I133" i="14" s="1"/>
  <c r="O62" i="14"/>
  <c r="I62" i="14" s="1"/>
  <c r="I54" i="13"/>
  <c r="C54" i="13" s="1"/>
  <c r="I29" i="13"/>
  <c r="C29" i="13" s="1"/>
  <c r="O37" i="14"/>
  <c r="I37" i="14" s="1"/>
  <c r="I59" i="13"/>
  <c r="C59" i="13" s="1"/>
  <c r="O67" i="14"/>
  <c r="I67" i="14" s="1"/>
  <c r="I18" i="13"/>
  <c r="C18" i="13" s="1"/>
  <c r="O26" i="14"/>
  <c r="I26" i="14" s="1"/>
  <c r="O214" i="14"/>
  <c r="I214" i="14" s="1"/>
  <c r="I206" i="13"/>
  <c r="C206" i="13" s="1"/>
  <c r="O116" i="14"/>
  <c r="I116" i="14" s="1"/>
  <c r="I108" i="13"/>
  <c r="C108" i="13" s="1"/>
  <c r="O165" i="14"/>
  <c r="I165" i="14" s="1"/>
  <c r="I157" i="13"/>
  <c r="C157" i="13" s="1"/>
  <c r="I102" i="13"/>
  <c r="C102" i="13" s="1"/>
  <c r="O110" i="14"/>
  <c r="I110" i="14" s="1"/>
  <c r="I130" i="13"/>
  <c r="C130" i="13" s="1"/>
  <c r="O138" i="14"/>
  <c r="I138" i="14" s="1"/>
  <c r="I181" i="13"/>
  <c r="C181" i="13" s="1"/>
  <c r="O189" i="14"/>
  <c r="I189" i="14" s="1"/>
  <c r="O200" i="14"/>
  <c r="I200" i="14" s="1"/>
  <c r="I192" i="13"/>
  <c r="C192" i="13" s="1"/>
  <c r="O199" i="14"/>
  <c r="I199" i="14" s="1"/>
  <c r="I191" i="13"/>
  <c r="C191" i="13" s="1"/>
  <c r="O58" i="14"/>
  <c r="I58" i="14" s="1"/>
  <c r="I50" i="13"/>
  <c r="C50" i="13" s="1"/>
  <c r="I44" i="13"/>
  <c r="C44" i="13" s="1"/>
  <c r="O52" i="14"/>
  <c r="I52" i="14" s="1"/>
  <c r="I37" i="13"/>
  <c r="C37" i="13" s="1"/>
  <c r="O45" i="14"/>
  <c r="I45" i="14" s="1"/>
  <c r="O77" i="14"/>
  <c r="I77" i="14" s="1"/>
  <c r="I69" i="13"/>
  <c r="C69" i="13" s="1"/>
  <c r="I39" i="13"/>
  <c r="C39" i="13" s="1"/>
  <c r="O47" i="14"/>
  <c r="I47" i="14" s="1"/>
  <c r="O213" i="14"/>
  <c r="I213" i="14" s="1"/>
  <c r="I205" i="13"/>
  <c r="C205" i="13" s="1"/>
  <c r="I160" i="13"/>
  <c r="C160" i="13" s="1"/>
  <c r="O168" i="14"/>
  <c r="I168" i="14" s="1"/>
  <c r="I184" i="13"/>
  <c r="C184" i="13" s="1"/>
  <c r="O192" i="14"/>
  <c r="I192" i="14" s="1"/>
  <c r="O182" i="14"/>
  <c r="I182" i="14" s="1"/>
  <c r="I174" i="13"/>
  <c r="C174" i="13" s="1"/>
  <c r="I156" i="13"/>
  <c r="C156" i="13" s="1"/>
  <c r="O164" i="14"/>
  <c r="I164" i="14" s="1"/>
  <c r="O141" i="14"/>
  <c r="I141" i="14" s="1"/>
  <c r="I133" i="13"/>
  <c r="C133" i="13" s="1"/>
  <c r="I81" i="13"/>
  <c r="C81" i="13" s="1"/>
  <c r="O89" i="14"/>
  <c r="I89" i="14" s="1"/>
  <c r="O80" i="14"/>
  <c r="I80" i="14" s="1"/>
  <c r="I72" i="13"/>
  <c r="C72" i="13" s="1"/>
  <c r="O101" i="14"/>
  <c r="I101" i="14" s="1"/>
  <c r="I93" i="13"/>
  <c r="C93" i="13" s="1"/>
  <c r="I118" i="13"/>
  <c r="C118" i="13" s="1"/>
  <c r="O126" i="14"/>
  <c r="I126" i="14" s="1"/>
  <c r="I128" i="13"/>
  <c r="C128" i="13" s="1"/>
  <c r="O136" i="14"/>
  <c r="I136" i="14" s="1"/>
  <c r="I98" i="13"/>
  <c r="C98" i="13" s="1"/>
  <c r="O106" i="14"/>
  <c r="I106" i="14" s="1"/>
  <c r="O204" i="14"/>
  <c r="I204" i="14" s="1"/>
  <c r="I196" i="13"/>
  <c r="C196" i="13" s="1"/>
  <c r="O140" i="14"/>
  <c r="I140" i="14" s="1"/>
  <c r="I132" i="13"/>
  <c r="C132" i="13" s="1"/>
  <c r="I122" i="13"/>
  <c r="C122" i="13" s="1"/>
  <c r="O130" i="14"/>
  <c r="I130" i="14" s="1"/>
  <c r="O186" i="14"/>
  <c r="I186" i="14" s="1"/>
  <c r="I178" i="13"/>
  <c r="C178" i="13" s="1"/>
  <c r="O103" i="14"/>
  <c r="I103" i="14" s="1"/>
  <c r="I95" i="13"/>
  <c r="C95" i="13" s="1"/>
  <c r="O107" i="14"/>
  <c r="I107" i="14" s="1"/>
  <c r="I99" i="13"/>
  <c r="C99" i="13" s="1"/>
  <c r="O201" i="14"/>
  <c r="I201" i="14" s="1"/>
  <c r="I193" i="13"/>
  <c r="C193" i="13" s="1"/>
  <c r="I126" i="13"/>
  <c r="C126" i="13" s="1"/>
  <c r="O134" i="14"/>
  <c r="I134" i="14" s="1"/>
  <c r="O39" i="14"/>
  <c r="I39" i="14" s="1"/>
  <c r="I31" i="13"/>
  <c r="C31" i="13" s="1"/>
  <c r="I35" i="13"/>
  <c r="C35" i="13" s="1"/>
  <c r="O43" i="14"/>
  <c r="I43" i="14" s="1"/>
  <c r="I177" i="13"/>
  <c r="C177" i="13" s="1"/>
  <c r="O185" i="14"/>
  <c r="I185" i="14" s="1"/>
  <c r="O212" i="14"/>
  <c r="I212" i="14" s="1"/>
  <c r="I204" i="13"/>
  <c r="C204" i="13" s="1"/>
  <c r="O183" i="14"/>
  <c r="I183" i="14" s="1"/>
  <c r="I175" i="13"/>
  <c r="C175" i="13" s="1"/>
  <c r="I208" i="13"/>
  <c r="C208" i="13" s="1"/>
  <c r="O216" i="14"/>
  <c r="I216" i="14" s="1"/>
  <c r="I46" i="13"/>
  <c r="C46" i="13" s="1"/>
  <c r="O54" i="14"/>
  <c r="I54" i="14" s="1"/>
  <c r="O206" i="14"/>
  <c r="I206" i="14" s="1"/>
  <c r="I198" i="13"/>
  <c r="C198" i="13" s="1"/>
  <c r="O154" i="14"/>
  <c r="I154" i="14" s="1"/>
  <c r="I146" i="13"/>
  <c r="C146" i="13" s="1"/>
  <c r="O203" i="14"/>
  <c r="I203" i="14" s="1"/>
  <c r="I195" i="13"/>
  <c r="C195" i="13" s="1"/>
  <c r="O119" i="14"/>
  <c r="I119" i="14" s="1"/>
  <c r="I111" i="13"/>
  <c r="C111" i="13" s="1"/>
  <c r="O114" i="14"/>
  <c r="I114" i="14" s="1"/>
  <c r="I106" i="13"/>
  <c r="C106" i="13" s="1"/>
  <c r="I90" i="13"/>
  <c r="C90" i="13" s="1"/>
  <c r="O98" i="14"/>
  <c r="I98" i="14" s="1"/>
  <c r="C24" i="2"/>
  <c r="M22" i="10" l="1" a="1"/>
  <c r="M22" i="10" s="1"/>
  <c r="H24" i="2" l="1"/>
  <c r="I24" i="2" s="1"/>
  <c r="F24" i="2"/>
  <c r="G24" i="2" s="1"/>
  <c r="B16" i="13" s="1"/>
  <c r="B24" i="2"/>
  <c r="B5" i="2"/>
  <c r="B17" i="2"/>
  <c r="O24" i="14" l="1"/>
  <c r="I24" i="14" s="1"/>
  <c r="I16" i="13"/>
  <c r="C16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<sst xmlns="http://schemas.openxmlformats.org/spreadsheetml/2006/main" count="16703" uniqueCount="6688">
  <si>
    <t>* CHECK THE "DEFINITIONS" WORKSHEET (2nd page of this document) IF YOU ARE UNSURE ABOUT WHAT TO ENTER IN ANY OF THE FIELDS.</t>
  </si>
  <si>
    <t>description</t>
  </si>
  <si>
    <t>NIPT protocol for samples</t>
  </si>
  <si>
    <t>PI</t>
  </si>
  <si>
    <t>Nghia</t>
  </si>
  <si>
    <t>submitDate</t>
  </si>
  <si>
    <t>manufacturer</t>
  </si>
  <si>
    <t>Illumina</t>
  </si>
  <si>
    <t>machine model</t>
  </si>
  <si>
    <t>MiniSeq</t>
  </si>
  <si>
    <t>sequencingType</t>
  </si>
  <si>
    <t>cfDNA</t>
  </si>
  <si>
    <t>sequencingKit</t>
  </si>
  <si>
    <t>Illumina FC-420-1004</t>
  </si>
  <si>
    <t>readLength</t>
  </si>
  <si>
    <t>paired</t>
  </si>
  <si>
    <t>PE</t>
  </si>
  <si>
    <t>pipeline</t>
  </si>
  <si>
    <t>MiniSeq LRM</t>
  </si>
  <si>
    <t>facility</t>
  </si>
  <si>
    <t>inhouse</t>
  </si>
  <si>
    <t>facilityID</t>
  </si>
  <si>
    <t>notes</t>
  </si>
  <si>
    <t>i5+i7</t>
  </si>
  <si>
    <t>* LIST EACH SAMPLE ON A SEPARATE LINE.</t>
  </si>
  <si>
    <t>* SampleID's must be unique.</t>
  </si>
  <si>
    <t>expNum</t>
  </si>
  <si>
    <t>sampleOrder</t>
  </si>
  <si>
    <t>LABCODE</t>
  </si>
  <si>
    <t>SeqType</t>
  </si>
  <si>
    <t>Harvest kit</t>
  </si>
  <si>
    <t>Harvest By</t>
  </si>
  <si>
    <t>Harvest Date</t>
  </si>
  <si>
    <t>Library By</t>
  </si>
  <si>
    <t>Library Date</t>
  </si>
  <si>
    <t>Species</t>
  </si>
  <si>
    <t>i7 index</t>
  </si>
  <si>
    <t>i5 index</t>
  </si>
  <si>
    <t>LibraryConc</t>
  </si>
  <si>
    <t>LibraryAmp</t>
  </si>
  <si>
    <t>Library Protocol</t>
  </si>
  <si>
    <t>LRMtemplate</t>
  </si>
  <si>
    <t>passedQC</t>
  </si>
  <si>
    <t>LANE</t>
  </si>
  <si>
    <t>TE 0.1X</t>
  </si>
  <si>
    <t>Primers</t>
  </si>
  <si>
    <t>H. sapiens</t>
  </si>
  <si>
    <t>[Header]</t>
  </si>
  <si>
    <t>IEMFileVersion</t>
  </si>
  <si>
    <t>Investigator Name</t>
  </si>
  <si>
    <t>Experiment Name</t>
  </si>
  <si>
    <t>Date</t>
  </si>
  <si>
    <t>Workflow</t>
  </si>
  <si>
    <t>GenerateFASTQ</t>
  </si>
  <si>
    <t>Application</t>
  </si>
  <si>
    <t>NextSeq FASTQ Only</t>
  </si>
  <si>
    <t>Instrument Type</t>
  </si>
  <si>
    <t>NextSeq/MiniSeq</t>
  </si>
  <si>
    <t>Assay</t>
  </si>
  <si>
    <t>TruSeq Nano DNA</t>
  </si>
  <si>
    <t>Index Adapters</t>
  </si>
  <si>
    <t>TruSeq DNA CD Indexes (96 Indexes)</t>
  </si>
  <si>
    <t>Description</t>
  </si>
  <si>
    <t>Chemistry</t>
  </si>
  <si>
    <t>Amplicon</t>
  </si>
  <si>
    <t>[Reads]</t>
  </si>
  <si>
    <t>Primer type</t>
  </si>
  <si>
    <t>[Settings]</t>
  </si>
  <si>
    <t>Adapter</t>
  </si>
  <si>
    <t>AGATCGGAAGAGCACACGTCTGAACTCCAGTCA</t>
  </si>
  <si>
    <t>AdapterRead2</t>
  </si>
  <si>
    <t>AGATCGGAAGAGCGTCGTGTAGGGAAAGAGTGT</t>
  </si>
  <si>
    <t>[Data]</t>
  </si>
  <si>
    <t>Sample_ID</t>
  </si>
  <si>
    <t>Sample_Name</t>
  </si>
  <si>
    <t>Sample_Plate</t>
  </si>
  <si>
    <t>Sample_Well</t>
  </si>
  <si>
    <t>Index_Plate_Well</t>
  </si>
  <si>
    <t>I7_Index_ID</t>
  </si>
  <si>
    <t>index</t>
  </si>
  <si>
    <t>I5_Index_ID</t>
  </si>
  <si>
    <t>index2</t>
  </si>
  <si>
    <t>Sample_Project</t>
  </si>
  <si>
    <t>[SETTINGS]</t>
  </si>
  <si>
    <t>SettingName</t>
  </si>
  <si>
    <t>Value</t>
  </si>
  <si>
    <t>Lane</t>
  </si>
  <si>
    <t xml:space="preserve"># Lines can be commented out with a leading # sign. </t>
  </si>
  <si>
    <t xml:space="preserve"># Replace the example adapters below with the adapter used in the kit. </t>
  </si>
  <si>
    <t>R1Adapter</t>
  </si>
  <si>
    <t>AAAAAAAAAAAAAAAAAAA</t>
  </si>
  <si>
    <t>1+2</t>
  </si>
  <si>
    <t>R1AdapterTrim</t>
  </si>
  <si>
    <t>R2Adapter</t>
  </si>
  <si>
    <t>TTTTTTTTTTTTTTTTTTT</t>
  </si>
  <si>
    <t>R2AdapterTrim</t>
  </si>
  <si>
    <t>[SAMPLES]</t>
  </si>
  <si>
    <t>SampleName</t>
  </si>
  <si>
    <t>Index1</t>
  </si>
  <si>
    <t>Index2</t>
  </si>
  <si>
    <t>This column is to be deleted after Text Copy</t>
  </si>
  <si>
    <t xml:space="preserve"># Fill in the correct sample schema associated with the Adept Preparation Workflow for all sequenced samples. </t>
  </si>
  <si>
    <t>Index</t>
  </si>
  <si>
    <t>* This data will be entered into a database. "Data Type" tells you the constraints for each field.</t>
  </si>
  <si>
    <t>GENERAL RUN INFORMATION:</t>
  </si>
  <si>
    <t>Field</t>
  </si>
  <si>
    <t>Data Constraints</t>
  </si>
  <si>
    <t>Example values</t>
  </si>
  <si>
    <t>Experiment</t>
  </si>
  <si>
    <t>4000 char limit</t>
  </si>
  <si>
    <t>50 char limit</t>
  </si>
  <si>
    <t>main contact for the sequencing run</t>
  </si>
  <si>
    <t>date</t>
  </si>
  <si>
    <t>date submitted to processing facility</t>
  </si>
  <si>
    <t>255 char limit</t>
  </si>
  <si>
    <t>who made the sequencing machine</t>
  </si>
  <si>
    <t>model number/name of sequencing machine</t>
  </si>
  <si>
    <t>cfDNA, gDNA, targeted DNA</t>
  </si>
  <si>
    <t>integer</t>
  </si>
  <si>
    <t>2 char limit</t>
  </si>
  <si>
    <t>SE, PE</t>
  </si>
  <si>
    <t>SE = single-end, PE = paired-end</t>
  </si>
  <si>
    <t>the program used to convert the images to fastq files.</t>
  </si>
  <si>
    <t>SAMPLES:</t>
  </si>
  <si>
    <t>General Info</t>
  </si>
  <si>
    <t>E001, E002..</t>
  </si>
  <si>
    <t>this can be any string that will uniquely identify the sequencing run.</t>
  </si>
  <si>
    <t>sampleID</t>
  </si>
  <si>
    <t>10 char limit</t>
  </si>
  <si>
    <t>H001, T21S001, T18S001</t>
  </si>
  <si>
    <t>this can be any string that will uniquely identify the sample within the project. No space " ", underscore "_", hyphen "-", or dot ".". If this sample is a techincal replicate, then use the same sample ID as the original replicate and append a "b, c, d" to the sampleID so that it's still unique.</t>
  </si>
  <si>
    <t>Karyotype</t>
  </si>
  <si>
    <t>Eup, T21, T13, T18, Unk</t>
  </si>
  <si>
    <t>Eup=Euploid, T21=Trisomy21, T18=Trisomy18, T13=Trisomy13, Unk=Unknown</t>
  </si>
  <si>
    <t>DNAseq, RNASeq, ChIPSeq</t>
  </si>
  <si>
    <t>harvestKit</t>
  </si>
  <si>
    <t>CNA, DSP, MAGmax</t>
  </si>
  <si>
    <t>cfDNA/gDNA extraction kit</t>
  </si>
  <si>
    <t>harvestBy</t>
  </si>
  <si>
    <t>NghiaN</t>
  </si>
  <si>
    <t>person extracting DNA/RNA sample. Please use first initial and complete last name</t>
  </si>
  <si>
    <t>harvestDate</t>
  </si>
  <si>
    <t>date DNA/RNA extraction was done.</t>
  </si>
  <si>
    <t>libraryBy</t>
  </si>
  <si>
    <t>person prepaping library from sample. Please use comlete first name and last name's initial</t>
  </si>
  <si>
    <t>libraryDate</t>
  </si>
  <si>
    <t>date library prepared</t>
  </si>
  <si>
    <t>Source Phenotype</t>
  </si>
  <si>
    <t>species</t>
  </si>
  <si>
    <t>H.sapiens</t>
  </si>
  <si>
    <t>D701</t>
  </si>
  <si>
    <t>the index number</t>
  </si>
  <si>
    <t>i7 seq</t>
  </si>
  <si>
    <t xml:space="preserve">ATTACTCG </t>
  </si>
  <si>
    <t>the sequence, not the sequence number</t>
  </si>
  <si>
    <t>D501</t>
  </si>
  <si>
    <t>i5 seq</t>
  </si>
  <si>
    <t>TATAGCCT</t>
  </si>
  <si>
    <t>lane</t>
  </si>
  <si>
    <t>this should be the number of the lane, on the chip</t>
  </si>
  <si>
    <t>SpikeInType</t>
  </si>
  <si>
    <t>PhiX</t>
  </si>
  <si>
    <t>type of spike-in added</t>
  </si>
  <si>
    <t>SpikeInDilution</t>
  </si>
  <si>
    <t>concentration of spike-in added to sample. Using "1 to X" this value is the X.</t>
  </si>
  <si>
    <t>libraryProtocol</t>
  </si>
  <si>
    <t>name of library prep protocol, if relevant</t>
  </si>
  <si>
    <t>libraryKit</t>
  </si>
  <si>
    <t>NEBNext Ultra II kit 1/3V</t>
  </si>
  <si>
    <t>specific kit used to generate library. list the catalog number to be as explicit as possible. We need to be able to determine if the kit changes for future samples.</t>
  </si>
  <si>
    <t>Illumina FC-420-1002</t>
  </si>
  <si>
    <t>comma separated list of sequencing kits used. Please include the catalog number so as to be explicit about the kits used.</t>
  </si>
  <si>
    <t>protocolFile</t>
  </si>
  <si>
    <t>NIPT-(detailed protocol).doc</t>
  </si>
  <si>
    <t>name of Word file located in repo/resources/protocols that contains protocol used</t>
  </si>
  <si>
    <t>NEBNextUltraIIDNA.tsv</t>
  </si>
  <si>
    <t>the LRM custom kit template filename for analysis</t>
  </si>
  <si>
    <t>Final library concentration in ng/uL, measured by Quantus.</t>
  </si>
  <si>
    <t>inputAmount</t>
  </si>
  <si>
    <t>2 ng</t>
  </si>
  <si>
    <t>Input amount is the input in ng or ug of DNA or RNA into library prep - the raw product from extraction, no adapters</t>
  </si>
  <si>
    <t>numPCRCycles</t>
  </si>
  <si>
    <t>Project Specific</t>
  </si>
  <si>
    <t>PatientID</t>
  </si>
  <si>
    <t>Mã cột ExpName</t>
  </si>
  <si>
    <t>"Tên E" và "BETA"</t>
  </si>
  <si>
    <t>E001BETA</t>
  </si>
  <si>
    <t>chỉ chạy PCR BETA rồi Lib prep -&gt; chạy 0.1x</t>
  </si>
  <si>
    <t>"Tên E"</t>
  </si>
  <si>
    <t>E001</t>
  </si>
  <si>
    <t>chạy NIPT + BETA rồi Lib prep -&gt; chạy như NIPT</t>
  </si>
  <si>
    <t>Name</t>
  </si>
  <si>
    <t>Sequence</t>
  </si>
  <si>
    <t>IndexReadNumber</t>
  </si>
  <si>
    <t>ATTACTCG</t>
  </si>
  <si>
    <t>Set 1-2-3-4</t>
  </si>
  <si>
    <t>D702</t>
  </si>
  <si>
    <t>TCCGGAGA</t>
  </si>
  <si>
    <t>D703</t>
  </si>
  <si>
    <t>CGCTCATT</t>
  </si>
  <si>
    <t>D704</t>
  </si>
  <si>
    <t>GAGATTCC</t>
  </si>
  <si>
    <t>D705</t>
  </si>
  <si>
    <t>ATTCAGAA</t>
  </si>
  <si>
    <t>D706</t>
  </si>
  <si>
    <t>GAATTCGT</t>
  </si>
  <si>
    <t>D707</t>
  </si>
  <si>
    <t>CTGAAGCT</t>
  </si>
  <si>
    <t>D708</t>
  </si>
  <si>
    <t>TAATGCGC</t>
  </si>
  <si>
    <t>D709</t>
  </si>
  <si>
    <t>CGGCTATG</t>
  </si>
  <si>
    <t>D710</t>
  </si>
  <si>
    <t>TCCGCGAA</t>
  </si>
  <si>
    <t>D711</t>
  </si>
  <si>
    <t>TCTCGCGC</t>
  </si>
  <si>
    <t>D712</t>
  </si>
  <si>
    <t>AGCGATAG</t>
  </si>
  <si>
    <t>D713</t>
  </si>
  <si>
    <t>TTCCTCCT</t>
  </si>
  <si>
    <t>D714</t>
  </si>
  <si>
    <t>TGCTTGCT</t>
  </si>
  <si>
    <t>D715</t>
  </si>
  <si>
    <t>GGTGATGA</t>
  </si>
  <si>
    <t>D716</t>
  </si>
  <si>
    <t>AACCTACG</t>
  </si>
  <si>
    <t>D717</t>
  </si>
  <si>
    <t>GGATCTGA</t>
  </si>
  <si>
    <t>D718</t>
  </si>
  <si>
    <t>TGATCACG</t>
  </si>
  <si>
    <t>D719</t>
  </si>
  <si>
    <t>AAGCGACT</t>
  </si>
  <si>
    <t>D720</t>
  </si>
  <si>
    <t>AAGCGTTC</t>
  </si>
  <si>
    <t>D721</t>
  </si>
  <si>
    <t>AAGGCGTA</t>
  </si>
  <si>
    <t>D722</t>
  </si>
  <si>
    <t>CTGATGAG</t>
  </si>
  <si>
    <t>D723</t>
  </si>
  <si>
    <t>GCAGAAGA</t>
  </si>
  <si>
    <t>D724</t>
  </si>
  <si>
    <t>AATCCAGC</t>
  </si>
  <si>
    <t/>
  </si>
  <si>
    <t>AGGCTATA</t>
  </si>
  <si>
    <t>D502</t>
  </si>
  <si>
    <t>GCCTCTAT</t>
  </si>
  <si>
    <t>D503</t>
  </si>
  <si>
    <t>AGGATAGG</t>
  </si>
  <si>
    <t>D504</t>
  </si>
  <si>
    <t>TCAGAGCC</t>
  </si>
  <si>
    <t>D505</t>
  </si>
  <si>
    <t>CTTCGCCT</t>
  </si>
  <si>
    <t>D506</t>
  </si>
  <si>
    <t>TAAGATTA</t>
  </si>
  <si>
    <t>D507</t>
  </si>
  <si>
    <t>ACGTCCTG</t>
  </si>
  <si>
    <t>D508</t>
  </si>
  <si>
    <t>GTCAGTAC</t>
  </si>
  <si>
    <t>D509</t>
  </si>
  <si>
    <t>GCAAGCAA</t>
  </si>
  <si>
    <t>D510</t>
  </si>
  <si>
    <t>AACCTCTC</t>
  </si>
  <si>
    <t>D511</t>
  </si>
  <si>
    <t>AACCAGGT</t>
  </si>
  <si>
    <t>D512</t>
  </si>
  <si>
    <t>TTCCGCTT</t>
  </si>
  <si>
    <t>D513</t>
  </si>
  <si>
    <t>TTGTTCCG</t>
  </si>
  <si>
    <t>D514</t>
  </si>
  <si>
    <t>AGCTTACC</t>
  </si>
  <si>
    <t>D515</t>
  </si>
  <si>
    <t>ATGCCACA</t>
  </si>
  <si>
    <t>D516</t>
  </si>
  <si>
    <t>TCCGTAGT</t>
  </si>
  <si>
    <t>S5701</t>
  </si>
  <si>
    <t>TTACCGAC</t>
  </si>
  <si>
    <t>Set 5</t>
  </si>
  <si>
    <t>S5702</t>
  </si>
  <si>
    <t>TCGTCTGA</t>
  </si>
  <si>
    <t>S5703</t>
  </si>
  <si>
    <t>TTCCAGGT</t>
  </si>
  <si>
    <t>S5704</t>
  </si>
  <si>
    <t>TACGGTCT</t>
  </si>
  <si>
    <t>S5705</t>
  </si>
  <si>
    <t>AAGACCGT</t>
  </si>
  <si>
    <t>S5706</t>
  </si>
  <si>
    <t>CAGGTTCA</t>
  </si>
  <si>
    <t>S5707</t>
  </si>
  <si>
    <t>TAGGAGCT</t>
  </si>
  <si>
    <t>S5708</t>
  </si>
  <si>
    <t>TACTCCAG</t>
  </si>
  <si>
    <t>S5709</t>
  </si>
  <si>
    <t>AGTGACCT</t>
  </si>
  <si>
    <t>S5710</t>
  </si>
  <si>
    <t>AGCCTATC</t>
  </si>
  <si>
    <t>S5711</t>
  </si>
  <si>
    <t>TCATCTCC</t>
  </si>
  <si>
    <t>S5712</t>
  </si>
  <si>
    <t>CCAGTATC</t>
  </si>
  <si>
    <t>S5713</t>
  </si>
  <si>
    <t>TTGCGAGA</t>
  </si>
  <si>
    <t>S5714</t>
  </si>
  <si>
    <t>GAACGAAG</t>
  </si>
  <si>
    <t>S5715</t>
  </si>
  <si>
    <t>CGAATTGC</t>
  </si>
  <si>
    <t>S5716</t>
  </si>
  <si>
    <t>GGAAGAGA</t>
  </si>
  <si>
    <t>S5717</t>
  </si>
  <si>
    <t>TCGGATTC</t>
  </si>
  <si>
    <t>S5718</t>
  </si>
  <si>
    <t>CTGTACCA</t>
  </si>
  <si>
    <t>S5719</t>
  </si>
  <si>
    <t>GAGAGTAC</t>
  </si>
  <si>
    <t>S5720</t>
  </si>
  <si>
    <t>TCTACGCA</t>
  </si>
  <si>
    <t>S5721</t>
  </si>
  <si>
    <t>GCAATTCC</t>
  </si>
  <si>
    <t>S5722</t>
  </si>
  <si>
    <t>CTCAGAAG</t>
  </si>
  <si>
    <t>S5723</t>
  </si>
  <si>
    <t>GTCCTAAG</t>
  </si>
  <si>
    <t>S5724</t>
  </si>
  <si>
    <t>GCGTTAGA</t>
  </si>
  <si>
    <t>S5725</t>
  </si>
  <si>
    <t>CAAGGTAC</t>
  </si>
  <si>
    <t>S5726</t>
  </si>
  <si>
    <t>AGACCTTG</t>
  </si>
  <si>
    <t>S5727</t>
  </si>
  <si>
    <t>GTCGTTAC</t>
  </si>
  <si>
    <t>S5728</t>
  </si>
  <si>
    <t>GTAACCGA</t>
  </si>
  <si>
    <t>S5729</t>
  </si>
  <si>
    <t>GAATCCGT</t>
  </si>
  <si>
    <t>S5730</t>
  </si>
  <si>
    <t>CATGAGCA</t>
  </si>
  <si>
    <t>S5731</t>
  </si>
  <si>
    <t>CTTAGGAC</t>
  </si>
  <si>
    <t>S5732</t>
  </si>
  <si>
    <t>ATCTGACC</t>
  </si>
  <si>
    <t>S5733</t>
  </si>
  <si>
    <t>TCCTCATG</t>
  </si>
  <si>
    <t>S5734</t>
  </si>
  <si>
    <t>AGGATAGC</t>
  </si>
  <si>
    <t>S5735</t>
  </si>
  <si>
    <t>GGAGGAAT</t>
  </si>
  <si>
    <t>S5736</t>
  </si>
  <si>
    <t>GACGTCAT</t>
  </si>
  <si>
    <t>S5737</t>
  </si>
  <si>
    <t>CCGCTTAA</t>
  </si>
  <si>
    <t>S5738</t>
  </si>
  <si>
    <t>GACGAACT</t>
  </si>
  <si>
    <t>S5739</t>
  </si>
  <si>
    <t>TCCACGTT</t>
  </si>
  <si>
    <t>S5740</t>
  </si>
  <si>
    <t>AACCAGAG</t>
  </si>
  <si>
    <t>S5741</t>
  </si>
  <si>
    <t>GTCAGTCA</t>
  </si>
  <si>
    <t>S5742</t>
  </si>
  <si>
    <t>CCTTCCAT</t>
  </si>
  <si>
    <t>S5743</t>
  </si>
  <si>
    <t>AGGAACAC</t>
  </si>
  <si>
    <t>S5744</t>
  </si>
  <si>
    <t>CTTACAGC</t>
  </si>
  <si>
    <t>S5745</t>
  </si>
  <si>
    <t>TACCTGCA</t>
  </si>
  <si>
    <t>S5746</t>
  </si>
  <si>
    <t>AGACGCTA</t>
  </si>
  <si>
    <t>S5747</t>
  </si>
  <si>
    <t>CAACACAG</t>
  </si>
  <si>
    <t>S5748</t>
  </si>
  <si>
    <t>GTACCACA</t>
  </si>
  <si>
    <t>S5749</t>
  </si>
  <si>
    <t>CGAATACG</t>
  </si>
  <si>
    <t>S5750</t>
  </si>
  <si>
    <t>GTCCTTGA</t>
  </si>
  <si>
    <t>S5751</t>
  </si>
  <si>
    <t>CAGTGCTT</t>
  </si>
  <si>
    <t>S5752</t>
  </si>
  <si>
    <t>TCCATTGC</t>
  </si>
  <si>
    <t>S5753</t>
  </si>
  <si>
    <t>GTCGATTG</t>
  </si>
  <si>
    <t>S5754</t>
  </si>
  <si>
    <t>ATAACGCC</t>
  </si>
  <si>
    <t>S5755</t>
  </si>
  <si>
    <t>GCCTTAAC</t>
  </si>
  <si>
    <t>S5756</t>
  </si>
  <si>
    <t>GGTATAGG</t>
  </si>
  <si>
    <t>S5757</t>
  </si>
  <si>
    <t>TCTAGGAG</t>
  </si>
  <si>
    <t>S5758</t>
  </si>
  <si>
    <t>TGCGTAAC</t>
  </si>
  <si>
    <t>S5759</t>
  </si>
  <si>
    <t>CTTGCTAG</t>
  </si>
  <si>
    <t>S5760</t>
  </si>
  <si>
    <t>AGCGAGAT</t>
  </si>
  <si>
    <t>S5761</t>
  </si>
  <si>
    <t>TATGGCAC</t>
  </si>
  <si>
    <t>S5762</t>
  </si>
  <si>
    <t>GAATCACC</t>
  </si>
  <si>
    <t>S5763</t>
  </si>
  <si>
    <t>GTAAGGTG</t>
  </si>
  <si>
    <t>S5764</t>
  </si>
  <si>
    <t>CGAGAGAA</t>
  </si>
  <si>
    <t>S5765</t>
  </si>
  <si>
    <t>CGCAACTA</t>
  </si>
  <si>
    <t>S5766</t>
  </si>
  <si>
    <t>CACAGACT</t>
  </si>
  <si>
    <t>S5767</t>
  </si>
  <si>
    <t>TGGAAGCA</t>
  </si>
  <si>
    <t>S5768</t>
  </si>
  <si>
    <t>CAATAGCC</t>
  </si>
  <si>
    <t>S5769</t>
  </si>
  <si>
    <t>CTCGAACA</t>
  </si>
  <si>
    <t>S5770</t>
  </si>
  <si>
    <t>GGCAAGTT</t>
  </si>
  <si>
    <t>S5771</t>
  </si>
  <si>
    <t>AGCTACCA</t>
  </si>
  <si>
    <t>S5772</t>
  </si>
  <si>
    <t>CAGCATAC</t>
  </si>
  <si>
    <t>S5773</t>
  </si>
  <si>
    <t>CGTATCTC</t>
  </si>
  <si>
    <t>S5774</t>
  </si>
  <si>
    <t>TTACGTGC</t>
  </si>
  <si>
    <t>S5775</t>
  </si>
  <si>
    <t>AGCTAAGC</t>
  </si>
  <si>
    <t>S5776</t>
  </si>
  <si>
    <t>AAGACACC</t>
  </si>
  <si>
    <t>S5777</t>
  </si>
  <si>
    <t>CAACTCCA</t>
  </si>
  <si>
    <t>S5778</t>
  </si>
  <si>
    <t>GATCTTGC</t>
  </si>
  <si>
    <t>S5779</t>
  </si>
  <si>
    <t>CTTCACTG</t>
  </si>
  <si>
    <t>S5780</t>
  </si>
  <si>
    <t>CTCGACTT</t>
  </si>
  <si>
    <t>S5781</t>
  </si>
  <si>
    <t>GTACACCT</t>
  </si>
  <si>
    <t>S5782</t>
  </si>
  <si>
    <t>CCAAGGTT</t>
  </si>
  <si>
    <t>S5783</t>
  </si>
  <si>
    <t>GAACGGTT</t>
  </si>
  <si>
    <t>S5784</t>
  </si>
  <si>
    <t>CCAGTTGA</t>
  </si>
  <si>
    <t>S5785</t>
  </si>
  <si>
    <t>GTCATCGT</t>
  </si>
  <si>
    <t>S5786</t>
  </si>
  <si>
    <t>CAATGCGA</t>
  </si>
  <si>
    <t>S5787</t>
  </si>
  <si>
    <t>GGTTGAAC</t>
  </si>
  <si>
    <t>S5788</t>
  </si>
  <si>
    <t>CTTCGGTT</t>
  </si>
  <si>
    <t>S5789</t>
  </si>
  <si>
    <t>CGGCATTA</t>
  </si>
  <si>
    <t>S5790</t>
  </si>
  <si>
    <t>CACGCAAT</t>
  </si>
  <si>
    <t>S5791</t>
  </si>
  <si>
    <t>GGAATGTC</t>
  </si>
  <si>
    <t>S5792</t>
  </si>
  <si>
    <t>TGGTGAAG</t>
  </si>
  <si>
    <t>S5793</t>
  </si>
  <si>
    <t>GGACATCA</t>
  </si>
  <si>
    <t>S5794</t>
  </si>
  <si>
    <t>GGTGTACA</t>
  </si>
  <si>
    <t>S5795</t>
  </si>
  <si>
    <t>GATAGCCA</t>
  </si>
  <si>
    <t>S5796</t>
  </si>
  <si>
    <t>CCACAACA</t>
  </si>
  <si>
    <t>S5501</t>
  </si>
  <si>
    <t>CGTATTCG</t>
  </si>
  <si>
    <t>S5502</t>
  </si>
  <si>
    <t>TCAAGGAC</t>
  </si>
  <si>
    <t>S5503</t>
  </si>
  <si>
    <t>AAGCACTG</t>
  </si>
  <si>
    <t>S5504</t>
  </si>
  <si>
    <t>GCAATGGA</t>
  </si>
  <si>
    <t>S5505</t>
  </si>
  <si>
    <t>CAATCGAC</t>
  </si>
  <si>
    <t>S5506</t>
  </si>
  <si>
    <t>GGCGTTAT</t>
  </si>
  <si>
    <t>S5507</t>
  </si>
  <si>
    <t>GTTAAGGC</t>
  </si>
  <si>
    <t>S5508</t>
  </si>
  <si>
    <t>CCTATACC</t>
  </si>
  <si>
    <t>S5509</t>
  </si>
  <si>
    <t>CTCCTAGA</t>
  </si>
  <si>
    <t>S5510</t>
  </si>
  <si>
    <t>GTTACGCA</t>
  </si>
  <si>
    <t>S5511</t>
  </si>
  <si>
    <t>CTAGCAAG</t>
  </si>
  <si>
    <t>S5512</t>
  </si>
  <si>
    <t>ATCTCGCT</t>
  </si>
  <si>
    <t>S5513</t>
  </si>
  <si>
    <t>GTGCCATA</t>
  </si>
  <si>
    <t>S5514</t>
  </si>
  <si>
    <t>GGTGATTC</t>
  </si>
  <si>
    <t>S5515</t>
  </si>
  <si>
    <t>CACCTTAC</t>
  </si>
  <si>
    <t>S5516</t>
  </si>
  <si>
    <t>TTCTCTCG</t>
  </si>
  <si>
    <t>S5517</t>
  </si>
  <si>
    <t>TAGTTGCG</t>
  </si>
  <si>
    <t>S5518</t>
  </si>
  <si>
    <t>AGTCTGTG</t>
  </si>
  <si>
    <t>S5519</t>
  </si>
  <si>
    <t>TGCTTCCA</t>
  </si>
  <si>
    <t>S5520</t>
  </si>
  <si>
    <t>GGCTATTG</t>
  </si>
  <si>
    <t>S5521</t>
  </si>
  <si>
    <t>TGTTCGAG</t>
  </si>
  <si>
    <t>S5522</t>
  </si>
  <si>
    <t>AACTTGCC</t>
  </si>
  <si>
    <t>S5523</t>
  </si>
  <si>
    <t>TGGTAGCT</t>
  </si>
  <si>
    <t>S5524</t>
  </si>
  <si>
    <t>GTATGCTG</t>
  </si>
  <si>
    <t>S5525</t>
  </si>
  <si>
    <t>GAGATACG</t>
  </si>
  <si>
    <t>S5526</t>
  </si>
  <si>
    <t>GCACGTAA</t>
  </si>
  <si>
    <t>S5527</t>
  </si>
  <si>
    <t>GCTTAGCT</t>
  </si>
  <si>
    <t>S5528</t>
  </si>
  <si>
    <t>GGTGTCTT</t>
  </si>
  <si>
    <t>S5529</t>
  </si>
  <si>
    <t>TGGAGTTG</t>
  </si>
  <si>
    <t>S5530</t>
  </si>
  <si>
    <t>GCAAGATC</t>
  </si>
  <si>
    <t>S5531</t>
  </si>
  <si>
    <t>CAGTGAAG</t>
  </si>
  <si>
    <t>S5532</t>
  </si>
  <si>
    <t>AAGTCGAG</t>
  </si>
  <si>
    <t>S5533</t>
  </si>
  <si>
    <t>AGGTGTAC</t>
  </si>
  <si>
    <t>S5534</t>
  </si>
  <si>
    <t>AACCTTGG</t>
  </si>
  <si>
    <t>S5535</t>
  </si>
  <si>
    <t>AACCGTTC</t>
  </si>
  <si>
    <t>S5536</t>
  </si>
  <si>
    <t>TCAACTGG</t>
  </si>
  <si>
    <t>S5537</t>
  </si>
  <si>
    <t>ACGATGAC</t>
  </si>
  <si>
    <t>S5538</t>
  </si>
  <si>
    <t>TCGCATTG</t>
  </si>
  <si>
    <t>S5539</t>
  </si>
  <si>
    <t>GTTCAACC</t>
  </si>
  <si>
    <t>S5540</t>
  </si>
  <si>
    <t>AACCGAAG</t>
  </si>
  <si>
    <t>S5541</t>
  </si>
  <si>
    <t>TAATGCCG</t>
  </si>
  <si>
    <t>S5542</t>
  </si>
  <si>
    <t>ATTGCGTG</t>
  </si>
  <si>
    <t>S5543</t>
  </si>
  <si>
    <t>GACATTCC</t>
  </si>
  <si>
    <t>S5544</t>
  </si>
  <si>
    <t>CTTCACCA</t>
  </si>
  <si>
    <t>S5545</t>
  </si>
  <si>
    <t>TGATGTCC</t>
  </si>
  <si>
    <t>S5546</t>
  </si>
  <si>
    <t>TGTACACC</t>
  </si>
  <si>
    <t>S5547</t>
  </si>
  <si>
    <t>TGGCTATC</t>
  </si>
  <si>
    <t>S5548</t>
  </si>
  <si>
    <t>TGTTGTGG</t>
  </si>
  <si>
    <t>S5549</t>
  </si>
  <si>
    <t>GTCGGTAA</t>
  </si>
  <si>
    <t>S5550</t>
  </si>
  <si>
    <t>TCAGACGA</t>
  </si>
  <si>
    <t>S5551</t>
  </si>
  <si>
    <t>ACCTGGAA</t>
  </si>
  <si>
    <t>S5552</t>
  </si>
  <si>
    <t>AGACCGTA</t>
  </si>
  <si>
    <t>S5553</t>
  </si>
  <si>
    <t>ACGGTCTT</t>
  </si>
  <si>
    <t>S5554</t>
  </si>
  <si>
    <t>TGAACCTG</t>
  </si>
  <si>
    <t>S5555</t>
  </si>
  <si>
    <t>AGCTCCTA</t>
  </si>
  <si>
    <t>S5556</t>
  </si>
  <si>
    <t>CTGGAGTA</t>
  </si>
  <si>
    <t>S5557</t>
  </si>
  <si>
    <t>AGGTCACT</t>
  </si>
  <si>
    <t>S5558</t>
  </si>
  <si>
    <t>GATAGGCT</t>
  </si>
  <si>
    <t>S5559</t>
  </si>
  <si>
    <t>GGAGATGA</t>
  </si>
  <si>
    <t>S5560</t>
  </si>
  <si>
    <t>GATACTGG</t>
  </si>
  <si>
    <t>S5561</t>
  </si>
  <si>
    <t>TCTCGCAA</t>
  </si>
  <si>
    <t>S5562</t>
  </si>
  <si>
    <t>CTTCGTTC</t>
  </si>
  <si>
    <t>S5563</t>
  </si>
  <si>
    <t>GCAATTCG</t>
  </si>
  <si>
    <t>S5564</t>
  </si>
  <si>
    <t>TCTCTTCC</t>
  </si>
  <si>
    <t>S5565</t>
  </si>
  <si>
    <t>GAATCCGA</t>
  </si>
  <si>
    <t>S5566</t>
  </si>
  <si>
    <t>TGGTACAG</t>
  </si>
  <si>
    <t>S5567</t>
  </si>
  <si>
    <t>GTACTCTC</t>
  </si>
  <si>
    <t>S5568</t>
  </si>
  <si>
    <t>TGCGTAGA</t>
  </si>
  <si>
    <t>S5569</t>
  </si>
  <si>
    <t>GGAATTGC</t>
  </si>
  <si>
    <t>S5570</t>
  </si>
  <si>
    <t>CTTCTGAG</t>
  </si>
  <si>
    <t>S5571</t>
  </si>
  <si>
    <t>S5572</t>
  </si>
  <si>
    <t>TCTAACGC</t>
  </si>
  <si>
    <t>S5573</t>
  </si>
  <si>
    <t>GTACCTTG</t>
  </si>
  <si>
    <t>S5574</t>
  </si>
  <si>
    <t>CAAGGTCT</t>
  </si>
  <si>
    <t>S5575</t>
  </si>
  <si>
    <t>GTAACGAC</t>
  </si>
  <si>
    <t>S5576</t>
  </si>
  <si>
    <t>TCGGTTAC</t>
  </si>
  <si>
    <t>S5577</t>
  </si>
  <si>
    <t>ACGGATTC</t>
  </si>
  <si>
    <t>S5578</t>
  </si>
  <si>
    <t>TGCTCATG</t>
  </si>
  <si>
    <t>S5579</t>
  </si>
  <si>
    <t>S5580</t>
  </si>
  <si>
    <t>GGTCAGAT</t>
  </si>
  <si>
    <t>S5581</t>
  </si>
  <si>
    <t>CATGAGGA</t>
  </si>
  <si>
    <t>S5582</t>
  </si>
  <si>
    <t>GCTATCCT</t>
  </si>
  <si>
    <t>S5583</t>
  </si>
  <si>
    <t>ATTCCTCC</t>
  </si>
  <si>
    <t>S5584</t>
  </si>
  <si>
    <t>ATGACGTC</t>
  </si>
  <si>
    <t>S5585</t>
  </si>
  <si>
    <t>TTAAGCGG</t>
  </si>
  <si>
    <t>S5586</t>
  </si>
  <si>
    <t>AGTTCGTC</t>
  </si>
  <si>
    <t>S5587</t>
  </si>
  <si>
    <t>AACGTGGA</t>
  </si>
  <si>
    <t>S5588</t>
  </si>
  <si>
    <t>CTCTGGTT</t>
  </si>
  <si>
    <t>S5589</t>
  </si>
  <si>
    <t>TGACTGAC</t>
  </si>
  <si>
    <t>S5590</t>
  </si>
  <si>
    <t>ATGGAAGG</t>
  </si>
  <si>
    <t>S5591</t>
  </si>
  <si>
    <t>GTGTTCCT</t>
  </si>
  <si>
    <t>S5592</t>
  </si>
  <si>
    <t>GCTGTAAG</t>
  </si>
  <si>
    <t>S5593</t>
  </si>
  <si>
    <t>TGCAGGTA</t>
  </si>
  <si>
    <t>S5594</t>
  </si>
  <si>
    <t>TAGCGTCT</t>
  </si>
  <si>
    <t>S5595</t>
  </si>
  <si>
    <t>CTGTGTTG</t>
  </si>
  <si>
    <t>S5596</t>
  </si>
  <si>
    <t>TGTGGTAC</t>
  </si>
  <si>
    <t>S6701</t>
  </si>
  <si>
    <t>CACTGTAG</t>
  </si>
  <si>
    <t>Set 6</t>
  </si>
  <si>
    <t>S6702</t>
  </si>
  <si>
    <t>GTGCACGA</t>
  </si>
  <si>
    <t>S6703</t>
  </si>
  <si>
    <t>ATGTTCCT</t>
  </si>
  <si>
    <t>S6704</t>
  </si>
  <si>
    <t>CATTATGG</t>
  </si>
  <si>
    <t>S6705</t>
  </si>
  <si>
    <t>TCTTGTTT</t>
  </si>
  <si>
    <t>S6706</t>
  </si>
  <si>
    <t>GGCTTACT</t>
  </si>
  <si>
    <t>S6707</t>
  </si>
  <si>
    <t>ACGATATG</t>
  </si>
  <si>
    <t>S6708</t>
  </si>
  <si>
    <t>ATCCGCAG</t>
  </si>
  <si>
    <t>S6709</t>
  </si>
  <si>
    <t>S6710</t>
  </si>
  <si>
    <t>TGATAGGC</t>
  </si>
  <si>
    <t>S6711</t>
  </si>
  <si>
    <t>AACACCAC</t>
  </si>
  <si>
    <t>S6712</t>
  </si>
  <si>
    <t>ACCTCTTC</t>
  </si>
  <si>
    <t>S6713</t>
  </si>
  <si>
    <t>GTCCGATC</t>
  </si>
  <si>
    <t>S6714</t>
  </si>
  <si>
    <t>GAGGACCA</t>
  </si>
  <si>
    <t>S6715</t>
  </si>
  <si>
    <t>CGCTCTTA</t>
  </si>
  <si>
    <t>S6716</t>
  </si>
  <si>
    <t>CTGAGCTC</t>
  </si>
  <si>
    <t>S6717</t>
  </si>
  <si>
    <t>ACGAATCC</t>
  </si>
  <si>
    <t>S6718</t>
  </si>
  <si>
    <t>GTCTGAGT</t>
  </si>
  <si>
    <t>S6719</t>
  </si>
  <si>
    <t>CCTAAACT</t>
  </si>
  <si>
    <t>S6720</t>
  </si>
  <si>
    <t>TGTCACAC</t>
  </si>
  <si>
    <t>S6721</t>
  </si>
  <si>
    <t>GATATGAA</t>
  </si>
  <si>
    <t>S6722</t>
  </si>
  <si>
    <t>AAGTGTGG</t>
  </si>
  <si>
    <t>S6723</t>
  </si>
  <si>
    <t>GTTGGCGT</t>
  </si>
  <si>
    <t>S6724</t>
  </si>
  <si>
    <t>TAGCTGGC</t>
  </si>
  <si>
    <t>S6725</t>
  </si>
  <si>
    <t>ATTACCCA</t>
  </si>
  <si>
    <t>S6726</t>
  </si>
  <si>
    <t>GACTTGTG</t>
  </si>
  <si>
    <t>S6727</t>
  </si>
  <si>
    <t>CAGGTAAG</t>
  </si>
  <si>
    <t>S6728</t>
  </si>
  <si>
    <t>AAGGAGAC</t>
  </si>
  <si>
    <t>S6729</t>
  </si>
  <si>
    <t>AGTCAGGT</t>
  </si>
  <si>
    <t>S6730</t>
  </si>
  <si>
    <t>ACCGTAAG</t>
  </si>
  <si>
    <t>S6731</t>
  </si>
  <si>
    <t>TATGACGT</t>
  </si>
  <si>
    <t>S6732</t>
  </si>
  <si>
    <t>TTGGGTAC</t>
  </si>
  <si>
    <t>S6733</t>
  </si>
  <si>
    <t>TTCAATAG</t>
  </si>
  <si>
    <t>S6734</t>
  </si>
  <si>
    <t>GTTTGCTC</t>
  </si>
  <si>
    <t>S6735</t>
  </si>
  <si>
    <t>AGAAGCCT</t>
  </si>
  <si>
    <t>S6736</t>
  </si>
  <si>
    <t>CTAGGTTG</t>
  </si>
  <si>
    <t>S6737</t>
  </si>
  <si>
    <t>TGTGTCAG</t>
  </si>
  <si>
    <t>S6738</t>
  </si>
  <si>
    <t>AGAACCAG</t>
  </si>
  <si>
    <t>S6739</t>
  </si>
  <si>
    <t>ATTGGACA</t>
  </si>
  <si>
    <t>S6740</t>
  </si>
  <si>
    <t>ACCCGTTG</t>
  </si>
  <si>
    <t>S6741</t>
  </si>
  <si>
    <t>ACCGGAGT</t>
  </si>
  <si>
    <t>S6742</t>
  </si>
  <si>
    <t>CTTGACGA</t>
  </si>
  <si>
    <t>S6743</t>
  </si>
  <si>
    <t>GCCACGAC</t>
  </si>
  <si>
    <t>S6744</t>
  </si>
  <si>
    <t>TCTGGAAC</t>
  </si>
  <si>
    <t>S6745</t>
  </si>
  <si>
    <t>CACTAGAC</t>
  </si>
  <si>
    <t>S6746</t>
  </si>
  <si>
    <t>TTGCGTTA</t>
  </si>
  <si>
    <t>S6747</t>
  </si>
  <si>
    <t>CCTATGCA</t>
  </si>
  <si>
    <t>S6748</t>
  </si>
  <si>
    <t>CAACCGAG</t>
  </si>
  <si>
    <t>S6749</t>
  </si>
  <si>
    <t>TGTTCGCC</t>
  </si>
  <si>
    <t>S6750</t>
  </si>
  <si>
    <t>ACAAGGCA</t>
  </si>
  <si>
    <t>S6751</t>
  </si>
  <si>
    <t>TCAGCGCC</t>
  </si>
  <si>
    <t>S6752</t>
  </si>
  <si>
    <t>AGTCACAT</t>
  </si>
  <si>
    <t>S6753</t>
  </si>
  <si>
    <t>CCTTTCAC</t>
  </si>
  <si>
    <t>S6754</t>
  </si>
  <si>
    <t>CTTTCCCT</t>
  </si>
  <si>
    <t>S6755</t>
  </si>
  <si>
    <t>GACAATTC</t>
  </si>
  <si>
    <t>S6756</t>
  </si>
  <si>
    <t>ACACGACT</t>
  </si>
  <si>
    <t>S6757</t>
  </si>
  <si>
    <t>CCTGTCAA</t>
  </si>
  <si>
    <t>S6758</t>
  </si>
  <si>
    <t>CCATCCGC</t>
  </si>
  <si>
    <t>S6759</t>
  </si>
  <si>
    <t>GGTGTGAG</t>
  </si>
  <si>
    <t>S6760</t>
  </si>
  <si>
    <t>CTTGCATA</t>
  </si>
  <si>
    <t>S6761</t>
  </si>
  <si>
    <t>GCCAATCC</t>
  </si>
  <si>
    <t>S6762</t>
  </si>
  <si>
    <t>ATGCCGGT</t>
  </si>
  <si>
    <t>S6763</t>
  </si>
  <si>
    <t>CATACCGT</t>
  </si>
  <si>
    <t>S6764</t>
  </si>
  <si>
    <t>ATCAGAGC</t>
  </si>
  <si>
    <t>S6765</t>
  </si>
  <si>
    <t>ATGGCTGT</t>
  </si>
  <si>
    <t>S6766</t>
  </si>
  <si>
    <t>S6767</t>
  </si>
  <si>
    <t>ACGAGGAG</t>
  </si>
  <si>
    <t>S6768</t>
  </si>
  <si>
    <t>TAATCTCG</t>
  </si>
  <si>
    <t>S6769</t>
  </si>
  <si>
    <t>TACGGCAG</t>
  </si>
  <si>
    <t>S6770</t>
  </si>
  <si>
    <t>TGCCCATC</t>
  </si>
  <si>
    <t>S6771</t>
  </si>
  <si>
    <t>CAGCAGTC</t>
  </si>
  <si>
    <t>S6772</t>
  </si>
  <si>
    <t>TACCGGCT</t>
  </si>
  <si>
    <t>S6773</t>
  </si>
  <si>
    <t>AGGTAGGA</t>
  </si>
  <si>
    <t>S6774</t>
  </si>
  <si>
    <t>TCGCGCAA</t>
  </si>
  <si>
    <t>S6775</t>
  </si>
  <si>
    <t>CTCGAAAT</t>
  </si>
  <si>
    <t>S6776</t>
  </si>
  <si>
    <t>CTCACAAC</t>
  </si>
  <si>
    <t>S6777</t>
  </si>
  <si>
    <t>GTAACCAC</t>
  </si>
  <si>
    <t>S6778</t>
  </si>
  <si>
    <t>CATATCCA</t>
  </si>
  <si>
    <t>S6779</t>
  </si>
  <si>
    <t>CGCTAATC</t>
  </si>
  <si>
    <t>S6780</t>
  </si>
  <si>
    <t>CTTCCAAC</t>
  </si>
  <si>
    <t>S6781</t>
  </si>
  <si>
    <t>AAGGAAGG</t>
  </si>
  <si>
    <t>S6782</t>
  </si>
  <si>
    <t>GCACACAA</t>
  </si>
  <si>
    <t>S6783</t>
  </si>
  <si>
    <t>GTCAGTAT</t>
  </si>
  <si>
    <t>S6784</t>
  </si>
  <si>
    <t>ATTCGAGC</t>
  </si>
  <si>
    <t>S6785</t>
  </si>
  <si>
    <t>CACCTGTA</t>
  </si>
  <si>
    <t>S6786</t>
  </si>
  <si>
    <t>CCGACTCT</t>
  </si>
  <si>
    <t>S6787</t>
  </si>
  <si>
    <t>TTGCTGGA</t>
  </si>
  <si>
    <t>S6788</t>
  </si>
  <si>
    <t>CAGCTTCG</t>
  </si>
  <si>
    <t>S6789</t>
  </si>
  <si>
    <t>TCCCACGA</t>
  </si>
  <si>
    <t>S6790</t>
  </si>
  <si>
    <t>ACCAACAG</t>
  </si>
  <si>
    <t>S6791</t>
  </si>
  <si>
    <t>CCTCGGGT</t>
  </si>
  <si>
    <t>S6792</t>
  </si>
  <si>
    <t>TAGCACCT</t>
  </si>
  <si>
    <t>S6793</t>
  </si>
  <si>
    <t>TGAGGACT</t>
  </si>
  <si>
    <t>S6794</t>
  </si>
  <si>
    <t>TTCCCGAA</t>
  </si>
  <si>
    <t>S6795</t>
  </si>
  <si>
    <t>GAGTCGAT</t>
  </si>
  <si>
    <t>S6796</t>
  </si>
  <si>
    <t>TACCTGTG</t>
  </si>
  <si>
    <t>S6501</t>
  </si>
  <si>
    <t>AGTCGCTT</t>
  </si>
  <si>
    <t>S6502</t>
  </si>
  <si>
    <t>GCCTATCA</t>
  </si>
  <si>
    <t>S6503</t>
  </si>
  <si>
    <t>GGCGCTGA</t>
  </si>
  <si>
    <t>S6504</t>
  </si>
  <si>
    <t>ATGTGACT</t>
  </si>
  <si>
    <t>S6505</t>
  </si>
  <si>
    <t>GTGAAAGG</t>
  </si>
  <si>
    <t>S6506</t>
  </si>
  <si>
    <t>AGGGAAAG</t>
  </si>
  <si>
    <t>S6507</t>
  </si>
  <si>
    <t>GAATTGTC</t>
  </si>
  <si>
    <t>S6508</t>
  </si>
  <si>
    <t>AGTCGTGT</t>
  </si>
  <si>
    <t>S6509</t>
  </si>
  <si>
    <t>GGATTCGT</t>
  </si>
  <si>
    <t>S6510</t>
  </si>
  <si>
    <t>ACTCAGAC</t>
  </si>
  <si>
    <t>S6511</t>
  </si>
  <si>
    <t>CTCACACC</t>
  </si>
  <si>
    <t>S6512</t>
  </si>
  <si>
    <t>TATGCAAG</t>
  </si>
  <si>
    <t>S6513</t>
  </si>
  <si>
    <t>GGATTGGC</t>
  </si>
  <si>
    <t>S6514</t>
  </si>
  <si>
    <t>ACCGGCAT</t>
  </si>
  <si>
    <t>S6515</t>
  </si>
  <si>
    <t>ACGGTATG</t>
  </si>
  <si>
    <t>S6516</t>
  </si>
  <si>
    <t>GCTCTGAT</t>
  </si>
  <si>
    <t>S6517</t>
  </si>
  <si>
    <t>TGGGTAAT</t>
  </si>
  <si>
    <t>S6518</t>
  </si>
  <si>
    <t>CACAAGTC</t>
  </si>
  <si>
    <t>S6519</t>
  </si>
  <si>
    <t>CTCCTCGT</t>
  </si>
  <si>
    <t>S6520</t>
  </si>
  <si>
    <t>CGAGATTA</t>
  </si>
  <si>
    <t>S6521</t>
  </si>
  <si>
    <t>CTGCCGTA</t>
  </si>
  <si>
    <t>S6522</t>
  </si>
  <si>
    <t>GATGGGCA</t>
  </si>
  <si>
    <t>S6523</t>
  </si>
  <si>
    <t>GACTGCTG</t>
  </si>
  <si>
    <t>S6524</t>
  </si>
  <si>
    <t>AGCCGGTA</t>
  </si>
  <si>
    <t>S6525</t>
  </si>
  <si>
    <t>CTACAGTG</t>
  </si>
  <si>
    <t>S6526</t>
  </si>
  <si>
    <t>TCGTGCAC</t>
  </si>
  <si>
    <t>S6527</t>
  </si>
  <si>
    <t>ATTTCGAG</t>
  </si>
  <si>
    <t>S6528</t>
  </si>
  <si>
    <t>GTTGTGAG</t>
  </si>
  <si>
    <t>S6529</t>
  </si>
  <si>
    <t>GTGGTTAC</t>
  </si>
  <si>
    <t>S6530</t>
  </si>
  <si>
    <t>TGGATATG</t>
  </si>
  <si>
    <t>S6531</t>
  </si>
  <si>
    <t>GATTAGCG</t>
  </si>
  <si>
    <t>S6532</t>
  </si>
  <si>
    <t>GTTGGAAG</t>
  </si>
  <si>
    <t>S6533</t>
  </si>
  <si>
    <t>TCGTGGGA</t>
  </si>
  <si>
    <t>S6534</t>
  </si>
  <si>
    <t>CTGTTGGT</t>
  </si>
  <si>
    <t>S6535</t>
  </si>
  <si>
    <t>ATACTGAC</t>
  </si>
  <si>
    <t>S6536</t>
  </si>
  <si>
    <t>GCTCGAAT</t>
  </si>
  <si>
    <t>S6537</t>
  </si>
  <si>
    <t>TACAGGTG</t>
  </si>
  <si>
    <t>S6538</t>
  </si>
  <si>
    <t>AGAGTCGG</t>
  </si>
  <si>
    <t>S6539</t>
  </si>
  <si>
    <t>TCCAGCAA</t>
  </si>
  <si>
    <t>S6540</t>
  </si>
  <si>
    <t>CGAAGCTG</t>
  </si>
  <si>
    <t>S6541</t>
  </si>
  <si>
    <t>CCTTCCTT</t>
  </si>
  <si>
    <t>S6542</t>
  </si>
  <si>
    <t>TTGTGTGC</t>
  </si>
  <si>
    <t>S6543</t>
  </si>
  <si>
    <t>ACCCGAGG</t>
  </si>
  <si>
    <t>S6544</t>
  </si>
  <si>
    <t>AGGTGCTA</t>
  </si>
  <si>
    <t>S6545</t>
  </si>
  <si>
    <t>AGTCCTCA</t>
  </si>
  <si>
    <t>S6546</t>
  </si>
  <si>
    <t>TTCGGGAA</t>
  </si>
  <si>
    <t>S6547</t>
  </si>
  <si>
    <t>ATCGACTC</t>
  </si>
  <si>
    <t>S6548</t>
  </si>
  <si>
    <t>CACAGGTA</t>
  </si>
  <si>
    <t>S6549</t>
  </si>
  <si>
    <t>TCCTACCT</t>
  </si>
  <si>
    <t>S6550</t>
  </si>
  <si>
    <t>TTGCGCGA</t>
  </si>
  <si>
    <t>S6551</t>
  </si>
  <si>
    <t>AGGAACAT</t>
  </si>
  <si>
    <t>S6552</t>
  </si>
  <si>
    <t>CCATAATG</t>
  </si>
  <si>
    <t>S6553</t>
  </si>
  <si>
    <t>AAACAAGA</t>
  </si>
  <si>
    <t>S6554</t>
  </si>
  <si>
    <t>AGTAAGCC</t>
  </si>
  <si>
    <t>S6555</t>
  </si>
  <si>
    <t>CATATCGT</t>
  </si>
  <si>
    <t>S6556</t>
  </si>
  <si>
    <t>CTGCGGAT</t>
  </si>
  <si>
    <t>S6557</t>
  </si>
  <si>
    <t>ACAGCCAT</t>
  </si>
  <si>
    <t>S6558</t>
  </si>
  <si>
    <t>TACGCCTT</t>
  </si>
  <si>
    <t>S6559</t>
  </si>
  <si>
    <t>GTGGTGTT</t>
  </si>
  <si>
    <t>S6560</t>
  </si>
  <si>
    <t>GAAGAGGT</t>
  </si>
  <si>
    <t>S6561</t>
  </si>
  <si>
    <t>GATCGGAC</t>
  </si>
  <si>
    <t>S6562</t>
  </si>
  <si>
    <t>TGGTCCTC</t>
  </si>
  <si>
    <t>S6563</t>
  </si>
  <si>
    <t>TAAGAGCG</t>
  </si>
  <si>
    <t>S6564</t>
  </si>
  <si>
    <t>GAGCTCAG</t>
  </si>
  <si>
    <t>S6565</t>
  </si>
  <si>
    <t>TTGACAGG</t>
  </si>
  <si>
    <t>S6566</t>
  </si>
  <si>
    <t>GCGGATGG</t>
  </si>
  <si>
    <t>S6567</t>
  </si>
  <si>
    <t>AGTTTAGG</t>
  </si>
  <si>
    <t>S6568</t>
  </si>
  <si>
    <t>GTGTGACA</t>
  </si>
  <si>
    <t>S6569</t>
  </si>
  <si>
    <t>TTCATATC</t>
  </si>
  <si>
    <t>S6570</t>
  </si>
  <si>
    <t>CCACACTT</t>
  </si>
  <si>
    <t>S6571</t>
  </si>
  <si>
    <t>ACGCCAAC</t>
  </si>
  <si>
    <t>S6572</t>
  </si>
  <si>
    <t>GCCAGCTA</t>
  </si>
  <si>
    <t>S6573</t>
  </si>
  <si>
    <t>GGCGAACA</t>
  </si>
  <si>
    <t>S6574</t>
  </si>
  <si>
    <t>TGCCTTGT</t>
  </si>
  <si>
    <t>S6575</t>
  </si>
  <si>
    <t>CTTACCTG</t>
  </si>
  <si>
    <t>S6576</t>
  </si>
  <si>
    <t>GTCTCCTT</t>
  </si>
  <si>
    <t>S6577</t>
  </si>
  <si>
    <t>ACCTGACT</t>
  </si>
  <si>
    <t>S6578</t>
  </si>
  <si>
    <t>CTTACGGT</t>
  </si>
  <si>
    <t>S6579</t>
  </si>
  <si>
    <t>ACGTCATA</t>
  </si>
  <si>
    <t>S6580</t>
  </si>
  <si>
    <t>GTACCCAA</t>
  </si>
  <si>
    <t>S6581</t>
  </si>
  <si>
    <t>ACTCCGGT</t>
  </si>
  <si>
    <t>S6582</t>
  </si>
  <si>
    <t>TCGTCAAG</t>
  </si>
  <si>
    <t>S6583</t>
  </si>
  <si>
    <t>AGGCTTCT</t>
  </si>
  <si>
    <t>S6584</t>
  </si>
  <si>
    <t>CAACCTAG</t>
  </si>
  <si>
    <t>S6585</t>
  </si>
  <si>
    <t>CTGACACA</t>
  </si>
  <si>
    <t>S6586</t>
  </si>
  <si>
    <t>CTGGTTCT</t>
  </si>
  <si>
    <t>S6587</t>
  </si>
  <si>
    <t>TGTCCAAT</t>
  </si>
  <si>
    <t>S6588</t>
  </si>
  <si>
    <t>CAACGGGT</t>
  </si>
  <si>
    <t>S6589</t>
  </si>
  <si>
    <t>CTATTGAA</t>
  </si>
  <si>
    <t>S6590</t>
  </si>
  <si>
    <t>GAGCAAAC</t>
  </si>
  <si>
    <t>S6591</t>
  </si>
  <si>
    <t>GTCGTGGC</t>
  </si>
  <si>
    <t>S6592</t>
  </si>
  <si>
    <t>GTTCCAGA</t>
  </si>
  <si>
    <t>S6593</t>
  </si>
  <si>
    <t>GTCTAGTG</t>
  </si>
  <si>
    <t>S6594</t>
  </si>
  <si>
    <t>TAACGCAA</t>
  </si>
  <si>
    <t>S6595</t>
  </si>
  <si>
    <t>TGCATAGG</t>
  </si>
  <si>
    <t>S6596</t>
  </si>
  <si>
    <t>CTCGGTTG</t>
  </si>
  <si>
    <t>S7701</t>
  </si>
  <si>
    <t>TGTCGTAG</t>
  </si>
  <si>
    <t>Set 7</t>
  </si>
  <si>
    <t>S7702</t>
  </si>
  <si>
    <t>CAATCATA</t>
  </si>
  <si>
    <t>S7703</t>
  </si>
  <si>
    <t>GTTCTTAT</t>
  </si>
  <si>
    <t>S7704</t>
  </si>
  <si>
    <t>GATGCGAC</t>
  </si>
  <si>
    <t>S7705</t>
  </si>
  <si>
    <t>GAAGAGGG</t>
  </si>
  <si>
    <t>S7706</t>
  </si>
  <si>
    <t>TAGTAATC</t>
  </si>
  <si>
    <t>S7707</t>
  </si>
  <si>
    <t>GTGTGGAG</t>
  </si>
  <si>
    <t>S7708</t>
  </si>
  <si>
    <t>ACGTTGTA</t>
  </si>
  <si>
    <t>S7709</t>
  </si>
  <si>
    <t>GCGCTAAT</t>
  </si>
  <si>
    <t>S7710</t>
  </si>
  <si>
    <t>AGAGCTGC</t>
  </si>
  <si>
    <t>S7711</t>
  </si>
  <si>
    <t>CATACTTA</t>
  </si>
  <si>
    <t>S7712</t>
  </si>
  <si>
    <t>TTGCACCG</t>
  </si>
  <si>
    <t>S7713</t>
  </si>
  <si>
    <t>GCGGGATA</t>
  </si>
  <si>
    <t>S7714</t>
  </si>
  <si>
    <t>GAAGTGAA</t>
  </si>
  <si>
    <t>S7715</t>
  </si>
  <si>
    <t>CTGTTTAC</t>
  </si>
  <si>
    <t>S7716</t>
  </si>
  <si>
    <t>GAGCACTC</t>
  </si>
  <si>
    <t>S7717</t>
  </si>
  <si>
    <t>TTGTTGCA</t>
  </si>
  <si>
    <t>S7718</t>
  </si>
  <si>
    <t>S7719</t>
  </si>
  <si>
    <t>CCCGTTTG</t>
  </si>
  <si>
    <t>S7720</t>
  </si>
  <si>
    <t>ATGCTCCC</t>
  </si>
  <si>
    <t>S7721</t>
  </si>
  <si>
    <t>GCTCAATA</t>
  </si>
  <si>
    <t>S7722</t>
  </si>
  <si>
    <t>GTAGTTCG</t>
  </si>
  <si>
    <t>S7723</t>
  </si>
  <si>
    <t>CGAGAACC</t>
  </si>
  <si>
    <t>S7724</t>
  </si>
  <si>
    <t>GCCATGTA</t>
  </si>
  <si>
    <t>S7725</t>
  </si>
  <si>
    <t>TTTCTCTA</t>
  </si>
  <si>
    <t>S7726</t>
  </si>
  <si>
    <t>CCAGCGAT</t>
  </si>
  <si>
    <t>S7727</t>
  </si>
  <si>
    <t>TGGGAGTG</t>
  </si>
  <si>
    <t>S7728</t>
  </si>
  <si>
    <t>CCCTCGTA</t>
  </si>
  <si>
    <t>S7729</t>
  </si>
  <si>
    <t>CGATATGG</t>
  </si>
  <si>
    <t>S7730</t>
  </si>
  <si>
    <t>TTGTGCCC</t>
  </si>
  <si>
    <t>S7731</t>
  </si>
  <si>
    <t>TGTCCTCT</t>
  </si>
  <si>
    <t>S7732</t>
  </si>
  <si>
    <t>GTATAGTC</t>
  </si>
  <si>
    <t>S7733</t>
  </si>
  <si>
    <t>TTTGGGAT</t>
  </si>
  <si>
    <t>S7734</t>
  </si>
  <si>
    <t>CACCAAGC</t>
  </si>
  <si>
    <t>S7735</t>
  </si>
  <si>
    <t>CGGAGAGG</t>
  </si>
  <si>
    <t>S7736</t>
  </si>
  <si>
    <t>TATTTACC</t>
  </si>
  <si>
    <t>S7737</t>
  </si>
  <si>
    <t>TATATGGA</t>
  </si>
  <si>
    <t>S7738</t>
  </si>
  <si>
    <t>GTTAACAT</t>
  </si>
  <si>
    <t>S7739</t>
  </si>
  <si>
    <t>CGTCTTGG</t>
  </si>
  <si>
    <t>S7740</t>
  </si>
  <si>
    <t>CGTAGCGA</t>
  </si>
  <si>
    <t>S7741</t>
  </si>
  <si>
    <t>TAGTCACA</t>
  </si>
  <si>
    <t>S7742</t>
  </si>
  <si>
    <t>AGAAGTGG</t>
  </si>
  <si>
    <t>S7743</t>
  </si>
  <si>
    <t>CGTGGATT</t>
  </si>
  <si>
    <t>S7744</t>
  </si>
  <si>
    <t>GTAGATGC</t>
  </si>
  <si>
    <t>S7745</t>
  </si>
  <si>
    <t>TACCGCTC</t>
  </si>
  <si>
    <t>S7746</t>
  </si>
  <si>
    <t>CGAACCAC</t>
  </si>
  <si>
    <t>S7747</t>
  </si>
  <si>
    <t>TATTGTTC</t>
  </si>
  <si>
    <t>S7748</t>
  </si>
  <si>
    <t>GTTGTGTG</t>
  </si>
  <si>
    <t>S7749</t>
  </si>
  <si>
    <t>AAAGCTAA</t>
  </si>
  <si>
    <t>S7750</t>
  </si>
  <si>
    <t>TGGAGATT</t>
  </si>
  <si>
    <t>S7751</t>
  </si>
  <si>
    <t>AATTAGAC</t>
  </si>
  <si>
    <t>S7752</t>
  </si>
  <si>
    <t>ACTTTGGG</t>
  </si>
  <si>
    <t>S7753</t>
  </si>
  <si>
    <t>CGGACGGA</t>
  </si>
  <si>
    <t>S7754</t>
  </si>
  <si>
    <t>GCAGAGCC</t>
  </si>
  <si>
    <t>S7755</t>
  </si>
  <si>
    <t>GCATGATC</t>
  </si>
  <si>
    <t>S7756</t>
  </si>
  <si>
    <t>TCGACCTA</t>
  </si>
  <si>
    <t>S7757</t>
  </si>
  <si>
    <t>ACCCTGAC</t>
  </si>
  <si>
    <t>S7758</t>
  </si>
  <si>
    <t>GTTGAAGG</t>
  </si>
  <si>
    <t>S7759</t>
  </si>
  <si>
    <t>GCACGGGA</t>
  </si>
  <si>
    <t>S7760</t>
  </si>
  <si>
    <t>CGTATAAA</t>
  </si>
  <si>
    <t>S7761</t>
  </si>
  <si>
    <t>AGAGACGG</t>
  </si>
  <si>
    <t>S7762</t>
  </si>
  <si>
    <t>TACAAGTC</t>
  </si>
  <si>
    <t>S7763</t>
  </si>
  <si>
    <t>TGAATCTT</t>
  </si>
  <si>
    <t>S7764</t>
  </si>
  <si>
    <t>GCAACTTG</t>
  </si>
  <si>
    <t>S7765</t>
  </si>
  <si>
    <t>ACGACGTC</t>
  </si>
  <si>
    <t>S7766</t>
  </si>
  <si>
    <t>GTATGACG</t>
  </si>
  <si>
    <t>S7767</t>
  </si>
  <si>
    <t>TACAGCAA</t>
  </si>
  <si>
    <t>S7768</t>
  </si>
  <si>
    <t>CAGCAGGG</t>
  </si>
  <si>
    <t>S7769</t>
  </si>
  <si>
    <t>GATAAATG</t>
  </si>
  <si>
    <t>S7770</t>
  </si>
  <si>
    <t>GCATCAAG</t>
  </si>
  <si>
    <t>S7771</t>
  </si>
  <si>
    <t>CGATACAT</t>
  </si>
  <si>
    <t>S7772</t>
  </si>
  <si>
    <t>AACCCTAT</t>
  </si>
  <si>
    <t>S7773</t>
  </si>
  <si>
    <t>ACGTCGAG</t>
  </si>
  <si>
    <t>S7774</t>
  </si>
  <si>
    <t>TGACTAGA</t>
  </si>
  <si>
    <t>S7775</t>
  </si>
  <si>
    <t>TAGACGGG</t>
  </si>
  <si>
    <t>S7776</t>
  </si>
  <si>
    <t>CTCTTCTA</t>
  </si>
  <si>
    <t>S7777</t>
  </si>
  <si>
    <t>TACGTCCC</t>
  </si>
  <si>
    <t>S7778</t>
  </si>
  <si>
    <t>GATGGAAA</t>
  </si>
  <si>
    <t>S7779</t>
  </si>
  <si>
    <t>GTTCGTCG</t>
  </si>
  <si>
    <t>S7780</t>
  </si>
  <si>
    <t>GAGACCAA</t>
  </si>
  <si>
    <t>S7781</t>
  </si>
  <si>
    <t>ACGTGAAC</t>
  </si>
  <si>
    <t>S7782</t>
  </si>
  <si>
    <t>TTCCCTTT</t>
  </si>
  <si>
    <t>S7783</t>
  </si>
  <si>
    <t>GACGCTCG</t>
  </si>
  <si>
    <t>S7784</t>
  </si>
  <si>
    <t>CTCACGTC</t>
  </si>
  <si>
    <t>S7785</t>
  </si>
  <si>
    <t>CTGCCAAG</t>
  </si>
  <si>
    <t>S7786</t>
  </si>
  <si>
    <t>ACGCCGCA</t>
  </si>
  <si>
    <t>S7787</t>
  </si>
  <si>
    <t>CGCCAGTC</t>
  </si>
  <si>
    <t>S7788</t>
  </si>
  <si>
    <t>CTAAACAA</t>
  </si>
  <si>
    <t>S7789</t>
  </si>
  <si>
    <t>TATACCTC</t>
  </si>
  <si>
    <t>S7790</t>
  </si>
  <si>
    <t>CTCTTGAT</t>
  </si>
  <si>
    <t>S7791</t>
  </si>
  <si>
    <t>ACTCTTAG</t>
  </si>
  <si>
    <t>S7792</t>
  </si>
  <si>
    <t>GAGCAACA</t>
  </si>
  <si>
    <t>S7793</t>
  </si>
  <si>
    <t>CAGTGACG</t>
  </si>
  <si>
    <t>S7794</t>
  </si>
  <si>
    <t>AAGATTGA</t>
  </si>
  <si>
    <t>S7795</t>
  </si>
  <si>
    <t>GTGTGTTT</t>
  </si>
  <si>
    <t>S7796</t>
  </si>
  <si>
    <t>CGTCCGAC</t>
  </si>
  <si>
    <t>S7501</t>
  </si>
  <si>
    <t>TTAGCTTT</t>
  </si>
  <si>
    <t>S7502</t>
  </si>
  <si>
    <t>AATCTCCA</t>
  </si>
  <si>
    <t>S7503</t>
  </si>
  <si>
    <t>GTCTAATT</t>
  </si>
  <si>
    <t>S7504</t>
  </si>
  <si>
    <t>CCCAAAGT</t>
  </si>
  <si>
    <t>S7505</t>
  </si>
  <si>
    <t>TCCGTCCG</t>
  </si>
  <si>
    <t>S7506</t>
  </si>
  <si>
    <t>GGCTCTGC</t>
  </si>
  <si>
    <t>S7507</t>
  </si>
  <si>
    <t>GATCATGC</t>
  </si>
  <si>
    <t>S7508</t>
  </si>
  <si>
    <t>TAGGTCGA</t>
  </si>
  <si>
    <t>S7509</t>
  </si>
  <si>
    <t>GTCAGGGT</t>
  </si>
  <si>
    <t>S7510</t>
  </si>
  <si>
    <t>CCTTCAAC</t>
  </si>
  <si>
    <t>S7511</t>
  </si>
  <si>
    <t>TCCCGTGC</t>
  </si>
  <si>
    <t>S7512</t>
  </si>
  <si>
    <t>TTTATACG</t>
  </si>
  <si>
    <t>S7513</t>
  </si>
  <si>
    <t>CCGTCTCT</t>
  </si>
  <si>
    <t>S7514</t>
  </si>
  <si>
    <t>GACTTGTA</t>
  </si>
  <si>
    <t>S7515</t>
  </si>
  <si>
    <t>AAGATTCA</t>
  </si>
  <si>
    <t>S7516</t>
  </si>
  <si>
    <t>CAAGTTGC</t>
  </si>
  <si>
    <t>S7517</t>
  </si>
  <si>
    <t>GACGTCGT</t>
  </si>
  <si>
    <t>S7518</t>
  </si>
  <si>
    <t>CGTCATAC</t>
  </si>
  <si>
    <t>S7519</t>
  </si>
  <si>
    <t>TTGCTGTA</t>
  </si>
  <si>
    <t>S7520</t>
  </si>
  <si>
    <t>CCCTGCTG</t>
  </si>
  <si>
    <t>S7521</t>
  </si>
  <si>
    <t>CATTTATC</t>
  </si>
  <si>
    <t>S7522</t>
  </si>
  <si>
    <t>CTTGATGC</t>
  </si>
  <si>
    <t>S7523</t>
  </si>
  <si>
    <t>ATGTATCG</t>
  </si>
  <si>
    <t>S7524</t>
  </si>
  <si>
    <t>ATAGGGTT</t>
  </si>
  <si>
    <t>S7525</t>
  </si>
  <si>
    <t>CTCGACGT</t>
  </si>
  <si>
    <t>S7526</t>
  </si>
  <si>
    <t>TCTAGTCA</t>
  </si>
  <si>
    <t>S7527</t>
  </si>
  <si>
    <t>CCCGTCTA</t>
  </si>
  <si>
    <t>S7528</t>
  </si>
  <si>
    <t>TAGAAGAG</t>
  </si>
  <si>
    <t>S7529</t>
  </si>
  <si>
    <t>GGGACGTA</t>
  </si>
  <si>
    <t>S7530</t>
  </si>
  <si>
    <t>TTTCCATC</t>
  </si>
  <si>
    <t>S7531</t>
  </si>
  <si>
    <t>CGACGAAC</t>
  </si>
  <si>
    <t>S7532</t>
  </si>
  <si>
    <t>TTGGTCTC</t>
  </si>
  <si>
    <t>S7533</t>
  </si>
  <si>
    <t>GTTCACGT</t>
  </si>
  <si>
    <t>S7534</t>
  </si>
  <si>
    <t>AAAGGGAA</t>
  </si>
  <si>
    <t>S7535</t>
  </si>
  <si>
    <t>CGAGCGTC</t>
  </si>
  <si>
    <t>S7536</t>
  </si>
  <si>
    <t>GACGTGAG</t>
  </si>
  <si>
    <t>S7537</t>
  </si>
  <si>
    <t>CTTGGCAG</t>
  </si>
  <si>
    <t>S7538</t>
  </si>
  <si>
    <t>TGCGGCGT</t>
  </si>
  <si>
    <t>S7539</t>
  </si>
  <si>
    <t>GACTGGCG</t>
  </si>
  <si>
    <t>S7540</t>
  </si>
  <si>
    <t>TTGTTTAG</t>
  </si>
  <si>
    <t>S7541</t>
  </si>
  <si>
    <t>GAGGTATA</t>
  </si>
  <si>
    <t>S7542</t>
  </si>
  <si>
    <t>ATCAAGAG</t>
  </si>
  <si>
    <t>S7543</t>
  </si>
  <si>
    <t>CTAAGAGT</t>
  </si>
  <si>
    <t>S7544</t>
  </si>
  <si>
    <t>TGTTGCTC</t>
  </si>
  <si>
    <t>S7545</t>
  </si>
  <si>
    <t>CGTCACTG</t>
  </si>
  <si>
    <t>S7546</t>
  </si>
  <si>
    <t>TCAATCTT</t>
  </si>
  <si>
    <t>S7547</t>
  </si>
  <si>
    <t>AAACACAC</t>
  </si>
  <si>
    <t>S7548</t>
  </si>
  <si>
    <t>GTCGGACG</t>
  </si>
  <si>
    <t>S7549</t>
  </si>
  <si>
    <t>CTACGACA</t>
  </si>
  <si>
    <t>S7550</t>
  </si>
  <si>
    <t>TATGATTG</t>
  </si>
  <si>
    <t>S7551</t>
  </si>
  <si>
    <t>ATAAGAAC</t>
  </si>
  <si>
    <t>S7552</t>
  </si>
  <si>
    <t>GTCGCATC</t>
  </si>
  <si>
    <t>S7553</t>
  </si>
  <si>
    <t>CCCTCTTC</t>
  </si>
  <si>
    <t>S7554</t>
  </si>
  <si>
    <t>GATTACTA</t>
  </si>
  <si>
    <t>S7555</t>
  </si>
  <si>
    <t>CTCCACAC</t>
  </si>
  <si>
    <t>S7556</t>
  </si>
  <si>
    <t>TACAACGT</t>
  </si>
  <si>
    <t>S7557</t>
  </si>
  <si>
    <t>ATTAGCGC</t>
  </si>
  <si>
    <t>S7558</t>
  </si>
  <si>
    <t>GCAGCTCT</t>
  </si>
  <si>
    <t>S7559</t>
  </si>
  <si>
    <t>TAAGTATG</t>
  </si>
  <si>
    <t>S7560</t>
  </si>
  <si>
    <t>CGGTGCAA</t>
  </si>
  <si>
    <t>S7561</t>
  </si>
  <si>
    <t>TATCCCGC</t>
  </si>
  <si>
    <t>S7562</t>
  </si>
  <si>
    <t>TTCACTTC</t>
  </si>
  <si>
    <t>S7563</t>
  </si>
  <si>
    <t>GTAAACAG</t>
  </si>
  <si>
    <t>S7564</t>
  </si>
  <si>
    <t>GAGTGCTC</t>
  </si>
  <si>
    <t>S7565</t>
  </si>
  <si>
    <t>TGCAACAA</t>
  </si>
  <si>
    <t>S7566</t>
  </si>
  <si>
    <t>S7567</t>
  </si>
  <si>
    <t>CAAACGGG</t>
  </si>
  <si>
    <t>S7568</t>
  </si>
  <si>
    <t>GGGAGCAT</t>
  </si>
  <si>
    <t>S7569</t>
  </si>
  <si>
    <t>TATTGAGC</t>
  </si>
  <si>
    <t>S7570</t>
  </si>
  <si>
    <t>CGAACTAC</t>
  </si>
  <si>
    <t>S7571</t>
  </si>
  <si>
    <t>GGTTCTCG</t>
  </si>
  <si>
    <t>S7572</t>
  </si>
  <si>
    <t>TACATGGC</t>
  </si>
  <si>
    <t>S7573</t>
  </si>
  <si>
    <t>TAGAGAAA</t>
  </si>
  <si>
    <t>S7574</t>
  </si>
  <si>
    <t>ATCGCTGG</t>
  </si>
  <si>
    <t>S7575</t>
  </si>
  <si>
    <t>CACTCCCA</t>
  </si>
  <si>
    <t>S7576</t>
  </si>
  <si>
    <t>TACGAGGG</t>
  </si>
  <si>
    <t>S7577</t>
  </si>
  <si>
    <t>CCATATCG</t>
  </si>
  <si>
    <t>S7578</t>
  </si>
  <si>
    <t>GGGCACAA</t>
  </si>
  <si>
    <t>S7579</t>
  </si>
  <si>
    <t>AGAGGACA</t>
  </si>
  <si>
    <t>S7580</t>
  </si>
  <si>
    <t>GACTATAC</t>
  </si>
  <si>
    <t>S7581</t>
  </si>
  <si>
    <t>ATCCCAAA</t>
  </si>
  <si>
    <t>S7582</t>
  </si>
  <si>
    <t>GCTTGGTG</t>
  </si>
  <si>
    <t>S7583</t>
  </si>
  <si>
    <t>CCTCTCCG</t>
  </si>
  <si>
    <t>S7584</t>
  </si>
  <si>
    <t>GGTAAATA</t>
  </si>
  <si>
    <t>S7585</t>
  </si>
  <si>
    <t>TCCATATA</t>
  </si>
  <si>
    <t>S7586</t>
  </si>
  <si>
    <t>ATGTTAAC</t>
  </si>
  <si>
    <t>S7587</t>
  </si>
  <si>
    <t>CCAAGACG</t>
  </si>
  <si>
    <t>S7588</t>
  </si>
  <si>
    <t>TCGCTACG</t>
  </si>
  <si>
    <t>S7589</t>
  </si>
  <si>
    <t>TGTGACTA</t>
  </si>
  <si>
    <t>S7590</t>
  </si>
  <si>
    <t>CCACTTCT</t>
  </si>
  <si>
    <t>S7591</t>
  </si>
  <si>
    <t>AATCCACG</t>
  </si>
  <si>
    <t>S7592</t>
  </si>
  <si>
    <t>GCATCTAC</t>
  </si>
  <si>
    <t>S7593</t>
  </si>
  <si>
    <t>GAGCGGTA</t>
  </si>
  <si>
    <t>S7594</t>
  </si>
  <si>
    <t>GTGGTTCG</t>
  </si>
  <si>
    <t>S7595</t>
  </si>
  <si>
    <t>GAACAATA</t>
  </si>
  <si>
    <t>S7596</t>
  </si>
  <si>
    <t>CACACAAC</t>
  </si>
  <si>
    <t>S8701</t>
  </si>
  <si>
    <t>ACTTCTGC</t>
  </si>
  <si>
    <t>Set 8</t>
  </si>
  <si>
    <t>S8702</t>
  </si>
  <si>
    <t>TTAAGCAG</t>
  </si>
  <si>
    <t>S8703</t>
  </si>
  <si>
    <t>ATCAAATC</t>
  </si>
  <si>
    <t>S8704</t>
  </si>
  <si>
    <t>TTTGAGTC</t>
  </si>
  <si>
    <t>S8705</t>
  </si>
  <si>
    <t>AAATCCTC</t>
  </si>
  <si>
    <t>S8706</t>
  </si>
  <si>
    <t>TACAGATG</t>
  </si>
  <si>
    <t>S8707</t>
  </si>
  <si>
    <t>TAAGCGCA</t>
  </si>
  <si>
    <t>S8708</t>
  </si>
  <si>
    <t>CAACGGAA</t>
  </si>
  <si>
    <t>S8709</t>
  </si>
  <si>
    <t>AGCCTGGA</t>
  </si>
  <si>
    <t>S8710</t>
  </si>
  <si>
    <t>GAGGACAG</t>
  </si>
  <si>
    <t>S8711</t>
  </si>
  <si>
    <t>CTATCGAA</t>
  </si>
  <si>
    <t>S8712</t>
  </si>
  <si>
    <t>TCACTAAC</t>
  </si>
  <si>
    <t>S8713</t>
  </si>
  <si>
    <t>TCGATAAG</t>
  </si>
  <si>
    <t>S8714</t>
  </si>
  <si>
    <t>CTTTATTC</t>
  </si>
  <si>
    <t>S8715</t>
  </si>
  <si>
    <t>CTGCCTTC</t>
  </si>
  <si>
    <t>S8716</t>
  </si>
  <si>
    <t>ACAACCAA</t>
  </si>
  <si>
    <t>S8717</t>
  </si>
  <si>
    <t>GCAATGGG</t>
  </si>
  <si>
    <t>S8718</t>
  </si>
  <si>
    <t>CTGGACAC</t>
  </si>
  <si>
    <t>S8719</t>
  </si>
  <si>
    <t>AAGTATGC</t>
  </si>
  <si>
    <t>S8720</t>
  </si>
  <si>
    <t>TCCGATGG</t>
  </si>
  <si>
    <t>S8721</t>
  </si>
  <si>
    <t>GACAACGG</t>
  </si>
  <si>
    <t>S8722</t>
  </si>
  <si>
    <t>TAGCTTTA</t>
  </si>
  <si>
    <t>S8723</t>
  </si>
  <si>
    <t>AAACAGTC</t>
  </si>
  <si>
    <t>S8724</t>
  </si>
  <si>
    <t>ACCTCACT</t>
  </si>
  <si>
    <t>S8725</t>
  </si>
  <si>
    <t>GACATTAA</t>
  </si>
  <si>
    <t>S8726</t>
  </si>
  <si>
    <t>ATGTACGT</t>
  </si>
  <si>
    <t>S8727</t>
  </si>
  <si>
    <t>ATGACAAA</t>
  </si>
  <si>
    <t>S8728</t>
  </si>
  <si>
    <t>CCACCTAC</t>
  </si>
  <si>
    <t>S8729</t>
  </si>
  <si>
    <t>TGCTGTTG</t>
  </si>
  <si>
    <t>S8730</t>
  </si>
  <si>
    <t>CATTTCAG</t>
  </si>
  <si>
    <t>S8731</t>
  </si>
  <si>
    <t>CGTCCCTA</t>
  </si>
  <si>
    <t>S8732</t>
  </si>
  <si>
    <t>TACGATTA</t>
  </si>
  <si>
    <t>S8733</t>
  </si>
  <si>
    <t>AAAGATCG</t>
  </si>
  <si>
    <t>S8734</t>
  </si>
  <si>
    <t>GTGAGCTA</t>
  </si>
  <si>
    <t>S8735</t>
  </si>
  <si>
    <t>AACGCGGG</t>
  </si>
  <si>
    <t>S8736</t>
  </si>
  <si>
    <t>CTTGTGCT</t>
  </si>
  <si>
    <t>S8737</t>
  </si>
  <si>
    <t>GCTTACCC</t>
  </si>
  <si>
    <t>S8738</t>
  </si>
  <si>
    <t>AGTAAACA</t>
  </si>
  <si>
    <t>S8739</t>
  </si>
  <si>
    <t>CGATGTAA</t>
  </si>
  <si>
    <t>S8740</t>
  </si>
  <si>
    <t>CCTAGTCG</t>
  </si>
  <si>
    <t>S8741</t>
  </si>
  <si>
    <t>AGTAGTAA</t>
  </si>
  <si>
    <t>S8742</t>
  </si>
  <si>
    <t>TACTAAGG</t>
  </si>
  <si>
    <t>S8743</t>
  </si>
  <si>
    <t>CATTCGGA</t>
  </si>
  <si>
    <t>S8744</t>
  </si>
  <si>
    <t>AATCGTCA</t>
  </si>
  <si>
    <t>S8745</t>
  </si>
  <si>
    <t>GCTGATTT</t>
  </si>
  <si>
    <t>S8746</t>
  </si>
  <si>
    <t>CGCGAAAG</t>
  </si>
  <si>
    <t>S8747</t>
  </si>
  <si>
    <t>TTGCCACT</t>
  </si>
  <si>
    <t>S8748</t>
  </si>
  <si>
    <t>TTCGTGGA</t>
  </si>
  <si>
    <t>S8749</t>
  </si>
  <si>
    <t>AGTCCCGG</t>
  </si>
  <si>
    <t>S8750</t>
  </si>
  <si>
    <t>TCCTGGAC</t>
  </si>
  <si>
    <t>S8751</t>
  </si>
  <si>
    <t>CTACATGA</t>
  </si>
  <si>
    <t>S8752</t>
  </si>
  <si>
    <t>CCGGATAG</t>
  </si>
  <si>
    <t>S8753</t>
  </si>
  <si>
    <t>AACCCGCC</t>
  </si>
  <si>
    <t>S8754</t>
  </si>
  <si>
    <t>CGAACGTG</t>
  </si>
  <si>
    <t>S8755</t>
  </si>
  <si>
    <t>CCGTAGAA</t>
  </si>
  <si>
    <t>S8756</t>
  </si>
  <si>
    <t>CATCTACT</t>
  </si>
  <si>
    <t>S8757</t>
  </si>
  <si>
    <t>AGTCTGCT</t>
  </si>
  <si>
    <t>S8758</t>
  </si>
  <si>
    <t>GCCGAATC</t>
  </si>
  <si>
    <t>S8759</t>
  </si>
  <si>
    <t>ACTATGAT</t>
  </si>
  <si>
    <t>S8760</t>
  </si>
  <si>
    <t>CCCTATCT</t>
  </si>
  <si>
    <t>S8761</t>
  </si>
  <si>
    <t>CGTTGTCC</t>
  </si>
  <si>
    <t>S8762</t>
  </si>
  <si>
    <t>TGGAACGG</t>
  </si>
  <si>
    <t>S8763</t>
  </si>
  <si>
    <t>CCCTTCGG</t>
  </si>
  <si>
    <t>S8764</t>
  </si>
  <si>
    <t>TGTCCAAA</t>
  </si>
  <si>
    <t>S8765</t>
  </si>
  <si>
    <t>AGTACAAG</t>
  </si>
  <si>
    <t>S8766</t>
  </si>
  <si>
    <t>TACTGTGA</t>
  </si>
  <si>
    <t>S8767</t>
  </si>
  <si>
    <t>CCGGAATT</t>
  </si>
  <si>
    <t>S8768</t>
  </si>
  <si>
    <t>TCGCTCGG</t>
  </si>
  <si>
    <t>S8769</t>
  </si>
  <si>
    <t>AGTGCGGA</t>
  </si>
  <si>
    <t>S8770</t>
  </si>
  <si>
    <t>GCTTCACA</t>
  </si>
  <si>
    <t>S8771</t>
  </si>
  <si>
    <t>CCGATCGT</t>
  </si>
  <si>
    <t>S8772</t>
  </si>
  <si>
    <t>CCGTAAGC</t>
  </si>
  <si>
    <t>S8773</t>
  </si>
  <si>
    <t>AGTTGGAT</t>
  </si>
  <si>
    <t>S8774</t>
  </si>
  <si>
    <t>TAACACGC</t>
  </si>
  <si>
    <t>S8775</t>
  </si>
  <si>
    <t>AGACTCAC</t>
  </si>
  <si>
    <t>S8776</t>
  </si>
  <si>
    <t>CAGAGTGT</t>
  </si>
  <si>
    <t>S8777</t>
  </si>
  <si>
    <t>ACATTACG</t>
  </si>
  <si>
    <t>S8778</t>
  </si>
  <si>
    <t>ATTACTAC</t>
  </si>
  <si>
    <t>S8779</t>
  </si>
  <si>
    <t>TGGACCCT</t>
  </si>
  <si>
    <t>S8780</t>
  </si>
  <si>
    <t>CGCTTGCA</t>
  </si>
  <si>
    <t>S8781</t>
  </si>
  <si>
    <t>GTTGCCTT</t>
  </si>
  <si>
    <t>S8782</t>
  </si>
  <si>
    <t>CCAATGAA</t>
  </si>
  <si>
    <t>S8783</t>
  </si>
  <si>
    <t>ATCAGTTG</t>
  </si>
  <si>
    <t>S8784</t>
  </si>
  <si>
    <t>ACATACAC</t>
  </si>
  <si>
    <t>S8785</t>
  </si>
  <si>
    <t>CTCCATAT</t>
  </si>
  <si>
    <t>S8786</t>
  </si>
  <si>
    <t>GCTTAAGT</t>
  </si>
  <si>
    <t>S8787</t>
  </si>
  <si>
    <t>ACACGTAT</t>
  </si>
  <si>
    <t>S8788</t>
  </si>
  <si>
    <t>CAAGAAGT</t>
  </si>
  <si>
    <t>S8789</t>
  </si>
  <si>
    <t>TATCAGTA</t>
  </si>
  <si>
    <t>S8790</t>
  </si>
  <si>
    <t>CGAGTCAG</t>
  </si>
  <si>
    <t>S8791</t>
  </si>
  <si>
    <t>S8792</t>
  </si>
  <si>
    <t>CTTTAACT</t>
  </si>
  <si>
    <t>S8793</t>
  </si>
  <si>
    <t>S8794</t>
  </si>
  <si>
    <t>CCTCCTTT</t>
  </si>
  <si>
    <t>S8795</t>
  </si>
  <si>
    <t>CAGTTCCC</t>
  </si>
  <si>
    <t>S8796</t>
  </si>
  <si>
    <t>TACCTTGT</t>
  </si>
  <si>
    <t>S8501</t>
  </si>
  <si>
    <t>CCGGGACT</t>
  </si>
  <si>
    <t>S8502</t>
  </si>
  <si>
    <t>GTCCAGGA</t>
  </si>
  <si>
    <t>S8503</t>
  </si>
  <si>
    <t>TCATGTAG</t>
  </si>
  <si>
    <t>S8504</t>
  </si>
  <si>
    <t>CTATCCGG</t>
  </si>
  <si>
    <t>S8505</t>
  </si>
  <si>
    <t>GGCGGGTT</t>
  </si>
  <si>
    <t>S8506</t>
  </si>
  <si>
    <t>CACGTTCG</t>
  </si>
  <si>
    <t>S8507</t>
  </si>
  <si>
    <t>TTCTACGG</t>
  </si>
  <si>
    <t>S8508</t>
  </si>
  <si>
    <t>AGTAGATG</t>
  </si>
  <si>
    <t>S8509</t>
  </si>
  <si>
    <t>AGCAGACT</t>
  </si>
  <si>
    <t>S8510</t>
  </si>
  <si>
    <t>GATTCGGC</t>
  </si>
  <si>
    <t>S8511</t>
  </si>
  <si>
    <t>ATCATAGT</t>
  </si>
  <si>
    <t>S8512</t>
  </si>
  <si>
    <t>AGATAGGG</t>
  </si>
  <si>
    <t>S8513</t>
  </si>
  <si>
    <t>GGACAACG</t>
  </si>
  <si>
    <t>S8514</t>
  </si>
  <si>
    <t>CCGTTCCA</t>
  </si>
  <si>
    <t>S8515</t>
  </si>
  <si>
    <t>CCGAAGGG</t>
  </si>
  <si>
    <t>S8516</t>
  </si>
  <si>
    <t>TTTGGACA</t>
  </si>
  <si>
    <t>S8517</t>
  </si>
  <si>
    <t>CTTGTACT</t>
  </si>
  <si>
    <t>S8518</t>
  </si>
  <si>
    <t>TCACAGTA</t>
  </si>
  <si>
    <t>S8519</t>
  </si>
  <si>
    <t>AATTCCGG</t>
  </si>
  <si>
    <t>S8520</t>
  </si>
  <si>
    <t>CCGAGCGA</t>
  </si>
  <si>
    <t>S8521</t>
  </si>
  <si>
    <t>TCCGCACT</t>
  </si>
  <si>
    <t>S8522</t>
  </si>
  <si>
    <t>TGTGAAGC</t>
  </si>
  <si>
    <t>S8523</t>
  </si>
  <si>
    <t>ACGATCGG</t>
  </si>
  <si>
    <t>S8524</t>
  </si>
  <si>
    <t>GCTTACGG</t>
  </si>
  <si>
    <t>S8525</t>
  </si>
  <si>
    <t>ATCCAACT</t>
  </si>
  <si>
    <t>S8526</t>
  </si>
  <si>
    <t>GCGTGTTA</t>
  </si>
  <si>
    <t>S8527</t>
  </si>
  <si>
    <t>GTGAGTCT</t>
  </si>
  <si>
    <t>S8528</t>
  </si>
  <si>
    <t>ACACTCTG</t>
  </si>
  <si>
    <t>S8529</t>
  </si>
  <si>
    <t>CGTAATGT</t>
  </si>
  <si>
    <t>S8530</t>
  </si>
  <si>
    <t>GTAGTAAT</t>
  </si>
  <si>
    <t>S8531</t>
  </si>
  <si>
    <t>AGGGTCCA</t>
  </si>
  <si>
    <t>S8532</t>
  </si>
  <si>
    <t>TGCAAGCG</t>
  </si>
  <si>
    <t>S8533</t>
  </si>
  <si>
    <t>AAGGCAAC</t>
  </si>
  <si>
    <t>S8534</t>
  </si>
  <si>
    <t>TTCATTGG</t>
  </si>
  <si>
    <t>S8535</t>
  </si>
  <si>
    <t>CAACTGAT</t>
  </si>
  <si>
    <t>S8536</t>
  </si>
  <si>
    <t>GTGTATGT</t>
  </si>
  <si>
    <t>S8537</t>
  </si>
  <si>
    <t>ATATGGAG</t>
  </si>
  <si>
    <t>S8538</t>
  </si>
  <si>
    <t>ACTTAAGC</t>
  </si>
  <si>
    <t>S8539</t>
  </si>
  <si>
    <t>ATACGTGT</t>
  </si>
  <si>
    <t>S8540</t>
  </si>
  <si>
    <t>ACTTCTTG</t>
  </si>
  <si>
    <t>S8541</t>
  </si>
  <si>
    <t>TACTGATA</t>
  </si>
  <si>
    <t>S8542</t>
  </si>
  <si>
    <t>CTGACTCG</t>
  </si>
  <si>
    <t>S8543</t>
  </si>
  <si>
    <t>S8544</t>
  </si>
  <si>
    <t>AGTTAAAG</t>
  </si>
  <si>
    <t>S8545</t>
  </si>
  <si>
    <t>ATAGAGGC</t>
  </si>
  <si>
    <t>S8546</t>
  </si>
  <si>
    <t>AAAGGAGG</t>
  </si>
  <si>
    <t>S8547</t>
  </si>
  <si>
    <t>GGGAACTG</t>
  </si>
  <si>
    <t>S8548</t>
  </si>
  <si>
    <t>ACAAGGTA</t>
  </si>
  <si>
    <t>S8549</t>
  </si>
  <si>
    <t>GCAGAAGT</t>
  </si>
  <si>
    <t>S8550</t>
  </si>
  <si>
    <t>CTGCTTAA</t>
  </si>
  <si>
    <t>S8551</t>
  </si>
  <si>
    <t>GATTTGAT</t>
  </si>
  <si>
    <t>S8552</t>
  </si>
  <si>
    <t>GACTCAAA</t>
  </si>
  <si>
    <t>S8553</t>
  </si>
  <si>
    <t>GAGGATTT</t>
  </si>
  <si>
    <t>S8554</t>
  </si>
  <si>
    <t>CATCTGTA</t>
  </si>
  <si>
    <t>S8555</t>
  </si>
  <si>
    <t>TGCGCTTA</t>
  </si>
  <si>
    <t>S8556</t>
  </si>
  <si>
    <t>TTCCGTTG</t>
  </si>
  <si>
    <t>S8557</t>
  </si>
  <si>
    <t>TCCAGGCT</t>
  </si>
  <si>
    <t>S8558</t>
  </si>
  <si>
    <t>CTGTCCTC</t>
  </si>
  <si>
    <t>S8559</t>
  </si>
  <si>
    <t>TTCGATAG</t>
  </si>
  <si>
    <t>S8560</t>
  </si>
  <si>
    <t>GTTAGTGA</t>
  </si>
  <si>
    <t>S8561</t>
  </si>
  <si>
    <t>CTTATCGA</t>
  </si>
  <si>
    <t>S8562</t>
  </si>
  <si>
    <t>GAATAAAG</t>
  </si>
  <si>
    <t>S8563</t>
  </si>
  <si>
    <t>GAAGGCAG</t>
  </si>
  <si>
    <t>S8564</t>
  </si>
  <si>
    <t>TTGGTTGT</t>
  </si>
  <si>
    <t>S8565</t>
  </si>
  <si>
    <t>CCCATTGC</t>
  </si>
  <si>
    <t>S8566</t>
  </si>
  <si>
    <t>GTGTCCAG</t>
  </si>
  <si>
    <t>S8567</t>
  </si>
  <si>
    <t>GCATACTT</t>
  </si>
  <si>
    <t>S8568</t>
  </si>
  <si>
    <t>CCATCGGA</t>
  </si>
  <si>
    <t>S8569</t>
  </si>
  <si>
    <t>CCGTTGTC</t>
  </si>
  <si>
    <t>S8570</t>
  </si>
  <si>
    <t>TAAAGCTA</t>
  </si>
  <si>
    <t>S8571</t>
  </si>
  <si>
    <t>GACTGTTT</t>
  </si>
  <si>
    <t>S8572</t>
  </si>
  <si>
    <t>AGTGAGGT</t>
  </si>
  <si>
    <t>S8573</t>
  </si>
  <si>
    <t>TTAATGTC</t>
  </si>
  <si>
    <t>S8574</t>
  </si>
  <si>
    <t>ACGTACAT</t>
  </si>
  <si>
    <t>S8575</t>
  </si>
  <si>
    <t>TTTGTCAT</t>
  </si>
  <si>
    <t>S8576</t>
  </si>
  <si>
    <t>GTAGGTGG</t>
  </si>
  <si>
    <t>S8577</t>
  </si>
  <si>
    <t>CAACAGCA</t>
  </si>
  <si>
    <t>S8578</t>
  </si>
  <si>
    <t>CTGAAATG</t>
  </si>
  <si>
    <t>S8579</t>
  </si>
  <si>
    <t>TAGGGACG</t>
  </si>
  <si>
    <t>S8580</t>
  </si>
  <si>
    <t>TAATCGTA</t>
  </si>
  <si>
    <t>S8581</t>
  </si>
  <si>
    <t>CGATCTTT</t>
  </si>
  <si>
    <t>S8582</t>
  </si>
  <si>
    <t>TAGCTCAC</t>
  </si>
  <si>
    <t>S8583</t>
  </si>
  <si>
    <t>CCCGCGTT</t>
  </si>
  <si>
    <t>S8584</t>
  </si>
  <si>
    <t>AGCACAAG</t>
  </si>
  <si>
    <t>S8585</t>
  </si>
  <si>
    <t>GGGTAAGC</t>
  </si>
  <si>
    <t>S8586</t>
  </si>
  <si>
    <t>TGTTTACT</t>
  </si>
  <si>
    <t>S8587</t>
  </si>
  <si>
    <t>TTACATCG</t>
  </si>
  <si>
    <t>S8588</t>
  </si>
  <si>
    <t>CGACTAGG</t>
  </si>
  <si>
    <t>S8589</t>
  </si>
  <si>
    <t>TTACTACT</t>
  </si>
  <si>
    <t>S8590</t>
  </si>
  <si>
    <t>CCTTAGTA</t>
  </si>
  <si>
    <t>S8591</t>
  </si>
  <si>
    <t>TCCGAATG</t>
  </si>
  <si>
    <t>S8592</t>
  </si>
  <si>
    <t>TGACGATT</t>
  </si>
  <si>
    <t>S8593</t>
  </si>
  <si>
    <t>AAATCAGC</t>
  </si>
  <si>
    <t>S8594</t>
  </si>
  <si>
    <t>CTTTCGCG</t>
  </si>
  <si>
    <t>S8595</t>
  </si>
  <si>
    <t>AGTGGCAA</t>
  </si>
  <si>
    <t>S8596</t>
  </si>
  <si>
    <t>TCCACGAA</t>
  </si>
  <si>
    <t>A002</t>
  </si>
  <si>
    <t>CGATGTAT</t>
  </si>
  <si>
    <t>Bộ mồi UID</t>
  </si>
  <si>
    <t>A004</t>
  </si>
  <si>
    <t>TGACCAAT</t>
  </si>
  <si>
    <t>A005</t>
  </si>
  <si>
    <t>ACAGTGAT</t>
  </si>
  <si>
    <t>A006</t>
  </si>
  <si>
    <t>GCCAATAT</t>
  </si>
  <si>
    <t>A007</t>
  </si>
  <si>
    <t>CAGATCAT</t>
  </si>
  <si>
    <t>A012</t>
  </si>
  <si>
    <t>CTTGTAAT</t>
  </si>
  <si>
    <t>A013</t>
  </si>
  <si>
    <t>AGTCAACA</t>
  </si>
  <si>
    <t>A014</t>
  </si>
  <si>
    <t>AGTTCCGT</t>
  </si>
  <si>
    <t>A015</t>
  </si>
  <si>
    <t>ATGTCAGA</t>
  </si>
  <si>
    <t>A016</t>
  </si>
  <si>
    <t>CCGTCCCG</t>
  </si>
  <si>
    <t>A018</t>
  </si>
  <si>
    <t>GTCCGCAC</t>
  </si>
  <si>
    <t>A019</t>
  </si>
  <si>
    <t>GTGAAACG</t>
  </si>
  <si>
    <t>A001</t>
  </si>
  <si>
    <t>ATCACGAT</t>
  </si>
  <si>
    <t>A003</t>
  </si>
  <si>
    <t>TTAGGCAT</t>
  </si>
  <si>
    <t>A008</t>
  </si>
  <si>
    <t>ACTTGAAT</t>
  </si>
  <si>
    <t>A009</t>
  </si>
  <si>
    <t>GATCAGAT</t>
  </si>
  <si>
    <t>A010</t>
  </si>
  <si>
    <t>TAGCTTAT</t>
  </si>
  <si>
    <t>A011</t>
  </si>
  <si>
    <t>GGCTACAT</t>
  </si>
  <si>
    <t>A020</t>
  </si>
  <si>
    <t>GTGGCCTT</t>
  </si>
  <si>
    <t>A021</t>
  </si>
  <si>
    <t>GTTTCGGA</t>
  </si>
  <si>
    <t>A022</t>
  </si>
  <si>
    <t>CGTACGTA</t>
  </si>
  <si>
    <t>A023</t>
  </si>
  <si>
    <t>GAGTGGAT</t>
  </si>
  <si>
    <t>A025</t>
  </si>
  <si>
    <t>ACTGATAT</t>
  </si>
  <si>
    <t>A027</t>
  </si>
  <si>
    <t>ATTCCTTT</t>
  </si>
  <si>
    <t>A500</t>
  </si>
  <si>
    <t>NNNNNNNN</t>
  </si>
  <si>
    <t>D019</t>
  </si>
  <si>
    <t>D020</t>
  </si>
  <si>
    <t>D021</t>
  </si>
  <si>
    <t>D022</t>
  </si>
  <si>
    <t>S502</t>
  </si>
  <si>
    <t>ATAGAGAG</t>
  </si>
  <si>
    <t>N701</t>
  </si>
  <si>
    <t>TAAGGCGA</t>
  </si>
  <si>
    <t>i785</t>
  </si>
  <si>
    <t>CACCTGTT</t>
  </si>
  <si>
    <t>Bộ mồi GeneLove</t>
  </si>
  <si>
    <t>i786</t>
  </si>
  <si>
    <t>CTTCGACT</t>
  </si>
  <si>
    <t>i787</t>
  </si>
  <si>
    <t>i788</t>
  </si>
  <si>
    <t>AGAACGAG</t>
  </si>
  <si>
    <t>i789</t>
  </si>
  <si>
    <t>GTTCTCGT</t>
  </si>
  <si>
    <t>i790</t>
  </si>
  <si>
    <t>TCAGGCTT</t>
  </si>
  <si>
    <t>i791</t>
  </si>
  <si>
    <t>CCTTGTAG</t>
  </si>
  <si>
    <t>i792</t>
  </si>
  <si>
    <t>GAACATCG</t>
  </si>
  <si>
    <t>i793</t>
  </si>
  <si>
    <t>TAACCGGT</t>
  </si>
  <si>
    <t>i794</t>
  </si>
  <si>
    <t>i795</t>
  </si>
  <si>
    <t>i796</t>
  </si>
  <si>
    <t>ATATGCGC</t>
  </si>
  <si>
    <t>i585</t>
  </si>
  <si>
    <t>i586</t>
  </si>
  <si>
    <t>i587</t>
  </si>
  <si>
    <t>CGATCGAT</t>
  </si>
  <si>
    <t>i588</t>
  </si>
  <si>
    <t>ATTAGCCG</t>
  </si>
  <si>
    <t>i589</t>
  </si>
  <si>
    <t>TGTTCCGT</t>
  </si>
  <si>
    <t>i590</t>
  </si>
  <si>
    <t>ATCATGCG</t>
  </si>
  <si>
    <t>i591</t>
  </si>
  <si>
    <t>CCTTGGAA</t>
  </si>
  <si>
    <t>i592</t>
  </si>
  <si>
    <t>TCGACAAG</t>
  </si>
  <si>
    <t>i593</t>
  </si>
  <si>
    <t>ATCGTCTC</t>
  </si>
  <si>
    <t>i594</t>
  </si>
  <si>
    <t>CTAGCTCA</t>
  </si>
  <si>
    <t>i595</t>
  </si>
  <si>
    <t>TCGAGAGT</t>
  </si>
  <si>
    <t>i596</t>
  </si>
  <si>
    <t>ACGATCAG</t>
  </si>
  <si>
    <t>U701</t>
  </si>
  <si>
    <t>CCGCGGTT</t>
  </si>
  <si>
    <t>Bộ mồi Pico Gold</t>
  </si>
  <si>
    <t>U702</t>
  </si>
  <si>
    <t>TTATAACC</t>
  </si>
  <si>
    <t>U703</t>
  </si>
  <si>
    <t>GGACTTGG</t>
  </si>
  <si>
    <t>U704</t>
  </si>
  <si>
    <t>AAGTCCAA</t>
  </si>
  <si>
    <t>U705</t>
  </si>
  <si>
    <t>ATCCACTG</t>
  </si>
  <si>
    <t>U706</t>
  </si>
  <si>
    <t>GCTTGTCA</t>
  </si>
  <si>
    <t>U707</t>
  </si>
  <si>
    <t>CAAGCTAG</t>
  </si>
  <si>
    <t>U708</t>
  </si>
  <si>
    <t>TGGATCGA</t>
  </si>
  <si>
    <t>U709</t>
  </si>
  <si>
    <t>AGTTCAGG</t>
  </si>
  <si>
    <t>U710</t>
  </si>
  <si>
    <t>GACCTGAA</t>
  </si>
  <si>
    <t>U711</t>
  </si>
  <si>
    <t>TCTCTACT</t>
  </si>
  <si>
    <t>U712</t>
  </si>
  <si>
    <t>CTCTCGTC</t>
  </si>
  <si>
    <t>U713</t>
  </si>
  <si>
    <t>CCAAGTCT</t>
  </si>
  <si>
    <t>U714</t>
  </si>
  <si>
    <t>TTGGACTC</t>
  </si>
  <si>
    <t>U715</t>
  </si>
  <si>
    <t>GGCTTAAG</t>
  </si>
  <si>
    <t>U716</t>
  </si>
  <si>
    <t>AATCCGGA</t>
  </si>
  <si>
    <t>U717</t>
  </si>
  <si>
    <t>TAATACAG</t>
  </si>
  <si>
    <t>U718</t>
  </si>
  <si>
    <t>CGGCGTGA</t>
  </si>
  <si>
    <t>U719</t>
  </si>
  <si>
    <t>ATGTAAGT</t>
  </si>
  <si>
    <t>U720</t>
  </si>
  <si>
    <t>GCACGGAC</t>
  </si>
  <si>
    <t>U721</t>
  </si>
  <si>
    <t>GGTACCTT</t>
  </si>
  <si>
    <t>U722</t>
  </si>
  <si>
    <t>AACGTTCC</t>
  </si>
  <si>
    <t>U723</t>
  </si>
  <si>
    <t>GCAGAATT</t>
  </si>
  <si>
    <t>U724</t>
  </si>
  <si>
    <t>ATGAGGCC</t>
  </si>
  <si>
    <t>U725</t>
  </si>
  <si>
    <t>ACTAAGAT</t>
  </si>
  <si>
    <t>U726</t>
  </si>
  <si>
    <t>GTCGGAGC</t>
  </si>
  <si>
    <t>U727</t>
  </si>
  <si>
    <t>CTTGGTAT</t>
  </si>
  <si>
    <t>U728</t>
  </si>
  <si>
    <t>TCCAACGC</t>
  </si>
  <si>
    <t>U729</t>
  </si>
  <si>
    <t>CCGTGAAG</t>
  </si>
  <si>
    <t>U730</t>
  </si>
  <si>
    <t>TTACAGGA</t>
  </si>
  <si>
    <t>U731</t>
  </si>
  <si>
    <t>GGCATTCT</t>
  </si>
  <si>
    <t>U732</t>
  </si>
  <si>
    <t>AATGCCTC</t>
  </si>
  <si>
    <t>U733</t>
  </si>
  <si>
    <t>TACCGAGG</t>
  </si>
  <si>
    <t>U734</t>
  </si>
  <si>
    <t>CGTTAGAA</t>
  </si>
  <si>
    <t>U735</t>
  </si>
  <si>
    <t>AGCCTCAT</t>
  </si>
  <si>
    <t>U736</t>
  </si>
  <si>
    <t>GATTCTGC</t>
  </si>
  <si>
    <t>U737</t>
  </si>
  <si>
    <t>TCGTAGTG</t>
  </si>
  <si>
    <t>U738</t>
  </si>
  <si>
    <t>U739</t>
  </si>
  <si>
    <t>TAAGTGGT</t>
  </si>
  <si>
    <t>U740</t>
  </si>
  <si>
    <t>CGGACAAC</t>
  </si>
  <si>
    <t>U741</t>
  </si>
  <si>
    <t>ATATGGAT</t>
  </si>
  <si>
    <t>U742</t>
  </si>
  <si>
    <t>GCGCAAGC</t>
  </si>
  <si>
    <t>U743</t>
  </si>
  <si>
    <t>AAGATACT</t>
  </si>
  <si>
    <t>U744</t>
  </si>
  <si>
    <t>GGAGCGTC</t>
  </si>
  <si>
    <t>U745</t>
  </si>
  <si>
    <t>ATGGCATG</t>
  </si>
  <si>
    <t>U746</t>
  </si>
  <si>
    <t>GCAATGCA</t>
  </si>
  <si>
    <t>U747</t>
  </si>
  <si>
    <t>GTTCCAAT</t>
  </si>
  <si>
    <t>U748</t>
  </si>
  <si>
    <t>ACCTTGGC</t>
  </si>
  <si>
    <t>U501</t>
  </si>
  <si>
    <t>CTAGCGCT</t>
  </si>
  <si>
    <t>U502</t>
  </si>
  <si>
    <t>TCGATATC</t>
  </si>
  <si>
    <t>U503</t>
  </si>
  <si>
    <t>CGTCTGCG</t>
  </si>
  <si>
    <t>U504</t>
  </si>
  <si>
    <t>TACTCATA</t>
  </si>
  <si>
    <t>U505</t>
  </si>
  <si>
    <t>ACGCACCT</t>
  </si>
  <si>
    <t>U506</t>
  </si>
  <si>
    <t>GTATGTTC</t>
  </si>
  <si>
    <t>U507</t>
  </si>
  <si>
    <t>CGCTATGT</t>
  </si>
  <si>
    <t>U508</t>
  </si>
  <si>
    <t>TATCGCAC</t>
  </si>
  <si>
    <t>U509</t>
  </si>
  <si>
    <t>TCTGTTGG</t>
  </si>
  <si>
    <t>U510</t>
  </si>
  <si>
    <t>CTCACCAA</t>
  </si>
  <si>
    <t>U511</t>
  </si>
  <si>
    <t>GAACCGCG</t>
  </si>
  <si>
    <t>U512</t>
  </si>
  <si>
    <t>AGGTTATA</t>
  </si>
  <si>
    <t>U513</t>
  </si>
  <si>
    <t>TCATCCTT</t>
  </si>
  <si>
    <t>U514</t>
  </si>
  <si>
    <t>CTGCTTCC</t>
  </si>
  <si>
    <t>U515</t>
  </si>
  <si>
    <t>GGTCACGA</t>
  </si>
  <si>
    <t>U516</t>
  </si>
  <si>
    <t>AACTGTAG</t>
  </si>
  <si>
    <t>U517</t>
  </si>
  <si>
    <t>GTGAATAT</t>
  </si>
  <si>
    <t>U518</t>
  </si>
  <si>
    <t>ACAGGCGC</t>
  </si>
  <si>
    <t>U519</t>
  </si>
  <si>
    <t>CATAGAGT</t>
  </si>
  <si>
    <t>U520</t>
  </si>
  <si>
    <t>TGCGAGAC</t>
  </si>
  <si>
    <t>U521</t>
  </si>
  <si>
    <t>GACGTCTT</t>
  </si>
  <si>
    <t>U522</t>
  </si>
  <si>
    <t>AGTACTCC</t>
  </si>
  <si>
    <t>U523</t>
  </si>
  <si>
    <t>TGGCCGGT</t>
  </si>
  <si>
    <t>U524</t>
  </si>
  <si>
    <t>CAATTAAC</t>
  </si>
  <si>
    <t>U525</t>
  </si>
  <si>
    <t>U526</t>
  </si>
  <si>
    <t>U527</t>
  </si>
  <si>
    <t>U528</t>
  </si>
  <si>
    <t>U529</t>
  </si>
  <si>
    <t>U530</t>
  </si>
  <si>
    <t>U531</t>
  </si>
  <si>
    <t>U532</t>
  </si>
  <si>
    <t>U533</t>
  </si>
  <si>
    <t>U534</t>
  </si>
  <si>
    <t>U535</t>
  </si>
  <si>
    <t>U536</t>
  </si>
  <si>
    <t>U537</t>
  </si>
  <si>
    <t>U538</t>
  </si>
  <si>
    <t>U539</t>
  </si>
  <si>
    <t>U540</t>
  </si>
  <si>
    <t>U541</t>
  </si>
  <si>
    <t>U542</t>
  </si>
  <si>
    <t>U543</t>
  </si>
  <si>
    <t>U544</t>
  </si>
  <si>
    <t>U545</t>
  </si>
  <si>
    <t>U546</t>
  </si>
  <si>
    <t>U547</t>
  </si>
  <si>
    <t>U548</t>
  </si>
  <si>
    <t>M701</t>
  </si>
  <si>
    <t>Primer cho Methylation</t>
  </si>
  <si>
    <t>M702</t>
  </si>
  <si>
    <t>ACACCTCA</t>
  </si>
  <si>
    <t>M703</t>
  </si>
  <si>
    <t>ACCATAGG</t>
  </si>
  <si>
    <t>M704</t>
  </si>
  <si>
    <t>M705</t>
  </si>
  <si>
    <t>AACGCACA</t>
  </si>
  <si>
    <t>M706</t>
  </si>
  <si>
    <t>TAGTCTCG</t>
  </si>
  <si>
    <t>M707</t>
  </si>
  <si>
    <t>CAGTCACA</t>
  </si>
  <si>
    <t>M708</t>
  </si>
  <si>
    <t>CCAACACT</t>
  </si>
  <si>
    <t>M709</t>
  </si>
  <si>
    <t>ACATGCCA</t>
  </si>
  <si>
    <t>M710</t>
  </si>
  <si>
    <t>ATTCCGCT</t>
  </si>
  <si>
    <t>M711</t>
  </si>
  <si>
    <t>M712</t>
  </si>
  <si>
    <t>CCATGAAC</t>
  </si>
  <si>
    <t>M713</t>
  </si>
  <si>
    <t>TCAGCCTT</t>
  </si>
  <si>
    <t>M714</t>
  </si>
  <si>
    <t>M715</t>
  </si>
  <si>
    <t>M716</t>
  </si>
  <si>
    <t>ACAGTTCG</t>
  </si>
  <si>
    <t>M717</t>
  </si>
  <si>
    <t>ATCCTTCC</t>
  </si>
  <si>
    <t>M718</t>
  </si>
  <si>
    <t>CGAAGTCA</t>
  </si>
  <si>
    <t>M719</t>
  </si>
  <si>
    <t>CTCTATCG</t>
  </si>
  <si>
    <t>M720</t>
  </si>
  <si>
    <t>ACTCTCCA</t>
  </si>
  <si>
    <t>M721</t>
  </si>
  <si>
    <t>M722</t>
  </si>
  <si>
    <t>AACAACCG</t>
  </si>
  <si>
    <t>M723</t>
  </si>
  <si>
    <t>CTCGTTCT</t>
  </si>
  <si>
    <t>M724</t>
  </si>
  <si>
    <t>TCAGTAGG</t>
  </si>
  <si>
    <t>M501</t>
  </si>
  <si>
    <t>ATGTGAAG</t>
  </si>
  <si>
    <t>M502</t>
  </si>
  <si>
    <t>TTTGGGTG</t>
  </si>
  <si>
    <t>M503</t>
  </si>
  <si>
    <t>CACTTCGA</t>
  </si>
  <si>
    <t>M504</t>
  </si>
  <si>
    <t>AGAGTCAA</t>
  </si>
  <si>
    <t>M505</t>
  </si>
  <si>
    <t>AACCGAGA</t>
  </si>
  <si>
    <t>M506</t>
  </si>
  <si>
    <t>AACGTGAT</t>
  </si>
  <si>
    <t>M507</t>
  </si>
  <si>
    <t>AGTTGGCT</t>
  </si>
  <si>
    <t>M508</t>
  </si>
  <si>
    <t>CAATGTGG</t>
  </si>
  <si>
    <t>M509</t>
  </si>
  <si>
    <t>GAGCTCAA</t>
  </si>
  <si>
    <t>M510</t>
  </si>
  <si>
    <t>AACGGTCA</t>
  </si>
  <si>
    <t>M511</t>
  </si>
  <si>
    <t>ATGGTTGC</t>
  </si>
  <si>
    <t>M512</t>
  </si>
  <si>
    <t>ATAAGGCG</t>
  </si>
  <si>
    <t>M513</t>
  </si>
  <si>
    <t>GAAGCAAG</t>
  </si>
  <si>
    <t>M514</t>
  </si>
  <si>
    <t>CTTGTCGG</t>
  </si>
  <si>
    <t>M515</t>
  </si>
  <si>
    <t>CTCGAGTG</t>
  </si>
  <si>
    <t>M516</t>
  </si>
  <si>
    <t>CCGTACAG</t>
  </si>
  <si>
    <t>M517</t>
  </si>
  <si>
    <t>CATTCATG</t>
  </si>
  <si>
    <t>M518</t>
  </si>
  <si>
    <t>CATGATAG</t>
  </si>
  <si>
    <t>M519</t>
  </si>
  <si>
    <t>ATCGGTGG</t>
  </si>
  <si>
    <t>M520</t>
  </si>
  <si>
    <t>ATACTAGG</t>
  </si>
  <si>
    <t>M521</t>
  </si>
  <si>
    <t>AGGTCTTG</t>
  </si>
  <si>
    <t>M522</t>
  </si>
  <si>
    <t>AGGAAGCG</t>
  </si>
  <si>
    <t>M523</t>
  </si>
  <si>
    <t>AGATACGG</t>
  </si>
  <si>
    <t>M524</t>
  </si>
  <si>
    <t>TACAGACT</t>
  </si>
  <si>
    <t>K752</t>
  </si>
  <si>
    <t>AACCTCAT</t>
  </si>
  <si>
    <t>Primer cho Yikon - PGS</t>
  </si>
  <si>
    <t>K753</t>
  </si>
  <si>
    <t>AAGACTAT</t>
  </si>
  <si>
    <t>K754</t>
  </si>
  <si>
    <t>AAGCGAAT</t>
  </si>
  <si>
    <t>K755</t>
  </si>
  <si>
    <t>ATAATTAT</t>
  </si>
  <si>
    <t>K756</t>
  </si>
  <si>
    <t>K757</t>
  </si>
  <si>
    <t>ATCGAAAT</t>
  </si>
  <si>
    <t>K758</t>
  </si>
  <si>
    <t>ATGCAGAT</t>
  </si>
  <si>
    <t>K759</t>
  </si>
  <si>
    <t>ACATCTAT</t>
  </si>
  <si>
    <t>K760</t>
  </si>
  <si>
    <t>ACACACAT</t>
  </si>
  <si>
    <t>K761</t>
  </si>
  <si>
    <t>ACCATAAT</t>
  </si>
  <si>
    <t>K762</t>
  </si>
  <si>
    <t>AGATTAAT</t>
  </si>
  <si>
    <t>K763</t>
  </si>
  <si>
    <t>AGCAGTAT</t>
  </si>
  <si>
    <t>K764</t>
  </si>
  <si>
    <t>TACGTAAT</t>
  </si>
  <si>
    <t>K765</t>
  </si>
  <si>
    <t>TAGTAAAT</t>
  </si>
  <si>
    <t>K766</t>
  </si>
  <si>
    <t>TTACATAT</t>
  </si>
  <si>
    <t>K767</t>
  </si>
  <si>
    <t>TTCTCCAT</t>
  </si>
  <si>
    <t>K768</t>
  </si>
  <si>
    <t>TTCCTGAT</t>
  </si>
  <si>
    <t>K769</t>
  </si>
  <si>
    <t>TCAAGTAT</t>
  </si>
  <si>
    <t>K770</t>
  </si>
  <si>
    <t>TCTACCAT</t>
  </si>
  <si>
    <t>K771</t>
  </si>
  <si>
    <t>TGAATGAT</t>
  </si>
  <si>
    <t>K772</t>
  </si>
  <si>
    <t>TGTTAGAT</t>
  </si>
  <si>
    <t>K773</t>
  </si>
  <si>
    <t>TGTCTCAT</t>
  </si>
  <si>
    <t>K774</t>
  </si>
  <si>
    <t>TGTGCTAT</t>
  </si>
  <si>
    <t>K775</t>
  </si>
  <si>
    <t>TGGAGAAT</t>
  </si>
  <si>
    <t>K500</t>
  </si>
  <si>
    <t>AD001</t>
  </si>
  <si>
    <t>ATCACGTT</t>
  </si>
  <si>
    <t>Primer cho Tag-seq</t>
  </si>
  <si>
    <t>AD002</t>
  </si>
  <si>
    <t>CGATGTTT</t>
  </si>
  <si>
    <t>AD003</t>
  </si>
  <si>
    <t>AD004</t>
  </si>
  <si>
    <t>TGACCACT</t>
  </si>
  <si>
    <t>AD005</t>
  </si>
  <si>
    <t>ACAGTGGT</t>
  </si>
  <si>
    <t>AD006</t>
  </si>
  <si>
    <t>GCCAATGT</t>
  </si>
  <si>
    <t>AD007</t>
  </si>
  <si>
    <t>CAGATCTG</t>
  </si>
  <si>
    <t>AD008</t>
  </si>
  <si>
    <t>ACTTGATG</t>
  </si>
  <si>
    <t>AD009</t>
  </si>
  <si>
    <t>GATCAGCG</t>
  </si>
  <si>
    <t>AD010</t>
  </si>
  <si>
    <t>TAGCTTGT</t>
  </si>
  <si>
    <t>AD011</t>
  </si>
  <si>
    <t>GGCTACAG</t>
  </si>
  <si>
    <t>AD012</t>
  </si>
  <si>
    <t>AD013</t>
  </si>
  <si>
    <t>TGGTTGTT</t>
  </si>
  <si>
    <t>AD014</t>
  </si>
  <si>
    <t>TCTCGGTT</t>
  </si>
  <si>
    <t>AD015</t>
  </si>
  <si>
    <t>TAAGCGTT</t>
  </si>
  <si>
    <t>AD016</t>
  </si>
  <si>
    <t>TCCGTCTT</t>
  </si>
  <si>
    <t>AD017</t>
  </si>
  <si>
    <t>TGTACCTT</t>
  </si>
  <si>
    <t>AD018</t>
  </si>
  <si>
    <t>TTCTGTGT</t>
  </si>
  <si>
    <t>AD019</t>
  </si>
  <si>
    <t>TCTGCTGT</t>
  </si>
  <si>
    <t>AD020</t>
  </si>
  <si>
    <t>TTGGAGGT</t>
  </si>
  <si>
    <t>AD021</t>
  </si>
  <si>
    <t>TCGAGCGT</t>
  </si>
  <si>
    <t>AD022</t>
  </si>
  <si>
    <t>TGATACGT</t>
  </si>
  <si>
    <t>AD023</t>
  </si>
  <si>
    <t>GTGCTACC</t>
  </si>
  <si>
    <t>AD024</t>
  </si>
  <si>
    <t>GGTTGGAC</t>
  </si>
  <si>
    <t>AD025</t>
  </si>
  <si>
    <t>TGCGATCT</t>
  </si>
  <si>
    <t>AD026</t>
  </si>
  <si>
    <t>TTCCTGCT</t>
  </si>
  <si>
    <t>AD027</t>
  </si>
  <si>
    <t>TAGTGACT</t>
  </si>
  <si>
    <t>AD028</t>
  </si>
  <si>
    <t>TACAGGAT</t>
  </si>
  <si>
    <t>AD029</t>
  </si>
  <si>
    <t>TCCTCAAT</t>
  </si>
  <si>
    <t>AD030</t>
  </si>
  <si>
    <t>TGTGGTTG</t>
  </si>
  <si>
    <t>AD031</t>
  </si>
  <si>
    <t>TAGTCTTG</t>
  </si>
  <si>
    <t>AD032</t>
  </si>
  <si>
    <t>TTCCATTG</t>
  </si>
  <si>
    <t>AD033</t>
  </si>
  <si>
    <t>TCGAAGTG</t>
  </si>
  <si>
    <t>AD034</t>
  </si>
  <si>
    <t>TAACGCTG</t>
  </si>
  <si>
    <t>AD035</t>
  </si>
  <si>
    <t>TTGGTATG</t>
  </si>
  <si>
    <t>AD036</t>
  </si>
  <si>
    <t>TGAACTGG</t>
  </si>
  <si>
    <t>AD037</t>
  </si>
  <si>
    <t>GGCACAAC</t>
  </si>
  <si>
    <t>AD038</t>
  </si>
  <si>
    <t>TCTCACGG</t>
  </si>
  <si>
    <t>AD039</t>
  </si>
  <si>
    <t>TCAGGAGG</t>
  </si>
  <si>
    <t>AD040</t>
  </si>
  <si>
    <t>TAAGTTCG</t>
  </si>
  <si>
    <t>AD041</t>
  </si>
  <si>
    <t>TCCAGTCG</t>
  </si>
  <si>
    <t>AD042</t>
  </si>
  <si>
    <t>TGTATGCG</t>
  </si>
  <si>
    <t>AD043</t>
  </si>
  <si>
    <t>TCATTGAG</t>
  </si>
  <si>
    <t>AD044</t>
  </si>
  <si>
    <t>TGGCTCAG</t>
  </si>
  <si>
    <t>AD045</t>
  </si>
  <si>
    <t>TATGCCAG</t>
  </si>
  <si>
    <t>AD046</t>
  </si>
  <si>
    <t>TCAGATTC</t>
  </si>
  <si>
    <t>AD047</t>
  </si>
  <si>
    <t>TACTAGTC</t>
  </si>
  <si>
    <t>AD048</t>
  </si>
  <si>
    <t>TTCAGCTC</t>
  </si>
  <si>
    <t>AD500</t>
  </si>
  <si>
    <t>S97001</t>
  </si>
  <si>
    <t>CTGATCGT</t>
  </si>
  <si>
    <t>Primer IDT 384 unique</t>
  </si>
  <si>
    <t>S97002</t>
  </si>
  <si>
    <t>ACTCTCGA</t>
  </si>
  <si>
    <t>S97003</t>
  </si>
  <si>
    <t>TGAGCTAG</t>
  </si>
  <si>
    <t>S97004</t>
  </si>
  <si>
    <t>GAGACGAT</t>
  </si>
  <si>
    <t>S97005</t>
  </si>
  <si>
    <t>CTTGTCGA</t>
  </si>
  <si>
    <t>S97006</t>
  </si>
  <si>
    <t>TTCCAAGG</t>
  </si>
  <si>
    <t>S97007</t>
  </si>
  <si>
    <t>CGCATGAT</t>
  </si>
  <si>
    <t>S97008</t>
  </si>
  <si>
    <t>ACGGAACA</t>
  </si>
  <si>
    <t>S97009</t>
  </si>
  <si>
    <t>CGGCTAAT</t>
  </si>
  <si>
    <t>S97010</t>
  </si>
  <si>
    <t>ATCGATCG</t>
  </si>
  <si>
    <t>S97011</t>
  </si>
  <si>
    <t>S97012</t>
  </si>
  <si>
    <t>S97013</t>
  </si>
  <si>
    <t>TACGCTAC</t>
  </si>
  <si>
    <t>S97014</t>
  </si>
  <si>
    <t>TGGACTCT</t>
  </si>
  <si>
    <t>S97015</t>
  </si>
  <si>
    <t>AGAGTAGC</t>
  </si>
  <si>
    <t>S97016</t>
  </si>
  <si>
    <t>ATCCAGAG</t>
  </si>
  <si>
    <t>S97017</t>
  </si>
  <si>
    <t>GACGATCT</t>
  </si>
  <si>
    <t>S97018</t>
  </si>
  <si>
    <t>AACTGAGC</t>
  </si>
  <si>
    <t>S97019</t>
  </si>
  <si>
    <t>S97020</t>
  </si>
  <si>
    <t>S97021</t>
  </si>
  <si>
    <t>S97022</t>
  </si>
  <si>
    <t>TCGCTGTT</t>
  </si>
  <si>
    <t>S97023</t>
  </si>
  <si>
    <t>TTCGTTGG</t>
  </si>
  <si>
    <t>S97024</t>
  </si>
  <si>
    <t>S97025</t>
  </si>
  <si>
    <t>CCTTGATC</t>
  </si>
  <si>
    <t>S97026</t>
  </si>
  <si>
    <t>GTCGAAGA</t>
  </si>
  <si>
    <t>S97027</t>
  </si>
  <si>
    <t>ACCACGAT</t>
  </si>
  <si>
    <t>S97028</t>
  </si>
  <si>
    <t>GATTACCG</t>
  </si>
  <si>
    <t>S97029</t>
  </si>
  <si>
    <t>GCACAACT</t>
  </si>
  <si>
    <t>S97030</t>
  </si>
  <si>
    <t>GCGTCATT</t>
  </si>
  <si>
    <t>S97031</t>
  </si>
  <si>
    <t>ATCCGGTA</t>
  </si>
  <si>
    <t>S97032</t>
  </si>
  <si>
    <t>CGTTGCAA</t>
  </si>
  <si>
    <t>S97033</t>
  </si>
  <si>
    <t>GTGAAGTG</t>
  </si>
  <si>
    <t>S97034</t>
  </si>
  <si>
    <t>CATGGCTA</t>
  </si>
  <si>
    <t>S97035</t>
  </si>
  <si>
    <t>ATGCCTGT</t>
  </si>
  <si>
    <t>S97036</t>
  </si>
  <si>
    <t>CAACACCT</t>
  </si>
  <si>
    <t>S97037</t>
  </si>
  <si>
    <t>TGTGACTG</t>
  </si>
  <si>
    <t>S97038</t>
  </si>
  <si>
    <t>GTCATCGA</t>
  </si>
  <si>
    <t>S97039</t>
  </si>
  <si>
    <t>AGCACTTC</t>
  </si>
  <si>
    <t>S97040</t>
  </si>
  <si>
    <t>GAAGGAAG</t>
  </si>
  <si>
    <t>S97041</t>
  </si>
  <si>
    <t>GTTGTTCG</t>
  </si>
  <si>
    <t>S97042</t>
  </si>
  <si>
    <t>CGGTTGTT</t>
  </si>
  <si>
    <t>S97043</t>
  </si>
  <si>
    <t>ACTGAGGT</t>
  </si>
  <si>
    <t>S97044</t>
  </si>
  <si>
    <t>TGAAGACG</t>
  </si>
  <si>
    <t>S97045</t>
  </si>
  <si>
    <t>S97046</t>
  </si>
  <si>
    <t>AGCGTGTT</t>
  </si>
  <si>
    <t>S97047</t>
  </si>
  <si>
    <t>GATCGAGT</t>
  </si>
  <si>
    <t>S97048</t>
  </si>
  <si>
    <t>ACAGCTCA</t>
  </si>
  <si>
    <t>S97049</t>
  </si>
  <si>
    <t>GAGCAGTA</t>
  </si>
  <si>
    <t>S97050</t>
  </si>
  <si>
    <t>S97051</t>
  </si>
  <si>
    <t>TTGCGAAG</t>
  </si>
  <si>
    <t>S97052</t>
  </si>
  <si>
    <t>ATCGCCAT</t>
  </si>
  <si>
    <t>S97053</t>
  </si>
  <si>
    <t>TGGCATGT</t>
  </si>
  <si>
    <t>S97054</t>
  </si>
  <si>
    <t>CTGTTGAC</t>
  </si>
  <si>
    <t>S97055</t>
  </si>
  <si>
    <t>CATACCAC</t>
  </si>
  <si>
    <t>S97056</t>
  </si>
  <si>
    <t>GAAGTTGG</t>
  </si>
  <si>
    <t>S97057</t>
  </si>
  <si>
    <t>S97058</t>
  </si>
  <si>
    <t>TTGGACGT</t>
  </si>
  <si>
    <t>S97059</t>
  </si>
  <si>
    <t>AGTGGATC</t>
  </si>
  <si>
    <t>S97060</t>
  </si>
  <si>
    <t>S97061</t>
  </si>
  <si>
    <t>S97062</t>
  </si>
  <si>
    <t>CGCAATCT</t>
  </si>
  <si>
    <t>S97063</t>
  </si>
  <si>
    <t>GATGTGTG</t>
  </si>
  <si>
    <t>S97064</t>
  </si>
  <si>
    <t>GATTGCTC</t>
  </si>
  <si>
    <t>S97065</t>
  </si>
  <si>
    <t>CGCTCTAT</t>
  </si>
  <si>
    <t>S97066</t>
  </si>
  <si>
    <t>TATCGGTC</t>
  </si>
  <si>
    <t>S97067</t>
  </si>
  <si>
    <t>AACGTCTG</t>
  </si>
  <si>
    <t>S97068</t>
  </si>
  <si>
    <t>ACGTTCAG</t>
  </si>
  <si>
    <t>S97069</t>
  </si>
  <si>
    <t>CAGTCCAA</t>
  </si>
  <si>
    <t>S97070</t>
  </si>
  <si>
    <t>TTGCAGAC</t>
  </si>
  <si>
    <t>S97071</t>
  </si>
  <si>
    <t>S97072</t>
  </si>
  <si>
    <t>ACTCCATC</t>
  </si>
  <si>
    <t>S97073</t>
  </si>
  <si>
    <t>GTTGACCT</t>
  </si>
  <si>
    <t>S97074</t>
  </si>
  <si>
    <t>CGTGTGTA</t>
  </si>
  <si>
    <t>S97075</t>
  </si>
  <si>
    <t>ACGACTTG</t>
  </si>
  <si>
    <t>S97076</t>
  </si>
  <si>
    <t>CACTAGCT</t>
  </si>
  <si>
    <t>S97077</t>
  </si>
  <si>
    <t>ACTAGGAG</t>
  </si>
  <si>
    <t>S97078</t>
  </si>
  <si>
    <t>GTAGGAGT</t>
  </si>
  <si>
    <t>S97079</t>
  </si>
  <si>
    <t>CCTGATTG</t>
  </si>
  <si>
    <t>S97080</t>
  </si>
  <si>
    <t>ATGCACGA</t>
  </si>
  <si>
    <t>S97081</t>
  </si>
  <si>
    <t>CGACGTTA</t>
  </si>
  <si>
    <t>S97082</t>
  </si>
  <si>
    <t>S97083</t>
  </si>
  <si>
    <t>CCGTAAGA</t>
  </si>
  <si>
    <t>S97084</t>
  </si>
  <si>
    <t>ATCACACG</t>
  </si>
  <si>
    <t>S97085</t>
  </si>
  <si>
    <t>S97086</t>
  </si>
  <si>
    <t>S97087</t>
  </si>
  <si>
    <t>S97088</t>
  </si>
  <si>
    <t>S97089</t>
  </si>
  <si>
    <t>S97090</t>
  </si>
  <si>
    <t>S97091</t>
  </si>
  <si>
    <t>S97092</t>
  </si>
  <si>
    <t>S97093</t>
  </si>
  <si>
    <t>S97094</t>
  </si>
  <si>
    <t>S97095</t>
  </si>
  <si>
    <t>S97096</t>
  </si>
  <si>
    <t>S97097</t>
  </si>
  <si>
    <t>S97098</t>
  </si>
  <si>
    <t>CTTGGATG</t>
  </si>
  <si>
    <t>S97099</t>
  </si>
  <si>
    <t>AGTCTCAC</t>
  </si>
  <si>
    <t>S97100</t>
  </si>
  <si>
    <t>CTCATCAG</t>
  </si>
  <si>
    <t>S97101</t>
  </si>
  <si>
    <t>TGTACCGT</t>
  </si>
  <si>
    <t>S97102</t>
  </si>
  <si>
    <t>S97103</t>
  </si>
  <si>
    <t>CACGTTGT</t>
  </si>
  <si>
    <t>S97104</t>
  </si>
  <si>
    <t>TCACAGCA</t>
  </si>
  <si>
    <t>S97105</t>
  </si>
  <si>
    <t>CTACTTGG</t>
  </si>
  <si>
    <t>S97106</t>
  </si>
  <si>
    <t>CCTCAGTT</t>
  </si>
  <si>
    <t>S97107</t>
  </si>
  <si>
    <t>S97108</t>
  </si>
  <si>
    <t>ATGGCGAA</t>
  </si>
  <si>
    <t>S97109</t>
  </si>
  <si>
    <t>S97110</t>
  </si>
  <si>
    <t>CTCGATAC</t>
  </si>
  <si>
    <t>S97111</t>
  </si>
  <si>
    <t>TCCGTGAA</t>
  </si>
  <si>
    <t>S97112</t>
  </si>
  <si>
    <t>TAGAGCTC</t>
  </si>
  <si>
    <t>S97113</t>
  </si>
  <si>
    <t>S97114</t>
  </si>
  <si>
    <t>TAGACGTG</t>
  </si>
  <si>
    <t>S97115</t>
  </si>
  <si>
    <t>S97116</t>
  </si>
  <si>
    <t>S97117</t>
  </si>
  <si>
    <t>CAACGGAT</t>
  </si>
  <si>
    <t>S97118</t>
  </si>
  <si>
    <t>S97119</t>
  </si>
  <si>
    <t>CGGTCATA</t>
  </si>
  <si>
    <t>S97120</t>
  </si>
  <si>
    <t>TCCAATCG</t>
  </si>
  <si>
    <t>S97121</t>
  </si>
  <si>
    <t>GAGCTTGT</t>
  </si>
  <si>
    <t>S97122</t>
  </si>
  <si>
    <t>GAAGGTTC</t>
  </si>
  <si>
    <t>S97123</t>
  </si>
  <si>
    <t>S97124</t>
  </si>
  <si>
    <t>AGTTACGG</t>
  </si>
  <si>
    <t>S97125</t>
  </si>
  <si>
    <t>GTGTCTGA</t>
  </si>
  <si>
    <t>S97126</t>
  </si>
  <si>
    <t>TGACTTCG</t>
  </si>
  <si>
    <t>S97127</t>
  </si>
  <si>
    <t>TGGATCAC</t>
  </si>
  <si>
    <t>S97128</t>
  </si>
  <si>
    <t>ACACCAGT</t>
  </si>
  <si>
    <t>S97129</t>
  </si>
  <si>
    <t>CAGGTTAG</t>
  </si>
  <si>
    <t>S97130</t>
  </si>
  <si>
    <t>S97131</t>
  </si>
  <si>
    <t>S97132</t>
  </si>
  <si>
    <t>CTGCACTT</t>
  </si>
  <si>
    <t>S97133</t>
  </si>
  <si>
    <t>ACACGGTT</t>
  </si>
  <si>
    <t>S97134</t>
  </si>
  <si>
    <t>AATACGCG</t>
  </si>
  <si>
    <t>S97135</t>
  </si>
  <si>
    <t>TGCGAACT</t>
  </si>
  <si>
    <t>S97136</t>
  </si>
  <si>
    <t>GCTGACTA</t>
  </si>
  <si>
    <t>S97137</t>
  </si>
  <si>
    <t>S97138</t>
  </si>
  <si>
    <t>GTGCTTAC</t>
  </si>
  <si>
    <t>S97139</t>
  </si>
  <si>
    <t>S97140</t>
  </si>
  <si>
    <t>S97141</t>
  </si>
  <si>
    <t>AGTGTTGG</t>
  </si>
  <si>
    <t>S97142</t>
  </si>
  <si>
    <t>S97143</t>
  </si>
  <si>
    <t>CCGTATCT</t>
  </si>
  <si>
    <t>S97144</t>
  </si>
  <si>
    <t>CGAAGAAC</t>
  </si>
  <si>
    <t>S97145</t>
  </si>
  <si>
    <t>AGCGGAAT</t>
  </si>
  <si>
    <t>S97146</t>
  </si>
  <si>
    <t>GTGAGCTT</t>
  </si>
  <si>
    <t>S97147</t>
  </si>
  <si>
    <t>CGTGATCA</t>
  </si>
  <si>
    <t>S97148</t>
  </si>
  <si>
    <t>S97149</t>
  </si>
  <si>
    <t>TGACGCAT</t>
  </si>
  <si>
    <t>S97150</t>
  </si>
  <si>
    <t>CCGATGTA</t>
  </si>
  <si>
    <t>S97151</t>
  </si>
  <si>
    <t>TTCGCAGT</t>
  </si>
  <si>
    <t>S97152</t>
  </si>
  <si>
    <t>ACGACAGA</t>
  </si>
  <si>
    <t>S97153</t>
  </si>
  <si>
    <t>AGCTTGAG</t>
  </si>
  <si>
    <t>S97154</t>
  </si>
  <si>
    <t>GAGTGGTT</t>
  </si>
  <si>
    <t>S97155</t>
  </si>
  <si>
    <t>S97156</t>
  </si>
  <si>
    <t>CCAAGACT</t>
  </si>
  <si>
    <t>S97157</t>
  </si>
  <si>
    <t>S97158</t>
  </si>
  <si>
    <t>S97159</t>
  </si>
  <si>
    <t>TAACGAGG</t>
  </si>
  <si>
    <t>S97160</t>
  </si>
  <si>
    <t>TCGTCTCA</t>
  </si>
  <si>
    <t>S97161</t>
  </si>
  <si>
    <t>TTCCTGTG</t>
  </si>
  <si>
    <t>S97162</t>
  </si>
  <si>
    <t>CGTTGAGT</t>
  </si>
  <si>
    <t>S97163</t>
  </si>
  <si>
    <t>S97164</t>
  </si>
  <si>
    <t>TAGGTAGG</t>
  </si>
  <si>
    <t>S97165</t>
  </si>
  <si>
    <t>CAGGAGAT</t>
  </si>
  <si>
    <t>S97166</t>
  </si>
  <si>
    <t>CATCGTGA</t>
  </si>
  <si>
    <t>S97167</t>
  </si>
  <si>
    <t>S97168</t>
  </si>
  <si>
    <t>ACAGACCT</t>
  </si>
  <si>
    <t>S97169</t>
  </si>
  <si>
    <t>GTCCTTCT</t>
  </si>
  <si>
    <t>S97170</t>
  </si>
  <si>
    <t>TGATACGC</t>
  </si>
  <si>
    <t>S97171</t>
  </si>
  <si>
    <t>S97172</t>
  </si>
  <si>
    <t>S97173</t>
  </si>
  <si>
    <t>GTTGCGAT</t>
  </si>
  <si>
    <t>S97174</t>
  </si>
  <si>
    <t>AACGACGT</t>
  </si>
  <si>
    <t>S97175</t>
  </si>
  <si>
    <t>S97176</t>
  </si>
  <si>
    <t>AGCAAGCA</t>
  </si>
  <si>
    <t>S97177</t>
  </si>
  <si>
    <t>S97178</t>
  </si>
  <si>
    <t>CTCCATGT</t>
  </si>
  <si>
    <t>S97179</t>
  </si>
  <si>
    <t>CGTCTTGT</t>
  </si>
  <si>
    <t>S97180</t>
  </si>
  <si>
    <t>S97181</t>
  </si>
  <si>
    <t>TGTCTGCT</t>
  </si>
  <si>
    <t>S97182</t>
  </si>
  <si>
    <t>CGCTTAAC</t>
  </si>
  <si>
    <t>S97183</t>
  </si>
  <si>
    <t>GATCCATG</t>
  </si>
  <si>
    <t>S97184</t>
  </si>
  <si>
    <t>ACCTCTGT</t>
  </si>
  <si>
    <t>S97185</t>
  </si>
  <si>
    <t>GCCACTTA</t>
  </si>
  <si>
    <t>S97186</t>
  </si>
  <si>
    <t>S97187</t>
  </si>
  <si>
    <t>S97188</t>
  </si>
  <si>
    <t>ATGCCAAC</t>
  </si>
  <si>
    <t>S97189</t>
  </si>
  <si>
    <t>AGAGGTTG</t>
  </si>
  <si>
    <t>S97190</t>
  </si>
  <si>
    <t>ACCATCCA</t>
  </si>
  <si>
    <t>S97191</t>
  </si>
  <si>
    <t>GTGGATAG</t>
  </si>
  <si>
    <t>S97192</t>
  </si>
  <si>
    <t>CTGAGATC</t>
  </si>
  <si>
    <t>S97193</t>
  </si>
  <si>
    <t>S97194</t>
  </si>
  <si>
    <t>GTCTAGGT</t>
  </si>
  <si>
    <t>S97195</t>
  </si>
  <si>
    <t>ACGTCGTA</t>
  </si>
  <si>
    <t>S97196</t>
  </si>
  <si>
    <t>S97197</t>
  </si>
  <si>
    <t>CGTGTACT</t>
  </si>
  <si>
    <t>S97198</t>
  </si>
  <si>
    <t>CACTGACA</t>
  </si>
  <si>
    <t>S97199</t>
  </si>
  <si>
    <t>TCGTAGTC</t>
  </si>
  <si>
    <t>S97200</t>
  </si>
  <si>
    <t>S97201</t>
  </si>
  <si>
    <t>CAAGCAGT</t>
  </si>
  <si>
    <t>S97202</t>
  </si>
  <si>
    <t>ACATAGGC</t>
  </si>
  <si>
    <t>S97203</t>
  </si>
  <si>
    <t>S97204</t>
  </si>
  <si>
    <t>CACCACTA</t>
  </si>
  <si>
    <t>S97205</t>
  </si>
  <si>
    <t>CTGCGTAT</t>
  </si>
  <si>
    <t>S97206</t>
  </si>
  <si>
    <t>S97207</t>
  </si>
  <si>
    <t>GATTGGAG</t>
  </si>
  <si>
    <t>S97208</t>
  </si>
  <si>
    <t>TGTCCAGA</t>
  </si>
  <si>
    <t>S97209</t>
  </si>
  <si>
    <t>CCAGTGTT</t>
  </si>
  <si>
    <t>S97210</t>
  </si>
  <si>
    <t>TGCACCAA</t>
  </si>
  <si>
    <t>S97211</t>
  </si>
  <si>
    <t>S97212</t>
  </si>
  <si>
    <t>AGGCATAG</t>
  </si>
  <si>
    <t>S97213</t>
  </si>
  <si>
    <t>TAGCCGAA</t>
  </si>
  <si>
    <t>S97214</t>
  </si>
  <si>
    <t>TTGTCGGT</t>
  </si>
  <si>
    <t>S97215</t>
  </si>
  <si>
    <t>CATCTACG</t>
  </si>
  <si>
    <t>S97216</t>
  </si>
  <si>
    <t>GCATACAG</t>
  </si>
  <si>
    <t>S97217</t>
  </si>
  <si>
    <t>ACAGCAAC</t>
  </si>
  <si>
    <t>S97218</t>
  </si>
  <si>
    <t>S97219</t>
  </si>
  <si>
    <t>TCGACATC</t>
  </si>
  <si>
    <t>S97220</t>
  </si>
  <si>
    <t>AACCTCCT</t>
  </si>
  <si>
    <t>S97221</t>
  </si>
  <si>
    <t>CAGCGATT</t>
  </si>
  <si>
    <t>S97222</t>
  </si>
  <si>
    <t>S97223</t>
  </si>
  <si>
    <t>S97224</t>
  </si>
  <si>
    <t>GCTTCTTG</t>
  </si>
  <si>
    <t>S97225</t>
  </si>
  <si>
    <t>AACTGGTG</t>
  </si>
  <si>
    <t>S97226</t>
  </si>
  <si>
    <t>CGGAATAC</t>
  </si>
  <si>
    <t>S97227</t>
  </si>
  <si>
    <t>GCTTCGAA</t>
  </si>
  <si>
    <t>S97228</t>
  </si>
  <si>
    <t>S97229</t>
  </si>
  <si>
    <t>S97230</t>
  </si>
  <si>
    <t>CCATACGT</t>
  </si>
  <si>
    <t>S97231</t>
  </si>
  <si>
    <t>TGGTCCTT</t>
  </si>
  <si>
    <t>S97232</t>
  </si>
  <si>
    <t>ACCGCATA</t>
  </si>
  <si>
    <t>S97233</t>
  </si>
  <si>
    <t>S97234</t>
  </si>
  <si>
    <t>TACACGCT</t>
  </si>
  <si>
    <t>S97235</t>
  </si>
  <si>
    <t>S97236</t>
  </si>
  <si>
    <t>AAGAGCCA</t>
  </si>
  <si>
    <t>S97237</t>
  </si>
  <si>
    <t>S97238</t>
  </si>
  <si>
    <t>GCCAGTAT</t>
  </si>
  <si>
    <t>S97239</t>
  </si>
  <si>
    <t>CGTAGGTT</t>
  </si>
  <si>
    <t>S97240</t>
  </si>
  <si>
    <t>CGAGTATG</t>
  </si>
  <si>
    <t>S97241</t>
  </si>
  <si>
    <t>CAAGTGCA</t>
  </si>
  <si>
    <t>S97242</t>
  </si>
  <si>
    <t>TCGAGTGA</t>
  </si>
  <si>
    <t>S97243</t>
  </si>
  <si>
    <t>S97244</t>
  </si>
  <si>
    <t>GATCGTAC</t>
  </si>
  <si>
    <t>S97245</t>
  </si>
  <si>
    <t>S97246</t>
  </si>
  <si>
    <t>CTCAGCTA</t>
  </si>
  <si>
    <t>S97247</t>
  </si>
  <si>
    <t>TCTGCTCT</t>
  </si>
  <si>
    <t>S97248</t>
  </si>
  <si>
    <t>S97249</t>
  </si>
  <si>
    <t>GCTGTTGT</t>
  </si>
  <si>
    <t>S97250</t>
  </si>
  <si>
    <t>TTACGGCT</t>
  </si>
  <si>
    <t>S97251</t>
  </si>
  <si>
    <t>GACAAGAG</t>
  </si>
  <si>
    <t>S97252</t>
  </si>
  <si>
    <t>AGGATCTG</t>
  </si>
  <si>
    <t>S97253</t>
  </si>
  <si>
    <t>GTAGCATC</t>
  </si>
  <si>
    <t>S97254</t>
  </si>
  <si>
    <t>S97255</t>
  </si>
  <si>
    <t>AGGATGGT</t>
  </si>
  <si>
    <t>S97256</t>
  </si>
  <si>
    <t>TCACGTTC</t>
  </si>
  <si>
    <t>S97257</t>
  </si>
  <si>
    <t>GCGTTCTA</t>
  </si>
  <si>
    <t>S97258</t>
  </si>
  <si>
    <t>S97259</t>
  </si>
  <si>
    <t>TTAGGTCG</t>
  </si>
  <si>
    <t>S97260</t>
  </si>
  <si>
    <t>TCTGAGAG</t>
  </si>
  <si>
    <t>S97261</t>
  </si>
  <si>
    <t>TTCAGCCT</t>
  </si>
  <si>
    <t>S97262</t>
  </si>
  <si>
    <t>TCTCCGAT</t>
  </si>
  <si>
    <t>S97263</t>
  </si>
  <si>
    <t>CAGGTATC</t>
  </si>
  <si>
    <t>S97264</t>
  </si>
  <si>
    <t>AGTCAGGA</t>
  </si>
  <si>
    <t>S97265</t>
  </si>
  <si>
    <t>AAGGCTGA</t>
  </si>
  <si>
    <t>S97266</t>
  </si>
  <si>
    <t>CGATGCTT</t>
  </si>
  <si>
    <t>S97267</t>
  </si>
  <si>
    <t>GTATTGGC</t>
  </si>
  <si>
    <t>S97268</t>
  </si>
  <si>
    <t>ACTGTGTC</t>
  </si>
  <si>
    <t>S97269</t>
  </si>
  <si>
    <t>TGCCTCTT</t>
  </si>
  <si>
    <t>S97270</t>
  </si>
  <si>
    <t>CAGTCTTC</t>
  </si>
  <si>
    <t>S97271</t>
  </si>
  <si>
    <t>CATAACGG</t>
  </si>
  <si>
    <t>S97272</t>
  </si>
  <si>
    <t>ACTGCTAG</t>
  </si>
  <si>
    <t>S97273</t>
  </si>
  <si>
    <t>ATTCTGGC</t>
  </si>
  <si>
    <t>S97274</t>
  </si>
  <si>
    <t>S97275</t>
  </si>
  <si>
    <t>TCCGAGTT</t>
  </si>
  <si>
    <t>S97276</t>
  </si>
  <si>
    <t>CGAACTGT</t>
  </si>
  <si>
    <t>S97277</t>
  </si>
  <si>
    <t>S97278</t>
  </si>
  <si>
    <t>AGCAGATG</t>
  </si>
  <si>
    <t>S97279</t>
  </si>
  <si>
    <t>TATCAGCG</t>
  </si>
  <si>
    <t>S97280</t>
  </si>
  <si>
    <t>S97281</t>
  </si>
  <si>
    <t>ACCATGTG</t>
  </si>
  <si>
    <t>S97282</t>
  </si>
  <si>
    <t>CTAACTCG</t>
  </si>
  <si>
    <t>S97283</t>
  </si>
  <si>
    <t>S97284</t>
  </si>
  <si>
    <t>CATGGAAC</t>
  </si>
  <si>
    <t>S97285</t>
  </si>
  <si>
    <t>TAGGATGC</t>
  </si>
  <si>
    <t>S97286</t>
  </si>
  <si>
    <t>GTTCATGG</t>
  </si>
  <si>
    <t>S97287</t>
  </si>
  <si>
    <t>TCGTGGAT</t>
  </si>
  <si>
    <t>S97288</t>
  </si>
  <si>
    <t>ACCTTCTC</t>
  </si>
  <si>
    <t>S97289</t>
  </si>
  <si>
    <t>CATTGCCT</t>
  </si>
  <si>
    <t>S97290</t>
  </si>
  <si>
    <t>CTAGGTGA</t>
  </si>
  <si>
    <t>S97291</t>
  </si>
  <si>
    <t>TCCGTATG</t>
  </si>
  <si>
    <t>S97292</t>
  </si>
  <si>
    <t>S97293</t>
  </si>
  <si>
    <t>S97294</t>
  </si>
  <si>
    <t>TCGAAGGT</t>
  </si>
  <si>
    <t>S97295</t>
  </si>
  <si>
    <t>AGAAGCGT</t>
  </si>
  <si>
    <t>S97296</t>
  </si>
  <si>
    <t>CTCTACTC</t>
  </si>
  <si>
    <t>S97297</t>
  </si>
  <si>
    <t>CTAGGCAT</t>
  </si>
  <si>
    <t>S97298</t>
  </si>
  <si>
    <t>S97299</t>
  </si>
  <si>
    <t>GAGGACTT</t>
  </si>
  <si>
    <t>S97300</t>
  </si>
  <si>
    <t>S97301</t>
  </si>
  <si>
    <t>S97302</t>
  </si>
  <si>
    <t>S97303</t>
  </si>
  <si>
    <t>ATCGGTGT</t>
  </si>
  <si>
    <t>S97304</t>
  </si>
  <si>
    <t>S97305</t>
  </si>
  <si>
    <t>S97306</t>
  </si>
  <si>
    <t>AGTCGACA</t>
  </si>
  <si>
    <t>S97307</t>
  </si>
  <si>
    <t>CGGATTGA</t>
  </si>
  <si>
    <t>S97308</t>
  </si>
  <si>
    <t>S97309</t>
  </si>
  <si>
    <t>TACATCGG</t>
  </si>
  <si>
    <t>S97310</t>
  </si>
  <si>
    <t>S97311</t>
  </si>
  <si>
    <t>ACTCGTTG</t>
  </si>
  <si>
    <t>S97312</t>
  </si>
  <si>
    <t>S97313</t>
  </si>
  <si>
    <t>S97314</t>
  </si>
  <si>
    <t>AAGGACAC</t>
  </si>
  <si>
    <t>S97315</t>
  </si>
  <si>
    <t>S97316</t>
  </si>
  <si>
    <t>ACCTAAGG</t>
  </si>
  <si>
    <t>S97317</t>
  </si>
  <si>
    <t>S97318</t>
  </si>
  <si>
    <t>AGGTTCGA</t>
  </si>
  <si>
    <t>S97319</t>
  </si>
  <si>
    <t>GACTATGC</t>
  </si>
  <si>
    <t>S97320</t>
  </si>
  <si>
    <t>TTCAGGAG</t>
  </si>
  <si>
    <t>S97321</t>
  </si>
  <si>
    <t>TGTGCGTT</t>
  </si>
  <si>
    <t>S97322</t>
  </si>
  <si>
    <t>CGAGACTA</t>
  </si>
  <si>
    <t>S97323</t>
  </si>
  <si>
    <t>CTCAGAGT</t>
  </si>
  <si>
    <t>S97324</t>
  </si>
  <si>
    <t>GCCATAAC</t>
  </si>
  <si>
    <t>S97325</t>
  </si>
  <si>
    <t>TTACCGAG</t>
  </si>
  <si>
    <t>S97326</t>
  </si>
  <si>
    <t>GCTCTGTA</t>
  </si>
  <si>
    <t>S97327</t>
  </si>
  <si>
    <t>CGTTATGC</t>
  </si>
  <si>
    <t>S97328</t>
  </si>
  <si>
    <t>GTCTGATC</t>
  </si>
  <si>
    <t>S97329</t>
  </si>
  <si>
    <t>S97330</t>
  </si>
  <si>
    <t>TGATCGGA</t>
  </si>
  <si>
    <t>S97331</t>
  </si>
  <si>
    <t>CCAAGTTG</t>
  </si>
  <si>
    <t>S97332</t>
  </si>
  <si>
    <t>CCTACTGA</t>
  </si>
  <si>
    <t>S97333</t>
  </si>
  <si>
    <t>CTTGCTGT</t>
  </si>
  <si>
    <t>S97334</t>
  </si>
  <si>
    <t>TGCCATTC</t>
  </si>
  <si>
    <t>S97335</t>
  </si>
  <si>
    <t>TTGATCCG</t>
  </si>
  <si>
    <t>S97336</t>
  </si>
  <si>
    <t>AGTGCAGT</t>
  </si>
  <si>
    <t>S97337</t>
  </si>
  <si>
    <t>GACTTAGG</t>
  </si>
  <si>
    <t>S97338</t>
  </si>
  <si>
    <t>CGTACGAA</t>
  </si>
  <si>
    <t>S97339</t>
  </si>
  <si>
    <t>TACCAGGA</t>
  </si>
  <si>
    <t>S97340</t>
  </si>
  <si>
    <t>CGTCAATG</t>
  </si>
  <si>
    <t>S97341</t>
  </si>
  <si>
    <t>S97342</t>
  </si>
  <si>
    <t>GACGAATG</t>
  </si>
  <si>
    <t>S97343</t>
  </si>
  <si>
    <t>AGGAGGAA</t>
  </si>
  <si>
    <t>S97344</t>
  </si>
  <si>
    <t>S97345</t>
  </si>
  <si>
    <t>GAGATGTC</t>
  </si>
  <si>
    <t>S97346</t>
  </si>
  <si>
    <t>TACGGTTG</t>
  </si>
  <si>
    <t>S97347</t>
  </si>
  <si>
    <t>CTATCGCA</t>
  </si>
  <si>
    <t>S97348</t>
  </si>
  <si>
    <t>TCGAACCA</t>
  </si>
  <si>
    <t>S97349</t>
  </si>
  <si>
    <t>GAACGCTT</t>
  </si>
  <si>
    <t>S97350</t>
  </si>
  <si>
    <t>CAGAATCG</t>
  </si>
  <si>
    <t>S97351</t>
  </si>
  <si>
    <t>S97352</t>
  </si>
  <si>
    <t>GCTGGATT</t>
  </si>
  <si>
    <t>S97353</t>
  </si>
  <si>
    <t>GATGCACT</t>
  </si>
  <si>
    <t>S97354</t>
  </si>
  <si>
    <t>ACCAATGC</t>
  </si>
  <si>
    <t>S97355</t>
  </si>
  <si>
    <t>S97356</t>
  </si>
  <si>
    <t>CCGACTAT</t>
  </si>
  <si>
    <t>S97357</t>
  </si>
  <si>
    <t>S97358</t>
  </si>
  <si>
    <t>GCCTTGTT</t>
  </si>
  <si>
    <t>S97359</t>
  </si>
  <si>
    <t>S97360</t>
  </si>
  <si>
    <t>ATTCGAGG</t>
  </si>
  <si>
    <t>S97361</t>
  </si>
  <si>
    <t>GTCAGTTG</t>
  </si>
  <si>
    <t>S97362</t>
  </si>
  <si>
    <t>GTAGAGCA</t>
  </si>
  <si>
    <t>S97363</t>
  </si>
  <si>
    <t>ACGTGATG</t>
  </si>
  <si>
    <t>S97364</t>
  </si>
  <si>
    <t>TAAGTGGC</t>
  </si>
  <si>
    <t>S97365</t>
  </si>
  <si>
    <t>S97366</t>
  </si>
  <si>
    <t>CATTCGGT</t>
  </si>
  <si>
    <t>S97367</t>
  </si>
  <si>
    <t>TTGGTGAG</t>
  </si>
  <si>
    <t>S97368</t>
  </si>
  <si>
    <t>CAGTTCTG</t>
  </si>
  <si>
    <t>S97369</t>
  </si>
  <si>
    <t>S97370</t>
  </si>
  <si>
    <t>GAATCGTG</t>
  </si>
  <si>
    <t>S97371</t>
  </si>
  <si>
    <t>ACCAGCTT</t>
  </si>
  <si>
    <t>S97372</t>
  </si>
  <si>
    <t>CTCATTGC</t>
  </si>
  <si>
    <t>S97373</t>
  </si>
  <si>
    <t>CGATAGAG</t>
  </si>
  <si>
    <t>S97374</t>
  </si>
  <si>
    <t>TGGAGAGT</t>
  </si>
  <si>
    <t>S97375</t>
  </si>
  <si>
    <t>S97376</t>
  </si>
  <si>
    <t>S97377</t>
  </si>
  <si>
    <t>S97378</t>
  </si>
  <si>
    <t>TGAGGTGT</t>
  </si>
  <si>
    <t>S97379</t>
  </si>
  <si>
    <t>ACATTGCG</t>
  </si>
  <si>
    <t>S97380</t>
  </si>
  <si>
    <t>TCTCTAGG</t>
  </si>
  <si>
    <t>S97381</t>
  </si>
  <si>
    <t>CGCTAGTA</t>
  </si>
  <si>
    <t>S97382</t>
  </si>
  <si>
    <t>AATGGACG</t>
  </si>
  <si>
    <t>S97383</t>
  </si>
  <si>
    <t>GATAGCGA</t>
  </si>
  <si>
    <t>S97384</t>
  </si>
  <si>
    <t>CGACCATT</t>
  </si>
  <si>
    <t>S95001</t>
  </si>
  <si>
    <t>GCGCATAT</t>
  </si>
  <si>
    <t>S95002</t>
  </si>
  <si>
    <t>S95003</t>
  </si>
  <si>
    <t>S95004</t>
  </si>
  <si>
    <t>ACCGGTTA</t>
  </si>
  <si>
    <t>S95005</t>
  </si>
  <si>
    <t>CGATGTTC</t>
  </si>
  <si>
    <t>S95006</t>
  </si>
  <si>
    <t>CTACAAGG</t>
  </si>
  <si>
    <t>S95007</t>
  </si>
  <si>
    <t>AAGCCTGA</t>
  </si>
  <si>
    <t>S95008</t>
  </si>
  <si>
    <t>ACGAGAAC</t>
  </si>
  <si>
    <t>S95009</t>
  </si>
  <si>
    <t>S95010</t>
  </si>
  <si>
    <t>S95011</t>
  </si>
  <si>
    <t>AGTCGAAG</t>
  </si>
  <si>
    <t>S95012</t>
  </si>
  <si>
    <t>AACAGGTG</t>
  </si>
  <si>
    <t>S95013</t>
  </si>
  <si>
    <t>CGTGTGAT</t>
  </si>
  <si>
    <t>S95014</t>
  </si>
  <si>
    <t>TCTTACGG</t>
  </si>
  <si>
    <t>S95015</t>
  </si>
  <si>
    <t>S95016</t>
  </si>
  <si>
    <t>TAACGTCG</t>
  </si>
  <si>
    <t>S95017</t>
  </si>
  <si>
    <t>TCGTGCAT</t>
  </si>
  <si>
    <t>S95018</t>
  </si>
  <si>
    <t>CAATCAGG</t>
  </si>
  <si>
    <t>S95019</t>
  </si>
  <si>
    <t>ACTCCTAC</t>
  </si>
  <si>
    <t>S95020</t>
  </si>
  <si>
    <t>CTCCTAGT</t>
  </si>
  <si>
    <t>S95021</t>
  </si>
  <si>
    <t>AGCTAGTG</t>
  </si>
  <si>
    <t>S95022</t>
  </si>
  <si>
    <t>CAAGTCGT</t>
  </si>
  <si>
    <t>S95023</t>
  </si>
  <si>
    <t>TACACACG</t>
  </si>
  <si>
    <t>S95024</t>
  </si>
  <si>
    <t>AGGTCAAC</t>
  </si>
  <si>
    <t>S95025</t>
  </si>
  <si>
    <t>GATGGAGT</t>
  </si>
  <si>
    <t>S95026</t>
  </si>
  <si>
    <t>CCACATTG</t>
  </si>
  <si>
    <t>S95027</t>
  </si>
  <si>
    <t>GTCTGCAA</t>
  </si>
  <si>
    <t>S95028</t>
  </si>
  <si>
    <t>TTGGACTG</t>
  </si>
  <si>
    <t>S95029</t>
  </si>
  <si>
    <t>CTGAACGT</t>
  </si>
  <si>
    <t>S95030</t>
  </si>
  <si>
    <t>CAGACGTT</t>
  </si>
  <si>
    <t>S95031</t>
  </si>
  <si>
    <t>GACCGATA</t>
  </si>
  <si>
    <t>S95032</t>
  </si>
  <si>
    <t>ATAGAGCG</t>
  </si>
  <si>
    <t>S95033</t>
  </si>
  <si>
    <t>GAGCAATC</t>
  </si>
  <si>
    <t>S95034</t>
  </si>
  <si>
    <t>CACACATC</t>
  </si>
  <si>
    <t>S95035</t>
  </si>
  <si>
    <t>AGATTGCG</t>
  </si>
  <si>
    <t>S95036</t>
  </si>
  <si>
    <t>S95037</t>
  </si>
  <si>
    <t>S95038</t>
  </si>
  <si>
    <t>GATCCACT</t>
  </si>
  <si>
    <t>S95039</t>
  </si>
  <si>
    <t>ACGTCCAA</t>
  </si>
  <si>
    <t>S95040</t>
  </si>
  <si>
    <t>S95041</t>
  </si>
  <si>
    <t>CCAACTTC</t>
  </si>
  <si>
    <t>S95042</t>
  </si>
  <si>
    <t>GTGGTATG</t>
  </si>
  <si>
    <t>S95043</t>
  </si>
  <si>
    <t>GTCAACAG</t>
  </si>
  <si>
    <t>S95044</t>
  </si>
  <si>
    <t>S95045</t>
  </si>
  <si>
    <t>ATGGCGAT</t>
  </si>
  <si>
    <t>S95046</t>
  </si>
  <si>
    <t>CTTCGCAA</t>
  </si>
  <si>
    <t>S95047</t>
  </si>
  <si>
    <t>S95048</t>
  </si>
  <si>
    <t>TACTGCTC</t>
  </si>
  <si>
    <t>S95049</t>
  </si>
  <si>
    <t>TGAGCTGT</t>
  </si>
  <si>
    <t>S95050</t>
  </si>
  <si>
    <t>ACTCGATC</t>
  </si>
  <si>
    <t>S95051</t>
  </si>
  <si>
    <t>AACACGCT</t>
  </si>
  <si>
    <t>S95052</t>
  </si>
  <si>
    <t>S95053</t>
  </si>
  <si>
    <t>CGTCTTCA</t>
  </si>
  <si>
    <t>S95054</t>
  </si>
  <si>
    <t>ACCTCAGT</t>
  </si>
  <si>
    <t>S95055</t>
  </si>
  <si>
    <t>S95056</t>
  </si>
  <si>
    <t>CGAACAAC</t>
  </si>
  <si>
    <t>S95057</t>
  </si>
  <si>
    <t>CTTCCTTC</t>
  </si>
  <si>
    <t>S95058</t>
  </si>
  <si>
    <t>GAAGTGCT</t>
  </si>
  <si>
    <t>S95059</t>
  </si>
  <si>
    <t>TCGATGAC</t>
  </si>
  <si>
    <t>S95060</t>
  </si>
  <si>
    <t>S95061</t>
  </si>
  <si>
    <t>AGGTGTTG</t>
  </si>
  <si>
    <t>S95062</t>
  </si>
  <si>
    <t>ACAGGCAT</t>
  </si>
  <si>
    <t>S95063</t>
  </si>
  <si>
    <t>TAGCCATG</t>
  </si>
  <si>
    <t>S95064</t>
  </si>
  <si>
    <t>CACTTCAC</t>
  </si>
  <si>
    <t>S95065</t>
  </si>
  <si>
    <t>TTGCAACG</t>
  </si>
  <si>
    <t>S95066</t>
  </si>
  <si>
    <t>TACCGGAT</t>
  </si>
  <si>
    <t>S95067</t>
  </si>
  <si>
    <t>AATGACGC</t>
  </si>
  <si>
    <t>S95068</t>
  </si>
  <si>
    <t>AGTTGTGC</t>
  </si>
  <si>
    <t>S95069</t>
  </si>
  <si>
    <t>CGGTAATC</t>
  </si>
  <si>
    <t>S95070</t>
  </si>
  <si>
    <t>ATCGTGGT</t>
  </si>
  <si>
    <t>S95071</t>
  </si>
  <si>
    <t>TCTTCGAC</t>
  </si>
  <si>
    <t>S95072</t>
  </si>
  <si>
    <t>GATCAAGG</t>
  </si>
  <si>
    <t>S95073</t>
  </si>
  <si>
    <t>S95074</t>
  </si>
  <si>
    <t>CCAACGAA</t>
  </si>
  <si>
    <t>S95075</t>
  </si>
  <si>
    <t>AACAGCGA</t>
  </si>
  <si>
    <t>S95076</t>
  </si>
  <si>
    <t>S95077</t>
  </si>
  <si>
    <t>S95078</t>
  </si>
  <si>
    <t>S95079</t>
  </si>
  <si>
    <t>GCTCAGTT</t>
  </si>
  <si>
    <t>S95080</t>
  </si>
  <si>
    <t>AGATCGTC</t>
  </si>
  <si>
    <t>S95081</t>
  </si>
  <si>
    <t>CTCTGGAT</t>
  </si>
  <si>
    <t>S95082</t>
  </si>
  <si>
    <t>GCTACTCT</t>
  </si>
  <si>
    <t>S95083</t>
  </si>
  <si>
    <t>AGAGTCCA</t>
  </si>
  <si>
    <t>S95084</t>
  </si>
  <si>
    <t>GTAGCGTA</t>
  </si>
  <si>
    <t>S95085</t>
  </si>
  <si>
    <t>S95086</t>
  </si>
  <si>
    <t>S95087</t>
  </si>
  <si>
    <t>S95088</t>
  </si>
  <si>
    <t>S95089</t>
  </si>
  <si>
    <t>S95090</t>
  </si>
  <si>
    <t>S95091</t>
  </si>
  <si>
    <t>S95092</t>
  </si>
  <si>
    <t>S95093</t>
  </si>
  <si>
    <t>S95094</t>
  </si>
  <si>
    <t>S95095</t>
  </si>
  <si>
    <t>S95096</t>
  </si>
  <si>
    <t>S95097</t>
  </si>
  <si>
    <t>AATGGTCG</t>
  </si>
  <si>
    <t>S95098</t>
  </si>
  <si>
    <t>TCGCTATC</t>
  </si>
  <si>
    <t>S95099</t>
  </si>
  <si>
    <t>CGTCCATT</t>
  </si>
  <si>
    <t>S95100</t>
  </si>
  <si>
    <t>TACTAGCG</t>
  </si>
  <si>
    <t>S95101</t>
  </si>
  <si>
    <t>CCTAGAGA</t>
  </si>
  <si>
    <t>S95102</t>
  </si>
  <si>
    <t>CGCAATGT</t>
  </si>
  <si>
    <t>S95103</t>
  </si>
  <si>
    <t>S95104</t>
  </si>
  <si>
    <t>GAGGCATT</t>
  </si>
  <si>
    <t>S95105</t>
  </si>
  <si>
    <t>S95106</t>
  </si>
  <si>
    <t>S95107</t>
  </si>
  <si>
    <t>S95108</t>
  </si>
  <si>
    <t>S95109</t>
  </si>
  <si>
    <t>GCAATGAG</t>
  </si>
  <si>
    <t>S95110</t>
  </si>
  <si>
    <t>AAGCTGGT</t>
  </si>
  <si>
    <t>S95111</t>
  </si>
  <si>
    <t>CACGATTC</t>
  </si>
  <si>
    <t>S95112</t>
  </si>
  <si>
    <t>S95113</t>
  </si>
  <si>
    <t>CAGAACTG</t>
  </si>
  <si>
    <t>S95114</t>
  </si>
  <si>
    <t>S95115</t>
  </si>
  <si>
    <t>ACCGAATG</t>
  </si>
  <si>
    <t>S95116</t>
  </si>
  <si>
    <t>S95117</t>
  </si>
  <si>
    <t>S95118</t>
  </si>
  <si>
    <t>CATCACGT</t>
  </si>
  <si>
    <t>S95119</t>
  </si>
  <si>
    <t>TGCTCTAC</t>
  </si>
  <si>
    <t>S95120</t>
  </si>
  <si>
    <t>CAACTGAC</t>
  </si>
  <si>
    <t>S95121</t>
  </si>
  <si>
    <t>CCTCGAAT</t>
  </si>
  <si>
    <t>S95122</t>
  </si>
  <si>
    <t>S95123</t>
  </si>
  <si>
    <t>AACAAGGC</t>
  </si>
  <si>
    <t>S95124</t>
  </si>
  <si>
    <t>S95125</t>
  </si>
  <si>
    <t>ATAGTCGG</t>
  </si>
  <si>
    <t>S95126</t>
  </si>
  <si>
    <t>S95127</t>
  </si>
  <si>
    <t>GCATTGGT</t>
  </si>
  <si>
    <t>S95128</t>
  </si>
  <si>
    <t>AGTGCATC</t>
  </si>
  <si>
    <t>S95129</t>
  </si>
  <si>
    <t>S95130</t>
  </si>
  <si>
    <t>GCAACCAT</t>
  </si>
  <si>
    <t>S95131</t>
  </si>
  <si>
    <t>CGATTCTG</t>
  </si>
  <si>
    <t>S95132</t>
  </si>
  <si>
    <t>S95133</t>
  </si>
  <si>
    <t>TGGTTCGA</t>
  </si>
  <si>
    <t>S95134</t>
  </si>
  <si>
    <t>TGCGATAG</t>
  </si>
  <si>
    <t>S95135</t>
  </si>
  <si>
    <t>CAACCGTA</t>
  </si>
  <si>
    <t>S95136</t>
  </si>
  <si>
    <t>GACATCTC</t>
  </si>
  <si>
    <t>S95137</t>
  </si>
  <si>
    <t>S95138</t>
  </si>
  <si>
    <t>S95139</t>
  </si>
  <si>
    <t>CATTCGTC</t>
  </si>
  <si>
    <t>S95140</t>
  </si>
  <si>
    <t>S95141</t>
  </si>
  <si>
    <t>CATTGACG</t>
  </si>
  <si>
    <t>S95142</t>
  </si>
  <si>
    <t>TCCTGGTA</t>
  </si>
  <si>
    <t>S95143</t>
  </si>
  <si>
    <t>TTCGTACG</t>
  </si>
  <si>
    <t>S95144</t>
  </si>
  <si>
    <t>CCTAAGTC</t>
  </si>
  <si>
    <t>S95145</t>
  </si>
  <si>
    <t>ACTGCACT</t>
  </si>
  <si>
    <t>S95146</t>
  </si>
  <si>
    <t>CGGATCAA</t>
  </si>
  <si>
    <t>S95147</t>
  </si>
  <si>
    <t>GAATGGCA</t>
  </si>
  <si>
    <t>S95148</t>
  </si>
  <si>
    <t>ACAGCAAG</t>
  </si>
  <si>
    <t>S95149</t>
  </si>
  <si>
    <t>S95150</t>
  </si>
  <si>
    <t>CAACTTGG</t>
  </si>
  <si>
    <t>S95151</t>
  </si>
  <si>
    <t>TCCGATCA</t>
  </si>
  <si>
    <t>S95152</t>
  </si>
  <si>
    <t>S95153</t>
  </si>
  <si>
    <t>GATCAGAC</t>
  </si>
  <si>
    <t>S95154</t>
  </si>
  <si>
    <t>GCATAACG</t>
  </si>
  <si>
    <t>S95155</t>
  </si>
  <si>
    <t>TACAGAGC</t>
  </si>
  <si>
    <t>S95156</t>
  </si>
  <si>
    <t>CTCGGTAA</t>
  </si>
  <si>
    <t>S95157</t>
  </si>
  <si>
    <t>GTTATGGC</t>
  </si>
  <si>
    <t>S95158</t>
  </si>
  <si>
    <t>ACTCTGAG</t>
  </si>
  <si>
    <t>S95159</t>
  </si>
  <si>
    <t>S95160</t>
  </si>
  <si>
    <t>S95161</t>
  </si>
  <si>
    <t>CTCCTGAA</t>
  </si>
  <si>
    <t>S95162</t>
  </si>
  <si>
    <t>GCATAGTC</t>
  </si>
  <si>
    <t>S95163</t>
  </si>
  <si>
    <t>TCGAACCT</t>
  </si>
  <si>
    <t>S95164</t>
  </si>
  <si>
    <t>S95165</t>
  </si>
  <si>
    <t>CCTTAGGT</t>
  </si>
  <si>
    <t>S95166</t>
  </si>
  <si>
    <t>S95167</t>
  </si>
  <si>
    <t>GTGTCCTT</t>
  </si>
  <si>
    <t>S95168</t>
  </si>
  <si>
    <t>S95169</t>
  </si>
  <si>
    <t>S95170</t>
  </si>
  <si>
    <t>CAACGAGT</t>
  </si>
  <si>
    <t>S95171</t>
  </si>
  <si>
    <t>S95172</t>
  </si>
  <si>
    <t>S95173</t>
  </si>
  <si>
    <t>S95174</t>
  </si>
  <si>
    <t>TCAATCCG</t>
  </si>
  <si>
    <t>S95175</t>
  </si>
  <si>
    <t>TGTCGACT</t>
  </si>
  <si>
    <t>S95176</t>
  </si>
  <si>
    <t>S95177</t>
  </si>
  <si>
    <t>S95178</t>
  </si>
  <si>
    <t>ACACCGAT</t>
  </si>
  <si>
    <t>S95179</t>
  </si>
  <si>
    <t>S95180</t>
  </si>
  <si>
    <t>S95181</t>
  </si>
  <si>
    <t>S95182</t>
  </si>
  <si>
    <t>AAGTCCTC</t>
  </si>
  <si>
    <t>S95183</t>
  </si>
  <si>
    <t>S95184</t>
  </si>
  <si>
    <t>ATGCCTAG</t>
  </si>
  <si>
    <t>S95185</t>
  </si>
  <si>
    <t>GAGTAGAG</t>
  </si>
  <si>
    <t>S95186</t>
  </si>
  <si>
    <t>ACGCTTCT</t>
  </si>
  <si>
    <t>S95187</t>
  </si>
  <si>
    <t>ACCTTCGA</t>
  </si>
  <si>
    <t>S95188</t>
  </si>
  <si>
    <t>S95189</t>
  </si>
  <si>
    <t>S95190</t>
  </si>
  <si>
    <t>CATACGGA</t>
  </si>
  <si>
    <t>S95191</t>
  </si>
  <si>
    <t>TCACCTAG</t>
  </si>
  <si>
    <t>S95192</t>
  </si>
  <si>
    <t>AGGCAATG</t>
  </si>
  <si>
    <t>S95193</t>
  </si>
  <si>
    <t>GAGAAGGT</t>
  </si>
  <si>
    <t>S95194</t>
  </si>
  <si>
    <t>ATCCACGA</t>
  </si>
  <si>
    <t>S95195</t>
  </si>
  <si>
    <t>S95196</t>
  </si>
  <si>
    <t>GCATCCTA</t>
  </si>
  <si>
    <t>S95197</t>
  </si>
  <si>
    <t>GTTCCATG</t>
  </si>
  <si>
    <t>S95198</t>
  </si>
  <si>
    <t>S95199</t>
  </si>
  <si>
    <t>CGAGTTAG</t>
  </si>
  <si>
    <t>S95200</t>
  </si>
  <si>
    <t>CACATGGT</t>
  </si>
  <si>
    <t>S95201</t>
  </si>
  <si>
    <t>S95202</t>
  </si>
  <si>
    <t>CGCTGATA</t>
  </si>
  <si>
    <t>S95203</t>
  </si>
  <si>
    <t>CATCTGCT</t>
  </si>
  <si>
    <t>S95204</t>
  </si>
  <si>
    <t>TGACCGTT</t>
  </si>
  <si>
    <t>S95205</t>
  </si>
  <si>
    <t>S95206</t>
  </si>
  <si>
    <t>AACTCGGA</t>
  </si>
  <si>
    <t>S95207</t>
  </si>
  <si>
    <t>S95208</t>
  </si>
  <si>
    <t>GCCAGAAT</t>
  </si>
  <si>
    <t>S95209</t>
  </si>
  <si>
    <t>CTAGCAGT</t>
  </si>
  <si>
    <t>S95210</t>
  </si>
  <si>
    <t>CCGTTATG</t>
  </si>
  <si>
    <t>S95211</t>
  </si>
  <si>
    <t>GAAGACTG</t>
  </si>
  <si>
    <t>S95212</t>
  </si>
  <si>
    <t>AAGAGGCA</t>
  </si>
  <si>
    <t>S95213</t>
  </si>
  <si>
    <t>GACACAGT</t>
  </si>
  <si>
    <t>S95214</t>
  </si>
  <si>
    <t>GCCAATAC</t>
  </si>
  <si>
    <t>S95215</t>
  </si>
  <si>
    <t>AAGCATCG</t>
  </si>
  <si>
    <t>S95216</t>
  </si>
  <si>
    <t>S95217</t>
  </si>
  <si>
    <t>TCCTGACT</t>
  </si>
  <si>
    <t>S95218</t>
  </si>
  <si>
    <t>GATACCTG</t>
  </si>
  <si>
    <t>S95219</t>
  </si>
  <si>
    <t>ATCGGAGA</t>
  </si>
  <si>
    <t>S95220</t>
  </si>
  <si>
    <t>AGGCTGAA</t>
  </si>
  <si>
    <t>S95221</t>
  </si>
  <si>
    <t>CTCTCAGA</t>
  </si>
  <si>
    <t>S95222</t>
  </si>
  <si>
    <t>CGACCTAA</t>
  </si>
  <si>
    <t>S95223</t>
  </si>
  <si>
    <t>S95224</t>
  </si>
  <si>
    <t>TAGAACGC</t>
  </si>
  <si>
    <t>S95225</t>
  </si>
  <si>
    <t>GAACGTGA</t>
  </si>
  <si>
    <t>S95226</t>
  </si>
  <si>
    <t>ACCATCCT</t>
  </si>
  <si>
    <t>S95227</t>
  </si>
  <si>
    <t>S95228</t>
  </si>
  <si>
    <t>GATGCTAC</t>
  </si>
  <si>
    <t>S95229</t>
  </si>
  <si>
    <t>CAGATCCT</t>
  </si>
  <si>
    <t>S95230</t>
  </si>
  <si>
    <t>CTCTTGTC</t>
  </si>
  <si>
    <t>S95231</t>
  </si>
  <si>
    <t>AGCCGTAA</t>
  </si>
  <si>
    <t>S95232</t>
  </si>
  <si>
    <t>ACAACAGC</t>
  </si>
  <si>
    <t>S95233</t>
  </si>
  <si>
    <t>S95234</t>
  </si>
  <si>
    <t>AGAGCAGA</t>
  </si>
  <si>
    <t>S95235</t>
  </si>
  <si>
    <t>TAGCTGAG</t>
  </si>
  <si>
    <t>S95236</t>
  </si>
  <si>
    <t>S95237</t>
  </si>
  <si>
    <t>GTACGATC</t>
  </si>
  <si>
    <t>S95238</t>
  </si>
  <si>
    <t>S95239</t>
  </si>
  <si>
    <t>TCACTCGA</t>
  </si>
  <si>
    <t>S95240</t>
  </si>
  <si>
    <t>TGCACTTG</t>
  </si>
  <si>
    <t>S95241</t>
  </si>
  <si>
    <t>CATACTCG</t>
  </si>
  <si>
    <t>S95242</t>
  </si>
  <si>
    <t>S95243</t>
  </si>
  <si>
    <t>ATACTGGC</t>
  </si>
  <si>
    <t>S95244</t>
  </si>
  <si>
    <t>S95245</t>
  </si>
  <si>
    <t>TGGCTCTT</t>
  </si>
  <si>
    <t>S95246</t>
  </si>
  <si>
    <t>S95247</t>
  </si>
  <si>
    <t>AGCGTGTA</t>
  </si>
  <si>
    <t>S95248</t>
  </si>
  <si>
    <t>S95249</t>
  </si>
  <si>
    <t>TATGCGGT</t>
  </si>
  <si>
    <t>S95250</t>
  </si>
  <si>
    <t>AAGGACCA</t>
  </si>
  <si>
    <t>S95251</t>
  </si>
  <si>
    <t>ACGTATGG</t>
  </si>
  <si>
    <t>S95252</t>
  </si>
  <si>
    <t>S95253</t>
  </si>
  <si>
    <t>S95254</t>
  </si>
  <si>
    <t>TTCGAAGC</t>
  </si>
  <si>
    <t>S95255</t>
  </si>
  <si>
    <t>GTATTCCG</t>
  </si>
  <si>
    <t>S95256</t>
  </si>
  <si>
    <t>CACCAGTT</t>
  </si>
  <si>
    <t>S95257</t>
  </si>
  <si>
    <t>CAAGAAGC</t>
  </si>
  <si>
    <t>S95258</t>
  </si>
  <si>
    <t>S95259</t>
  </si>
  <si>
    <t>S95260</t>
  </si>
  <si>
    <t>AATCGCTG</t>
  </si>
  <si>
    <t>S95261</t>
  </si>
  <si>
    <t>AGGAGGTT</t>
  </si>
  <si>
    <t>S95262</t>
  </si>
  <si>
    <t>GATGTCGA</t>
  </si>
  <si>
    <t>S95263</t>
  </si>
  <si>
    <t>S95264</t>
  </si>
  <si>
    <t>GTTGCTGT</t>
  </si>
  <si>
    <t>S95265</t>
  </si>
  <si>
    <t>CTGTATGC</t>
  </si>
  <si>
    <t>S95266</t>
  </si>
  <si>
    <t>CGTAGATG</t>
  </si>
  <si>
    <t>S95267</t>
  </si>
  <si>
    <t>ACCGACAA</t>
  </si>
  <si>
    <t>S95268</t>
  </si>
  <si>
    <t>TTCGGCTA</t>
  </si>
  <si>
    <t>S95269</t>
  </si>
  <si>
    <t>CTATGCCT</t>
  </si>
  <si>
    <t>S95270</t>
  </si>
  <si>
    <t>S95271</t>
  </si>
  <si>
    <t>TTGGTGCA</t>
  </si>
  <si>
    <t>S95272</t>
  </si>
  <si>
    <t>AACACTGG</t>
  </si>
  <si>
    <t>S95273</t>
  </si>
  <si>
    <t>TCTGGACA</t>
  </si>
  <si>
    <t>S95274</t>
  </si>
  <si>
    <t>CTCCAATC</t>
  </si>
  <si>
    <t>S95275</t>
  </si>
  <si>
    <t>S95276</t>
  </si>
  <si>
    <t>ATACGCAG</t>
  </si>
  <si>
    <t>S95277</t>
  </si>
  <si>
    <t>TAGTGGTG</t>
  </si>
  <si>
    <t>S95278</t>
  </si>
  <si>
    <t>S95279</t>
  </si>
  <si>
    <t>GCCTATGT</t>
  </si>
  <si>
    <t>S95280</t>
  </si>
  <si>
    <t>ACTGCTTG</t>
  </si>
  <si>
    <t>S95281</t>
  </si>
  <si>
    <t>S95282</t>
  </si>
  <si>
    <t>GACTACGA</t>
  </si>
  <si>
    <t>S95283</t>
  </si>
  <si>
    <t>TGTCAGTG</t>
  </si>
  <si>
    <t>S95284</t>
  </si>
  <si>
    <t>AGTACACG</t>
  </si>
  <si>
    <t>S95285</t>
  </si>
  <si>
    <t>TTGAGCTC</t>
  </si>
  <si>
    <t>S95286</t>
  </si>
  <si>
    <t>TACGACGT</t>
  </si>
  <si>
    <t>S95287</t>
  </si>
  <si>
    <t>ACCTAGAC</t>
  </si>
  <si>
    <t>S95288</t>
  </si>
  <si>
    <t>S95289</t>
  </si>
  <si>
    <t>GATCTCAG</t>
  </si>
  <si>
    <t>S95290</t>
  </si>
  <si>
    <t>CTATCCAC</t>
  </si>
  <si>
    <t>S95291</t>
  </si>
  <si>
    <t>TGGATGGT</t>
  </si>
  <si>
    <t>S95292</t>
  </si>
  <si>
    <t>CAACCTCT</t>
  </si>
  <si>
    <t>S95293</t>
  </si>
  <si>
    <t>GTTGGCAT</t>
  </si>
  <si>
    <t>S95294</t>
  </si>
  <si>
    <t>S95295</t>
  </si>
  <si>
    <t>S95296</t>
  </si>
  <si>
    <t>S95297</t>
  </si>
  <si>
    <t>ACAGAGGT</t>
  </si>
  <si>
    <t>S95298</t>
  </si>
  <si>
    <t>CATGGATC</t>
  </si>
  <si>
    <t>S95299</t>
  </si>
  <si>
    <t>GTTAAGCG</t>
  </si>
  <si>
    <t>S95300</t>
  </si>
  <si>
    <t>AGCAGACA</t>
  </si>
  <si>
    <t>S95301</t>
  </si>
  <si>
    <t>CGCCTTAT</t>
  </si>
  <si>
    <t>S95302</t>
  </si>
  <si>
    <t>ACAAGACG</t>
  </si>
  <si>
    <t>S95303</t>
  </si>
  <si>
    <t>ACATGGAG</t>
  </si>
  <si>
    <t>S95304</t>
  </si>
  <si>
    <t>S95305</t>
  </si>
  <si>
    <t>S95306</t>
  </si>
  <si>
    <t>S95307</t>
  </si>
  <si>
    <t>ACGTCGTT</t>
  </si>
  <si>
    <t>S95308</t>
  </si>
  <si>
    <t>ATCGCAAC</t>
  </si>
  <si>
    <t>S95309</t>
  </si>
  <si>
    <t>S95310</t>
  </si>
  <si>
    <t>S95311</t>
  </si>
  <si>
    <t>GCGTATCA</t>
  </si>
  <si>
    <t>S95312</t>
  </si>
  <si>
    <t>AGAAGGAC</t>
  </si>
  <si>
    <t>S95313</t>
  </si>
  <si>
    <t>AGGTCTGT</t>
  </si>
  <si>
    <t>S95314</t>
  </si>
  <si>
    <t>S95315</t>
  </si>
  <si>
    <t>TCACGATG</t>
  </si>
  <si>
    <t>S95316</t>
  </si>
  <si>
    <t>ATCTCCTG</t>
  </si>
  <si>
    <t>S95317</t>
  </si>
  <si>
    <t>CCTACCTA</t>
  </si>
  <si>
    <t>S95318</t>
  </si>
  <si>
    <t>S95319</t>
  </si>
  <si>
    <t>ACTCAACG</t>
  </si>
  <si>
    <t>S95320</t>
  </si>
  <si>
    <t>CACAGGAA</t>
  </si>
  <si>
    <t>S95321</t>
  </si>
  <si>
    <t>TGAGACGA</t>
  </si>
  <si>
    <t>S95322</t>
  </si>
  <si>
    <t>CCTCGTTA</t>
  </si>
  <si>
    <t>S95323</t>
  </si>
  <si>
    <t>AGCTTCAG</t>
  </si>
  <si>
    <t>S95324</t>
  </si>
  <si>
    <t>S95325</t>
  </si>
  <si>
    <t>AGTCTTGG</t>
  </si>
  <si>
    <t>S95326</t>
  </si>
  <si>
    <t>S95327</t>
  </si>
  <si>
    <t>AACCACTC</t>
  </si>
  <si>
    <t>S95328</t>
  </si>
  <si>
    <t>CTCAAGCT</t>
  </si>
  <si>
    <t>S95329</t>
  </si>
  <si>
    <t>TCTGTCGT</t>
  </si>
  <si>
    <t>S95330</t>
  </si>
  <si>
    <t>ACTGCGAA</t>
  </si>
  <si>
    <t>S95331</t>
  </si>
  <si>
    <t>S95332</t>
  </si>
  <si>
    <t>ATGCGTCA</t>
  </si>
  <si>
    <t>S95333</t>
  </si>
  <si>
    <t>S95334</t>
  </si>
  <si>
    <t>S95335</t>
  </si>
  <si>
    <t>AAGCTCAC</t>
  </si>
  <si>
    <t>S95336</t>
  </si>
  <si>
    <t>S95337</t>
  </si>
  <si>
    <t>GTTCTTCG</t>
  </si>
  <si>
    <t>S95338</t>
  </si>
  <si>
    <t>S95339</t>
  </si>
  <si>
    <t>S95340</t>
  </si>
  <si>
    <t>S95341</t>
  </si>
  <si>
    <t>S95342</t>
  </si>
  <si>
    <t>S95343</t>
  </si>
  <si>
    <t>GTAAGCAC</t>
  </si>
  <si>
    <t>S95344</t>
  </si>
  <si>
    <t>S95345</t>
  </si>
  <si>
    <t>TAGTCAGC</t>
  </si>
  <si>
    <t>S95346</t>
  </si>
  <si>
    <t>AGTTCGCA</t>
  </si>
  <si>
    <t>S95347</t>
  </si>
  <si>
    <t>CGCGTATT</t>
  </si>
  <si>
    <t>S95348</t>
  </si>
  <si>
    <t>AACCGTGT</t>
  </si>
  <si>
    <t>S95349</t>
  </si>
  <si>
    <t>AAGTGCAG</t>
  </si>
  <si>
    <t>S95350</t>
  </si>
  <si>
    <t>S95351</t>
  </si>
  <si>
    <t>AGCCAACT</t>
  </si>
  <si>
    <t>S95352</t>
  </si>
  <si>
    <t>CTAACCTG</t>
  </si>
  <si>
    <t>S95353</t>
  </si>
  <si>
    <t>ACTGGTGT</t>
  </si>
  <si>
    <t>S95354</t>
  </si>
  <si>
    <t>GTGATCCA</t>
  </si>
  <si>
    <t>S95355</t>
  </si>
  <si>
    <t>S95356</t>
  </si>
  <si>
    <t>TCAGACAC</t>
  </si>
  <si>
    <t>S95357</t>
  </si>
  <si>
    <t>CCGTAACT</t>
  </si>
  <si>
    <t>S95358</t>
  </si>
  <si>
    <t>S95359</t>
  </si>
  <si>
    <t>GAACCTTC</t>
  </si>
  <si>
    <t>S95360</t>
  </si>
  <si>
    <t>ACAAGCTC</t>
  </si>
  <si>
    <t>S95361</t>
  </si>
  <si>
    <t>CGATTGGA</t>
  </si>
  <si>
    <t>S95362</t>
  </si>
  <si>
    <t>TATGACCG</t>
  </si>
  <si>
    <t>S95363</t>
  </si>
  <si>
    <t>S95364</t>
  </si>
  <si>
    <t>ATCCGTTG</t>
  </si>
  <si>
    <t>S95365</t>
  </si>
  <si>
    <t>S95366</t>
  </si>
  <si>
    <t>S95367</t>
  </si>
  <si>
    <t>CACGTCTA</t>
  </si>
  <si>
    <t>S95368</t>
  </si>
  <si>
    <t>S95369</t>
  </si>
  <si>
    <t>GAGCTCTA</t>
  </si>
  <si>
    <t>S95370</t>
  </si>
  <si>
    <t>TTCACGGA</t>
  </si>
  <si>
    <t>S95371</t>
  </si>
  <si>
    <t>GTATCGAG</t>
  </si>
  <si>
    <t>S95372</t>
  </si>
  <si>
    <t>S95373</t>
  </si>
  <si>
    <t>TTCGCCAT</t>
  </si>
  <si>
    <t>S95374</t>
  </si>
  <si>
    <t>S95375</t>
  </si>
  <si>
    <t>AACTGAGG</t>
  </si>
  <si>
    <t>S95376</t>
  </si>
  <si>
    <t>CCAAGTAG</t>
  </si>
  <si>
    <t>S95377</t>
  </si>
  <si>
    <t>TGCTGTGA</t>
  </si>
  <si>
    <t>S95378</t>
  </si>
  <si>
    <t>ACAACGTG</t>
  </si>
  <si>
    <t>S95379</t>
  </si>
  <si>
    <t>S95380</t>
  </si>
  <si>
    <t>ACGGTACA</t>
  </si>
  <si>
    <t>S95381</t>
  </si>
  <si>
    <t>S95382</t>
  </si>
  <si>
    <t>GTGAGACT</t>
  </si>
  <si>
    <t>S95383</t>
  </si>
  <si>
    <t>CATCCAAG</t>
  </si>
  <si>
    <t>S95384</t>
  </si>
  <si>
    <t>Primer for Microbiome</t>
  </si>
  <si>
    <t>S503</t>
  </si>
  <si>
    <t>AGAGGATA</t>
  </si>
  <si>
    <t>S505</t>
  </si>
  <si>
    <t>CTCCTTAC</t>
  </si>
  <si>
    <t>S506</t>
  </si>
  <si>
    <t>TATGCAGT</t>
  </si>
  <si>
    <t>S507</t>
  </si>
  <si>
    <t>TACTCCTT</t>
  </si>
  <si>
    <t>S508</t>
  </si>
  <si>
    <t>AGGCTTAG</t>
  </si>
  <si>
    <t>S510</t>
  </si>
  <si>
    <t>ATTAGACG</t>
  </si>
  <si>
    <t>S511</t>
  </si>
  <si>
    <t>CGGAGAGA</t>
  </si>
  <si>
    <t>N702</t>
  </si>
  <si>
    <t>CGTACTAG</t>
  </si>
  <si>
    <t>N703</t>
  </si>
  <si>
    <t>AGGCAGAA</t>
  </si>
  <si>
    <t>N704</t>
  </si>
  <si>
    <t>TCCTGAGC</t>
  </si>
  <si>
    <t>N705</t>
  </si>
  <si>
    <t>GGACTCCT</t>
  </si>
  <si>
    <t>N706</t>
  </si>
  <si>
    <t>TAGGCATG</t>
  </si>
  <si>
    <t>N707</t>
  </si>
  <si>
    <t>CTCTCTAC</t>
  </si>
  <si>
    <t>N710</t>
  </si>
  <si>
    <t>CGAGGCTG</t>
  </si>
  <si>
    <t>N711</t>
  </si>
  <si>
    <t>N712</t>
  </si>
  <si>
    <t>GTAGAGGA</t>
  </si>
  <si>
    <t>N714</t>
  </si>
  <si>
    <t>GCTCATGA</t>
  </si>
  <si>
    <t>N715</t>
  </si>
  <si>
    <t>ATCTCAGG</t>
  </si>
  <si>
    <t>M725</t>
  </si>
  <si>
    <t>methylation</t>
  </si>
  <si>
    <t>M726</t>
  </si>
  <si>
    <t>M727</t>
  </si>
  <si>
    <t>M728</t>
  </si>
  <si>
    <t>M729</t>
  </si>
  <si>
    <t>M730</t>
  </si>
  <si>
    <t>M731</t>
  </si>
  <si>
    <t>M732</t>
  </si>
  <si>
    <t>M733</t>
  </si>
  <si>
    <t>M734</t>
  </si>
  <si>
    <t>M735</t>
  </si>
  <si>
    <t>M736</t>
  </si>
  <si>
    <t>M737</t>
  </si>
  <si>
    <t>M738</t>
  </si>
  <si>
    <t>M739</t>
  </si>
  <si>
    <t>TGCATAGT</t>
  </si>
  <si>
    <t>M740</t>
  </si>
  <si>
    <t>M741</t>
  </si>
  <si>
    <t>M742</t>
  </si>
  <si>
    <t>M743</t>
  </si>
  <si>
    <t>M744</t>
  </si>
  <si>
    <t>M745</t>
  </si>
  <si>
    <t>M746</t>
  </si>
  <si>
    <t>M747</t>
  </si>
  <si>
    <t>M748</t>
  </si>
  <si>
    <t>TACTTCGG</t>
  </si>
  <si>
    <t>M749</t>
  </si>
  <si>
    <t>M750</t>
  </si>
  <si>
    <t>M751</t>
  </si>
  <si>
    <t>M752</t>
  </si>
  <si>
    <t>M753</t>
  </si>
  <si>
    <t>M754</t>
  </si>
  <si>
    <t>M755</t>
  </si>
  <si>
    <t>M756</t>
  </si>
  <si>
    <t>GACACTTA</t>
  </si>
  <si>
    <t>M757</t>
  </si>
  <si>
    <t>GCTATGGA</t>
  </si>
  <si>
    <t>M758</t>
  </si>
  <si>
    <t>M759</t>
  </si>
  <si>
    <t>GGCAAGCA</t>
  </si>
  <si>
    <t>M760</t>
  </si>
  <si>
    <t>GAACGACA</t>
  </si>
  <si>
    <t>M761</t>
  </si>
  <si>
    <t>GCGTCGAA</t>
  </si>
  <si>
    <t>M762</t>
  </si>
  <si>
    <t>AAGGCGAT</t>
  </si>
  <si>
    <t>M763</t>
  </si>
  <si>
    <t>CAGGCATT</t>
  </si>
  <si>
    <t>M764</t>
  </si>
  <si>
    <t>AACTGTAT</t>
  </si>
  <si>
    <t>M765</t>
  </si>
  <si>
    <t>ATGCTTGA</t>
  </si>
  <si>
    <t>M766</t>
  </si>
  <si>
    <t>AGTATCTG</t>
  </si>
  <si>
    <t>M767</t>
  </si>
  <si>
    <t>ATGTAATG</t>
  </si>
  <si>
    <t>M768</t>
  </si>
  <si>
    <t>ACACATGT</t>
  </si>
  <si>
    <t>M769</t>
  </si>
  <si>
    <t>ATAGCACG</t>
  </si>
  <si>
    <t>M770</t>
  </si>
  <si>
    <t>ATATTGTA</t>
  </si>
  <si>
    <t>M771</t>
  </si>
  <si>
    <t>CAATTGAT</t>
  </si>
  <si>
    <t>M772</t>
  </si>
  <si>
    <t>CACGTCGT</t>
  </si>
  <si>
    <t>M773</t>
  </si>
  <si>
    <t>AGTCTGTA</t>
  </si>
  <si>
    <t>M774</t>
  </si>
  <si>
    <t>M775</t>
  </si>
  <si>
    <t>CGCTTCCT</t>
  </si>
  <si>
    <t>M776</t>
  </si>
  <si>
    <t>CAAGACCT</t>
  </si>
  <si>
    <t>M777</t>
  </si>
  <si>
    <t>CCTAGTAT</t>
  </si>
  <si>
    <t>M778</t>
  </si>
  <si>
    <t>CCACCGAT</t>
  </si>
  <si>
    <t>M779</t>
  </si>
  <si>
    <t>CTATCATG</t>
  </si>
  <si>
    <t>M780</t>
  </si>
  <si>
    <t>CATGAATG</t>
  </si>
  <si>
    <t>M781</t>
  </si>
  <si>
    <t>CTGTACGG</t>
  </si>
  <si>
    <t>M782</t>
  </si>
  <si>
    <t>CACTCGAG</t>
  </si>
  <si>
    <t>M783</t>
  </si>
  <si>
    <t>CCGACAAG</t>
  </si>
  <si>
    <t>M784</t>
  </si>
  <si>
    <t>CTTGCTTC</t>
  </si>
  <si>
    <t>M785</t>
  </si>
  <si>
    <t>M786</t>
  </si>
  <si>
    <t>M787</t>
  </si>
  <si>
    <t>M788</t>
  </si>
  <si>
    <t>M789</t>
  </si>
  <si>
    <t>M790</t>
  </si>
  <si>
    <t>M791</t>
  </si>
  <si>
    <t>M792</t>
  </si>
  <si>
    <t>M793</t>
  </si>
  <si>
    <t>TTGACTCT</t>
  </si>
  <si>
    <t>M794</t>
  </si>
  <si>
    <t>M795</t>
  </si>
  <si>
    <t>CACCCAAA</t>
  </si>
  <si>
    <t>M796</t>
  </si>
  <si>
    <t>CTTCACAT</t>
  </si>
  <si>
    <t>M525</t>
  </si>
  <si>
    <t>ACGACGTG</t>
  </si>
  <si>
    <t>M526</t>
  </si>
  <si>
    <t>ATCAATTG</t>
  </si>
  <si>
    <t>M527</t>
  </si>
  <si>
    <t>TACAATAT</t>
  </si>
  <si>
    <t>M528</t>
  </si>
  <si>
    <t>CGTGCTAT</t>
  </si>
  <si>
    <t>M529</t>
  </si>
  <si>
    <t>ACATGTGT</t>
  </si>
  <si>
    <t>M530</t>
  </si>
  <si>
    <t>CATTACAT</t>
  </si>
  <si>
    <t>M531</t>
  </si>
  <si>
    <t>CAGATACT</t>
  </si>
  <si>
    <t>M532</t>
  </si>
  <si>
    <t>TCAAGCAT</t>
  </si>
  <si>
    <t>M533</t>
  </si>
  <si>
    <t>ATACAGTT</t>
  </si>
  <si>
    <t>M534</t>
  </si>
  <si>
    <t>AATGCCTG</t>
  </si>
  <si>
    <t>M535</t>
  </si>
  <si>
    <t>ATCGCCTT</t>
  </si>
  <si>
    <t>M536</t>
  </si>
  <si>
    <t>TTCGACGC</t>
  </si>
  <si>
    <t>M537</t>
  </si>
  <si>
    <t>TGTCGTTC</t>
  </si>
  <si>
    <t>M538</t>
  </si>
  <si>
    <t>TGCTTGCC</t>
  </si>
  <si>
    <t>M539</t>
  </si>
  <si>
    <t>M540</t>
  </si>
  <si>
    <t>TCCATAGC</t>
  </si>
  <si>
    <t>M541</t>
  </si>
  <si>
    <t>TAAGTGTC</t>
  </si>
  <si>
    <t>M542</t>
  </si>
  <si>
    <t>GTCCAACC</t>
  </si>
  <si>
    <t>M543</t>
  </si>
  <si>
    <t>GAATCTGA</t>
  </si>
  <si>
    <t>M544</t>
  </si>
  <si>
    <t>CTGGCATA</t>
  </si>
  <si>
    <t>M545</t>
  </si>
  <si>
    <t>CTGAGCCA</t>
  </si>
  <si>
    <t>M546</t>
  </si>
  <si>
    <t>CTCAATGA</t>
  </si>
  <si>
    <t>M547</t>
  </si>
  <si>
    <t>CGCATACA</t>
  </si>
  <si>
    <t>M548</t>
  </si>
  <si>
    <t>CGACTGGA</t>
  </si>
  <si>
    <t>M549</t>
  </si>
  <si>
    <t>CCGAAGTA</t>
  </si>
  <si>
    <t>M550</t>
  </si>
  <si>
    <t>CCAGTTCA</t>
  </si>
  <si>
    <t>M551</t>
  </si>
  <si>
    <t>CATACCAA</t>
  </si>
  <si>
    <t>M552</t>
  </si>
  <si>
    <t>CAGCGTTA</t>
  </si>
  <si>
    <t>M553</t>
  </si>
  <si>
    <t>CAATGGAA</t>
  </si>
  <si>
    <t>M554</t>
  </si>
  <si>
    <t>CAACCACA</t>
  </si>
  <si>
    <t>M555</t>
  </si>
  <si>
    <t>ATCCTGTA</t>
  </si>
  <si>
    <t>M556</t>
  </si>
  <si>
    <t>AGCAGGAA</t>
  </si>
  <si>
    <t>M557</t>
  </si>
  <si>
    <t>AGATCGCA</t>
  </si>
  <si>
    <t>M558</t>
  </si>
  <si>
    <t>ACTATGCA</t>
  </si>
  <si>
    <t>M559</t>
  </si>
  <si>
    <t>ACGTATCA</t>
  </si>
  <si>
    <t>M560</t>
  </si>
  <si>
    <t>ACGCTCGA</t>
  </si>
  <si>
    <t>M561</t>
  </si>
  <si>
    <t>ACCTCCAA</t>
  </si>
  <si>
    <t>M562</t>
  </si>
  <si>
    <t>ACAGCAGA</t>
  </si>
  <si>
    <t>M563</t>
  </si>
  <si>
    <t>AAGGTACA</t>
  </si>
  <si>
    <t>M564</t>
  </si>
  <si>
    <t>AACAACCA</t>
  </si>
  <si>
    <t>M565</t>
  </si>
  <si>
    <t>ACAAGCTA</t>
  </si>
  <si>
    <t>M566</t>
  </si>
  <si>
    <t>CATCAAGT</t>
  </si>
  <si>
    <t>M567</t>
  </si>
  <si>
    <t>M568</t>
  </si>
  <si>
    <t>ACATTGGC</t>
  </si>
  <si>
    <t>M569</t>
  </si>
  <si>
    <t>ACCACTGT</t>
  </si>
  <si>
    <t>M570</t>
  </si>
  <si>
    <t>ATGCCTAA</t>
  </si>
  <si>
    <t>M571</t>
  </si>
  <si>
    <t>AAACATCG</t>
  </si>
  <si>
    <t>M572</t>
  </si>
  <si>
    <t>M573</t>
  </si>
  <si>
    <t>M574</t>
  </si>
  <si>
    <t>M575</t>
  </si>
  <si>
    <t>M576</t>
  </si>
  <si>
    <t>M577</t>
  </si>
  <si>
    <t>M578</t>
  </si>
  <si>
    <t>M579</t>
  </si>
  <si>
    <t>M580</t>
  </si>
  <si>
    <t>GGAAGGAT</t>
  </si>
  <si>
    <t>M581</t>
  </si>
  <si>
    <t>M582</t>
  </si>
  <si>
    <t>M583</t>
  </si>
  <si>
    <t>M584</t>
  </si>
  <si>
    <t>M585</t>
  </si>
  <si>
    <t>M586</t>
  </si>
  <si>
    <t>M587</t>
  </si>
  <si>
    <t>M588</t>
  </si>
  <si>
    <t>M589</t>
  </si>
  <si>
    <t>M590</t>
  </si>
  <si>
    <t>M591</t>
  </si>
  <si>
    <t>M592</t>
  </si>
  <si>
    <t>M593</t>
  </si>
  <si>
    <t>M594</t>
  </si>
  <si>
    <t>CCTATGGT</t>
  </si>
  <si>
    <t>M595</t>
  </si>
  <si>
    <t>M596</t>
  </si>
  <si>
    <t>ZA701</t>
  </si>
  <si>
    <t>ACCTGGAT</t>
  </si>
  <si>
    <t>Mồi anh Luân + Mộng Quỳnh</t>
  </si>
  <si>
    <t>ZA702</t>
  </si>
  <si>
    <t>ZA703</t>
  </si>
  <si>
    <t>TGAATCCG</t>
  </si>
  <si>
    <t>ZA704</t>
  </si>
  <si>
    <t>CATGATGC</t>
  </si>
  <si>
    <t>ZA705</t>
  </si>
  <si>
    <t>AATGTCCT</t>
  </si>
  <si>
    <t>ZA706</t>
  </si>
  <si>
    <t>ATAGGCTC</t>
  </si>
  <si>
    <t>ZA707</t>
  </si>
  <si>
    <t>TTGCGGAG</t>
  </si>
  <si>
    <t>ZA708</t>
  </si>
  <si>
    <t>GCCTTCCA</t>
  </si>
  <si>
    <t>ZA709</t>
  </si>
  <si>
    <t>GTCAGTCT</t>
  </si>
  <si>
    <t>ZA710</t>
  </si>
  <si>
    <t>CTCAAGTG</t>
  </si>
  <si>
    <t>ZA711</t>
  </si>
  <si>
    <t>AGTCGTCA</t>
  </si>
  <si>
    <t>ZA712</t>
  </si>
  <si>
    <t>TCCTATGG</t>
  </si>
  <si>
    <t>ZA501</t>
  </si>
  <si>
    <t>GTCTAGAA</t>
  </si>
  <si>
    <t>ZA502</t>
  </si>
  <si>
    <t>AAGATCGG</t>
  </si>
  <si>
    <t>ZA503</t>
  </si>
  <si>
    <t>GGATCTTA</t>
  </si>
  <si>
    <t>ZA504</t>
  </si>
  <si>
    <t>AATGACCT</t>
  </si>
  <si>
    <t>ZA505</t>
  </si>
  <si>
    <t>TGACACAC</t>
  </si>
  <si>
    <t>ZA506</t>
  </si>
  <si>
    <t>CAGAGTTA</t>
  </si>
  <si>
    <t>ZA507</t>
  </si>
  <si>
    <t>CATTAGTG</t>
  </si>
  <si>
    <t>ZA508</t>
  </si>
  <si>
    <t>ACCTGTGG</t>
  </si>
  <si>
    <t>S701</t>
  </si>
  <si>
    <t xml:space="preserve">CAACACAG </t>
  </si>
  <si>
    <t>Bộ mồi UID S1</t>
  </si>
  <si>
    <t>S702</t>
  </si>
  <si>
    <t xml:space="preserve">ACACCTCA </t>
  </si>
  <si>
    <t>S703</t>
  </si>
  <si>
    <t xml:space="preserve">ACCATAGG </t>
  </si>
  <si>
    <t>S704</t>
  </si>
  <si>
    <t xml:space="preserve">CAGGTAAG </t>
  </si>
  <si>
    <t>S705</t>
  </si>
  <si>
    <t xml:space="preserve">AACGCACA </t>
  </si>
  <si>
    <t>S706</t>
  </si>
  <si>
    <t xml:space="preserve">TAGTCTCG </t>
  </si>
  <si>
    <t>S707</t>
  </si>
  <si>
    <t xml:space="preserve">CAGTCACA </t>
  </si>
  <si>
    <t>S708</t>
  </si>
  <si>
    <t xml:space="preserve">CCAACACT </t>
  </si>
  <si>
    <t>S709</t>
  </si>
  <si>
    <t xml:space="preserve">ACATGCCA </t>
  </si>
  <si>
    <t>S710</t>
  </si>
  <si>
    <t xml:space="preserve">ATTCCGCT </t>
  </si>
  <si>
    <t>S711</t>
  </si>
  <si>
    <t xml:space="preserve">CAAGGTAC </t>
  </si>
  <si>
    <t>S712</t>
  </si>
  <si>
    <t xml:space="preserve">CCATGAAC </t>
  </si>
  <si>
    <t>S713</t>
  </si>
  <si>
    <t xml:space="preserve">TCAGCCTT </t>
  </si>
  <si>
    <t>S714</t>
  </si>
  <si>
    <t xml:space="preserve">CAGTGCTT </t>
  </si>
  <si>
    <t>S715</t>
  </si>
  <si>
    <t xml:space="preserve">CTCGAACA </t>
  </si>
  <si>
    <t>S716</t>
  </si>
  <si>
    <t xml:space="preserve">ACAGTTCG </t>
  </si>
  <si>
    <t>S717</t>
  </si>
  <si>
    <t xml:space="preserve">ATCCTTCC </t>
  </si>
  <si>
    <t>S718</t>
  </si>
  <si>
    <t xml:space="preserve">CGAAGTCA </t>
  </si>
  <si>
    <t>S719</t>
  </si>
  <si>
    <t xml:space="preserve">CTCTATCG </t>
  </si>
  <si>
    <t>S720</t>
  </si>
  <si>
    <t xml:space="preserve">ACTCTCCA </t>
  </si>
  <si>
    <t>S721</t>
  </si>
  <si>
    <t xml:space="preserve">TCCTCATG </t>
  </si>
  <si>
    <t>S722</t>
  </si>
  <si>
    <t xml:space="preserve">AACAACCG </t>
  </si>
  <si>
    <t>S723</t>
  </si>
  <si>
    <t xml:space="preserve">CTCGTTCT </t>
  </si>
  <si>
    <t>S724</t>
  </si>
  <si>
    <t xml:space="preserve">TCAGTAGG </t>
  </si>
  <si>
    <t>S725</t>
  </si>
  <si>
    <t xml:space="preserve">GCTTCACA </t>
  </si>
  <si>
    <t>Bộ mồi UID S2</t>
  </si>
  <si>
    <t>S726</t>
  </si>
  <si>
    <t xml:space="preserve">CGATGTTT </t>
  </si>
  <si>
    <t>S727</t>
  </si>
  <si>
    <t xml:space="preserve">TTAGGCAT </t>
  </si>
  <si>
    <t>S728</t>
  </si>
  <si>
    <t xml:space="preserve">ACAGTGGT </t>
  </si>
  <si>
    <t>S729</t>
  </si>
  <si>
    <t xml:space="preserve">GCCAATGT </t>
  </si>
  <si>
    <t>S730</t>
  </si>
  <si>
    <t xml:space="preserve">CAGATCTG </t>
  </si>
  <si>
    <t>S731</t>
  </si>
  <si>
    <t>S732</t>
  </si>
  <si>
    <t>S733</t>
  </si>
  <si>
    <t>S734</t>
  </si>
  <si>
    <t>S735</t>
  </si>
  <si>
    <t>S736</t>
  </si>
  <si>
    <t>S737</t>
  </si>
  <si>
    <t>S738</t>
  </si>
  <si>
    <t>S739</t>
  </si>
  <si>
    <t>S740</t>
  </si>
  <si>
    <t>S741</t>
  </si>
  <si>
    <t>S742</t>
  </si>
  <si>
    <t>S743</t>
  </si>
  <si>
    <t>S744</t>
  </si>
  <si>
    <t>S745</t>
  </si>
  <si>
    <t>S746</t>
  </si>
  <si>
    <t>S747</t>
  </si>
  <si>
    <t>S748</t>
  </si>
  <si>
    <t>S749</t>
  </si>
  <si>
    <t>Bộ mồi UID S3</t>
  </si>
  <si>
    <t>S750</t>
  </si>
  <si>
    <t>S751</t>
  </si>
  <si>
    <t>S752</t>
  </si>
  <si>
    <t>S753</t>
  </si>
  <si>
    <t>S754</t>
  </si>
  <si>
    <t>S755</t>
  </si>
  <si>
    <t>S756</t>
  </si>
  <si>
    <t>S757</t>
  </si>
  <si>
    <t>S758</t>
  </si>
  <si>
    <t>S759</t>
  </si>
  <si>
    <t>S760</t>
  </si>
  <si>
    <t>S761</t>
  </si>
  <si>
    <t>S762</t>
  </si>
  <si>
    <t>S763</t>
  </si>
  <si>
    <t>S764</t>
  </si>
  <si>
    <t>S765</t>
  </si>
  <si>
    <t xml:space="preserve">ATGCTTGA </t>
  </si>
  <si>
    <t>S766</t>
  </si>
  <si>
    <t>S767</t>
  </si>
  <si>
    <t>S768</t>
  </si>
  <si>
    <t>S769</t>
  </si>
  <si>
    <t>S770</t>
  </si>
  <si>
    <t>S771</t>
  </si>
  <si>
    <t>S772</t>
  </si>
  <si>
    <t>S773</t>
  </si>
  <si>
    <t>Bộ mồi UID S4</t>
  </si>
  <si>
    <t>S774</t>
  </si>
  <si>
    <t>S775</t>
  </si>
  <si>
    <t>S776</t>
  </si>
  <si>
    <t>S777</t>
  </si>
  <si>
    <t>S778</t>
  </si>
  <si>
    <t>S779</t>
  </si>
  <si>
    <t>S780</t>
  </si>
  <si>
    <t>S781</t>
  </si>
  <si>
    <t>S782</t>
  </si>
  <si>
    <t>S783</t>
  </si>
  <si>
    <t>S784</t>
  </si>
  <si>
    <t>S785</t>
  </si>
  <si>
    <t>S786</t>
  </si>
  <si>
    <t>S787</t>
  </si>
  <si>
    <t>S788</t>
  </si>
  <si>
    <t>S789</t>
  </si>
  <si>
    <t>S790</t>
  </si>
  <si>
    <t>S791</t>
  </si>
  <si>
    <t>S792</t>
  </si>
  <si>
    <t>S793</t>
  </si>
  <si>
    <t>S794</t>
  </si>
  <si>
    <t>S795</t>
  </si>
  <si>
    <t>S796</t>
  </si>
  <si>
    <t>S500</t>
  </si>
  <si>
    <t>Bộ mồi UID S1 --&gt; S4</t>
  </si>
  <si>
    <t>AC701</t>
  </si>
  <si>
    <t>Bộ mồi Amplicon CDI - MRD</t>
  </si>
  <si>
    <t>AC702</t>
  </si>
  <si>
    <t>AC703</t>
  </si>
  <si>
    <t>AC704</t>
  </si>
  <si>
    <t>AC705</t>
  </si>
  <si>
    <t>AC706</t>
  </si>
  <si>
    <t>AC707</t>
  </si>
  <si>
    <t>AC708</t>
  </si>
  <si>
    <t>AC709</t>
  </si>
  <si>
    <t>AC710</t>
  </si>
  <si>
    <t>AC711</t>
  </si>
  <si>
    <t>AC712</t>
  </si>
  <si>
    <t>AC713</t>
  </si>
  <si>
    <t>AC714</t>
  </si>
  <si>
    <t>AC715</t>
  </si>
  <si>
    <t>AC716</t>
  </si>
  <si>
    <t>AC717</t>
  </si>
  <si>
    <t>AC718</t>
  </si>
  <si>
    <t>AC719</t>
  </si>
  <si>
    <t>AC720</t>
  </si>
  <si>
    <t>AC721</t>
  </si>
  <si>
    <t>AC722</t>
  </si>
  <si>
    <t>AC723</t>
  </si>
  <si>
    <t>AC724</t>
  </si>
  <si>
    <t>AC725</t>
  </si>
  <si>
    <t>AC726</t>
  </si>
  <si>
    <t>AC727</t>
  </si>
  <si>
    <t>AC728</t>
  </si>
  <si>
    <t>AC729</t>
  </si>
  <si>
    <t>AC730</t>
  </si>
  <si>
    <t>AC731</t>
  </si>
  <si>
    <t>AC732</t>
  </si>
  <si>
    <t>AC733</t>
  </si>
  <si>
    <t>AC734</t>
  </si>
  <si>
    <t>AC735</t>
  </si>
  <si>
    <t>AC736</t>
  </si>
  <si>
    <t>AC737</t>
  </si>
  <si>
    <t>AC738</t>
  </si>
  <si>
    <t>AC739</t>
  </si>
  <si>
    <t>AC740</t>
  </si>
  <si>
    <t>AC741</t>
  </si>
  <si>
    <t>AC742</t>
  </si>
  <si>
    <t>AC743</t>
  </si>
  <si>
    <t>AC744</t>
  </si>
  <si>
    <t>AC745</t>
  </si>
  <si>
    <t>AC746</t>
  </si>
  <si>
    <t>AC747</t>
  </si>
  <si>
    <t>AC748</t>
  </si>
  <si>
    <t>AC749</t>
  </si>
  <si>
    <t>AC750</t>
  </si>
  <si>
    <t>AC751</t>
  </si>
  <si>
    <t>AC752</t>
  </si>
  <si>
    <t>AC753</t>
  </si>
  <si>
    <t>AC754</t>
  </si>
  <si>
    <t>AC755</t>
  </si>
  <si>
    <t>AC756</t>
  </si>
  <si>
    <t>AC757</t>
  </si>
  <si>
    <t>AC758</t>
  </si>
  <si>
    <t>AC759</t>
  </si>
  <si>
    <t>AC760</t>
  </si>
  <si>
    <t>AC761</t>
  </si>
  <si>
    <t>AC762</t>
  </si>
  <si>
    <t>AC763</t>
  </si>
  <si>
    <t>AC764</t>
  </si>
  <si>
    <t>AC765</t>
  </si>
  <si>
    <t>AC766</t>
  </si>
  <si>
    <t>AC767</t>
  </si>
  <si>
    <t>AC768</t>
  </si>
  <si>
    <t>AC769</t>
  </si>
  <si>
    <t>AC770</t>
  </si>
  <si>
    <t>AC771</t>
  </si>
  <si>
    <t>AC772</t>
  </si>
  <si>
    <t>AC773</t>
  </si>
  <si>
    <t>AC774</t>
  </si>
  <si>
    <t>AC775</t>
  </si>
  <si>
    <t>AC776</t>
  </si>
  <si>
    <t>AC777</t>
  </si>
  <si>
    <t>AC778</t>
  </si>
  <si>
    <t>AC779</t>
  </si>
  <si>
    <t>AC780</t>
  </si>
  <si>
    <t>AC781</t>
  </si>
  <si>
    <t>AC782</t>
  </si>
  <si>
    <t>AC783</t>
  </si>
  <si>
    <t>AC784</t>
  </si>
  <si>
    <t>AC785</t>
  </si>
  <si>
    <t>AC786</t>
  </si>
  <si>
    <t>AC787</t>
  </si>
  <si>
    <t>AC788</t>
  </si>
  <si>
    <t>AC789</t>
  </si>
  <si>
    <t>AC790</t>
  </si>
  <si>
    <t>AC791</t>
  </si>
  <si>
    <t>AC792</t>
  </si>
  <si>
    <t>AC793</t>
  </si>
  <si>
    <t>AC794</t>
  </si>
  <si>
    <t>AC795</t>
  </si>
  <si>
    <t>AC796</t>
  </si>
  <si>
    <t>AC501</t>
  </si>
  <si>
    <t>AC502</t>
  </si>
  <si>
    <t>AC503</t>
  </si>
  <si>
    <t>AC504</t>
  </si>
  <si>
    <t>AC505</t>
  </si>
  <si>
    <t>AC506</t>
  </si>
  <si>
    <t>AC507</t>
  </si>
  <si>
    <t>AC508</t>
  </si>
  <si>
    <t>AC509</t>
  </si>
  <si>
    <t>AC510</t>
  </si>
  <si>
    <t>AC511</t>
  </si>
  <si>
    <t>AC512</t>
  </si>
  <si>
    <t>AC513</t>
  </si>
  <si>
    <t>AC514</t>
  </si>
  <si>
    <t>AC515</t>
  </si>
  <si>
    <t>AC516</t>
  </si>
  <si>
    <t>AC517</t>
  </si>
  <si>
    <t>AC518</t>
  </si>
  <si>
    <t>AC519</t>
  </si>
  <si>
    <t>AC520</t>
  </si>
  <si>
    <t>AC521</t>
  </si>
  <si>
    <t>AC522</t>
  </si>
  <si>
    <t>AC523</t>
  </si>
  <si>
    <t>AC524</t>
  </si>
  <si>
    <t>AC525</t>
  </si>
  <si>
    <t>AC526</t>
  </si>
  <si>
    <t>AC527</t>
  </si>
  <si>
    <t>AC528</t>
  </si>
  <si>
    <t>AC529</t>
  </si>
  <si>
    <t>AC530</t>
  </si>
  <si>
    <t>AC531</t>
  </si>
  <si>
    <t>AC532</t>
  </si>
  <si>
    <t>AC533</t>
  </si>
  <si>
    <t>AC534</t>
  </si>
  <si>
    <t>AC535</t>
  </si>
  <si>
    <t>AC536</t>
  </si>
  <si>
    <t>AC537</t>
  </si>
  <si>
    <t>AC538</t>
  </si>
  <si>
    <t>AC539</t>
  </si>
  <si>
    <t>AC540</t>
  </si>
  <si>
    <t>AC541</t>
  </si>
  <si>
    <t>AC542</t>
  </si>
  <si>
    <t>AC543</t>
  </si>
  <si>
    <t>AC544</t>
  </si>
  <si>
    <t>AC545</t>
  </si>
  <si>
    <t>AC546</t>
  </si>
  <si>
    <t>AC547</t>
  </si>
  <si>
    <t>AC548</t>
  </si>
  <si>
    <t>AC549</t>
  </si>
  <si>
    <t>AC550</t>
  </si>
  <si>
    <t>AC551</t>
  </si>
  <si>
    <t>AC552</t>
  </si>
  <si>
    <t>AC553</t>
  </si>
  <si>
    <t>AC554</t>
  </si>
  <si>
    <t>AC555</t>
  </si>
  <si>
    <t>AC556</t>
  </si>
  <si>
    <t>AC557</t>
  </si>
  <si>
    <t>AC558</t>
  </si>
  <si>
    <t>AC559</t>
  </si>
  <si>
    <t>AC560</t>
  </si>
  <si>
    <t>AC561</t>
  </si>
  <si>
    <t>AC562</t>
  </si>
  <si>
    <t>AC563</t>
  </si>
  <si>
    <t>AC564</t>
  </si>
  <si>
    <t>AC565</t>
  </si>
  <si>
    <t>AC566</t>
  </si>
  <si>
    <t>AC567</t>
  </si>
  <si>
    <t>AC568</t>
  </si>
  <si>
    <t>AC569</t>
  </si>
  <si>
    <t>AC570</t>
  </si>
  <si>
    <t>AC571</t>
  </si>
  <si>
    <t>AC572</t>
  </si>
  <si>
    <t>AC573</t>
  </si>
  <si>
    <t>AC574</t>
  </si>
  <si>
    <t>AC575</t>
  </si>
  <si>
    <t>AC576</t>
  </si>
  <si>
    <t>AC577</t>
  </si>
  <si>
    <t>AC578</t>
  </si>
  <si>
    <t>AC579</t>
  </si>
  <si>
    <t>AC580</t>
  </si>
  <si>
    <t>AC581</t>
  </si>
  <si>
    <t>AC582</t>
  </si>
  <si>
    <t>AC583</t>
  </si>
  <si>
    <t>AC584</t>
  </si>
  <si>
    <t>AC585</t>
  </si>
  <si>
    <t>AC586</t>
  </si>
  <si>
    <t>AC587</t>
  </si>
  <si>
    <t>AC588</t>
  </si>
  <si>
    <t>AC589</t>
  </si>
  <si>
    <t>AC590</t>
  </si>
  <si>
    <t>AC591</t>
  </si>
  <si>
    <t>AC592</t>
  </si>
  <si>
    <t>AC593</t>
  </si>
  <si>
    <t>AC594</t>
  </si>
  <si>
    <t>AC595</t>
  </si>
  <si>
    <t>AC596</t>
  </si>
  <si>
    <t>U749</t>
  </si>
  <si>
    <t>ATATCTCG</t>
  </si>
  <si>
    <t>Bộ mồi TAKARA</t>
  </si>
  <si>
    <t>U750</t>
  </si>
  <si>
    <t>GCGCTCTA</t>
  </si>
  <si>
    <t>U751</t>
  </si>
  <si>
    <t>AACAGGTT</t>
  </si>
  <si>
    <t>U752</t>
  </si>
  <si>
    <t>GGTGAACC</t>
  </si>
  <si>
    <t>U753</t>
  </si>
  <si>
    <t>CAACAATG</t>
  </si>
  <si>
    <t>U754</t>
  </si>
  <si>
    <t>TGGTGGCA</t>
  </si>
  <si>
    <t>U755</t>
  </si>
  <si>
    <t>AGGCAGAG</t>
  </si>
  <si>
    <t>U756</t>
  </si>
  <si>
    <t>GAATGAGA</t>
  </si>
  <si>
    <t>U757</t>
  </si>
  <si>
    <t>U758</t>
  </si>
  <si>
    <t>CATAATAC</t>
  </si>
  <si>
    <t>U759</t>
  </si>
  <si>
    <t>GATCTATC</t>
  </si>
  <si>
    <t>U760</t>
  </si>
  <si>
    <t>AGCTCGCT</t>
  </si>
  <si>
    <t>U761</t>
  </si>
  <si>
    <t>CGGAACTG</t>
  </si>
  <si>
    <t>U762</t>
  </si>
  <si>
    <t>TAAGGTCA</t>
  </si>
  <si>
    <t>U763</t>
  </si>
  <si>
    <t>TTGCCTAG</t>
  </si>
  <si>
    <t>U764</t>
  </si>
  <si>
    <t>CCATTCGA</t>
  </si>
  <si>
    <t>U765</t>
  </si>
  <si>
    <t>ACACTAAG</t>
  </si>
  <si>
    <t>U766</t>
  </si>
  <si>
    <t>GTGTCGGA</t>
  </si>
  <si>
    <t>U767</t>
  </si>
  <si>
    <t>TTCCTGTT</t>
  </si>
  <si>
    <t>U768</t>
  </si>
  <si>
    <t>CCTTCACC</t>
  </si>
  <si>
    <t>U769</t>
  </si>
  <si>
    <t>GCCACAGG</t>
  </si>
  <si>
    <t>U770</t>
  </si>
  <si>
    <t>ATTGTGAA</t>
  </si>
  <si>
    <t>U771</t>
  </si>
  <si>
    <t>ACTCGTGT</t>
  </si>
  <si>
    <t>U772</t>
  </si>
  <si>
    <t>GTCTACAC</t>
  </si>
  <si>
    <t>U773</t>
  </si>
  <si>
    <t>U774</t>
  </si>
  <si>
    <t>U775</t>
  </si>
  <si>
    <t>U776</t>
  </si>
  <si>
    <t>U777</t>
  </si>
  <si>
    <t>U778</t>
  </si>
  <si>
    <t>U779</t>
  </si>
  <si>
    <t>U780</t>
  </si>
  <si>
    <t>U781</t>
  </si>
  <si>
    <t>U782</t>
  </si>
  <si>
    <t>U783</t>
  </si>
  <si>
    <t>U784</t>
  </si>
  <si>
    <t>U785</t>
  </si>
  <si>
    <t>U786</t>
  </si>
  <si>
    <t>U787</t>
  </si>
  <si>
    <t>U788</t>
  </si>
  <si>
    <t>U789</t>
  </si>
  <si>
    <t>U790</t>
  </si>
  <si>
    <t>U791</t>
  </si>
  <si>
    <t>U792</t>
  </si>
  <si>
    <t>U793</t>
  </si>
  <si>
    <t>U794</t>
  </si>
  <si>
    <t>U795</t>
  </si>
  <si>
    <t>U796</t>
  </si>
  <si>
    <t>U549</t>
  </si>
  <si>
    <t>U550</t>
  </si>
  <si>
    <t>U551</t>
  </si>
  <si>
    <t>U552</t>
  </si>
  <si>
    <t>U553</t>
  </si>
  <si>
    <t>U554</t>
  </si>
  <si>
    <t>U555</t>
  </si>
  <si>
    <t>U556</t>
  </si>
  <si>
    <t>U557</t>
  </si>
  <si>
    <t>U558</t>
  </si>
  <si>
    <t>U559</t>
  </si>
  <si>
    <t>U560</t>
  </si>
  <si>
    <t>U561</t>
  </si>
  <si>
    <t>U562</t>
  </si>
  <si>
    <t>U563</t>
  </si>
  <si>
    <t>U564</t>
  </si>
  <si>
    <t>U565</t>
  </si>
  <si>
    <t>U566</t>
  </si>
  <si>
    <t>U567</t>
  </si>
  <si>
    <t>U568</t>
  </si>
  <si>
    <t>U569</t>
  </si>
  <si>
    <t>U570</t>
  </si>
  <si>
    <t>U571</t>
  </si>
  <si>
    <t>U572</t>
  </si>
  <si>
    <t>U573</t>
  </si>
  <si>
    <t>U574</t>
  </si>
  <si>
    <t>U575</t>
  </si>
  <si>
    <t>U576</t>
  </si>
  <si>
    <t>U577</t>
  </si>
  <si>
    <t>U578</t>
  </si>
  <si>
    <t>U579</t>
  </si>
  <si>
    <t>U580</t>
  </si>
  <si>
    <t>U581</t>
  </si>
  <si>
    <t>U582</t>
  </si>
  <si>
    <t>U583</t>
  </si>
  <si>
    <t>U584</t>
  </si>
  <si>
    <t>U585</t>
  </si>
  <si>
    <t>U586</t>
  </si>
  <si>
    <t>U587</t>
  </si>
  <si>
    <t>U588</t>
  </si>
  <si>
    <t>U589</t>
  </si>
  <si>
    <t>U590</t>
  </si>
  <si>
    <t>U591</t>
  </si>
  <si>
    <t>U592</t>
  </si>
  <si>
    <t>U593</t>
  </si>
  <si>
    <t>U594</t>
  </si>
  <si>
    <t>U595</t>
  </si>
  <si>
    <t>U596</t>
  </si>
  <si>
    <t>S71153</t>
  </si>
  <si>
    <t>AGTTTCGA</t>
  </si>
  <si>
    <t>Set 13</t>
  </si>
  <si>
    <t>S71154</t>
  </si>
  <si>
    <t>GAACCTCT</t>
  </si>
  <si>
    <t>S71155</t>
  </si>
  <si>
    <t>GCCCAGTG</t>
  </si>
  <si>
    <t>S71156</t>
  </si>
  <si>
    <t>TGACAGCT</t>
  </si>
  <si>
    <t>S71157</t>
  </si>
  <si>
    <t>CATCACCC</t>
  </si>
  <si>
    <t>S71158</t>
  </si>
  <si>
    <t>S71159</t>
  </si>
  <si>
    <t>GATCCGGG</t>
  </si>
  <si>
    <t>S71160</t>
  </si>
  <si>
    <t>AACACCTG</t>
  </si>
  <si>
    <t>S71161</t>
  </si>
  <si>
    <t>GTGACGTT</t>
  </si>
  <si>
    <t>S71162</t>
  </si>
  <si>
    <t>ACAGGAAA</t>
  </si>
  <si>
    <t>S71163</t>
  </si>
  <si>
    <t>GTGCTCTG</t>
  </si>
  <si>
    <t>S71164</t>
  </si>
  <si>
    <t>GTACCTGG</t>
  </si>
  <si>
    <t>S71165</t>
  </si>
  <si>
    <t>AGCGCAAA</t>
  </si>
  <si>
    <t>S71166</t>
  </si>
  <si>
    <t>AACGCCCT</t>
  </si>
  <si>
    <t>S71167</t>
  </si>
  <si>
    <t>GCGTACGG</t>
  </si>
  <si>
    <t>S71168</t>
  </si>
  <si>
    <t>GCCAGATT</t>
  </si>
  <si>
    <t>S71169</t>
  </si>
  <si>
    <t>ATAGCAGA</t>
  </si>
  <si>
    <t>S71170</t>
  </si>
  <si>
    <t>GAGATGAT</t>
  </si>
  <si>
    <t>S71171</t>
  </si>
  <si>
    <t>GCCCGTCT</t>
  </si>
  <si>
    <t>S71172</t>
  </si>
  <si>
    <t>TTCGCCTG</t>
  </si>
  <si>
    <t>S71173</t>
  </si>
  <si>
    <t>CTAGCTCC</t>
  </si>
  <si>
    <t>S71174</t>
  </si>
  <si>
    <t>TATGCCGG</t>
  </si>
  <si>
    <t>S71175</t>
  </si>
  <si>
    <t>AATGTTGG</t>
  </si>
  <si>
    <t>S71176</t>
  </si>
  <si>
    <t>ATCGGATA</t>
  </si>
  <si>
    <t>S71177</t>
  </si>
  <si>
    <t>ATAGTGAC</t>
  </si>
  <si>
    <t>S71178</t>
  </si>
  <si>
    <t>GCTCCCTG</t>
  </si>
  <si>
    <t>S71179</t>
  </si>
  <si>
    <t>AGTCAATT</t>
  </si>
  <si>
    <t>S71180</t>
  </si>
  <si>
    <t>AATACGCT</t>
  </si>
  <si>
    <t>S71181</t>
  </si>
  <si>
    <t>AACTTCGT</t>
  </si>
  <si>
    <t>S71182</t>
  </si>
  <si>
    <t>GAACTGCC</t>
  </si>
  <si>
    <t>S71183</t>
  </si>
  <si>
    <t>AGCATTGT</t>
  </si>
  <si>
    <t>S71184</t>
  </si>
  <si>
    <t>GACCAGGA</t>
  </si>
  <si>
    <t>S71185</t>
  </si>
  <si>
    <t>ACAGCATT</t>
  </si>
  <si>
    <t>S71186</t>
  </si>
  <si>
    <t>GTTCTGCA</t>
  </si>
  <si>
    <t>S71187</t>
  </si>
  <si>
    <t>CTGTCCGG</t>
  </si>
  <si>
    <t>S71188</t>
  </si>
  <si>
    <t>GTCAAGCG</t>
  </si>
  <si>
    <t>S71189</t>
  </si>
  <si>
    <t>TTCGCTCA</t>
  </si>
  <si>
    <t>S71190</t>
  </si>
  <si>
    <t>TCTTAGTT</t>
  </si>
  <si>
    <t>S71191</t>
  </si>
  <si>
    <t>ACCACTCG</t>
  </si>
  <si>
    <t>S71192</t>
  </si>
  <si>
    <t>AGAACGAT</t>
  </si>
  <si>
    <t>S71193</t>
  </si>
  <si>
    <t>ATCCCGTA</t>
  </si>
  <si>
    <t>S71194</t>
  </si>
  <si>
    <t>GCTGGACG</t>
  </si>
  <si>
    <t>S71195</t>
  </si>
  <si>
    <t>TGATTGAT</t>
  </si>
  <si>
    <t>S71196</t>
  </si>
  <si>
    <t>CCCAAATG</t>
  </si>
  <si>
    <t>S71197</t>
  </si>
  <si>
    <t>ATTCGCAT</t>
  </si>
  <si>
    <t>S71198</t>
  </si>
  <si>
    <t>CGTCAAGA</t>
  </si>
  <si>
    <t>S71199</t>
  </si>
  <si>
    <t>CTTCGACC</t>
  </si>
  <si>
    <t>S71200</t>
  </si>
  <si>
    <t>CAGACGAC</t>
  </si>
  <si>
    <t>S71201</t>
  </si>
  <si>
    <t>ATCGTAGG</t>
  </si>
  <si>
    <t>S71202</t>
  </si>
  <si>
    <t>GCGCAGAC</t>
  </si>
  <si>
    <t>S71203</t>
  </si>
  <si>
    <t>AATTGCGG</t>
  </si>
  <si>
    <t>S71204</t>
  </si>
  <si>
    <t>CCTACGGG</t>
  </si>
  <si>
    <t>S71205</t>
  </si>
  <si>
    <t>TGCTATAT</t>
  </si>
  <si>
    <t>S71206</t>
  </si>
  <si>
    <t>AACCGAAC</t>
  </si>
  <si>
    <t>S71207</t>
  </si>
  <si>
    <t>ACCTGCTT</t>
  </si>
  <si>
    <t>S71208</t>
  </si>
  <si>
    <t>CCCATGCG</t>
  </si>
  <si>
    <t>S71209</t>
  </si>
  <si>
    <t>ATCTGGGA</t>
  </si>
  <si>
    <t>S71210</t>
  </si>
  <si>
    <t>TAGACAAT</t>
  </si>
  <si>
    <t>S71211</t>
  </si>
  <si>
    <t>TTCTTCCT</t>
  </si>
  <si>
    <t>S71212</t>
  </si>
  <si>
    <t>CACCTAAA</t>
  </si>
  <si>
    <t>S71213</t>
  </si>
  <si>
    <t>GTACTCGC</t>
  </si>
  <si>
    <t>S71214</t>
  </si>
  <si>
    <t>TAACCAGT</t>
  </si>
  <si>
    <t>S71215</t>
  </si>
  <si>
    <t>CGGAAACT</t>
  </si>
  <si>
    <t>S71216</t>
  </si>
  <si>
    <t>GCTGAGAA</t>
  </si>
  <si>
    <t>S71217</t>
  </si>
  <si>
    <t>ATGTCTTA</t>
  </si>
  <si>
    <t>S71218</t>
  </si>
  <si>
    <t>TCACGCCT</t>
  </si>
  <si>
    <t>S71219</t>
  </si>
  <si>
    <t>GCAACAGC</t>
  </si>
  <si>
    <t>S71220</t>
  </si>
  <si>
    <t>S71221</t>
  </si>
  <si>
    <t>CCTTGTGA</t>
  </si>
  <si>
    <t>S71222</t>
  </si>
  <si>
    <t>CTCACCAT</t>
  </si>
  <si>
    <t>S71223</t>
  </si>
  <si>
    <t>CAAATTCT</t>
  </si>
  <si>
    <t>S71224</t>
  </si>
  <si>
    <t>CTCCTCAC</t>
  </si>
  <si>
    <t>S71225</t>
  </si>
  <si>
    <t>ATGTGCAA</t>
  </si>
  <si>
    <t>S71226</t>
  </si>
  <si>
    <t>GCAAATGT</t>
  </si>
  <si>
    <t>S71227</t>
  </si>
  <si>
    <t>ACGCATGG</t>
  </si>
  <si>
    <t>S71228</t>
  </si>
  <si>
    <t>ACACCACC</t>
  </si>
  <si>
    <t>S71229</t>
  </si>
  <si>
    <t>CACGCTGA</t>
  </si>
  <si>
    <t>S71230</t>
  </si>
  <si>
    <t>TCCCAGCC</t>
  </si>
  <si>
    <t>S71231</t>
  </si>
  <si>
    <t>CTATTCGT</t>
  </si>
  <si>
    <t>S71232</t>
  </si>
  <si>
    <t>GAGCCATT</t>
  </si>
  <si>
    <t>S71233</t>
  </si>
  <si>
    <t>ATTAATCG</t>
  </si>
  <si>
    <t>S71234</t>
  </si>
  <si>
    <t>GAAGGAGC</t>
  </si>
  <si>
    <t>S71235</t>
  </si>
  <si>
    <t>GATTACAA</t>
  </si>
  <si>
    <t>S71236</t>
  </si>
  <si>
    <t>ATTTGAAG</t>
  </si>
  <si>
    <t>S71237</t>
  </si>
  <si>
    <t>ACTTGCCA</t>
  </si>
  <si>
    <t>S71238</t>
  </si>
  <si>
    <t>AGGAATTG</t>
  </si>
  <si>
    <t>S71239</t>
  </si>
  <si>
    <t>CTATTACA</t>
  </si>
  <si>
    <t>S71240</t>
  </si>
  <si>
    <t>TAGGGACC</t>
  </si>
  <si>
    <t>S71241</t>
  </si>
  <si>
    <t>AGAAGACC</t>
  </si>
  <si>
    <t>S71242</t>
  </si>
  <si>
    <t>CGTAACAG</t>
  </si>
  <si>
    <t>S71243</t>
  </si>
  <si>
    <t>ACCCATAA</t>
  </si>
  <si>
    <t>S71244</t>
  </si>
  <si>
    <t>CACCATTG</t>
  </si>
  <si>
    <t>S71245</t>
  </si>
  <si>
    <t>TTAGCTAT</t>
  </si>
  <si>
    <t>S71246</t>
  </si>
  <si>
    <t>AACAACCC</t>
  </si>
  <si>
    <t>S71247</t>
  </si>
  <si>
    <t>GTTACTGT</t>
  </si>
  <si>
    <t>S71248</t>
  </si>
  <si>
    <t>CCGAGCAC</t>
  </si>
  <si>
    <t>S51153</t>
  </si>
  <si>
    <t>CCTACGAT</t>
  </si>
  <si>
    <t>S51154</t>
  </si>
  <si>
    <t>GTCTGCGC</t>
  </si>
  <si>
    <t>S51155</t>
  </si>
  <si>
    <t>CCGCAATT</t>
  </si>
  <si>
    <t>S51156</t>
  </si>
  <si>
    <t>CCCGTAGG</t>
  </si>
  <si>
    <t>S51157</t>
  </si>
  <si>
    <t>ATATAGCA</t>
  </si>
  <si>
    <t>S51158</t>
  </si>
  <si>
    <t>GTTCGGTT</t>
  </si>
  <si>
    <t>S51159</t>
  </si>
  <si>
    <t>AAGCAGGT</t>
  </si>
  <si>
    <t>S51160</t>
  </si>
  <si>
    <t>CGCATGGG</t>
  </si>
  <si>
    <t>S51161</t>
  </si>
  <si>
    <t>TCCCAGAT</t>
  </si>
  <si>
    <t>S51162</t>
  </si>
  <si>
    <t>ATTGTCTA</t>
  </si>
  <si>
    <t>S51163</t>
  </si>
  <si>
    <t>AGGAAGAA</t>
  </si>
  <si>
    <t>S51164</t>
  </si>
  <si>
    <t>TTTAGGTG</t>
  </si>
  <si>
    <t>S51165</t>
  </si>
  <si>
    <t>GCGAGTAC</t>
  </si>
  <si>
    <t>S51166</t>
  </si>
  <si>
    <t>ACTGGTTA</t>
  </si>
  <si>
    <t>S51167</t>
  </si>
  <si>
    <t>AGTTTCCG</t>
  </si>
  <si>
    <t>S51168</t>
  </si>
  <si>
    <t>TTCTCAGC</t>
  </si>
  <si>
    <t>S51169</t>
  </si>
  <si>
    <t>TAAGACAT</t>
  </si>
  <si>
    <t>S51170</t>
  </si>
  <si>
    <t>AGGCGTGA</t>
  </si>
  <si>
    <t>S51171</t>
  </si>
  <si>
    <t>GCTGTTGC</t>
  </si>
  <si>
    <t>S51172</t>
  </si>
  <si>
    <t>S51173</t>
  </si>
  <si>
    <t>TCACAAGG</t>
  </si>
  <si>
    <t>S51174</t>
  </si>
  <si>
    <t>ATGGTGAG</t>
  </si>
  <si>
    <t>S51175</t>
  </si>
  <si>
    <t>AGAATTTG</t>
  </si>
  <si>
    <t>S51176</t>
  </si>
  <si>
    <t>GTGAGGAG</t>
  </si>
  <si>
    <t>S51177</t>
  </si>
  <si>
    <t>TTGCACAT</t>
  </si>
  <si>
    <t>S51178</t>
  </si>
  <si>
    <t>ACATTTGC</t>
  </si>
  <si>
    <t>S51179</t>
  </si>
  <si>
    <t>CCATGCGT</t>
  </si>
  <si>
    <t>S51180</t>
  </si>
  <si>
    <t>GGTGGTGT</t>
  </si>
  <si>
    <t>S51181</t>
  </si>
  <si>
    <t>TCAGCGTG</t>
  </si>
  <si>
    <t>S51182</t>
  </si>
  <si>
    <t>GGCTGGGA</t>
  </si>
  <si>
    <t>S51183</t>
  </si>
  <si>
    <t>ACGAATAG</t>
  </si>
  <si>
    <t>S51184</t>
  </si>
  <si>
    <t>AATGGCTC</t>
  </si>
  <si>
    <t>S51185</t>
  </si>
  <si>
    <t>CGATTAAT</t>
  </si>
  <si>
    <t>S51186</t>
  </si>
  <si>
    <t>GCTCCTTC</t>
  </si>
  <si>
    <t>S51187</t>
  </si>
  <si>
    <t>TTGTAATC</t>
  </si>
  <si>
    <t>S51188</t>
  </si>
  <si>
    <t>CTTCAAAT</t>
  </si>
  <si>
    <t>S51189</t>
  </si>
  <si>
    <t>TGGCAAGT</t>
  </si>
  <si>
    <t>S51190</t>
  </si>
  <si>
    <t>CAATTCCT</t>
  </si>
  <si>
    <t>S51191</t>
  </si>
  <si>
    <t>TGTAATAG</t>
  </si>
  <si>
    <t>S51192</t>
  </si>
  <si>
    <t>GGTCCCTA</t>
  </si>
  <si>
    <t>S51193</t>
  </si>
  <si>
    <t>GGTCTTCT</t>
  </si>
  <si>
    <t>S51194</t>
  </si>
  <si>
    <t>CTGTTACG</t>
  </si>
  <si>
    <t>S51195</t>
  </si>
  <si>
    <t>TTATGGGT</t>
  </si>
  <si>
    <t>S51196</t>
  </si>
  <si>
    <t>CAATGGTG</t>
  </si>
  <si>
    <t>S51197</t>
  </si>
  <si>
    <t>ATAGCTAA</t>
  </si>
  <si>
    <t>S51198</t>
  </si>
  <si>
    <t>GGGTTGTT</t>
  </si>
  <si>
    <t>S51199</t>
  </si>
  <si>
    <t>ACAGTAAC</t>
  </si>
  <si>
    <t>S51200</t>
  </si>
  <si>
    <t>GTGCTCGG</t>
  </si>
  <si>
    <t>S51201</t>
  </si>
  <si>
    <t>TCGAAACT</t>
  </si>
  <si>
    <t>S51202</t>
  </si>
  <si>
    <t>AGAGGTTC</t>
  </si>
  <si>
    <t>S51203</t>
  </si>
  <si>
    <t>CACTGGGC</t>
  </si>
  <si>
    <t>S51204</t>
  </si>
  <si>
    <t>AGCTGTCA</t>
  </si>
  <si>
    <t>S51205</t>
  </si>
  <si>
    <t>GGGTGATG</t>
  </si>
  <si>
    <t>S51206</t>
  </si>
  <si>
    <t>S51207</t>
  </si>
  <si>
    <t>CCCGGATC</t>
  </si>
  <si>
    <t>S51208</t>
  </si>
  <si>
    <t>CAGGTGTT</t>
  </si>
  <si>
    <t>S51209</t>
  </si>
  <si>
    <t>AACGTCAC</t>
  </si>
  <si>
    <t>S51210</t>
  </si>
  <si>
    <t>TTTCCTGT</t>
  </si>
  <si>
    <t>S51211</t>
  </si>
  <si>
    <t>CAGAGCAC</t>
  </si>
  <si>
    <t>S51212</t>
  </si>
  <si>
    <t>CCAGGTAC</t>
  </si>
  <si>
    <t>S51213</t>
  </si>
  <si>
    <t>TTTGCGCT</t>
  </si>
  <si>
    <t>S51214</t>
  </si>
  <si>
    <t>AGGGCGTT</t>
  </si>
  <si>
    <t>S51215</t>
  </si>
  <si>
    <t>CCGTACGC</t>
  </si>
  <si>
    <t>S51216</t>
  </si>
  <si>
    <t>AATCTGGC</t>
  </si>
  <si>
    <t>S51217</t>
  </si>
  <si>
    <t>TCTGCTAT</t>
  </si>
  <si>
    <t>S51218</t>
  </si>
  <si>
    <t>ATCATCTC</t>
  </si>
  <si>
    <t>S51219</t>
  </si>
  <si>
    <t>AGACGGGC</t>
  </si>
  <si>
    <t>S51220</t>
  </si>
  <si>
    <t>CAGGCGAA</t>
  </si>
  <si>
    <t>S51221</t>
  </si>
  <si>
    <t>GGAGCTAG</t>
  </si>
  <si>
    <t>S51222</t>
  </si>
  <si>
    <t>CCGGCATA</t>
  </si>
  <si>
    <t>S51223</t>
  </si>
  <si>
    <t>CCAACATT</t>
  </si>
  <si>
    <t>S51224</t>
  </si>
  <si>
    <t>TATCCGAT</t>
  </si>
  <si>
    <t>S51225</t>
  </si>
  <si>
    <t>GTCACTAT</t>
  </si>
  <si>
    <t>S51226</t>
  </si>
  <si>
    <t>CAGGGAGC</t>
  </si>
  <si>
    <t>S51227</t>
  </si>
  <si>
    <t>AATTGACT</t>
  </si>
  <si>
    <t>S51228</t>
  </si>
  <si>
    <t>AGCGTATT</t>
  </si>
  <si>
    <t>S51229</t>
  </si>
  <si>
    <t>ACGAAGTT</t>
  </si>
  <si>
    <t>S51230</t>
  </si>
  <si>
    <t>GGCAGTTC</t>
  </si>
  <si>
    <t>S51231</t>
  </si>
  <si>
    <t>ACAATGCT</t>
  </si>
  <si>
    <t>S51232</t>
  </si>
  <si>
    <t>TCCTGGTC</t>
  </si>
  <si>
    <t>S51233</t>
  </si>
  <si>
    <t>AATGCTGT</t>
  </si>
  <si>
    <t>S51234</t>
  </si>
  <si>
    <t>TGCAGAAC</t>
  </si>
  <si>
    <t>S51235</t>
  </si>
  <si>
    <t>CCGGACAG</t>
  </si>
  <si>
    <t>S51236</t>
  </si>
  <si>
    <t>CGCTTGAC</t>
  </si>
  <si>
    <t>S51237</t>
  </si>
  <si>
    <t>TGAGCGAA</t>
  </si>
  <si>
    <t>S51238</t>
  </si>
  <si>
    <t>AACTAAGA</t>
  </si>
  <si>
    <t>S51239</t>
  </si>
  <si>
    <t>CGAGTGGT</t>
  </si>
  <si>
    <t>S51240</t>
  </si>
  <si>
    <t>ATCGTTCT</t>
  </si>
  <si>
    <t>S51241</t>
  </si>
  <si>
    <t>TACGGGAT</t>
  </si>
  <si>
    <t>S51242</t>
  </si>
  <si>
    <t>CGTCCAGC</t>
  </si>
  <si>
    <t>S51243</t>
  </si>
  <si>
    <t>ATCAATCA</t>
  </si>
  <si>
    <t>S51244</t>
  </si>
  <si>
    <t>CATTTGGG</t>
  </si>
  <si>
    <t>S51245</t>
  </si>
  <si>
    <t>ATGCGAAT</t>
  </si>
  <si>
    <t>S51246</t>
  </si>
  <si>
    <t>TCTTGACG</t>
  </si>
  <si>
    <t>S51247</t>
  </si>
  <si>
    <t>GGTCGAAG</t>
  </si>
  <si>
    <t>S51248</t>
  </si>
  <si>
    <t>GTCGTCTG</t>
  </si>
  <si>
    <t>TA701</t>
  </si>
  <si>
    <t>TATCTTCA</t>
  </si>
  <si>
    <t>Twist</t>
  </si>
  <si>
    <t>TB701</t>
  </si>
  <si>
    <t>TGCACGGA</t>
  </si>
  <si>
    <t>TC701</t>
  </si>
  <si>
    <t>GGTTGATA</t>
  </si>
  <si>
    <t>TD701</t>
  </si>
  <si>
    <t>ACTCCTGC</t>
  </si>
  <si>
    <t>TE701</t>
  </si>
  <si>
    <t>CCGATAGT</t>
  </si>
  <si>
    <t>TF701</t>
  </si>
  <si>
    <t>CAAGATCG</t>
  </si>
  <si>
    <t>TG701</t>
  </si>
  <si>
    <t>AGGCTCCT</t>
  </si>
  <si>
    <t>TH701</t>
  </si>
  <si>
    <t>ATACGGAT</t>
  </si>
  <si>
    <t>TA702</t>
  </si>
  <si>
    <t>AATAGCCT</t>
  </si>
  <si>
    <t>TB702</t>
  </si>
  <si>
    <t>CTGCAATC</t>
  </si>
  <si>
    <t>TC702</t>
  </si>
  <si>
    <t>CCTGAGTT</t>
  </si>
  <si>
    <t>TD702</t>
  </si>
  <si>
    <t>GACGTCCA</t>
  </si>
  <si>
    <t>TE702</t>
  </si>
  <si>
    <t>GAATAATC</t>
  </si>
  <si>
    <t>TF702</t>
  </si>
  <si>
    <t>CGGAGTGT</t>
  </si>
  <si>
    <t>TG702</t>
  </si>
  <si>
    <t>TH702</t>
  </si>
  <si>
    <t>AGTGTTCG</t>
  </si>
  <si>
    <t>TA703</t>
  </si>
  <si>
    <t>CTACGTTC</t>
  </si>
  <si>
    <t>TB703</t>
  </si>
  <si>
    <t>TCGACACG</t>
  </si>
  <si>
    <t>TC703</t>
  </si>
  <si>
    <t>CCGATAAC</t>
  </si>
  <si>
    <t>TD703</t>
  </si>
  <si>
    <t>TTGGACAT</t>
  </si>
  <si>
    <t>TE703</t>
  </si>
  <si>
    <t>AACGTTGA</t>
  </si>
  <si>
    <t>TF703</t>
  </si>
  <si>
    <t>GGCCAGTG</t>
  </si>
  <si>
    <t>TG703</t>
  </si>
  <si>
    <t>ATGTCTCC</t>
  </si>
  <si>
    <t>TH703</t>
  </si>
  <si>
    <t>GAAGGCGT</t>
  </si>
  <si>
    <t>TA704</t>
  </si>
  <si>
    <t>TGTTCCTA</t>
  </si>
  <si>
    <t>TB704</t>
  </si>
  <si>
    <t>CTCTCGAG</t>
  </si>
  <si>
    <t>TC704</t>
  </si>
  <si>
    <t>TD704</t>
  </si>
  <si>
    <t>CTTATGGC</t>
  </si>
  <si>
    <t>TE704</t>
  </si>
  <si>
    <t>TCCGCATA</t>
  </si>
  <si>
    <t>TF704</t>
  </si>
  <si>
    <t>GCAAGCAC</t>
  </si>
  <si>
    <t>TG704</t>
  </si>
  <si>
    <t>GCCTGTCC</t>
  </si>
  <si>
    <t>TH704</t>
  </si>
  <si>
    <t>ACTGTCTA</t>
  </si>
  <si>
    <t>TA705</t>
  </si>
  <si>
    <t>CGTCCATG</t>
  </si>
  <si>
    <t>TB705</t>
  </si>
  <si>
    <t>CTAACTGC</t>
  </si>
  <si>
    <t>TC705</t>
  </si>
  <si>
    <t>TGCTTGTG</t>
  </si>
  <si>
    <t>TD705</t>
  </si>
  <si>
    <t>TGTAAGCA</t>
  </si>
  <si>
    <t>TE705</t>
  </si>
  <si>
    <t>CTCGTTGC</t>
  </si>
  <si>
    <t>TF705</t>
  </si>
  <si>
    <t>GCTAGAGG</t>
  </si>
  <si>
    <t>TG705</t>
  </si>
  <si>
    <t>AAGCGGAG</t>
  </si>
  <si>
    <t>TH705</t>
  </si>
  <si>
    <t>TA706</t>
  </si>
  <si>
    <t>TTGGTACG</t>
  </si>
  <si>
    <t>TB706</t>
  </si>
  <si>
    <t>TGAAGGTG</t>
  </si>
  <si>
    <t>TC706</t>
  </si>
  <si>
    <t>GTAGTGGC</t>
  </si>
  <si>
    <t>TD706</t>
  </si>
  <si>
    <t>TE706</t>
  </si>
  <si>
    <t>AAGGCCAT</t>
  </si>
  <si>
    <t>TF706</t>
  </si>
  <si>
    <t>TTCATAGA</t>
  </si>
  <si>
    <t>TG706</t>
  </si>
  <si>
    <t>CCAACTCC</t>
  </si>
  <si>
    <t>TH706</t>
  </si>
  <si>
    <t>CACGAGTA</t>
  </si>
  <si>
    <t>TA707</t>
  </si>
  <si>
    <t>CCGCTACC</t>
  </si>
  <si>
    <t>TB707</t>
  </si>
  <si>
    <t>CTGAACCT</t>
  </si>
  <si>
    <t>TC707</t>
  </si>
  <si>
    <t>GGCCTTGT</t>
  </si>
  <si>
    <t>TD707</t>
  </si>
  <si>
    <t>TTAACGCA</t>
  </si>
  <si>
    <t>TE707</t>
  </si>
  <si>
    <t>AGGTAGTG</t>
  </si>
  <si>
    <t>TF707</t>
  </si>
  <si>
    <t>CGTGTAAC</t>
  </si>
  <si>
    <t>TG707</t>
  </si>
  <si>
    <t>ACTTGTGA</t>
  </si>
  <si>
    <t>TH707</t>
  </si>
  <si>
    <t>TA708</t>
  </si>
  <si>
    <t>TB708</t>
  </si>
  <si>
    <t>ACATACGT</t>
  </si>
  <si>
    <t>TC708</t>
  </si>
  <si>
    <t>CTTGATAT</t>
  </si>
  <si>
    <t>TD708</t>
  </si>
  <si>
    <t>CAGCCGAT</t>
  </si>
  <si>
    <t>TE708</t>
  </si>
  <si>
    <t>TCATGCGC</t>
  </si>
  <si>
    <t>TF708</t>
  </si>
  <si>
    <t>ACTCCGTC</t>
  </si>
  <si>
    <t>TG708</t>
  </si>
  <si>
    <t>GACAGCCT</t>
  </si>
  <si>
    <t>TH708</t>
  </si>
  <si>
    <t>CGGTTATC</t>
  </si>
  <si>
    <t>TA709</t>
  </si>
  <si>
    <t>TACTCCAC</t>
  </si>
  <si>
    <t>TB709</t>
  </si>
  <si>
    <t>ACTTCCGG</t>
  </si>
  <si>
    <t>TC709</t>
  </si>
  <si>
    <t>GTGAAGCT</t>
  </si>
  <si>
    <t>TD709</t>
  </si>
  <si>
    <t>TTGCTCTT</t>
  </si>
  <si>
    <t>TE709</t>
  </si>
  <si>
    <t>AACGCACG</t>
  </si>
  <si>
    <t>TF709</t>
  </si>
  <si>
    <t>TTACTGCA</t>
  </si>
  <si>
    <t>TG709</t>
  </si>
  <si>
    <t>TH709</t>
  </si>
  <si>
    <t>TA710</t>
  </si>
  <si>
    <t>ACTAGTGC</t>
  </si>
  <si>
    <t>TB710</t>
  </si>
  <si>
    <t>CGTGGAAC</t>
  </si>
  <si>
    <t>TC710</t>
  </si>
  <si>
    <t>ATGGAAGT</t>
  </si>
  <si>
    <t>TD710</t>
  </si>
  <si>
    <t>TGAGATCA</t>
  </si>
  <si>
    <t>TE710</t>
  </si>
  <si>
    <t>GTCCTTGG</t>
  </si>
  <si>
    <t>TF710</t>
  </si>
  <si>
    <t>GAGCGTGG</t>
  </si>
  <si>
    <t>TG710</t>
  </si>
  <si>
    <t>CACACGCT</t>
  </si>
  <si>
    <t>TH710</t>
  </si>
  <si>
    <t>TGGTTGTA</t>
  </si>
  <si>
    <t>TA711</t>
  </si>
  <si>
    <t>ATCACTCA</t>
  </si>
  <si>
    <t>TB711</t>
  </si>
  <si>
    <t>CGGAGGTA</t>
  </si>
  <si>
    <t>TC711</t>
  </si>
  <si>
    <t>GAGTTGAC</t>
  </si>
  <si>
    <t>TD711</t>
  </si>
  <si>
    <t>GCCGAACT</t>
  </si>
  <si>
    <t>TE711</t>
  </si>
  <si>
    <t>AGGCCTCA</t>
  </si>
  <si>
    <t>TF711</t>
  </si>
  <si>
    <t>TCTCTGTT</t>
  </si>
  <si>
    <t>TG711</t>
  </si>
  <si>
    <t>TCCGACGA</t>
  </si>
  <si>
    <t>TH711</t>
  </si>
  <si>
    <t>AGGCTATG</t>
  </si>
  <si>
    <t>TA712</t>
  </si>
  <si>
    <t>CGTTCTCT</t>
  </si>
  <si>
    <t>TB712</t>
  </si>
  <si>
    <t>TTGTCTAT</t>
  </si>
  <si>
    <t>TC712</t>
  </si>
  <si>
    <t>GATGGATA</t>
  </si>
  <si>
    <t>TD712</t>
  </si>
  <si>
    <t>CACTTAGG</t>
  </si>
  <si>
    <t>TE712</t>
  </si>
  <si>
    <t>ACACTGGC</t>
  </si>
  <si>
    <t>TF712</t>
  </si>
  <si>
    <t>ATCGCCAC</t>
  </si>
  <si>
    <t>TG712</t>
  </si>
  <si>
    <t>CTGACGTG</t>
  </si>
  <si>
    <t>TH712</t>
  </si>
  <si>
    <t>TCAATCGT</t>
  </si>
  <si>
    <t>TA501</t>
  </si>
  <si>
    <t>CCAATATT</t>
  </si>
  <si>
    <t>TB501</t>
  </si>
  <si>
    <t>CGCAGACA</t>
  </si>
  <si>
    <t>TC501</t>
  </si>
  <si>
    <t>TCGGAGCA</t>
  </si>
  <si>
    <t>TD501</t>
  </si>
  <si>
    <t>GAGTCCGT</t>
  </si>
  <si>
    <t>TE501</t>
  </si>
  <si>
    <t>ATGTTCAC</t>
  </si>
  <si>
    <t>TF501</t>
  </si>
  <si>
    <t>TTCGATGG</t>
  </si>
  <si>
    <t>TG501</t>
  </si>
  <si>
    <t>TATCCGTG</t>
  </si>
  <si>
    <t>TH501</t>
  </si>
  <si>
    <t>AAGCGCAG</t>
  </si>
  <si>
    <t>TA502</t>
  </si>
  <si>
    <t>CCGACTTA</t>
  </si>
  <si>
    <t>TB502</t>
  </si>
  <si>
    <t>TTCTGCAT</t>
  </si>
  <si>
    <t>TC502</t>
  </si>
  <si>
    <t>GGAAGTGC</t>
  </si>
  <si>
    <t>TD502</t>
  </si>
  <si>
    <t>AGATTCAA</t>
  </si>
  <si>
    <t>TE502</t>
  </si>
  <si>
    <t>TF502</t>
  </si>
  <si>
    <t>AAGGCGTC</t>
  </si>
  <si>
    <t>TG502</t>
  </si>
  <si>
    <t>ACGCTTGA</t>
  </si>
  <si>
    <t>TH502</t>
  </si>
  <si>
    <t>CATGAAGT</t>
  </si>
  <si>
    <t>TA503</t>
  </si>
  <si>
    <t>TTACGACC</t>
  </si>
  <si>
    <t>TB503</t>
  </si>
  <si>
    <t>ATGCAAGC</t>
  </si>
  <si>
    <t>TC503</t>
  </si>
  <si>
    <t>CTCCGTAT</t>
  </si>
  <si>
    <t>TD503</t>
  </si>
  <si>
    <t>GAATCTGG</t>
  </si>
  <si>
    <t>TE503</t>
  </si>
  <si>
    <t>CGGTCGGT</t>
  </si>
  <si>
    <t>TF503</t>
  </si>
  <si>
    <t>TCTGCTAA</t>
  </si>
  <si>
    <t>TG503</t>
  </si>
  <si>
    <t>CTCTTATT</t>
  </si>
  <si>
    <t>TH503</t>
  </si>
  <si>
    <t>CACCTCTA</t>
  </si>
  <si>
    <t>TA504</t>
  </si>
  <si>
    <t>TTACTTAC</t>
  </si>
  <si>
    <t>TB504</t>
  </si>
  <si>
    <t>TC504</t>
  </si>
  <si>
    <t>GGAAGGTA</t>
  </si>
  <si>
    <t>TD504</t>
  </si>
  <si>
    <t>GAGGAGAC</t>
  </si>
  <si>
    <t>TE504</t>
  </si>
  <si>
    <t>ACGCAAGG</t>
  </si>
  <si>
    <t>TF504</t>
  </si>
  <si>
    <t>TATCCTGA</t>
  </si>
  <si>
    <t>TG504</t>
  </si>
  <si>
    <t>GAAGACCG</t>
  </si>
  <si>
    <t>TH504</t>
  </si>
  <si>
    <t>CAACGTGG</t>
  </si>
  <si>
    <t>TA505</t>
  </si>
  <si>
    <t>TAAGTGCT</t>
  </si>
  <si>
    <t>TB505</t>
  </si>
  <si>
    <t>CACATCGT</t>
  </si>
  <si>
    <t>TC505</t>
  </si>
  <si>
    <t>ACTACCGA</t>
  </si>
  <si>
    <t>TD505</t>
  </si>
  <si>
    <t>GATGTGTT</t>
  </si>
  <si>
    <t>TE505</t>
  </si>
  <si>
    <t>AAGTGTCG</t>
  </si>
  <si>
    <t>TF505</t>
  </si>
  <si>
    <t>GGAGAACC</t>
  </si>
  <si>
    <t>TG505</t>
  </si>
  <si>
    <t>TGTACGAA</t>
  </si>
  <si>
    <t>TH505</t>
  </si>
  <si>
    <t>GGATGAGT</t>
  </si>
  <si>
    <t>TA506</t>
  </si>
  <si>
    <t>TAGTAGGA</t>
  </si>
  <si>
    <t>TB506</t>
  </si>
  <si>
    <t>ACGCCTCG</t>
  </si>
  <si>
    <t>TC506</t>
  </si>
  <si>
    <t>CACCGCTG</t>
  </si>
  <si>
    <t>TD506</t>
  </si>
  <si>
    <t>TCTATAGC</t>
  </si>
  <si>
    <t>TE506</t>
  </si>
  <si>
    <t>CCGATGGA</t>
  </si>
  <si>
    <t>TF506</t>
  </si>
  <si>
    <t>TTCAACAT</t>
  </si>
  <si>
    <t>TG506</t>
  </si>
  <si>
    <t>GGAGTAAC</t>
  </si>
  <si>
    <t>TH506</t>
  </si>
  <si>
    <t>AGCCTTAG</t>
  </si>
  <si>
    <t>TA507</t>
  </si>
  <si>
    <t>TTACCTCA</t>
  </si>
  <si>
    <t>TB507</t>
  </si>
  <si>
    <t>TC507</t>
  </si>
  <si>
    <t>GTGTTCCA</t>
  </si>
  <si>
    <t>TD507</t>
  </si>
  <si>
    <t>TE507</t>
  </si>
  <si>
    <t>GGAGGCTG</t>
  </si>
  <si>
    <t>TF507</t>
  </si>
  <si>
    <t>AACGTGAC</t>
  </si>
  <si>
    <t>TG507</t>
  </si>
  <si>
    <t>CACAAGCT</t>
  </si>
  <si>
    <t>TH507</t>
  </si>
  <si>
    <t>CCGTGTTG</t>
  </si>
  <si>
    <t>TA508</t>
  </si>
  <si>
    <t>TTGAGCCA</t>
  </si>
  <si>
    <t>TB508</t>
  </si>
  <si>
    <t>GCGTTACA</t>
  </si>
  <si>
    <t>TC508</t>
  </si>
  <si>
    <t>TCCAGACA</t>
  </si>
  <si>
    <t>TD508</t>
  </si>
  <si>
    <t>TCGAACTC</t>
  </si>
  <si>
    <t>TE508</t>
  </si>
  <si>
    <t>TF508</t>
  </si>
  <si>
    <t>AGACGCCA</t>
  </si>
  <si>
    <t>TG508</t>
  </si>
  <si>
    <t>TH508</t>
  </si>
  <si>
    <t>TTATGCGT</t>
  </si>
  <si>
    <t>TA509</t>
  </si>
  <si>
    <t>CTATGAGA</t>
  </si>
  <si>
    <t>TB509</t>
  </si>
  <si>
    <t>AAGTTACA</t>
  </si>
  <si>
    <t>TC509</t>
  </si>
  <si>
    <t>GCAATGTG</t>
  </si>
  <si>
    <t>TD509</t>
  </si>
  <si>
    <t>CGAAGTCG</t>
  </si>
  <si>
    <t>TE509</t>
  </si>
  <si>
    <t>CCTGATTC</t>
  </si>
  <si>
    <t>TF509</t>
  </si>
  <si>
    <t>TAGAACGT</t>
  </si>
  <si>
    <t>TG509</t>
  </si>
  <si>
    <t>TTCGCAAG</t>
  </si>
  <si>
    <t>TH509</t>
  </si>
  <si>
    <t>TTAATGCC</t>
  </si>
  <si>
    <t>TA510</t>
  </si>
  <si>
    <t>AGAACAGA</t>
  </si>
  <si>
    <t>TB510</t>
  </si>
  <si>
    <t>CCATCTGT</t>
  </si>
  <si>
    <t>TC510</t>
  </si>
  <si>
    <t>TTCGTAGG</t>
  </si>
  <si>
    <t>TD510</t>
  </si>
  <si>
    <t>GCACGGTA</t>
  </si>
  <si>
    <t>TE510</t>
  </si>
  <si>
    <t>TGTCAAGA</t>
  </si>
  <si>
    <t>TF510</t>
  </si>
  <si>
    <t>TCTAAGGT</t>
  </si>
  <si>
    <t>TG510</t>
  </si>
  <si>
    <t>GAACGGAG</t>
  </si>
  <si>
    <t>TH510</t>
  </si>
  <si>
    <t>CGCTACCA</t>
  </si>
  <si>
    <t>TA511</t>
  </si>
  <si>
    <t>TTACGGTA</t>
  </si>
  <si>
    <t>TB511</t>
  </si>
  <si>
    <t>TTCAGATG</t>
  </si>
  <si>
    <t>TC511</t>
  </si>
  <si>
    <t>TAGCATCT</t>
  </si>
  <si>
    <t>TD511</t>
  </si>
  <si>
    <t>GGACGAGA</t>
  </si>
  <si>
    <t>TE511</t>
  </si>
  <si>
    <t>AGGTTCTG</t>
  </si>
  <si>
    <t>TF511</t>
  </si>
  <si>
    <t>TG511</t>
  </si>
  <si>
    <t>CCGGATAC</t>
  </si>
  <si>
    <t>TH511</t>
  </si>
  <si>
    <t>ATGTCCAC</t>
  </si>
  <si>
    <t>TA512</t>
  </si>
  <si>
    <t>CACCAAGT</t>
  </si>
  <si>
    <t>TB512</t>
  </si>
  <si>
    <t>TTGAGTAC</t>
  </si>
  <si>
    <t>TC512</t>
  </si>
  <si>
    <t>CGGTTCCG</t>
  </si>
  <si>
    <t>TD512</t>
  </si>
  <si>
    <t>GGAGGTCC</t>
  </si>
  <si>
    <t>TE512</t>
  </si>
  <si>
    <t>CCTGCTTG</t>
  </si>
  <si>
    <t>TF512</t>
  </si>
  <si>
    <t>TTCACGTC</t>
  </si>
  <si>
    <t>TG512</t>
  </si>
  <si>
    <t>AACATAGC</t>
  </si>
  <si>
    <t>TH512</t>
  </si>
  <si>
    <t>TGACATAG</t>
  </si>
  <si>
    <t>ND701</t>
  </si>
  <si>
    <t>GTGTCCTC</t>
  </si>
  <si>
    <t>Nanodigm</t>
  </si>
  <si>
    <t>ND702</t>
  </si>
  <si>
    <t>CCTCAGGA</t>
  </si>
  <si>
    <t>ND703</t>
  </si>
  <si>
    <t>TACGTACT</t>
  </si>
  <si>
    <t>ND704</t>
  </si>
  <si>
    <t>AGAAGTAG</t>
  </si>
  <si>
    <t>ND705</t>
  </si>
  <si>
    <t>AGGAGTCA</t>
  </si>
  <si>
    <t>ND706</t>
  </si>
  <si>
    <t>TTCCAGAT</t>
  </si>
  <si>
    <t>ND707</t>
  </si>
  <si>
    <t>CCATCAGG</t>
  </si>
  <si>
    <t>ND708</t>
  </si>
  <si>
    <t>GATGTCTC</t>
  </si>
  <si>
    <t>ND709</t>
  </si>
  <si>
    <t>CAAGCCTA</t>
  </si>
  <si>
    <t>ND710</t>
  </si>
  <si>
    <t>GCTCGTGT</t>
  </si>
  <si>
    <t>ND711</t>
  </si>
  <si>
    <t>ATGTAGAG</t>
  </si>
  <si>
    <t>ND712</t>
  </si>
  <si>
    <t>TGCATACC</t>
  </si>
  <si>
    <t>ND713</t>
  </si>
  <si>
    <t>CTGGTCAA</t>
  </si>
  <si>
    <t>ND714</t>
  </si>
  <si>
    <t>GACCGATG</t>
  </si>
  <si>
    <t>ND715</t>
  </si>
  <si>
    <t>TCATCTGT</t>
  </si>
  <si>
    <t>ND716</t>
  </si>
  <si>
    <t>ND717</t>
  </si>
  <si>
    <t>ACCGTAAC</t>
  </si>
  <si>
    <t>ND718</t>
  </si>
  <si>
    <t>GTACGCGA</t>
  </si>
  <si>
    <t>ND719</t>
  </si>
  <si>
    <t>TGGAAGTT</t>
  </si>
  <si>
    <t>ND720</t>
  </si>
  <si>
    <t>CATTCTCG</t>
  </si>
  <si>
    <t>ND721</t>
  </si>
  <si>
    <t>CTGGAGAC</t>
  </si>
  <si>
    <t>ND722</t>
  </si>
  <si>
    <t>TGACCTTG</t>
  </si>
  <si>
    <t>ND723</t>
  </si>
  <si>
    <t>GCTAGACA</t>
  </si>
  <si>
    <t>ND724</t>
  </si>
  <si>
    <t>ND725</t>
  </si>
  <si>
    <t>TAGCACCA</t>
  </si>
  <si>
    <t>ND726</t>
  </si>
  <si>
    <t>CTAAGAAT</t>
  </si>
  <si>
    <t>ND727</t>
  </si>
  <si>
    <t>ACCTCTTG</t>
  </si>
  <si>
    <t>ND728</t>
  </si>
  <si>
    <t>GGTGTGGC</t>
  </si>
  <si>
    <t>ND729</t>
  </si>
  <si>
    <t>CAGAAGGA</t>
  </si>
  <si>
    <t>ND730</t>
  </si>
  <si>
    <t>TGAGTCTG</t>
  </si>
  <si>
    <t>ND731</t>
  </si>
  <si>
    <t>ATCTGTCC</t>
  </si>
  <si>
    <t>ND732</t>
  </si>
  <si>
    <t>GCTCCAAT</t>
  </si>
  <si>
    <t>ND733</t>
  </si>
  <si>
    <t>TGTCGGAG</t>
  </si>
  <si>
    <t>ND734</t>
  </si>
  <si>
    <t>AAGACATC</t>
  </si>
  <si>
    <t>ND735</t>
  </si>
  <si>
    <t>GCAGTCGA</t>
  </si>
  <si>
    <t>ND736</t>
  </si>
  <si>
    <t>CTCTATCT</t>
  </si>
  <si>
    <t>ND737</t>
  </si>
  <si>
    <t>GTTCCGGT</t>
  </si>
  <si>
    <t>ND738</t>
  </si>
  <si>
    <t>CAGATCAG</t>
  </si>
  <si>
    <t>ND739</t>
  </si>
  <si>
    <t>TCCTATTC</t>
  </si>
  <si>
    <t>ND740</t>
  </si>
  <si>
    <t>ND741</t>
  </si>
  <si>
    <t>TCGACCAA</t>
  </si>
  <si>
    <t>ND742</t>
  </si>
  <si>
    <t>ATTGAATG</t>
  </si>
  <si>
    <t>ND743</t>
  </si>
  <si>
    <t>GAACTTGC</t>
  </si>
  <si>
    <t>ND744</t>
  </si>
  <si>
    <t>CGCTGGCT</t>
  </si>
  <si>
    <t>ND745</t>
  </si>
  <si>
    <t>CCGATTAC</t>
  </si>
  <si>
    <t>ND746</t>
  </si>
  <si>
    <t>GGCTAGTT</t>
  </si>
  <si>
    <t>ND747</t>
  </si>
  <si>
    <t>ATTGGCGA</t>
  </si>
  <si>
    <t>ND748</t>
  </si>
  <si>
    <t>TAACCACG</t>
  </si>
  <si>
    <t>ND749</t>
  </si>
  <si>
    <t>CAGTAGCA</t>
  </si>
  <si>
    <t>ND750</t>
  </si>
  <si>
    <t>GTTGGTTG</t>
  </si>
  <si>
    <t>ND751</t>
  </si>
  <si>
    <t>AGCCTCGT</t>
  </si>
  <si>
    <t>ND752</t>
  </si>
  <si>
    <t>TCAACAAC</t>
  </si>
  <si>
    <t>ND753</t>
  </si>
  <si>
    <t>CTGCTGAT</t>
  </si>
  <si>
    <t>ND754</t>
  </si>
  <si>
    <t>GATTGTTG</t>
  </si>
  <si>
    <t>ND755</t>
  </si>
  <si>
    <t>TGAGCACC</t>
  </si>
  <si>
    <t>ND756</t>
  </si>
  <si>
    <t>ACCAACGA</t>
  </si>
  <si>
    <t>ND757</t>
  </si>
  <si>
    <t>TGTGAGAT</t>
  </si>
  <si>
    <t>ND758</t>
  </si>
  <si>
    <t>GCGTTCCG</t>
  </si>
  <si>
    <t>ND759</t>
  </si>
  <si>
    <t>AACAGTTA</t>
  </si>
  <si>
    <t>ND760</t>
  </si>
  <si>
    <t>CTACCAGC</t>
  </si>
  <si>
    <t>ND761</t>
  </si>
  <si>
    <t>GCCGTAAT</t>
  </si>
  <si>
    <t>ND762</t>
  </si>
  <si>
    <t>TAGCCTCC</t>
  </si>
  <si>
    <t>ND763</t>
  </si>
  <si>
    <t>CTTAGCGG</t>
  </si>
  <si>
    <t>ND764</t>
  </si>
  <si>
    <t>AGATAGTA</t>
  </si>
  <si>
    <t>ND765</t>
  </si>
  <si>
    <t>CATGGTAA</t>
  </si>
  <si>
    <t>ND766</t>
  </si>
  <si>
    <t>TCGTCGTT</t>
  </si>
  <si>
    <t>ND767</t>
  </si>
  <si>
    <t>GTCATCCG</t>
  </si>
  <si>
    <t>ND768</t>
  </si>
  <si>
    <t>AGACAAGC</t>
  </si>
  <si>
    <t>ND769</t>
  </si>
  <si>
    <t>GGCTGTGA</t>
  </si>
  <si>
    <t>ND770</t>
  </si>
  <si>
    <t>TCAATGTT</t>
  </si>
  <si>
    <t>ND771</t>
  </si>
  <si>
    <t>CTTCACAC</t>
  </si>
  <si>
    <t>ND772</t>
  </si>
  <si>
    <t>AAGGCACG</t>
  </si>
  <si>
    <t>ND773</t>
  </si>
  <si>
    <t>CGCCACCT</t>
  </si>
  <si>
    <t>ND774</t>
  </si>
  <si>
    <t>GTGATAAG</t>
  </si>
  <si>
    <t>ND775</t>
  </si>
  <si>
    <t>ACTTGTGC</t>
  </si>
  <si>
    <t>ND776</t>
  </si>
  <si>
    <t>TAAGCGTA</t>
  </si>
  <si>
    <t>ND777</t>
  </si>
  <si>
    <t>ND778</t>
  </si>
  <si>
    <t>GTCGTTGC</t>
  </si>
  <si>
    <t>ND779</t>
  </si>
  <si>
    <t>AGTAACCA</t>
  </si>
  <si>
    <t>ND780</t>
  </si>
  <si>
    <t>CCACCAAT</t>
  </si>
  <si>
    <t>ND781</t>
  </si>
  <si>
    <t>ATCCGCTT</t>
  </si>
  <si>
    <t>ND782</t>
  </si>
  <si>
    <t>TGTAATGG</t>
  </si>
  <si>
    <t>ND783</t>
  </si>
  <si>
    <t>CCATTGCA</t>
  </si>
  <si>
    <t>ND784</t>
  </si>
  <si>
    <t>GAGGCAAC</t>
  </si>
  <si>
    <t>ND785</t>
  </si>
  <si>
    <t>CATCGGCT</t>
  </si>
  <si>
    <t>ND786</t>
  </si>
  <si>
    <t>GTCTTCAG</t>
  </si>
  <si>
    <t>ND787</t>
  </si>
  <si>
    <t>AGGACATA</t>
  </si>
  <si>
    <t>ND788</t>
  </si>
  <si>
    <t>TCAGATGC</t>
  </si>
  <si>
    <t>ND789</t>
  </si>
  <si>
    <t>TAGGCCAG</t>
  </si>
  <si>
    <t>ND790</t>
  </si>
  <si>
    <t>AGCCTGCT</t>
  </si>
  <si>
    <t>ND791</t>
  </si>
  <si>
    <t>GTTAATTC</t>
  </si>
  <si>
    <t>ND792</t>
  </si>
  <si>
    <t>CCATGAGA</t>
  </si>
  <si>
    <t>ND793</t>
  </si>
  <si>
    <t>ATGCGCGG</t>
  </si>
  <si>
    <t>ND794</t>
  </si>
  <si>
    <t>TCTTAACC</t>
  </si>
  <si>
    <t>ND795</t>
  </si>
  <si>
    <t>CGAATTAA</t>
  </si>
  <si>
    <t>ND796</t>
  </si>
  <si>
    <t>GACGCGTT</t>
  </si>
  <si>
    <t>ND501</t>
  </si>
  <si>
    <t>TGCTTATC</t>
  </si>
  <si>
    <t>ND502</t>
  </si>
  <si>
    <t>CCTAATAG</t>
  </si>
  <si>
    <t>ND503</t>
  </si>
  <si>
    <t>GTACGCCA</t>
  </si>
  <si>
    <t>ND504</t>
  </si>
  <si>
    <t>AAGGCGGT</t>
  </si>
  <si>
    <t>ND505</t>
  </si>
  <si>
    <t>AATCGGCA</t>
  </si>
  <si>
    <t>ND506</t>
  </si>
  <si>
    <t>GCCACCTG</t>
  </si>
  <si>
    <t>ND507</t>
  </si>
  <si>
    <t>CGAGTAAC</t>
  </si>
  <si>
    <t>ND508</t>
  </si>
  <si>
    <t>TTGTATGT</t>
  </si>
  <si>
    <t>ND509</t>
  </si>
  <si>
    <t>TCCACAGT</t>
  </si>
  <si>
    <t>ND510</t>
  </si>
  <si>
    <t>CGTTATTA</t>
  </si>
  <si>
    <t>ND511</t>
  </si>
  <si>
    <t>ATAGTGCC</t>
  </si>
  <si>
    <t>ND512</t>
  </si>
  <si>
    <t>GAGCGCAG</t>
  </si>
  <si>
    <t>ND513</t>
  </si>
  <si>
    <t>GAAGCAGA</t>
  </si>
  <si>
    <t>ND514</t>
  </si>
  <si>
    <t>CGTATGAC</t>
  </si>
  <si>
    <t>ND515</t>
  </si>
  <si>
    <t>TCGTACTT</t>
  </si>
  <si>
    <t>ND516</t>
  </si>
  <si>
    <t>ATCCGTCG</t>
  </si>
  <si>
    <t>ND517</t>
  </si>
  <si>
    <t>ATTCGCCT</t>
  </si>
  <si>
    <t>ND518</t>
  </si>
  <si>
    <t>CAAGCGGC</t>
  </si>
  <si>
    <t>ND519</t>
  </si>
  <si>
    <t>GGCTATTA</t>
  </si>
  <si>
    <t>ND520</t>
  </si>
  <si>
    <t>ND521</t>
  </si>
  <si>
    <t>ACGAATCT</t>
  </si>
  <si>
    <t>ND522</t>
  </si>
  <si>
    <t>TGCGGATC</t>
  </si>
  <si>
    <t>ND523</t>
  </si>
  <si>
    <t>CTATTCAG</t>
  </si>
  <si>
    <t>ND524</t>
  </si>
  <si>
    <t>GATCCGGA</t>
  </si>
  <si>
    <t>ND525</t>
  </si>
  <si>
    <t>TACAGCCG</t>
  </si>
  <si>
    <t>ND526</t>
  </si>
  <si>
    <t>GCATTGAT</t>
  </si>
  <si>
    <t>ND527</t>
  </si>
  <si>
    <t>ND528</t>
  </si>
  <si>
    <t>ATTGCAGC</t>
  </si>
  <si>
    <t>ND529</t>
  </si>
  <si>
    <t>ATCCTTGC</t>
  </si>
  <si>
    <t>ND530</t>
  </si>
  <si>
    <t>GCGACATA</t>
  </si>
  <si>
    <t>ND531</t>
  </si>
  <si>
    <t>TGTGGCAT</t>
  </si>
  <si>
    <t>ND532</t>
  </si>
  <si>
    <t>CAATAGCG</t>
  </si>
  <si>
    <t>ND533</t>
  </si>
  <si>
    <t>ND534</t>
  </si>
  <si>
    <t>GCTTATAT</t>
  </si>
  <si>
    <t>ND535</t>
  </si>
  <si>
    <t>AGACTACC</t>
  </si>
  <si>
    <t>ND536</t>
  </si>
  <si>
    <t>TTGGCCGG</t>
  </si>
  <si>
    <t>ND537</t>
  </si>
  <si>
    <t>TCGCTATG</t>
  </si>
  <si>
    <t>ND538</t>
  </si>
  <si>
    <t>AGTTAGCC</t>
  </si>
  <si>
    <t>ND539</t>
  </si>
  <si>
    <t>ND540</t>
  </si>
  <si>
    <t>CAAGGCGA</t>
  </si>
  <si>
    <t>ND541</t>
  </si>
  <si>
    <t>ND542</t>
  </si>
  <si>
    <t>AGAATTCG</t>
  </si>
  <si>
    <t>ND543</t>
  </si>
  <si>
    <t>CTTCCATT</t>
  </si>
  <si>
    <t>ND544</t>
  </si>
  <si>
    <t>GACGAGGA</t>
  </si>
  <si>
    <t>ND545</t>
  </si>
  <si>
    <t>TTCACACA</t>
  </si>
  <si>
    <t>ND546</t>
  </si>
  <si>
    <t>CATTGTGC</t>
  </si>
  <si>
    <t>ND547</t>
  </si>
  <si>
    <t>GCGCTCTT</t>
  </si>
  <si>
    <t>ND548</t>
  </si>
  <si>
    <t>AGAGAGAG</t>
  </si>
  <si>
    <t>ND549</t>
  </si>
  <si>
    <t>GGTATATT</t>
  </si>
  <si>
    <t>ND550</t>
  </si>
  <si>
    <t>TTCCGGCG</t>
  </si>
  <si>
    <t>ND551</t>
  </si>
  <si>
    <t>CCATATAA</t>
  </si>
  <si>
    <t>ND552</t>
  </si>
  <si>
    <t>AAGGCCGC</t>
  </si>
  <si>
    <t>ND553</t>
  </si>
  <si>
    <t>GTGACGAA</t>
  </si>
  <si>
    <t>ND554</t>
  </si>
  <si>
    <t>CCACATTC</t>
  </si>
  <si>
    <t>ND555</t>
  </si>
  <si>
    <t>TACTTACT</t>
  </si>
  <si>
    <t>ND556</t>
  </si>
  <si>
    <t>AGTGGCGG</t>
  </si>
  <si>
    <t>ND557</t>
  </si>
  <si>
    <t>GGTGTGAT</t>
  </si>
  <si>
    <t>ND558</t>
  </si>
  <si>
    <t>TTATCACG</t>
  </si>
  <si>
    <t>ND559</t>
  </si>
  <si>
    <t>ACGCATTA</t>
  </si>
  <si>
    <t>ND560</t>
  </si>
  <si>
    <t>CACAGCGC</t>
  </si>
  <si>
    <t>ND561</t>
  </si>
  <si>
    <t>GCAACTAT</t>
  </si>
  <si>
    <t>ND562</t>
  </si>
  <si>
    <t>ATCTAGTG</t>
  </si>
  <si>
    <t>ND563</t>
  </si>
  <si>
    <t>CAGCTACA</t>
  </si>
  <si>
    <t>ND564</t>
  </si>
  <si>
    <t>TGTGGCGC</t>
  </si>
  <si>
    <t>ND565</t>
  </si>
  <si>
    <t>ND566</t>
  </si>
  <si>
    <t>GTCTTGAC</t>
  </si>
  <si>
    <t>ND567</t>
  </si>
  <si>
    <t>TATGGTTA</t>
  </si>
  <si>
    <t>ND568</t>
  </si>
  <si>
    <t>CGAACAGG</t>
  </si>
  <si>
    <t>ND569</t>
  </si>
  <si>
    <t>GTGCTAGA</t>
  </si>
  <si>
    <t>ND570</t>
  </si>
  <si>
    <t>CCAGATAT</t>
  </si>
  <si>
    <t>ND571</t>
  </si>
  <si>
    <t>TATTCCTG</t>
  </si>
  <si>
    <t>ND572</t>
  </si>
  <si>
    <t>AGCAGGCC</t>
  </si>
  <si>
    <t>ND573</t>
  </si>
  <si>
    <t>TCCGCTGC</t>
  </si>
  <si>
    <t>ND574</t>
  </si>
  <si>
    <t>CGGATCTA</t>
  </si>
  <si>
    <t>ND575</t>
  </si>
  <si>
    <t>AATTGAAG</t>
  </si>
  <si>
    <t>ND576</t>
  </si>
  <si>
    <t>GTACAGCT</t>
  </si>
  <si>
    <t>ND577</t>
  </si>
  <si>
    <t>AACACCGT</t>
  </si>
  <si>
    <t>ND578</t>
  </si>
  <si>
    <t>CCTTATTC</t>
  </si>
  <si>
    <t>ND579</t>
  </si>
  <si>
    <t>TTGCGGCA</t>
  </si>
  <si>
    <t>ND580</t>
  </si>
  <si>
    <t>GGAGTAAG</t>
  </si>
  <si>
    <t>ND581</t>
  </si>
  <si>
    <t>ATGCTGCA</t>
  </si>
  <si>
    <t>ND582</t>
  </si>
  <si>
    <t>GGCAATAT</t>
  </si>
  <si>
    <t>ND583</t>
  </si>
  <si>
    <t>CCATCATC</t>
  </si>
  <si>
    <t>ND584</t>
  </si>
  <si>
    <t>TATGGCGG</t>
  </si>
  <si>
    <t>ND585</t>
  </si>
  <si>
    <t>CACACAGA</t>
  </si>
  <si>
    <t>ND586</t>
  </si>
  <si>
    <t>TTGTTCAC</t>
  </si>
  <si>
    <t>ND587</t>
  </si>
  <si>
    <t>ACTGATCT</t>
  </si>
  <si>
    <t>ND588</t>
  </si>
  <si>
    <t>GGACGGTG</t>
  </si>
  <si>
    <t>ND589</t>
  </si>
  <si>
    <t>GCCTCTAG</t>
  </si>
  <si>
    <t>ND590</t>
  </si>
  <si>
    <t>TGACAACA</t>
  </si>
  <si>
    <t>ND591</t>
  </si>
  <si>
    <t>CTTGGCTT</t>
  </si>
  <si>
    <t>ND592</t>
  </si>
  <si>
    <t>AAGATGGC</t>
  </si>
  <si>
    <t>ND593</t>
  </si>
  <si>
    <t>GCGTTCGG</t>
  </si>
  <si>
    <t>ND594</t>
  </si>
  <si>
    <t>CTTAAGTT</t>
  </si>
  <si>
    <t>ND595</t>
  </si>
  <si>
    <t>AGAGCTAA</t>
  </si>
  <si>
    <t>ND596</t>
  </si>
  <si>
    <t>TACCGACC</t>
  </si>
  <si>
    <t>STT</t>
  </si>
  <si>
    <t>I7 index</t>
  </si>
  <si>
    <t>I5 index</t>
  </si>
  <si>
    <t>H001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</si>
  <si>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</si>
  <si>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</si>
  <si>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</si>
  <si>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</si>
  <si>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</si>
  <si>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</si>
  <si>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</si>
  <si>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</si>
  <si>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</si>
  <si>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</si>
  <si>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</si>
  <si>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</si>
  <si>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</si>
  <si>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</si>
  <si>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</si>
  <si>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</si>
  <si>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</si>
  <si>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</si>
  <si>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</si>
  <si>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</si>
  <si>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</si>
  <si>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</si>
  <si>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</si>
  <si>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</si>
  <si>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</si>
  <si>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</si>
  <si>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</si>
  <si>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</si>
  <si>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</si>
  <si>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</si>
  <si>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</si>
  <si>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</si>
  <si>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</si>
  <si>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</si>
  <si>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</si>
  <si>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</si>
  <si>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</si>
  <si>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</si>
  <si>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</si>
  <si>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</si>
  <si>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</si>
  <si>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</si>
  <si>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</si>
  <si>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</si>
  <si>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</si>
  <si>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</si>
  <si>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</si>
  <si>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</si>
  <si>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</si>
  <si>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</si>
  <si>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</si>
  <si>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</si>
  <si>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</si>
  <si>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R54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</si>
  <si>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</si>
  <si>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</si>
  <si>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</si>
  <si>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</si>
  <si>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</si>
  <si>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</si>
  <si>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</si>
  <si>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</si>
  <si>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</si>
  <si>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</si>
  <si>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</si>
  <si>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</si>
  <si>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R67</t>
  </si>
  <si>
    <t>R68</t>
  </si>
  <si>
    <t>R69</t>
  </si>
  <si>
    <t>R70</t>
  </si>
  <si>
    <t>R71</t>
  </si>
  <si>
    <t>R72</t>
  </si>
  <si>
    <t>R73</t>
  </si>
  <si>
    <t>R74</t>
  </si>
  <si>
    <t>R75</t>
  </si>
  <si>
    <t>R76</t>
  </si>
  <si>
    <t>R77</t>
  </si>
  <si>
    <t>R78</t>
  </si>
  <si>
    <t>R79</t>
  </si>
  <si>
    <t>R80</t>
  </si>
  <si>
    <t>R81</t>
  </si>
  <si>
    <t>R82</t>
  </si>
  <si>
    <t>R83</t>
  </si>
  <si>
    <t>R84</t>
  </si>
  <si>
    <t>R85</t>
  </si>
  <si>
    <t>R86</t>
  </si>
  <si>
    <t>R87</t>
  </si>
  <si>
    <t>R88</t>
  </si>
  <si>
    <t>R89</t>
  </si>
  <si>
    <t>R90</t>
  </si>
  <si>
    <t>R91</t>
  </si>
  <si>
    <t>R92</t>
  </si>
  <si>
    <t>R93</t>
  </si>
  <si>
    <t>R94</t>
  </si>
  <si>
    <t>R95</t>
  </si>
  <si>
    <t>R96</t>
  </si>
  <si>
    <t>R97</t>
  </si>
  <si>
    <t>R98</t>
  </si>
  <si>
    <t>R99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</si>
  <si>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</si>
  <si>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</si>
  <si>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</si>
  <si>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</si>
  <si>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</si>
  <si>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</si>
  <si>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</si>
  <si>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</si>
  <si>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</si>
  <si>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</si>
  <si>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</si>
  <si>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</si>
  <si>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</si>
  <si>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</si>
  <si>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</si>
  <si>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</si>
  <si>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</si>
  <si>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</si>
  <si>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</si>
  <si>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</si>
  <si>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</si>
  <si>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</si>
  <si>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</si>
  <si>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</si>
  <si>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</si>
  <si>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</si>
  <si>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</si>
  <si>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</si>
  <si>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</si>
  <si>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</si>
  <si>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</si>
  <si>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</si>
  <si>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</si>
  <si>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</si>
  <si>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</si>
  <si>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</si>
  <si>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</si>
  <si>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</si>
  <si>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</si>
  <si>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</si>
  <si>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</si>
  <si>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</si>
  <si>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</si>
  <si>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</si>
  <si>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</si>
  <si>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</si>
  <si>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</si>
  <si>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</si>
  <si>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</si>
  <si>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</si>
  <si>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</si>
  <si>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</si>
  <si>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</si>
  <si>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</si>
  <si>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</si>
  <si>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</si>
  <si>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</si>
  <si>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</si>
  <si>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</si>
  <si>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</si>
  <si>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</si>
  <si>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U17</t>
  </si>
  <si>
    <t>U18</t>
  </si>
  <si>
    <t>U19</t>
  </si>
  <si>
    <t>U20</t>
  </si>
  <si>
    <t>U21</t>
  </si>
  <si>
    <t>U22</t>
  </si>
  <si>
    <t>U23</t>
  </si>
  <si>
    <t>U24</t>
  </si>
  <si>
    <t>U25</t>
  </si>
  <si>
    <t>U26</t>
  </si>
  <si>
    <t>U27</t>
  </si>
  <si>
    <t>U28</t>
  </si>
  <si>
    <t>U29</t>
  </si>
  <si>
    <t>U30</t>
  </si>
  <si>
    <t>U31</t>
  </si>
  <si>
    <t>U32</t>
  </si>
  <si>
    <t>U33</t>
  </si>
  <si>
    <t>U34</t>
  </si>
  <si>
    <t>U35</t>
  </si>
  <si>
    <t>U36</t>
  </si>
  <si>
    <t>U37</t>
  </si>
  <si>
    <t>U38</t>
  </si>
  <si>
    <t>U39</t>
  </si>
  <si>
    <t>U40</t>
  </si>
  <si>
    <t>U41</t>
  </si>
  <si>
    <t>U42</t>
  </si>
  <si>
    <t>U43</t>
  </si>
  <si>
    <t>U44</t>
  </si>
  <si>
    <t>U45</t>
  </si>
  <si>
    <t>U46</t>
  </si>
  <si>
    <t>U47</t>
  </si>
  <si>
    <t>U48</t>
  </si>
  <si>
    <t>M001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</si>
  <si>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</si>
  <si>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</si>
  <si>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</si>
  <si>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</si>
  <si>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</si>
  <si>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</si>
  <si>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</si>
  <si>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</si>
  <si>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</si>
  <si>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</si>
  <si>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</si>
  <si>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</si>
  <si>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</si>
  <si>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</si>
  <si>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</si>
  <si>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</si>
  <si>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</si>
  <si>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</si>
  <si>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</si>
  <si>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</si>
  <si>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</si>
  <si>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</si>
  <si>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</si>
  <si>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K52</t>
  </si>
  <si>
    <t>K53</t>
  </si>
  <si>
    <t>K54</t>
  </si>
  <si>
    <t>K55</t>
  </si>
  <si>
    <t>K56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</si>
  <si>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</si>
  <si>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</si>
  <si>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</si>
  <si>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</si>
  <si>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</si>
  <si>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</si>
  <si>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</si>
  <si>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</si>
  <si>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</si>
  <si>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</si>
  <si>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</si>
  <si>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</si>
  <si>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</si>
  <si>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</si>
  <si>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</si>
  <si>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</si>
  <si>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</si>
  <si>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</si>
  <si>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</si>
  <si>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</si>
  <si>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</si>
  <si>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</si>
  <si>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</si>
  <si>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</si>
  <si>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</si>
  <si>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</si>
  <si>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</si>
  <si>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</si>
  <si>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</si>
  <si>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</si>
  <si>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</si>
  <si>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</si>
  <si>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</si>
  <si>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</si>
  <si>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</si>
  <si>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</si>
  <si>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</si>
  <si>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</si>
  <si>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</si>
  <si>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</si>
  <si>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</si>
  <si>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</si>
  <si>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N24</t>
  </si>
  <si>
    <t>N25</t>
  </si>
  <si>
    <t>N26</t>
  </si>
  <si>
    <t>N27</t>
  </si>
  <si>
    <t>N28</t>
  </si>
  <si>
    <t>N29</t>
  </si>
  <si>
    <t>N30</t>
  </si>
  <si>
    <t>N31</t>
  </si>
  <si>
    <t>N32</t>
  </si>
  <si>
    <t>N33</t>
  </si>
  <si>
    <t>N34</t>
  </si>
  <si>
    <t>N35</t>
  </si>
  <si>
    <t>N36</t>
  </si>
  <si>
    <t>N37</t>
  </si>
  <si>
    <t>N38</t>
  </si>
  <si>
    <t>N39</t>
  </si>
  <si>
    <t>N40</t>
  </si>
  <si>
    <t>N41</t>
  </si>
  <si>
    <t>N42</t>
  </si>
  <si>
    <t>N43</t>
  </si>
  <si>
    <t>N44</t>
  </si>
  <si>
    <t>N45</t>
  </si>
  <si>
    <t>N46</t>
  </si>
  <si>
    <t>N47</t>
  </si>
  <si>
    <t>N48</t>
  </si>
  <si>
    <t>N49</t>
  </si>
  <si>
    <t>N50</t>
  </si>
  <si>
    <t>N51</t>
  </si>
  <si>
    <t>N52</t>
  </si>
  <si>
    <t>N53</t>
  </si>
  <si>
    <t>N54</t>
  </si>
  <si>
    <t>N55</t>
  </si>
  <si>
    <t>N56</t>
  </si>
  <si>
    <t>N57</t>
  </si>
  <si>
    <t>N58</t>
  </si>
  <si>
    <t>N59</t>
  </si>
  <si>
    <t>N60</t>
  </si>
  <si>
    <t>N61</t>
  </si>
  <si>
    <t>N62</t>
  </si>
  <si>
    <t>N63</t>
  </si>
  <si>
    <t>N64</t>
  </si>
  <si>
    <t>N65</t>
  </si>
  <si>
    <t>N66</t>
  </si>
  <si>
    <t>N67</t>
  </si>
  <si>
    <t>N68</t>
  </si>
  <si>
    <t>N69</t>
  </si>
  <si>
    <t>N70</t>
  </si>
  <si>
    <t>N71</t>
  </si>
  <si>
    <t>N72</t>
  </si>
  <si>
    <t>N73</t>
  </si>
  <si>
    <t>N74</t>
  </si>
  <si>
    <t>N75</t>
  </si>
  <si>
    <t>N76</t>
  </si>
  <si>
    <t>N77</t>
  </si>
  <si>
    <t>N78</t>
  </si>
  <si>
    <t>N79</t>
  </si>
  <si>
    <t>N80</t>
  </si>
  <si>
    <t>N81</t>
  </si>
  <si>
    <t>N82</t>
  </si>
  <si>
    <t>N83</t>
  </si>
  <si>
    <t>N84</t>
  </si>
  <si>
    <t>N85</t>
  </si>
  <si>
    <t>N86</t>
  </si>
  <si>
    <t>N87</t>
  </si>
  <si>
    <t>N88</t>
  </si>
  <si>
    <t>N89</t>
  </si>
  <si>
    <t>N90</t>
  </si>
  <si>
    <t>N91</t>
  </si>
  <si>
    <t>N92</t>
  </si>
  <si>
    <t>N93</t>
  </si>
  <si>
    <t>N94</t>
  </si>
  <si>
    <t>N95</t>
  </si>
  <si>
    <t>N96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</si>
  <si>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</si>
  <si>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</si>
  <si>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</si>
  <si>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</si>
  <si>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</si>
  <si>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</si>
  <si>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</si>
  <si>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</si>
  <si>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</si>
  <si>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</si>
  <si>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</si>
  <si>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</si>
  <si>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</si>
  <si>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</si>
  <si>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</si>
  <si>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</si>
  <si>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</si>
  <si>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</si>
  <si>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</si>
  <si>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</si>
  <si>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</si>
  <si>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</si>
  <si>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</si>
  <si>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</si>
  <si>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</si>
  <si>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</si>
  <si>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</si>
  <si>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</si>
  <si>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</si>
  <si>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</si>
  <si>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</si>
  <si>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</si>
  <si>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</si>
  <si>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</si>
  <si>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</si>
  <si>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</si>
  <si>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</si>
  <si>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</si>
  <si>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</si>
  <si>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</si>
  <si>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</si>
  <si>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</si>
  <si>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</si>
  <si>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</si>
  <si>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</si>
  <si>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</si>
  <si>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</si>
  <si>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</si>
  <si>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</si>
  <si>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</si>
  <si>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</si>
  <si>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</si>
  <si>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</si>
  <si>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</si>
  <si>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</si>
  <si>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</si>
  <si>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</si>
  <si>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</si>
  <si>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</si>
  <si>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</si>
  <si>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</si>
  <si>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</si>
  <si>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</si>
  <si>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M088</t>
  </si>
  <si>
    <t>M089</t>
  </si>
  <si>
    <t>M090</t>
  </si>
  <si>
    <t>M091</t>
  </si>
  <si>
    <t>M092</t>
  </si>
  <si>
    <t>M093</t>
  </si>
  <si>
    <t>M094</t>
  </si>
  <si>
    <t>M095</t>
  </si>
  <si>
    <t>M096</t>
  </si>
  <si>
    <t>Z01</t>
  </si>
  <si>
    <t>Z02</t>
  </si>
  <si>
    <t>Z03</t>
  </si>
  <si>
    <t>Z04</t>
  </si>
  <si>
    <t>Z05</t>
  </si>
  <si>
    <t>Z06</t>
  </si>
  <si>
    <t>Z07</t>
  </si>
  <si>
    <t>Z08</t>
  </si>
  <si>
    <t>Z09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</si>
  <si>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</si>
  <si>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</si>
  <si>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</si>
  <si>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</si>
  <si>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</si>
  <si>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</si>
  <si>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</si>
  <si>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</si>
  <si>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</si>
  <si>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</si>
  <si>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</si>
  <si>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</si>
  <si>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Z22</t>
  </si>
  <si>
    <t>Z23</t>
  </si>
  <si>
    <t>Z24</t>
  </si>
  <si>
    <t>Z25</t>
  </si>
  <si>
    <t>Z26</t>
  </si>
  <si>
    <t>Z27</t>
  </si>
  <si>
    <t>Z28</t>
  </si>
  <si>
    <t>Z29</t>
  </si>
  <si>
    <t>Z30</t>
  </si>
  <si>
    <t>Z31</t>
  </si>
  <si>
    <t>Z32</t>
  </si>
  <si>
    <t>Z33</t>
  </si>
  <si>
    <t>Z34</t>
  </si>
  <si>
    <t>Z35</t>
  </si>
  <si>
    <t>Z36</t>
  </si>
  <si>
    <t>Z37</t>
  </si>
  <si>
    <t>Z38</t>
  </si>
  <si>
    <t>Z39</t>
  </si>
  <si>
    <t>Z40</t>
  </si>
  <si>
    <t>Z41</t>
  </si>
  <si>
    <t>Z42</t>
  </si>
  <si>
    <t>Z43</t>
  </si>
  <si>
    <t>Z44</t>
  </si>
  <si>
    <t>Z45</t>
  </si>
  <si>
    <t>Z46</t>
  </si>
  <si>
    <t>Z47</t>
  </si>
  <si>
    <t>Z48</t>
  </si>
  <si>
    <t>Z49</t>
  </si>
  <si>
    <t>Z50</t>
  </si>
  <si>
    <t>Z51</t>
  </si>
  <si>
    <t>Z52</t>
  </si>
  <si>
    <t>Z53</t>
  </si>
  <si>
    <t>Z54</t>
  </si>
  <si>
    <t>Z55</t>
  </si>
  <si>
    <t>Z56</t>
  </si>
  <si>
    <t>Z57</t>
  </si>
  <si>
    <t>Z58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</si>
  <si>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</si>
  <si>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</si>
  <si>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</si>
  <si>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</si>
  <si>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</si>
  <si>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</si>
  <si>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</si>
  <si>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</si>
  <si>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</si>
  <si>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</si>
  <si>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</si>
  <si>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</si>
  <si>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</si>
  <si>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</si>
  <si>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</si>
  <si>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</si>
  <si>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</si>
  <si>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</si>
  <si>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</si>
  <si>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</si>
  <si>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</si>
  <si>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</si>
  <si>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</si>
  <si>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</si>
  <si>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</si>
  <si>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</si>
  <si>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</si>
  <si>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</si>
  <si>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</si>
  <si>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</si>
  <si>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</si>
  <si>
    <t>Z90</t>
  </si>
  <si>
    <t>Z91</t>
  </si>
  <si>
    <t>Z92</t>
  </si>
  <si>
    <t>Z93</t>
  </si>
  <si>
    <t>Z94</t>
  </si>
  <si>
    <t>Z95</t>
  </si>
  <si>
    <t>Z96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</si>
  <si>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</si>
  <si>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</si>
  <si>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</si>
  <si>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</si>
  <si>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</si>
  <si>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</si>
  <si>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</si>
  <si>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</si>
  <si>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</si>
  <si>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</si>
  <si>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</si>
  <si>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</si>
  <si>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</si>
  <si>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AC014</t>
  </si>
  <si>
    <t>AC015</t>
  </si>
  <si>
    <t>AC016</t>
  </si>
  <si>
    <t>AC017</t>
  </si>
  <si>
    <t>AC018</t>
  </si>
  <si>
    <t>AC019</t>
  </si>
  <si>
    <t>AC020</t>
  </si>
  <si>
    <t>AC021</t>
  </si>
  <si>
    <t>AC022</t>
  </si>
  <si>
    <t>AC023</t>
  </si>
  <si>
    <t>AC024</t>
  </si>
  <si>
    <t>AC025</t>
  </si>
  <si>
    <t>AC026</t>
  </si>
  <si>
    <t>AC027</t>
  </si>
  <si>
    <t>AC028</t>
  </si>
  <si>
    <t>AC029</t>
  </si>
  <si>
    <t>AC030</t>
  </si>
  <si>
    <t>AC031</t>
  </si>
  <si>
    <t>AC032</t>
  </si>
  <si>
    <t>AC033</t>
  </si>
  <si>
    <t>AC034</t>
  </si>
  <si>
    <t>AC035</t>
  </si>
  <si>
    <t>AC036</t>
  </si>
  <si>
    <t>AC037</t>
  </si>
  <si>
    <t>AC038</t>
  </si>
  <si>
    <t>AC039</t>
  </si>
  <si>
    <t>AC040</t>
  </si>
  <si>
    <t>AC041</t>
  </si>
  <si>
    <t>AC042</t>
  </si>
  <si>
    <t>AC043</t>
  </si>
  <si>
    <t>AC044</t>
  </si>
  <si>
    <t>AC045</t>
  </si>
  <si>
    <t>AC046</t>
  </si>
  <si>
    <t>AC047</t>
  </si>
  <si>
    <t>AC048</t>
  </si>
  <si>
    <t>AC049</t>
  </si>
  <si>
    <t>AC050</t>
  </si>
  <si>
    <t>AC051</t>
  </si>
  <si>
    <t>AC052</t>
  </si>
  <si>
    <t>AC053</t>
  </si>
  <si>
    <t>AC054</t>
  </si>
  <si>
    <t>AC055</t>
  </si>
  <si>
    <t>AC056</t>
  </si>
  <si>
    <t>AC057</t>
  </si>
  <si>
    <t>AC058</t>
  </si>
  <si>
    <t>AC059</t>
  </si>
  <si>
    <t>AC060</t>
  </si>
  <si>
    <t>AC061</t>
  </si>
  <si>
    <t>AC062</t>
  </si>
  <si>
    <t>AC063</t>
  </si>
  <si>
    <t>AC064</t>
  </si>
  <si>
    <t>AC065</t>
  </si>
  <si>
    <t>AC066</t>
  </si>
  <si>
    <t>AC067</t>
  </si>
  <si>
    <t>AC068</t>
  </si>
  <si>
    <t>AC069</t>
  </si>
  <si>
    <t>AC070</t>
  </si>
  <si>
    <t>AC071</t>
  </si>
  <si>
    <t>AC072</t>
  </si>
  <si>
    <t>AC073</t>
  </si>
  <si>
    <t>AC074</t>
  </si>
  <si>
    <t>AC075</t>
  </si>
  <si>
    <t>AC076</t>
  </si>
  <si>
    <t>AC077</t>
  </si>
  <si>
    <t>AC078</t>
  </si>
  <si>
    <t>AC079</t>
  </si>
  <si>
    <t>AC080</t>
  </si>
  <si>
    <t>AC081</t>
  </si>
  <si>
    <t>AC082</t>
  </si>
  <si>
    <t>AC083</t>
  </si>
  <si>
    <t>AC084</t>
  </si>
  <si>
    <t>AC085</t>
  </si>
  <si>
    <t>AC086</t>
  </si>
  <si>
    <t>AC087</t>
  </si>
  <si>
    <t>AC088</t>
  </si>
  <si>
    <t>AC089</t>
  </si>
  <si>
    <t>AC090</t>
  </si>
  <si>
    <t>AC091</t>
  </si>
  <si>
    <t>AC092</t>
  </si>
  <si>
    <t>AC093</t>
  </si>
  <si>
    <t>AC094</t>
  </si>
  <si>
    <t>AC095</t>
  </si>
  <si>
    <t>AC096</t>
  </si>
  <si>
    <t>U49</t>
  </si>
  <si>
    <t>U50</t>
  </si>
  <si>
    <t>U51</t>
  </si>
  <si>
    <t>U52</t>
  </si>
  <si>
    <t>U53</t>
  </si>
  <si>
    <t>U54</t>
  </si>
  <si>
    <t>U55</t>
  </si>
  <si>
    <t>U56</t>
  </si>
  <si>
    <t>U57</t>
  </si>
  <si>
    <t>U58</t>
  </si>
  <si>
    <t>U59</t>
  </si>
  <si>
    <t>U60</t>
  </si>
  <si>
    <t>U61</t>
  </si>
  <si>
    <t>U62</t>
  </si>
  <si>
    <t>U63</t>
  </si>
  <si>
    <t>U64</t>
  </si>
  <si>
    <t>U65</t>
  </si>
  <si>
    <t>U66</t>
  </si>
  <si>
    <t>U67</t>
  </si>
  <si>
    <t>U68</t>
  </si>
  <si>
    <t>U69</t>
  </si>
  <si>
    <t>U70</t>
  </si>
  <si>
    <t>U71</t>
  </si>
  <si>
    <t>U72</t>
  </si>
  <si>
    <t>U73</t>
  </si>
  <si>
    <t>U74</t>
  </si>
  <si>
    <t>U75</t>
  </si>
  <si>
    <t>U76</t>
  </si>
  <si>
    <t>U77</t>
  </si>
  <si>
    <t>U78</t>
  </si>
  <si>
    <t>U79</t>
  </si>
  <si>
    <t>U80</t>
  </si>
  <si>
    <t>U81</t>
  </si>
  <si>
    <t>U82</t>
  </si>
  <si>
    <t>U83</t>
  </si>
  <si>
    <t>U84</t>
  </si>
  <si>
    <t>U85</t>
  </si>
  <si>
    <t>U86</t>
  </si>
  <si>
    <t>U87</t>
  </si>
  <si>
    <t>U88</t>
  </si>
  <si>
    <t>U89</t>
  </si>
  <si>
    <t>U90</t>
  </si>
  <si>
    <t>U91</t>
  </si>
  <si>
    <t>U92</t>
  </si>
  <si>
    <t>U93</t>
  </si>
  <si>
    <t>U94</t>
  </si>
  <si>
    <t>U95</t>
  </si>
  <si>
    <t>U96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</si>
  <si>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</si>
  <si>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</si>
  <si>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</si>
  <si>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</si>
  <si>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</si>
  <si>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</si>
  <si>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</si>
  <si>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</si>
  <si>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</si>
  <si>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</si>
  <si>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</si>
  <si>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</si>
  <si>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</si>
  <si>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</si>
  <si>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</si>
  <si>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</si>
  <si>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</si>
  <si>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</si>
  <si>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</si>
  <si>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</si>
  <si>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</si>
  <si>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</si>
  <si>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</si>
  <si>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</si>
  <si>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</si>
  <si>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</si>
  <si>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</si>
  <si>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</si>
  <si>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</si>
  <si>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</si>
  <si>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</si>
  <si>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</si>
  <si>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</si>
  <si>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</si>
  <si>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</si>
  <si>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</si>
  <si>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</si>
  <si>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</si>
  <si>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</si>
  <si>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</si>
  <si>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</si>
  <si>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</si>
  <si>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</si>
  <si>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</si>
  <si>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</si>
  <si>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</si>
  <si>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</si>
  <si>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</si>
  <si>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</si>
  <si>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</si>
  <si>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</si>
  <si>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</si>
  <si>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</si>
  <si>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</si>
  <si>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</si>
  <si>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</si>
  <si>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</si>
  <si>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</si>
  <si>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</si>
  <si>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</si>
  <si>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</si>
  <si>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</si>
  <si>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</si>
  <si>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</si>
  <si>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</si>
  <si>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</si>
  <si>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</si>
  <si>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</si>
  <si>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</si>
  <si>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</si>
  <si>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</si>
  <si>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</si>
  <si>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</si>
  <si>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</si>
  <si>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</si>
  <si>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</si>
  <si>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</si>
  <si>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</si>
  <si>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</si>
  <si>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</si>
  <si>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</si>
  <si>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</si>
  <si>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</si>
  <si>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</si>
  <si>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</si>
  <si>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</si>
  <si>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</si>
  <si>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</si>
  <si>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</si>
  <si>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</si>
  <si>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</si>
  <si>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</si>
  <si>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</si>
  <si>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</si>
  <si>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</si>
  <si>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</si>
  <si>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ND01</t>
  </si>
  <si>
    <t>ND02</t>
  </si>
  <si>
    <t>ND03</t>
  </si>
  <si>
    <t>ND04</t>
  </si>
  <si>
    <t>ND05</t>
  </si>
  <si>
    <t>ND06</t>
  </si>
  <si>
    <t>ND07</t>
  </si>
  <si>
    <t>ND08</t>
  </si>
  <si>
    <t>ND09</t>
  </si>
  <si>
    <t>ND10</t>
  </si>
  <si>
    <t>ND11</t>
  </si>
  <si>
    <t>ND12</t>
  </si>
  <si>
    <t>ND13</t>
  </si>
  <si>
    <t>ND14</t>
  </si>
  <si>
    <t>ND15</t>
  </si>
  <si>
    <t>ND16</t>
  </si>
  <si>
    <t>ND17</t>
  </si>
  <si>
    <t>ND18</t>
  </si>
  <si>
    <t>ND19</t>
  </si>
  <si>
    <t>ND20</t>
  </si>
  <si>
    <t>ND21</t>
  </si>
  <si>
    <t>ND22</t>
  </si>
  <si>
    <t>ND23</t>
  </si>
  <si>
    <t>ND24</t>
  </si>
  <si>
    <t>ND25</t>
  </si>
  <si>
    <t>ND26</t>
  </si>
  <si>
    <t>ND27</t>
  </si>
  <si>
    <t>ND28</t>
  </si>
  <si>
    <t>ND29</t>
  </si>
  <si>
    <t>ND30</t>
  </si>
  <si>
    <t>ND31</t>
  </si>
  <si>
    <t>ND32</t>
  </si>
  <si>
    <t>ND33</t>
  </si>
  <si>
    <t>ND34</t>
  </si>
  <si>
    <t>ND35</t>
  </si>
  <si>
    <t>ND36</t>
  </si>
  <si>
    <t>ND37</t>
  </si>
  <si>
    <t>ND38</t>
  </si>
  <si>
    <t>ND39</t>
  </si>
  <si>
    <t>ND40</t>
  </si>
  <si>
    <t>ND41</t>
  </si>
  <si>
    <t>ND42</t>
  </si>
  <si>
    <t>ND43</t>
  </si>
  <si>
    <t>ND44</t>
  </si>
  <si>
    <t>ND45</t>
  </si>
  <si>
    <t>ND46</t>
  </si>
  <si>
    <t>ND47</t>
  </si>
  <si>
    <t>ND48</t>
  </si>
  <si>
    <t>ND49</t>
  </si>
  <si>
    <t>ND50</t>
  </si>
  <si>
    <t>ND51</t>
  </si>
  <si>
    <t>ND52</t>
  </si>
  <si>
    <t>ND53</t>
  </si>
  <si>
    <t>ND54</t>
  </si>
  <si>
    <t>ND55</t>
  </si>
  <si>
    <t>ND56</t>
  </si>
  <si>
    <t>ND57</t>
  </si>
  <si>
    <t>ND58</t>
  </si>
  <si>
    <t>ND59</t>
  </si>
  <si>
    <t>ND60</t>
  </si>
  <si>
    <t>ND61</t>
  </si>
  <si>
    <t>ND62</t>
  </si>
  <si>
    <t>ND63</t>
  </si>
  <si>
    <t>ND64</t>
  </si>
  <si>
    <t>ND65</t>
  </si>
  <si>
    <t>ND66</t>
  </si>
  <si>
    <t>ND67</t>
  </si>
  <si>
    <t>ND68</t>
  </si>
  <si>
    <t>ND69</t>
  </si>
  <si>
    <t>ND70</t>
  </si>
  <si>
    <t>ND71</t>
  </si>
  <si>
    <t>ND72</t>
  </si>
  <si>
    <t>ND73</t>
  </si>
  <si>
    <t>ND74</t>
  </si>
  <si>
    <t>ND75</t>
  </si>
  <si>
    <t>ND76</t>
  </si>
  <si>
    <t>ND77</t>
  </si>
  <si>
    <t>ND78</t>
  </si>
  <si>
    <t>ND79</t>
  </si>
  <si>
    <t>ND80</t>
  </si>
  <si>
    <t>ND81</t>
  </si>
  <si>
    <t>ND82</t>
  </si>
  <si>
    <t>ND83</t>
  </si>
  <si>
    <t>ND84</t>
  </si>
  <si>
    <t>ND85</t>
  </si>
  <si>
    <t>ND86</t>
  </si>
  <si>
    <t>ND87</t>
  </si>
  <si>
    <t>ND88</t>
  </si>
  <si>
    <t>ND89</t>
  </si>
  <si>
    <t>ND90</t>
  </si>
  <si>
    <t>ND91</t>
  </si>
  <si>
    <t>ND92</t>
  </si>
  <si>
    <t>ND93</t>
  </si>
  <si>
    <t>ND94</t>
  </si>
  <si>
    <t>ND95</t>
  </si>
  <si>
    <t>ND96</t>
  </si>
  <si>
    <t>EBT</t>
  </si>
  <si>
    <t>E7806</t>
  </si>
  <si>
    <t>E7807</t>
  </si>
  <si>
    <t>E7809</t>
  </si>
  <si>
    <t>E7810</t>
  </si>
  <si>
    <t>E7811</t>
  </si>
  <si>
    <t>E7812</t>
  </si>
  <si>
    <t>E7813</t>
  </si>
  <si>
    <t>E7814</t>
  </si>
  <si>
    <t>E7815</t>
  </si>
  <si>
    <t>EK108</t>
  </si>
  <si>
    <t>E7829</t>
  </si>
  <si>
    <t>E7830</t>
  </si>
  <si>
    <t>LC701</t>
  </si>
  <si>
    <t>CGAGTAAT</t>
  </si>
  <si>
    <t>Amoy</t>
  </si>
  <si>
    <t>LC702</t>
  </si>
  <si>
    <t>TCTCCGGA</t>
  </si>
  <si>
    <t>LC703</t>
  </si>
  <si>
    <t>AATGAGCG</t>
  </si>
  <si>
    <t>LC704</t>
  </si>
  <si>
    <t>GGAATCTC</t>
  </si>
  <si>
    <t>LC705</t>
  </si>
  <si>
    <t>TTCTGAAT</t>
  </si>
  <si>
    <t>LC706</t>
  </si>
  <si>
    <t>ACGAATTC</t>
  </si>
  <si>
    <t>LC707</t>
  </si>
  <si>
    <t>LC708</t>
  </si>
  <si>
    <t>GCGCATTA</t>
  </si>
  <si>
    <t>LC709</t>
  </si>
  <si>
    <t>CATAGCCG</t>
  </si>
  <si>
    <t>LC710</t>
  </si>
  <si>
    <t>TTCGCGGA</t>
  </si>
  <si>
    <t>LC711</t>
  </si>
  <si>
    <t>GCGCGAGA</t>
  </si>
  <si>
    <t>LC712</t>
  </si>
  <si>
    <t>CTATCGCT</t>
  </si>
  <si>
    <t>LC501</t>
  </si>
  <si>
    <t>LC502</t>
  </si>
  <si>
    <t>LC503</t>
  </si>
  <si>
    <t>LC504</t>
  </si>
  <si>
    <t>LC505</t>
  </si>
  <si>
    <t>LC506</t>
  </si>
  <si>
    <t>LC507</t>
  </si>
  <si>
    <t>LC508</t>
  </si>
  <si>
    <t>LC001</t>
  </si>
  <si>
    <t>LC002</t>
  </si>
  <si>
    <t>LC003</t>
  </si>
  <si>
    <t>LC004</t>
  </si>
  <si>
    <t>LC005</t>
  </si>
  <si>
    <t>LC006</t>
  </si>
  <si>
    <t>LC007</t>
  </si>
  <si>
    <t>LC008</t>
  </si>
  <si>
    <t>LC009</t>
  </si>
  <si>
    <t>LC010</t>
  </si>
  <si>
    <t>LC011</t>
  </si>
  <si>
    <t>LC012</t>
  </si>
  <si>
    <t>LC013</t>
  </si>
  <si>
    <t>LC014</t>
  </si>
  <si>
    <t>LC015</t>
  </si>
  <si>
    <t>LC016</t>
  </si>
  <si>
    <t>LC017</t>
  </si>
  <si>
    <t>LC018</t>
  </si>
  <si>
    <t>LC019</t>
  </si>
  <si>
    <t>LC020</t>
  </si>
  <si>
    <t>LC021</t>
  </si>
  <si>
    <t>LC022</t>
  </si>
  <si>
    <t>LC023</t>
  </si>
  <si>
    <t>LC024</t>
  </si>
  <si>
    <t>LC025</t>
  </si>
  <si>
    <t>LC026</t>
  </si>
  <si>
    <t>LC027</t>
  </si>
  <si>
    <t>LC028</t>
  </si>
  <si>
    <t>LC029</t>
  </si>
  <si>
    <t>LC030</t>
  </si>
  <si>
    <t>LC031</t>
  </si>
  <si>
    <t>LC032</t>
  </si>
  <si>
    <t>LC033</t>
  </si>
  <si>
    <t>LC034</t>
  </si>
  <si>
    <t>LC035</t>
  </si>
  <si>
    <t>LC036</t>
  </si>
  <si>
    <t>LC037</t>
  </si>
  <si>
    <t>LC038</t>
  </si>
  <si>
    <t>LC039</t>
  </si>
  <si>
    <t>LC040</t>
  </si>
  <si>
    <t>LC041</t>
  </si>
  <si>
    <t>LC042</t>
  </si>
  <si>
    <t>LC043</t>
  </si>
  <si>
    <t>LC044</t>
  </si>
  <si>
    <t>LC045</t>
  </si>
  <si>
    <t>LC046</t>
  </si>
  <si>
    <t>LC047</t>
  </si>
  <si>
    <t>LC048</t>
  </si>
  <si>
    <t>LC049</t>
  </si>
  <si>
    <t>LC050</t>
  </si>
  <si>
    <t>LC051</t>
  </si>
  <si>
    <t>LC052</t>
  </si>
  <si>
    <t>LC053</t>
  </si>
  <si>
    <t>LC054</t>
  </si>
  <si>
    <t>LC055</t>
  </si>
  <si>
    <t>LC056</t>
  </si>
  <si>
    <t>LC057</t>
  </si>
  <si>
    <t>LC058</t>
  </si>
  <si>
    <t>LC059</t>
  </si>
  <si>
    <t>LC060</t>
  </si>
  <si>
    <t>LC061</t>
  </si>
  <si>
    <t>LC062</t>
  </si>
  <si>
    <t>LC063</t>
  </si>
  <si>
    <t>LC064</t>
  </si>
  <si>
    <t>LC065</t>
  </si>
  <si>
    <t>LC066</t>
  </si>
  <si>
    <t>LC067</t>
  </si>
  <si>
    <t>LC068</t>
  </si>
  <si>
    <t>LC069</t>
  </si>
  <si>
    <t>LC070</t>
  </si>
  <si>
    <t>LC071</t>
  </si>
  <si>
    <t>LC072</t>
  </si>
  <si>
    <t>LC073</t>
  </si>
  <si>
    <t>LC074</t>
  </si>
  <si>
    <t>LC075</t>
  </si>
  <si>
    <t>LC076</t>
  </si>
  <si>
    <t>LC077</t>
  </si>
  <si>
    <t>LC078</t>
  </si>
  <si>
    <t>LC079</t>
  </si>
  <si>
    <t>LC080</t>
  </si>
  <si>
    <t>LC081</t>
  </si>
  <si>
    <t>LC082</t>
  </si>
  <si>
    <t>LC083</t>
  </si>
  <si>
    <t>LC084</t>
  </si>
  <si>
    <t>LC085</t>
  </si>
  <si>
    <t>LC086</t>
  </si>
  <si>
    <t>LC087</t>
  </si>
  <si>
    <t>LC088</t>
  </si>
  <si>
    <t>LC089</t>
  </si>
  <si>
    <t>LC090</t>
  </si>
  <si>
    <t>LC091</t>
  </si>
  <si>
    <t>LC092</t>
  </si>
  <si>
    <t>LC093</t>
  </si>
  <si>
    <t>LC094</t>
  </si>
  <si>
    <t>LC095</t>
  </si>
  <si>
    <t>LC096</t>
  </si>
  <si>
    <t>T2927A</t>
  </si>
  <si>
    <t>T2928A</t>
  </si>
  <si>
    <t>T2929A</t>
  </si>
  <si>
    <t>T2930A</t>
  </si>
  <si>
    <t>T2931A</t>
  </si>
  <si>
    <t>T2934A</t>
  </si>
  <si>
    <t>T2935A</t>
  </si>
  <si>
    <t>V2234A</t>
  </si>
  <si>
    <t>V2235A</t>
  </si>
  <si>
    <t>EK831</t>
  </si>
  <si>
    <t>WGS</t>
  </si>
  <si>
    <t>AAABLA63</t>
  </si>
  <si>
    <t>SAAAFU90</t>
  </si>
  <si>
    <t>AAABLB18</t>
  </si>
  <si>
    <t>SAGAEV40</t>
  </si>
  <si>
    <t>AAABLD80</t>
  </si>
  <si>
    <t>AAABLD81</t>
  </si>
  <si>
    <t>AAABLD82</t>
  </si>
  <si>
    <t>AAABLD83</t>
  </si>
  <si>
    <t>AAABLD84</t>
  </si>
  <si>
    <t>AAABLD85</t>
  </si>
  <si>
    <t>AAABLD86</t>
  </si>
  <si>
    <t>SAAAFX48</t>
  </si>
  <si>
    <t>SAAAFX49</t>
  </si>
  <si>
    <t>SAAAFX50</t>
  </si>
  <si>
    <t>SAAAFX51</t>
  </si>
  <si>
    <t>SAAAFX52</t>
  </si>
  <si>
    <t>SAAAFX53</t>
  </si>
  <si>
    <t>SAAAFX54</t>
  </si>
  <si>
    <t>SAAAFX55</t>
  </si>
  <si>
    <t>SAAAFX56</t>
  </si>
  <si>
    <t>SAAAFX57</t>
  </si>
  <si>
    <t>SAAAFX58</t>
  </si>
  <si>
    <t>AAABLD87</t>
  </si>
  <si>
    <t>AAABLD88</t>
  </si>
  <si>
    <t>AAABLD89</t>
  </si>
  <si>
    <t>AAABLD90</t>
  </si>
  <si>
    <t>AAABLD91</t>
  </si>
  <si>
    <t>AAABLD92</t>
  </si>
  <si>
    <t>AAABLD93</t>
  </si>
  <si>
    <t>AAABLD94</t>
  </si>
  <si>
    <t>AAABLD95</t>
  </si>
  <si>
    <t>AAABLD96</t>
  </si>
  <si>
    <t>AAABLD97</t>
  </si>
  <si>
    <t>AAABLD98</t>
  </si>
  <si>
    <t>AAABLD99</t>
  </si>
  <si>
    <t>ASAAAB87</t>
  </si>
  <si>
    <t>SAAAFX59</t>
  </si>
  <si>
    <t>SAAAFX60</t>
  </si>
  <si>
    <t>SAAAFX61</t>
  </si>
  <si>
    <t>SAAAFX62</t>
  </si>
  <si>
    <t>SAAAFX63</t>
  </si>
  <si>
    <t>SAAAFX64</t>
  </si>
  <si>
    <t>SAAAFX65</t>
  </si>
  <si>
    <t>SAAAFX66</t>
  </si>
  <si>
    <t>SAAAFX67</t>
  </si>
  <si>
    <t>SAAAFX68</t>
  </si>
  <si>
    <t>SAAAFX69</t>
  </si>
  <si>
    <t>SAAAFX70</t>
  </si>
  <si>
    <t>SAAAFX71</t>
  </si>
  <si>
    <t>SAAAFX72</t>
  </si>
  <si>
    <t>SAAAFX73</t>
  </si>
  <si>
    <t>AAABLE01</t>
  </si>
  <si>
    <t>AAABLE02</t>
  </si>
  <si>
    <t>AAABLE03</t>
  </si>
  <si>
    <t>AAABLE04</t>
  </si>
  <si>
    <t>AAABLE05</t>
  </si>
  <si>
    <t>AAABLE06</t>
  </si>
  <si>
    <t>AAABLE07</t>
  </si>
  <si>
    <t>AAABLE08</t>
  </si>
  <si>
    <t>ASAAAB88</t>
  </si>
  <si>
    <t>SAAAFX74</t>
  </si>
  <si>
    <t>SAAAFX75</t>
  </si>
  <si>
    <t>SAAAFX76</t>
  </si>
  <si>
    <t>SAAAFX77</t>
  </si>
  <si>
    <t>SAAAFX78</t>
  </si>
  <si>
    <t>SAAAFX79</t>
  </si>
  <si>
    <t>SAAAFX80</t>
  </si>
  <si>
    <t>SAAAFX81</t>
  </si>
  <si>
    <t>SAAAFX82</t>
  </si>
  <si>
    <t>SAAAFX83</t>
  </si>
  <si>
    <t>SAAAFX84</t>
  </si>
  <si>
    <t>SAAAFX85</t>
  </si>
  <si>
    <t>AAABLE09</t>
  </si>
  <si>
    <t>AAABLE10</t>
  </si>
  <si>
    <t>AAABLE11</t>
  </si>
  <si>
    <t>AAABLE12</t>
  </si>
  <si>
    <t>AAABLE13</t>
  </si>
  <si>
    <t>AAABLE14</t>
  </si>
  <si>
    <t>AAABLE15</t>
  </si>
  <si>
    <t>AAABLE16</t>
  </si>
  <si>
    <t>AAABLE17</t>
  </si>
  <si>
    <t>AAABLE18</t>
  </si>
  <si>
    <t>AAABLE19</t>
  </si>
  <si>
    <t>AAABLE20</t>
  </si>
  <si>
    <t>AAABLE21</t>
  </si>
  <si>
    <t>AAABLE22</t>
  </si>
  <si>
    <t>AAABLE23</t>
  </si>
  <si>
    <t>AAABLE24</t>
  </si>
  <si>
    <t>AAABLE25</t>
  </si>
  <si>
    <t>AAABLE26</t>
  </si>
  <si>
    <t>AAABLE27</t>
  </si>
  <si>
    <t>AAABLE28</t>
  </si>
  <si>
    <t>AAABLE29</t>
  </si>
  <si>
    <t>AAABLE30</t>
  </si>
  <si>
    <t>AAABLE31</t>
  </si>
  <si>
    <t>AAABLE32</t>
  </si>
  <si>
    <t>AAABLE33</t>
  </si>
  <si>
    <t>ASAAAB89</t>
  </si>
  <si>
    <t>SAAAFY10</t>
  </si>
  <si>
    <t>SAAAFY11</t>
  </si>
  <si>
    <t>SAAAFY12</t>
  </si>
  <si>
    <t>SAAAFY13</t>
  </si>
  <si>
    <t>SAAAFY14</t>
  </si>
  <si>
    <t>SAAAFY15</t>
  </si>
  <si>
    <t>SAAAFY16</t>
  </si>
  <si>
    <t>SAAAFY17</t>
  </si>
  <si>
    <t>AAABLE34</t>
  </si>
  <si>
    <t>AAABLE35</t>
  </si>
  <si>
    <t>AAABLE36</t>
  </si>
  <si>
    <t>AAABLE37</t>
  </si>
  <si>
    <t>AAABLE38</t>
  </si>
  <si>
    <t>AAABLE39</t>
  </si>
  <si>
    <t>AAABLE40</t>
  </si>
  <si>
    <t>AAABLE41</t>
  </si>
  <si>
    <t>AAABLE42</t>
  </si>
  <si>
    <t>XAACLF30xxy</t>
  </si>
  <si>
    <t>SAAAFX86</t>
  </si>
  <si>
    <t>SAAAFX87</t>
  </si>
  <si>
    <t>SAAAFX88</t>
  </si>
  <si>
    <t>SAAAFX89</t>
  </si>
  <si>
    <t>SAAAFX90</t>
  </si>
  <si>
    <t>SAAAFX91</t>
  </si>
  <si>
    <t>SAAAFX92</t>
  </si>
  <si>
    <t>SAAAFX93</t>
  </si>
  <si>
    <t>SAAAFX94</t>
  </si>
  <si>
    <t>SAAAFX95</t>
  </si>
  <si>
    <t>SAAAFX96</t>
  </si>
  <si>
    <t>SAAAFX97</t>
  </si>
  <si>
    <t>SAAAFX98</t>
  </si>
  <si>
    <t>SAAAFX99</t>
  </si>
  <si>
    <t>SAAAFY01</t>
  </si>
  <si>
    <t>SAAAFY02</t>
  </si>
  <si>
    <t>SAAAFY03</t>
  </si>
  <si>
    <t>SAAAFY04</t>
  </si>
  <si>
    <t>SAAAFY05</t>
  </si>
  <si>
    <t>SAAAFY06</t>
  </si>
  <si>
    <t>SAAAFY07</t>
  </si>
  <si>
    <t>SAAAFY08</t>
  </si>
  <si>
    <t>SAAAFY09</t>
  </si>
  <si>
    <t>IAABQW98t21</t>
  </si>
  <si>
    <t>IAABRG88</t>
  </si>
  <si>
    <t>IAABRG89</t>
  </si>
  <si>
    <t>IAABRG90</t>
  </si>
  <si>
    <t>IAABRG91</t>
  </si>
  <si>
    <t>NAABNY59</t>
  </si>
  <si>
    <t>NAABNY60</t>
  </si>
  <si>
    <t>NAABNY61</t>
  </si>
  <si>
    <t>NAABNY62</t>
  </si>
  <si>
    <t>NAABNY63</t>
  </si>
  <si>
    <t>NAABNY64</t>
  </si>
  <si>
    <t>NAABNY65</t>
  </si>
  <si>
    <t>NAABNY66</t>
  </si>
  <si>
    <t>NAABNY67</t>
  </si>
  <si>
    <t>NAABNY68</t>
  </si>
  <si>
    <t>NAABNY69</t>
  </si>
  <si>
    <t>NAABNY70</t>
  </si>
  <si>
    <t>NAABNY71</t>
  </si>
  <si>
    <t>NAABNY72</t>
  </si>
  <si>
    <t>NAABNY73</t>
  </si>
  <si>
    <t>NAABNY74</t>
  </si>
  <si>
    <t>NAABNY75</t>
  </si>
  <si>
    <t>NAABNY76</t>
  </si>
  <si>
    <t>NAABNY77</t>
  </si>
  <si>
    <t>NAABNY78</t>
  </si>
  <si>
    <t>IAABRG92</t>
  </si>
  <si>
    <t>IAABRG93</t>
  </si>
  <si>
    <t>IAABRG94</t>
  </si>
  <si>
    <t>IAABRG95</t>
  </si>
  <si>
    <t>IAABRG96</t>
  </si>
  <si>
    <t>IAABRG97</t>
  </si>
  <si>
    <t>IAABRG98</t>
  </si>
  <si>
    <t>IAABRG99</t>
  </si>
  <si>
    <t>IAABRH01</t>
  </si>
  <si>
    <t>IAABRH02</t>
  </si>
  <si>
    <t>IAABRH03</t>
  </si>
  <si>
    <t>IAABRH04</t>
  </si>
  <si>
    <t>IAABRH05</t>
  </si>
  <si>
    <t>IAABRH06</t>
  </si>
  <si>
    <t>IAABRH07</t>
  </si>
  <si>
    <t>IAABRH08</t>
  </si>
  <si>
    <t>IAABRH09</t>
  </si>
  <si>
    <t>IAABRH10</t>
  </si>
  <si>
    <t>IAABRH11</t>
  </si>
  <si>
    <t>NAABNY79</t>
  </si>
  <si>
    <t>NAABNY80</t>
  </si>
  <si>
    <t>NAABNY81</t>
  </si>
  <si>
    <t>NAABNY82</t>
  </si>
  <si>
    <t>NAABNY83</t>
  </si>
  <si>
    <t>XAGBRW02t13</t>
  </si>
  <si>
    <t>SAAAFJ38t18</t>
  </si>
  <si>
    <t>SAAAFJ60t21</t>
  </si>
  <si>
    <t>WGAAAC75</t>
  </si>
  <si>
    <t>WGGAAD10</t>
  </si>
  <si>
    <t>WGS1</t>
  </si>
  <si>
    <t>WGS2</t>
  </si>
  <si>
    <t>L01</t>
  </si>
  <si>
    <t>T72_C_R8936_MGI_09_01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</si>
</sst>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F400]h:mm:ss\ AM/PM"/>
    <numFmt numFmtId="165" formatCode="mm/dd/yy"/>
    <numFmt numFmtId="166" formatCode="yyyy\-mm\-dd"/>
    <numFmt numFmtId="167" formatCode="_(* #,##0_);_(* \(#,##0\);_(* &quot;-&quot;??_);_(@_)"/>
    <numFmt numFmtId="168" formatCode="dd/mm/yyyy"/>
  </numFmts>
  <fonts count="8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2"/>
      <color theme="1"/>
      <name val="Calibri"/>
      <family val="2"/>
    </font>
    <font>
      <sz val="11"/>
      <name val="Arial"/>
      <family val="2"/>
    </font>
    <font>
      <sz val="11"/>
      <color theme="1"/>
      <name val="Calibri"/>
      <family val="2"/>
    </font>
    <font>
      <b/>
      <sz val="18"/>
      <color rgb="FFFF0000"/>
      <name val="Verdana"/>
      <family val="2"/>
    </font>
    <font>
      <sz val="18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ourier New"/>
      <family val="3"/>
    </font>
    <font>
      <sz val="11"/>
      <color rgb="FF000000"/>
      <name val="Courier New"/>
      <family val="3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sz val="11"/>
      <color indexed="0"/>
      <name val="Calibri"/>
      <family val="2"/>
      <scheme val="minor"/>
    </font>
    <font>
      <sz val="11"/>
      <color indexed="8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0"/>
      <name val="Verdana"/>
      <family val="2"/>
    </font>
    <font>
      <sz val="10"/>
      <color indexed="0"/>
      <name val="Verdana"/>
      <family val="2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0.5"/>
      <color rgb="FF000000"/>
      <name val="Calibri"/>
      <family val="2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</font>
    <font>
      <b/>
      <sz val="11"/>
      <name val="Arial"/>
      <family val="2"/>
    </font>
    <font>
      <sz val="11"/>
      <color indexed="8"/>
      <name val="Calibri"/>
      <family val="2"/>
    </font>
    <font>
      <sz val="13"/>
      <color rgb="FF333333"/>
      <name val="Courier New"/>
      <family val="3"/>
    </font>
    <font>
      <sz val="12"/>
      <color indexed="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333333"/>
      <name val="Source Sans Pro"/>
      <family val="2"/>
    </font>
    <font>
      <i/>
      <sz val="11"/>
      <color rgb="FFCC5555"/>
      <name val="Source Sans Pro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0"/>
      <name val="Arial"/>
      <family val="2"/>
      <charset val="1"/>
    </font>
    <font>
      <b/>
      <sz val="11"/>
      <color rgb="FFFF0000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  <fill>
      <patternFill patternType="solid">
        <fgColor rgb="FFF2DBDB"/>
        <bgColor rgb="FFF2DBDB"/>
      </patternFill>
    </fill>
    <fill>
      <patternFill patternType="solid">
        <fgColor rgb="FFDBE5F1"/>
        <bgColor rgb="FFDBE5F1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rgb="FFF4F4F4"/>
      </left>
      <right style="medium">
        <color rgb="FFF4F4F4"/>
      </right>
      <top style="medium">
        <color rgb="FFF4F4F4"/>
      </top>
      <bottom style="medium">
        <color rgb="FFF4F4F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41042">
    <xf numFmtId="0" fontId="0" fillId="0" borderId="0"/>
    <xf numFmtId="164" fontId="1" fillId="0" borderId="0"/>
    <xf numFmtId="0" fontId="19" fillId="0" borderId="0" applyFill="0" applyProtection="0"/>
    <xf numFmtId="0" fontId="22" fillId="0" borderId="0" applyFill="0" applyProtection="0"/>
    <xf numFmtId="164" fontId="38" fillId="0" borderId="0"/>
    <xf numFmtId="43" fontId="39" fillId="0" borderId="0" applyFont="0" applyFill="0" applyBorder="0" applyAlignment="0" applyProtection="0"/>
    <xf numFmtId="164" fontId="23" fillId="0" borderId="0" applyNumberFormat="0" applyFill="0" applyBorder="0" applyAlignment="0" applyProtection="0"/>
    <xf numFmtId="164" fontId="24" fillId="0" borderId="8" applyNumberFormat="0" applyFill="0" applyAlignment="0" applyProtection="0"/>
    <xf numFmtId="164" fontId="25" fillId="0" borderId="9" applyNumberFormat="0" applyFill="0" applyAlignment="0" applyProtection="0"/>
    <xf numFmtId="164" fontId="26" fillId="0" borderId="10" applyNumberFormat="0" applyFill="0" applyAlignment="0" applyProtection="0"/>
    <xf numFmtId="164" fontId="26" fillId="0" borderId="0" applyNumberFormat="0" applyFill="0" applyBorder="0" applyAlignment="0" applyProtection="0"/>
    <xf numFmtId="164" fontId="27" fillId="7" borderId="0" applyNumberFormat="0" applyBorder="0" applyAlignment="0" applyProtection="0"/>
    <xf numFmtId="164" fontId="28" fillId="8" borderId="0" applyNumberFormat="0" applyBorder="0" applyAlignment="0" applyProtection="0"/>
    <xf numFmtId="164" fontId="40" fillId="9" borderId="0" applyNumberFormat="0" applyBorder="0" applyAlignment="0" applyProtection="0"/>
    <xf numFmtId="164" fontId="29" fillId="10" borderId="11" applyNumberFormat="0" applyAlignment="0" applyProtection="0"/>
    <xf numFmtId="164" fontId="30" fillId="11" borderId="12" applyNumberFormat="0" applyAlignment="0" applyProtection="0"/>
    <xf numFmtId="164" fontId="31" fillId="11" borderId="11" applyNumberFormat="0" applyAlignment="0" applyProtection="0"/>
    <xf numFmtId="164" fontId="32" fillId="0" borderId="13" applyNumberFormat="0" applyFill="0" applyAlignment="0" applyProtection="0"/>
    <xf numFmtId="164" fontId="33" fillId="12" borderId="14" applyNumberFormat="0" applyAlignment="0" applyProtection="0"/>
    <xf numFmtId="164" fontId="34" fillId="0" borderId="0" applyNumberFormat="0" applyFill="0" applyBorder="0" applyAlignment="0" applyProtection="0"/>
    <xf numFmtId="164" fontId="35" fillId="0" borderId="0" applyNumberFormat="0" applyFill="0" applyBorder="0" applyAlignment="0" applyProtection="0"/>
    <xf numFmtId="164" fontId="36" fillId="0" borderId="16" applyNumberFormat="0" applyFill="0" applyAlignment="0" applyProtection="0"/>
    <xf numFmtId="164" fontId="37" fillId="14" borderId="0" applyNumberFormat="0" applyBorder="0" applyAlignment="0" applyProtection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37" fillId="18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37" fillId="22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37" fillId="26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37" fillId="30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37" fillId="34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39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164" fontId="1" fillId="15" borderId="0" applyNumberFormat="0" applyBorder="0" applyAlignment="0" applyProtection="0"/>
    <xf numFmtId="164" fontId="1" fillId="16" borderId="0" applyNumberFormat="0" applyBorder="0" applyAlignment="0" applyProtection="0"/>
    <xf numFmtId="164" fontId="1" fillId="17" borderId="0" applyNumberFormat="0" applyBorder="0" applyAlignment="0" applyProtection="0"/>
    <xf numFmtId="164" fontId="1" fillId="19" borderId="0" applyNumberFormat="0" applyBorder="0" applyAlignment="0" applyProtection="0"/>
    <xf numFmtId="164" fontId="1" fillId="20" borderId="0" applyNumberFormat="0" applyBorder="0" applyAlignment="0" applyProtection="0"/>
    <xf numFmtId="164" fontId="1" fillId="21" borderId="0" applyNumberFormat="0" applyBorder="0" applyAlignment="0" applyProtection="0"/>
    <xf numFmtId="164" fontId="1" fillId="23" borderId="0" applyNumberFormat="0" applyBorder="0" applyAlignment="0" applyProtection="0"/>
    <xf numFmtId="164" fontId="1" fillId="24" borderId="0" applyNumberFormat="0" applyBorder="0" applyAlignment="0" applyProtection="0"/>
    <xf numFmtId="164" fontId="1" fillId="25" borderId="0" applyNumberFormat="0" applyBorder="0" applyAlignment="0" applyProtection="0"/>
    <xf numFmtId="164" fontId="1" fillId="27" borderId="0" applyNumberFormat="0" applyBorder="0" applyAlignment="0" applyProtection="0"/>
    <xf numFmtId="164" fontId="1" fillId="28" borderId="0" applyNumberFormat="0" applyBorder="0" applyAlignment="0" applyProtection="0"/>
    <xf numFmtId="164" fontId="1" fillId="29" borderId="0" applyNumberFormat="0" applyBorder="0" applyAlignment="0" applyProtection="0"/>
    <xf numFmtId="164" fontId="1" fillId="31" borderId="0" applyNumberFormat="0" applyBorder="0" applyAlignment="0" applyProtection="0"/>
    <xf numFmtId="164" fontId="1" fillId="32" borderId="0" applyNumberFormat="0" applyBorder="0" applyAlignment="0" applyProtection="0"/>
    <xf numFmtId="164" fontId="1" fillId="33" borderId="0" applyNumberFormat="0" applyBorder="0" applyAlignment="0" applyProtection="0"/>
    <xf numFmtId="164" fontId="1" fillId="35" borderId="0" applyNumberFormat="0" applyBorder="0" applyAlignment="0" applyProtection="0"/>
    <xf numFmtId="164" fontId="1" fillId="36" borderId="0" applyNumberFormat="0" applyBorder="0" applyAlignment="0" applyProtection="0"/>
    <xf numFmtId="164" fontId="1" fillId="37" borderId="0" applyNumberFormat="0" applyBorder="0" applyAlignment="0" applyProtection="0"/>
    <xf numFmtId="164" fontId="1" fillId="13" borderId="15" applyNumberFormat="0" applyFont="0" applyAlignment="0" applyProtection="0"/>
    <xf numFmtId="164" fontId="1" fillId="0" borderId="0"/>
    <xf numFmtId="0" fontId="1" fillId="0" borderId="0"/>
    <xf numFmtId="0" fontId="18" fillId="0" borderId="0"/>
    <xf numFmtId="0" fontId="20" fillId="0" borderId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1" fillId="0" borderId="0"/>
    <xf numFmtId="0" fontId="1" fillId="0" borderId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1" fillId="0" borderId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22" fillId="0" borderId="0" applyFill="0" applyProtection="0"/>
    <xf numFmtId="0" fontId="46" fillId="0" borderId="0" applyFill="0" applyProtection="0"/>
    <xf numFmtId="0" fontId="47" fillId="0" borderId="0" applyFill="0" applyProtection="0"/>
    <xf numFmtId="0" fontId="48" fillId="0" borderId="0" applyFill="0" applyProtection="0"/>
    <xf numFmtId="0" fontId="49" fillId="0" borderId="0" applyFill="0" applyProtection="0"/>
    <xf numFmtId="0" fontId="50" fillId="0" borderId="0" applyFill="0" applyProtection="0"/>
    <xf numFmtId="0" fontId="51" fillId="0" borderId="0" applyFill="0" applyProtection="0"/>
    <xf numFmtId="0" fontId="54" fillId="0" borderId="0" applyFill="0" applyProtection="0"/>
    <xf numFmtId="0" fontId="58" fillId="0" borderId="0" applyFill="0" applyProtection="0"/>
    <xf numFmtId="0" fontId="59" fillId="0" borderId="0" applyFill="0" applyProtection="0"/>
    <xf numFmtId="0" fontId="60" fillId="0" borderId="0" applyFill="0" applyProtection="0"/>
    <xf numFmtId="0" fontId="61" fillId="0" borderId="0" applyFill="0" applyProtection="0"/>
    <xf numFmtId="0" fontId="62" fillId="0" borderId="0" applyFill="0" applyProtection="0"/>
    <xf numFmtId="0" fontId="63" fillId="0" borderId="0" applyFill="0" applyProtection="0"/>
    <xf numFmtId="0" fontId="64" fillId="0" borderId="0" applyFill="0" applyProtection="0"/>
    <xf numFmtId="0" fontId="65" fillId="0" borderId="0" applyFill="0" applyProtection="0"/>
    <xf numFmtId="0" fontId="68" fillId="0" borderId="0" applyFill="0" applyProtection="0"/>
    <xf numFmtId="0" fontId="69" fillId="0" borderId="0" applyFill="0" applyProtection="0"/>
    <xf numFmtId="0" fontId="70" fillId="0" borderId="0" applyFill="0" applyProtection="0"/>
    <xf numFmtId="0" fontId="71" fillId="0" borderId="0" applyFill="0" applyProtection="0"/>
    <xf numFmtId="0" fontId="72" fillId="0" borderId="0" applyFill="0" applyProtection="0"/>
    <xf numFmtId="0" fontId="73" fillId="0" borderId="0" applyFill="0" applyProtection="0"/>
    <xf numFmtId="0" fontId="74" fillId="0" borderId="0" applyFill="0" applyProtection="0"/>
    <xf numFmtId="0" fontId="75" fillId="0" borderId="0" applyFill="0" applyProtection="0"/>
    <xf numFmtId="0" fontId="19" fillId="0" borderId="0" applyFill="0" applyProtection="0"/>
    <xf numFmtId="0" fontId="76" fillId="0" borderId="0" applyFill="0" applyProtection="0"/>
    <xf numFmtId="0" fontId="77" fillId="0" borderId="0" applyFill="0" applyProtection="0"/>
    <xf numFmtId="0" fontId="78" fillId="0" borderId="0" applyFill="0" applyProtection="0"/>
    <xf numFmtId="0" fontId="19" fillId="0" borderId="0" applyFill="0" applyProtection="0"/>
    <xf numFmtId="0" fontId="19" fillId="0" borderId="0" applyFill="0" applyProtection="0"/>
    <xf numFmtId="0" fontId="79" fillId="0" borderId="0"/>
  </cellStyleXfs>
  <cellXfs count="140">
    <xf numFmtId="0" fontId="0" fillId="0" borderId="0" xfId="0"/>
    <xf numFmtId="164" fontId="0" fillId="0" borderId="0" xfId="0" applyNumberFormat="1"/>
    <xf numFmtId="0" fontId="8" fillId="0" borderId="0" xfId="0" applyFont="1"/>
    <xf numFmtId="164" fontId="8" fillId="0" borderId="0" xfId="0" applyNumberFormat="1" applyFont="1"/>
    <xf numFmtId="164" fontId="9" fillId="3" borderId="0" xfId="0" applyNumberFormat="1" applyFont="1" applyFill="1"/>
    <xf numFmtId="164" fontId="10" fillId="3" borderId="0" xfId="0" applyNumberFormat="1" applyFont="1" applyFill="1"/>
    <xf numFmtId="164" fontId="10" fillId="3" borderId="0" xfId="0" applyNumberFormat="1" applyFont="1" applyFill="1" applyAlignment="1">
      <alignment horizontal="left"/>
    </xf>
    <xf numFmtId="164" fontId="11" fillId="3" borderId="0" xfId="0" applyNumberFormat="1" applyFont="1" applyFill="1"/>
    <xf numFmtId="164" fontId="0" fillId="3" borderId="0" xfId="0" applyNumberFormat="1" applyFill="1"/>
    <xf numFmtId="164" fontId="11" fillId="3" borderId="0" xfId="0" applyNumberFormat="1" applyFont="1" applyFill="1" applyAlignment="1">
      <alignment horizontal="left"/>
    </xf>
    <xf numFmtId="164" fontId="11" fillId="0" borderId="3" xfId="0" applyNumberFormat="1" applyFont="1" applyBorder="1" applyAlignment="1">
      <alignment horizontal="center" vertical="center"/>
    </xf>
    <xf numFmtId="164" fontId="12" fillId="0" borderId="4" xfId="0" applyNumberFormat="1" applyFont="1" applyBorder="1"/>
    <xf numFmtId="164" fontId="0" fillId="0" borderId="4" xfId="0" applyNumberFormat="1" applyBorder="1" applyAlignment="1">
      <alignment horizontal="left"/>
    </xf>
    <xf numFmtId="164" fontId="0" fillId="0" borderId="4" xfId="0" applyNumberFormat="1" applyBorder="1"/>
    <xf numFmtId="164" fontId="11" fillId="0" borderId="0" xfId="0" applyNumberFormat="1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1" fillId="4" borderId="5" xfId="0" applyNumberFormat="1" applyFont="1" applyFill="1" applyBorder="1" applyAlignment="1">
      <alignment horizontal="center" vertical="center"/>
    </xf>
    <xf numFmtId="164" fontId="0" fillId="4" borderId="4" xfId="0" applyNumberFormat="1" applyFill="1" applyBorder="1"/>
    <xf numFmtId="164" fontId="0" fillId="4" borderId="4" xfId="0" applyNumberFormat="1" applyFill="1" applyBorder="1" applyAlignment="1">
      <alignment horizontal="left"/>
    </xf>
    <xf numFmtId="164" fontId="11" fillId="4" borderId="6" xfId="0" applyNumberFormat="1" applyFont="1" applyFill="1" applyBorder="1" applyAlignment="1">
      <alignment horizontal="center" vertical="center"/>
    </xf>
    <xf numFmtId="164" fontId="11" fillId="4" borderId="7" xfId="0" applyNumberFormat="1" applyFont="1" applyFill="1" applyBorder="1" applyAlignment="1">
      <alignment horizontal="center" vertical="center"/>
    </xf>
    <xf numFmtId="164" fontId="11" fillId="5" borderId="5" xfId="0" applyNumberFormat="1" applyFont="1" applyFill="1" applyBorder="1" applyAlignment="1">
      <alignment horizontal="center" vertical="center"/>
    </xf>
    <xf numFmtId="164" fontId="0" fillId="5" borderId="4" xfId="0" applyNumberFormat="1" applyFill="1" applyBorder="1"/>
    <xf numFmtId="164" fontId="0" fillId="5" borderId="4" xfId="0" applyNumberFormat="1" applyFill="1" applyBorder="1" applyAlignment="1">
      <alignment horizontal="left"/>
    </xf>
    <xf numFmtId="164" fontId="11" fillId="6" borderId="6" xfId="0" applyNumberFormat="1" applyFont="1" applyFill="1" applyBorder="1" applyAlignment="1">
      <alignment horizontal="center" vertical="center"/>
    </xf>
    <xf numFmtId="164" fontId="0" fillId="6" borderId="4" xfId="0" applyNumberFormat="1" applyFill="1" applyBorder="1"/>
    <xf numFmtId="164" fontId="0" fillId="6" borderId="4" xfId="0" applyNumberFormat="1" applyFill="1" applyBorder="1" applyAlignment="1">
      <alignment horizontal="left"/>
    </xf>
    <xf numFmtId="164" fontId="13" fillId="0" borderId="0" xfId="0" applyNumberFormat="1" applyFont="1"/>
    <xf numFmtId="164" fontId="14" fillId="0" borderId="0" xfId="0" applyNumberFormat="1" applyFont="1"/>
    <xf numFmtId="164" fontId="0" fillId="0" borderId="6" xfId="0" applyNumberFormat="1" applyBorder="1"/>
    <xf numFmtId="167" fontId="0" fillId="0" borderId="6" xfId="0" applyNumberFormat="1" applyBorder="1" applyAlignment="1">
      <alignment horizontal="left"/>
    </xf>
    <xf numFmtId="164" fontId="12" fillId="6" borderId="4" xfId="0" applyNumberFormat="1" applyFont="1" applyFill="1" applyBorder="1"/>
    <xf numFmtId="0" fontId="15" fillId="0" borderId="0" xfId="0" applyFont="1"/>
    <xf numFmtId="164" fontId="11" fillId="6" borderId="7" xfId="0" applyNumberFormat="1" applyFont="1" applyFill="1" applyBorder="1" applyAlignment="1">
      <alignment horizontal="center" vertical="center"/>
    </xf>
    <xf numFmtId="164" fontId="11" fillId="4" borderId="4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right"/>
    </xf>
    <xf numFmtId="0" fontId="16" fillId="0" borderId="0" xfId="0" applyFont="1"/>
    <xf numFmtId="164" fontId="0" fillId="0" borderId="0" xfId="0" applyNumberFormat="1" applyAlignment="1">
      <alignment horizontal="left"/>
    </xf>
    <xf numFmtId="0" fontId="16" fillId="3" borderId="0" xfId="0" applyFont="1" applyFill="1"/>
    <xf numFmtId="164" fontId="3" fillId="0" borderId="0" xfId="0" applyNumberFormat="1" applyFont="1" applyAlignment="1">
      <alignment vertical="center"/>
    </xf>
    <xf numFmtId="164" fontId="5" fillId="0" borderId="0" xfId="0" applyNumberFormat="1" applyFont="1"/>
    <xf numFmtId="164" fontId="4" fillId="0" borderId="0" xfId="0" applyNumberFormat="1" applyFont="1"/>
    <xf numFmtId="14" fontId="8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0" xfId="0" applyFont="1"/>
    <xf numFmtId="164" fontId="42" fillId="0" borderId="0" xfId="0" applyNumberFormat="1" applyFont="1"/>
    <xf numFmtId="1" fontId="42" fillId="0" borderId="0" xfId="0" applyNumberFormat="1" applyFont="1"/>
    <xf numFmtId="0" fontId="7" fillId="0" borderId="0" xfId="0" applyFont="1" applyAlignment="1">
      <alignment horizontal="center" vertical="center"/>
    </xf>
    <xf numFmtId="0" fontId="44" fillId="0" borderId="0" xfId="0" applyFont="1" applyAlignment="1">
      <alignment horizontal="justify" vertical="center"/>
    </xf>
    <xf numFmtId="0" fontId="44" fillId="0" borderId="0" xfId="0" applyFont="1" applyAlignment="1">
      <alignment horizontal="left" vertical="center"/>
    </xf>
    <xf numFmtId="164" fontId="1" fillId="0" borderId="0" xfId="1"/>
    <xf numFmtId="0" fontId="43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1" fillId="0" borderId="0" xfId="0" applyFont="1" applyAlignment="1">
      <alignment horizontal="center" vertical="center"/>
    </xf>
    <xf numFmtId="1" fontId="45" fillId="0" borderId="17" xfId="0" applyNumberFormat="1" applyFont="1" applyBorder="1" applyAlignment="1">
      <alignment horizontal="center"/>
    </xf>
    <xf numFmtId="1" fontId="34" fillId="0" borderId="17" xfId="0" applyNumberFormat="1" applyFont="1" applyBorder="1" applyAlignment="1">
      <alignment horizontal="center"/>
    </xf>
    <xf numFmtId="164" fontId="7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5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4" fontId="42" fillId="0" borderId="0" xfId="0" applyNumberFormat="1" applyFont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16" fontId="42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49" fontId="52" fillId="0" borderId="1" xfId="0" applyNumberFormat="1" applyFont="1" applyBorder="1" applyAlignment="1">
      <alignment horizontal="center" vertical="center"/>
    </xf>
    <xf numFmtId="164" fontId="52" fillId="0" borderId="1" xfId="0" applyNumberFormat="1" applyFont="1" applyBorder="1" applyAlignment="1">
      <alignment horizontal="center" vertical="center"/>
    </xf>
    <xf numFmtId="165" fontId="52" fillId="0" borderId="1" xfId="0" applyNumberFormat="1" applyFont="1" applyBorder="1" applyAlignment="1">
      <alignment horizontal="center" vertical="center"/>
    </xf>
    <xf numFmtId="166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2" fontId="52" fillId="0" borderId="1" xfId="0" applyNumberFormat="1" applyFont="1" applyBorder="1" applyAlignment="1">
      <alignment horizontal="center" vertical="center"/>
    </xf>
    <xf numFmtId="1" fontId="52" fillId="0" borderId="1" xfId="0" applyNumberFormat="1" applyFont="1" applyBorder="1" applyAlignment="1">
      <alignment horizontal="center" vertical="center"/>
    </xf>
    <xf numFmtId="0" fontId="52" fillId="2" borderId="1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5" fillId="38" borderId="2" xfId="0" applyFont="1" applyFill="1" applyBorder="1" applyAlignment="1">
      <alignment vertical="top" wrapText="1"/>
    </xf>
    <xf numFmtId="0" fontId="56" fillId="0" borderId="0" xfId="0" applyFont="1" applyAlignment="1">
      <alignment horizontal="center" wrapText="1"/>
    </xf>
    <xf numFmtId="14" fontId="57" fillId="0" borderId="0" xfId="0" applyNumberFormat="1" applyFont="1" applyAlignment="1">
      <alignment horizont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vertical="center"/>
    </xf>
    <xf numFmtId="0" fontId="17" fillId="0" borderId="0" xfId="0" applyFont="1" applyAlignment="1">
      <alignment horizontal="left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center"/>
    </xf>
    <xf numFmtId="0" fontId="0" fillId="0" borderId="19" xfId="0" applyBorder="1" applyAlignment="1">
      <alignment wrapText="1"/>
    </xf>
    <xf numFmtId="0" fontId="0" fillId="0" borderId="19" xfId="0" applyBorder="1" applyAlignment="1">
      <alignment horizontal="center" vertical="center" wrapText="1"/>
    </xf>
    <xf numFmtId="0" fontId="0" fillId="0" borderId="0" xfId="1" applyNumberFormat="1" applyFont="1" applyAlignment="1">
      <alignment horizontal="center"/>
    </xf>
    <xf numFmtId="164" fontId="0" fillId="0" borderId="0" xfId="1" applyFont="1" applyAlignment="1">
      <alignment horizontal="center"/>
    </xf>
    <xf numFmtId="0" fontId="66" fillId="38" borderId="2" xfId="0" applyFont="1" applyFill="1" applyBorder="1" applyAlignment="1">
      <alignment horizontal="center" vertical="top" wrapText="1"/>
    </xf>
    <xf numFmtId="0" fontId="67" fillId="38" borderId="2" xfId="0" applyFont="1" applyFill="1" applyBorder="1" applyAlignment="1">
      <alignment vertical="top" wrapText="1"/>
    </xf>
    <xf numFmtId="0" fontId="66" fillId="38" borderId="2" xfId="0" applyFont="1" applyFill="1" applyBorder="1" applyAlignment="1">
      <alignment vertical="top" wrapText="1"/>
    </xf>
    <xf numFmtId="1" fontId="21" fillId="0" borderId="0" xfId="0" applyNumberFormat="1" applyFont="1" applyAlignment="1">
      <alignment horizontal="center" vertical="center"/>
    </xf>
    <xf numFmtId="0" fontId="0" fillId="0" borderId="18" xfId="0" applyBorder="1" applyAlignment="1">
      <alignment horizontal="center" wrapText="1"/>
    </xf>
    <xf numFmtId="0" fontId="0" fillId="39" borderId="20" xfId="0" applyFill="1" applyBorder="1" applyAlignment="1">
      <alignment wrapText="1"/>
    </xf>
    <xf numFmtId="0" fontId="0" fillId="38" borderId="20" xfId="0" applyFill="1" applyBorder="1" applyAlignment="1">
      <alignment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39" borderId="21" xfId="0" applyFill="1" applyBorder="1" applyAlignment="1">
      <alignment wrapText="1"/>
    </xf>
    <xf numFmtId="0" fontId="0" fillId="0" borderId="22" xfId="0" applyBorder="1" applyAlignment="1">
      <alignment horizontal="center" wrapText="1"/>
    </xf>
    <xf numFmtId="0" fontId="0" fillId="38" borderId="21" xfId="0" applyFill="1" applyBorder="1" applyAlignment="1">
      <alignment wrapText="1"/>
    </xf>
    <xf numFmtId="0" fontId="5" fillId="39" borderId="21" xfId="0" applyFont="1" applyFill="1" applyBorder="1" applyAlignment="1">
      <alignment wrapText="1"/>
    </xf>
    <xf numFmtId="0" fontId="0" fillId="0" borderId="22" xfId="0" applyBorder="1" applyAlignment="1">
      <alignment horizontal="right" wrapText="1"/>
    </xf>
    <xf numFmtId="0" fontId="0" fillId="0" borderId="23" xfId="0" applyBorder="1" applyAlignment="1">
      <alignment wrapText="1"/>
    </xf>
    <xf numFmtId="0" fontId="0" fillId="0" borderId="24" xfId="0" applyBorder="1" applyAlignment="1">
      <alignment wrapText="1"/>
    </xf>
    <xf numFmtId="0" fontId="5" fillId="0" borderId="22" xfId="0" applyFont="1" applyBorder="1" applyAlignment="1">
      <alignment horizontal="center" wrapText="1"/>
    </xf>
    <xf numFmtId="0" fontId="5" fillId="38" borderId="21" xfId="0" applyFont="1" applyFill="1" applyBorder="1" applyAlignment="1">
      <alignment wrapText="1"/>
    </xf>
    <xf numFmtId="0" fontId="0" fillId="0" borderId="22" xfId="0" applyBorder="1" applyAlignment="1">
      <alignment wrapText="1"/>
    </xf>
    <xf numFmtId="0" fontId="0" fillId="0" borderId="22" xfId="0" applyBorder="1" applyAlignment="1">
      <alignment horizontal="center" vertical="center" wrapText="1"/>
    </xf>
    <xf numFmtId="0" fontId="0" fillId="0" borderId="25" xfId="0" applyBorder="1" applyAlignment="1">
      <alignment wrapText="1"/>
    </xf>
    <xf numFmtId="0" fontId="0" fillId="40" borderId="22" xfId="0" applyFill="1" applyBorder="1" applyAlignment="1">
      <alignment horizontal="center" wrapText="1"/>
    </xf>
    <xf numFmtId="0" fontId="0" fillId="0" borderId="21" xfId="0" applyBorder="1" applyAlignment="1">
      <alignment wrapText="1"/>
    </xf>
    <xf numFmtId="0" fontId="0" fillId="40" borderId="22" xfId="0" applyFill="1" applyBorder="1" applyAlignment="1">
      <alignment horizontal="right" wrapText="1"/>
    </xf>
    <xf numFmtId="0" fontId="0" fillId="0" borderId="19" xfId="0" applyBorder="1" applyAlignment="1">
      <alignment horizontal="right" wrapText="1"/>
    </xf>
    <xf numFmtId="0" fontId="0" fillId="40" borderId="19" xfId="0" applyFill="1" applyBorder="1" applyAlignment="1">
      <alignment horizontal="right" wrapText="1"/>
    </xf>
    <xf numFmtId="0" fontId="0" fillId="0" borderId="26" xfId="0" applyBorder="1" applyAlignment="1">
      <alignment horizontal="right" wrapText="1"/>
    </xf>
    <xf numFmtId="0" fontId="0" fillId="0" borderId="25" xfId="0" applyBorder="1" applyAlignment="1">
      <alignment horizontal="right" wrapText="1"/>
    </xf>
    <xf numFmtId="0" fontId="28" fillId="41" borderId="19" xfId="0" applyFont="1" applyFill="1" applyBorder="1" applyAlignment="1">
      <alignment horizontal="right" wrapText="1"/>
    </xf>
    <xf numFmtId="0" fontId="5" fillId="42" borderId="21" xfId="0" applyFont="1" applyFill="1" applyBorder="1" applyAlignment="1">
      <alignment wrapText="1"/>
    </xf>
    <xf numFmtId="0" fontId="0" fillId="0" borderId="27" xfId="0" applyBorder="1" applyAlignment="1">
      <alignment horizontal="right" wrapText="1"/>
    </xf>
    <xf numFmtId="0" fontId="20" fillId="0" borderId="0" xfId="0" applyFont="1"/>
    <xf numFmtId="0" fontId="80" fillId="0" borderId="0" xfId="0" applyFont="1" applyAlignment="1">
      <alignment wrapText="1"/>
    </xf>
    <xf numFmtId="1" fontId="0" fillId="0" borderId="0" xfId="0" applyNumberFormat="1"/>
    <xf numFmtId="164" fontId="0" fillId="43" borderId="0" xfId="0" applyNumberFormat="1" applyFill="1"/>
    <xf numFmtId="0" fontId="19" fillId="0" borderId="0" xfId="2" applyAlignment="1">
      <alignment horizontal="center"/>
    </xf>
    <xf numFmtId="164" fontId="0" fillId="43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43" borderId="0" xfId="0" applyFill="1" applyAlignment="1">
      <alignment horizontal="center" vertical="center"/>
    </xf>
    <xf numFmtId="164" fontId="7" fillId="43" borderId="0" xfId="0" applyNumberFormat="1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168" fontId="42" fillId="0" borderId="0" xfId="0" applyNumberFormat="1" applyFont="1" applyAlignment="1">
      <alignment horizontal="center" vertical="center"/>
    </xf>
    <xf numFmtId="168" fontId="52" fillId="0" borderId="1" xfId="0" applyNumberFormat="1" applyFont="1" applyBorder="1" applyAlignment="1">
      <alignment horizontal="center" vertical="center"/>
    </xf>
    <xf numFmtId="168" fontId="57" fillId="0" borderId="0" xfId="0" applyNumberFormat="1" applyFont="1" applyAlignment="1">
      <alignment horizontal="center" wrapText="1"/>
    </xf>
    <xf numFmtId="168" fontId="19" fillId="0" borderId="0" xfId="2" applyNumberFormat="1" applyAlignment="1">
      <alignment horizontal="center"/>
    </xf>
    <xf numFmtId="168" fontId="0" fillId="0" borderId="0" xfId="0" applyNumberFormat="1" applyAlignment="1">
      <alignment horizontal="center" vertical="center"/>
    </xf>
  </cellXfs>
  <cellStyles count="41042">
    <cellStyle name="20% - Accent1 10" xfId="5148" xr:uid="{00000000-0005-0000-0000-000000000000}"/>
    <cellStyle name="20% - Accent1 10 2" xfId="15388" xr:uid="{00000000-0005-0000-0000-000001000000}"/>
    <cellStyle name="20% - Accent1 10 2 2" xfId="35868" xr:uid="{00000000-0005-0000-0000-000002000000}"/>
    <cellStyle name="20% - Accent1 10 3" xfId="25628" xr:uid="{00000000-0005-0000-0000-000003000000}"/>
    <cellStyle name="20% - Accent1 11" xfId="10268" xr:uid="{00000000-0005-0000-0000-000004000000}"/>
    <cellStyle name="20% - Accent1 11 2" xfId="30748" xr:uid="{00000000-0005-0000-0000-000005000000}"/>
    <cellStyle name="20% - Accent1 12" xfId="20508" xr:uid="{00000000-0005-0000-0000-000006000000}"/>
    <cellStyle name="20% - Accent1 13" xfId="23" xr:uid="{00000000-0005-0000-0000-000007000000}"/>
    <cellStyle name="20% - Accent1 2" xfId="48" xr:uid="{00000000-0005-0000-0000-000008000000}"/>
    <cellStyle name="20% - Accent1 2 10" xfId="10288" xr:uid="{00000000-0005-0000-0000-000009000000}"/>
    <cellStyle name="20% - Accent1 2 10 2" xfId="30768" xr:uid="{00000000-0005-0000-0000-00000A000000}"/>
    <cellStyle name="20% - Accent1 2 11" xfId="20528" xr:uid="{00000000-0005-0000-0000-00000B000000}"/>
    <cellStyle name="20% - Accent1 2 2" xfId="88" xr:uid="{00000000-0005-0000-0000-00000C000000}"/>
    <cellStyle name="20% - Accent1 2 2 10" xfId="20568" xr:uid="{00000000-0005-0000-0000-00000D000000}"/>
    <cellStyle name="20% - Accent1 2 2 2" xfId="168" xr:uid="{00000000-0005-0000-0000-00000E000000}"/>
    <cellStyle name="20% - Accent1 2 2 2 2" xfId="328" xr:uid="{00000000-0005-0000-0000-00000F000000}"/>
    <cellStyle name="20% - Accent1 2 2 2 2 2" xfId="648" xr:uid="{00000000-0005-0000-0000-000010000000}"/>
    <cellStyle name="20% - Accent1 2 2 2 2 2 2" xfId="1288" xr:uid="{00000000-0005-0000-0000-000011000000}"/>
    <cellStyle name="20% - Accent1 2 2 2 2 2 2 2" xfId="2568" xr:uid="{00000000-0005-0000-0000-000012000000}"/>
    <cellStyle name="20% - Accent1 2 2 2 2 2 2 2 2" xfId="5128" xr:uid="{00000000-0005-0000-0000-000013000000}"/>
    <cellStyle name="20% - Accent1 2 2 2 2 2 2 2 2 2" xfId="10248" xr:uid="{00000000-0005-0000-0000-000014000000}"/>
    <cellStyle name="20% - Accent1 2 2 2 2 2 2 2 2 2 2" xfId="20488" xr:uid="{00000000-0005-0000-0000-000015000000}"/>
    <cellStyle name="20% - Accent1 2 2 2 2 2 2 2 2 2 2 2" xfId="40968" xr:uid="{00000000-0005-0000-0000-000016000000}"/>
    <cellStyle name="20% - Accent1 2 2 2 2 2 2 2 2 2 3" xfId="30728" xr:uid="{00000000-0005-0000-0000-000017000000}"/>
    <cellStyle name="20% - Accent1 2 2 2 2 2 2 2 2 3" xfId="15368" xr:uid="{00000000-0005-0000-0000-000018000000}"/>
    <cellStyle name="20% - Accent1 2 2 2 2 2 2 2 2 3 2" xfId="35848" xr:uid="{00000000-0005-0000-0000-000019000000}"/>
    <cellStyle name="20% - Accent1 2 2 2 2 2 2 2 2 4" xfId="25608" xr:uid="{00000000-0005-0000-0000-00001A000000}"/>
    <cellStyle name="20% - Accent1 2 2 2 2 2 2 2 3" xfId="7688" xr:uid="{00000000-0005-0000-0000-00001B000000}"/>
    <cellStyle name="20% - Accent1 2 2 2 2 2 2 2 3 2" xfId="17928" xr:uid="{00000000-0005-0000-0000-00001C000000}"/>
    <cellStyle name="20% - Accent1 2 2 2 2 2 2 2 3 2 2" xfId="38408" xr:uid="{00000000-0005-0000-0000-00001D000000}"/>
    <cellStyle name="20% - Accent1 2 2 2 2 2 2 2 3 3" xfId="28168" xr:uid="{00000000-0005-0000-0000-00001E000000}"/>
    <cellStyle name="20% - Accent1 2 2 2 2 2 2 2 4" xfId="12808" xr:uid="{00000000-0005-0000-0000-00001F000000}"/>
    <cellStyle name="20% - Accent1 2 2 2 2 2 2 2 4 2" xfId="33288" xr:uid="{00000000-0005-0000-0000-000020000000}"/>
    <cellStyle name="20% - Accent1 2 2 2 2 2 2 2 5" xfId="23048" xr:uid="{00000000-0005-0000-0000-000021000000}"/>
    <cellStyle name="20% - Accent1 2 2 2 2 2 2 3" xfId="3848" xr:uid="{00000000-0005-0000-0000-000022000000}"/>
    <cellStyle name="20% - Accent1 2 2 2 2 2 2 3 2" xfId="8968" xr:uid="{00000000-0005-0000-0000-000023000000}"/>
    <cellStyle name="20% - Accent1 2 2 2 2 2 2 3 2 2" xfId="19208" xr:uid="{00000000-0005-0000-0000-000024000000}"/>
    <cellStyle name="20% - Accent1 2 2 2 2 2 2 3 2 2 2" xfId="39688" xr:uid="{00000000-0005-0000-0000-000025000000}"/>
    <cellStyle name="20% - Accent1 2 2 2 2 2 2 3 2 3" xfId="29448" xr:uid="{00000000-0005-0000-0000-000026000000}"/>
    <cellStyle name="20% - Accent1 2 2 2 2 2 2 3 3" xfId="14088" xr:uid="{00000000-0005-0000-0000-000027000000}"/>
    <cellStyle name="20% - Accent1 2 2 2 2 2 2 3 3 2" xfId="34568" xr:uid="{00000000-0005-0000-0000-000028000000}"/>
    <cellStyle name="20% - Accent1 2 2 2 2 2 2 3 4" xfId="24328" xr:uid="{00000000-0005-0000-0000-000029000000}"/>
    <cellStyle name="20% - Accent1 2 2 2 2 2 2 4" xfId="6408" xr:uid="{00000000-0005-0000-0000-00002A000000}"/>
    <cellStyle name="20% - Accent1 2 2 2 2 2 2 4 2" xfId="16648" xr:uid="{00000000-0005-0000-0000-00002B000000}"/>
    <cellStyle name="20% - Accent1 2 2 2 2 2 2 4 2 2" xfId="37128" xr:uid="{00000000-0005-0000-0000-00002C000000}"/>
    <cellStyle name="20% - Accent1 2 2 2 2 2 2 4 3" xfId="26888" xr:uid="{00000000-0005-0000-0000-00002D000000}"/>
    <cellStyle name="20% - Accent1 2 2 2 2 2 2 5" xfId="11528" xr:uid="{00000000-0005-0000-0000-00002E000000}"/>
    <cellStyle name="20% - Accent1 2 2 2 2 2 2 5 2" xfId="32008" xr:uid="{00000000-0005-0000-0000-00002F000000}"/>
    <cellStyle name="20% - Accent1 2 2 2 2 2 2 6" xfId="21768" xr:uid="{00000000-0005-0000-0000-000030000000}"/>
    <cellStyle name="20% - Accent1 2 2 2 2 2 3" xfId="1928" xr:uid="{00000000-0005-0000-0000-000031000000}"/>
    <cellStyle name="20% - Accent1 2 2 2 2 2 3 2" xfId="4488" xr:uid="{00000000-0005-0000-0000-000032000000}"/>
    <cellStyle name="20% - Accent1 2 2 2 2 2 3 2 2" xfId="9608" xr:uid="{00000000-0005-0000-0000-000033000000}"/>
    <cellStyle name="20% - Accent1 2 2 2 2 2 3 2 2 2" xfId="19848" xr:uid="{00000000-0005-0000-0000-000034000000}"/>
    <cellStyle name="20% - Accent1 2 2 2 2 2 3 2 2 2 2" xfId="40328" xr:uid="{00000000-0005-0000-0000-000035000000}"/>
    <cellStyle name="20% - Accent1 2 2 2 2 2 3 2 2 3" xfId="30088" xr:uid="{00000000-0005-0000-0000-000036000000}"/>
    <cellStyle name="20% - Accent1 2 2 2 2 2 3 2 3" xfId="14728" xr:uid="{00000000-0005-0000-0000-000037000000}"/>
    <cellStyle name="20% - Accent1 2 2 2 2 2 3 2 3 2" xfId="35208" xr:uid="{00000000-0005-0000-0000-000038000000}"/>
    <cellStyle name="20% - Accent1 2 2 2 2 2 3 2 4" xfId="24968" xr:uid="{00000000-0005-0000-0000-000039000000}"/>
    <cellStyle name="20% - Accent1 2 2 2 2 2 3 3" xfId="7048" xr:uid="{00000000-0005-0000-0000-00003A000000}"/>
    <cellStyle name="20% - Accent1 2 2 2 2 2 3 3 2" xfId="17288" xr:uid="{00000000-0005-0000-0000-00003B000000}"/>
    <cellStyle name="20% - Accent1 2 2 2 2 2 3 3 2 2" xfId="37768" xr:uid="{00000000-0005-0000-0000-00003C000000}"/>
    <cellStyle name="20% - Accent1 2 2 2 2 2 3 3 3" xfId="27528" xr:uid="{00000000-0005-0000-0000-00003D000000}"/>
    <cellStyle name="20% - Accent1 2 2 2 2 2 3 4" xfId="12168" xr:uid="{00000000-0005-0000-0000-00003E000000}"/>
    <cellStyle name="20% - Accent1 2 2 2 2 2 3 4 2" xfId="32648" xr:uid="{00000000-0005-0000-0000-00003F000000}"/>
    <cellStyle name="20% - Accent1 2 2 2 2 2 3 5" xfId="22408" xr:uid="{00000000-0005-0000-0000-000040000000}"/>
    <cellStyle name="20% - Accent1 2 2 2 2 2 4" xfId="3208" xr:uid="{00000000-0005-0000-0000-000041000000}"/>
    <cellStyle name="20% - Accent1 2 2 2 2 2 4 2" xfId="8328" xr:uid="{00000000-0005-0000-0000-000042000000}"/>
    <cellStyle name="20% - Accent1 2 2 2 2 2 4 2 2" xfId="18568" xr:uid="{00000000-0005-0000-0000-000043000000}"/>
    <cellStyle name="20% - Accent1 2 2 2 2 2 4 2 2 2" xfId="39048" xr:uid="{00000000-0005-0000-0000-000044000000}"/>
    <cellStyle name="20% - Accent1 2 2 2 2 2 4 2 3" xfId="28808" xr:uid="{00000000-0005-0000-0000-000045000000}"/>
    <cellStyle name="20% - Accent1 2 2 2 2 2 4 3" xfId="13448" xr:uid="{00000000-0005-0000-0000-000046000000}"/>
    <cellStyle name="20% - Accent1 2 2 2 2 2 4 3 2" xfId="33928" xr:uid="{00000000-0005-0000-0000-000047000000}"/>
    <cellStyle name="20% - Accent1 2 2 2 2 2 4 4" xfId="23688" xr:uid="{00000000-0005-0000-0000-000048000000}"/>
    <cellStyle name="20% - Accent1 2 2 2 2 2 5" xfId="5768" xr:uid="{00000000-0005-0000-0000-000049000000}"/>
    <cellStyle name="20% - Accent1 2 2 2 2 2 5 2" xfId="16008" xr:uid="{00000000-0005-0000-0000-00004A000000}"/>
    <cellStyle name="20% - Accent1 2 2 2 2 2 5 2 2" xfId="36488" xr:uid="{00000000-0005-0000-0000-00004B000000}"/>
    <cellStyle name="20% - Accent1 2 2 2 2 2 5 3" xfId="26248" xr:uid="{00000000-0005-0000-0000-00004C000000}"/>
    <cellStyle name="20% - Accent1 2 2 2 2 2 6" xfId="10888" xr:uid="{00000000-0005-0000-0000-00004D000000}"/>
    <cellStyle name="20% - Accent1 2 2 2 2 2 6 2" xfId="31368" xr:uid="{00000000-0005-0000-0000-00004E000000}"/>
    <cellStyle name="20% - Accent1 2 2 2 2 2 7" xfId="21128" xr:uid="{00000000-0005-0000-0000-00004F000000}"/>
    <cellStyle name="20% - Accent1 2 2 2 2 3" xfId="968" xr:uid="{00000000-0005-0000-0000-000050000000}"/>
    <cellStyle name="20% - Accent1 2 2 2 2 3 2" xfId="2248" xr:uid="{00000000-0005-0000-0000-000051000000}"/>
    <cellStyle name="20% - Accent1 2 2 2 2 3 2 2" xfId="4808" xr:uid="{00000000-0005-0000-0000-000052000000}"/>
    <cellStyle name="20% - Accent1 2 2 2 2 3 2 2 2" xfId="9928" xr:uid="{00000000-0005-0000-0000-000053000000}"/>
    <cellStyle name="20% - Accent1 2 2 2 2 3 2 2 2 2" xfId="20168" xr:uid="{00000000-0005-0000-0000-000054000000}"/>
    <cellStyle name="20% - Accent1 2 2 2 2 3 2 2 2 2 2" xfId="40648" xr:uid="{00000000-0005-0000-0000-000055000000}"/>
    <cellStyle name="20% - Accent1 2 2 2 2 3 2 2 2 3" xfId="30408" xr:uid="{00000000-0005-0000-0000-000056000000}"/>
    <cellStyle name="20% - Accent1 2 2 2 2 3 2 2 3" xfId="15048" xr:uid="{00000000-0005-0000-0000-000057000000}"/>
    <cellStyle name="20% - Accent1 2 2 2 2 3 2 2 3 2" xfId="35528" xr:uid="{00000000-0005-0000-0000-000058000000}"/>
    <cellStyle name="20% - Accent1 2 2 2 2 3 2 2 4" xfId="25288" xr:uid="{00000000-0005-0000-0000-000059000000}"/>
    <cellStyle name="20% - Accent1 2 2 2 2 3 2 3" xfId="7368" xr:uid="{00000000-0005-0000-0000-00005A000000}"/>
    <cellStyle name="20% - Accent1 2 2 2 2 3 2 3 2" xfId="17608" xr:uid="{00000000-0005-0000-0000-00005B000000}"/>
    <cellStyle name="20% - Accent1 2 2 2 2 3 2 3 2 2" xfId="38088" xr:uid="{00000000-0005-0000-0000-00005C000000}"/>
    <cellStyle name="20% - Accent1 2 2 2 2 3 2 3 3" xfId="27848" xr:uid="{00000000-0005-0000-0000-00005D000000}"/>
    <cellStyle name="20% - Accent1 2 2 2 2 3 2 4" xfId="12488" xr:uid="{00000000-0005-0000-0000-00005E000000}"/>
    <cellStyle name="20% - Accent1 2 2 2 2 3 2 4 2" xfId="32968" xr:uid="{00000000-0005-0000-0000-00005F000000}"/>
    <cellStyle name="20% - Accent1 2 2 2 2 3 2 5" xfId="22728" xr:uid="{00000000-0005-0000-0000-000060000000}"/>
    <cellStyle name="20% - Accent1 2 2 2 2 3 3" xfId="3528" xr:uid="{00000000-0005-0000-0000-000061000000}"/>
    <cellStyle name="20% - Accent1 2 2 2 2 3 3 2" xfId="8648" xr:uid="{00000000-0005-0000-0000-000062000000}"/>
    <cellStyle name="20% - Accent1 2 2 2 2 3 3 2 2" xfId="18888" xr:uid="{00000000-0005-0000-0000-000063000000}"/>
    <cellStyle name="20% - Accent1 2 2 2 2 3 3 2 2 2" xfId="39368" xr:uid="{00000000-0005-0000-0000-000064000000}"/>
    <cellStyle name="20% - Accent1 2 2 2 2 3 3 2 3" xfId="29128" xr:uid="{00000000-0005-0000-0000-000065000000}"/>
    <cellStyle name="20% - Accent1 2 2 2 2 3 3 3" xfId="13768" xr:uid="{00000000-0005-0000-0000-000066000000}"/>
    <cellStyle name="20% - Accent1 2 2 2 2 3 3 3 2" xfId="34248" xr:uid="{00000000-0005-0000-0000-000067000000}"/>
    <cellStyle name="20% - Accent1 2 2 2 2 3 3 4" xfId="24008" xr:uid="{00000000-0005-0000-0000-000068000000}"/>
    <cellStyle name="20% - Accent1 2 2 2 2 3 4" xfId="6088" xr:uid="{00000000-0005-0000-0000-000069000000}"/>
    <cellStyle name="20% - Accent1 2 2 2 2 3 4 2" xfId="16328" xr:uid="{00000000-0005-0000-0000-00006A000000}"/>
    <cellStyle name="20% - Accent1 2 2 2 2 3 4 2 2" xfId="36808" xr:uid="{00000000-0005-0000-0000-00006B000000}"/>
    <cellStyle name="20% - Accent1 2 2 2 2 3 4 3" xfId="26568" xr:uid="{00000000-0005-0000-0000-00006C000000}"/>
    <cellStyle name="20% - Accent1 2 2 2 2 3 5" xfId="11208" xr:uid="{00000000-0005-0000-0000-00006D000000}"/>
    <cellStyle name="20% - Accent1 2 2 2 2 3 5 2" xfId="31688" xr:uid="{00000000-0005-0000-0000-00006E000000}"/>
    <cellStyle name="20% - Accent1 2 2 2 2 3 6" xfId="21448" xr:uid="{00000000-0005-0000-0000-00006F000000}"/>
    <cellStyle name="20% - Accent1 2 2 2 2 4" xfId="1608" xr:uid="{00000000-0005-0000-0000-000070000000}"/>
    <cellStyle name="20% - Accent1 2 2 2 2 4 2" xfId="4168" xr:uid="{00000000-0005-0000-0000-000071000000}"/>
    <cellStyle name="20% - Accent1 2 2 2 2 4 2 2" xfId="9288" xr:uid="{00000000-0005-0000-0000-000072000000}"/>
    <cellStyle name="20% - Accent1 2 2 2 2 4 2 2 2" xfId="19528" xr:uid="{00000000-0005-0000-0000-000073000000}"/>
    <cellStyle name="20% - Accent1 2 2 2 2 4 2 2 2 2" xfId="40008" xr:uid="{00000000-0005-0000-0000-000074000000}"/>
    <cellStyle name="20% - Accent1 2 2 2 2 4 2 2 3" xfId="29768" xr:uid="{00000000-0005-0000-0000-000075000000}"/>
    <cellStyle name="20% - Accent1 2 2 2 2 4 2 3" xfId="14408" xr:uid="{00000000-0005-0000-0000-000076000000}"/>
    <cellStyle name="20% - Accent1 2 2 2 2 4 2 3 2" xfId="34888" xr:uid="{00000000-0005-0000-0000-000077000000}"/>
    <cellStyle name="20% - Accent1 2 2 2 2 4 2 4" xfId="24648" xr:uid="{00000000-0005-0000-0000-000078000000}"/>
    <cellStyle name="20% - Accent1 2 2 2 2 4 3" xfId="6728" xr:uid="{00000000-0005-0000-0000-000079000000}"/>
    <cellStyle name="20% - Accent1 2 2 2 2 4 3 2" xfId="16968" xr:uid="{00000000-0005-0000-0000-00007A000000}"/>
    <cellStyle name="20% - Accent1 2 2 2 2 4 3 2 2" xfId="37448" xr:uid="{00000000-0005-0000-0000-00007B000000}"/>
    <cellStyle name="20% - Accent1 2 2 2 2 4 3 3" xfId="27208" xr:uid="{00000000-0005-0000-0000-00007C000000}"/>
    <cellStyle name="20% - Accent1 2 2 2 2 4 4" xfId="11848" xr:uid="{00000000-0005-0000-0000-00007D000000}"/>
    <cellStyle name="20% - Accent1 2 2 2 2 4 4 2" xfId="32328" xr:uid="{00000000-0005-0000-0000-00007E000000}"/>
    <cellStyle name="20% - Accent1 2 2 2 2 4 5" xfId="22088" xr:uid="{00000000-0005-0000-0000-00007F000000}"/>
    <cellStyle name="20% - Accent1 2 2 2 2 5" xfId="2888" xr:uid="{00000000-0005-0000-0000-000080000000}"/>
    <cellStyle name="20% - Accent1 2 2 2 2 5 2" xfId="8008" xr:uid="{00000000-0005-0000-0000-000081000000}"/>
    <cellStyle name="20% - Accent1 2 2 2 2 5 2 2" xfId="18248" xr:uid="{00000000-0005-0000-0000-000082000000}"/>
    <cellStyle name="20% - Accent1 2 2 2 2 5 2 2 2" xfId="38728" xr:uid="{00000000-0005-0000-0000-000083000000}"/>
    <cellStyle name="20% - Accent1 2 2 2 2 5 2 3" xfId="28488" xr:uid="{00000000-0005-0000-0000-000084000000}"/>
    <cellStyle name="20% - Accent1 2 2 2 2 5 3" xfId="13128" xr:uid="{00000000-0005-0000-0000-000085000000}"/>
    <cellStyle name="20% - Accent1 2 2 2 2 5 3 2" xfId="33608" xr:uid="{00000000-0005-0000-0000-000086000000}"/>
    <cellStyle name="20% - Accent1 2 2 2 2 5 4" xfId="23368" xr:uid="{00000000-0005-0000-0000-000087000000}"/>
    <cellStyle name="20% - Accent1 2 2 2 2 6" xfId="5448" xr:uid="{00000000-0005-0000-0000-000088000000}"/>
    <cellStyle name="20% - Accent1 2 2 2 2 6 2" xfId="15688" xr:uid="{00000000-0005-0000-0000-000089000000}"/>
    <cellStyle name="20% - Accent1 2 2 2 2 6 2 2" xfId="36168" xr:uid="{00000000-0005-0000-0000-00008A000000}"/>
    <cellStyle name="20% - Accent1 2 2 2 2 6 3" xfId="25928" xr:uid="{00000000-0005-0000-0000-00008B000000}"/>
    <cellStyle name="20% - Accent1 2 2 2 2 7" xfId="10568" xr:uid="{00000000-0005-0000-0000-00008C000000}"/>
    <cellStyle name="20% - Accent1 2 2 2 2 7 2" xfId="31048" xr:uid="{00000000-0005-0000-0000-00008D000000}"/>
    <cellStyle name="20% - Accent1 2 2 2 2 8" xfId="20808" xr:uid="{00000000-0005-0000-0000-00008E000000}"/>
    <cellStyle name="20% - Accent1 2 2 2 3" xfId="488" xr:uid="{00000000-0005-0000-0000-00008F000000}"/>
    <cellStyle name="20% - Accent1 2 2 2 3 2" xfId="1128" xr:uid="{00000000-0005-0000-0000-000090000000}"/>
    <cellStyle name="20% - Accent1 2 2 2 3 2 2" xfId="2408" xr:uid="{00000000-0005-0000-0000-000091000000}"/>
    <cellStyle name="20% - Accent1 2 2 2 3 2 2 2" xfId="4968" xr:uid="{00000000-0005-0000-0000-000092000000}"/>
    <cellStyle name="20% - Accent1 2 2 2 3 2 2 2 2" xfId="10088" xr:uid="{00000000-0005-0000-0000-000093000000}"/>
    <cellStyle name="20% - Accent1 2 2 2 3 2 2 2 2 2" xfId="20328" xr:uid="{00000000-0005-0000-0000-000094000000}"/>
    <cellStyle name="20% - Accent1 2 2 2 3 2 2 2 2 2 2" xfId="40808" xr:uid="{00000000-0005-0000-0000-000095000000}"/>
    <cellStyle name="20% - Accent1 2 2 2 3 2 2 2 2 3" xfId="30568" xr:uid="{00000000-0005-0000-0000-000096000000}"/>
    <cellStyle name="20% - Accent1 2 2 2 3 2 2 2 3" xfId="15208" xr:uid="{00000000-0005-0000-0000-000097000000}"/>
    <cellStyle name="20% - Accent1 2 2 2 3 2 2 2 3 2" xfId="35688" xr:uid="{00000000-0005-0000-0000-000098000000}"/>
    <cellStyle name="20% - Accent1 2 2 2 3 2 2 2 4" xfId="25448" xr:uid="{00000000-0005-0000-0000-000099000000}"/>
    <cellStyle name="20% - Accent1 2 2 2 3 2 2 3" xfId="7528" xr:uid="{00000000-0005-0000-0000-00009A000000}"/>
    <cellStyle name="20% - Accent1 2 2 2 3 2 2 3 2" xfId="17768" xr:uid="{00000000-0005-0000-0000-00009B000000}"/>
    <cellStyle name="20% - Accent1 2 2 2 3 2 2 3 2 2" xfId="38248" xr:uid="{00000000-0005-0000-0000-00009C000000}"/>
    <cellStyle name="20% - Accent1 2 2 2 3 2 2 3 3" xfId="28008" xr:uid="{00000000-0005-0000-0000-00009D000000}"/>
    <cellStyle name="20% - Accent1 2 2 2 3 2 2 4" xfId="12648" xr:uid="{00000000-0005-0000-0000-00009E000000}"/>
    <cellStyle name="20% - Accent1 2 2 2 3 2 2 4 2" xfId="33128" xr:uid="{00000000-0005-0000-0000-00009F000000}"/>
    <cellStyle name="20% - Accent1 2 2 2 3 2 2 5" xfId="22888" xr:uid="{00000000-0005-0000-0000-0000A0000000}"/>
    <cellStyle name="20% - Accent1 2 2 2 3 2 3" xfId="3688" xr:uid="{00000000-0005-0000-0000-0000A1000000}"/>
    <cellStyle name="20% - Accent1 2 2 2 3 2 3 2" xfId="8808" xr:uid="{00000000-0005-0000-0000-0000A2000000}"/>
    <cellStyle name="20% - Accent1 2 2 2 3 2 3 2 2" xfId="19048" xr:uid="{00000000-0005-0000-0000-0000A3000000}"/>
    <cellStyle name="20% - Accent1 2 2 2 3 2 3 2 2 2" xfId="39528" xr:uid="{00000000-0005-0000-0000-0000A4000000}"/>
    <cellStyle name="20% - Accent1 2 2 2 3 2 3 2 3" xfId="29288" xr:uid="{00000000-0005-0000-0000-0000A5000000}"/>
    <cellStyle name="20% - Accent1 2 2 2 3 2 3 3" xfId="13928" xr:uid="{00000000-0005-0000-0000-0000A6000000}"/>
    <cellStyle name="20% - Accent1 2 2 2 3 2 3 3 2" xfId="34408" xr:uid="{00000000-0005-0000-0000-0000A7000000}"/>
    <cellStyle name="20% - Accent1 2 2 2 3 2 3 4" xfId="24168" xr:uid="{00000000-0005-0000-0000-0000A8000000}"/>
    <cellStyle name="20% - Accent1 2 2 2 3 2 4" xfId="6248" xr:uid="{00000000-0005-0000-0000-0000A9000000}"/>
    <cellStyle name="20% - Accent1 2 2 2 3 2 4 2" xfId="16488" xr:uid="{00000000-0005-0000-0000-0000AA000000}"/>
    <cellStyle name="20% - Accent1 2 2 2 3 2 4 2 2" xfId="36968" xr:uid="{00000000-0005-0000-0000-0000AB000000}"/>
    <cellStyle name="20% - Accent1 2 2 2 3 2 4 3" xfId="26728" xr:uid="{00000000-0005-0000-0000-0000AC000000}"/>
    <cellStyle name="20% - Accent1 2 2 2 3 2 5" xfId="11368" xr:uid="{00000000-0005-0000-0000-0000AD000000}"/>
    <cellStyle name="20% - Accent1 2 2 2 3 2 5 2" xfId="31848" xr:uid="{00000000-0005-0000-0000-0000AE000000}"/>
    <cellStyle name="20% - Accent1 2 2 2 3 2 6" xfId="21608" xr:uid="{00000000-0005-0000-0000-0000AF000000}"/>
    <cellStyle name="20% - Accent1 2 2 2 3 3" xfId="1768" xr:uid="{00000000-0005-0000-0000-0000B0000000}"/>
    <cellStyle name="20% - Accent1 2 2 2 3 3 2" xfId="4328" xr:uid="{00000000-0005-0000-0000-0000B1000000}"/>
    <cellStyle name="20% - Accent1 2 2 2 3 3 2 2" xfId="9448" xr:uid="{00000000-0005-0000-0000-0000B2000000}"/>
    <cellStyle name="20% - Accent1 2 2 2 3 3 2 2 2" xfId="19688" xr:uid="{00000000-0005-0000-0000-0000B3000000}"/>
    <cellStyle name="20% - Accent1 2 2 2 3 3 2 2 2 2" xfId="40168" xr:uid="{00000000-0005-0000-0000-0000B4000000}"/>
    <cellStyle name="20% - Accent1 2 2 2 3 3 2 2 3" xfId="29928" xr:uid="{00000000-0005-0000-0000-0000B5000000}"/>
    <cellStyle name="20% - Accent1 2 2 2 3 3 2 3" xfId="14568" xr:uid="{00000000-0005-0000-0000-0000B6000000}"/>
    <cellStyle name="20% - Accent1 2 2 2 3 3 2 3 2" xfId="35048" xr:uid="{00000000-0005-0000-0000-0000B7000000}"/>
    <cellStyle name="20% - Accent1 2 2 2 3 3 2 4" xfId="24808" xr:uid="{00000000-0005-0000-0000-0000B8000000}"/>
    <cellStyle name="20% - Accent1 2 2 2 3 3 3" xfId="6888" xr:uid="{00000000-0005-0000-0000-0000B9000000}"/>
    <cellStyle name="20% - Accent1 2 2 2 3 3 3 2" xfId="17128" xr:uid="{00000000-0005-0000-0000-0000BA000000}"/>
    <cellStyle name="20% - Accent1 2 2 2 3 3 3 2 2" xfId="37608" xr:uid="{00000000-0005-0000-0000-0000BB000000}"/>
    <cellStyle name="20% - Accent1 2 2 2 3 3 3 3" xfId="27368" xr:uid="{00000000-0005-0000-0000-0000BC000000}"/>
    <cellStyle name="20% - Accent1 2 2 2 3 3 4" xfId="12008" xr:uid="{00000000-0005-0000-0000-0000BD000000}"/>
    <cellStyle name="20% - Accent1 2 2 2 3 3 4 2" xfId="32488" xr:uid="{00000000-0005-0000-0000-0000BE000000}"/>
    <cellStyle name="20% - Accent1 2 2 2 3 3 5" xfId="22248" xr:uid="{00000000-0005-0000-0000-0000BF000000}"/>
    <cellStyle name="20% - Accent1 2 2 2 3 4" xfId="3048" xr:uid="{00000000-0005-0000-0000-0000C0000000}"/>
    <cellStyle name="20% - Accent1 2 2 2 3 4 2" xfId="8168" xr:uid="{00000000-0005-0000-0000-0000C1000000}"/>
    <cellStyle name="20% - Accent1 2 2 2 3 4 2 2" xfId="18408" xr:uid="{00000000-0005-0000-0000-0000C2000000}"/>
    <cellStyle name="20% - Accent1 2 2 2 3 4 2 2 2" xfId="38888" xr:uid="{00000000-0005-0000-0000-0000C3000000}"/>
    <cellStyle name="20% - Accent1 2 2 2 3 4 2 3" xfId="28648" xr:uid="{00000000-0005-0000-0000-0000C4000000}"/>
    <cellStyle name="20% - Accent1 2 2 2 3 4 3" xfId="13288" xr:uid="{00000000-0005-0000-0000-0000C5000000}"/>
    <cellStyle name="20% - Accent1 2 2 2 3 4 3 2" xfId="33768" xr:uid="{00000000-0005-0000-0000-0000C6000000}"/>
    <cellStyle name="20% - Accent1 2 2 2 3 4 4" xfId="23528" xr:uid="{00000000-0005-0000-0000-0000C7000000}"/>
    <cellStyle name="20% - Accent1 2 2 2 3 5" xfId="5608" xr:uid="{00000000-0005-0000-0000-0000C8000000}"/>
    <cellStyle name="20% - Accent1 2 2 2 3 5 2" xfId="15848" xr:uid="{00000000-0005-0000-0000-0000C9000000}"/>
    <cellStyle name="20% - Accent1 2 2 2 3 5 2 2" xfId="36328" xr:uid="{00000000-0005-0000-0000-0000CA000000}"/>
    <cellStyle name="20% - Accent1 2 2 2 3 5 3" xfId="26088" xr:uid="{00000000-0005-0000-0000-0000CB000000}"/>
    <cellStyle name="20% - Accent1 2 2 2 3 6" xfId="10728" xr:uid="{00000000-0005-0000-0000-0000CC000000}"/>
    <cellStyle name="20% - Accent1 2 2 2 3 6 2" xfId="31208" xr:uid="{00000000-0005-0000-0000-0000CD000000}"/>
    <cellStyle name="20% - Accent1 2 2 2 3 7" xfId="20968" xr:uid="{00000000-0005-0000-0000-0000CE000000}"/>
    <cellStyle name="20% - Accent1 2 2 2 4" xfId="808" xr:uid="{00000000-0005-0000-0000-0000CF000000}"/>
    <cellStyle name="20% - Accent1 2 2 2 4 2" xfId="2088" xr:uid="{00000000-0005-0000-0000-0000D0000000}"/>
    <cellStyle name="20% - Accent1 2 2 2 4 2 2" xfId="4648" xr:uid="{00000000-0005-0000-0000-0000D1000000}"/>
    <cellStyle name="20% - Accent1 2 2 2 4 2 2 2" xfId="9768" xr:uid="{00000000-0005-0000-0000-0000D2000000}"/>
    <cellStyle name="20% - Accent1 2 2 2 4 2 2 2 2" xfId="20008" xr:uid="{00000000-0005-0000-0000-0000D3000000}"/>
    <cellStyle name="20% - Accent1 2 2 2 4 2 2 2 2 2" xfId="40488" xr:uid="{00000000-0005-0000-0000-0000D4000000}"/>
    <cellStyle name="20% - Accent1 2 2 2 4 2 2 2 3" xfId="30248" xr:uid="{00000000-0005-0000-0000-0000D5000000}"/>
    <cellStyle name="20% - Accent1 2 2 2 4 2 2 3" xfId="14888" xr:uid="{00000000-0005-0000-0000-0000D6000000}"/>
    <cellStyle name="20% - Accent1 2 2 2 4 2 2 3 2" xfId="35368" xr:uid="{00000000-0005-0000-0000-0000D7000000}"/>
    <cellStyle name="20% - Accent1 2 2 2 4 2 2 4" xfId="25128" xr:uid="{00000000-0005-0000-0000-0000D8000000}"/>
    <cellStyle name="20% - Accent1 2 2 2 4 2 3" xfId="7208" xr:uid="{00000000-0005-0000-0000-0000D9000000}"/>
    <cellStyle name="20% - Accent1 2 2 2 4 2 3 2" xfId="17448" xr:uid="{00000000-0005-0000-0000-0000DA000000}"/>
    <cellStyle name="20% - Accent1 2 2 2 4 2 3 2 2" xfId="37928" xr:uid="{00000000-0005-0000-0000-0000DB000000}"/>
    <cellStyle name="20% - Accent1 2 2 2 4 2 3 3" xfId="27688" xr:uid="{00000000-0005-0000-0000-0000DC000000}"/>
    <cellStyle name="20% - Accent1 2 2 2 4 2 4" xfId="12328" xr:uid="{00000000-0005-0000-0000-0000DD000000}"/>
    <cellStyle name="20% - Accent1 2 2 2 4 2 4 2" xfId="32808" xr:uid="{00000000-0005-0000-0000-0000DE000000}"/>
    <cellStyle name="20% - Accent1 2 2 2 4 2 5" xfId="22568" xr:uid="{00000000-0005-0000-0000-0000DF000000}"/>
    <cellStyle name="20% - Accent1 2 2 2 4 3" xfId="3368" xr:uid="{00000000-0005-0000-0000-0000E0000000}"/>
    <cellStyle name="20% - Accent1 2 2 2 4 3 2" xfId="8488" xr:uid="{00000000-0005-0000-0000-0000E1000000}"/>
    <cellStyle name="20% - Accent1 2 2 2 4 3 2 2" xfId="18728" xr:uid="{00000000-0005-0000-0000-0000E2000000}"/>
    <cellStyle name="20% - Accent1 2 2 2 4 3 2 2 2" xfId="39208" xr:uid="{00000000-0005-0000-0000-0000E3000000}"/>
    <cellStyle name="20% - Accent1 2 2 2 4 3 2 3" xfId="28968" xr:uid="{00000000-0005-0000-0000-0000E4000000}"/>
    <cellStyle name="20% - Accent1 2 2 2 4 3 3" xfId="13608" xr:uid="{00000000-0005-0000-0000-0000E5000000}"/>
    <cellStyle name="20% - Accent1 2 2 2 4 3 3 2" xfId="34088" xr:uid="{00000000-0005-0000-0000-0000E6000000}"/>
    <cellStyle name="20% - Accent1 2 2 2 4 3 4" xfId="23848" xr:uid="{00000000-0005-0000-0000-0000E7000000}"/>
    <cellStyle name="20% - Accent1 2 2 2 4 4" xfId="5928" xr:uid="{00000000-0005-0000-0000-0000E8000000}"/>
    <cellStyle name="20% - Accent1 2 2 2 4 4 2" xfId="16168" xr:uid="{00000000-0005-0000-0000-0000E9000000}"/>
    <cellStyle name="20% - Accent1 2 2 2 4 4 2 2" xfId="36648" xr:uid="{00000000-0005-0000-0000-0000EA000000}"/>
    <cellStyle name="20% - Accent1 2 2 2 4 4 3" xfId="26408" xr:uid="{00000000-0005-0000-0000-0000EB000000}"/>
    <cellStyle name="20% - Accent1 2 2 2 4 5" xfId="11048" xr:uid="{00000000-0005-0000-0000-0000EC000000}"/>
    <cellStyle name="20% - Accent1 2 2 2 4 5 2" xfId="31528" xr:uid="{00000000-0005-0000-0000-0000ED000000}"/>
    <cellStyle name="20% - Accent1 2 2 2 4 6" xfId="21288" xr:uid="{00000000-0005-0000-0000-0000EE000000}"/>
    <cellStyle name="20% - Accent1 2 2 2 5" xfId="1448" xr:uid="{00000000-0005-0000-0000-0000EF000000}"/>
    <cellStyle name="20% - Accent1 2 2 2 5 2" xfId="4008" xr:uid="{00000000-0005-0000-0000-0000F0000000}"/>
    <cellStyle name="20% - Accent1 2 2 2 5 2 2" xfId="9128" xr:uid="{00000000-0005-0000-0000-0000F1000000}"/>
    <cellStyle name="20% - Accent1 2 2 2 5 2 2 2" xfId="19368" xr:uid="{00000000-0005-0000-0000-0000F2000000}"/>
    <cellStyle name="20% - Accent1 2 2 2 5 2 2 2 2" xfId="39848" xr:uid="{00000000-0005-0000-0000-0000F3000000}"/>
    <cellStyle name="20% - Accent1 2 2 2 5 2 2 3" xfId="29608" xr:uid="{00000000-0005-0000-0000-0000F4000000}"/>
    <cellStyle name="20% - Accent1 2 2 2 5 2 3" xfId="14248" xr:uid="{00000000-0005-0000-0000-0000F5000000}"/>
    <cellStyle name="20% - Accent1 2 2 2 5 2 3 2" xfId="34728" xr:uid="{00000000-0005-0000-0000-0000F6000000}"/>
    <cellStyle name="20% - Accent1 2 2 2 5 2 4" xfId="24488" xr:uid="{00000000-0005-0000-0000-0000F7000000}"/>
    <cellStyle name="20% - Accent1 2 2 2 5 3" xfId="6568" xr:uid="{00000000-0005-0000-0000-0000F8000000}"/>
    <cellStyle name="20% - Accent1 2 2 2 5 3 2" xfId="16808" xr:uid="{00000000-0005-0000-0000-0000F9000000}"/>
    <cellStyle name="20% - Accent1 2 2 2 5 3 2 2" xfId="37288" xr:uid="{00000000-0005-0000-0000-0000FA000000}"/>
    <cellStyle name="20% - Accent1 2 2 2 5 3 3" xfId="27048" xr:uid="{00000000-0005-0000-0000-0000FB000000}"/>
    <cellStyle name="20% - Accent1 2 2 2 5 4" xfId="11688" xr:uid="{00000000-0005-0000-0000-0000FC000000}"/>
    <cellStyle name="20% - Accent1 2 2 2 5 4 2" xfId="32168" xr:uid="{00000000-0005-0000-0000-0000FD000000}"/>
    <cellStyle name="20% - Accent1 2 2 2 5 5" xfId="21928" xr:uid="{00000000-0005-0000-0000-0000FE000000}"/>
    <cellStyle name="20% - Accent1 2 2 2 6" xfId="2728" xr:uid="{00000000-0005-0000-0000-0000FF000000}"/>
    <cellStyle name="20% - Accent1 2 2 2 6 2" xfId="7848" xr:uid="{00000000-0005-0000-0000-000000010000}"/>
    <cellStyle name="20% - Accent1 2 2 2 6 2 2" xfId="18088" xr:uid="{00000000-0005-0000-0000-000001010000}"/>
    <cellStyle name="20% - Accent1 2 2 2 6 2 2 2" xfId="38568" xr:uid="{00000000-0005-0000-0000-000002010000}"/>
    <cellStyle name="20% - Accent1 2 2 2 6 2 3" xfId="28328" xr:uid="{00000000-0005-0000-0000-000003010000}"/>
    <cellStyle name="20% - Accent1 2 2 2 6 3" xfId="12968" xr:uid="{00000000-0005-0000-0000-000004010000}"/>
    <cellStyle name="20% - Accent1 2 2 2 6 3 2" xfId="33448" xr:uid="{00000000-0005-0000-0000-000005010000}"/>
    <cellStyle name="20% - Accent1 2 2 2 6 4" xfId="23208" xr:uid="{00000000-0005-0000-0000-000006010000}"/>
    <cellStyle name="20% - Accent1 2 2 2 7" xfId="5288" xr:uid="{00000000-0005-0000-0000-000007010000}"/>
    <cellStyle name="20% - Accent1 2 2 2 7 2" xfId="15528" xr:uid="{00000000-0005-0000-0000-000008010000}"/>
    <cellStyle name="20% - Accent1 2 2 2 7 2 2" xfId="36008" xr:uid="{00000000-0005-0000-0000-000009010000}"/>
    <cellStyle name="20% - Accent1 2 2 2 7 3" xfId="25768" xr:uid="{00000000-0005-0000-0000-00000A010000}"/>
    <cellStyle name="20% - Accent1 2 2 2 8" xfId="10408" xr:uid="{00000000-0005-0000-0000-00000B010000}"/>
    <cellStyle name="20% - Accent1 2 2 2 8 2" xfId="30888" xr:uid="{00000000-0005-0000-0000-00000C010000}"/>
    <cellStyle name="20% - Accent1 2 2 2 9" xfId="20648" xr:uid="{00000000-0005-0000-0000-00000D010000}"/>
    <cellStyle name="20% - Accent1 2 2 3" xfId="248" xr:uid="{00000000-0005-0000-0000-00000E010000}"/>
    <cellStyle name="20% - Accent1 2 2 3 2" xfId="568" xr:uid="{00000000-0005-0000-0000-00000F010000}"/>
    <cellStyle name="20% - Accent1 2 2 3 2 2" xfId="1208" xr:uid="{00000000-0005-0000-0000-000010010000}"/>
    <cellStyle name="20% - Accent1 2 2 3 2 2 2" xfId="2488" xr:uid="{00000000-0005-0000-0000-000011010000}"/>
    <cellStyle name="20% - Accent1 2 2 3 2 2 2 2" xfId="5048" xr:uid="{00000000-0005-0000-0000-000012010000}"/>
    <cellStyle name="20% - Accent1 2 2 3 2 2 2 2 2" xfId="10168" xr:uid="{00000000-0005-0000-0000-000013010000}"/>
    <cellStyle name="20% - Accent1 2 2 3 2 2 2 2 2 2" xfId="20408" xr:uid="{00000000-0005-0000-0000-000014010000}"/>
    <cellStyle name="20% - Accent1 2 2 3 2 2 2 2 2 2 2" xfId="40888" xr:uid="{00000000-0005-0000-0000-000015010000}"/>
    <cellStyle name="20% - Accent1 2 2 3 2 2 2 2 2 3" xfId="30648" xr:uid="{00000000-0005-0000-0000-000016010000}"/>
    <cellStyle name="20% - Accent1 2 2 3 2 2 2 2 3" xfId="15288" xr:uid="{00000000-0005-0000-0000-000017010000}"/>
    <cellStyle name="20% - Accent1 2 2 3 2 2 2 2 3 2" xfId="35768" xr:uid="{00000000-0005-0000-0000-000018010000}"/>
    <cellStyle name="20% - Accent1 2 2 3 2 2 2 2 4" xfId="25528" xr:uid="{00000000-0005-0000-0000-000019010000}"/>
    <cellStyle name="20% - Accent1 2 2 3 2 2 2 3" xfId="7608" xr:uid="{00000000-0005-0000-0000-00001A010000}"/>
    <cellStyle name="20% - Accent1 2 2 3 2 2 2 3 2" xfId="17848" xr:uid="{00000000-0005-0000-0000-00001B010000}"/>
    <cellStyle name="20% - Accent1 2 2 3 2 2 2 3 2 2" xfId="38328" xr:uid="{00000000-0005-0000-0000-00001C010000}"/>
    <cellStyle name="20% - Accent1 2 2 3 2 2 2 3 3" xfId="28088" xr:uid="{00000000-0005-0000-0000-00001D010000}"/>
    <cellStyle name="20% - Accent1 2 2 3 2 2 2 4" xfId="12728" xr:uid="{00000000-0005-0000-0000-00001E010000}"/>
    <cellStyle name="20% - Accent1 2 2 3 2 2 2 4 2" xfId="33208" xr:uid="{00000000-0005-0000-0000-00001F010000}"/>
    <cellStyle name="20% - Accent1 2 2 3 2 2 2 5" xfId="22968" xr:uid="{00000000-0005-0000-0000-000020010000}"/>
    <cellStyle name="20% - Accent1 2 2 3 2 2 3" xfId="3768" xr:uid="{00000000-0005-0000-0000-000021010000}"/>
    <cellStyle name="20% - Accent1 2 2 3 2 2 3 2" xfId="8888" xr:uid="{00000000-0005-0000-0000-000022010000}"/>
    <cellStyle name="20% - Accent1 2 2 3 2 2 3 2 2" xfId="19128" xr:uid="{00000000-0005-0000-0000-000023010000}"/>
    <cellStyle name="20% - Accent1 2 2 3 2 2 3 2 2 2" xfId="39608" xr:uid="{00000000-0005-0000-0000-000024010000}"/>
    <cellStyle name="20% - Accent1 2 2 3 2 2 3 2 3" xfId="29368" xr:uid="{00000000-0005-0000-0000-000025010000}"/>
    <cellStyle name="20% - Accent1 2 2 3 2 2 3 3" xfId="14008" xr:uid="{00000000-0005-0000-0000-000026010000}"/>
    <cellStyle name="20% - Accent1 2 2 3 2 2 3 3 2" xfId="34488" xr:uid="{00000000-0005-0000-0000-000027010000}"/>
    <cellStyle name="20% - Accent1 2 2 3 2 2 3 4" xfId="24248" xr:uid="{00000000-0005-0000-0000-000028010000}"/>
    <cellStyle name="20% - Accent1 2 2 3 2 2 4" xfId="6328" xr:uid="{00000000-0005-0000-0000-000029010000}"/>
    <cellStyle name="20% - Accent1 2 2 3 2 2 4 2" xfId="16568" xr:uid="{00000000-0005-0000-0000-00002A010000}"/>
    <cellStyle name="20% - Accent1 2 2 3 2 2 4 2 2" xfId="37048" xr:uid="{00000000-0005-0000-0000-00002B010000}"/>
    <cellStyle name="20% - Accent1 2 2 3 2 2 4 3" xfId="26808" xr:uid="{00000000-0005-0000-0000-00002C010000}"/>
    <cellStyle name="20% - Accent1 2 2 3 2 2 5" xfId="11448" xr:uid="{00000000-0005-0000-0000-00002D010000}"/>
    <cellStyle name="20% - Accent1 2 2 3 2 2 5 2" xfId="31928" xr:uid="{00000000-0005-0000-0000-00002E010000}"/>
    <cellStyle name="20% - Accent1 2 2 3 2 2 6" xfId="21688" xr:uid="{00000000-0005-0000-0000-00002F010000}"/>
    <cellStyle name="20% - Accent1 2 2 3 2 3" xfId="1848" xr:uid="{00000000-0005-0000-0000-000030010000}"/>
    <cellStyle name="20% - Accent1 2 2 3 2 3 2" xfId="4408" xr:uid="{00000000-0005-0000-0000-000031010000}"/>
    <cellStyle name="20% - Accent1 2 2 3 2 3 2 2" xfId="9528" xr:uid="{00000000-0005-0000-0000-000032010000}"/>
    <cellStyle name="20% - Accent1 2 2 3 2 3 2 2 2" xfId="19768" xr:uid="{00000000-0005-0000-0000-000033010000}"/>
    <cellStyle name="20% - Accent1 2 2 3 2 3 2 2 2 2" xfId="40248" xr:uid="{00000000-0005-0000-0000-000034010000}"/>
    <cellStyle name="20% - Accent1 2 2 3 2 3 2 2 3" xfId="30008" xr:uid="{00000000-0005-0000-0000-000035010000}"/>
    <cellStyle name="20% - Accent1 2 2 3 2 3 2 3" xfId="14648" xr:uid="{00000000-0005-0000-0000-000036010000}"/>
    <cellStyle name="20% - Accent1 2 2 3 2 3 2 3 2" xfId="35128" xr:uid="{00000000-0005-0000-0000-000037010000}"/>
    <cellStyle name="20% - Accent1 2 2 3 2 3 2 4" xfId="24888" xr:uid="{00000000-0005-0000-0000-000038010000}"/>
    <cellStyle name="20% - Accent1 2 2 3 2 3 3" xfId="6968" xr:uid="{00000000-0005-0000-0000-000039010000}"/>
    <cellStyle name="20% - Accent1 2 2 3 2 3 3 2" xfId="17208" xr:uid="{00000000-0005-0000-0000-00003A010000}"/>
    <cellStyle name="20% - Accent1 2 2 3 2 3 3 2 2" xfId="37688" xr:uid="{00000000-0005-0000-0000-00003B010000}"/>
    <cellStyle name="20% - Accent1 2 2 3 2 3 3 3" xfId="27448" xr:uid="{00000000-0005-0000-0000-00003C010000}"/>
    <cellStyle name="20% - Accent1 2 2 3 2 3 4" xfId="12088" xr:uid="{00000000-0005-0000-0000-00003D010000}"/>
    <cellStyle name="20% - Accent1 2 2 3 2 3 4 2" xfId="32568" xr:uid="{00000000-0005-0000-0000-00003E010000}"/>
    <cellStyle name="20% - Accent1 2 2 3 2 3 5" xfId="22328" xr:uid="{00000000-0005-0000-0000-00003F010000}"/>
    <cellStyle name="20% - Accent1 2 2 3 2 4" xfId="3128" xr:uid="{00000000-0005-0000-0000-000040010000}"/>
    <cellStyle name="20% - Accent1 2 2 3 2 4 2" xfId="8248" xr:uid="{00000000-0005-0000-0000-000041010000}"/>
    <cellStyle name="20% - Accent1 2 2 3 2 4 2 2" xfId="18488" xr:uid="{00000000-0005-0000-0000-000042010000}"/>
    <cellStyle name="20% - Accent1 2 2 3 2 4 2 2 2" xfId="38968" xr:uid="{00000000-0005-0000-0000-000043010000}"/>
    <cellStyle name="20% - Accent1 2 2 3 2 4 2 3" xfId="28728" xr:uid="{00000000-0005-0000-0000-000044010000}"/>
    <cellStyle name="20% - Accent1 2 2 3 2 4 3" xfId="13368" xr:uid="{00000000-0005-0000-0000-000045010000}"/>
    <cellStyle name="20% - Accent1 2 2 3 2 4 3 2" xfId="33848" xr:uid="{00000000-0005-0000-0000-000046010000}"/>
    <cellStyle name="20% - Accent1 2 2 3 2 4 4" xfId="23608" xr:uid="{00000000-0005-0000-0000-000047010000}"/>
    <cellStyle name="20% - Accent1 2 2 3 2 5" xfId="5688" xr:uid="{00000000-0005-0000-0000-000048010000}"/>
    <cellStyle name="20% - Accent1 2 2 3 2 5 2" xfId="15928" xr:uid="{00000000-0005-0000-0000-000049010000}"/>
    <cellStyle name="20% - Accent1 2 2 3 2 5 2 2" xfId="36408" xr:uid="{00000000-0005-0000-0000-00004A010000}"/>
    <cellStyle name="20% - Accent1 2 2 3 2 5 3" xfId="26168" xr:uid="{00000000-0005-0000-0000-00004B010000}"/>
    <cellStyle name="20% - Accent1 2 2 3 2 6" xfId="10808" xr:uid="{00000000-0005-0000-0000-00004C010000}"/>
    <cellStyle name="20% - Accent1 2 2 3 2 6 2" xfId="31288" xr:uid="{00000000-0005-0000-0000-00004D010000}"/>
    <cellStyle name="20% - Accent1 2 2 3 2 7" xfId="21048" xr:uid="{00000000-0005-0000-0000-00004E010000}"/>
    <cellStyle name="20% - Accent1 2 2 3 3" xfId="888" xr:uid="{00000000-0005-0000-0000-00004F010000}"/>
    <cellStyle name="20% - Accent1 2 2 3 3 2" xfId="2168" xr:uid="{00000000-0005-0000-0000-000050010000}"/>
    <cellStyle name="20% - Accent1 2 2 3 3 2 2" xfId="4728" xr:uid="{00000000-0005-0000-0000-000051010000}"/>
    <cellStyle name="20% - Accent1 2 2 3 3 2 2 2" xfId="9848" xr:uid="{00000000-0005-0000-0000-000052010000}"/>
    <cellStyle name="20% - Accent1 2 2 3 3 2 2 2 2" xfId="20088" xr:uid="{00000000-0005-0000-0000-000053010000}"/>
    <cellStyle name="20% - Accent1 2 2 3 3 2 2 2 2 2" xfId="40568" xr:uid="{00000000-0005-0000-0000-000054010000}"/>
    <cellStyle name="20% - Accent1 2 2 3 3 2 2 2 3" xfId="30328" xr:uid="{00000000-0005-0000-0000-000055010000}"/>
    <cellStyle name="20% - Accent1 2 2 3 3 2 2 3" xfId="14968" xr:uid="{00000000-0005-0000-0000-000056010000}"/>
    <cellStyle name="20% - Accent1 2 2 3 3 2 2 3 2" xfId="35448" xr:uid="{00000000-0005-0000-0000-000057010000}"/>
    <cellStyle name="20% - Accent1 2 2 3 3 2 2 4" xfId="25208" xr:uid="{00000000-0005-0000-0000-000058010000}"/>
    <cellStyle name="20% - Accent1 2 2 3 3 2 3" xfId="7288" xr:uid="{00000000-0005-0000-0000-000059010000}"/>
    <cellStyle name="20% - Accent1 2 2 3 3 2 3 2" xfId="17528" xr:uid="{00000000-0005-0000-0000-00005A010000}"/>
    <cellStyle name="20% - Accent1 2 2 3 3 2 3 2 2" xfId="38008" xr:uid="{00000000-0005-0000-0000-00005B010000}"/>
    <cellStyle name="20% - Accent1 2 2 3 3 2 3 3" xfId="27768" xr:uid="{00000000-0005-0000-0000-00005C010000}"/>
    <cellStyle name="20% - Accent1 2 2 3 3 2 4" xfId="12408" xr:uid="{00000000-0005-0000-0000-00005D010000}"/>
    <cellStyle name="20% - Accent1 2 2 3 3 2 4 2" xfId="32888" xr:uid="{00000000-0005-0000-0000-00005E010000}"/>
    <cellStyle name="20% - Accent1 2 2 3 3 2 5" xfId="22648" xr:uid="{00000000-0005-0000-0000-00005F010000}"/>
    <cellStyle name="20% - Accent1 2 2 3 3 3" xfId="3448" xr:uid="{00000000-0005-0000-0000-000060010000}"/>
    <cellStyle name="20% - Accent1 2 2 3 3 3 2" xfId="8568" xr:uid="{00000000-0005-0000-0000-000061010000}"/>
    <cellStyle name="20% - Accent1 2 2 3 3 3 2 2" xfId="18808" xr:uid="{00000000-0005-0000-0000-000062010000}"/>
    <cellStyle name="20% - Accent1 2 2 3 3 3 2 2 2" xfId="39288" xr:uid="{00000000-0005-0000-0000-000063010000}"/>
    <cellStyle name="20% - Accent1 2 2 3 3 3 2 3" xfId="29048" xr:uid="{00000000-0005-0000-0000-000064010000}"/>
    <cellStyle name="20% - Accent1 2 2 3 3 3 3" xfId="13688" xr:uid="{00000000-0005-0000-0000-000065010000}"/>
    <cellStyle name="20% - Accent1 2 2 3 3 3 3 2" xfId="34168" xr:uid="{00000000-0005-0000-0000-000066010000}"/>
    <cellStyle name="20% - Accent1 2 2 3 3 3 4" xfId="23928" xr:uid="{00000000-0005-0000-0000-000067010000}"/>
    <cellStyle name="20% - Accent1 2 2 3 3 4" xfId="6008" xr:uid="{00000000-0005-0000-0000-000068010000}"/>
    <cellStyle name="20% - Accent1 2 2 3 3 4 2" xfId="16248" xr:uid="{00000000-0005-0000-0000-000069010000}"/>
    <cellStyle name="20% - Accent1 2 2 3 3 4 2 2" xfId="36728" xr:uid="{00000000-0005-0000-0000-00006A010000}"/>
    <cellStyle name="20% - Accent1 2 2 3 3 4 3" xfId="26488" xr:uid="{00000000-0005-0000-0000-00006B010000}"/>
    <cellStyle name="20% - Accent1 2 2 3 3 5" xfId="11128" xr:uid="{00000000-0005-0000-0000-00006C010000}"/>
    <cellStyle name="20% - Accent1 2 2 3 3 5 2" xfId="31608" xr:uid="{00000000-0005-0000-0000-00006D010000}"/>
    <cellStyle name="20% - Accent1 2 2 3 3 6" xfId="21368" xr:uid="{00000000-0005-0000-0000-00006E010000}"/>
    <cellStyle name="20% - Accent1 2 2 3 4" xfId="1528" xr:uid="{00000000-0005-0000-0000-00006F010000}"/>
    <cellStyle name="20% - Accent1 2 2 3 4 2" xfId="4088" xr:uid="{00000000-0005-0000-0000-000070010000}"/>
    <cellStyle name="20% - Accent1 2 2 3 4 2 2" xfId="9208" xr:uid="{00000000-0005-0000-0000-000071010000}"/>
    <cellStyle name="20% - Accent1 2 2 3 4 2 2 2" xfId="19448" xr:uid="{00000000-0005-0000-0000-000072010000}"/>
    <cellStyle name="20% - Accent1 2 2 3 4 2 2 2 2" xfId="39928" xr:uid="{00000000-0005-0000-0000-000073010000}"/>
    <cellStyle name="20% - Accent1 2 2 3 4 2 2 3" xfId="29688" xr:uid="{00000000-0005-0000-0000-000074010000}"/>
    <cellStyle name="20% - Accent1 2 2 3 4 2 3" xfId="14328" xr:uid="{00000000-0005-0000-0000-000075010000}"/>
    <cellStyle name="20% - Accent1 2 2 3 4 2 3 2" xfId="34808" xr:uid="{00000000-0005-0000-0000-000076010000}"/>
    <cellStyle name="20% - Accent1 2 2 3 4 2 4" xfId="24568" xr:uid="{00000000-0005-0000-0000-000077010000}"/>
    <cellStyle name="20% - Accent1 2 2 3 4 3" xfId="6648" xr:uid="{00000000-0005-0000-0000-000078010000}"/>
    <cellStyle name="20% - Accent1 2 2 3 4 3 2" xfId="16888" xr:uid="{00000000-0005-0000-0000-000079010000}"/>
    <cellStyle name="20% - Accent1 2 2 3 4 3 2 2" xfId="37368" xr:uid="{00000000-0005-0000-0000-00007A010000}"/>
    <cellStyle name="20% - Accent1 2 2 3 4 3 3" xfId="27128" xr:uid="{00000000-0005-0000-0000-00007B010000}"/>
    <cellStyle name="20% - Accent1 2 2 3 4 4" xfId="11768" xr:uid="{00000000-0005-0000-0000-00007C010000}"/>
    <cellStyle name="20% - Accent1 2 2 3 4 4 2" xfId="32248" xr:uid="{00000000-0005-0000-0000-00007D010000}"/>
    <cellStyle name="20% - Accent1 2 2 3 4 5" xfId="22008" xr:uid="{00000000-0005-0000-0000-00007E010000}"/>
    <cellStyle name="20% - Accent1 2 2 3 5" xfId="2808" xr:uid="{00000000-0005-0000-0000-00007F010000}"/>
    <cellStyle name="20% - Accent1 2 2 3 5 2" xfId="7928" xr:uid="{00000000-0005-0000-0000-000080010000}"/>
    <cellStyle name="20% - Accent1 2 2 3 5 2 2" xfId="18168" xr:uid="{00000000-0005-0000-0000-000081010000}"/>
    <cellStyle name="20% - Accent1 2 2 3 5 2 2 2" xfId="38648" xr:uid="{00000000-0005-0000-0000-000082010000}"/>
    <cellStyle name="20% - Accent1 2 2 3 5 2 3" xfId="28408" xr:uid="{00000000-0005-0000-0000-000083010000}"/>
    <cellStyle name="20% - Accent1 2 2 3 5 3" xfId="13048" xr:uid="{00000000-0005-0000-0000-000084010000}"/>
    <cellStyle name="20% - Accent1 2 2 3 5 3 2" xfId="33528" xr:uid="{00000000-0005-0000-0000-000085010000}"/>
    <cellStyle name="20% - Accent1 2 2 3 5 4" xfId="23288" xr:uid="{00000000-0005-0000-0000-000086010000}"/>
    <cellStyle name="20% - Accent1 2 2 3 6" xfId="5368" xr:uid="{00000000-0005-0000-0000-000087010000}"/>
    <cellStyle name="20% - Accent1 2 2 3 6 2" xfId="15608" xr:uid="{00000000-0005-0000-0000-000088010000}"/>
    <cellStyle name="20% - Accent1 2 2 3 6 2 2" xfId="36088" xr:uid="{00000000-0005-0000-0000-000089010000}"/>
    <cellStyle name="20% - Accent1 2 2 3 6 3" xfId="25848" xr:uid="{00000000-0005-0000-0000-00008A010000}"/>
    <cellStyle name="20% - Accent1 2 2 3 7" xfId="10488" xr:uid="{00000000-0005-0000-0000-00008B010000}"/>
    <cellStyle name="20% - Accent1 2 2 3 7 2" xfId="30968" xr:uid="{00000000-0005-0000-0000-00008C010000}"/>
    <cellStyle name="20% - Accent1 2 2 3 8" xfId="20728" xr:uid="{00000000-0005-0000-0000-00008D010000}"/>
    <cellStyle name="20% - Accent1 2 2 4" xfId="408" xr:uid="{00000000-0005-0000-0000-00008E010000}"/>
    <cellStyle name="20% - Accent1 2 2 4 2" xfId="1048" xr:uid="{00000000-0005-0000-0000-00008F010000}"/>
    <cellStyle name="20% - Accent1 2 2 4 2 2" xfId="2328" xr:uid="{00000000-0005-0000-0000-000090010000}"/>
    <cellStyle name="20% - Accent1 2 2 4 2 2 2" xfId="4888" xr:uid="{00000000-0005-0000-0000-000091010000}"/>
    <cellStyle name="20% - Accent1 2 2 4 2 2 2 2" xfId="10008" xr:uid="{00000000-0005-0000-0000-000092010000}"/>
    <cellStyle name="20% - Accent1 2 2 4 2 2 2 2 2" xfId="20248" xr:uid="{00000000-0005-0000-0000-000093010000}"/>
    <cellStyle name="20% - Accent1 2 2 4 2 2 2 2 2 2" xfId="40728" xr:uid="{00000000-0005-0000-0000-000094010000}"/>
    <cellStyle name="20% - Accent1 2 2 4 2 2 2 2 3" xfId="30488" xr:uid="{00000000-0005-0000-0000-000095010000}"/>
    <cellStyle name="20% - Accent1 2 2 4 2 2 2 3" xfId="15128" xr:uid="{00000000-0005-0000-0000-000096010000}"/>
    <cellStyle name="20% - Accent1 2 2 4 2 2 2 3 2" xfId="35608" xr:uid="{00000000-0005-0000-0000-000097010000}"/>
    <cellStyle name="20% - Accent1 2 2 4 2 2 2 4" xfId="25368" xr:uid="{00000000-0005-0000-0000-000098010000}"/>
    <cellStyle name="20% - Accent1 2 2 4 2 2 3" xfId="7448" xr:uid="{00000000-0005-0000-0000-000099010000}"/>
    <cellStyle name="20% - Accent1 2 2 4 2 2 3 2" xfId="17688" xr:uid="{00000000-0005-0000-0000-00009A010000}"/>
    <cellStyle name="20% - Accent1 2 2 4 2 2 3 2 2" xfId="38168" xr:uid="{00000000-0005-0000-0000-00009B010000}"/>
    <cellStyle name="20% - Accent1 2 2 4 2 2 3 3" xfId="27928" xr:uid="{00000000-0005-0000-0000-00009C010000}"/>
    <cellStyle name="20% - Accent1 2 2 4 2 2 4" xfId="12568" xr:uid="{00000000-0005-0000-0000-00009D010000}"/>
    <cellStyle name="20% - Accent1 2 2 4 2 2 4 2" xfId="33048" xr:uid="{00000000-0005-0000-0000-00009E010000}"/>
    <cellStyle name="20% - Accent1 2 2 4 2 2 5" xfId="22808" xr:uid="{00000000-0005-0000-0000-00009F010000}"/>
    <cellStyle name="20% - Accent1 2 2 4 2 3" xfId="3608" xr:uid="{00000000-0005-0000-0000-0000A0010000}"/>
    <cellStyle name="20% - Accent1 2 2 4 2 3 2" xfId="8728" xr:uid="{00000000-0005-0000-0000-0000A1010000}"/>
    <cellStyle name="20% - Accent1 2 2 4 2 3 2 2" xfId="18968" xr:uid="{00000000-0005-0000-0000-0000A2010000}"/>
    <cellStyle name="20% - Accent1 2 2 4 2 3 2 2 2" xfId="39448" xr:uid="{00000000-0005-0000-0000-0000A3010000}"/>
    <cellStyle name="20% - Accent1 2 2 4 2 3 2 3" xfId="29208" xr:uid="{00000000-0005-0000-0000-0000A4010000}"/>
    <cellStyle name="20% - Accent1 2 2 4 2 3 3" xfId="13848" xr:uid="{00000000-0005-0000-0000-0000A5010000}"/>
    <cellStyle name="20% - Accent1 2 2 4 2 3 3 2" xfId="34328" xr:uid="{00000000-0005-0000-0000-0000A6010000}"/>
    <cellStyle name="20% - Accent1 2 2 4 2 3 4" xfId="24088" xr:uid="{00000000-0005-0000-0000-0000A7010000}"/>
    <cellStyle name="20% - Accent1 2 2 4 2 4" xfId="6168" xr:uid="{00000000-0005-0000-0000-0000A8010000}"/>
    <cellStyle name="20% - Accent1 2 2 4 2 4 2" xfId="16408" xr:uid="{00000000-0005-0000-0000-0000A9010000}"/>
    <cellStyle name="20% - Accent1 2 2 4 2 4 2 2" xfId="36888" xr:uid="{00000000-0005-0000-0000-0000AA010000}"/>
    <cellStyle name="20% - Accent1 2 2 4 2 4 3" xfId="26648" xr:uid="{00000000-0005-0000-0000-0000AB010000}"/>
    <cellStyle name="20% - Accent1 2 2 4 2 5" xfId="11288" xr:uid="{00000000-0005-0000-0000-0000AC010000}"/>
    <cellStyle name="20% - Accent1 2 2 4 2 5 2" xfId="31768" xr:uid="{00000000-0005-0000-0000-0000AD010000}"/>
    <cellStyle name="20% - Accent1 2 2 4 2 6" xfId="21528" xr:uid="{00000000-0005-0000-0000-0000AE010000}"/>
    <cellStyle name="20% - Accent1 2 2 4 3" xfId="1688" xr:uid="{00000000-0005-0000-0000-0000AF010000}"/>
    <cellStyle name="20% - Accent1 2 2 4 3 2" xfId="4248" xr:uid="{00000000-0005-0000-0000-0000B0010000}"/>
    <cellStyle name="20% - Accent1 2 2 4 3 2 2" xfId="9368" xr:uid="{00000000-0005-0000-0000-0000B1010000}"/>
    <cellStyle name="20% - Accent1 2 2 4 3 2 2 2" xfId="19608" xr:uid="{00000000-0005-0000-0000-0000B2010000}"/>
    <cellStyle name="20% - Accent1 2 2 4 3 2 2 2 2" xfId="40088" xr:uid="{00000000-0005-0000-0000-0000B3010000}"/>
    <cellStyle name="20% - Accent1 2 2 4 3 2 2 3" xfId="29848" xr:uid="{00000000-0005-0000-0000-0000B4010000}"/>
    <cellStyle name="20% - Accent1 2 2 4 3 2 3" xfId="14488" xr:uid="{00000000-0005-0000-0000-0000B5010000}"/>
    <cellStyle name="20% - Accent1 2 2 4 3 2 3 2" xfId="34968" xr:uid="{00000000-0005-0000-0000-0000B6010000}"/>
    <cellStyle name="20% - Accent1 2 2 4 3 2 4" xfId="24728" xr:uid="{00000000-0005-0000-0000-0000B7010000}"/>
    <cellStyle name="20% - Accent1 2 2 4 3 3" xfId="6808" xr:uid="{00000000-0005-0000-0000-0000B8010000}"/>
    <cellStyle name="20% - Accent1 2 2 4 3 3 2" xfId="17048" xr:uid="{00000000-0005-0000-0000-0000B9010000}"/>
    <cellStyle name="20% - Accent1 2 2 4 3 3 2 2" xfId="37528" xr:uid="{00000000-0005-0000-0000-0000BA010000}"/>
    <cellStyle name="20% - Accent1 2 2 4 3 3 3" xfId="27288" xr:uid="{00000000-0005-0000-0000-0000BB010000}"/>
    <cellStyle name="20% - Accent1 2 2 4 3 4" xfId="11928" xr:uid="{00000000-0005-0000-0000-0000BC010000}"/>
    <cellStyle name="20% - Accent1 2 2 4 3 4 2" xfId="32408" xr:uid="{00000000-0005-0000-0000-0000BD010000}"/>
    <cellStyle name="20% - Accent1 2 2 4 3 5" xfId="22168" xr:uid="{00000000-0005-0000-0000-0000BE010000}"/>
    <cellStyle name="20% - Accent1 2 2 4 4" xfId="2968" xr:uid="{00000000-0005-0000-0000-0000BF010000}"/>
    <cellStyle name="20% - Accent1 2 2 4 4 2" xfId="8088" xr:uid="{00000000-0005-0000-0000-0000C0010000}"/>
    <cellStyle name="20% - Accent1 2 2 4 4 2 2" xfId="18328" xr:uid="{00000000-0005-0000-0000-0000C1010000}"/>
    <cellStyle name="20% - Accent1 2 2 4 4 2 2 2" xfId="38808" xr:uid="{00000000-0005-0000-0000-0000C2010000}"/>
    <cellStyle name="20% - Accent1 2 2 4 4 2 3" xfId="28568" xr:uid="{00000000-0005-0000-0000-0000C3010000}"/>
    <cellStyle name="20% - Accent1 2 2 4 4 3" xfId="13208" xr:uid="{00000000-0005-0000-0000-0000C4010000}"/>
    <cellStyle name="20% - Accent1 2 2 4 4 3 2" xfId="33688" xr:uid="{00000000-0005-0000-0000-0000C5010000}"/>
    <cellStyle name="20% - Accent1 2 2 4 4 4" xfId="23448" xr:uid="{00000000-0005-0000-0000-0000C6010000}"/>
    <cellStyle name="20% - Accent1 2 2 4 5" xfId="5528" xr:uid="{00000000-0005-0000-0000-0000C7010000}"/>
    <cellStyle name="20% - Accent1 2 2 4 5 2" xfId="15768" xr:uid="{00000000-0005-0000-0000-0000C8010000}"/>
    <cellStyle name="20% - Accent1 2 2 4 5 2 2" xfId="36248" xr:uid="{00000000-0005-0000-0000-0000C9010000}"/>
    <cellStyle name="20% - Accent1 2 2 4 5 3" xfId="26008" xr:uid="{00000000-0005-0000-0000-0000CA010000}"/>
    <cellStyle name="20% - Accent1 2 2 4 6" xfId="10648" xr:uid="{00000000-0005-0000-0000-0000CB010000}"/>
    <cellStyle name="20% - Accent1 2 2 4 6 2" xfId="31128" xr:uid="{00000000-0005-0000-0000-0000CC010000}"/>
    <cellStyle name="20% - Accent1 2 2 4 7" xfId="20888" xr:uid="{00000000-0005-0000-0000-0000CD010000}"/>
    <cellStyle name="20% - Accent1 2 2 5" xfId="728" xr:uid="{00000000-0005-0000-0000-0000CE010000}"/>
    <cellStyle name="20% - Accent1 2 2 5 2" xfId="2008" xr:uid="{00000000-0005-0000-0000-0000CF010000}"/>
    <cellStyle name="20% - Accent1 2 2 5 2 2" xfId="4568" xr:uid="{00000000-0005-0000-0000-0000D0010000}"/>
    <cellStyle name="20% - Accent1 2 2 5 2 2 2" xfId="9688" xr:uid="{00000000-0005-0000-0000-0000D1010000}"/>
    <cellStyle name="20% - Accent1 2 2 5 2 2 2 2" xfId="19928" xr:uid="{00000000-0005-0000-0000-0000D2010000}"/>
    <cellStyle name="20% - Accent1 2 2 5 2 2 2 2 2" xfId="40408" xr:uid="{00000000-0005-0000-0000-0000D3010000}"/>
    <cellStyle name="20% - Accent1 2 2 5 2 2 2 3" xfId="30168" xr:uid="{00000000-0005-0000-0000-0000D4010000}"/>
    <cellStyle name="20% - Accent1 2 2 5 2 2 3" xfId="14808" xr:uid="{00000000-0005-0000-0000-0000D5010000}"/>
    <cellStyle name="20% - Accent1 2 2 5 2 2 3 2" xfId="35288" xr:uid="{00000000-0005-0000-0000-0000D6010000}"/>
    <cellStyle name="20% - Accent1 2 2 5 2 2 4" xfId="25048" xr:uid="{00000000-0005-0000-0000-0000D7010000}"/>
    <cellStyle name="20% - Accent1 2 2 5 2 3" xfId="7128" xr:uid="{00000000-0005-0000-0000-0000D8010000}"/>
    <cellStyle name="20% - Accent1 2 2 5 2 3 2" xfId="17368" xr:uid="{00000000-0005-0000-0000-0000D9010000}"/>
    <cellStyle name="20% - Accent1 2 2 5 2 3 2 2" xfId="37848" xr:uid="{00000000-0005-0000-0000-0000DA010000}"/>
    <cellStyle name="20% - Accent1 2 2 5 2 3 3" xfId="27608" xr:uid="{00000000-0005-0000-0000-0000DB010000}"/>
    <cellStyle name="20% - Accent1 2 2 5 2 4" xfId="12248" xr:uid="{00000000-0005-0000-0000-0000DC010000}"/>
    <cellStyle name="20% - Accent1 2 2 5 2 4 2" xfId="32728" xr:uid="{00000000-0005-0000-0000-0000DD010000}"/>
    <cellStyle name="20% - Accent1 2 2 5 2 5" xfId="22488" xr:uid="{00000000-0005-0000-0000-0000DE010000}"/>
    <cellStyle name="20% - Accent1 2 2 5 3" xfId="3288" xr:uid="{00000000-0005-0000-0000-0000DF010000}"/>
    <cellStyle name="20% - Accent1 2 2 5 3 2" xfId="8408" xr:uid="{00000000-0005-0000-0000-0000E0010000}"/>
    <cellStyle name="20% - Accent1 2 2 5 3 2 2" xfId="18648" xr:uid="{00000000-0005-0000-0000-0000E1010000}"/>
    <cellStyle name="20% - Accent1 2 2 5 3 2 2 2" xfId="39128" xr:uid="{00000000-0005-0000-0000-0000E2010000}"/>
    <cellStyle name="20% - Accent1 2 2 5 3 2 3" xfId="28888" xr:uid="{00000000-0005-0000-0000-0000E3010000}"/>
    <cellStyle name="20% - Accent1 2 2 5 3 3" xfId="13528" xr:uid="{00000000-0005-0000-0000-0000E4010000}"/>
    <cellStyle name="20% - Accent1 2 2 5 3 3 2" xfId="34008" xr:uid="{00000000-0005-0000-0000-0000E5010000}"/>
    <cellStyle name="20% - Accent1 2 2 5 3 4" xfId="23768" xr:uid="{00000000-0005-0000-0000-0000E6010000}"/>
    <cellStyle name="20% - Accent1 2 2 5 4" xfId="5848" xr:uid="{00000000-0005-0000-0000-0000E7010000}"/>
    <cellStyle name="20% - Accent1 2 2 5 4 2" xfId="16088" xr:uid="{00000000-0005-0000-0000-0000E8010000}"/>
    <cellStyle name="20% - Accent1 2 2 5 4 2 2" xfId="36568" xr:uid="{00000000-0005-0000-0000-0000E9010000}"/>
    <cellStyle name="20% - Accent1 2 2 5 4 3" xfId="26328" xr:uid="{00000000-0005-0000-0000-0000EA010000}"/>
    <cellStyle name="20% - Accent1 2 2 5 5" xfId="10968" xr:uid="{00000000-0005-0000-0000-0000EB010000}"/>
    <cellStyle name="20% - Accent1 2 2 5 5 2" xfId="31448" xr:uid="{00000000-0005-0000-0000-0000EC010000}"/>
    <cellStyle name="20% - Accent1 2 2 5 6" xfId="21208" xr:uid="{00000000-0005-0000-0000-0000ED010000}"/>
    <cellStyle name="20% - Accent1 2 2 6" xfId="1368" xr:uid="{00000000-0005-0000-0000-0000EE010000}"/>
    <cellStyle name="20% - Accent1 2 2 6 2" xfId="3928" xr:uid="{00000000-0005-0000-0000-0000EF010000}"/>
    <cellStyle name="20% - Accent1 2 2 6 2 2" xfId="9048" xr:uid="{00000000-0005-0000-0000-0000F0010000}"/>
    <cellStyle name="20% - Accent1 2 2 6 2 2 2" xfId="19288" xr:uid="{00000000-0005-0000-0000-0000F1010000}"/>
    <cellStyle name="20% - Accent1 2 2 6 2 2 2 2" xfId="39768" xr:uid="{00000000-0005-0000-0000-0000F2010000}"/>
    <cellStyle name="20% - Accent1 2 2 6 2 2 3" xfId="29528" xr:uid="{00000000-0005-0000-0000-0000F3010000}"/>
    <cellStyle name="20% - Accent1 2 2 6 2 3" xfId="14168" xr:uid="{00000000-0005-0000-0000-0000F4010000}"/>
    <cellStyle name="20% - Accent1 2 2 6 2 3 2" xfId="34648" xr:uid="{00000000-0005-0000-0000-0000F5010000}"/>
    <cellStyle name="20% - Accent1 2 2 6 2 4" xfId="24408" xr:uid="{00000000-0005-0000-0000-0000F6010000}"/>
    <cellStyle name="20% - Accent1 2 2 6 3" xfId="6488" xr:uid="{00000000-0005-0000-0000-0000F7010000}"/>
    <cellStyle name="20% - Accent1 2 2 6 3 2" xfId="16728" xr:uid="{00000000-0005-0000-0000-0000F8010000}"/>
    <cellStyle name="20% - Accent1 2 2 6 3 2 2" xfId="37208" xr:uid="{00000000-0005-0000-0000-0000F9010000}"/>
    <cellStyle name="20% - Accent1 2 2 6 3 3" xfId="26968" xr:uid="{00000000-0005-0000-0000-0000FA010000}"/>
    <cellStyle name="20% - Accent1 2 2 6 4" xfId="11608" xr:uid="{00000000-0005-0000-0000-0000FB010000}"/>
    <cellStyle name="20% - Accent1 2 2 6 4 2" xfId="32088" xr:uid="{00000000-0005-0000-0000-0000FC010000}"/>
    <cellStyle name="20% - Accent1 2 2 6 5" xfId="21848" xr:uid="{00000000-0005-0000-0000-0000FD010000}"/>
    <cellStyle name="20% - Accent1 2 2 7" xfId="2648" xr:uid="{00000000-0005-0000-0000-0000FE010000}"/>
    <cellStyle name="20% - Accent1 2 2 7 2" xfId="7768" xr:uid="{00000000-0005-0000-0000-0000FF010000}"/>
    <cellStyle name="20% - Accent1 2 2 7 2 2" xfId="18008" xr:uid="{00000000-0005-0000-0000-000000020000}"/>
    <cellStyle name="20% - Accent1 2 2 7 2 2 2" xfId="38488" xr:uid="{00000000-0005-0000-0000-000001020000}"/>
    <cellStyle name="20% - Accent1 2 2 7 2 3" xfId="28248" xr:uid="{00000000-0005-0000-0000-000002020000}"/>
    <cellStyle name="20% - Accent1 2 2 7 3" xfId="12888" xr:uid="{00000000-0005-0000-0000-000003020000}"/>
    <cellStyle name="20% - Accent1 2 2 7 3 2" xfId="33368" xr:uid="{00000000-0005-0000-0000-000004020000}"/>
    <cellStyle name="20% - Accent1 2 2 7 4" xfId="23128" xr:uid="{00000000-0005-0000-0000-000005020000}"/>
    <cellStyle name="20% - Accent1 2 2 8" xfId="5208" xr:uid="{00000000-0005-0000-0000-000006020000}"/>
    <cellStyle name="20% - Accent1 2 2 8 2" xfId="15448" xr:uid="{00000000-0005-0000-0000-000007020000}"/>
    <cellStyle name="20% - Accent1 2 2 8 2 2" xfId="35928" xr:uid="{00000000-0005-0000-0000-000008020000}"/>
    <cellStyle name="20% - Accent1 2 2 8 3" xfId="25688" xr:uid="{00000000-0005-0000-0000-000009020000}"/>
    <cellStyle name="20% - Accent1 2 2 9" xfId="10328" xr:uid="{00000000-0005-0000-0000-00000A020000}"/>
    <cellStyle name="20% - Accent1 2 2 9 2" xfId="30808" xr:uid="{00000000-0005-0000-0000-00000B020000}"/>
    <cellStyle name="20% - Accent1 2 3" xfId="128" xr:uid="{00000000-0005-0000-0000-00000C020000}"/>
    <cellStyle name="20% - Accent1 2 3 2" xfId="288" xr:uid="{00000000-0005-0000-0000-00000D020000}"/>
    <cellStyle name="20% - Accent1 2 3 2 2" xfId="608" xr:uid="{00000000-0005-0000-0000-00000E020000}"/>
    <cellStyle name="20% - Accent1 2 3 2 2 2" xfId="1248" xr:uid="{00000000-0005-0000-0000-00000F020000}"/>
    <cellStyle name="20% - Accent1 2 3 2 2 2 2" xfId="2528" xr:uid="{00000000-0005-0000-0000-000010020000}"/>
    <cellStyle name="20% - Accent1 2 3 2 2 2 2 2" xfId="5088" xr:uid="{00000000-0005-0000-0000-000011020000}"/>
    <cellStyle name="20% - Accent1 2 3 2 2 2 2 2 2" xfId="10208" xr:uid="{00000000-0005-0000-0000-000012020000}"/>
    <cellStyle name="20% - Accent1 2 3 2 2 2 2 2 2 2" xfId="20448" xr:uid="{00000000-0005-0000-0000-000013020000}"/>
    <cellStyle name="20% - Accent1 2 3 2 2 2 2 2 2 2 2" xfId="40928" xr:uid="{00000000-0005-0000-0000-000014020000}"/>
    <cellStyle name="20% - Accent1 2 3 2 2 2 2 2 2 3" xfId="30688" xr:uid="{00000000-0005-0000-0000-000015020000}"/>
    <cellStyle name="20% - Accent1 2 3 2 2 2 2 2 3" xfId="15328" xr:uid="{00000000-0005-0000-0000-000016020000}"/>
    <cellStyle name="20% - Accent1 2 3 2 2 2 2 2 3 2" xfId="35808" xr:uid="{00000000-0005-0000-0000-000017020000}"/>
    <cellStyle name="20% - Accent1 2 3 2 2 2 2 2 4" xfId="25568" xr:uid="{00000000-0005-0000-0000-000018020000}"/>
    <cellStyle name="20% - Accent1 2 3 2 2 2 2 3" xfId="7648" xr:uid="{00000000-0005-0000-0000-000019020000}"/>
    <cellStyle name="20% - Accent1 2 3 2 2 2 2 3 2" xfId="17888" xr:uid="{00000000-0005-0000-0000-00001A020000}"/>
    <cellStyle name="20% - Accent1 2 3 2 2 2 2 3 2 2" xfId="38368" xr:uid="{00000000-0005-0000-0000-00001B020000}"/>
    <cellStyle name="20% - Accent1 2 3 2 2 2 2 3 3" xfId="28128" xr:uid="{00000000-0005-0000-0000-00001C020000}"/>
    <cellStyle name="20% - Accent1 2 3 2 2 2 2 4" xfId="12768" xr:uid="{00000000-0005-0000-0000-00001D020000}"/>
    <cellStyle name="20% - Accent1 2 3 2 2 2 2 4 2" xfId="33248" xr:uid="{00000000-0005-0000-0000-00001E020000}"/>
    <cellStyle name="20% - Accent1 2 3 2 2 2 2 5" xfId="23008" xr:uid="{00000000-0005-0000-0000-00001F020000}"/>
    <cellStyle name="20% - Accent1 2 3 2 2 2 3" xfId="3808" xr:uid="{00000000-0005-0000-0000-000020020000}"/>
    <cellStyle name="20% - Accent1 2 3 2 2 2 3 2" xfId="8928" xr:uid="{00000000-0005-0000-0000-000021020000}"/>
    <cellStyle name="20% - Accent1 2 3 2 2 2 3 2 2" xfId="19168" xr:uid="{00000000-0005-0000-0000-000022020000}"/>
    <cellStyle name="20% - Accent1 2 3 2 2 2 3 2 2 2" xfId="39648" xr:uid="{00000000-0005-0000-0000-000023020000}"/>
    <cellStyle name="20% - Accent1 2 3 2 2 2 3 2 3" xfId="29408" xr:uid="{00000000-0005-0000-0000-000024020000}"/>
    <cellStyle name="20% - Accent1 2 3 2 2 2 3 3" xfId="14048" xr:uid="{00000000-0005-0000-0000-000025020000}"/>
    <cellStyle name="20% - Accent1 2 3 2 2 2 3 3 2" xfId="34528" xr:uid="{00000000-0005-0000-0000-000026020000}"/>
    <cellStyle name="20% - Accent1 2 3 2 2 2 3 4" xfId="24288" xr:uid="{00000000-0005-0000-0000-000027020000}"/>
    <cellStyle name="20% - Accent1 2 3 2 2 2 4" xfId="6368" xr:uid="{00000000-0005-0000-0000-000028020000}"/>
    <cellStyle name="20% - Accent1 2 3 2 2 2 4 2" xfId="16608" xr:uid="{00000000-0005-0000-0000-000029020000}"/>
    <cellStyle name="20% - Accent1 2 3 2 2 2 4 2 2" xfId="37088" xr:uid="{00000000-0005-0000-0000-00002A020000}"/>
    <cellStyle name="20% - Accent1 2 3 2 2 2 4 3" xfId="26848" xr:uid="{00000000-0005-0000-0000-00002B020000}"/>
    <cellStyle name="20% - Accent1 2 3 2 2 2 5" xfId="11488" xr:uid="{00000000-0005-0000-0000-00002C020000}"/>
    <cellStyle name="20% - Accent1 2 3 2 2 2 5 2" xfId="31968" xr:uid="{00000000-0005-0000-0000-00002D020000}"/>
    <cellStyle name="20% - Accent1 2 3 2 2 2 6" xfId="21728" xr:uid="{00000000-0005-0000-0000-00002E020000}"/>
    <cellStyle name="20% - Accent1 2 3 2 2 3" xfId="1888" xr:uid="{00000000-0005-0000-0000-00002F020000}"/>
    <cellStyle name="20% - Accent1 2 3 2 2 3 2" xfId="4448" xr:uid="{00000000-0005-0000-0000-000030020000}"/>
    <cellStyle name="20% - Accent1 2 3 2 2 3 2 2" xfId="9568" xr:uid="{00000000-0005-0000-0000-000031020000}"/>
    <cellStyle name="20% - Accent1 2 3 2 2 3 2 2 2" xfId="19808" xr:uid="{00000000-0005-0000-0000-000032020000}"/>
    <cellStyle name="20% - Accent1 2 3 2 2 3 2 2 2 2" xfId="40288" xr:uid="{00000000-0005-0000-0000-000033020000}"/>
    <cellStyle name="20% - Accent1 2 3 2 2 3 2 2 3" xfId="30048" xr:uid="{00000000-0005-0000-0000-000034020000}"/>
    <cellStyle name="20% - Accent1 2 3 2 2 3 2 3" xfId="14688" xr:uid="{00000000-0005-0000-0000-000035020000}"/>
    <cellStyle name="20% - Accent1 2 3 2 2 3 2 3 2" xfId="35168" xr:uid="{00000000-0005-0000-0000-000036020000}"/>
    <cellStyle name="20% - Accent1 2 3 2 2 3 2 4" xfId="24928" xr:uid="{00000000-0005-0000-0000-000037020000}"/>
    <cellStyle name="20% - Accent1 2 3 2 2 3 3" xfId="7008" xr:uid="{00000000-0005-0000-0000-000038020000}"/>
    <cellStyle name="20% - Accent1 2 3 2 2 3 3 2" xfId="17248" xr:uid="{00000000-0005-0000-0000-000039020000}"/>
    <cellStyle name="20% - Accent1 2 3 2 2 3 3 2 2" xfId="37728" xr:uid="{00000000-0005-0000-0000-00003A020000}"/>
    <cellStyle name="20% - Accent1 2 3 2 2 3 3 3" xfId="27488" xr:uid="{00000000-0005-0000-0000-00003B020000}"/>
    <cellStyle name="20% - Accent1 2 3 2 2 3 4" xfId="12128" xr:uid="{00000000-0005-0000-0000-00003C020000}"/>
    <cellStyle name="20% - Accent1 2 3 2 2 3 4 2" xfId="32608" xr:uid="{00000000-0005-0000-0000-00003D020000}"/>
    <cellStyle name="20% - Accent1 2 3 2 2 3 5" xfId="22368" xr:uid="{00000000-0005-0000-0000-00003E020000}"/>
    <cellStyle name="20% - Accent1 2 3 2 2 4" xfId="3168" xr:uid="{00000000-0005-0000-0000-00003F020000}"/>
    <cellStyle name="20% - Accent1 2 3 2 2 4 2" xfId="8288" xr:uid="{00000000-0005-0000-0000-000040020000}"/>
    <cellStyle name="20% - Accent1 2 3 2 2 4 2 2" xfId="18528" xr:uid="{00000000-0005-0000-0000-000041020000}"/>
    <cellStyle name="20% - Accent1 2 3 2 2 4 2 2 2" xfId="39008" xr:uid="{00000000-0005-0000-0000-000042020000}"/>
    <cellStyle name="20% - Accent1 2 3 2 2 4 2 3" xfId="28768" xr:uid="{00000000-0005-0000-0000-000043020000}"/>
    <cellStyle name="20% - Accent1 2 3 2 2 4 3" xfId="13408" xr:uid="{00000000-0005-0000-0000-000044020000}"/>
    <cellStyle name="20% - Accent1 2 3 2 2 4 3 2" xfId="33888" xr:uid="{00000000-0005-0000-0000-000045020000}"/>
    <cellStyle name="20% - Accent1 2 3 2 2 4 4" xfId="23648" xr:uid="{00000000-0005-0000-0000-000046020000}"/>
    <cellStyle name="20% - Accent1 2 3 2 2 5" xfId="5728" xr:uid="{00000000-0005-0000-0000-000047020000}"/>
    <cellStyle name="20% - Accent1 2 3 2 2 5 2" xfId="15968" xr:uid="{00000000-0005-0000-0000-000048020000}"/>
    <cellStyle name="20% - Accent1 2 3 2 2 5 2 2" xfId="36448" xr:uid="{00000000-0005-0000-0000-000049020000}"/>
    <cellStyle name="20% - Accent1 2 3 2 2 5 3" xfId="26208" xr:uid="{00000000-0005-0000-0000-00004A020000}"/>
    <cellStyle name="20% - Accent1 2 3 2 2 6" xfId="10848" xr:uid="{00000000-0005-0000-0000-00004B020000}"/>
    <cellStyle name="20% - Accent1 2 3 2 2 6 2" xfId="31328" xr:uid="{00000000-0005-0000-0000-00004C020000}"/>
    <cellStyle name="20% - Accent1 2 3 2 2 7" xfId="21088" xr:uid="{00000000-0005-0000-0000-00004D020000}"/>
    <cellStyle name="20% - Accent1 2 3 2 3" xfId="928" xr:uid="{00000000-0005-0000-0000-00004E020000}"/>
    <cellStyle name="20% - Accent1 2 3 2 3 2" xfId="2208" xr:uid="{00000000-0005-0000-0000-00004F020000}"/>
    <cellStyle name="20% - Accent1 2 3 2 3 2 2" xfId="4768" xr:uid="{00000000-0005-0000-0000-000050020000}"/>
    <cellStyle name="20% - Accent1 2 3 2 3 2 2 2" xfId="9888" xr:uid="{00000000-0005-0000-0000-000051020000}"/>
    <cellStyle name="20% - Accent1 2 3 2 3 2 2 2 2" xfId="20128" xr:uid="{00000000-0005-0000-0000-000052020000}"/>
    <cellStyle name="20% - Accent1 2 3 2 3 2 2 2 2 2" xfId="40608" xr:uid="{00000000-0005-0000-0000-000053020000}"/>
    <cellStyle name="20% - Accent1 2 3 2 3 2 2 2 3" xfId="30368" xr:uid="{00000000-0005-0000-0000-000054020000}"/>
    <cellStyle name="20% - Accent1 2 3 2 3 2 2 3" xfId="15008" xr:uid="{00000000-0005-0000-0000-000055020000}"/>
    <cellStyle name="20% - Accent1 2 3 2 3 2 2 3 2" xfId="35488" xr:uid="{00000000-0005-0000-0000-000056020000}"/>
    <cellStyle name="20% - Accent1 2 3 2 3 2 2 4" xfId="25248" xr:uid="{00000000-0005-0000-0000-000057020000}"/>
    <cellStyle name="20% - Accent1 2 3 2 3 2 3" xfId="7328" xr:uid="{00000000-0005-0000-0000-000058020000}"/>
    <cellStyle name="20% - Accent1 2 3 2 3 2 3 2" xfId="17568" xr:uid="{00000000-0005-0000-0000-000059020000}"/>
    <cellStyle name="20% - Accent1 2 3 2 3 2 3 2 2" xfId="38048" xr:uid="{00000000-0005-0000-0000-00005A020000}"/>
    <cellStyle name="20% - Accent1 2 3 2 3 2 3 3" xfId="27808" xr:uid="{00000000-0005-0000-0000-00005B020000}"/>
    <cellStyle name="20% - Accent1 2 3 2 3 2 4" xfId="12448" xr:uid="{00000000-0005-0000-0000-00005C020000}"/>
    <cellStyle name="20% - Accent1 2 3 2 3 2 4 2" xfId="32928" xr:uid="{00000000-0005-0000-0000-00005D020000}"/>
    <cellStyle name="20% - Accent1 2 3 2 3 2 5" xfId="22688" xr:uid="{00000000-0005-0000-0000-00005E020000}"/>
    <cellStyle name="20% - Accent1 2 3 2 3 3" xfId="3488" xr:uid="{00000000-0005-0000-0000-00005F020000}"/>
    <cellStyle name="20% - Accent1 2 3 2 3 3 2" xfId="8608" xr:uid="{00000000-0005-0000-0000-000060020000}"/>
    <cellStyle name="20% - Accent1 2 3 2 3 3 2 2" xfId="18848" xr:uid="{00000000-0005-0000-0000-000061020000}"/>
    <cellStyle name="20% - Accent1 2 3 2 3 3 2 2 2" xfId="39328" xr:uid="{00000000-0005-0000-0000-000062020000}"/>
    <cellStyle name="20% - Accent1 2 3 2 3 3 2 3" xfId="29088" xr:uid="{00000000-0005-0000-0000-000063020000}"/>
    <cellStyle name="20% - Accent1 2 3 2 3 3 3" xfId="13728" xr:uid="{00000000-0005-0000-0000-000064020000}"/>
    <cellStyle name="20% - Accent1 2 3 2 3 3 3 2" xfId="34208" xr:uid="{00000000-0005-0000-0000-000065020000}"/>
    <cellStyle name="20% - Accent1 2 3 2 3 3 4" xfId="23968" xr:uid="{00000000-0005-0000-0000-000066020000}"/>
    <cellStyle name="20% - Accent1 2 3 2 3 4" xfId="6048" xr:uid="{00000000-0005-0000-0000-000067020000}"/>
    <cellStyle name="20% - Accent1 2 3 2 3 4 2" xfId="16288" xr:uid="{00000000-0005-0000-0000-000068020000}"/>
    <cellStyle name="20% - Accent1 2 3 2 3 4 2 2" xfId="36768" xr:uid="{00000000-0005-0000-0000-000069020000}"/>
    <cellStyle name="20% - Accent1 2 3 2 3 4 3" xfId="26528" xr:uid="{00000000-0005-0000-0000-00006A020000}"/>
    <cellStyle name="20% - Accent1 2 3 2 3 5" xfId="11168" xr:uid="{00000000-0005-0000-0000-00006B020000}"/>
    <cellStyle name="20% - Accent1 2 3 2 3 5 2" xfId="31648" xr:uid="{00000000-0005-0000-0000-00006C020000}"/>
    <cellStyle name="20% - Accent1 2 3 2 3 6" xfId="21408" xr:uid="{00000000-0005-0000-0000-00006D020000}"/>
    <cellStyle name="20% - Accent1 2 3 2 4" xfId="1568" xr:uid="{00000000-0005-0000-0000-00006E020000}"/>
    <cellStyle name="20% - Accent1 2 3 2 4 2" xfId="4128" xr:uid="{00000000-0005-0000-0000-00006F020000}"/>
    <cellStyle name="20% - Accent1 2 3 2 4 2 2" xfId="9248" xr:uid="{00000000-0005-0000-0000-000070020000}"/>
    <cellStyle name="20% - Accent1 2 3 2 4 2 2 2" xfId="19488" xr:uid="{00000000-0005-0000-0000-000071020000}"/>
    <cellStyle name="20% - Accent1 2 3 2 4 2 2 2 2" xfId="39968" xr:uid="{00000000-0005-0000-0000-000072020000}"/>
    <cellStyle name="20% - Accent1 2 3 2 4 2 2 3" xfId="29728" xr:uid="{00000000-0005-0000-0000-000073020000}"/>
    <cellStyle name="20% - Accent1 2 3 2 4 2 3" xfId="14368" xr:uid="{00000000-0005-0000-0000-000074020000}"/>
    <cellStyle name="20% - Accent1 2 3 2 4 2 3 2" xfId="34848" xr:uid="{00000000-0005-0000-0000-000075020000}"/>
    <cellStyle name="20% - Accent1 2 3 2 4 2 4" xfId="24608" xr:uid="{00000000-0005-0000-0000-000076020000}"/>
    <cellStyle name="20% - Accent1 2 3 2 4 3" xfId="6688" xr:uid="{00000000-0005-0000-0000-000077020000}"/>
    <cellStyle name="20% - Accent1 2 3 2 4 3 2" xfId="16928" xr:uid="{00000000-0005-0000-0000-000078020000}"/>
    <cellStyle name="20% - Accent1 2 3 2 4 3 2 2" xfId="37408" xr:uid="{00000000-0005-0000-0000-000079020000}"/>
    <cellStyle name="20% - Accent1 2 3 2 4 3 3" xfId="27168" xr:uid="{00000000-0005-0000-0000-00007A020000}"/>
    <cellStyle name="20% - Accent1 2 3 2 4 4" xfId="11808" xr:uid="{00000000-0005-0000-0000-00007B020000}"/>
    <cellStyle name="20% - Accent1 2 3 2 4 4 2" xfId="32288" xr:uid="{00000000-0005-0000-0000-00007C020000}"/>
    <cellStyle name="20% - Accent1 2 3 2 4 5" xfId="22048" xr:uid="{00000000-0005-0000-0000-00007D020000}"/>
    <cellStyle name="20% - Accent1 2 3 2 5" xfId="2848" xr:uid="{00000000-0005-0000-0000-00007E020000}"/>
    <cellStyle name="20% - Accent1 2 3 2 5 2" xfId="7968" xr:uid="{00000000-0005-0000-0000-00007F020000}"/>
    <cellStyle name="20% - Accent1 2 3 2 5 2 2" xfId="18208" xr:uid="{00000000-0005-0000-0000-000080020000}"/>
    <cellStyle name="20% - Accent1 2 3 2 5 2 2 2" xfId="38688" xr:uid="{00000000-0005-0000-0000-000081020000}"/>
    <cellStyle name="20% - Accent1 2 3 2 5 2 3" xfId="28448" xr:uid="{00000000-0005-0000-0000-000082020000}"/>
    <cellStyle name="20% - Accent1 2 3 2 5 3" xfId="13088" xr:uid="{00000000-0005-0000-0000-000083020000}"/>
    <cellStyle name="20% - Accent1 2 3 2 5 3 2" xfId="33568" xr:uid="{00000000-0005-0000-0000-000084020000}"/>
    <cellStyle name="20% - Accent1 2 3 2 5 4" xfId="23328" xr:uid="{00000000-0005-0000-0000-000085020000}"/>
    <cellStyle name="20% - Accent1 2 3 2 6" xfId="5408" xr:uid="{00000000-0005-0000-0000-000086020000}"/>
    <cellStyle name="20% - Accent1 2 3 2 6 2" xfId="15648" xr:uid="{00000000-0005-0000-0000-000087020000}"/>
    <cellStyle name="20% - Accent1 2 3 2 6 2 2" xfId="36128" xr:uid="{00000000-0005-0000-0000-000088020000}"/>
    <cellStyle name="20% - Accent1 2 3 2 6 3" xfId="25888" xr:uid="{00000000-0005-0000-0000-000089020000}"/>
    <cellStyle name="20% - Accent1 2 3 2 7" xfId="10528" xr:uid="{00000000-0005-0000-0000-00008A020000}"/>
    <cellStyle name="20% - Accent1 2 3 2 7 2" xfId="31008" xr:uid="{00000000-0005-0000-0000-00008B020000}"/>
    <cellStyle name="20% - Accent1 2 3 2 8" xfId="20768" xr:uid="{00000000-0005-0000-0000-00008C020000}"/>
    <cellStyle name="20% - Accent1 2 3 3" xfId="448" xr:uid="{00000000-0005-0000-0000-00008D020000}"/>
    <cellStyle name="20% - Accent1 2 3 3 2" xfId="1088" xr:uid="{00000000-0005-0000-0000-00008E020000}"/>
    <cellStyle name="20% - Accent1 2 3 3 2 2" xfId="2368" xr:uid="{00000000-0005-0000-0000-00008F020000}"/>
    <cellStyle name="20% - Accent1 2 3 3 2 2 2" xfId="4928" xr:uid="{00000000-0005-0000-0000-000090020000}"/>
    <cellStyle name="20% - Accent1 2 3 3 2 2 2 2" xfId="10048" xr:uid="{00000000-0005-0000-0000-000091020000}"/>
    <cellStyle name="20% - Accent1 2 3 3 2 2 2 2 2" xfId="20288" xr:uid="{00000000-0005-0000-0000-000092020000}"/>
    <cellStyle name="20% - Accent1 2 3 3 2 2 2 2 2 2" xfId="40768" xr:uid="{00000000-0005-0000-0000-000093020000}"/>
    <cellStyle name="20% - Accent1 2 3 3 2 2 2 2 3" xfId="30528" xr:uid="{00000000-0005-0000-0000-000094020000}"/>
    <cellStyle name="20% - Accent1 2 3 3 2 2 2 3" xfId="15168" xr:uid="{00000000-0005-0000-0000-000095020000}"/>
    <cellStyle name="20% - Accent1 2 3 3 2 2 2 3 2" xfId="35648" xr:uid="{00000000-0005-0000-0000-000096020000}"/>
    <cellStyle name="20% - Accent1 2 3 3 2 2 2 4" xfId="25408" xr:uid="{00000000-0005-0000-0000-000097020000}"/>
    <cellStyle name="20% - Accent1 2 3 3 2 2 3" xfId="7488" xr:uid="{00000000-0005-0000-0000-000098020000}"/>
    <cellStyle name="20% - Accent1 2 3 3 2 2 3 2" xfId="17728" xr:uid="{00000000-0005-0000-0000-000099020000}"/>
    <cellStyle name="20% - Accent1 2 3 3 2 2 3 2 2" xfId="38208" xr:uid="{00000000-0005-0000-0000-00009A020000}"/>
    <cellStyle name="20% - Accent1 2 3 3 2 2 3 3" xfId="27968" xr:uid="{00000000-0005-0000-0000-00009B020000}"/>
    <cellStyle name="20% - Accent1 2 3 3 2 2 4" xfId="12608" xr:uid="{00000000-0005-0000-0000-00009C020000}"/>
    <cellStyle name="20% - Accent1 2 3 3 2 2 4 2" xfId="33088" xr:uid="{00000000-0005-0000-0000-00009D020000}"/>
    <cellStyle name="20% - Accent1 2 3 3 2 2 5" xfId="22848" xr:uid="{00000000-0005-0000-0000-00009E020000}"/>
    <cellStyle name="20% - Accent1 2 3 3 2 3" xfId="3648" xr:uid="{00000000-0005-0000-0000-00009F020000}"/>
    <cellStyle name="20% - Accent1 2 3 3 2 3 2" xfId="8768" xr:uid="{00000000-0005-0000-0000-0000A0020000}"/>
    <cellStyle name="20% - Accent1 2 3 3 2 3 2 2" xfId="19008" xr:uid="{00000000-0005-0000-0000-0000A1020000}"/>
    <cellStyle name="20% - Accent1 2 3 3 2 3 2 2 2" xfId="39488" xr:uid="{00000000-0005-0000-0000-0000A2020000}"/>
    <cellStyle name="20% - Accent1 2 3 3 2 3 2 3" xfId="29248" xr:uid="{00000000-0005-0000-0000-0000A3020000}"/>
    <cellStyle name="20% - Accent1 2 3 3 2 3 3" xfId="13888" xr:uid="{00000000-0005-0000-0000-0000A4020000}"/>
    <cellStyle name="20% - Accent1 2 3 3 2 3 3 2" xfId="34368" xr:uid="{00000000-0005-0000-0000-0000A5020000}"/>
    <cellStyle name="20% - Accent1 2 3 3 2 3 4" xfId="24128" xr:uid="{00000000-0005-0000-0000-0000A6020000}"/>
    <cellStyle name="20% - Accent1 2 3 3 2 4" xfId="6208" xr:uid="{00000000-0005-0000-0000-0000A7020000}"/>
    <cellStyle name="20% - Accent1 2 3 3 2 4 2" xfId="16448" xr:uid="{00000000-0005-0000-0000-0000A8020000}"/>
    <cellStyle name="20% - Accent1 2 3 3 2 4 2 2" xfId="36928" xr:uid="{00000000-0005-0000-0000-0000A9020000}"/>
    <cellStyle name="20% - Accent1 2 3 3 2 4 3" xfId="26688" xr:uid="{00000000-0005-0000-0000-0000AA020000}"/>
    <cellStyle name="20% - Accent1 2 3 3 2 5" xfId="11328" xr:uid="{00000000-0005-0000-0000-0000AB020000}"/>
    <cellStyle name="20% - Accent1 2 3 3 2 5 2" xfId="31808" xr:uid="{00000000-0005-0000-0000-0000AC020000}"/>
    <cellStyle name="20% - Accent1 2 3 3 2 6" xfId="21568" xr:uid="{00000000-0005-0000-0000-0000AD020000}"/>
    <cellStyle name="20% - Accent1 2 3 3 3" xfId="1728" xr:uid="{00000000-0005-0000-0000-0000AE020000}"/>
    <cellStyle name="20% - Accent1 2 3 3 3 2" xfId="4288" xr:uid="{00000000-0005-0000-0000-0000AF020000}"/>
    <cellStyle name="20% - Accent1 2 3 3 3 2 2" xfId="9408" xr:uid="{00000000-0005-0000-0000-0000B0020000}"/>
    <cellStyle name="20% - Accent1 2 3 3 3 2 2 2" xfId="19648" xr:uid="{00000000-0005-0000-0000-0000B1020000}"/>
    <cellStyle name="20% - Accent1 2 3 3 3 2 2 2 2" xfId="40128" xr:uid="{00000000-0005-0000-0000-0000B2020000}"/>
    <cellStyle name="20% - Accent1 2 3 3 3 2 2 3" xfId="29888" xr:uid="{00000000-0005-0000-0000-0000B3020000}"/>
    <cellStyle name="20% - Accent1 2 3 3 3 2 3" xfId="14528" xr:uid="{00000000-0005-0000-0000-0000B4020000}"/>
    <cellStyle name="20% - Accent1 2 3 3 3 2 3 2" xfId="35008" xr:uid="{00000000-0005-0000-0000-0000B5020000}"/>
    <cellStyle name="20% - Accent1 2 3 3 3 2 4" xfId="24768" xr:uid="{00000000-0005-0000-0000-0000B6020000}"/>
    <cellStyle name="20% - Accent1 2 3 3 3 3" xfId="6848" xr:uid="{00000000-0005-0000-0000-0000B7020000}"/>
    <cellStyle name="20% - Accent1 2 3 3 3 3 2" xfId="17088" xr:uid="{00000000-0005-0000-0000-0000B8020000}"/>
    <cellStyle name="20% - Accent1 2 3 3 3 3 2 2" xfId="37568" xr:uid="{00000000-0005-0000-0000-0000B9020000}"/>
    <cellStyle name="20% - Accent1 2 3 3 3 3 3" xfId="27328" xr:uid="{00000000-0005-0000-0000-0000BA020000}"/>
    <cellStyle name="20% - Accent1 2 3 3 3 4" xfId="11968" xr:uid="{00000000-0005-0000-0000-0000BB020000}"/>
    <cellStyle name="20% - Accent1 2 3 3 3 4 2" xfId="32448" xr:uid="{00000000-0005-0000-0000-0000BC020000}"/>
    <cellStyle name="20% - Accent1 2 3 3 3 5" xfId="22208" xr:uid="{00000000-0005-0000-0000-0000BD020000}"/>
    <cellStyle name="20% - Accent1 2 3 3 4" xfId="3008" xr:uid="{00000000-0005-0000-0000-0000BE020000}"/>
    <cellStyle name="20% - Accent1 2 3 3 4 2" xfId="8128" xr:uid="{00000000-0005-0000-0000-0000BF020000}"/>
    <cellStyle name="20% - Accent1 2 3 3 4 2 2" xfId="18368" xr:uid="{00000000-0005-0000-0000-0000C0020000}"/>
    <cellStyle name="20% - Accent1 2 3 3 4 2 2 2" xfId="38848" xr:uid="{00000000-0005-0000-0000-0000C1020000}"/>
    <cellStyle name="20% - Accent1 2 3 3 4 2 3" xfId="28608" xr:uid="{00000000-0005-0000-0000-0000C2020000}"/>
    <cellStyle name="20% - Accent1 2 3 3 4 3" xfId="13248" xr:uid="{00000000-0005-0000-0000-0000C3020000}"/>
    <cellStyle name="20% - Accent1 2 3 3 4 3 2" xfId="33728" xr:uid="{00000000-0005-0000-0000-0000C4020000}"/>
    <cellStyle name="20% - Accent1 2 3 3 4 4" xfId="23488" xr:uid="{00000000-0005-0000-0000-0000C5020000}"/>
    <cellStyle name="20% - Accent1 2 3 3 5" xfId="5568" xr:uid="{00000000-0005-0000-0000-0000C6020000}"/>
    <cellStyle name="20% - Accent1 2 3 3 5 2" xfId="15808" xr:uid="{00000000-0005-0000-0000-0000C7020000}"/>
    <cellStyle name="20% - Accent1 2 3 3 5 2 2" xfId="36288" xr:uid="{00000000-0005-0000-0000-0000C8020000}"/>
    <cellStyle name="20% - Accent1 2 3 3 5 3" xfId="26048" xr:uid="{00000000-0005-0000-0000-0000C9020000}"/>
    <cellStyle name="20% - Accent1 2 3 3 6" xfId="10688" xr:uid="{00000000-0005-0000-0000-0000CA020000}"/>
    <cellStyle name="20% - Accent1 2 3 3 6 2" xfId="31168" xr:uid="{00000000-0005-0000-0000-0000CB020000}"/>
    <cellStyle name="20% - Accent1 2 3 3 7" xfId="20928" xr:uid="{00000000-0005-0000-0000-0000CC020000}"/>
    <cellStyle name="20% - Accent1 2 3 4" xfId="768" xr:uid="{00000000-0005-0000-0000-0000CD020000}"/>
    <cellStyle name="20% - Accent1 2 3 4 2" xfId="2048" xr:uid="{00000000-0005-0000-0000-0000CE020000}"/>
    <cellStyle name="20% - Accent1 2 3 4 2 2" xfId="4608" xr:uid="{00000000-0005-0000-0000-0000CF020000}"/>
    <cellStyle name="20% - Accent1 2 3 4 2 2 2" xfId="9728" xr:uid="{00000000-0005-0000-0000-0000D0020000}"/>
    <cellStyle name="20% - Accent1 2 3 4 2 2 2 2" xfId="19968" xr:uid="{00000000-0005-0000-0000-0000D1020000}"/>
    <cellStyle name="20% - Accent1 2 3 4 2 2 2 2 2" xfId="40448" xr:uid="{00000000-0005-0000-0000-0000D2020000}"/>
    <cellStyle name="20% - Accent1 2 3 4 2 2 2 3" xfId="30208" xr:uid="{00000000-0005-0000-0000-0000D3020000}"/>
    <cellStyle name="20% - Accent1 2 3 4 2 2 3" xfId="14848" xr:uid="{00000000-0005-0000-0000-0000D4020000}"/>
    <cellStyle name="20% - Accent1 2 3 4 2 2 3 2" xfId="35328" xr:uid="{00000000-0005-0000-0000-0000D5020000}"/>
    <cellStyle name="20% - Accent1 2 3 4 2 2 4" xfId="25088" xr:uid="{00000000-0005-0000-0000-0000D6020000}"/>
    <cellStyle name="20% - Accent1 2 3 4 2 3" xfId="7168" xr:uid="{00000000-0005-0000-0000-0000D7020000}"/>
    <cellStyle name="20% - Accent1 2 3 4 2 3 2" xfId="17408" xr:uid="{00000000-0005-0000-0000-0000D8020000}"/>
    <cellStyle name="20% - Accent1 2 3 4 2 3 2 2" xfId="37888" xr:uid="{00000000-0005-0000-0000-0000D9020000}"/>
    <cellStyle name="20% - Accent1 2 3 4 2 3 3" xfId="27648" xr:uid="{00000000-0005-0000-0000-0000DA020000}"/>
    <cellStyle name="20% - Accent1 2 3 4 2 4" xfId="12288" xr:uid="{00000000-0005-0000-0000-0000DB020000}"/>
    <cellStyle name="20% - Accent1 2 3 4 2 4 2" xfId="32768" xr:uid="{00000000-0005-0000-0000-0000DC020000}"/>
    <cellStyle name="20% - Accent1 2 3 4 2 5" xfId="22528" xr:uid="{00000000-0005-0000-0000-0000DD020000}"/>
    <cellStyle name="20% - Accent1 2 3 4 3" xfId="3328" xr:uid="{00000000-0005-0000-0000-0000DE020000}"/>
    <cellStyle name="20% - Accent1 2 3 4 3 2" xfId="8448" xr:uid="{00000000-0005-0000-0000-0000DF020000}"/>
    <cellStyle name="20% - Accent1 2 3 4 3 2 2" xfId="18688" xr:uid="{00000000-0005-0000-0000-0000E0020000}"/>
    <cellStyle name="20% - Accent1 2 3 4 3 2 2 2" xfId="39168" xr:uid="{00000000-0005-0000-0000-0000E1020000}"/>
    <cellStyle name="20% - Accent1 2 3 4 3 2 3" xfId="28928" xr:uid="{00000000-0005-0000-0000-0000E2020000}"/>
    <cellStyle name="20% - Accent1 2 3 4 3 3" xfId="13568" xr:uid="{00000000-0005-0000-0000-0000E3020000}"/>
    <cellStyle name="20% - Accent1 2 3 4 3 3 2" xfId="34048" xr:uid="{00000000-0005-0000-0000-0000E4020000}"/>
    <cellStyle name="20% - Accent1 2 3 4 3 4" xfId="23808" xr:uid="{00000000-0005-0000-0000-0000E5020000}"/>
    <cellStyle name="20% - Accent1 2 3 4 4" xfId="5888" xr:uid="{00000000-0005-0000-0000-0000E6020000}"/>
    <cellStyle name="20% - Accent1 2 3 4 4 2" xfId="16128" xr:uid="{00000000-0005-0000-0000-0000E7020000}"/>
    <cellStyle name="20% - Accent1 2 3 4 4 2 2" xfId="36608" xr:uid="{00000000-0005-0000-0000-0000E8020000}"/>
    <cellStyle name="20% - Accent1 2 3 4 4 3" xfId="26368" xr:uid="{00000000-0005-0000-0000-0000E9020000}"/>
    <cellStyle name="20% - Accent1 2 3 4 5" xfId="11008" xr:uid="{00000000-0005-0000-0000-0000EA020000}"/>
    <cellStyle name="20% - Accent1 2 3 4 5 2" xfId="31488" xr:uid="{00000000-0005-0000-0000-0000EB020000}"/>
    <cellStyle name="20% - Accent1 2 3 4 6" xfId="21248" xr:uid="{00000000-0005-0000-0000-0000EC020000}"/>
    <cellStyle name="20% - Accent1 2 3 5" xfId="1408" xr:uid="{00000000-0005-0000-0000-0000ED020000}"/>
    <cellStyle name="20% - Accent1 2 3 5 2" xfId="3968" xr:uid="{00000000-0005-0000-0000-0000EE020000}"/>
    <cellStyle name="20% - Accent1 2 3 5 2 2" xfId="9088" xr:uid="{00000000-0005-0000-0000-0000EF020000}"/>
    <cellStyle name="20% - Accent1 2 3 5 2 2 2" xfId="19328" xr:uid="{00000000-0005-0000-0000-0000F0020000}"/>
    <cellStyle name="20% - Accent1 2 3 5 2 2 2 2" xfId="39808" xr:uid="{00000000-0005-0000-0000-0000F1020000}"/>
    <cellStyle name="20% - Accent1 2 3 5 2 2 3" xfId="29568" xr:uid="{00000000-0005-0000-0000-0000F2020000}"/>
    <cellStyle name="20% - Accent1 2 3 5 2 3" xfId="14208" xr:uid="{00000000-0005-0000-0000-0000F3020000}"/>
    <cellStyle name="20% - Accent1 2 3 5 2 3 2" xfId="34688" xr:uid="{00000000-0005-0000-0000-0000F4020000}"/>
    <cellStyle name="20% - Accent1 2 3 5 2 4" xfId="24448" xr:uid="{00000000-0005-0000-0000-0000F5020000}"/>
    <cellStyle name="20% - Accent1 2 3 5 3" xfId="6528" xr:uid="{00000000-0005-0000-0000-0000F6020000}"/>
    <cellStyle name="20% - Accent1 2 3 5 3 2" xfId="16768" xr:uid="{00000000-0005-0000-0000-0000F7020000}"/>
    <cellStyle name="20% - Accent1 2 3 5 3 2 2" xfId="37248" xr:uid="{00000000-0005-0000-0000-0000F8020000}"/>
    <cellStyle name="20% - Accent1 2 3 5 3 3" xfId="27008" xr:uid="{00000000-0005-0000-0000-0000F9020000}"/>
    <cellStyle name="20% - Accent1 2 3 5 4" xfId="11648" xr:uid="{00000000-0005-0000-0000-0000FA020000}"/>
    <cellStyle name="20% - Accent1 2 3 5 4 2" xfId="32128" xr:uid="{00000000-0005-0000-0000-0000FB020000}"/>
    <cellStyle name="20% - Accent1 2 3 5 5" xfId="21888" xr:uid="{00000000-0005-0000-0000-0000FC020000}"/>
    <cellStyle name="20% - Accent1 2 3 6" xfId="2688" xr:uid="{00000000-0005-0000-0000-0000FD020000}"/>
    <cellStyle name="20% - Accent1 2 3 6 2" xfId="7808" xr:uid="{00000000-0005-0000-0000-0000FE020000}"/>
    <cellStyle name="20% - Accent1 2 3 6 2 2" xfId="18048" xr:uid="{00000000-0005-0000-0000-0000FF020000}"/>
    <cellStyle name="20% - Accent1 2 3 6 2 2 2" xfId="38528" xr:uid="{00000000-0005-0000-0000-000000030000}"/>
    <cellStyle name="20% - Accent1 2 3 6 2 3" xfId="28288" xr:uid="{00000000-0005-0000-0000-000001030000}"/>
    <cellStyle name="20% - Accent1 2 3 6 3" xfId="12928" xr:uid="{00000000-0005-0000-0000-000002030000}"/>
    <cellStyle name="20% - Accent1 2 3 6 3 2" xfId="33408" xr:uid="{00000000-0005-0000-0000-000003030000}"/>
    <cellStyle name="20% - Accent1 2 3 6 4" xfId="23168" xr:uid="{00000000-0005-0000-0000-000004030000}"/>
    <cellStyle name="20% - Accent1 2 3 7" xfId="5248" xr:uid="{00000000-0005-0000-0000-000005030000}"/>
    <cellStyle name="20% - Accent1 2 3 7 2" xfId="15488" xr:uid="{00000000-0005-0000-0000-000006030000}"/>
    <cellStyle name="20% - Accent1 2 3 7 2 2" xfId="35968" xr:uid="{00000000-0005-0000-0000-000007030000}"/>
    <cellStyle name="20% - Accent1 2 3 7 3" xfId="25728" xr:uid="{00000000-0005-0000-0000-000008030000}"/>
    <cellStyle name="20% - Accent1 2 3 8" xfId="10368" xr:uid="{00000000-0005-0000-0000-000009030000}"/>
    <cellStyle name="20% - Accent1 2 3 8 2" xfId="30848" xr:uid="{00000000-0005-0000-0000-00000A030000}"/>
    <cellStyle name="20% - Accent1 2 3 9" xfId="20608" xr:uid="{00000000-0005-0000-0000-00000B030000}"/>
    <cellStyle name="20% - Accent1 2 4" xfId="208" xr:uid="{00000000-0005-0000-0000-00000C030000}"/>
    <cellStyle name="20% - Accent1 2 4 2" xfId="528" xr:uid="{00000000-0005-0000-0000-00000D030000}"/>
    <cellStyle name="20% - Accent1 2 4 2 2" xfId="1168" xr:uid="{00000000-0005-0000-0000-00000E030000}"/>
    <cellStyle name="20% - Accent1 2 4 2 2 2" xfId="2448" xr:uid="{00000000-0005-0000-0000-00000F030000}"/>
    <cellStyle name="20% - Accent1 2 4 2 2 2 2" xfId="5008" xr:uid="{00000000-0005-0000-0000-000010030000}"/>
    <cellStyle name="20% - Accent1 2 4 2 2 2 2 2" xfId="10128" xr:uid="{00000000-0005-0000-0000-000011030000}"/>
    <cellStyle name="20% - Accent1 2 4 2 2 2 2 2 2" xfId="20368" xr:uid="{00000000-0005-0000-0000-000012030000}"/>
    <cellStyle name="20% - Accent1 2 4 2 2 2 2 2 2 2" xfId="40848" xr:uid="{00000000-0005-0000-0000-000013030000}"/>
    <cellStyle name="20% - Accent1 2 4 2 2 2 2 2 3" xfId="30608" xr:uid="{00000000-0005-0000-0000-000014030000}"/>
    <cellStyle name="20% - Accent1 2 4 2 2 2 2 3" xfId="15248" xr:uid="{00000000-0005-0000-0000-000015030000}"/>
    <cellStyle name="20% - Accent1 2 4 2 2 2 2 3 2" xfId="35728" xr:uid="{00000000-0005-0000-0000-000016030000}"/>
    <cellStyle name="20% - Accent1 2 4 2 2 2 2 4" xfId="25488" xr:uid="{00000000-0005-0000-0000-000017030000}"/>
    <cellStyle name="20% - Accent1 2 4 2 2 2 3" xfId="7568" xr:uid="{00000000-0005-0000-0000-000018030000}"/>
    <cellStyle name="20% - Accent1 2 4 2 2 2 3 2" xfId="17808" xr:uid="{00000000-0005-0000-0000-000019030000}"/>
    <cellStyle name="20% - Accent1 2 4 2 2 2 3 2 2" xfId="38288" xr:uid="{00000000-0005-0000-0000-00001A030000}"/>
    <cellStyle name="20% - Accent1 2 4 2 2 2 3 3" xfId="28048" xr:uid="{00000000-0005-0000-0000-00001B030000}"/>
    <cellStyle name="20% - Accent1 2 4 2 2 2 4" xfId="12688" xr:uid="{00000000-0005-0000-0000-00001C030000}"/>
    <cellStyle name="20% - Accent1 2 4 2 2 2 4 2" xfId="33168" xr:uid="{00000000-0005-0000-0000-00001D030000}"/>
    <cellStyle name="20% - Accent1 2 4 2 2 2 5" xfId="22928" xr:uid="{00000000-0005-0000-0000-00001E030000}"/>
    <cellStyle name="20% - Accent1 2 4 2 2 3" xfId="3728" xr:uid="{00000000-0005-0000-0000-00001F030000}"/>
    <cellStyle name="20% - Accent1 2 4 2 2 3 2" xfId="8848" xr:uid="{00000000-0005-0000-0000-000020030000}"/>
    <cellStyle name="20% - Accent1 2 4 2 2 3 2 2" xfId="19088" xr:uid="{00000000-0005-0000-0000-000021030000}"/>
    <cellStyle name="20% - Accent1 2 4 2 2 3 2 2 2" xfId="39568" xr:uid="{00000000-0005-0000-0000-000022030000}"/>
    <cellStyle name="20% - Accent1 2 4 2 2 3 2 3" xfId="29328" xr:uid="{00000000-0005-0000-0000-000023030000}"/>
    <cellStyle name="20% - Accent1 2 4 2 2 3 3" xfId="13968" xr:uid="{00000000-0005-0000-0000-000024030000}"/>
    <cellStyle name="20% - Accent1 2 4 2 2 3 3 2" xfId="34448" xr:uid="{00000000-0005-0000-0000-000025030000}"/>
    <cellStyle name="20% - Accent1 2 4 2 2 3 4" xfId="24208" xr:uid="{00000000-0005-0000-0000-000026030000}"/>
    <cellStyle name="20% - Accent1 2 4 2 2 4" xfId="6288" xr:uid="{00000000-0005-0000-0000-000027030000}"/>
    <cellStyle name="20% - Accent1 2 4 2 2 4 2" xfId="16528" xr:uid="{00000000-0005-0000-0000-000028030000}"/>
    <cellStyle name="20% - Accent1 2 4 2 2 4 2 2" xfId="37008" xr:uid="{00000000-0005-0000-0000-000029030000}"/>
    <cellStyle name="20% - Accent1 2 4 2 2 4 3" xfId="26768" xr:uid="{00000000-0005-0000-0000-00002A030000}"/>
    <cellStyle name="20% - Accent1 2 4 2 2 5" xfId="11408" xr:uid="{00000000-0005-0000-0000-00002B030000}"/>
    <cellStyle name="20% - Accent1 2 4 2 2 5 2" xfId="31888" xr:uid="{00000000-0005-0000-0000-00002C030000}"/>
    <cellStyle name="20% - Accent1 2 4 2 2 6" xfId="21648" xr:uid="{00000000-0005-0000-0000-00002D030000}"/>
    <cellStyle name="20% - Accent1 2 4 2 3" xfId="1808" xr:uid="{00000000-0005-0000-0000-00002E030000}"/>
    <cellStyle name="20% - Accent1 2 4 2 3 2" xfId="4368" xr:uid="{00000000-0005-0000-0000-00002F030000}"/>
    <cellStyle name="20% - Accent1 2 4 2 3 2 2" xfId="9488" xr:uid="{00000000-0005-0000-0000-000030030000}"/>
    <cellStyle name="20% - Accent1 2 4 2 3 2 2 2" xfId="19728" xr:uid="{00000000-0005-0000-0000-000031030000}"/>
    <cellStyle name="20% - Accent1 2 4 2 3 2 2 2 2" xfId="40208" xr:uid="{00000000-0005-0000-0000-000032030000}"/>
    <cellStyle name="20% - Accent1 2 4 2 3 2 2 3" xfId="29968" xr:uid="{00000000-0005-0000-0000-000033030000}"/>
    <cellStyle name="20% - Accent1 2 4 2 3 2 3" xfId="14608" xr:uid="{00000000-0005-0000-0000-000034030000}"/>
    <cellStyle name="20% - Accent1 2 4 2 3 2 3 2" xfId="35088" xr:uid="{00000000-0005-0000-0000-000035030000}"/>
    <cellStyle name="20% - Accent1 2 4 2 3 2 4" xfId="24848" xr:uid="{00000000-0005-0000-0000-000036030000}"/>
    <cellStyle name="20% - Accent1 2 4 2 3 3" xfId="6928" xr:uid="{00000000-0005-0000-0000-000037030000}"/>
    <cellStyle name="20% - Accent1 2 4 2 3 3 2" xfId="17168" xr:uid="{00000000-0005-0000-0000-000038030000}"/>
    <cellStyle name="20% - Accent1 2 4 2 3 3 2 2" xfId="37648" xr:uid="{00000000-0005-0000-0000-000039030000}"/>
    <cellStyle name="20% - Accent1 2 4 2 3 3 3" xfId="27408" xr:uid="{00000000-0005-0000-0000-00003A030000}"/>
    <cellStyle name="20% - Accent1 2 4 2 3 4" xfId="12048" xr:uid="{00000000-0005-0000-0000-00003B030000}"/>
    <cellStyle name="20% - Accent1 2 4 2 3 4 2" xfId="32528" xr:uid="{00000000-0005-0000-0000-00003C030000}"/>
    <cellStyle name="20% - Accent1 2 4 2 3 5" xfId="22288" xr:uid="{00000000-0005-0000-0000-00003D030000}"/>
    <cellStyle name="20% - Accent1 2 4 2 4" xfId="3088" xr:uid="{00000000-0005-0000-0000-00003E030000}"/>
    <cellStyle name="20% - Accent1 2 4 2 4 2" xfId="8208" xr:uid="{00000000-0005-0000-0000-00003F030000}"/>
    <cellStyle name="20% - Accent1 2 4 2 4 2 2" xfId="18448" xr:uid="{00000000-0005-0000-0000-000040030000}"/>
    <cellStyle name="20% - Accent1 2 4 2 4 2 2 2" xfId="38928" xr:uid="{00000000-0005-0000-0000-000041030000}"/>
    <cellStyle name="20% - Accent1 2 4 2 4 2 3" xfId="28688" xr:uid="{00000000-0005-0000-0000-000042030000}"/>
    <cellStyle name="20% - Accent1 2 4 2 4 3" xfId="13328" xr:uid="{00000000-0005-0000-0000-000043030000}"/>
    <cellStyle name="20% - Accent1 2 4 2 4 3 2" xfId="33808" xr:uid="{00000000-0005-0000-0000-000044030000}"/>
    <cellStyle name="20% - Accent1 2 4 2 4 4" xfId="23568" xr:uid="{00000000-0005-0000-0000-000045030000}"/>
    <cellStyle name="20% - Accent1 2 4 2 5" xfId="5648" xr:uid="{00000000-0005-0000-0000-000046030000}"/>
    <cellStyle name="20% - Accent1 2 4 2 5 2" xfId="15888" xr:uid="{00000000-0005-0000-0000-000047030000}"/>
    <cellStyle name="20% - Accent1 2 4 2 5 2 2" xfId="36368" xr:uid="{00000000-0005-0000-0000-000048030000}"/>
    <cellStyle name="20% - Accent1 2 4 2 5 3" xfId="26128" xr:uid="{00000000-0005-0000-0000-000049030000}"/>
    <cellStyle name="20% - Accent1 2 4 2 6" xfId="10768" xr:uid="{00000000-0005-0000-0000-00004A030000}"/>
    <cellStyle name="20% - Accent1 2 4 2 6 2" xfId="31248" xr:uid="{00000000-0005-0000-0000-00004B030000}"/>
    <cellStyle name="20% - Accent1 2 4 2 7" xfId="21008" xr:uid="{00000000-0005-0000-0000-00004C030000}"/>
    <cellStyle name="20% - Accent1 2 4 3" xfId="848" xr:uid="{00000000-0005-0000-0000-00004D030000}"/>
    <cellStyle name="20% - Accent1 2 4 3 2" xfId="2128" xr:uid="{00000000-0005-0000-0000-00004E030000}"/>
    <cellStyle name="20% - Accent1 2 4 3 2 2" xfId="4688" xr:uid="{00000000-0005-0000-0000-00004F030000}"/>
    <cellStyle name="20% - Accent1 2 4 3 2 2 2" xfId="9808" xr:uid="{00000000-0005-0000-0000-000050030000}"/>
    <cellStyle name="20% - Accent1 2 4 3 2 2 2 2" xfId="20048" xr:uid="{00000000-0005-0000-0000-000051030000}"/>
    <cellStyle name="20% - Accent1 2 4 3 2 2 2 2 2" xfId="40528" xr:uid="{00000000-0005-0000-0000-000052030000}"/>
    <cellStyle name="20% - Accent1 2 4 3 2 2 2 3" xfId="30288" xr:uid="{00000000-0005-0000-0000-000053030000}"/>
    <cellStyle name="20% - Accent1 2 4 3 2 2 3" xfId="14928" xr:uid="{00000000-0005-0000-0000-000054030000}"/>
    <cellStyle name="20% - Accent1 2 4 3 2 2 3 2" xfId="35408" xr:uid="{00000000-0005-0000-0000-000055030000}"/>
    <cellStyle name="20% - Accent1 2 4 3 2 2 4" xfId="25168" xr:uid="{00000000-0005-0000-0000-000056030000}"/>
    <cellStyle name="20% - Accent1 2 4 3 2 3" xfId="7248" xr:uid="{00000000-0005-0000-0000-000057030000}"/>
    <cellStyle name="20% - Accent1 2 4 3 2 3 2" xfId="17488" xr:uid="{00000000-0005-0000-0000-000058030000}"/>
    <cellStyle name="20% - Accent1 2 4 3 2 3 2 2" xfId="37968" xr:uid="{00000000-0005-0000-0000-000059030000}"/>
    <cellStyle name="20% - Accent1 2 4 3 2 3 3" xfId="27728" xr:uid="{00000000-0005-0000-0000-00005A030000}"/>
    <cellStyle name="20% - Accent1 2 4 3 2 4" xfId="12368" xr:uid="{00000000-0005-0000-0000-00005B030000}"/>
    <cellStyle name="20% - Accent1 2 4 3 2 4 2" xfId="32848" xr:uid="{00000000-0005-0000-0000-00005C030000}"/>
    <cellStyle name="20% - Accent1 2 4 3 2 5" xfId="22608" xr:uid="{00000000-0005-0000-0000-00005D030000}"/>
    <cellStyle name="20% - Accent1 2 4 3 3" xfId="3408" xr:uid="{00000000-0005-0000-0000-00005E030000}"/>
    <cellStyle name="20% - Accent1 2 4 3 3 2" xfId="8528" xr:uid="{00000000-0005-0000-0000-00005F030000}"/>
    <cellStyle name="20% - Accent1 2 4 3 3 2 2" xfId="18768" xr:uid="{00000000-0005-0000-0000-000060030000}"/>
    <cellStyle name="20% - Accent1 2 4 3 3 2 2 2" xfId="39248" xr:uid="{00000000-0005-0000-0000-000061030000}"/>
    <cellStyle name="20% - Accent1 2 4 3 3 2 3" xfId="29008" xr:uid="{00000000-0005-0000-0000-000062030000}"/>
    <cellStyle name="20% - Accent1 2 4 3 3 3" xfId="13648" xr:uid="{00000000-0005-0000-0000-000063030000}"/>
    <cellStyle name="20% - Accent1 2 4 3 3 3 2" xfId="34128" xr:uid="{00000000-0005-0000-0000-000064030000}"/>
    <cellStyle name="20% - Accent1 2 4 3 3 4" xfId="23888" xr:uid="{00000000-0005-0000-0000-000065030000}"/>
    <cellStyle name="20% - Accent1 2 4 3 4" xfId="5968" xr:uid="{00000000-0005-0000-0000-000066030000}"/>
    <cellStyle name="20% - Accent1 2 4 3 4 2" xfId="16208" xr:uid="{00000000-0005-0000-0000-000067030000}"/>
    <cellStyle name="20% - Accent1 2 4 3 4 2 2" xfId="36688" xr:uid="{00000000-0005-0000-0000-000068030000}"/>
    <cellStyle name="20% - Accent1 2 4 3 4 3" xfId="26448" xr:uid="{00000000-0005-0000-0000-000069030000}"/>
    <cellStyle name="20% - Accent1 2 4 3 5" xfId="11088" xr:uid="{00000000-0005-0000-0000-00006A030000}"/>
    <cellStyle name="20% - Accent1 2 4 3 5 2" xfId="31568" xr:uid="{00000000-0005-0000-0000-00006B030000}"/>
    <cellStyle name="20% - Accent1 2 4 3 6" xfId="21328" xr:uid="{00000000-0005-0000-0000-00006C030000}"/>
    <cellStyle name="20% - Accent1 2 4 4" xfId="1488" xr:uid="{00000000-0005-0000-0000-00006D030000}"/>
    <cellStyle name="20% - Accent1 2 4 4 2" xfId="4048" xr:uid="{00000000-0005-0000-0000-00006E030000}"/>
    <cellStyle name="20% - Accent1 2 4 4 2 2" xfId="9168" xr:uid="{00000000-0005-0000-0000-00006F030000}"/>
    <cellStyle name="20% - Accent1 2 4 4 2 2 2" xfId="19408" xr:uid="{00000000-0005-0000-0000-000070030000}"/>
    <cellStyle name="20% - Accent1 2 4 4 2 2 2 2" xfId="39888" xr:uid="{00000000-0005-0000-0000-000071030000}"/>
    <cellStyle name="20% - Accent1 2 4 4 2 2 3" xfId="29648" xr:uid="{00000000-0005-0000-0000-000072030000}"/>
    <cellStyle name="20% - Accent1 2 4 4 2 3" xfId="14288" xr:uid="{00000000-0005-0000-0000-000073030000}"/>
    <cellStyle name="20% - Accent1 2 4 4 2 3 2" xfId="34768" xr:uid="{00000000-0005-0000-0000-000074030000}"/>
    <cellStyle name="20% - Accent1 2 4 4 2 4" xfId="24528" xr:uid="{00000000-0005-0000-0000-000075030000}"/>
    <cellStyle name="20% - Accent1 2 4 4 3" xfId="6608" xr:uid="{00000000-0005-0000-0000-000076030000}"/>
    <cellStyle name="20% - Accent1 2 4 4 3 2" xfId="16848" xr:uid="{00000000-0005-0000-0000-000077030000}"/>
    <cellStyle name="20% - Accent1 2 4 4 3 2 2" xfId="37328" xr:uid="{00000000-0005-0000-0000-000078030000}"/>
    <cellStyle name="20% - Accent1 2 4 4 3 3" xfId="27088" xr:uid="{00000000-0005-0000-0000-000079030000}"/>
    <cellStyle name="20% - Accent1 2 4 4 4" xfId="11728" xr:uid="{00000000-0005-0000-0000-00007A030000}"/>
    <cellStyle name="20% - Accent1 2 4 4 4 2" xfId="32208" xr:uid="{00000000-0005-0000-0000-00007B030000}"/>
    <cellStyle name="20% - Accent1 2 4 4 5" xfId="21968" xr:uid="{00000000-0005-0000-0000-00007C030000}"/>
    <cellStyle name="20% - Accent1 2 4 5" xfId="2768" xr:uid="{00000000-0005-0000-0000-00007D030000}"/>
    <cellStyle name="20% - Accent1 2 4 5 2" xfId="7888" xr:uid="{00000000-0005-0000-0000-00007E030000}"/>
    <cellStyle name="20% - Accent1 2 4 5 2 2" xfId="18128" xr:uid="{00000000-0005-0000-0000-00007F030000}"/>
    <cellStyle name="20% - Accent1 2 4 5 2 2 2" xfId="38608" xr:uid="{00000000-0005-0000-0000-000080030000}"/>
    <cellStyle name="20% - Accent1 2 4 5 2 3" xfId="28368" xr:uid="{00000000-0005-0000-0000-000081030000}"/>
    <cellStyle name="20% - Accent1 2 4 5 3" xfId="13008" xr:uid="{00000000-0005-0000-0000-000082030000}"/>
    <cellStyle name="20% - Accent1 2 4 5 3 2" xfId="33488" xr:uid="{00000000-0005-0000-0000-000083030000}"/>
    <cellStyle name="20% - Accent1 2 4 5 4" xfId="23248" xr:uid="{00000000-0005-0000-0000-000084030000}"/>
    <cellStyle name="20% - Accent1 2 4 6" xfId="5328" xr:uid="{00000000-0005-0000-0000-000085030000}"/>
    <cellStyle name="20% - Accent1 2 4 6 2" xfId="15568" xr:uid="{00000000-0005-0000-0000-000086030000}"/>
    <cellStyle name="20% - Accent1 2 4 6 2 2" xfId="36048" xr:uid="{00000000-0005-0000-0000-000087030000}"/>
    <cellStyle name="20% - Accent1 2 4 6 3" xfId="25808" xr:uid="{00000000-0005-0000-0000-000088030000}"/>
    <cellStyle name="20% - Accent1 2 4 7" xfId="10448" xr:uid="{00000000-0005-0000-0000-000089030000}"/>
    <cellStyle name="20% - Accent1 2 4 7 2" xfId="30928" xr:uid="{00000000-0005-0000-0000-00008A030000}"/>
    <cellStyle name="20% - Accent1 2 4 8" xfId="20688" xr:uid="{00000000-0005-0000-0000-00008B030000}"/>
    <cellStyle name="20% - Accent1 2 5" xfId="368" xr:uid="{00000000-0005-0000-0000-00008C030000}"/>
    <cellStyle name="20% - Accent1 2 5 2" xfId="1008" xr:uid="{00000000-0005-0000-0000-00008D030000}"/>
    <cellStyle name="20% - Accent1 2 5 2 2" xfId="2288" xr:uid="{00000000-0005-0000-0000-00008E030000}"/>
    <cellStyle name="20% - Accent1 2 5 2 2 2" xfId="4848" xr:uid="{00000000-0005-0000-0000-00008F030000}"/>
    <cellStyle name="20% - Accent1 2 5 2 2 2 2" xfId="9968" xr:uid="{00000000-0005-0000-0000-000090030000}"/>
    <cellStyle name="20% - Accent1 2 5 2 2 2 2 2" xfId="20208" xr:uid="{00000000-0005-0000-0000-000091030000}"/>
    <cellStyle name="20% - Accent1 2 5 2 2 2 2 2 2" xfId="40688" xr:uid="{00000000-0005-0000-0000-000092030000}"/>
    <cellStyle name="20% - Accent1 2 5 2 2 2 2 3" xfId="30448" xr:uid="{00000000-0005-0000-0000-000093030000}"/>
    <cellStyle name="20% - Accent1 2 5 2 2 2 3" xfId="15088" xr:uid="{00000000-0005-0000-0000-000094030000}"/>
    <cellStyle name="20% - Accent1 2 5 2 2 2 3 2" xfId="35568" xr:uid="{00000000-0005-0000-0000-000095030000}"/>
    <cellStyle name="20% - Accent1 2 5 2 2 2 4" xfId="25328" xr:uid="{00000000-0005-0000-0000-000096030000}"/>
    <cellStyle name="20% - Accent1 2 5 2 2 3" xfId="7408" xr:uid="{00000000-0005-0000-0000-000097030000}"/>
    <cellStyle name="20% - Accent1 2 5 2 2 3 2" xfId="17648" xr:uid="{00000000-0005-0000-0000-000098030000}"/>
    <cellStyle name="20% - Accent1 2 5 2 2 3 2 2" xfId="38128" xr:uid="{00000000-0005-0000-0000-000099030000}"/>
    <cellStyle name="20% - Accent1 2 5 2 2 3 3" xfId="27888" xr:uid="{00000000-0005-0000-0000-00009A030000}"/>
    <cellStyle name="20% - Accent1 2 5 2 2 4" xfId="12528" xr:uid="{00000000-0005-0000-0000-00009B030000}"/>
    <cellStyle name="20% - Accent1 2 5 2 2 4 2" xfId="33008" xr:uid="{00000000-0005-0000-0000-00009C030000}"/>
    <cellStyle name="20% - Accent1 2 5 2 2 5" xfId="22768" xr:uid="{00000000-0005-0000-0000-00009D030000}"/>
    <cellStyle name="20% - Accent1 2 5 2 3" xfId="3568" xr:uid="{00000000-0005-0000-0000-00009E030000}"/>
    <cellStyle name="20% - Accent1 2 5 2 3 2" xfId="8688" xr:uid="{00000000-0005-0000-0000-00009F030000}"/>
    <cellStyle name="20% - Accent1 2 5 2 3 2 2" xfId="18928" xr:uid="{00000000-0005-0000-0000-0000A0030000}"/>
    <cellStyle name="20% - Accent1 2 5 2 3 2 2 2" xfId="39408" xr:uid="{00000000-0005-0000-0000-0000A1030000}"/>
    <cellStyle name="20% - Accent1 2 5 2 3 2 3" xfId="29168" xr:uid="{00000000-0005-0000-0000-0000A2030000}"/>
    <cellStyle name="20% - Accent1 2 5 2 3 3" xfId="13808" xr:uid="{00000000-0005-0000-0000-0000A3030000}"/>
    <cellStyle name="20% - Accent1 2 5 2 3 3 2" xfId="34288" xr:uid="{00000000-0005-0000-0000-0000A4030000}"/>
    <cellStyle name="20% - Accent1 2 5 2 3 4" xfId="24048" xr:uid="{00000000-0005-0000-0000-0000A5030000}"/>
    <cellStyle name="20% - Accent1 2 5 2 4" xfId="6128" xr:uid="{00000000-0005-0000-0000-0000A6030000}"/>
    <cellStyle name="20% - Accent1 2 5 2 4 2" xfId="16368" xr:uid="{00000000-0005-0000-0000-0000A7030000}"/>
    <cellStyle name="20% - Accent1 2 5 2 4 2 2" xfId="36848" xr:uid="{00000000-0005-0000-0000-0000A8030000}"/>
    <cellStyle name="20% - Accent1 2 5 2 4 3" xfId="26608" xr:uid="{00000000-0005-0000-0000-0000A9030000}"/>
    <cellStyle name="20% - Accent1 2 5 2 5" xfId="11248" xr:uid="{00000000-0005-0000-0000-0000AA030000}"/>
    <cellStyle name="20% - Accent1 2 5 2 5 2" xfId="31728" xr:uid="{00000000-0005-0000-0000-0000AB030000}"/>
    <cellStyle name="20% - Accent1 2 5 2 6" xfId="21488" xr:uid="{00000000-0005-0000-0000-0000AC030000}"/>
    <cellStyle name="20% - Accent1 2 5 3" xfId="1648" xr:uid="{00000000-0005-0000-0000-0000AD030000}"/>
    <cellStyle name="20% - Accent1 2 5 3 2" xfId="4208" xr:uid="{00000000-0005-0000-0000-0000AE030000}"/>
    <cellStyle name="20% - Accent1 2 5 3 2 2" xfId="9328" xr:uid="{00000000-0005-0000-0000-0000AF030000}"/>
    <cellStyle name="20% - Accent1 2 5 3 2 2 2" xfId="19568" xr:uid="{00000000-0005-0000-0000-0000B0030000}"/>
    <cellStyle name="20% - Accent1 2 5 3 2 2 2 2" xfId="40048" xr:uid="{00000000-0005-0000-0000-0000B1030000}"/>
    <cellStyle name="20% - Accent1 2 5 3 2 2 3" xfId="29808" xr:uid="{00000000-0005-0000-0000-0000B2030000}"/>
    <cellStyle name="20% - Accent1 2 5 3 2 3" xfId="14448" xr:uid="{00000000-0005-0000-0000-0000B3030000}"/>
    <cellStyle name="20% - Accent1 2 5 3 2 3 2" xfId="34928" xr:uid="{00000000-0005-0000-0000-0000B4030000}"/>
    <cellStyle name="20% - Accent1 2 5 3 2 4" xfId="24688" xr:uid="{00000000-0005-0000-0000-0000B5030000}"/>
    <cellStyle name="20% - Accent1 2 5 3 3" xfId="6768" xr:uid="{00000000-0005-0000-0000-0000B6030000}"/>
    <cellStyle name="20% - Accent1 2 5 3 3 2" xfId="17008" xr:uid="{00000000-0005-0000-0000-0000B7030000}"/>
    <cellStyle name="20% - Accent1 2 5 3 3 2 2" xfId="37488" xr:uid="{00000000-0005-0000-0000-0000B8030000}"/>
    <cellStyle name="20% - Accent1 2 5 3 3 3" xfId="27248" xr:uid="{00000000-0005-0000-0000-0000B9030000}"/>
    <cellStyle name="20% - Accent1 2 5 3 4" xfId="11888" xr:uid="{00000000-0005-0000-0000-0000BA030000}"/>
    <cellStyle name="20% - Accent1 2 5 3 4 2" xfId="32368" xr:uid="{00000000-0005-0000-0000-0000BB030000}"/>
    <cellStyle name="20% - Accent1 2 5 3 5" xfId="22128" xr:uid="{00000000-0005-0000-0000-0000BC030000}"/>
    <cellStyle name="20% - Accent1 2 5 4" xfId="2928" xr:uid="{00000000-0005-0000-0000-0000BD030000}"/>
    <cellStyle name="20% - Accent1 2 5 4 2" xfId="8048" xr:uid="{00000000-0005-0000-0000-0000BE030000}"/>
    <cellStyle name="20% - Accent1 2 5 4 2 2" xfId="18288" xr:uid="{00000000-0005-0000-0000-0000BF030000}"/>
    <cellStyle name="20% - Accent1 2 5 4 2 2 2" xfId="38768" xr:uid="{00000000-0005-0000-0000-0000C0030000}"/>
    <cellStyle name="20% - Accent1 2 5 4 2 3" xfId="28528" xr:uid="{00000000-0005-0000-0000-0000C1030000}"/>
    <cellStyle name="20% - Accent1 2 5 4 3" xfId="13168" xr:uid="{00000000-0005-0000-0000-0000C2030000}"/>
    <cellStyle name="20% - Accent1 2 5 4 3 2" xfId="33648" xr:uid="{00000000-0005-0000-0000-0000C3030000}"/>
    <cellStyle name="20% - Accent1 2 5 4 4" xfId="23408" xr:uid="{00000000-0005-0000-0000-0000C4030000}"/>
    <cellStyle name="20% - Accent1 2 5 5" xfId="5488" xr:uid="{00000000-0005-0000-0000-0000C5030000}"/>
    <cellStyle name="20% - Accent1 2 5 5 2" xfId="15728" xr:uid="{00000000-0005-0000-0000-0000C6030000}"/>
    <cellStyle name="20% - Accent1 2 5 5 2 2" xfId="36208" xr:uid="{00000000-0005-0000-0000-0000C7030000}"/>
    <cellStyle name="20% - Accent1 2 5 5 3" xfId="25968" xr:uid="{00000000-0005-0000-0000-0000C8030000}"/>
    <cellStyle name="20% - Accent1 2 5 6" xfId="10608" xr:uid="{00000000-0005-0000-0000-0000C9030000}"/>
    <cellStyle name="20% - Accent1 2 5 6 2" xfId="31088" xr:uid="{00000000-0005-0000-0000-0000CA030000}"/>
    <cellStyle name="20% - Accent1 2 5 7" xfId="20848" xr:uid="{00000000-0005-0000-0000-0000CB030000}"/>
    <cellStyle name="20% - Accent1 2 6" xfId="688" xr:uid="{00000000-0005-0000-0000-0000CC030000}"/>
    <cellStyle name="20% - Accent1 2 6 2" xfId="1968" xr:uid="{00000000-0005-0000-0000-0000CD030000}"/>
    <cellStyle name="20% - Accent1 2 6 2 2" xfId="4528" xr:uid="{00000000-0005-0000-0000-0000CE030000}"/>
    <cellStyle name="20% - Accent1 2 6 2 2 2" xfId="9648" xr:uid="{00000000-0005-0000-0000-0000CF030000}"/>
    <cellStyle name="20% - Accent1 2 6 2 2 2 2" xfId="19888" xr:uid="{00000000-0005-0000-0000-0000D0030000}"/>
    <cellStyle name="20% - Accent1 2 6 2 2 2 2 2" xfId="40368" xr:uid="{00000000-0005-0000-0000-0000D1030000}"/>
    <cellStyle name="20% - Accent1 2 6 2 2 2 3" xfId="30128" xr:uid="{00000000-0005-0000-0000-0000D2030000}"/>
    <cellStyle name="20% - Accent1 2 6 2 2 3" xfId="14768" xr:uid="{00000000-0005-0000-0000-0000D3030000}"/>
    <cellStyle name="20% - Accent1 2 6 2 2 3 2" xfId="35248" xr:uid="{00000000-0005-0000-0000-0000D4030000}"/>
    <cellStyle name="20% - Accent1 2 6 2 2 4" xfId="25008" xr:uid="{00000000-0005-0000-0000-0000D5030000}"/>
    <cellStyle name="20% - Accent1 2 6 2 3" xfId="7088" xr:uid="{00000000-0005-0000-0000-0000D6030000}"/>
    <cellStyle name="20% - Accent1 2 6 2 3 2" xfId="17328" xr:uid="{00000000-0005-0000-0000-0000D7030000}"/>
    <cellStyle name="20% - Accent1 2 6 2 3 2 2" xfId="37808" xr:uid="{00000000-0005-0000-0000-0000D8030000}"/>
    <cellStyle name="20% - Accent1 2 6 2 3 3" xfId="27568" xr:uid="{00000000-0005-0000-0000-0000D9030000}"/>
    <cellStyle name="20% - Accent1 2 6 2 4" xfId="12208" xr:uid="{00000000-0005-0000-0000-0000DA030000}"/>
    <cellStyle name="20% - Accent1 2 6 2 4 2" xfId="32688" xr:uid="{00000000-0005-0000-0000-0000DB030000}"/>
    <cellStyle name="20% - Accent1 2 6 2 5" xfId="22448" xr:uid="{00000000-0005-0000-0000-0000DC030000}"/>
    <cellStyle name="20% - Accent1 2 6 3" xfId="3248" xr:uid="{00000000-0005-0000-0000-0000DD030000}"/>
    <cellStyle name="20% - Accent1 2 6 3 2" xfId="8368" xr:uid="{00000000-0005-0000-0000-0000DE030000}"/>
    <cellStyle name="20% - Accent1 2 6 3 2 2" xfId="18608" xr:uid="{00000000-0005-0000-0000-0000DF030000}"/>
    <cellStyle name="20% - Accent1 2 6 3 2 2 2" xfId="39088" xr:uid="{00000000-0005-0000-0000-0000E0030000}"/>
    <cellStyle name="20% - Accent1 2 6 3 2 3" xfId="28848" xr:uid="{00000000-0005-0000-0000-0000E1030000}"/>
    <cellStyle name="20% - Accent1 2 6 3 3" xfId="13488" xr:uid="{00000000-0005-0000-0000-0000E2030000}"/>
    <cellStyle name="20% - Accent1 2 6 3 3 2" xfId="33968" xr:uid="{00000000-0005-0000-0000-0000E3030000}"/>
    <cellStyle name="20% - Accent1 2 6 3 4" xfId="23728" xr:uid="{00000000-0005-0000-0000-0000E4030000}"/>
    <cellStyle name="20% - Accent1 2 6 4" xfId="5808" xr:uid="{00000000-0005-0000-0000-0000E5030000}"/>
    <cellStyle name="20% - Accent1 2 6 4 2" xfId="16048" xr:uid="{00000000-0005-0000-0000-0000E6030000}"/>
    <cellStyle name="20% - Accent1 2 6 4 2 2" xfId="36528" xr:uid="{00000000-0005-0000-0000-0000E7030000}"/>
    <cellStyle name="20% - Accent1 2 6 4 3" xfId="26288" xr:uid="{00000000-0005-0000-0000-0000E8030000}"/>
    <cellStyle name="20% - Accent1 2 6 5" xfId="10928" xr:uid="{00000000-0005-0000-0000-0000E9030000}"/>
    <cellStyle name="20% - Accent1 2 6 5 2" xfId="31408" xr:uid="{00000000-0005-0000-0000-0000EA030000}"/>
    <cellStyle name="20% - Accent1 2 6 6" xfId="21168" xr:uid="{00000000-0005-0000-0000-0000EB030000}"/>
    <cellStyle name="20% - Accent1 2 7" xfId="1328" xr:uid="{00000000-0005-0000-0000-0000EC030000}"/>
    <cellStyle name="20% - Accent1 2 7 2" xfId="3888" xr:uid="{00000000-0005-0000-0000-0000ED030000}"/>
    <cellStyle name="20% - Accent1 2 7 2 2" xfId="9008" xr:uid="{00000000-0005-0000-0000-0000EE030000}"/>
    <cellStyle name="20% - Accent1 2 7 2 2 2" xfId="19248" xr:uid="{00000000-0005-0000-0000-0000EF030000}"/>
    <cellStyle name="20% - Accent1 2 7 2 2 2 2" xfId="39728" xr:uid="{00000000-0005-0000-0000-0000F0030000}"/>
    <cellStyle name="20% - Accent1 2 7 2 2 3" xfId="29488" xr:uid="{00000000-0005-0000-0000-0000F1030000}"/>
    <cellStyle name="20% - Accent1 2 7 2 3" xfId="14128" xr:uid="{00000000-0005-0000-0000-0000F2030000}"/>
    <cellStyle name="20% - Accent1 2 7 2 3 2" xfId="34608" xr:uid="{00000000-0005-0000-0000-0000F3030000}"/>
    <cellStyle name="20% - Accent1 2 7 2 4" xfId="24368" xr:uid="{00000000-0005-0000-0000-0000F4030000}"/>
    <cellStyle name="20% - Accent1 2 7 3" xfId="6448" xr:uid="{00000000-0005-0000-0000-0000F5030000}"/>
    <cellStyle name="20% - Accent1 2 7 3 2" xfId="16688" xr:uid="{00000000-0005-0000-0000-0000F6030000}"/>
    <cellStyle name="20% - Accent1 2 7 3 2 2" xfId="37168" xr:uid="{00000000-0005-0000-0000-0000F7030000}"/>
    <cellStyle name="20% - Accent1 2 7 3 3" xfId="26928" xr:uid="{00000000-0005-0000-0000-0000F8030000}"/>
    <cellStyle name="20% - Accent1 2 7 4" xfId="11568" xr:uid="{00000000-0005-0000-0000-0000F9030000}"/>
    <cellStyle name="20% - Accent1 2 7 4 2" xfId="32048" xr:uid="{00000000-0005-0000-0000-0000FA030000}"/>
    <cellStyle name="20% - Accent1 2 7 5" xfId="21808" xr:uid="{00000000-0005-0000-0000-0000FB030000}"/>
    <cellStyle name="20% - Accent1 2 8" xfId="2608" xr:uid="{00000000-0005-0000-0000-0000FC030000}"/>
    <cellStyle name="20% - Accent1 2 8 2" xfId="7728" xr:uid="{00000000-0005-0000-0000-0000FD030000}"/>
    <cellStyle name="20% - Accent1 2 8 2 2" xfId="17968" xr:uid="{00000000-0005-0000-0000-0000FE030000}"/>
    <cellStyle name="20% - Accent1 2 8 2 2 2" xfId="38448" xr:uid="{00000000-0005-0000-0000-0000FF030000}"/>
    <cellStyle name="20% - Accent1 2 8 2 3" xfId="28208" xr:uid="{00000000-0005-0000-0000-000000040000}"/>
    <cellStyle name="20% - Accent1 2 8 3" xfId="12848" xr:uid="{00000000-0005-0000-0000-000001040000}"/>
    <cellStyle name="20% - Accent1 2 8 3 2" xfId="33328" xr:uid="{00000000-0005-0000-0000-000002040000}"/>
    <cellStyle name="20% - Accent1 2 8 4" xfId="23088" xr:uid="{00000000-0005-0000-0000-000003040000}"/>
    <cellStyle name="20% - Accent1 2 9" xfId="5168" xr:uid="{00000000-0005-0000-0000-000004040000}"/>
    <cellStyle name="20% - Accent1 2 9 2" xfId="15408" xr:uid="{00000000-0005-0000-0000-000005040000}"/>
    <cellStyle name="20% - Accent1 2 9 2 2" xfId="35888" xr:uid="{00000000-0005-0000-0000-000006040000}"/>
    <cellStyle name="20% - Accent1 2 9 3" xfId="25648" xr:uid="{00000000-0005-0000-0000-000007040000}"/>
    <cellStyle name="20% - Accent1 3" xfId="68" xr:uid="{00000000-0005-0000-0000-000008040000}"/>
    <cellStyle name="20% - Accent1 3 10" xfId="20548" xr:uid="{00000000-0005-0000-0000-000009040000}"/>
    <cellStyle name="20% - Accent1 3 2" xfId="148" xr:uid="{00000000-0005-0000-0000-00000A040000}"/>
    <cellStyle name="20% - Accent1 3 2 2" xfId="308" xr:uid="{00000000-0005-0000-0000-00000B040000}"/>
    <cellStyle name="20% - Accent1 3 2 2 2" xfId="628" xr:uid="{00000000-0005-0000-0000-00000C040000}"/>
    <cellStyle name="20% - Accent1 3 2 2 2 2" xfId="1268" xr:uid="{00000000-0005-0000-0000-00000D040000}"/>
    <cellStyle name="20% - Accent1 3 2 2 2 2 2" xfId="2548" xr:uid="{00000000-0005-0000-0000-00000E040000}"/>
    <cellStyle name="20% - Accent1 3 2 2 2 2 2 2" xfId="5108" xr:uid="{00000000-0005-0000-0000-00000F040000}"/>
    <cellStyle name="20% - Accent1 3 2 2 2 2 2 2 2" xfId="10228" xr:uid="{00000000-0005-0000-0000-000010040000}"/>
    <cellStyle name="20% - Accent1 3 2 2 2 2 2 2 2 2" xfId="20468" xr:uid="{00000000-0005-0000-0000-000011040000}"/>
    <cellStyle name="20% - Accent1 3 2 2 2 2 2 2 2 2 2" xfId="40948" xr:uid="{00000000-0005-0000-0000-000012040000}"/>
    <cellStyle name="20% - Accent1 3 2 2 2 2 2 2 2 3" xfId="30708" xr:uid="{00000000-0005-0000-0000-000013040000}"/>
    <cellStyle name="20% - Accent1 3 2 2 2 2 2 2 3" xfId="15348" xr:uid="{00000000-0005-0000-0000-000014040000}"/>
    <cellStyle name="20% - Accent1 3 2 2 2 2 2 2 3 2" xfId="35828" xr:uid="{00000000-0005-0000-0000-000015040000}"/>
    <cellStyle name="20% - Accent1 3 2 2 2 2 2 2 4" xfId="25588" xr:uid="{00000000-0005-0000-0000-000016040000}"/>
    <cellStyle name="20% - Accent1 3 2 2 2 2 2 3" xfId="7668" xr:uid="{00000000-0005-0000-0000-000017040000}"/>
    <cellStyle name="20% - Accent1 3 2 2 2 2 2 3 2" xfId="17908" xr:uid="{00000000-0005-0000-0000-000018040000}"/>
    <cellStyle name="20% - Accent1 3 2 2 2 2 2 3 2 2" xfId="38388" xr:uid="{00000000-0005-0000-0000-000019040000}"/>
    <cellStyle name="20% - Accent1 3 2 2 2 2 2 3 3" xfId="28148" xr:uid="{00000000-0005-0000-0000-00001A040000}"/>
    <cellStyle name="20% - Accent1 3 2 2 2 2 2 4" xfId="12788" xr:uid="{00000000-0005-0000-0000-00001B040000}"/>
    <cellStyle name="20% - Accent1 3 2 2 2 2 2 4 2" xfId="33268" xr:uid="{00000000-0005-0000-0000-00001C040000}"/>
    <cellStyle name="20% - Accent1 3 2 2 2 2 2 5" xfId="23028" xr:uid="{00000000-0005-0000-0000-00001D040000}"/>
    <cellStyle name="20% - Accent1 3 2 2 2 2 3" xfId="3828" xr:uid="{00000000-0005-0000-0000-00001E040000}"/>
    <cellStyle name="20% - Accent1 3 2 2 2 2 3 2" xfId="8948" xr:uid="{00000000-0005-0000-0000-00001F040000}"/>
    <cellStyle name="20% - Accent1 3 2 2 2 2 3 2 2" xfId="19188" xr:uid="{00000000-0005-0000-0000-000020040000}"/>
    <cellStyle name="20% - Accent1 3 2 2 2 2 3 2 2 2" xfId="39668" xr:uid="{00000000-0005-0000-0000-000021040000}"/>
    <cellStyle name="20% - Accent1 3 2 2 2 2 3 2 3" xfId="29428" xr:uid="{00000000-0005-0000-0000-000022040000}"/>
    <cellStyle name="20% - Accent1 3 2 2 2 2 3 3" xfId="14068" xr:uid="{00000000-0005-0000-0000-000023040000}"/>
    <cellStyle name="20% - Accent1 3 2 2 2 2 3 3 2" xfId="34548" xr:uid="{00000000-0005-0000-0000-000024040000}"/>
    <cellStyle name="20% - Accent1 3 2 2 2 2 3 4" xfId="24308" xr:uid="{00000000-0005-0000-0000-000025040000}"/>
    <cellStyle name="20% - Accent1 3 2 2 2 2 4" xfId="6388" xr:uid="{00000000-0005-0000-0000-000026040000}"/>
    <cellStyle name="20% - Accent1 3 2 2 2 2 4 2" xfId="16628" xr:uid="{00000000-0005-0000-0000-000027040000}"/>
    <cellStyle name="20% - Accent1 3 2 2 2 2 4 2 2" xfId="37108" xr:uid="{00000000-0005-0000-0000-000028040000}"/>
    <cellStyle name="20% - Accent1 3 2 2 2 2 4 3" xfId="26868" xr:uid="{00000000-0005-0000-0000-000029040000}"/>
    <cellStyle name="20% - Accent1 3 2 2 2 2 5" xfId="11508" xr:uid="{00000000-0005-0000-0000-00002A040000}"/>
    <cellStyle name="20% - Accent1 3 2 2 2 2 5 2" xfId="31988" xr:uid="{00000000-0005-0000-0000-00002B040000}"/>
    <cellStyle name="20% - Accent1 3 2 2 2 2 6" xfId="21748" xr:uid="{00000000-0005-0000-0000-00002C040000}"/>
    <cellStyle name="20% - Accent1 3 2 2 2 3" xfId="1908" xr:uid="{00000000-0005-0000-0000-00002D040000}"/>
    <cellStyle name="20% - Accent1 3 2 2 2 3 2" xfId="4468" xr:uid="{00000000-0005-0000-0000-00002E040000}"/>
    <cellStyle name="20% - Accent1 3 2 2 2 3 2 2" xfId="9588" xr:uid="{00000000-0005-0000-0000-00002F040000}"/>
    <cellStyle name="20% - Accent1 3 2 2 2 3 2 2 2" xfId="19828" xr:uid="{00000000-0005-0000-0000-000030040000}"/>
    <cellStyle name="20% - Accent1 3 2 2 2 3 2 2 2 2" xfId="40308" xr:uid="{00000000-0005-0000-0000-000031040000}"/>
    <cellStyle name="20% - Accent1 3 2 2 2 3 2 2 3" xfId="30068" xr:uid="{00000000-0005-0000-0000-000032040000}"/>
    <cellStyle name="20% - Accent1 3 2 2 2 3 2 3" xfId="14708" xr:uid="{00000000-0005-0000-0000-000033040000}"/>
    <cellStyle name="20% - Accent1 3 2 2 2 3 2 3 2" xfId="35188" xr:uid="{00000000-0005-0000-0000-000034040000}"/>
    <cellStyle name="20% - Accent1 3 2 2 2 3 2 4" xfId="24948" xr:uid="{00000000-0005-0000-0000-000035040000}"/>
    <cellStyle name="20% - Accent1 3 2 2 2 3 3" xfId="7028" xr:uid="{00000000-0005-0000-0000-000036040000}"/>
    <cellStyle name="20% - Accent1 3 2 2 2 3 3 2" xfId="17268" xr:uid="{00000000-0005-0000-0000-000037040000}"/>
    <cellStyle name="20% - Accent1 3 2 2 2 3 3 2 2" xfId="37748" xr:uid="{00000000-0005-0000-0000-000038040000}"/>
    <cellStyle name="20% - Accent1 3 2 2 2 3 3 3" xfId="27508" xr:uid="{00000000-0005-0000-0000-000039040000}"/>
    <cellStyle name="20% - Accent1 3 2 2 2 3 4" xfId="12148" xr:uid="{00000000-0005-0000-0000-00003A040000}"/>
    <cellStyle name="20% - Accent1 3 2 2 2 3 4 2" xfId="32628" xr:uid="{00000000-0005-0000-0000-00003B040000}"/>
    <cellStyle name="20% - Accent1 3 2 2 2 3 5" xfId="22388" xr:uid="{00000000-0005-0000-0000-00003C040000}"/>
    <cellStyle name="20% - Accent1 3 2 2 2 4" xfId="3188" xr:uid="{00000000-0005-0000-0000-00003D040000}"/>
    <cellStyle name="20% - Accent1 3 2 2 2 4 2" xfId="8308" xr:uid="{00000000-0005-0000-0000-00003E040000}"/>
    <cellStyle name="20% - Accent1 3 2 2 2 4 2 2" xfId="18548" xr:uid="{00000000-0005-0000-0000-00003F040000}"/>
    <cellStyle name="20% - Accent1 3 2 2 2 4 2 2 2" xfId="39028" xr:uid="{00000000-0005-0000-0000-000040040000}"/>
    <cellStyle name="20% - Accent1 3 2 2 2 4 2 3" xfId="28788" xr:uid="{00000000-0005-0000-0000-000041040000}"/>
    <cellStyle name="20% - Accent1 3 2 2 2 4 3" xfId="13428" xr:uid="{00000000-0005-0000-0000-000042040000}"/>
    <cellStyle name="20% - Accent1 3 2 2 2 4 3 2" xfId="33908" xr:uid="{00000000-0005-0000-0000-000043040000}"/>
    <cellStyle name="20% - Accent1 3 2 2 2 4 4" xfId="23668" xr:uid="{00000000-0005-0000-0000-000044040000}"/>
    <cellStyle name="20% - Accent1 3 2 2 2 5" xfId="5748" xr:uid="{00000000-0005-0000-0000-000045040000}"/>
    <cellStyle name="20% - Accent1 3 2 2 2 5 2" xfId="15988" xr:uid="{00000000-0005-0000-0000-000046040000}"/>
    <cellStyle name="20% - Accent1 3 2 2 2 5 2 2" xfId="36468" xr:uid="{00000000-0005-0000-0000-000047040000}"/>
    <cellStyle name="20% - Accent1 3 2 2 2 5 3" xfId="26228" xr:uid="{00000000-0005-0000-0000-000048040000}"/>
    <cellStyle name="20% - Accent1 3 2 2 2 6" xfId="10868" xr:uid="{00000000-0005-0000-0000-000049040000}"/>
    <cellStyle name="20% - Accent1 3 2 2 2 6 2" xfId="31348" xr:uid="{00000000-0005-0000-0000-00004A040000}"/>
    <cellStyle name="20% - Accent1 3 2 2 2 7" xfId="21108" xr:uid="{00000000-0005-0000-0000-00004B040000}"/>
    <cellStyle name="20% - Accent1 3 2 2 3" xfId="948" xr:uid="{00000000-0005-0000-0000-00004C040000}"/>
    <cellStyle name="20% - Accent1 3 2 2 3 2" xfId="2228" xr:uid="{00000000-0005-0000-0000-00004D040000}"/>
    <cellStyle name="20% - Accent1 3 2 2 3 2 2" xfId="4788" xr:uid="{00000000-0005-0000-0000-00004E040000}"/>
    <cellStyle name="20% - Accent1 3 2 2 3 2 2 2" xfId="9908" xr:uid="{00000000-0005-0000-0000-00004F040000}"/>
    <cellStyle name="20% - Accent1 3 2 2 3 2 2 2 2" xfId="20148" xr:uid="{00000000-0005-0000-0000-000050040000}"/>
    <cellStyle name="20% - Accent1 3 2 2 3 2 2 2 2 2" xfId="40628" xr:uid="{00000000-0005-0000-0000-000051040000}"/>
    <cellStyle name="20% - Accent1 3 2 2 3 2 2 2 3" xfId="30388" xr:uid="{00000000-0005-0000-0000-000052040000}"/>
    <cellStyle name="20% - Accent1 3 2 2 3 2 2 3" xfId="15028" xr:uid="{00000000-0005-0000-0000-000053040000}"/>
    <cellStyle name="20% - Accent1 3 2 2 3 2 2 3 2" xfId="35508" xr:uid="{00000000-0005-0000-0000-000054040000}"/>
    <cellStyle name="20% - Accent1 3 2 2 3 2 2 4" xfId="25268" xr:uid="{00000000-0005-0000-0000-000055040000}"/>
    <cellStyle name="20% - Accent1 3 2 2 3 2 3" xfId="7348" xr:uid="{00000000-0005-0000-0000-000056040000}"/>
    <cellStyle name="20% - Accent1 3 2 2 3 2 3 2" xfId="17588" xr:uid="{00000000-0005-0000-0000-000057040000}"/>
    <cellStyle name="20% - Accent1 3 2 2 3 2 3 2 2" xfId="38068" xr:uid="{00000000-0005-0000-0000-000058040000}"/>
    <cellStyle name="20% - Accent1 3 2 2 3 2 3 3" xfId="27828" xr:uid="{00000000-0005-0000-0000-000059040000}"/>
    <cellStyle name="20% - Accent1 3 2 2 3 2 4" xfId="12468" xr:uid="{00000000-0005-0000-0000-00005A040000}"/>
    <cellStyle name="20% - Accent1 3 2 2 3 2 4 2" xfId="32948" xr:uid="{00000000-0005-0000-0000-00005B040000}"/>
    <cellStyle name="20% - Accent1 3 2 2 3 2 5" xfId="22708" xr:uid="{00000000-0005-0000-0000-00005C040000}"/>
    <cellStyle name="20% - Accent1 3 2 2 3 3" xfId="3508" xr:uid="{00000000-0005-0000-0000-00005D040000}"/>
    <cellStyle name="20% - Accent1 3 2 2 3 3 2" xfId="8628" xr:uid="{00000000-0005-0000-0000-00005E040000}"/>
    <cellStyle name="20% - Accent1 3 2 2 3 3 2 2" xfId="18868" xr:uid="{00000000-0005-0000-0000-00005F040000}"/>
    <cellStyle name="20% - Accent1 3 2 2 3 3 2 2 2" xfId="39348" xr:uid="{00000000-0005-0000-0000-000060040000}"/>
    <cellStyle name="20% - Accent1 3 2 2 3 3 2 3" xfId="29108" xr:uid="{00000000-0005-0000-0000-000061040000}"/>
    <cellStyle name="20% - Accent1 3 2 2 3 3 3" xfId="13748" xr:uid="{00000000-0005-0000-0000-000062040000}"/>
    <cellStyle name="20% - Accent1 3 2 2 3 3 3 2" xfId="34228" xr:uid="{00000000-0005-0000-0000-000063040000}"/>
    <cellStyle name="20% - Accent1 3 2 2 3 3 4" xfId="23988" xr:uid="{00000000-0005-0000-0000-000064040000}"/>
    <cellStyle name="20% - Accent1 3 2 2 3 4" xfId="6068" xr:uid="{00000000-0005-0000-0000-000065040000}"/>
    <cellStyle name="20% - Accent1 3 2 2 3 4 2" xfId="16308" xr:uid="{00000000-0005-0000-0000-000066040000}"/>
    <cellStyle name="20% - Accent1 3 2 2 3 4 2 2" xfId="36788" xr:uid="{00000000-0005-0000-0000-000067040000}"/>
    <cellStyle name="20% - Accent1 3 2 2 3 4 3" xfId="26548" xr:uid="{00000000-0005-0000-0000-000068040000}"/>
    <cellStyle name="20% - Accent1 3 2 2 3 5" xfId="11188" xr:uid="{00000000-0005-0000-0000-000069040000}"/>
    <cellStyle name="20% - Accent1 3 2 2 3 5 2" xfId="31668" xr:uid="{00000000-0005-0000-0000-00006A040000}"/>
    <cellStyle name="20% - Accent1 3 2 2 3 6" xfId="21428" xr:uid="{00000000-0005-0000-0000-00006B040000}"/>
    <cellStyle name="20% - Accent1 3 2 2 4" xfId="1588" xr:uid="{00000000-0005-0000-0000-00006C040000}"/>
    <cellStyle name="20% - Accent1 3 2 2 4 2" xfId="4148" xr:uid="{00000000-0005-0000-0000-00006D040000}"/>
    <cellStyle name="20% - Accent1 3 2 2 4 2 2" xfId="9268" xr:uid="{00000000-0005-0000-0000-00006E040000}"/>
    <cellStyle name="20% - Accent1 3 2 2 4 2 2 2" xfId="19508" xr:uid="{00000000-0005-0000-0000-00006F040000}"/>
    <cellStyle name="20% - Accent1 3 2 2 4 2 2 2 2" xfId="39988" xr:uid="{00000000-0005-0000-0000-000070040000}"/>
    <cellStyle name="20% - Accent1 3 2 2 4 2 2 3" xfId="29748" xr:uid="{00000000-0005-0000-0000-000071040000}"/>
    <cellStyle name="20% - Accent1 3 2 2 4 2 3" xfId="14388" xr:uid="{00000000-0005-0000-0000-000072040000}"/>
    <cellStyle name="20% - Accent1 3 2 2 4 2 3 2" xfId="34868" xr:uid="{00000000-0005-0000-0000-000073040000}"/>
    <cellStyle name="20% - Accent1 3 2 2 4 2 4" xfId="24628" xr:uid="{00000000-0005-0000-0000-000074040000}"/>
    <cellStyle name="20% - Accent1 3 2 2 4 3" xfId="6708" xr:uid="{00000000-0005-0000-0000-000075040000}"/>
    <cellStyle name="20% - Accent1 3 2 2 4 3 2" xfId="16948" xr:uid="{00000000-0005-0000-0000-000076040000}"/>
    <cellStyle name="20% - Accent1 3 2 2 4 3 2 2" xfId="37428" xr:uid="{00000000-0005-0000-0000-000077040000}"/>
    <cellStyle name="20% - Accent1 3 2 2 4 3 3" xfId="27188" xr:uid="{00000000-0005-0000-0000-000078040000}"/>
    <cellStyle name="20% - Accent1 3 2 2 4 4" xfId="11828" xr:uid="{00000000-0005-0000-0000-000079040000}"/>
    <cellStyle name="20% - Accent1 3 2 2 4 4 2" xfId="32308" xr:uid="{00000000-0005-0000-0000-00007A040000}"/>
    <cellStyle name="20% - Accent1 3 2 2 4 5" xfId="22068" xr:uid="{00000000-0005-0000-0000-00007B040000}"/>
    <cellStyle name="20% - Accent1 3 2 2 5" xfId="2868" xr:uid="{00000000-0005-0000-0000-00007C040000}"/>
    <cellStyle name="20% - Accent1 3 2 2 5 2" xfId="7988" xr:uid="{00000000-0005-0000-0000-00007D040000}"/>
    <cellStyle name="20% - Accent1 3 2 2 5 2 2" xfId="18228" xr:uid="{00000000-0005-0000-0000-00007E040000}"/>
    <cellStyle name="20% - Accent1 3 2 2 5 2 2 2" xfId="38708" xr:uid="{00000000-0005-0000-0000-00007F040000}"/>
    <cellStyle name="20% - Accent1 3 2 2 5 2 3" xfId="28468" xr:uid="{00000000-0005-0000-0000-000080040000}"/>
    <cellStyle name="20% - Accent1 3 2 2 5 3" xfId="13108" xr:uid="{00000000-0005-0000-0000-000081040000}"/>
    <cellStyle name="20% - Accent1 3 2 2 5 3 2" xfId="33588" xr:uid="{00000000-0005-0000-0000-000082040000}"/>
    <cellStyle name="20% - Accent1 3 2 2 5 4" xfId="23348" xr:uid="{00000000-0005-0000-0000-000083040000}"/>
    <cellStyle name="20% - Accent1 3 2 2 6" xfId="5428" xr:uid="{00000000-0005-0000-0000-000084040000}"/>
    <cellStyle name="20% - Accent1 3 2 2 6 2" xfId="15668" xr:uid="{00000000-0005-0000-0000-000085040000}"/>
    <cellStyle name="20% - Accent1 3 2 2 6 2 2" xfId="36148" xr:uid="{00000000-0005-0000-0000-000086040000}"/>
    <cellStyle name="20% - Accent1 3 2 2 6 3" xfId="25908" xr:uid="{00000000-0005-0000-0000-000087040000}"/>
    <cellStyle name="20% - Accent1 3 2 2 7" xfId="10548" xr:uid="{00000000-0005-0000-0000-000088040000}"/>
    <cellStyle name="20% - Accent1 3 2 2 7 2" xfId="31028" xr:uid="{00000000-0005-0000-0000-000089040000}"/>
    <cellStyle name="20% - Accent1 3 2 2 8" xfId="20788" xr:uid="{00000000-0005-0000-0000-00008A040000}"/>
    <cellStyle name="20% - Accent1 3 2 3" xfId="468" xr:uid="{00000000-0005-0000-0000-00008B040000}"/>
    <cellStyle name="20% - Accent1 3 2 3 2" xfId="1108" xr:uid="{00000000-0005-0000-0000-00008C040000}"/>
    <cellStyle name="20% - Accent1 3 2 3 2 2" xfId="2388" xr:uid="{00000000-0005-0000-0000-00008D040000}"/>
    <cellStyle name="20% - Accent1 3 2 3 2 2 2" xfId="4948" xr:uid="{00000000-0005-0000-0000-00008E040000}"/>
    <cellStyle name="20% - Accent1 3 2 3 2 2 2 2" xfId="10068" xr:uid="{00000000-0005-0000-0000-00008F040000}"/>
    <cellStyle name="20% - Accent1 3 2 3 2 2 2 2 2" xfId="20308" xr:uid="{00000000-0005-0000-0000-000090040000}"/>
    <cellStyle name="20% - Accent1 3 2 3 2 2 2 2 2 2" xfId="40788" xr:uid="{00000000-0005-0000-0000-000091040000}"/>
    <cellStyle name="20% - Accent1 3 2 3 2 2 2 2 3" xfId="30548" xr:uid="{00000000-0005-0000-0000-000092040000}"/>
    <cellStyle name="20% - Accent1 3 2 3 2 2 2 3" xfId="15188" xr:uid="{00000000-0005-0000-0000-000093040000}"/>
    <cellStyle name="20% - Accent1 3 2 3 2 2 2 3 2" xfId="35668" xr:uid="{00000000-0005-0000-0000-000094040000}"/>
    <cellStyle name="20% - Accent1 3 2 3 2 2 2 4" xfId="25428" xr:uid="{00000000-0005-0000-0000-000095040000}"/>
    <cellStyle name="20% - Accent1 3 2 3 2 2 3" xfId="7508" xr:uid="{00000000-0005-0000-0000-000096040000}"/>
    <cellStyle name="20% - Accent1 3 2 3 2 2 3 2" xfId="17748" xr:uid="{00000000-0005-0000-0000-000097040000}"/>
    <cellStyle name="20% - Accent1 3 2 3 2 2 3 2 2" xfId="38228" xr:uid="{00000000-0005-0000-0000-000098040000}"/>
    <cellStyle name="20% - Accent1 3 2 3 2 2 3 3" xfId="27988" xr:uid="{00000000-0005-0000-0000-000099040000}"/>
    <cellStyle name="20% - Accent1 3 2 3 2 2 4" xfId="12628" xr:uid="{00000000-0005-0000-0000-00009A040000}"/>
    <cellStyle name="20% - Accent1 3 2 3 2 2 4 2" xfId="33108" xr:uid="{00000000-0005-0000-0000-00009B040000}"/>
    <cellStyle name="20% - Accent1 3 2 3 2 2 5" xfId="22868" xr:uid="{00000000-0005-0000-0000-00009C040000}"/>
    <cellStyle name="20% - Accent1 3 2 3 2 3" xfId="3668" xr:uid="{00000000-0005-0000-0000-00009D040000}"/>
    <cellStyle name="20% - Accent1 3 2 3 2 3 2" xfId="8788" xr:uid="{00000000-0005-0000-0000-00009E040000}"/>
    <cellStyle name="20% - Accent1 3 2 3 2 3 2 2" xfId="19028" xr:uid="{00000000-0005-0000-0000-00009F040000}"/>
    <cellStyle name="20% - Accent1 3 2 3 2 3 2 2 2" xfId="39508" xr:uid="{00000000-0005-0000-0000-0000A0040000}"/>
    <cellStyle name="20% - Accent1 3 2 3 2 3 2 3" xfId="29268" xr:uid="{00000000-0005-0000-0000-0000A1040000}"/>
    <cellStyle name="20% - Accent1 3 2 3 2 3 3" xfId="13908" xr:uid="{00000000-0005-0000-0000-0000A2040000}"/>
    <cellStyle name="20% - Accent1 3 2 3 2 3 3 2" xfId="34388" xr:uid="{00000000-0005-0000-0000-0000A3040000}"/>
    <cellStyle name="20% - Accent1 3 2 3 2 3 4" xfId="24148" xr:uid="{00000000-0005-0000-0000-0000A4040000}"/>
    <cellStyle name="20% - Accent1 3 2 3 2 4" xfId="6228" xr:uid="{00000000-0005-0000-0000-0000A5040000}"/>
    <cellStyle name="20% - Accent1 3 2 3 2 4 2" xfId="16468" xr:uid="{00000000-0005-0000-0000-0000A6040000}"/>
    <cellStyle name="20% - Accent1 3 2 3 2 4 2 2" xfId="36948" xr:uid="{00000000-0005-0000-0000-0000A7040000}"/>
    <cellStyle name="20% - Accent1 3 2 3 2 4 3" xfId="26708" xr:uid="{00000000-0005-0000-0000-0000A8040000}"/>
    <cellStyle name="20% - Accent1 3 2 3 2 5" xfId="11348" xr:uid="{00000000-0005-0000-0000-0000A9040000}"/>
    <cellStyle name="20% - Accent1 3 2 3 2 5 2" xfId="31828" xr:uid="{00000000-0005-0000-0000-0000AA040000}"/>
    <cellStyle name="20% - Accent1 3 2 3 2 6" xfId="21588" xr:uid="{00000000-0005-0000-0000-0000AB040000}"/>
    <cellStyle name="20% - Accent1 3 2 3 3" xfId="1748" xr:uid="{00000000-0005-0000-0000-0000AC040000}"/>
    <cellStyle name="20% - Accent1 3 2 3 3 2" xfId="4308" xr:uid="{00000000-0005-0000-0000-0000AD040000}"/>
    <cellStyle name="20% - Accent1 3 2 3 3 2 2" xfId="9428" xr:uid="{00000000-0005-0000-0000-0000AE040000}"/>
    <cellStyle name="20% - Accent1 3 2 3 3 2 2 2" xfId="19668" xr:uid="{00000000-0005-0000-0000-0000AF040000}"/>
    <cellStyle name="20% - Accent1 3 2 3 3 2 2 2 2" xfId="40148" xr:uid="{00000000-0005-0000-0000-0000B0040000}"/>
    <cellStyle name="20% - Accent1 3 2 3 3 2 2 3" xfId="29908" xr:uid="{00000000-0005-0000-0000-0000B1040000}"/>
    <cellStyle name="20% - Accent1 3 2 3 3 2 3" xfId="14548" xr:uid="{00000000-0005-0000-0000-0000B2040000}"/>
    <cellStyle name="20% - Accent1 3 2 3 3 2 3 2" xfId="35028" xr:uid="{00000000-0005-0000-0000-0000B3040000}"/>
    <cellStyle name="20% - Accent1 3 2 3 3 2 4" xfId="24788" xr:uid="{00000000-0005-0000-0000-0000B4040000}"/>
    <cellStyle name="20% - Accent1 3 2 3 3 3" xfId="6868" xr:uid="{00000000-0005-0000-0000-0000B5040000}"/>
    <cellStyle name="20% - Accent1 3 2 3 3 3 2" xfId="17108" xr:uid="{00000000-0005-0000-0000-0000B6040000}"/>
    <cellStyle name="20% - Accent1 3 2 3 3 3 2 2" xfId="37588" xr:uid="{00000000-0005-0000-0000-0000B7040000}"/>
    <cellStyle name="20% - Accent1 3 2 3 3 3 3" xfId="27348" xr:uid="{00000000-0005-0000-0000-0000B8040000}"/>
    <cellStyle name="20% - Accent1 3 2 3 3 4" xfId="11988" xr:uid="{00000000-0005-0000-0000-0000B9040000}"/>
    <cellStyle name="20% - Accent1 3 2 3 3 4 2" xfId="32468" xr:uid="{00000000-0005-0000-0000-0000BA040000}"/>
    <cellStyle name="20% - Accent1 3 2 3 3 5" xfId="22228" xr:uid="{00000000-0005-0000-0000-0000BB040000}"/>
    <cellStyle name="20% - Accent1 3 2 3 4" xfId="3028" xr:uid="{00000000-0005-0000-0000-0000BC040000}"/>
    <cellStyle name="20% - Accent1 3 2 3 4 2" xfId="8148" xr:uid="{00000000-0005-0000-0000-0000BD040000}"/>
    <cellStyle name="20% - Accent1 3 2 3 4 2 2" xfId="18388" xr:uid="{00000000-0005-0000-0000-0000BE040000}"/>
    <cellStyle name="20% - Accent1 3 2 3 4 2 2 2" xfId="38868" xr:uid="{00000000-0005-0000-0000-0000BF040000}"/>
    <cellStyle name="20% - Accent1 3 2 3 4 2 3" xfId="28628" xr:uid="{00000000-0005-0000-0000-0000C0040000}"/>
    <cellStyle name="20% - Accent1 3 2 3 4 3" xfId="13268" xr:uid="{00000000-0005-0000-0000-0000C1040000}"/>
    <cellStyle name="20% - Accent1 3 2 3 4 3 2" xfId="33748" xr:uid="{00000000-0005-0000-0000-0000C2040000}"/>
    <cellStyle name="20% - Accent1 3 2 3 4 4" xfId="23508" xr:uid="{00000000-0005-0000-0000-0000C3040000}"/>
    <cellStyle name="20% - Accent1 3 2 3 5" xfId="5588" xr:uid="{00000000-0005-0000-0000-0000C4040000}"/>
    <cellStyle name="20% - Accent1 3 2 3 5 2" xfId="15828" xr:uid="{00000000-0005-0000-0000-0000C5040000}"/>
    <cellStyle name="20% - Accent1 3 2 3 5 2 2" xfId="36308" xr:uid="{00000000-0005-0000-0000-0000C6040000}"/>
    <cellStyle name="20% - Accent1 3 2 3 5 3" xfId="26068" xr:uid="{00000000-0005-0000-0000-0000C7040000}"/>
    <cellStyle name="20% - Accent1 3 2 3 6" xfId="10708" xr:uid="{00000000-0005-0000-0000-0000C8040000}"/>
    <cellStyle name="20% - Accent1 3 2 3 6 2" xfId="31188" xr:uid="{00000000-0005-0000-0000-0000C9040000}"/>
    <cellStyle name="20% - Accent1 3 2 3 7" xfId="20948" xr:uid="{00000000-0005-0000-0000-0000CA040000}"/>
    <cellStyle name="20% - Accent1 3 2 4" xfId="788" xr:uid="{00000000-0005-0000-0000-0000CB040000}"/>
    <cellStyle name="20% - Accent1 3 2 4 2" xfId="2068" xr:uid="{00000000-0005-0000-0000-0000CC040000}"/>
    <cellStyle name="20% - Accent1 3 2 4 2 2" xfId="4628" xr:uid="{00000000-0005-0000-0000-0000CD040000}"/>
    <cellStyle name="20% - Accent1 3 2 4 2 2 2" xfId="9748" xr:uid="{00000000-0005-0000-0000-0000CE040000}"/>
    <cellStyle name="20% - Accent1 3 2 4 2 2 2 2" xfId="19988" xr:uid="{00000000-0005-0000-0000-0000CF040000}"/>
    <cellStyle name="20% - Accent1 3 2 4 2 2 2 2 2" xfId="40468" xr:uid="{00000000-0005-0000-0000-0000D0040000}"/>
    <cellStyle name="20% - Accent1 3 2 4 2 2 2 3" xfId="30228" xr:uid="{00000000-0005-0000-0000-0000D1040000}"/>
    <cellStyle name="20% - Accent1 3 2 4 2 2 3" xfId="14868" xr:uid="{00000000-0005-0000-0000-0000D2040000}"/>
    <cellStyle name="20% - Accent1 3 2 4 2 2 3 2" xfId="35348" xr:uid="{00000000-0005-0000-0000-0000D3040000}"/>
    <cellStyle name="20% - Accent1 3 2 4 2 2 4" xfId="25108" xr:uid="{00000000-0005-0000-0000-0000D4040000}"/>
    <cellStyle name="20% - Accent1 3 2 4 2 3" xfId="7188" xr:uid="{00000000-0005-0000-0000-0000D5040000}"/>
    <cellStyle name="20% - Accent1 3 2 4 2 3 2" xfId="17428" xr:uid="{00000000-0005-0000-0000-0000D6040000}"/>
    <cellStyle name="20% - Accent1 3 2 4 2 3 2 2" xfId="37908" xr:uid="{00000000-0005-0000-0000-0000D7040000}"/>
    <cellStyle name="20% - Accent1 3 2 4 2 3 3" xfId="27668" xr:uid="{00000000-0005-0000-0000-0000D8040000}"/>
    <cellStyle name="20% - Accent1 3 2 4 2 4" xfId="12308" xr:uid="{00000000-0005-0000-0000-0000D9040000}"/>
    <cellStyle name="20% - Accent1 3 2 4 2 4 2" xfId="32788" xr:uid="{00000000-0005-0000-0000-0000DA040000}"/>
    <cellStyle name="20% - Accent1 3 2 4 2 5" xfId="22548" xr:uid="{00000000-0005-0000-0000-0000DB040000}"/>
    <cellStyle name="20% - Accent1 3 2 4 3" xfId="3348" xr:uid="{00000000-0005-0000-0000-0000DC040000}"/>
    <cellStyle name="20% - Accent1 3 2 4 3 2" xfId="8468" xr:uid="{00000000-0005-0000-0000-0000DD040000}"/>
    <cellStyle name="20% - Accent1 3 2 4 3 2 2" xfId="18708" xr:uid="{00000000-0005-0000-0000-0000DE040000}"/>
    <cellStyle name="20% - Accent1 3 2 4 3 2 2 2" xfId="39188" xr:uid="{00000000-0005-0000-0000-0000DF040000}"/>
    <cellStyle name="20% - Accent1 3 2 4 3 2 3" xfId="28948" xr:uid="{00000000-0005-0000-0000-0000E0040000}"/>
    <cellStyle name="20% - Accent1 3 2 4 3 3" xfId="13588" xr:uid="{00000000-0005-0000-0000-0000E1040000}"/>
    <cellStyle name="20% - Accent1 3 2 4 3 3 2" xfId="34068" xr:uid="{00000000-0005-0000-0000-0000E2040000}"/>
    <cellStyle name="20% - Accent1 3 2 4 3 4" xfId="23828" xr:uid="{00000000-0005-0000-0000-0000E3040000}"/>
    <cellStyle name="20% - Accent1 3 2 4 4" xfId="5908" xr:uid="{00000000-0005-0000-0000-0000E4040000}"/>
    <cellStyle name="20% - Accent1 3 2 4 4 2" xfId="16148" xr:uid="{00000000-0005-0000-0000-0000E5040000}"/>
    <cellStyle name="20% - Accent1 3 2 4 4 2 2" xfId="36628" xr:uid="{00000000-0005-0000-0000-0000E6040000}"/>
    <cellStyle name="20% - Accent1 3 2 4 4 3" xfId="26388" xr:uid="{00000000-0005-0000-0000-0000E7040000}"/>
    <cellStyle name="20% - Accent1 3 2 4 5" xfId="11028" xr:uid="{00000000-0005-0000-0000-0000E8040000}"/>
    <cellStyle name="20% - Accent1 3 2 4 5 2" xfId="31508" xr:uid="{00000000-0005-0000-0000-0000E9040000}"/>
    <cellStyle name="20% - Accent1 3 2 4 6" xfId="21268" xr:uid="{00000000-0005-0000-0000-0000EA040000}"/>
    <cellStyle name="20% - Accent1 3 2 5" xfId="1428" xr:uid="{00000000-0005-0000-0000-0000EB040000}"/>
    <cellStyle name="20% - Accent1 3 2 5 2" xfId="3988" xr:uid="{00000000-0005-0000-0000-0000EC040000}"/>
    <cellStyle name="20% - Accent1 3 2 5 2 2" xfId="9108" xr:uid="{00000000-0005-0000-0000-0000ED040000}"/>
    <cellStyle name="20% - Accent1 3 2 5 2 2 2" xfId="19348" xr:uid="{00000000-0005-0000-0000-0000EE040000}"/>
    <cellStyle name="20% - Accent1 3 2 5 2 2 2 2" xfId="39828" xr:uid="{00000000-0005-0000-0000-0000EF040000}"/>
    <cellStyle name="20% - Accent1 3 2 5 2 2 3" xfId="29588" xr:uid="{00000000-0005-0000-0000-0000F0040000}"/>
    <cellStyle name="20% - Accent1 3 2 5 2 3" xfId="14228" xr:uid="{00000000-0005-0000-0000-0000F1040000}"/>
    <cellStyle name="20% - Accent1 3 2 5 2 3 2" xfId="34708" xr:uid="{00000000-0005-0000-0000-0000F2040000}"/>
    <cellStyle name="20% - Accent1 3 2 5 2 4" xfId="24468" xr:uid="{00000000-0005-0000-0000-0000F3040000}"/>
    <cellStyle name="20% - Accent1 3 2 5 3" xfId="6548" xr:uid="{00000000-0005-0000-0000-0000F4040000}"/>
    <cellStyle name="20% - Accent1 3 2 5 3 2" xfId="16788" xr:uid="{00000000-0005-0000-0000-0000F5040000}"/>
    <cellStyle name="20% - Accent1 3 2 5 3 2 2" xfId="37268" xr:uid="{00000000-0005-0000-0000-0000F6040000}"/>
    <cellStyle name="20% - Accent1 3 2 5 3 3" xfId="27028" xr:uid="{00000000-0005-0000-0000-0000F7040000}"/>
    <cellStyle name="20% - Accent1 3 2 5 4" xfId="11668" xr:uid="{00000000-0005-0000-0000-0000F8040000}"/>
    <cellStyle name="20% - Accent1 3 2 5 4 2" xfId="32148" xr:uid="{00000000-0005-0000-0000-0000F9040000}"/>
    <cellStyle name="20% - Accent1 3 2 5 5" xfId="21908" xr:uid="{00000000-0005-0000-0000-0000FA040000}"/>
    <cellStyle name="20% - Accent1 3 2 6" xfId="2708" xr:uid="{00000000-0005-0000-0000-0000FB040000}"/>
    <cellStyle name="20% - Accent1 3 2 6 2" xfId="7828" xr:uid="{00000000-0005-0000-0000-0000FC040000}"/>
    <cellStyle name="20% - Accent1 3 2 6 2 2" xfId="18068" xr:uid="{00000000-0005-0000-0000-0000FD040000}"/>
    <cellStyle name="20% - Accent1 3 2 6 2 2 2" xfId="38548" xr:uid="{00000000-0005-0000-0000-0000FE040000}"/>
    <cellStyle name="20% - Accent1 3 2 6 2 3" xfId="28308" xr:uid="{00000000-0005-0000-0000-0000FF040000}"/>
    <cellStyle name="20% - Accent1 3 2 6 3" xfId="12948" xr:uid="{00000000-0005-0000-0000-000000050000}"/>
    <cellStyle name="20% - Accent1 3 2 6 3 2" xfId="33428" xr:uid="{00000000-0005-0000-0000-000001050000}"/>
    <cellStyle name="20% - Accent1 3 2 6 4" xfId="23188" xr:uid="{00000000-0005-0000-0000-000002050000}"/>
    <cellStyle name="20% - Accent1 3 2 7" xfId="5268" xr:uid="{00000000-0005-0000-0000-000003050000}"/>
    <cellStyle name="20% - Accent1 3 2 7 2" xfId="15508" xr:uid="{00000000-0005-0000-0000-000004050000}"/>
    <cellStyle name="20% - Accent1 3 2 7 2 2" xfId="35988" xr:uid="{00000000-0005-0000-0000-000005050000}"/>
    <cellStyle name="20% - Accent1 3 2 7 3" xfId="25748" xr:uid="{00000000-0005-0000-0000-000006050000}"/>
    <cellStyle name="20% - Accent1 3 2 8" xfId="10388" xr:uid="{00000000-0005-0000-0000-000007050000}"/>
    <cellStyle name="20% - Accent1 3 2 8 2" xfId="30868" xr:uid="{00000000-0005-0000-0000-000008050000}"/>
    <cellStyle name="20% - Accent1 3 2 9" xfId="20628" xr:uid="{00000000-0005-0000-0000-000009050000}"/>
    <cellStyle name="20% - Accent1 3 3" xfId="228" xr:uid="{00000000-0005-0000-0000-00000A050000}"/>
    <cellStyle name="20% - Accent1 3 3 2" xfId="548" xr:uid="{00000000-0005-0000-0000-00000B050000}"/>
    <cellStyle name="20% - Accent1 3 3 2 2" xfId="1188" xr:uid="{00000000-0005-0000-0000-00000C050000}"/>
    <cellStyle name="20% - Accent1 3 3 2 2 2" xfId="2468" xr:uid="{00000000-0005-0000-0000-00000D050000}"/>
    <cellStyle name="20% - Accent1 3 3 2 2 2 2" xfId="5028" xr:uid="{00000000-0005-0000-0000-00000E050000}"/>
    <cellStyle name="20% - Accent1 3 3 2 2 2 2 2" xfId="10148" xr:uid="{00000000-0005-0000-0000-00000F050000}"/>
    <cellStyle name="20% - Accent1 3 3 2 2 2 2 2 2" xfId="20388" xr:uid="{00000000-0005-0000-0000-000010050000}"/>
    <cellStyle name="20% - Accent1 3 3 2 2 2 2 2 2 2" xfId="40868" xr:uid="{00000000-0005-0000-0000-000011050000}"/>
    <cellStyle name="20% - Accent1 3 3 2 2 2 2 2 3" xfId="30628" xr:uid="{00000000-0005-0000-0000-000012050000}"/>
    <cellStyle name="20% - Accent1 3 3 2 2 2 2 3" xfId="15268" xr:uid="{00000000-0005-0000-0000-000013050000}"/>
    <cellStyle name="20% - Accent1 3 3 2 2 2 2 3 2" xfId="35748" xr:uid="{00000000-0005-0000-0000-000014050000}"/>
    <cellStyle name="20% - Accent1 3 3 2 2 2 2 4" xfId="25508" xr:uid="{00000000-0005-0000-0000-000015050000}"/>
    <cellStyle name="20% - Accent1 3 3 2 2 2 3" xfId="7588" xr:uid="{00000000-0005-0000-0000-000016050000}"/>
    <cellStyle name="20% - Accent1 3 3 2 2 2 3 2" xfId="17828" xr:uid="{00000000-0005-0000-0000-000017050000}"/>
    <cellStyle name="20% - Accent1 3 3 2 2 2 3 2 2" xfId="38308" xr:uid="{00000000-0005-0000-0000-000018050000}"/>
    <cellStyle name="20% - Accent1 3 3 2 2 2 3 3" xfId="28068" xr:uid="{00000000-0005-0000-0000-000019050000}"/>
    <cellStyle name="20% - Accent1 3 3 2 2 2 4" xfId="12708" xr:uid="{00000000-0005-0000-0000-00001A050000}"/>
    <cellStyle name="20% - Accent1 3 3 2 2 2 4 2" xfId="33188" xr:uid="{00000000-0005-0000-0000-00001B050000}"/>
    <cellStyle name="20% - Accent1 3 3 2 2 2 5" xfId="22948" xr:uid="{00000000-0005-0000-0000-00001C050000}"/>
    <cellStyle name="20% - Accent1 3 3 2 2 3" xfId="3748" xr:uid="{00000000-0005-0000-0000-00001D050000}"/>
    <cellStyle name="20% - Accent1 3 3 2 2 3 2" xfId="8868" xr:uid="{00000000-0005-0000-0000-00001E050000}"/>
    <cellStyle name="20% - Accent1 3 3 2 2 3 2 2" xfId="19108" xr:uid="{00000000-0005-0000-0000-00001F050000}"/>
    <cellStyle name="20% - Accent1 3 3 2 2 3 2 2 2" xfId="39588" xr:uid="{00000000-0005-0000-0000-000020050000}"/>
    <cellStyle name="20% - Accent1 3 3 2 2 3 2 3" xfId="29348" xr:uid="{00000000-0005-0000-0000-000021050000}"/>
    <cellStyle name="20% - Accent1 3 3 2 2 3 3" xfId="13988" xr:uid="{00000000-0005-0000-0000-000022050000}"/>
    <cellStyle name="20% - Accent1 3 3 2 2 3 3 2" xfId="34468" xr:uid="{00000000-0005-0000-0000-000023050000}"/>
    <cellStyle name="20% - Accent1 3 3 2 2 3 4" xfId="24228" xr:uid="{00000000-0005-0000-0000-000024050000}"/>
    <cellStyle name="20% - Accent1 3 3 2 2 4" xfId="6308" xr:uid="{00000000-0005-0000-0000-000025050000}"/>
    <cellStyle name="20% - Accent1 3 3 2 2 4 2" xfId="16548" xr:uid="{00000000-0005-0000-0000-000026050000}"/>
    <cellStyle name="20% - Accent1 3 3 2 2 4 2 2" xfId="37028" xr:uid="{00000000-0005-0000-0000-000027050000}"/>
    <cellStyle name="20% - Accent1 3 3 2 2 4 3" xfId="26788" xr:uid="{00000000-0005-0000-0000-000028050000}"/>
    <cellStyle name="20% - Accent1 3 3 2 2 5" xfId="11428" xr:uid="{00000000-0005-0000-0000-000029050000}"/>
    <cellStyle name="20% - Accent1 3 3 2 2 5 2" xfId="31908" xr:uid="{00000000-0005-0000-0000-00002A050000}"/>
    <cellStyle name="20% - Accent1 3 3 2 2 6" xfId="21668" xr:uid="{00000000-0005-0000-0000-00002B050000}"/>
    <cellStyle name="20% - Accent1 3 3 2 3" xfId="1828" xr:uid="{00000000-0005-0000-0000-00002C050000}"/>
    <cellStyle name="20% - Accent1 3 3 2 3 2" xfId="4388" xr:uid="{00000000-0005-0000-0000-00002D050000}"/>
    <cellStyle name="20% - Accent1 3 3 2 3 2 2" xfId="9508" xr:uid="{00000000-0005-0000-0000-00002E050000}"/>
    <cellStyle name="20% - Accent1 3 3 2 3 2 2 2" xfId="19748" xr:uid="{00000000-0005-0000-0000-00002F050000}"/>
    <cellStyle name="20% - Accent1 3 3 2 3 2 2 2 2" xfId="40228" xr:uid="{00000000-0005-0000-0000-000030050000}"/>
    <cellStyle name="20% - Accent1 3 3 2 3 2 2 3" xfId="29988" xr:uid="{00000000-0005-0000-0000-000031050000}"/>
    <cellStyle name="20% - Accent1 3 3 2 3 2 3" xfId="14628" xr:uid="{00000000-0005-0000-0000-000032050000}"/>
    <cellStyle name="20% - Accent1 3 3 2 3 2 3 2" xfId="35108" xr:uid="{00000000-0005-0000-0000-000033050000}"/>
    <cellStyle name="20% - Accent1 3 3 2 3 2 4" xfId="24868" xr:uid="{00000000-0005-0000-0000-000034050000}"/>
    <cellStyle name="20% - Accent1 3 3 2 3 3" xfId="6948" xr:uid="{00000000-0005-0000-0000-000035050000}"/>
    <cellStyle name="20% - Accent1 3 3 2 3 3 2" xfId="17188" xr:uid="{00000000-0005-0000-0000-000036050000}"/>
    <cellStyle name="20% - Accent1 3 3 2 3 3 2 2" xfId="37668" xr:uid="{00000000-0005-0000-0000-000037050000}"/>
    <cellStyle name="20% - Accent1 3 3 2 3 3 3" xfId="27428" xr:uid="{00000000-0005-0000-0000-000038050000}"/>
    <cellStyle name="20% - Accent1 3 3 2 3 4" xfId="12068" xr:uid="{00000000-0005-0000-0000-000039050000}"/>
    <cellStyle name="20% - Accent1 3 3 2 3 4 2" xfId="32548" xr:uid="{00000000-0005-0000-0000-00003A050000}"/>
    <cellStyle name="20% - Accent1 3 3 2 3 5" xfId="22308" xr:uid="{00000000-0005-0000-0000-00003B050000}"/>
    <cellStyle name="20% - Accent1 3 3 2 4" xfId="3108" xr:uid="{00000000-0005-0000-0000-00003C050000}"/>
    <cellStyle name="20% - Accent1 3 3 2 4 2" xfId="8228" xr:uid="{00000000-0005-0000-0000-00003D050000}"/>
    <cellStyle name="20% - Accent1 3 3 2 4 2 2" xfId="18468" xr:uid="{00000000-0005-0000-0000-00003E050000}"/>
    <cellStyle name="20% - Accent1 3 3 2 4 2 2 2" xfId="38948" xr:uid="{00000000-0005-0000-0000-00003F050000}"/>
    <cellStyle name="20% - Accent1 3 3 2 4 2 3" xfId="28708" xr:uid="{00000000-0005-0000-0000-000040050000}"/>
    <cellStyle name="20% - Accent1 3 3 2 4 3" xfId="13348" xr:uid="{00000000-0005-0000-0000-000041050000}"/>
    <cellStyle name="20% - Accent1 3 3 2 4 3 2" xfId="33828" xr:uid="{00000000-0005-0000-0000-000042050000}"/>
    <cellStyle name="20% - Accent1 3 3 2 4 4" xfId="23588" xr:uid="{00000000-0005-0000-0000-000043050000}"/>
    <cellStyle name="20% - Accent1 3 3 2 5" xfId="5668" xr:uid="{00000000-0005-0000-0000-000044050000}"/>
    <cellStyle name="20% - Accent1 3 3 2 5 2" xfId="15908" xr:uid="{00000000-0005-0000-0000-000045050000}"/>
    <cellStyle name="20% - Accent1 3 3 2 5 2 2" xfId="36388" xr:uid="{00000000-0005-0000-0000-000046050000}"/>
    <cellStyle name="20% - Accent1 3 3 2 5 3" xfId="26148" xr:uid="{00000000-0005-0000-0000-000047050000}"/>
    <cellStyle name="20% - Accent1 3 3 2 6" xfId="10788" xr:uid="{00000000-0005-0000-0000-000048050000}"/>
    <cellStyle name="20% - Accent1 3 3 2 6 2" xfId="31268" xr:uid="{00000000-0005-0000-0000-000049050000}"/>
    <cellStyle name="20% - Accent1 3 3 2 7" xfId="21028" xr:uid="{00000000-0005-0000-0000-00004A050000}"/>
    <cellStyle name="20% - Accent1 3 3 3" xfId="868" xr:uid="{00000000-0005-0000-0000-00004B050000}"/>
    <cellStyle name="20% - Accent1 3 3 3 2" xfId="2148" xr:uid="{00000000-0005-0000-0000-00004C050000}"/>
    <cellStyle name="20% - Accent1 3 3 3 2 2" xfId="4708" xr:uid="{00000000-0005-0000-0000-00004D050000}"/>
    <cellStyle name="20% - Accent1 3 3 3 2 2 2" xfId="9828" xr:uid="{00000000-0005-0000-0000-00004E050000}"/>
    <cellStyle name="20% - Accent1 3 3 3 2 2 2 2" xfId="20068" xr:uid="{00000000-0005-0000-0000-00004F050000}"/>
    <cellStyle name="20% - Accent1 3 3 3 2 2 2 2 2" xfId="40548" xr:uid="{00000000-0005-0000-0000-000050050000}"/>
    <cellStyle name="20% - Accent1 3 3 3 2 2 2 3" xfId="30308" xr:uid="{00000000-0005-0000-0000-000051050000}"/>
    <cellStyle name="20% - Accent1 3 3 3 2 2 3" xfId="14948" xr:uid="{00000000-0005-0000-0000-000052050000}"/>
    <cellStyle name="20% - Accent1 3 3 3 2 2 3 2" xfId="35428" xr:uid="{00000000-0005-0000-0000-000053050000}"/>
    <cellStyle name="20% - Accent1 3 3 3 2 2 4" xfId="25188" xr:uid="{00000000-0005-0000-0000-000054050000}"/>
    <cellStyle name="20% - Accent1 3 3 3 2 3" xfId="7268" xr:uid="{00000000-0005-0000-0000-000055050000}"/>
    <cellStyle name="20% - Accent1 3 3 3 2 3 2" xfId="17508" xr:uid="{00000000-0005-0000-0000-000056050000}"/>
    <cellStyle name="20% - Accent1 3 3 3 2 3 2 2" xfId="37988" xr:uid="{00000000-0005-0000-0000-000057050000}"/>
    <cellStyle name="20% - Accent1 3 3 3 2 3 3" xfId="27748" xr:uid="{00000000-0005-0000-0000-000058050000}"/>
    <cellStyle name="20% - Accent1 3 3 3 2 4" xfId="12388" xr:uid="{00000000-0005-0000-0000-000059050000}"/>
    <cellStyle name="20% - Accent1 3 3 3 2 4 2" xfId="32868" xr:uid="{00000000-0005-0000-0000-00005A050000}"/>
    <cellStyle name="20% - Accent1 3 3 3 2 5" xfId="22628" xr:uid="{00000000-0005-0000-0000-00005B050000}"/>
    <cellStyle name="20% - Accent1 3 3 3 3" xfId="3428" xr:uid="{00000000-0005-0000-0000-00005C050000}"/>
    <cellStyle name="20% - Accent1 3 3 3 3 2" xfId="8548" xr:uid="{00000000-0005-0000-0000-00005D050000}"/>
    <cellStyle name="20% - Accent1 3 3 3 3 2 2" xfId="18788" xr:uid="{00000000-0005-0000-0000-00005E050000}"/>
    <cellStyle name="20% - Accent1 3 3 3 3 2 2 2" xfId="39268" xr:uid="{00000000-0005-0000-0000-00005F050000}"/>
    <cellStyle name="20% - Accent1 3 3 3 3 2 3" xfId="29028" xr:uid="{00000000-0005-0000-0000-000060050000}"/>
    <cellStyle name="20% - Accent1 3 3 3 3 3" xfId="13668" xr:uid="{00000000-0005-0000-0000-000061050000}"/>
    <cellStyle name="20% - Accent1 3 3 3 3 3 2" xfId="34148" xr:uid="{00000000-0005-0000-0000-000062050000}"/>
    <cellStyle name="20% - Accent1 3 3 3 3 4" xfId="23908" xr:uid="{00000000-0005-0000-0000-000063050000}"/>
    <cellStyle name="20% - Accent1 3 3 3 4" xfId="5988" xr:uid="{00000000-0005-0000-0000-000064050000}"/>
    <cellStyle name="20% - Accent1 3 3 3 4 2" xfId="16228" xr:uid="{00000000-0005-0000-0000-000065050000}"/>
    <cellStyle name="20% - Accent1 3 3 3 4 2 2" xfId="36708" xr:uid="{00000000-0005-0000-0000-000066050000}"/>
    <cellStyle name="20% - Accent1 3 3 3 4 3" xfId="26468" xr:uid="{00000000-0005-0000-0000-000067050000}"/>
    <cellStyle name="20% - Accent1 3 3 3 5" xfId="11108" xr:uid="{00000000-0005-0000-0000-000068050000}"/>
    <cellStyle name="20% - Accent1 3 3 3 5 2" xfId="31588" xr:uid="{00000000-0005-0000-0000-000069050000}"/>
    <cellStyle name="20% - Accent1 3 3 3 6" xfId="21348" xr:uid="{00000000-0005-0000-0000-00006A050000}"/>
    <cellStyle name="20% - Accent1 3 3 4" xfId="1508" xr:uid="{00000000-0005-0000-0000-00006B050000}"/>
    <cellStyle name="20% - Accent1 3 3 4 2" xfId="4068" xr:uid="{00000000-0005-0000-0000-00006C050000}"/>
    <cellStyle name="20% - Accent1 3 3 4 2 2" xfId="9188" xr:uid="{00000000-0005-0000-0000-00006D050000}"/>
    <cellStyle name="20% - Accent1 3 3 4 2 2 2" xfId="19428" xr:uid="{00000000-0005-0000-0000-00006E050000}"/>
    <cellStyle name="20% - Accent1 3 3 4 2 2 2 2" xfId="39908" xr:uid="{00000000-0005-0000-0000-00006F050000}"/>
    <cellStyle name="20% - Accent1 3 3 4 2 2 3" xfId="29668" xr:uid="{00000000-0005-0000-0000-000070050000}"/>
    <cellStyle name="20% - Accent1 3 3 4 2 3" xfId="14308" xr:uid="{00000000-0005-0000-0000-000071050000}"/>
    <cellStyle name="20% - Accent1 3 3 4 2 3 2" xfId="34788" xr:uid="{00000000-0005-0000-0000-000072050000}"/>
    <cellStyle name="20% - Accent1 3 3 4 2 4" xfId="24548" xr:uid="{00000000-0005-0000-0000-000073050000}"/>
    <cellStyle name="20% - Accent1 3 3 4 3" xfId="6628" xr:uid="{00000000-0005-0000-0000-000074050000}"/>
    <cellStyle name="20% - Accent1 3 3 4 3 2" xfId="16868" xr:uid="{00000000-0005-0000-0000-000075050000}"/>
    <cellStyle name="20% - Accent1 3 3 4 3 2 2" xfId="37348" xr:uid="{00000000-0005-0000-0000-000076050000}"/>
    <cellStyle name="20% - Accent1 3 3 4 3 3" xfId="27108" xr:uid="{00000000-0005-0000-0000-000077050000}"/>
    <cellStyle name="20% - Accent1 3 3 4 4" xfId="11748" xr:uid="{00000000-0005-0000-0000-000078050000}"/>
    <cellStyle name="20% - Accent1 3 3 4 4 2" xfId="32228" xr:uid="{00000000-0005-0000-0000-000079050000}"/>
    <cellStyle name="20% - Accent1 3 3 4 5" xfId="21988" xr:uid="{00000000-0005-0000-0000-00007A050000}"/>
    <cellStyle name="20% - Accent1 3 3 5" xfId="2788" xr:uid="{00000000-0005-0000-0000-00007B050000}"/>
    <cellStyle name="20% - Accent1 3 3 5 2" xfId="7908" xr:uid="{00000000-0005-0000-0000-00007C050000}"/>
    <cellStyle name="20% - Accent1 3 3 5 2 2" xfId="18148" xr:uid="{00000000-0005-0000-0000-00007D050000}"/>
    <cellStyle name="20% - Accent1 3 3 5 2 2 2" xfId="38628" xr:uid="{00000000-0005-0000-0000-00007E050000}"/>
    <cellStyle name="20% - Accent1 3 3 5 2 3" xfId="28388" xr:uid="{00000000-0005-0000-0000-00007F050000}"/>
    <cellStyle name="20% - Accent1 3 3 5 3" xfId="13028" xr:uid="{00000000-0005-0000-0000-000080050000}"/>
    <cellStyle name="20% - Accent1 3 3 5 3 2" xfId="33508" xr:uid="{00000000-0005-0000-0000-000081050000}"/>
    <cellStyle name="20% - Accent1 3 3 5 4" xfId="23268" xr:uid="{00000000-0005-0000-0000-000082050000}"/>
    <cellStyle name="20% - Accent1 3 3 6" xfId="5348" xr:uid="{00000000-0005-0000-0000-000083050000}"/>
    <cellStyle name="20% - Accent1 3 3 6 2" xfId="15588" xr:uid="{00000000-0005-0000-0000-000084050000}"/>
    <cellStyle name="20% - Accent1 3 3 6 2 2" xfId="36068" xr:uid="{00000000-0005-0000-0000-000085050000}"/>
    <cellStyle name="20% - Accent1 3 3 6 3" xfId="25828" xr:uid="{00000000-0005-0000-0000-000086050000}"/>
    <cellStyle name="20% - Accent1 3 3 7" xfId="10468" xr:uid="{00000000-0005-0000-0000-000087050000}"/>
    <cellStyle name="20% - Accent1 3 3 7 2" xfId="30948" xr:uid="{00000000-0005-0000-0000-000088050000}"/>
    <cellStyle name="20% - Accent1 3 3 8" xfId="20708" xr:uid="{00000000-0005-0000-0000-000089050000}"/>
    <cellStyle name="20% - Accent1 3 4" xfId="388" xr:uid="{00000000-0005-0000-0000-00008A050000}"/>
    <cellStyle name="20% - Accent1 3 4 2" xfId="1028" xr:uid="{00000000-0005-0000-0000-00008B050000}"/>
    <cellStyle name="20% - Accent1 3 4 2 2" xfId="2308" xr:uid="{00000000-0005-0000-0000-00008C050000}"/>
    <cellStyle name="20% - Accent1 3 4 2 2 2" xfId="4868" xr:uid="{00000000-0005-0000-0000-00008D050000}"/>
    <cellStyle name="20% - Accent1 3 4 2 2 2 2" xfId="9988" xr:uid="{00000000-0005-0000-0000-00008E050000}"/>
    <cellStyle name="20% - Accent1 3 4 2 2 2 2 2" xfId="20228" xr:uid="{00000000-0005-0000-0000-00008F050000}"/>
    <cellStyle name="20% - Accent1 3 4 2 2 2 2 2 2" xfId="40708" xr:uid="{00000000-0005-0000-0000-000090050000}"/>
    <cellStyle name="20% - Accent1 3 4 2 2 2 2 3" xfId="30468" xr:uid="{00000000-0005-0000-0000-000091050000}"/>
    <cellStyle name="20% - Accent1 3 4 2 2 2 3" xfId="15108" xr:uid="{00000000-0005-0000-0000-000092050000}"/>
    <cellStyle name="20% - Accent1 3 4 2 2 2 3 2" xfId="35588" xr:uid="{00000000-0005-0000-0000-000093050000}"/>
    <cellStyle name="20% - Accent1 3 4 2 2 2 4" xfId="25348" xr:uid="{00000000-0005-0000-0000-000094050000}"/>
    <cellStyle name="20% - Accent1 3 4 2 2 3" xfId="7428" xr:uid="{00000000-0005-0000-0000-000095050000}"/>
    <cellStyle name="20% - Accent1 3 4 2 2 3 2" xfId="17668" xr:uid="{00000000-0005-0000-0000-000096050000}"/>
    <cellStyle name="20% - Accent1 3 4 2 2 3 2 2" xfId="38148" xr:uid="{00000000-0005-0000-0000-000097050000}"/>
    <cellStyle name="20% - Accent1 3 4 2 2 3 3" xfId="27908" xr:uid="{00000000-0005-0000-0000-000098050000}"/>
    <cellStyle name="20% - Accent1 3 4 2 2 4" xfId="12548" xr:uid="{00000000-0005-0000-0000-000099050000}"/>
    <cellStyle name="20% - Accent1 3 4 2 2 4 2" xfId="33028" xr:uid="{00000000-0005-0000-0000-00009A050000}"/>
    <cellStyle name="20% - Accent1 3 4 2 2 5" xfId="22788" xr:uid="{00000000-0005-0000-0000-00009B050000}"/>
    <cellStyle name="20% - Accent1 3 4 2 3" xfId="3588" xr:uid="{00000000-0005-0000-0000-00009C050000}"/>
    <cellStyle name="20% - Accent1 3 4 2 3 2" xfId="8708" xr:uid="{00000000-0005-0000-0000-00009D050000}"/>
    <cellStyle name="20% - Accent1 3 4 2 3 2 2" xfId="18948" xr:uid="{00000000-0005-0000-0000-00009E050000}"/>
    <cellStyle name="20% - Accent1 3 4 2 3 2 2 2" xfId="39428" xr:uid="{00000000-0005-0000-0000-00009F050000}"/>
    <cellStyle name="20% - Accent1 3 4 2 3 2 3" xfId="29188" xr:uid="{00000000-0005-0000-0000-0000A0050000}"/>
    <cellStyle name="20% - Accent1 3 4 2 3 3" xfId="13828" xr:uid="{00000000-0005-0000-0000-0000A1050000}"/>
    <cellStyle name="20% - Accent1 3 4 2 3 3 2" xfId="34308" xr:uid="{00000000-0005-0000-0000-0000A2050000}"/>
    <cellStyle name="20% - Accent1 3 4 2 3 4" xfId="24068" xr:uid="{00000000-0005-0000-0000-0000A3050000}"/>
    <cellStyle name="20% - Accent1 3 4 2 4" xfId="6148" xr:uid="{00000000-0005-0000-0000-0000A4050000}"/>
    <cellStyle name="20% - Accent1 3 4 2 4 2" xfId="16388" xr:uid="{00000000-0005-0000-0000-0000A5050000}"/>
    <cellStyle name="20% - Accent1 3 4 2 4 2 2" xfId="36868" xr:uid="{00000000-0005-0000-0000-0000A6050000}"/>
    <cellStyle name="20% - Accent1 3 4 2 4 3" xfId="26628" xr:uid="{00000000-0005-0000-0000-0000A7050000}"/>
    <cellStyle name="20% - Accent1 3 4 2 5" xfId="11268" xr:uid="{00000000-0005-0000-0000-0000A8050000}"/>
    <cellStyle name="20% - Accent1 3 4 2 5 2" xfId="31748" xr:uid="{00000000-0005-0000-0000-0000A9050000}"/>
    <cellStyle name="20% - Accent1 3 4 2 6" xfId="21508" xr:uid="{00000000-0005-0000-0000-0000AA050000}"/>
    <cellStyle name="20% - Accent1 3 4 3" xfId="1668" xr:uid="{00000000-0005-0000-0000-0000AB050000}"/>
    <cellStyle name="20% - Accent1 3 4 3 2" xfId="4228" xr:uid="{00000000-0005-0000-0000-0000AC050000}"/>
    <cellStyle name="20% - Accent1 3 4 3 2 2" xfId="9348" xr:uid="{00000000-0005-0000-0000-0000AD050000}"/>
    <cellStyle name="20% - Accent1 3 4 3 2 2 2" xfId="19588" xr:uid="{00000000-0005-0000-0000-0000AE050000}"/>
    <cellStyle name="20% - Accent1 3 4 3 2 2 2 2" xfId="40068" xr:uid="{00000000-0005-0000-0000-0000AF050000}"/>
    <cellStyle name="20% - Accent1 3 4 3 2 2 3" xfId="29828" xr:uid="{00000000-0005-0000-0000-0000B0050000}"/>
    <cellStyle name="20% - Accent1 3 4 3 2 3" xfId="14468" xr:uid="{00000000-0005-0000-0000-0000B1050000}"/>
    <cellStyle name="20% - Accent1 3 4 3 2 3 2" xfId="34948" xr:uid="{00000000-0005-0000-0000-0000B2050000}"/>
    <cellStyle name="20% - Accent1 3 4 3 2 4" xfId="24708" xr:uid="{00000000-0005-0000-0000-0000B3050000}"/>
    <cellStyle name="20% - Accent1 3 4 3 3" xfId="6788" xr:uid="{00000000-0005-0000-0000-0000B4050000}"/>
    <cellStyle name="20% - Accent1 3 4 3 3 2" xfId="17028" xr:uid="{00000000-0005-0000-0000-0000B5050000}"/>
    <cellStyle name="20% - Accent1 3 4 3 3 2 2" xfId="37508" xr:uid="{00000000-0005-0000-0000-0000B6050000}"/>
    <cellStyle name="20% - Accent1 3 4 3 3 3" xfId="27268" xr:uid="{00000000-0005-0000-0000-0000B7050000}"/>
    <cellStyle name="20% - Accent1 3 4 3 4" xfId="11908" xr:uid="{00000000-0005-0000-0000-0000B8050000}"/>
    <cellStyle name="20% - Accent1 3 4 3 4 2" xfId="32388" xr:uid="{00000000-0005-0000-0000-0000B9050000}"/>
    <cellStyle name="20% - Accent1 3 4 3 5" xfId="22148" xr:uid="{00000000-0005-0000-0000-0000BA050000}"/>
    <cellStyle name="20% - Accent1 3 4 4" xfId="2948" xr:uid="{00000000-0005-0000-0000-0000BB050000}"/>
    <cellStyle name="20% - Accent1 3 4 4 2" xfId="8068" xr:uid="{00000000-0005-0000-0000-0000BC050000}"/>
    <cellStyle name="20% - Accent1 3 4 4 2 2" xfId="18308" xr:uid="{00000000-0005-0000-0000-0000BD050000}"/>
    <cellStyle name="20% - Accent1 3 4 4 2 2 2" xfId="38788" xr:uid="{00000000-0005-0000-0000-0000BE050000}"/>
    <cellStyle name="20% - Accent1 3 4 4 2 3" xfId="28548" xr:uid="{00000000-0005-0000-0000-0000BF050000}"/>
    <cellStyle name="20% - Accent1 3 4 4 3" xfId="13188" xr:uid="{00000000-0005-0000-0000-0000C0050000}"/>
    <cellStyle name="20% - Accent1 3 4 4 3 2" xfId="33668" xr:uid="{00000000-0005-0000-0000-0000C1050000}"/>
    <cellStyle name="20% - Accent1 3 4 4 4" xfId="23428" xr:uid="{00000000-0005-0000-0000-0000C2050000}"/>
    <cellStyle name="20% - Accent1 3 4 5" xfId="5508" xr:uid="{00000000-0005-0000-0000-0000C3050000}"/>
    <cellStyle name="20% - Accent1 3 4 5 2" xfId="15748" xr:uid="{00000000-0005-0000-0000-0000C4050000}"/>
    <cellStyle name="20% - Accent1 3 4 5 2 2" xfId="36228" xr:uid="{00000000-0005-0000-0000-0000C5050000}"/>
    <cellStyle name="20% - Accent1 3 4 5 3" xfId="25988" xr:uid="{00000000-0005-0000-0000-0000C6050000}"/>
    <cellStyle name="20% - Accent1 3 4 6" xfId="10628" xr:uid="{00000000-0005-0000-0000-0000C7050000}"/>
    <cellStyle name="20% - Accent1 3 4 6 2" xfId="31108" xr:uid="{00000000-0005-0000-0000-0000C8050000}"/>
    <cellStyle name="20% - Accent1 3 4 7" xfId="20868" xr:uid="{00000000-0005-0000-0000-0000C9050000}"/>
    <cellStyle name="20% - Accent1 3 5" xfId="708" xr:uid="{00000000-0005-0000-0000-0000CA050000}"/>
    <cellStyle name="20% - Accent1 3 5 2" xfId="1988" xr:uid="{00000000-0005-0000-0000-0000CB050000}"/>
    <cellStyle name="20% - Accent1 3 5 2 2" xfId="4548" xr:uid="{00000000-0005-0000-0000-0000CC050000}"/>
    <cellStyle name="20% - Accent1 3 5 2 2 2" xfId="9668" xr:uid="{00000000-0005-0000-0000-0000CD050000}"/>
    <cellStyle name="20% - Accent1 3 5 2 2 2 2" xfId="19908" xr:uid="{00000000-0005-0000-0000-0000CE050000}"/>
    <cellStyle name="20% - Accent1 3 5 2 2 2 2 2" xfId="40388" xr:uid="{00000000-0005-0000-0000-0000CF050000}"/>
    <cellStyle name="20% - Accent1 3 5 2 2 2 3" xfId="30148" xr:uid="{00000000-0005-0000-0000-0000D0050000}"/>
    <cellStyle name="20% - Accent1 3 5 2 2 3" xfId="14788" xr:uid="{00000000-0005-0000-0000-0000D1050000}"/>
    <cellStyle name="20% - Accent1 3 5 2 2 3 2" xfId="35268" xr:uid="{00000000-0005-0000-0000-0000D2050000}"/>
    <cellStyle name="20% - Accent1 3 5 2 2 4" xfId="25028" xr:uid="{00000000-0005-0000-0000-0000D3050000}"/>
    <cellStyle name="20% - Accent1 3 5 2 3" xfId="7108" xr:uid="{00000000-0005-0000-0000-0000D4050000}"/>
    <cellStyle name="20% - Accent1 3 5 2 3 2" xfId="17348" xr:uid="{00000000-0005-0000-0000-0000D5050000}"/>
    <cellStyle name="20% - Accent1 3 5 2 3 2 2" xfId="37828" xr:uid="{00000000-0005-0000-0000-0000D6050000}"/>
    <cellStyle name="20% - Accent1 3 5 2 3 3" xfId="27588" xr:uid="{00000000-0005-0000-0000-0000D7050000}"/>
    <cellStyle name="20% - Accent1 3 5 2 4" xfId="12228" xr:uid="{00000000-0005-0000-0000-0000D8050000}"/>
    <cellStyle name="20% - Accent1 3 5 2 4 2" xfId="32708" xr:uid="{00000000-0005-0000-0000-0000D9050000}"/>
    <cellStyle name="20% - Accent1 3 5 2 5" xfId="22468" xr:uid="{00000000-0005-0000-0000-0000DA050000}"/>
    <cellStyle name="20% - Accent1 3 5 3" xfId="3268" xr:uid="{00000000-0005-0000-0000-0000DB050000}"/>
    <cellStyle name="20% - Accent1 3 5 3 2" xfId="8388" xr:uid="{00000000-0005-0000-0000-0000DC050000}"/>
    <cellStyle name="20% - Accent1 3 5 3 2 2" xfId="18628" xr:uid="{00000000-0005-0000-0000-0000DD050000}"/>
    <cellStyle name="20% - Accent1 3 5 3 2 2 2" xfId="39108" xr:uid="{00000000-0005-0000-0000-0000DE050000}"/>
    <cellStyle name="20% - Accent1 3 5 3 2 3" xfId="28868" xr:uid="{00000000-0005-0000-0000-0000DF050000}"/>
    <cellStyle name="20% - Accent1 3 5 3 3" xfId="13508" xr:uid="{00000000-0005-0000-0000-0000E0050000}"/>
    <cellStyle name="20% - Accent1 3 5 3 3 2" xfId="33988" xr:uid="{00000000-0005-0000-0000-0000E1050000}"/>
    <cellStyle name="20% - Accent1 3 5 3 4" xfId="23748" xr:uid="{00000000-0005-0000-0000-0000E2050000}"/>
    <cellStyle name="20% - Accent1 3 5 4" xfId="5828" xr:uid="{00000000-0005-0000-0000-0000E3050000}"/>
    <cellStyle name="20% - Accent1 3 5 4 2" xfId="16068" xr:uid="{00000000-0005-0000-0000-0000E4050000}"/>
    <cellStyle name="20% - Accent1 3 5 4 2 2" xfId="36548" xr:uid="{00000000-0005-0000-0000-0000E5050000}"/>
    <cellStyle name="20% - Accent1 3 5 4 3" xfId="26308" xr:uid="{00000000-0005-0000-0000-0000E6050000}"/>
    <cellStyle name="20% - Accent1 3 5 5" xfId="10948" xr:uid="{00000000-0005-0000-0000-0000E7050000}"/>
    <cellStyle name="20% - Accent1 3 5 5 2" xfId="31428" xr:uid="{00000000-0005-0000-0000-0000E8050000}"/>
    <cellStyle name="20% - Accent1 3 5 6" xfId="21188" xr:uid="{00000000-0005-0000-0000-0000E9050000}"/>
    <cellStyle name="20% - Accent1 3 6" xfId="1348" xr:uid="{00000000-0005-0000-0000-0000EA050000}"/>
    <cellStyle name="20% - Accent1 3 6 2" xfId="3908" xr:uid="{00000000-0005-0000-0000-0000EB050000}"/>
    <cellStyle name="20% - Accent1 3 6 2 2" xfId="9028" xr:uid="{00000000-0005-0000-0000-0000EC050000}"/>
    <cellStyle name="20% - Accent1 3 6 2 2 2" xfId="19268" xr:uid="{00000000-0005-0000-0000-0000ED050000}"/>
    <cellStyle name="20% - Accent1 3 6 2 2 2 2" xfId="39748" xr:uid="{00000000-0005-0000-0000-0000EE050000}"/>
    <cellStyle name="20% - Accent1 3 6 2 2 3" xfId="29508" xr:uid="{00000000-0005-0000-0000-0000EF050000}"/>
    <cellStyle name="20% - Accent1 3 6 2 3" xfId="14148" xr:uid="{00000000-0005-0000-0000-0000F0050000}"/>
    <cellStyle name="20% - Accent1 3 6 2 3 2" xfId="34628" xr:uid="{00000000-0005-0000-0000-0000F1050000}"/>
    <cellStyle name="20% - Accent1 3 6 2 4" xfId="24388" xr:uid="{00000000-0005-0000-0000-0000F2050000}"/>
    <cellStyle name="20% - Accent1 3 6 3" xfId="6468" xr:uid="{00000000-0005-0000-0000-0000F3050000}"/>
    <cellStyle name="20% - Accent1 3 6 3 2" xfId="16708" xr:uid="{00000000-0005-0000-0000-0000F4050000}"/>
    <cellStyle name="20% - Accent1 3 6 3 2 2" xfId="37188" xr:uid="{00000000-0005-0000-0000-0000F5050000}"/>
    <cellStyle name="20% - Accent1 3 6 3 3" xfId="26948" xr:uid="{00000000-0005-0000-0000-0000F6050000}"/>
    <cellStyle name="20% - Accent1 3 6 4" xfId="11588" xr:uid="{00000000-0005-0000-0000-0000F7050000}"/>
    <cellStyle name="20% - Accent1 3 6 4 2" xfId="32068" xr:uid="{00000000-0005-0000-0000-0000F8050000}"/>
    <cellStyle name="20% - Accent1 3 6 5" xfId="21828" xr:uid="{00000000-0005-0000-0000-0000F9050000}"/>
    <cellStyle name="20% - Accent1 3 7" xfId="2628" xr:uid="{00000000-0005-0000-0000-0000FA050000}"/>
    <cellStyle name="20% - Accent1 3 7 2" xfId="7748" xr:uid="{00000000-0005-0000-0000-0000FB050000}"/>
    <cellStyle name="20% - Accent1 3 7 2 2" xfId="17988" xr:uid="{00000000-0005-0000-0000-0000FC050000}"/>
    <cellStyle name="20% - Accent1 3 7 2 2 2" xfId="38468" xr:uid="{00000000-0005-0000-0000-0000FD050000}"/>
    <cellStyle name="20% - Accent1 3 7 2 3" xfId="28228" xr:uid="{00000000-0005-0000-0000-0000FE050000}"/>
    <cellStyle name="20% - Accent1 3 7 3" xfId="12868" xr:uid="{00000000-0005-0000-0000-0000FF050000}"/>
    <cellStyle name="20% - Accent1 3 7 3 2" xfId="33348" xr:uid="{00000000-0005-0000-0000-000000060000}"/>
    <cellStyle name="20% - Accent1 3 7 4" xfId="23108" xr:uid="{00000000-0005-0000-0000-000001060000}"/>
    <cellStyle name="20% - Accent1 3 8" xfId="5188" xr:uid="{00000000-0005-0000-0000-000002060000}"/>
    <cellStyle name="20% - Accent1 3 8 2" xfId="15428" xr:uid="{00000000-0005-0000-0000-000003060000}"/>
    <cellStyle name="20% - Accent1 3 8 2 2" xfId="35908" xr:uid="{00000000-0005-0000-0000-000004060000}"/>
    <cellStyle name="20% - Accent1 3 8 3" xfId="25668" xr:uid="{00000000-0005-0000-0000-000005060000}"/>
    <cellStyle name="20% - Accent1 3 9" xfId="10308" xr:uid="{00000000-0005-0000-0000-000006060000}"/>
    <cellStyle name="20% - Accent1 3 9 2" xfId="30788" xr:uid="{00000000-0005-0000-0000-000007060000}"/>
    <cellStyle name="20% - Accent1 4" xfId="108" xr:uid="{00000000-0005-0000-0000-000008060000}"/>
    <cellStyle name="20% - Accent1 4 2" xfId="268" xr:uid="{00000000-0005-0000-0000-000009060000}"/>
    <cellStyle name="20% - Accent1 4 2 2" xfId="588" xr:uid="{00000000-0005-0000-0000-00000A060000}"/>
    <cellStyle name="20% - Accent1 4 2 2 2" xfId="1228" xr:uid="{00000000-0005-0000-0000-00000B060000}"/>
    <cellStyle name="20% - Accent1 4 2 2 2 2" xfId="2508" xr:uid="{00000000-0005-0000-0000-00000C060000}"/>
    <cellStyle name="20% - Accent1 4 2 2 2 2 2" xfId="5068" xr:uid="{00000000-0005-0000-0000-00000D060000}"/>
    <cellStyle name="20% - Accent1 4 2 2 2 2 2 2" xfId="10188" xr:uid="{00000000-0005-0000-0000-00000E060000}"/>
    <cellStyle name="20% - Accent1 4 2 2 2 2 2 2 2" xfId="20428" xr:uid="{00000000-0005-0000-0000-00000F060000}"/>
    <cellStyle name="20% - Accent1 4 2 2 2 2 2 2 2 2" xfId="40908" xr:uid="{00000000-0005-0000-0000-000010060000}"/>
    <cellStyle name="20% - Accent1 4 2 2 2 2 2 2 3" xfId="30668" xr:uid="{00000000-0005-0000-0000-000011060000}"/>
    <cellStyle name="20% - Accent1 4 2 2 2 2 2 3" xfId="15308" xr:uid="{00000000-0005-0000-0000-000012060000}"/>
    <cellStyle name="20% - Accent1 4 2 2 2 2 2 3 2" xfId="35788" xr:uid="{00000000-0005-0000-0000-000013060000}"/>
    <cellStyle name="20% - Accent1 4 2 2 2 2 2 4" xfId="25548" xr:uid="{00000000-0005-0000-0000-000014060000}"/>
    <cellStyle name="20% - Accent1 4 2 2 2 2 3" xfId="7628" xr:uid="{00000000-0005-0000-0000-000015060000}"/>
    <cellStyle name="20% - Accent1 4 2 2 2 2 3 2" xfId="17868" xr:uid="{00000000-0005-0000-0000-000016060000}"/>
    <cellStyle name="20% - Accent1 4 2 2 2 2 3 2 2" xfId="38348" xr:uid="{00000000-0005-0000-0000-000017060000}"/>
    <cellStyle name="20% - Accent1 4 2 2 2 2 3 3" xfId="28108" xr:uid="{00000000-0005-0000-0000-000018060000}"/>
    <cellStyle name="20% - Accent1 4 2 2 2 2 4" xfId="12748" xr:uid="{00000000-0005-0000-0000-000019060000}"/>
    <cellStyle name="20% - Accent1 4 2 2 2 2 4 2" xfId="33228" xr:uid="{00000000-0005-0000-0000-00001A060000}"/>
    <cellStyle name="20% - Accent1 4 2 2 2 2 5" xfId="22988" xr:uid="{00000000-0005-0000-0000-00001B060000}"/>
    <cellStyle name="20% - Accent1 4 2 2 2 3" xfId="3788" xr:uid="{00000000-0005-0000-0000-00001C060000}"/>
    <cellStyle name="20% - Accent1 4 2 2 2 3 2" xfId="8908" xr:uid="{00000000-0005-0000-0000-00001D060000}"/>
    <cellStyle name="20% - Accent1 4 2 2 2 3 2 2" xfId="19148" xr:uid="{00000000-0005-0000-0000-00001E060000}"/>
    <cellStyle name="20% - Accent1 4 2 2 2 3 2 2 2" xfId="39628" xr:uid="{00000000-0005-0000-0000-00001F060000}"/>
    <cellStyle name="20% - Accent1 4 2 2 2 3 2 3" xfId="29388" xr:uid="{00000000-0005-0000-0000-000020060000}"/>
    <cellStyle name="20% - Accent1 4 2 2 2 3 3" xfId="14028" xr:uid="{00000000-0005-0000-0000-000021060000}"/>
    <cellStyle name="20% - Accent1 4 2 2 2 3 3 2" xfId="34508" xr:uid="{00000000-0005-0000-0000-000022060000}"/>
    <cellStyle name="20% - Accent1 4 2 2 2 3 4" xfId="24268" xr:uid="{00000000-0005-0000-0000-000023060000}"/>
    <cellStyle name="20% - Accent1 4 2 2 2 4" xfId="6348" xr:uid="{00000000-0005-0000-0000-000024060000}"/>
    <cellStyle name="20% - Accent1 4 2 2 2 4 2" xfId="16588" xr:uid="{00000000-0005-0000-0000-000025060000}"/>
    <cellStyle name="20% - Accent1 4 2 2 2 4 2 2" xfId="37068" xr:uid="{00000000-0005-0000-0000-000026060000}"/>
    <cellStyle name="20% - Accent1 4 2 2 2 4 3" xfId="26828" xr:uid="{00000000-0005-0000-0000-000027060000}"/>
    <cellStyle name="20% - Accent1 4 2 2 2 5" xfId="11468" xr:uid="{00000000-0005-0000-0000-000028060000}"/>
    <cellStyle name="20% - Accent1 4 2 2 2 5 2" xfId="31948" xr:uid="{00000000-0005-0000-0000-000029060000}"/>
    <cellStyle name="20% - Accent1 4 2 2 2 6" xfId="21708" xr:uid="{00000000-0005-0000-0000-00002A060000}"/>
    <cellStyle name="20% - Accent1 4 2 2 3" xfId="1868" xr:uid="{00000000-0005-0000-0000-00002B060000}"/>
    <cellStyle name="20% - Accent1 4 2 2 3 2" xfId="4428" xr:uid="{00000000-0005-0000-0000-00002C060000}"/>
    <cellStyle name="20% - Accent1 4 2 2 3 2 2" xfId="9548" xr:uid="{00000000-0005-0000-0000-00002D060000}"/>
    <cellStyle name="20% - Accent1 4 2 2 3 2 2 2" xfId="19788" xr:uid="{00000000-0005-0000-0000-00002E060000}"/>
    <cellStyle name="20% - Accent1 4 2 2 3 2 2 2 2" xfId="40268" xr:uid="{00000000-0005-0000-0000-00002F060000}"/>
    <cellStyle name="20% - Accent1 4 2 2 3 2 2 3" xfId="30028" xr:uid="{00000000-0005-0000-0000-000030060000}"/>
    <cellStyle name="20% - Accent1 4 2 2 3 2 3" xfId="14668" xr:uid="{00000000-0005-0000-0000-000031060000}"/>
    <cellStyle name="20% - Accent1 4 2 2 3 2 3 2" xfId="35148" xr:uid="{00000000-0005-0000-0000-000032060000}"/>
    <cellStyle name="20% - Accent1 4 2 2 3 2 4" xfId="24908" xr:uid="{00000000-0005-0000-0000-000033060000}"/>
    <cellStyle name="20% - Accent1 4 2 2 3 3" xfId="6988" xr:uid="{00000000-0005-0000-0000-000034060000}"/>
    <cellStyle name="20% - Accent1 4 2 2 3 3 2" xfId="17228" xr:uid="{00000000-0005-0000-0000-000035060000}"/>
    <cellStyle name="20% - Accent1 4 2 2 3 3 2 2" xfId="37708" xr:uid="{00000000-0005-0000-0000-000036060000}"/>
    <cellStyle name="20% - Accent1 4 2 2 3 3 3" xfId="27468" xr:uid="{00000000-0005-0000-0000-000037060000}"/>
    <cellStyle name="20% - Accent1 4 2 2 3 4" xfId="12108" xr:uid="{00000000-0005-0000-0000-000038060000}"/>
    <cellStyle name="20% - Accent1 4 2 2 3 4 2" xfId="32588" xr:uid="{00000000-0005-0000-0000-000039060000}"/>
    <cellStyle name="20% - Accent1 4 2 2 3 5" xfId="22348" xr:uid="{00000000-0005-0000-0000-00003A060000}"/>
    <cellStyle name="20% - Accent1 4 2 2 4" xfId="3148" xr:uid="{00000000-0005-0000-0000-00003B060000}"/>
    <cellStyle name="20% - Accent1 4 2 2 4 2" xfId="8268" xr:uid="{00000000-0005-0000-0000-00003C060000}"/>
    <cellStyle name="20% - Accent1 4 2 2 4 2 2" xfId="18508" xr:uid="{00000000-0005-0000-0000-00003D060000}"/>
    <cellStyle name="20% - Accent1 4 2 2 4 2 2 2" xfId="38988" xr:uid="{00000000-0005-0000-0000-00003E060000}"/>
    <cellStyle name="20% - Accent1 4 2 2 4 2 3" xfId="28748" xr:uid="{00000000-0005-0000-0000-00003F060000}"/>
    <cellStyle name="20% - Accent1 4 2 2 4 3" xfId="13388" xr:uid="{00000000-0005-0000-0000-000040060000}"/>
    <cellStyle name="20% - Accent1 4 2 2 4 3 2" xfId="33868" xr:uid="{00000000-0005-0000-0000-000041060000}"/>
    <cellStyle name="20% - Accent1 4 2 2 4 4" xfId="23628" xr:uid="{00000000-0005-0000-0000-000042060000}"/>
    <cellStyle name="20% - Accent1 4 2 2 5" xfId="5708" xr:uid="{00000000-0005-0000-0000-000043060000}"/>
    <cellStyle name="20% - Accent1 4 2 2 5 2" xfId="15948" xr:uid="{00000000-0005-0000-0000-000044060000}"/>
    <cellStyle name="20% - Accent1 4 2 2 5 2 2" xfId="36428" xr:uid="{00000000-0005-0000-0000-000045060000}"/>
    <cellStyle name="20% - Accent1 4 2 2 5 3" xfId="26188" xr:uid="{00000000-0005-0000-0000-000046060000}"/>
    <cellStyle name="20% - Accent1 4 2 2 6" xfId="10828" xr:uid="{00000000-0005-0000-0000-000047060000}"/>
    <cellStyle name="20% - Accent1 4 2 2 6 2" xfId="31308" xr:uid="{00000000-0005-0000-0000-000048060000}"/>
    <cellStyle name="20% - Accent1 4 2 2 7" xfId="21068" xr:uid="{00000000-0005-0000-0000-000049060000}"/>
    <cellStyle name="20% - Accent1 4 2 3" xfId="908" xr:uid="{00000000-0005-0000-0000-00004A060000}"/>
    <cellStyle name="20% - Accent1 4 2 3 2" xfId="2188" xr:uid="{00000000-0005-0000-0000-00004B060000}"/>
    <cellStyle name="20% - Accent1 4 2 3 2 2" xfId="4748" xr:uid="{00000000-0005-0000-0000-00004C060000}"/>
    <cellStyle name="20% - Accent1 4 2 3 2 2 2" xfId="9868" xr:uid="{00000000-0005-0000-0000-00004D060000}"/>
    <cellStyle name="20% - Accent1 4 2 3 2 2 2 2" xfId="20108" xr:uid="{00000000-0005-0000-0000-00004E060000}"/>
    <cellStyle name="20% - Accent1 4 2 3 2 2 2 2 2" xfId="40588" xr:uid="{00000000-0005-0000-0000-00004F060000}"/>
    <cellStyle name="20% - Accent1 4 2 3 2 2 2 3" xfId="30348" xr:uid="{00000000-0005-0000-0000-000050060000}"/>
    <cellStyle name="20% - Accent1 4 2 3 2 2 3" xfId="14988" xr:uid="{00000000-0005-0000-0000-000051060000}"/>
    <cellStyle name="20% - Accent1 4 2 3 2 2 3 2" xfId="35468" xr:uid="{00000000-0005-0000-0000-000052060000}"/>
    <cellStyle name="20% - Accent1 4 2 3 2 2 4" xfId="25228" xr:uid="{00000000-0005-0000-0000-000053060000}"/>
    <cellStyle name="20% - Accent1 4 2 3 2 3" xfId="7308" xr:uid="{00000000-0005-0000-0000-000054060000}"/>
    <cellStyle name="20% - Accent1 4 2 3 2 3 2" xfId="17548" xr:uid="{00000000-0005-0000-0000-000055060000}"/>
    <cellStyle name="20% - Accent1 4 2 3 2 3 2 2" xfId="38028" xr:uid="{00000000-0005-0000-0000-000056060000}"/>
    <cellStyle name="20% - Accent1 4 2 3 2 3 3" xfId="27788" xr:uid="{00000000-0005-0000-0000-000057060000}"/>
    <cellStyle name="20% - Accent1 4 2 3 2 4" xfId="12428" xr:uid="{00000000-0005-0000-0000-000058060000}"/>
    <cellStyle name="20% - Accent1 4 2 3 2 4 2" xfId="32908" xr:uid="{00000000-0005-0000-0000-000059060000}"/>
    <cellStyle name="20% - Accent1 4 2 3 2 5" xfId="22668" xr:uid="{00000000-0005-0000-0000-00005A060000}"/>
    <cellStyle name="20% - Accent1 4 2 3 3" xfId="3468" xr:uid="{00000000-0005-0000-0000-00005B060000}"/>
    <cellStyle name="20% - Accent1 4 2 3 3 2" xfId="8588" xr:uid="{00000000-0005-0000-0000-00005C060000}"/>
    <cellStyle name="20% - Accent1 4 2 3 3 2 2" xfId="18828" xr:uid="{00000000-0005-0000-0000-00005D060000}"/>
    <cellStyle name="20% - Accent1 4 2 3 3 2 2 2" xfId="39308" xr:uid="{00000000-0005-0000-0000-00005E060000}"/>
    <cellStyle name="20% - Accent1 4 2 3 3 2 3" xfId="29068" xr:uid="{00000000-0005-0000-0000-00005F060000}"/>
    <cellStyle name="20% - Accent1 4 2 3 3 3" xfId="13708" xr:uid="{00000000-0005-0000-0000-000060060000}"/>
    <cellStyle name="20% - Accent1 4 2 3 3 3 2" xfId="34188" xr:uid="{00000000-0005-0000-0000-000061060000}"/>
    <cellStyle name="20% - Accent1 4 2 3 3 4" xfId="23948" xr:uid="{00000000-0005-0000-0000-000062060000}"/>
    <cellStyle name="20% - Accent1 4 2 3 4" xfId="6028" xr:uid="{00000000-0005-0000-0000-000063060000}"/>
    <cellStyle name="20% - Accent1 4 2 3 4 2" xfId="16268" xr:uid="{00000000-0005-0000-0000-000064060000}"/>
    <cellStyle name="20% - Accent1 4 2 3 4 2 2" xfId="36748" xr:uid="{00000000-0005-0000-0000-000065060000}"/>
    <cellStyle name="20% - Accent1 4 2 3 4 3" xfId="26508" xr:uid="{00000000-0005-0000-0000-000066060000}"/>
    <cellStyle name="20% - Accent1 4 2 3 5" xfId="11148" xr:uid="{00000000-0005-0000-0000-000067060000}"/>
    <cellStyle name="20% - Accent1 4 2 3 5 2" xfId="31628" xr:uid="{00000000-0005-0000-0000-000068060000}"/>
    <cellStyle name="20% - Accent1 4 2 3 6" xfId="21388" xr:uid="{00000000-0005-0000-0000-000069060000}"/>
    <cellStyle name="20% - Accent1 4 2 4" xfId="1548" xr:uid="{00000000-0005-0000-0000-00006A060000}"/>
    <cellStyle name="20% - Accent1 4 2 4 2" xfId="4108" xr:uid="{00000000-0005-0000-0000-00006B060000}"/>
    <cellStyle name="20% - Accent1 4 2 4 2 2" xfId="9228" xr:uid="{00000000-0005-0000-0000-00006C060000}"/>
    <cellStyle name="20% - Accent1 4 2 4 2 2 2" xfId="19468" xr:uid="{00000000-0005-0000-0000-00006D060000}"/>
    <cellStyle name="20% - Accent1 4 2 4 2 2 2 2" xfId="39948" xr:uid="{00000000-0005-0000-0000-00006E060000}"/>
    <cellStyle name="20% - Accent1 4 2 4 2 2 3" xfId="29708" xr:uid="{00000000-0005-0000-0000-00006F060000}"/>
    <cellStyle name="20% - Accent1 4 2 4 2 3" xfId="14348" xr:uid="{00000000-0005-0000-0000-000070060000}"/>
    <cellStyle name="20% - Accent1 4 2 4 2 3 2" xfId="34828" xr:uid="{00000000-0005-0000-0000-000071060000}"/>
    <cellStyle name="20% - Accent1 4 2 4 2 4" xfId="24588" xr:uid="{00000000-0005-0000-0000-000072060000}"/>
    <cellStyle name="20% - Accent1 4 2 4 3" xfId="6668" xr:uid="{00000000-0005-0000-0000-000073060000}"/>
    <cellStyle name="20% - Accent1 4 2 4 3 2" xfId="16908" xr:uid="{00000000-0005-0000-0000-000074060000}"/>
    <cellStyle name="20% - Accent1 4 2 4 3 2 2" xfId="37388" xr:uid="{00000000-0005-0000-0000-000075060000}"/>
    <cellStyle name="20% - Accent1 4 2 4 3 3" xfId="27148" xr:uid="{00000000-0005-0000-0000-000076060000}"/>
    <cellStyle name="20% - Accent1 4 2 4 4" xfId="11788" xr:uid="{00000000-0005-0000-0000-000077060000}"/>
    <cellStyle name="20% - Accent1 4 2 4 4 2" xfId="32268" xr:uid="{00000000-0005-0000-0000-000078060000}"/>
    <cellStyle name="20% - Accent1 4 2 4 5" xfId="22028" xr:uid="{00000000-0005-0000-0000-000079060000}"/>
    <cellStyle name="20% - Accent1 4 2 5" xfId="2828" xr:uid="{00000000-0005-0000-0000-00007A060000}"/>
    <cellStyle name="20% - Accent1 4 2 5 2" xfId="7948" xr:uid="{00000000-0005-0000-0000-00007B060000}"/>
    <cellStyle name="20% - Accent1 4 2 5 2 2" xfId="18188" xr:uid="{00000000-0005-0000-0000-00007C060000}"/>
    <cellStyle name="20% - Accent1 4 2 5 2 2 2" xfId="38668" xr:uid="{00000000-0005-0000-0000-00007D060000}"/>
    <cellStyle name="20% - Accent1 4 2 5 2 3" xfId="28428" xr:uid="{00000000-0005-0000-0000-00007E060000}"/>
    <cellStyle name="20% - Accent1 4 2 5 3" xfId="13068" xr:uid="{00000000-0005-0000-0000-00007F060000}"/>
    <cellStyle name="20% - Accent1 4 2 5 3 2" xfId="33548" xr:uid="{00000000-0005-0000-0000-000080060000}"/>
    <cellStyle name="20% - Accent1 4 2 5 4" xfId="23308" xr:uid="{00000000-0005-0000-0000-000081060000}"/>
    <cellStyle name="20% - Accent1 4 2 6" xfId="5388" xr:uid="{00000000-0005-0000-0000-000082060000}"/>
    <cellStyle name="20% - Accent1 4 2 6 2" xfId="15628" xr:uid="{00000000-0005-0000-0000-000083060000}"/>
    <cellStyle name="20% - Accent1 4 2 6 2 2" xfId="36108" xr:uid="{00000000-0005-0000-0000-000084060000}"/>
    <cellStyle name="20% - Accent1 4 2 6 3" xfId="25868" xr:uid="{00000000-0005-0000-0000-000085060000}"/>
    <cellStyle name="20% - Accent1 4 2 7" xfId="10508" xr:uid="{00000000-0005-0000-0000-000086060000}"/>
    <cellStyle name="20% - Accent1 4 2 7 2" xfId="30988" xr:uid="{00000000-0005-0000-0000-000087060000}"/>
    <cellStyle name="20% - Accent1 4 2 8" xfId="20748" xr:uid="{00000000-0005-0000-0000-000088060000}"/>
    <cellStyle name="20% - Accent1 4 3" xfId="428" xr:uid="{00000000-0005-0000-0000-000089060000}"/>
    <cellStyle name="20% - Accent1 4 3 2" xfId="1068" xr:uid="{00000000-0005-0000-0000-00008A060000}"/>
    <cellStyle name="20% - Accent1 4 3 2 2" xfId="2348" xr:uid="{00000000-0005-0000-0000-00008B060000}"/>
    <cellStyle name="20% - Accent1 4 3 2 2 2" xfId="4908" xr:uid="{00000000-0005-0000-0000-00008C060000}"/>
    <cellStyle name="20% - Accent1 4 3 2 2 2 2" xfId="10028" xr:uid="{00000000-0005-0000-0000-00008D060000}"/>
    <cellStyle name="20% - Accent1 4 3 2 2 2 2 2" xfId="20268" xr:uid="{00000000-0005-0000-0000-00008E060000}"/>
    <cellStyle name="20% - Accent1 4 3 2 2 2 2 2 2" xfId="40748" xr:uid="{00000000-0005-0000-0000-00008F060000}"/>
    <cellStyle name="20% - Accent1 4 3 2 2 2 2 3" xfId="30508" xr:uid="{00000000-0005-0000-0000-000090060000}"/>
    <cellStyle name="20% - Accent1 4 3 2 2 2 3" xfId="15148" xr:uid="{00000000-0005-0000-0000-000091060000}"/>
    <cellStyle name="20% - Accent1 4 3 2 2 2 3 2" xfId="35628" xr:uid="{00000000-0005-0000-0000-000092060000}"/>
    <cellStyle name="20% - Accent1 4 3 2 2 2 4" xfId="25388" xr:uid="{00000000-0005-0000-0000-000093060000}"/>
    <cellStyle name="20% - Accent1 4 3 2 2 3" xfId="7468" xr:uid="{00000000-0005-0000-0000-000094060000}"/>
    <cellStyle name="20% - Accent1 4 3 2 2 3 2" xfId="17708" xr:uid="{00000000-0005-0000-0000-000095060000}"/>
    <cellStyle name="20% - Accent1 4 3 2 2 3 2 2" xfId="38188" xr:uid="{00000000-0005-0000-0000-000096060000}"/>
    <cellStyle name="20% - Accent1 4 3 2 2 3 3" xfId="27948" xr:uid="{00000000-0005-0000-0000-000097060000}"/>
    <cellStyle name="20% - Accent1 4 3 2 2 4" xfId="12588" xr:uid="{00000000-0005-0000-0000-000098060000}"/>
    <cellStyle name="20% - Accent1 4 3 2 2 4 2" xfId="33068" xr:uid="{00000000-0005-0000-0000-000099060000}"/>
    <cellStyle name="20% - Accent1 4 3 2 2 5" xfId="22828" xr:uid="{00000000-0005-0000-0000-00009A060000}"/>
    <cellStyle name="20% - Accent1 4 3 2 3" xfId="3628" xr:uid="{00000000-0005-0000-0000-00009B060000}"/>
    <cellStyle name="20% - Accent1 4 3 2 3 2" xfId="8748" xr:uid="{00000000-0005-0000-0000-00009C060000}"/>
    <cellStyle name="20% - Accent1 4 3 2 3 2 2" xfId="18988" xr:uid="{00000000-0005-0000-0000-00009D060000}"/>
    <cellStyle name="20% - Accent1 4 3 2 3 2 2 2" xfId="39468" xr:uid="{00000000-0005-0000-0000-00009E060000}"/>
    <cellStyle name="20% - Accent1 4 3 2 3 2 3" xfId="29228" xr:uid="{00000000-0005-0000-0000-00009F060000}"/>
    <cellStyle name="20% - Accent1 4 3 2 3 3" xfId="13868" xr:uid="{00000000-0005-0000-0000-0000A0060000}"/>
    <cellStyle name="20% - Accent1 4 3 2 3 3 2" xfId="34348" xr:uid="{00000000-0005-0000-0000-0000A1060000}"/>
    <cellStyle name="20% - Accent1 4 3 2 3 4" xfId="24108" xr:uid="{00000000-0005-0000-0000-0000A2060000}"/>
    <cellStyle name="20% - Accent1 4 3 2 4" xfId="6188" xr:uid="{00000000-0005-0000-0000-0000A3060000}"/>
    <cellStyle name="20% - Accent1 4 3 2 4 2" xfId="16428" xr:uid="{00000000-0005-0000-0000-0000A4060000}"/>
    <cellStyle name="20% - Accent1 4 3 2 4 2 2" xfId="36908" xr:uid="{00000000-0005-0000-0000-0000A5060000}"/>
    <cellStyle name="20% - Accent1 4 3 2 4 3" xfId="26668" xr:uid="{00000000-0005-0000-0000-0000A6060000}"/>
    <cellStyle name="20% - Accent1 4 3 2 5" xfId="11308" xr:uid="{00000000-0005-0000-0000-0000A7060000}"/>
    <cellStyle name="20% - Accent1 4 3 2 5 2" xfId="31788" xr:uid="{00000000-0005-0000-0000-0000A8060000}"/>
    <cellStyle name="20% - Accent1 4 3 2 6" xfId="21548" xr:uid="{00000000-0005-0000-0000-0000A9060000}"/>
    <cellStyle name="20% - Accent1 4 3 3" xfId="1708" xr:uid="{00000000-0005-0000-0000-0000AA060000}"/>
    <cellStyle name="20% - Accent1 4 3 3 2" xfId="4268" xr:uid="{00000000-0005-0000-0000-0000AB060000}"/>
    <cellStyle name="20% - Accent1 4 3 3 2 2" xfId="9388" xr:uid="{00000000-0005-0000-0000-0000AC060000}"/>
    <cellStyle name="20% - Accent1 4 3 3 2 2 2" xfId="19628" xr:uid="{00000000-0005-0000-0000-0000AD060000}"/>
    <cellStyle name="20% - Accent1 4 3 3 2 2 2 2" xfId="40108" xr:uid="{00000000-0005-0000-0000-0000AE060000}"/>
    <cellStyle name="20% - Accent1 4 3 3 2 2 3" xfId="29868" xr:uid="{00000000-0005-0000-0000-0000AF060000}"/>
    <cellStyle name="20% - Accent1 4 3 3 2 3" xfId="14508" xr:uid="{00000000-0005-0000-0000-0000B0060000}"/>
    <cellStyle name="20% - Accent1 4 3 3 2 3 2" xfId="34988" xr:uid="{00000000-0005-0000-0000-0000B1060000}"/>
    <cellStyle name="20% - Accent1 4 3 3 2 4" xfId="24748" xr:uid="{00000000-0005-0000-0000-0000B2060000}"/>
    <cellStyle name="20% - Accent1 4 3 3 3" xfId="6828" xr:uid="{00000000-0005-0000-0000-0000B3060000}"/>
    <cellStyle name="20% - Accent1 4 3 3 3 2" xfId="17068" xr:uid="{00000000-0005-0000-0000-0000B4060000}"/>
    <cellStyle name="20% - Accent1 4 3 3 3 2 2" xfId="37548" xr:uid="{00000000-0005-0000-0000-0000B5060000}"/>
    <cellStyle name="20% - Accent1 4 3 3 3 3" xfId="27308" xr:uid="{00000000-0005-0000-0000-0000B6060000}"/>
    <cellStyle name="20% - Accent1 4 3 3 4" xfId="11948" xr:uid="{00000000-0005-0000-0000-0000B7060000}"/>
    <cellStyle name="20% - Accent1 4 3 3 4 2" xfId="32428" xr:uid="{00000000-0005-0000-0000-0000B8060000}"/>
    <cellStyle name="20% - Accent1 4 3 3 5" xfId="22188" xr:uid="{00000000-0005-0000-0000-0000B9060000}"/>
    <cellStyle name="20% - Accent1 4 3 4" xfId="2988" xr:uid="{00000000-0005-0000-0000-0000BA060000}"/>
    <cellStyle name="20% - Accent1 4 3 4 2" xfId="8108" xr:uid="{00000000-0005-0000-0000-0000BB060000}"/>
    <cellStyle name="20% - Accent1 4 3 4 2 2" xfId="18348" xr:uid="{00000000-0005-0000-0000-0000BC060000}"/>
    <cellStyle name="20% - Accent1 4 3 4 2 2 2" xfId="38828" xr:uid="{00000000-0005-0000-0000-0000BD060000}"/>
    <cellStyle name="20% - Accent1 4 3 4 2 3" xfId="28588" xr:uid="{00000000-0005-0000-0000-0000BE060000}"/>
    <cellStyle name="20% - Accent1 4 3 4 3" xfId="13228" xr:uid="{00000000-0005-0000-0000-0000BF060000}"/>
    <cellStyle name="20% - Accent1 4 3 4 3 2" xfId="33708" xr:uid="{00000000-0005-0000-0000-0000C0060000}"/>
    <cellStyle name="20% - Accent1 4 3 4 4" xfId="23468" xr:uid="{00000000-0005-0000-0000-0000C1060000}"/>
    <cellStyle name="20% - Accent1 4 3 5" xfId="5548" xr:uid="{00000000-0005-0000-0000-0000C2060000}"/>
    <cellStyle name="20% - Accent1 4 3 5 2" xfId="15788" xr:uid="{00000000-0005-0000-0000-0000C3060000}"/>
    <cellStyle name="20% - Accent1 4 3 5 2 2" xfId="36268" xr:uid="{00000000-0005-0000-0000-0000C4060000}"/>
    <cellStyle name="20% - Accent1 4 3 5 3" xfId="26028" xr:uid="{00000000-0005-0000-0000-0000C5060000}"/>
    <cellStyle name="20% - Accent1 4 3 6" xfId="10668" xr:uid="{00000000-0005-0000-0000-0000C6060000}"/>
    <cellStyle name="20% - Accent1 4 3 6 2" xfId="31148" xr:uid="{00000000-0005-0000-0000-0000C7060000}"/>
    <cellStyle name="20% - Accent1 4 3 7" xfId="20908" xr:uid="{00000000-0005-0000-0000-0000C8060000}"/>
    <cellStyle name="20% - Accent1 4 4" xfId="748" xr:uid="{00000000-0005-0000-0000-0000C9060000}"/>
    <cellStyle name="20% - Accent1 4 4 2" xfId="2028" xr:uid="{00000000-0005-0000-0000-0000CA060000}"/>
    <cellStyle name="20% - Accent1 4 4 2 2" xfId="4588" xr:uid="{00000000-0005-0000-0000-0000CB060000}"/>
    <cellStyle name="20% - Accent1 4 4 2 2 2" xfId="9708" xr:uid="{00000000-0005-0000-0000-0000CC060000}"/>
    <cellStyle name="20% - Accent1 4 4 2 2 2 2" xfId="19948" xr:uid="{00000000-0005-0000-0000-0000CD060000}"/>
    <cellStyle name="20% - Accent1 4 4 2 2 2 2 2" xfId="40428" xr:uid="{00000000-0005-0000-0000-0000CE060000}"/>
    <cellStyle name="20% - Accent1 4 4 2 2 2 3" xfId="30188" xr:uid="{00000000-0005-0000-0000-0000CF060000}"/>
    <cellStyle name="20% - Accent1 4 4 2 2 3" xfId="14828" xr:uid="{00000000-0005-0000-0000-0000D0060000}"/>
    <cellStyle name="20% - Accent1 4 4 2 2 3 2" xfId="35308" xr:uid="{00000000-0005-0000-0000-0000D1060000}"/>
    <cellStyle name="20% - Accent1 4 4 2 2 4" xfId="25068" xr:uid="{00000000-0005-0000-0000-0000D2060000}"/>
    <cellStyle name="20% - Accent1 4 4 2 3" xfId="7148" xr:uid="{00000000-0005-0000-0000-0000D3060000}"/>
    <cellStyle name="20% - Accent1 4 4 2 3 2" xfId="17388" xr:uid="{00000000-0005-0000-0000-0000D4060000}"/>
    <cellStyle name="20% - Accent1 4 4 2 3 2 2" xfId="37868" xr:uid="{00000000-0005-0000-0000-0000D5060000}"/>
    <cellStyle name="20% - Accent1 4 4 2 3 3" xfId="27628" xr:uid="{00000000-0005-0000-0000-0000D6060000}"/>
    <cellStyle name="20% - Accent1 4 4 2 4" xfId="12268" xr:uid="{00000000-0005-0000-0000-0000D7060000}"/>
    <cellStyle name="20% - Accent1 4 4 2 4 2" xfId="32748" xr:uid="{00000000-0005-0000-0000-0000D8060000}"/>
    <cellStyle name="20% - Accent1 4 4 2 5" xfId="22508" xr:uid="{00000000-0005-0000-0000-0000D9060000}"/>
    <cellStyle name="20% - Accent1 4 4 3" xfId="3308" xr:uid="{00000000-0005-0000-0000-0000DA060000}"/>
    <cellStyle name="20% - Accent1 4 4 3 2" xfId="8428" xr:uid="{00000000-0005-0000-0000-0000DB060000}"/>
    <cellStyle name="20% - Accent1 4 4 3 2 2" xfId="18668" xr:uid="{00000000-0005-0000-0000-0000DC060000}"/>
    <cellStyle name="20% - Accent1 4 4 3 2 2 2" xfId="39148" xr:uid="{00000000-0005-0000-0000-0000DD060000}"/>
    <cellStyle name="20% - Accent1 4 4 3 2 3" xfId="28908" xr:uid="{00000000-0005-0000-0000-0000DE060000}"/>
    <cellStyle name="20% - Accent1 4 4 3 3" xfId="13548" xr:uid="{00000000-0005-0000-0000-0000DF060000}"/>
    <cellStyle name="20% - Accent1 4 4 3 3 2" xfId="34028" xr:uid="{00000000-0005-0000-0000-0000E0060000}"/>
    <cellStyle name="20% - Accent1 4 4 3 4" xfId="23788" xr:uid="{00000000-0005-0000-0000-0000E1060000}"/>
    <cellStyle name="20% - Accent1 4 4 4" xfId="5868" xr:uid="{00000000-0005-0000-0000-0000E2060000}"/>
    <cellStyle name="20% - Accent1 4 4 4 2" xfId="16108" xr:uid="{00000000-0005-0000-0000-0000E3060000}"/>
    <cellStyle name="20% - Accent1 4 4 4 2 2" xfId="36588" xr:uid="{00000000-0005-0000-0000-0000E4060000}"/>
    <cellStyle name="20% - Accent1 4 4 4 3" xfId="26348" xr:uid="{00000000-0005-0000-0000-0000E5060000}"/>
    <cellStyle name="20% - Accent1 4 4 5" xfId="10988" xr:uid="{00000000-0005-0000-0000-0000E6060000}"/>
    <cellStyle name="20% - Accent1 4 4 5 2" xfId="31468" xr:uid="{00000000-0005-0000-0000-0000E7060000}"/>
    <cellStyle name="20% - Accent1 4 4 6" xfId="21228" xr:uid="{00000000-0005-0000-0000-0000E8060000}"/>
    <cellStyle name="20% - Accent1 4 5" xfId="1388" xr:uid="{00000000-0005-0000-0000-0000E9060000}"/>
    <cellStyle name="20% - Accent1 4 5 2" xfId="3948" xr:uid="{00000000-0005-0000-0000-0000EA060000}"/>
    <cellStyle name="20% - Accent1 4 5 2 2" xfId="9068" xr:uid="{00000000-0005-0000-0000-0000EB060000}"/>
    <cellStyle name="20% - Accent1 4 5 2 2 2" xfId="19308" xr:uid="{00000000-0005-0000-0000-0000EC060000}"/>
    <cellStyle name="20% - Accent1 4 5 2 2 2 2" xfId="39788" xr:uid="{00000000-0005-0000-0000-0000ED060000}"/>
    <cellStyle name="20% - Accent1 4 5 2 2 3" xfId="29548" xr:uid="{00000000-0005-0000-0000-0000EE060000}"/>
    <cellStyle name="20% - Accent1 4 5 2 3" xfId="14188" xr:uid="{00000000-0005-0000-0000-0000EF060000}"/>
    <cellStyle name="20% - Accent1 4 5 2 3 2" xfId="34668" xr:uid="{00000000-0005-0000-0000-0000F0060000}"/>
    <cellStyle name="20% - Accent1 4 5 2 4" xfId="24428" xr:uid="{00000000-0005-0000-0000-0000F1060000}"/>
    <cellStyle name="20% - Accent1 4 5 3" xfId="6508" xr:uid="{00000000-0005-0000-0000-0000F2060000}"/>
    <cellStyle name="20% - Accent1 4 5 3 2" xfId="16748" xr:uid="{00000000-0005-0000-0000-0000F3060000}"/>
    <cellStyle name="20% - Accent1 4 5 3 2 2" xfId="37228" xr:uid="{00000000-0005-0000-0000-0000F4060000}"/>
    <cellStyle name="20% - Accent1 4 5 3 3" xfId="26988" xr:uid="{00000000-0005-0000-0000-0000F5060000}"/>
    <cellStyle name="20% - Accent1 4 5 4" xfId="11628" xr:uid="{00000000-0005-0000-0000-0000F6060000}"/>
    <cellStyle name="20% - Accent1 4 5 4 2" xfId="32108" xr:uid="{00000000-0005-0000-0000-0000F7060000}"/>
    <cellStyle name="20% - Accent1 4 5 5" xfId="21868" xr:uid="{00000000-0005-0000-0000-0000F8060000}"/>
    <cellStyle name="20% - Accent1 4 6" xfId="2668" xr:uid="{00000000-0005-0000-0000-0000F9060000}"/>
    <cellStyle name="20% - Accent1 4 6 2" xfId="7788" xr:uid="{00000000-0005-0000-0000-0000FA060000}"/>
    <cellStyle name="20% - Accent1 4 6 2 2" xfId="18028" xr:uid="{00000000-0005-0000-0000-0000FB060000}"/>
    <cellStyle name="20% - Accent1 4 6 2 2 2" xfId="38508" xr:uid="{00000000-0005-0000-0000-0000FC060000}"/>
    <cellStyle name="20% - Accent1 4 6 2 3" xfId="28268" xr:uid="{00000000-0005-0000-0000-0000FD060000}"/>
    <cellStyle name="20% - Accent1 4 6 3" xfId="12908" xr:uid="{00000000-0005-0000-0000-0000FE060000}"/>
    <cellStyle name="20% - Accent1 4 6 3 2" xfId="33388" xr:uid="{00000000-0005-0000-0000-0000FF060000}"/>
    <cellStyle name="20% - Accent1 4 6 4" xfId="23148" xr:uid="{00000000-0005-0000-0000-000000070000}"/>
    <cellStyle name="20% - Accent1 4 7" xfId="5228" xr:uid="{00000000-0005-0000-0000-000001070000}"/>
    <cellStyle name="20% - Accent1 4 7 2" xfId="15468" xr:uid="{00000000-0005-0000-0000-000002070000}"/>
    <cellStyle name="20% - Accent1 4 7 2 2" xfId="35948" xr:uid="{00000000-0005-0000-0000-000003070000}"/>
    <cellStyle name="20% - Accent1 4 7 3" xfId="25708" xr:uid="{00000000-0005-0000-0000-000004070000}"/>
    <cellStyle name="20% - Accent1 4 8" xfId="10348" xr:uid="{00000000-0005-0000-0000-000005070000}"/>
    <cellStyle name="20% - Accent1 4 8 2" xfId="30828" xr:uid="{00000000-0005-0000-0000-000006070000}"/>
    <cellStyle name="20% - Accent1 4 9" xfId="20588" xr:uid="{00000000-0005-0000-0000-000007070000}"/>
    <cellStyle name="20% - Accent1 5" xfId="188" xr:uid="{00000000-0005-0000-0000-000008070000}"/>
    <cellStyle name="20% - Accent1 5 2" xfId="508" xr:uid="{00000000-0005-0000-0000-000009070000}"/>
    <cellStyle name="20% - Accent1 5 2 2" xfId="1148" xr:uid="{00000000-0005-0000-0000-00000A070000}"/>
    <cellStyle name="20% - Accent1 5 2 2 2" xfId="2428" xr:uid="{00000000-0005-0000-0000-00000B070000}"/>
    <cellStyle name="20% - Accent1 5 2 2 2 2" xfId="4988" xr:uid="{00000000-0005-0000-0000-00000C070000}"/>
    <cellStyle name="20% - Accent1 5 2 2 2 2 2" xfId="10108" xr:uid="{00000000-0005-0000-0000-00000D070000}"/>
    <cellStyle name="20% - Accent1 5 2 2 2 2 2 2" xfId="20348" xr:uid="{00000000-0005-0000-0000-00000E070000}"/>
    <cellStyle name="20% - Accent1 5 2 2 2 2 2 2 2" xfId="40828" xr:uid="{00000000-0005-0000-0000-00000F070000}"/>
    <cellStyle name="20% - Accent1 5 2 2 2 2 2 3" xfId="30588" xr:uid="{00000000-0005-0000-0000-000010070000}"/>
    <cellStyle name="20% - Accent1 5 2 2 2 2 3" xfId="15228" xr:uid="{00000000-0005-0000-0000-000011070000}"/>
    <cellStyle name="20% - Accent1 5 2 2 2 2 3 2" xfId="35708" xr:uid="{00000000-0005-0000-0000-000012070000}"/>
    <cellStyle name="20% - Accent1 5 2 2 2 2 4" xfId="25468" xr:uid="{00000000-0005-0000-0000-000013070000}"/>
    <cellStyle name="20% - Accent1 5 2 2 2 3" xfId="7548" xr:uid="{00000000-0005-0000-0000-000014070000}"/>
    <cellStyle name="20% - Accent1 5 2 2 2 3 2" xfId="17788" xr:uid="{00000000-0005-0000-0000-000015070000}"/>
    <cellStyle name="20% - Accent1 5 2 2 2 3 2 2" xfId="38268" xr:uid="{00000000-0005-0000-0000-000016070000}"/>
    <cellStyle name="20% - Accent1 5 2 2 2 3 3" xfId="28028" xr:uid="{00000000-0005-0000-0000-000017070000}"/>
    <cellStyle name="20% - Accent1 5 2 2 2 4" xfId="12668" xr:uid="{00000000-0005-0000-0000-000018070000}"/>
    <cellStyle name="20% - Accent1 5 2 2 2 4 2" xfId="33148" xr:uid="{00000000-0005-0000-0000-000019070000}"/>
    <cellStyle name="20% - Accent1 5 2 2 2 5" xfId="22908" xr:uid="{00000000-0005-0000-0000-00001A070000}"/>
    <cellStyle name="20% - Accent1 5 2 2 3" xfId="3708" xr:uid="{00000000-0005-0000-0000-00001B070000}"/>
    <cellStyle name="20% - Accent1 5 2 2 3 2" xfId="8828" xr:uid="{00000000-0005-0000-0000-00001C070000}"/>
    <cellStyle name="20% - Accent1 5 2 2 3 2 2" xfId="19068" xr:uid="{00000000-0005-0000-0000-00001D070000}"/>
    <cellStyle name="20% - Accent1 5 2 2 3 2 2 2" xfId="39548" xr:uid="{00000000-0005-0000-0000-00001E070000}"/>
    <cellStyle name="20% - Accent1 5 2 2 3 2 3" xfId="29308" xr:uid="{00000000-0005-0000-0000-00001F070000}"/>
    <cellStyle name="20% - Accent1 5 2 2 3 3" xfId="13948" xr:uid="{00000000-0005-0000-0000-000020070000}"/>
    <cellStyle name="20% - Accent1 5 2 2 3 3 2" xfId="34428" xr:uid="{00000000-0005-0000-0000-000021070000}"/>
    <cellStyle name="20% - Accent1 5 2 2 3 4" xfId="24188" xr:uid="{00000000-0005-0000-0000-000022070000}"/>
    <cellStyle name="20% - Accent1 5 2 2 4" xfId="6268" xr:uid="{00000000-0005-0000-0000-000023070000}"/>
    <cellStyle name="20% - Accent1 5 2 2 4 2" xfId="16508" xr:uid="{00000000-0005-0000-0000-000024070000}"/>
    <cellStyle name="20% - Accent1 5 2 2 4 2 2" xfId="36988" xr:uid="{00000000-0005-0000-0000-000025070000}"/>
    <cellStyle name="20% - Accent1 5 2 2 4 3" xfId="26748" xr:uid="{00000000-0005-0000-0000-000026070000}"/>
    <cellStyle name="20% - Accent1 5 2 2 5" xfId="11388" xr:uid="{00000000-0005-0000-0000-000027070000}"/>
    <cellStyle name="20% - Accent1 5 2 2 5 2" xfId="31868" xr:uid="{00000000-0005-0000-0000-000028070000}"/>
    <cellStyle name="20% - Accent1 5 2 2 6" xfId="21628" xr:uid="{00000000-0005-0000-0000-000029070000}"/>
    <cellStyle name="20% - Accent1 5 2 3" xfId="1788" xr:uid="{00000000-0005-0000-0000-00002A070000}"/>
    <cellStyle name="20% - Accent1 5 2 3 2" xfId="4348" xr:uid="{00000000-0005-0000-0000-00002B070000}"/>
    <cellStyle name="20% - Accent1 5 2 3 2 2" xfId="9468" xr:uid="{00000000-0005-0000-0000-00002C070000}"/>
    <cellStyle name="20% - Accent1 5 2 3 2 2 2" xfId="19708" xr:uid="{00000000-0005-0000-0000-00002D070000}"/>
    <cellStyle name="20% - Accent1 5 2 3 2 2 2 2" xfId="40188" xr:uid="{00000000-0005-0000-0000-00002E070000}"/>
    <cellStyle name="20% - Accent1 5 2 3 2 2 3" xfId="29948" xr:uid="{00000000-0005-0000-0000-00002F070000}"/>
    <cellStyle name="20% - Accent1 5 2 3 2 3" xfId="14588" xr:uid="{00000000-0005-0000-0000-000030070000}"/>
    <cellStyle name="20% - Accent1 5 2 3 2 3 2" xfId="35068" xr:uid="{00000000-0005-0000-0000-000031070000}"/>
    <cellStyle name="20% - Accent1 5 2 3 2 4" xfId="24828" xr:uid="{00000000-0005-0000-0000-000032070000}"/>
    <cellStyle name="20% - Accent1 5 2 3 3" xfId="6908" xr:uid="{00000000-0005-0000-0000-000033070000}"/>
    <cellStyle name="20% - Accent1 5 2 3 3 2" xfId="17148" xr:uid="{00000000-0005-0000-0000-000034070000}"/>
    <cellStyle name="20% - Accent1 5 2 3 3 2 2" xfId="37628" xr:uid="{00000000-0005-0000-0000-000035070000}"/>
    <cellStyle name="20% - Accent1 5 2 3 3 3" xfId="27388" xr:uid="{00000000-0005-0000-0000-000036070000}"/>
    <cellStyle name="20% - Accent1 5 2 3 4" xfId="12028" xr:uid="{00000000-0005-0000-0000-000037070000}"/>
    <cellStyle name="20% - Accent1 5 2 3 4 2" xfId="32508" xr:uid="{00000000-0005-0000-0000-000038070000}"/>
    <cellStyle name="20% - Accent1 5 2 3 5" xfId="22268" xr:uid="{00000000-0005-0000-0000-000039070000}"/>
    <cellStyle name="20% - Accent1 5 2 4" xfId="3068" xr:uid="{00000000-0005-0000-0000-00003A070000}"/>
    <cellStyle name="20% - Accent1 5 2 4 2" xfId="8188" xr:uid="{00000000-0005-0000-0000-00003B070000}"/>
    <cellStyle name="20% - Accent1 5 2 4 2 2" xfId="18428" xr:uid="{00000000-0005-0000-0000-00003C070000}"/>
    <cellStyle name="20% - Accent1 5 2 4 2 2 2" xfId="38908" xr:uid="{00000000-0005-0000-0000-00003D070000}"/>
    <cellStyle name="20% - Accent1 5 2 4 2 3" xfId="28668" xr:uid="{00000000-0005-0000-0000-00003E070000}"/>
    <cellStyle name="20% - Accent1 5 2 4 3" xfId="13308" xr:uid="{00000000-0005-0000-0000-00003F070000}"/>
    <cellStyle name="20% - Accent1 5 2 4 3 2" xfId="33788" xr:uid="{00000000-0005-0000-0000-000040070000}"/>
    <cellStyle name="20% - Accent1 5 2 4 4" xfId="23548" xr:uid="{00000000-0005-0000-0000-000041070000}"/>
    <cellStyle name="20% - Accent1 5 2 5" xfId="5628" xr:uid="{00000000-0005-0000-0000-000042070000}"/>
    <cellStyle name="20% - Accent1 5 2 5 2" xfId="15868" xr:uid="{00000000-0005-0000-0000-000043070000}"/>
    <cellStyle name="20% - Accent1 5 2 5 2 2" xfId="36348" xr:uid="{00000000-0005-0000-0000-000044070000}"/>
    <cellStyle name="20% - Accent1 5 2 5 3" xfId="26108" xr:uid="{00000000-0005-0000-0000-000045070000}"/>
    <cellStyle name="20% - Accent1 5 2 6" xfId="10748" xr:uid="{00000000-0005-0000-0000-000046070000}"/>
    <cellStyle name="20% - Accent1 5 2 6 2" xfId="31228" xr:uid="{00000000-0005-0000-0000-000047070000}"/>
    <cellStyle name="20% - Accent1 5 2 7" xfId="20988" xr:uid="{00000000-0005-0000-0000-000048070000}"/>
    <cellStyle name="20% - Accent1 5 3" xfId="828" xr:uid="{00000000-0005-0000-0000-000049070000}"/>
    <cellStyle name="20% - Accent1 5 3 2" xfId="2108" xr:uid="{00000000-0005-0000-0000-00004A070000}"/>
    <cellStyle name="20% - Accent1 5 3 2 2" xfId="4668" xr:uid="{00000000-0005-0000-0000-00004B070000}"/>
    <cellStyle name="20% - Accent1 5 3 2 2 2" xfId="9788" xr:uid="{00000000-0005-0000-0000-00004C070000}"/>
    <cellStyle name="20% - Accent1 5 3 2 2 2 2" xfId="20028" xr:uid="{00000000-0005-0000-0000-00004D070000}"/>
    <cellStyle name="20% - Accent1 5 3 2 2 2 2 2" xfId="40508" xr:uid="{00000000-0005-0000-0000-00004E070000}"/>
    <cellStyle name="20% - Accent1 5 3 2 2 2 3" xfId="30268" xr:uid="{00000000-0005-0000-0000-00004F070000}"/>
    <cellStyle name="20% - Accent1 5 3 2 2 3" xfId="14908" xr:uid="{00000000-0005-0000-0000-000050070000}"/>
    <cellStyle name="20% - Accent1 5 3 2 2 3 2" xfId="35388" xr:uid="{00000000-0005-0000-0000-000051070000}"/>
    <cellStyle name="20% - Accent1 5 3 2 2 4" xfId="25148" xr:uid="{00000000-0005-0000-0000-000052070000}"/>
    <cellStyle name="20% - Accent1 5 3 2 3" xfId="7228" xr:uid="{00000000-0005-0000-0000-000053070000}"/>
    <cellStyle name="20% - Accent1 5 3 2 3 2" xfId="17468" xr:uid="{00000000-0005-0000-0000-000054070000}"/>
    <cellStyle name="20% - Accent1 5 3 2 3 2 2" xfId="37948" xr:uid="{00000000-0005-0000-0000-000055070000}"/>
    <cellStyle name="20% - Accent1 5 3 2 3 3" xfId="27708" xr:uid="{00000000-0005-0000-0000-000056070000}"/>
    <cellStyle name="20% - Accent1 5 3 2 4" xfId="12348" xr:uid="{00000000-0005-0000-0000-000057070000}"/>
    <cellStyle name="20% - Accent1 5 3 2 4 2" xfId="32828" xr:uid="{00000000-0005-0000-0000-000058070000}"/>
    <cellStyle name="20% - Accent1 5 3 2 5" xfId="22588" xr:uid="{00000000-0005-0000-0000-000059070000}"/>
    <cellStyle name="20% - Accent1 5 3 3" xfId="3388" xr:uid="{00000000-0005-0000-0000-00005A070000}"/>
    <cellStyle name="20% - Accent1 5 3 3 2" xfId="8508" xr:uid="{00000000-0005-0000-0000-00005B070000}"/>
    <cellStyle name="20% - Accent1 5 3 3 2 2" xfId="18748" xr:uid="{00000000-0005-0000-0000-00005C070000}"/>
    <cellStyle name="20% - Accent1 5 3 3 2 2 2" xfId="39228" xr:uid="{00000000-0005-0000-0000-00005D070000}"/>
    <cellStyle name="20% - Accent1 5 3 3 2 3" xfId="28988" xr:uid="{00000000-0005-0000-0000-00005E070000}"/>
    <cellStyle name="20% - Accent1 5 3 3 3" xfId="13628" xr:uid="{00000000-0005-0000-0000-00005F070000}"/>
    <cellStyle name="20% - Accent1 5 3 3 3 2" xfId="34108" xr:uid="{00000000-0005-0000-0000-000060070000}"/>
    <cellStyle name="20% - Accent1 5 3 3 4" xfId="23868" xr:uid="{00000000-0005-0000-0000-000061070000}"/>
    <cellStyle name="20% - Accent1 5 3 4" xfId="5948" xr:uid="{00000000-0005-0000-0000-000062070000}"/>
    <cellStyle name="20% - Accent1 5 3 4 2" xfId="16188" xr:uid="{00000000-0005-0000-0000-000063070000}"/>
    <cellStyle name="20% - Accent1 5 3 4 2 2" xfId="36668" xr:uid="{00000000-0005-0000-0000-000064070000}"/>
    <cellStyle name="20% - Accent1 5 3 4 3" xfId="26428" xr:uid="{00000000-0005-0000-0000-000065070000}"/>
    <cellStyle name="20% - Accent1 5 3 5" xfId="11068" xr:uid="{00000000-0005-0000-0000-000066070000}"/>
    <cellStyle name="20% - Accent1 5 3 5 2" xfId="31548" xr:uid="{00000000-0005-0000-0000-000067070000}"/>
    <cellStyle name="20% - Accent1 5 3 6" xfId="21308" xr:uid="{00000000-0005-0000-0000-000068070000}"/>
    <cellStyle name="20% - Accent1 5 4" xfId="1468" xr:uid="{00000000-0005-0000-0000-000069070000}"/>
    <cellStyle name="20% - Accent1 5 4 2" xfId="4028" xr:uid="{00000000-0005-0000-0000-00006A070000}"/>
    <cellStyle name="20% - Accent1 5 4 2 2" xfId="9148" xr:uid="{00000000-0005-0000-0000-00006B070000}"/>
    <cellStyle name="20% - Accent1 5 4 2 2 2" xfId="19388" xr:uid="{00000000-0005-0000-0000-00006C070000}"/>
    <cellStyle name="20% - Accent1 5 4 2 2 2 2" xfId="39868" xr:uid="{00000000-0005-0000-0000-00006D070000}"/>
    <cellStyle name="20% - Accent1 5 4 2 2 3" xfId="29628" xr:uid="{00000000-0005-0000-0000-00006E070000}"/>
    <cellStyle name="20% - Accent1 5 4 2 3" xfId="14268" xr:uid="{00000000-0005-0000-0000-00006F070000}"/>
    <cellStyle name="20% - Accent1 5 4 2 3 2" xfId="34748" xr:uid="{00000000-0005-0000-0000-000070070000}"/>
    <cellStyle name="20% - Accent1 5 4 2 4" xfId="24508" xr:uid="{00000000-0005-0000-0000-000071070000}"/>
    <cellStyle name="20% - Accent1 5 4 3" xfId="6588" xr:uid="{00000000-0005-0000-0000-000072070000}"/>
    <cellStyle name="20% - Accent1 5 4 3 2" xfId="16828" xr:uid="{00000000-0005-0000-0000-000073070000}"/>
    <cellStyle name="20% - Accent1 5 4 3 2 2" xfId="37308" xr:uid="{00000000-0005-0000-0000-000074070000}"/>
    <cellStyle name="20% - Accent1 5 4 3 3" xfId="27068" xr:uid="{00000000-0005-0000-0000-000075070000}"/>
    <cellStyle name="20% - Accent1 5 4 4" xfId="11708" xr:uid="{00000000-0005-0000-0000-000076070000}"/>
    <cellStyle name="20% - Accent1 5 4 4 2" xfId="32188" xr:uid="{00000000-0005-0000-0000-000077070000}"/>
    <cellStyle name="20% - Accent1 5 4 5" xfId="21948" xr:uid="{00000000-0005-0000-0000-000078070000}"/>
    <cellStyle name="20% - Accent1 5 5" xfId="2748" xr:uid="{00000000-0005-0000-0000-000079070000}"/>
    <cellStyle name="20% - Accent1 5 5 2" xfId="7868" xr:uid="{00000000-0005-0000-0000-00007A070000}"/>
    <cellStyle name="20% - Accent1 5 5 2 2" xfId="18108" xr:uid="{00000000-0005-0000-0000-00007B070000}"/>
    <cellStyle name="20% - Accent1 5 5 2 2 2" xfId="38588" xr:uid="{00000000-0005-0000-0000-00007C070000}"/>
    <cellStyle name="20% - Accent1 5 5 2 3" xfId="28348" xr:uid="{00000000-0005-0000-0000-00007D070000}"/>
    <cellStyle name="20% - Accent1 5 5 3" xfId="12988" xr:uid="{00000000-0005-0000-0000-00007E070000}"/>
    <cellStyle name="20% - Accent1 5 5 3 2" xfId="33468" xr:uid="{00000000-0005-0000-0000-00007F070000}"/>
    <cellStyle name="20% - Accent1 5 5 4" xfId="23228" xr:uid="{00000000-0005-0000-0000-000080070000}"/>
    <cellStyle name="20% - Accent1 5 6" xfId="5308" xr:uid="{00000000-0005-0000-0000-000081070000}"/>
    <cellStyle name="20% - Accent1 5 6 2" xfId="15548" xr:uid="{00000000-0005-0000-0000-000082070000}"/>
    <cellStyle name="20% - Accent1 5 6 2 2" xfId="36028" xr:uid="{00000000-0005-0000-0000-000083070000}"/>
    <cellStyle name="20% - Accent1 5 6 3" xfId="25788" xr:uid="{00000000-0005-0000-0000-000084070000}"/>
    <cellStyle name="20% - Accent1 5 7" xfId="10428" xr:uid="{00000000-0005-0000-0000-000085070000}"/>
    <cellStyle name="20% - Accent1 5 7 2" xfId="30908" xr:uid="{00000000-0005-0000-0000-000086070000}"/>
    <cellStyle name="20% - Accent1 5 8" xfId="20668" xr:uid="{00000000-0005-0000-0000-000087070000}"/>
    <cellStyle name="20% - Accent1 6" xfId="348" xr:uid="{00000000-0005-0000-0000-000088070000}"/>
    <cellStyle name="20% - Accent1 6 2" xfId="988" xr:uid="{00000000-0005-0000-0000-000089070000}"/>
    <cellStyle name="20% - Accent1 6 2 2" xfId="2268" xr:uid="{00000000-0005-0000-0000-00008A070000}"/>
    <cellStyle name="20% - Accent1 6 2 2 2" xfId="4828" xr:uid="{00000000-0005-0000-0000-00008B070000}"/>
    <cellStyle name="20% - Accent1 6 2 2 2 2" xfId="9948" xr:uid="{00000000-0005-0000-0000-00008C070000}"/>
    <cellStyle name="20% - Accent1 6 2 2 2 2 2" xfId="20188" xr:uid="{00000000-0005-0000-0000-00008D070000}"/>
    <cellStyle name="20% - Accent1 6 2 2 2 2 2 2" xfId="40668" xr:uid="{00000000-0005-0000-0000-00008E070000}"/>
    <cellStyle name="20% - Accent1 6 2 2 2 2 3" xfId="30428" xr:uid="{00000000-0005-0000-0000-00008F070000}"/>
    <cellStyle name="20% - Accent1 6 2 2 2 3" xfId="15068" xr:uid="{00000000-0005-0000-0000-000090070000}"/>
    <cellStyle name="20% - Accent1 6 2 2 2 3 2" xfId="35548" xr:uid="{00000000-0005-0000-0000-000091070000}"/>
    <cellStyle name="20% - Accent1 6 2 2 2 4" xfId="25308" xr:uid="{00000000-0005-0000-0000-000092070000}"/>
    <cellStyle name="20% - Accent1 6 2 2 3" xfId="7388" xr:uid="{00000000-0005-0000-0000-000093070000}"/>
    <cellStyle name="20% - Accent1 6 2 2 3 2" xfId="17628" xr:uid="{00000000-0005-0000-0000-000094070000}"/>
    <cellStyle name="20% - Accent1 6 2 2 3 2 2" xfId="38108" xr:uid="{00000000-0005-0000-0000-000095070000}"/>
    <cellStyle name="20% - Accent1 6 2 2 3 3" xfId="27868" xr:uid="{00000000-0005-0000-0000-000096070000}"/>
    <cellStyle name="20% - Accent1 6 2 2 4" xfId="12508" xr:uid="{00000000-0005-0000-0000-000097070000}"/>
    <cellStyle name="20% - Accent1 6 2 2 4 2" xfId="32988" xr:uid="{00000000-0005-0000-0000-000098070000}"/>
    <cellStyle name="20% - Accent1 6 2 2 5" xfId="22748" xr:uid="{00000000-0005-0000-0000-000099070000}"/>
    <cellStyle name="20% - Accent1 6 2 3" xfId="3548" xr:uid="{00000000-0005-0000-0000-00009A070000}"/>
    <cellStyle name="20% - Accent1 6 2 3 2" xfId="8668" xr:uid="{00000000-0005-0000-0000-00009B070000}"/>
    <cellStyle name="20% - Accent1 6 2 3 2 2" xfId="18908" xr:uid="{00000000-0005-0000-0000-00009C070000}"/>
    <cellStyle name="20% - Accent1 6 2 3 2 2 2" xfId="39388" xr:uid="{00000000-0005-0000-0000-00009D070000}"/>
    <cellStyle name="20% - Accent1 6 2 3 2 3" xfId="29148" xr:uid="{00000000-0005-0000-0000-00009E070000}"/>
    <cellStyle name="20% - Accent1 6 2 3 3" xfId="13788" xr:uid="{00000000-0005-0000-0000-00009F070000}"/>
    <cellStyle name="20% - Accent1 6 2 3 3 2" xfId="34268" xr:uid="{00000000-0005-0000-0000-0000A0070000}"/>
    <cellStyle name="20% - Accent1 6 2 3 4" xfId="24028" xr:uid="{00000000-0005-0000-0000-0000A1070000}"/>
    <cellStyle name="20% - Accent1 6 2 4" xfId="6108" xr:uid="{00000000-0005-0000-0000-0000A2070000}"/>
    <cellStyle name="20% - Accent1 6 2 4 2" xfId="16348" xr:uid="{00000000-0005-0000-0000-0000A3070000}"/>
    <cellStyle name="20% - Accent1 6 2 4 2 2" xfId="36828" xr:uid="{00000000-0005-0000-0000-0000A4070000}"/>
    <cellStyle name="20% - Accent1 6 2 4 3" xfId="26588" xr:uid="{00000000-0005-0000-0000-0000A5070000}"/>
    <cellStyle name="20% - Accent1 6 2 5" xfId="11228" xr:uid="{00000000-0005-0000-0000-0000A6070000}"/>
    <cellStyle name="20% - Accent1 6 2 5 2" xfId="31708" xr:uid="{00000000-0005-0000-0000-0000A7070000}"/>
    <cellStyle name="20% - Accent1 6 2 6" xfId="21468" xr:uid="{00000000-0005-0000-0000-0000A8070000}"/>
    <cellStyle name="20% - Accent1 6 3" xfId="1628" xr:uid="{00000000-0005-0000-0000-0000A9070000}"/>
    <cellStyle name="20% - Accent1 6 3 2" xfId="4188" xr:uid="{00000000-0005-0000-0000-0000AA070000}"/>
    <cellStyle name="20% - Accent1 6 3 2 2" xfId="9308" xr:uid="{00000000-0005-0000-0000-0000AB070000}"/>
    <cellStyle name="20% - Accent1 6 3 2 2 2" xfId="19548" xr:uid="{00000000-0005-0000-0000-0000AC070000}"/>
    <cellStyle name="20% - Accent1 6 3 2 2 2 2" xfId="40028" xr:uid="{00000000-0005-0000-0000-0000AD070000}"/>
    <cellStyle name="20% - Accent1 6 3 2 2 3" xfId="29788" xr:uid="{00000000-0005-0000-0000-0000AE070000}"/>
    <cellStyle name="20% - Accent1 6 3 2 3" xfId="14428" xr:uid="{00000000-0005-0000-0000-0000AF070000}"/>
    <cellStyle name="20% - Accent1 6 3 2 3 2" xfId="34908" xr:uid="{00000000-0005-0000-0000-0000B0070000}"/>
    <cellStyle name="20% - Accent1 6 3 2 4" xfId="24668" xr:uid="{00000000-0005-0000-0000-0000B1070000}"/>
    <cellStyle name="20% - Accent1 6 3 3" xfId="6748" xr:uid="{00000000-0005-0000-0000-0000B2070000}"/>
    <cellStyle name="20% - Accent1 6 3 3 2" xfId="16988" xr:uid="{00000000-0005-0000-0000-0000B3070000}"/>
    <cellStyle name="20% - Accent1 6 3 3 2 2" xfId="37468" xr:uid="{00000000-0005-0000-0000-0000B4070000}"/>
    <cellStyle name="20% - Accent1 6 3 3 3" xfId="27228" xr:uid="{00000000-0005-0000-0000-0000B5070000}"/>
    <cellStyle name="20% - Accent1 6 3 4" xfId="11868" xr:uid="{00000000-0005-0000-0000-0000B6070000}"/>
    <cellStyle name="20% - Accent1 6 3 4 2" xfId="32348" xr:uid="{00000000-0005-0000-0000-0000B7070000}"/>
    <cellStyle name="20% - Accent1 6 3 5" xfId="22108" xr:uid="{00000000-0005-0000-0000-0000B8070000}"/>
    <cellStyle name="20% - Accent1 6 4" xfId="2908" xr:uid="{00000000-0005-0000-0000-0000B9070000}"/>
    <cellStyle name="20% - Accent1 6 4 2" xfId="8028" xr:uid="{00000000-0005-0000-0000-0000BA070000}"/>
    <cellStyle name="20% - Accent1 6 4 2 2" xfId="18268" xr:uid="{00000000-0005-0000-0000-0000BB070000}"/>
    <cellStyle name="20% - Accent1 6 4 2 2 2" xfId="38748" xr:uid="{00000000-0005-0000-0000-0000BC070000}"/>
    <cellStyle name="20% - Accent1 6 4 2 3" xfId="28508" xr:uid="{00000000-0005-0000-0000-0000BD070000}"/>
    <cellStyle name="20% - Accent1 6 4 3" xfId="13148" xr:uid="{00000000-0005-0000-0000-0000BE070000}"/>
    <cellStyle name="20% - Accent1 6 4 3 2" xfId="33628" xr:uid="{00000000-0005-0000-0000-0000BF070000}"/>
    <cellStyle name="20% - Accent1 6 4 4" xfId="23388" xr:uid="{00000000-0005-0000-0000-0000C0070000}"/>
    <cellStyle name="20% - Accent1 6 5" xfId="5468" xr:uid="{00000000-0005-0000-0000-0000C1070000}"/>
    <cellStyle name="20% - Accent1 6 5 2" xfId="15708" xr:uid="{00000000-0005-0000-0000-0000C2070000}"/>
    <cellStyle name="20% - Accent1 6 5 2 2" xfId="36188" xr:uid="{00000000-0005-0000-0000-0000C3070000}"/>
    <cellStyle name="20% - Accent1 6 5 3" xfId="25948" xr:uid="{00000000-0005-0000-0000-0000C4070000}"/>
    <cellStyle name="20% - Accent1 6 6" xfId="10588" xr:uid="{00000000-0005-0000-0000-0000C5070000}"/>
    <cellStyle name="20% - Accent1 6 6 2" xfId="31068" xr:uid="{00000000-0005-0000-0000-0000C6070000}"/>
    <cellStyle name="20% - Accent1 6 7" xfId="20828" xr:uid="{00000000-0005-0000-0000-0000C7070000}"/>
    <cellStyle name="20% - Accent1 7" xfId="668" xr:uid="{00000000-0005-0000-0000-0000C8070000}"/>
    <cellStyle name="20% - Accent1 7 2" xfId="1948" xr:uid="{00000000-0005-0000-0000-0000C9070000}"/>
    <cellStyle name="20% - Accent1 7 2 2" xfId="4508" xr:uid="{00000000-0005-0000-0000-0000CA070000}"/>
    <cellStyle name="20% - Accent1 7 2 2 2" xfId="9628" xr:uid="{00000000-0005-0000-0000-0000CB070000}"/>
    <cellStyle name="20% - Accent1 7 2 2 2 2" xfId="19868" xr:uid="{00000000-0005-0000-0000-0000CC070000}"/>
    <cellStyle name="20% - Accent1 7 2 2 2 2 2" xfId="40348" xr:uid="{00000000-0005-0000-0000-0000CD070000}"/>
    <cellStyle name="20% - Accent1 7 2 2 2 3" xfId="30108" xr:uid="{00000000-0005-0000-0000-0000CE070000}"/>
    <cellStyle name="20% - Accent1 7 2 2 3" xfId="14748" xr:uid="{00000000-0005-0000-0000-0000CF070000}"/>
    <cellStyle name="20% - Accent1 7 2 2 3 2" xfId="35228" xr:uid="{00000000-0005-0000-0000-0000D0070000}"/>
    <cellStyle name="20% - Accent1 7 2 2 4" xfId="24988" xr:uid="{00000000-0005-0000-0000-0000D1070000}"/>
    <cellStyle name="20% - Accent1 7 2 3" xfId="7068" xr:uid="{00000000-0005-0000-0000-0000D2070000}"/>
    <cellStyle name="20% - Accent1 7 2 3 2" xfId="17308" xr:uid="{00000000-0005-0000-0000-0000D3070000}"/>
    <cellStyle name="20% - Accent1 7 2 3 2 2" xfId="37788" xr:uid="{00000000-0005-0000-0000-0000D4070000}"/>
    <cellStyle name="20% - Accent1 7 2 3 3" xfId="27548" xr:uid="{00000000-0005-0000-0000-0000D5070000}"/>
    <cellStyle name="20% - Accent1 7 2 4" xfId="12188" xr:uid="{00000000-0005-0000-0000-0000D6070000}"/>
    <cellStyle name="20% - Accent1 7 2 4 2" xfId="32668" xr:uid="{00000000-0005-0000-0000-0000D7070000}"/>
    <cellStyle name="20% - Accent1 7 2 5" xfId="22428" xr:uid="{00000000-0005-0000-0000-0000D8070000}"/>
    <cellStyle name="20% - Accent1 7 3" xfId="3228" xr:uid="{00000000-0005-0000-0000-0000D9070000}"/>
    <cellStyle name="20% - Accent1 7 3 2" xfId="8348" xr:uid="{00000000-0005-0000-0000-0000DA070000}"/>
    <cellStyle name="20% - Accent1 7 3 2 2" xfId="18588" xr:uid="{00000000-0005-0000-0000-0000DB070000}"/>
    <cellStyle name="20% - Accent1 7 3 2 2 2" xfId="39068" xr:uid="{00000000-0005-0000-0000-0000DC070000}"/>
    <cellStyle name="20% - Accent1 7 3 2 3" xfId="28828" xr:uid="{00000000-0005-0000-0000-0000DD070000}"/>
    <cellStyle name="20% - Accent1 7 3 3" xfId="13468" xr:uid="{00000000-0005-0000-0000-0000DE070000}"/>
    <cellStyle name="20% - Accent1 7 3 3 2" xfId="33948" xr:uid="{00000000-0005-0000-0000-0000DF070000}"/>
    <cellStyle name="20% - Accent1 7 3 4" xfId="23708" xr:uid="{00000000-0005-0000-0000-0000E0070000}"/>
    <cellStyle name="20% - Accent1 7 4" xfId="5788" xr:uid="{00000000-0005-0000-0000-0000E1070000}"/>
    <cellStyle name="20% - Accent1 7 4 2" xfId="16028" xr:uid="{00000000-0005-0000-0000-0000E2070000}"/>
    <cellStyle name="20% - Accent1 7 4 2 2" xfId="36508" xr:uid="{00000000-0005-0000-0000-0000E3070000}"/>
    <cellStyle name="20% - Accent1 7 4 3" xfId="26268" xr:uid="{00000000-0005-0000-0000-0000E4070000}"/>
    <cellStyle name="20% - Accent1 7 5" xfId="10908" xr:uid="{00000000-0005-0000-0000-0000E5070000}"/>
    <cellStyle name="20% - Accent1 7 5 2" xfId="31388" xr:uid="{00000000-0005-0000-0000-0000E6070000}"/>
    <cellStyle name="20% - Accent1 7 6" xfId="21148" xr:uid="{00000000-0005-0000-0000-0000E7070000}"/>
    <cellStyle name="20% - Accent1 8" xfId="1308" xr:uid="{00000000-0005-0000-0000-0000E8070000}"/>
    <cellStyle name="20% - Accent1 8 2" xfId="3868" xr:uid="{00000000-0005-0000-0000-0000E9070000}"/>
    <cellStyle name="20% - Accent1 8 2 2" xfId="8988" xr:uid="{00000000-0005-0000-0000-0000EA070000}"/>
    <cellStyle name="20% - Accent1 8 2 2 2" xfId="19228" xr:uid="{00000000-0005-0000-0000-0000EB070000}"/>
    <cellStyle name="20% - Accent1 8 2 2 2 2" xfId="39708" xr:uid="{00000000-0005-0000-0000-0000EC070000}"/>
    <cellStyle name="20% - Accent1 8 2 2 3" xfId="29468" xr:uid="{00000000-0005-0000-0000-0000ED070000}"/>
    <cellStyle name="20% - Accent1 8 2 3" xfId="14108" xr:uid="{00000000-0005-0000-0000-0000EE070000}"/>
    <cellStyle name="20% - Accent1 8 2 3 2" xfId="34588" xr:uid="{00000000-0005-0000-0000-0000EF070000}"/>
    <cellStyle name="20% - Accent1 8 2 4" xfId="24348" xr:uid="{00000000-0005-0000-0000-0000F0070000}"/>
    <cellStyle name="20% - Accent1 8 3" xfId="6428" xr:uid="{00000000-0005-0000-0000-0000F1070000}"/>
    <cellStyle name="20% - Accent1 8 3 2" xfId="16668" xr:uid="{00000000-0005-0000-0000-0000F2070000}"/>
    <cellStyle name="20% - Accent1 8 3 2 2" xfId="37148" xr:uid="{00000000-0005-0000-0000-0000F3070000}"/>
    <cellStyle name="20% - Accent1 8 3 3" xfId="26908" xr:uid="{00000000-0005-0000-0000-0000F4070000}"/>
    <cellStyle name="20% - Accent1 8 4" xfId="11548" xr:uid="{00000000-0005-0000-0000-0000F5070000}"/>
    <cellStyle name="20% - Accent1 8 4 2" xfId="32028" xr:uid="{00000000-0005-0000-0000-0000F6070000}"/>
    <cellStyle name="20% - Accent1 8 5" xfId="21788" xr:uid="{00000000-0005-0000-0000-0000F7070000}"/>
    <cellStyle name="20% - Accent1 9" xfId="2588" xr:uid="{00000000-0005-0000-0000-0000F8070000}"/>
    <cellStyle name="20% - Accent1 9 2" xfId="7708" xr:uid="{00000000-0005-0000-0000-0000F9070000}"/>
    <cellStyle name="20% - Accent1 9 2 2" xfId="17948" xr:uid="{00000000-0005-0000-0000-0000FA070000}"/>
    <cellStyle name="20% - Accent1 9 2 2 2" xfId="38428" xr:uid="{00000000-0005-0000-0000-0000FB070000}"/>
    <cellStyle name="20% - Accent1 9 2 3" xfId="28188" xr:uid="{00000000-0005-0000-0000-0000FC070000}"/>
    <cellStyle name="20% - Accent1 9 3" xfId="12828" xr:uid="{00000000-0005-0000-0000-0000FD070000}"/>
    <cellStyle name="20% - Accent1 9 3 2" xfId="33308" xr:uid="{00000000-0005-0000-0000-0000FE070000}"/>
    <cellStyle name="20% - Accent1 9 4" xfId="23068" xr:uid="{00000000-0005-0000-0000-0000FF070000}"/>
    <cellStyle name="20% - Accent2 10" xfId="5151" xr:uid="{00000000-0005-0000-0000-000000080000}"/>
    <cellStyle name="20% - Accent2 10 2" xfId="15391" xr:uid="{00000000-0005-0000-0000-000001080000}"/>
    <cellStyle name="20% - Accent2 10 2 2" xfId="35871" xr:uid="{00000000-0005-0000-0000-000002080000}"/>
    <cellStyle name="20% - Accent2 10 3" xfId="25631" xr:uid="{00000000-0005-0000-0000-000003080000}"/>
    <cellStyle name="20% - Accent2 11" xfId="10271" xr:uid="{00000000-0005-0000-0000-000004080000}"/>
    <cellStyle name="20% - Accent2 11 2" xfId="30751" xr:uid="{00000000-0005-0000-0000-000005080000}"/>
    <cellStyle name="20% - Accent2 12" xfId="20511" xr:uid="{00000000-0005-0000-0000-000006080000}"/>
    <cellStyle name="20% - Accent2 13" xfId="27" xr:uid="{00000000-0005-0000-0000-000007080000}"/>
    <cellStyle name="20% - Accent2 2" xfId="51" xr:uid="{00000000-0005-0000-0000-000008080000}"/>
    <cellStyle name="20% - Accent2 2 10" xfId="10291" xr:uid="{00000000-0005-0000-0000-000009080000}"/>
    <cellStyle name="20% - Accent2 2 10 2" xfId="30771" xr:uid="{00000000-0005-0000-0000-00000A080000}"/>
    <cellStyle name="20% - Accent2 2 11" xfId="20531" xr:uid="{00000000-0005-0000-0000-00000B080000}"/>
    <cellStyle name="20% - Accent2 2 2" xfId="91" xr:uid="{00000000-0005-0000-0000-00000C080000}"/>
    <cellStyle name="20% - Accent2 2 2 10" xfId="20571" xr:uid="{00000000-0005-0000-0000-00000D080000}"/>
    <cellStyle name="20% - Accent2 2 2 2" xfId="171" xr:uid="{00000000-0005-0000-0000-00000E080000}"/>
    <cellStyle name="20% - Accent2 2 2 2 2" xfId="331" xr:uid="{00000000-0005-0000-0000-00000F080000}"/>
    <cellStyle name="20% - Accent2 2 2 2 2 2" xfId="651" xr:uid="{00000000-0005-0000-0000-000010080000}"/>
    <cellStyle name="20% - Accent2 2 2 2 2 2 2" xfId="1291" xr:uid="{00000000-0005-0000-0000-000011080000}"/>
    <cellStyle name="20% - Accent2 2 2 2 2 2 2 2" xfId="2571" xr:uid="{00000000-0005-0000-0000-000012080000}"/>
    <cellStyle name="20% - Accent2 2 2 2 2 2 2 2 2" xfId="5131" xr:uid="{00000000-0005-0000-0000-000013080000}"/>
    <cellStyle name="20% - Accent2 2 2 2 2 2 2 2 2 2" xfId="10251" xr:uid="{00000000-0005-0000-0000-000014080000}"/>
    <cellStyle name="20% - Accent2 2 2 2 2 2 2 2 2 2 2" xfId="20491" xr:uid="{00000000-0005-0000-0000-000015080000}"/>
    <cellStyle name="20% - Accent2 2 2 2 2 2 2 2 2 2 2 2" xfId="40971" xr:uid="{00000000-0005-0000-0000-000016080000}"/>
    <cellStyle name="20% - Accent2 2 2 2 2 2 2 2 2 2 3" xfId="30731" xr:uid="{00000000-0005-0000-0000-000017080000}"/>
    <cellStyle name="20% - Accent2 2 2 2 2 2 2 2 2 3" xfId="15371" xr:uid="{00000000-0005-0000-0000-000018080000}"/>
    <cellStyle name="20% - Accent2 2 2 2 2 2 2 2 2 3 2" xfId="35851" xr:uid="{00000000-0005-0000-0000-000019080000}"/>
    <cellStyle name="20% - Accent2 2 2 2 2 2 2 2 2 4" xfId="25611" xr:uid="{00000000-0005-0000-0000-00001A080000}"/>
    <cellStyle name="20% - Accent2 2 2 2 2 2 2 2 3" xfId="7691" xr:uid="{00000000-0005-0000-0000-00001B080000}"/>
    <cellStyle name="20% - Accent2 2 2 2 2 2 2 2 3 2" xfId="17931" xr:uid="{00000000-0005-0000-0000-00001C080000}"/>
    <cellStyle name="20% - Accent2 2 2 2 2 2 2 2 3 2 2" xfId="38411" xr:uid="{00000000-0005-0000-0000-00001D080000}"/>
    <cellStyle name="20% - Accent2 2 2 2 2 2 2 2 3 3" xfId="28171" xr:uid="{00000000-0005-0000-0000-00001E080000}"/>
    <cellStyle name="20% - Accent2 2 2 2 2 2 2 2 4" xfId="12811" xr:uid="{00000000-0005-0000-0000-00001F080000}"/>
    <cellStyle name="20% - Accent2 2 2 2 2 2 2 2 4 2" xfId="33291" xr:uid="{00000000-0005-0000-0000-000020080000}"/>
    <cellStyle name="20% - Accent2 2 2 2 2 2 2 2 5" xfId="23051" xr:uid="{00000000-0005-0000-0000-000021080000}"/>
    <cellStyle name="20% - Accent2 2 2 2 2 2 2 3" xfId="3851" xr:uid="{00000000-0005-0000-0000-000022080000}"/>
    <cellStyle name="20% - Accent2 2 2 2 2 2 2 3 2" xfId="8971" xr:uid="{00000000-0005-0000-0000-000023080000}"/>
    <cellStyle name="20% - Accent2 2 2 2 2 2 2 3 2 2" xfId="19211" xr:uid="{00000000-0005-0000-0000-000024080000}"/>
    <cellStyle name="20% - Accent2 2 2 2 2 2 2 3 2 2 2" xfId="39691" xr:uid="{00000000-0005-0000-0000-000025080000}"/>
    <cellStyle name="20% - Accent2 2 2 2 2 2 2 3 2 3" xfId="29451" xr:uid="{00000000-0005-0000-0000-000026080000}"/>
    <cellStyle name="20% - Accent2 2 2 2 2 2 2 3 3" xfId="14091" xr:uid="{00000000-0005-0000-0000-000027080000}"/>
    <cellStyle name="20% - Accent2 2 2 2 2 2 2 3 3 2" xfId="34571" xr:uid="{00000000-0005-0000-0000-000028080000}"/>
    <cellStyle name="20% - Accent2 2 2 2 2 2 2 3 4" xfId="24331" xr:uid="{00000000-0005-0000-0000-000029080000}"/>
    <cellStyle name="20% - Accent2 2 2 2 2 2 2 4" xfId="6411" xr:uid="{00000000-0005-0000-0000-00002A080000}"/>
    <cellStyle name="20% - Accent2 2 2 2 2 2 2 4 2" xfId="16651" xr:uid="{00000000-0005-0000-0000-00002B080000}"/>
    <cellStyle name="20% - Accent2 2 2 2 2 2 2 4 2 2" xfId="37131" xr:uid="{00000000-0005-0000-0000-00002C080000}"/>
    <cellStyle name="20% - Accent2 2 2 2 2 2 2 4 3" xfId="26891" xr:uid="{00000000-0005-0000-0000-00002D080000}"/>
    <cellStyle name="20% - Accent2 2 2 2 2 2 2 5" xfId="11531" xr:uid="{00000000-0005-0000-0000-00002E080000}"/>
    <cellStyle name="20% - Accent2 2 2 2 2 2 2 5 2" xfId="32011" xr:uid="{00000000-0005-0000-0000-00002F080000}"/>
    <cellStyle name="20% - Accent2 2 2 2 2 2 2 6" xfId="21771" xr:uid="{00000000-0005-0000-0000-000030080000}"/>
    <cellStyle name="20% - Accent2 2 2 2 2 2 3" xfId="1931" xr:uid="{00000000-0005-0000-0000-000031080000}"/>
    <cellStyle name="20% - Accent2 2 2 2 2 2 3 2" xfId="4491" xr:uid="{00000000-0005-0000-0000-000032080000}"/>
    <cellStyle name="20% - Accent2 2 2 2 2 2 3 2 2" xfId="9611" xr:uid="{00000000-0005-0000-0000-000033080000}"/>
    <cellStyle name="20% - Accent2 2 2 2 2 2 3 2 2 2" xfId="19851" xr:uid="{00000000-0005-0000-0000-000034080000}"/>
    <cellStyle name="20% - Accent2 2 2 2 2 2 3 2 2 2 2" xfId="40331" xr:uid="{00000000-0005-0000-0000-000035080000}"/>
    <cellStyle name="20% - Accent2 2 2 2 2 2 3 2 2 3" xfId="30091" xr:uid="{00000000-0005-0000-0000-000036080000}"/>
    <cellStyle name="20% - Accent2 2 2 2 2 2 3 2 3" xfId="14731" xr:uid="{00000000-0005-0000-0000-000037080000}"/>
    <cellStyle name="20% - Accent2 2 2 2 2 2 3 2 3 2" xfId="35211" xr:uid="{00000000-0005-0000-0000-000038080000}"/>
    <cellStyle name="20% - Accent2 2 2 2 2 2 3 2 4" xfId="24971" xr:uid="{00000000-0005-0000-0000-000039080000}"/>
    <cellStyle name="20% - Accent2 2 2 2 2 2 3 3" xfId="7051" xr:uid="{00000000-0005-0000-0000-00003A080000}"/>
    <cellStyle name="20% - Accent2 2 2 2 2 2 3 3 2" xfId="17291" xr:uid="{00000000-0005-0000-0000-00003B080000}"/>
    <cellStyle name="20% - Accent2 2 2 2 2 2 3 3 2 2" xfId="37771" xr:uid="{00000000-0005-0000-0000-00003C080000}"/>
    <cellStyle name="20% - Accent2 2 2 2 2 2 3 3 3" xfId="27531" xr:uid="{00000000-0005-0000-0000-00003D080000}"/>
    <cellStyle name="20% - Accent2 2 2 2 2 2 3 4" xfId="12171" xr:uid="{00000000-0005-0000-0000-00003E080000}"/>
    <cellStyle name="20% - Accent2 2 2 2 2 2 3 4 2" xfId="32651" xr:uid="{00000000-0005-0000-0000-00003F080000}"/>
    <cellStyle name="20% - Accent2 2 2 2 2 2 3 5" xfId="22411" xr:uid="{00000000-0005-0000-0000-000040080000}"/>
    <cellStyle name="20% - Accent2 2 2 2 2 2 4" xfId="3211" xr:uid="{00000000-0005-0000-0000-000041080000}"/>
    <cellStyle name="20% - Accent2 2 2 2 2 2 4 2" xfId="8331" xr:uid="{00000000-0005-0000-0000-000042080000}"/>
    <cellStyle name="20% - Accent2 2 2 2 2 2 4 2 2" xfId="18571" xr:uid="{00000000-0005-0000-0000-000043080000}"/>
    <cellStyle name="20% - Accent2 2 2 2 2 2 4 2 2 2" xfId="39051" xr:uid="{00000000-0005-0000-0000-000044080000}"/>
    <cellStyle name="20% - Accent2 2 2 2 2 2 4 2 3" xfId="28811" xr:uid="{00000000-0005-0000-0000-000045080000}"/>
    <cellStyle name="20% - Accent2 2 2 2 2 2 4 3" xfId="13451" xr:uid="{00000000-0005-0000-0000-000046080000}"/>
    <cellStyle name="20% - Accent2 2 2 2 2 2 4 3 2" xfId="33931" xr:uid="{00000000-0005-0000-0000-000047080000}"/>
    <cellStyle name="20% - Accent2 2 2 2 2 2 4 4" xfId="23691" xr:uid="{00000000-0005-0000-0000-000048080000}"/>
    <cellStyle name="20% - Accent2 2 2 2 2 2 5" xfId="5771" xr:uid="{00000000-0005-0000-0000-000049080000}"/>
    <cellStyle name="20% - Accent2 2 2 2 2 2 5 2" xfId="16011" xr:uid="{00000000-0005-0000-0000-00004A080000}"/>
    <cellStyle name="20% - Accent2 2 2 2 2 2 5 2 2" xfId="36491" xr:uid="{00000000-0005-0000-0000-00004B080000}"/>
    <cellStyle name="20% - Accent2 2 2 2 2 2 5 3" xfId="26251" xr:uid="{00000000-0005-0000-0000-00004C080000}"/>
    <cellStyle name="20% - Accent2 2 2 2 2 2 6" xfId="10891" xr:uid="{00000000-0005-0000-0000-00004D080000}"/>
    <cellStyle name="20% - Accent2 2 2 2 2 2 6 2" xfId="31371" xr:uid="{00000000-0005-0000-0000-00004E080000}"/>
    <cellStyle name="20% - Accent2 2 2 2 2 2 7" xfId="21131" xr:uid="{00000000-0005-0000-0000-00004F080000}"/>
    <cellStyle name="20% - Accent2 2 2 2 2 3" xfId="971" xr:uid="{00000000-0005-0000-0000-000050080000}"/>
    <cellStyle name="20% - Accent2 2 2 2 2 3 2" xfId="2251" xr:uid="{00000000-0005-0000-0000-000051080000}"/>
    <cellStyle name="20% - Accent2 2 2 2 2 3 2 2" xfId="4811" xr:uid="{00000000-0005-0000-0000-000052080000}"/>
    <cellStyle name="20% - Accent2 2 2 2 2 3 2 2 2" xfId="9931" xr:uid="{00000000-0005-0000-0000-000053080000}"/>
    <cellStyle name="20% - Accent2 2 2 2 2 3 2 2 2 2" xfId="20171" xr:uid="{00000000-0005-0000-0000-000054080000}"/>
    <cellStyle name="20% - Accent2 2 2 2 2 3 2 2 2 2 2" xfId="40651" xr:uid="{00000000-0005-0000-0000-000055080000}"/>
    <cellStyle name="20% - Accent2 2 2 2 2 3 2 2 2 3" xfId="30411" xr:uid="{00000000-0005-0000-0000-000056080000}"/>
    <cellStyle name="20% - Accent2 2 2 2 2 3 2 2 3" xfId="15051" xr:uid="{00000000-0005-0000-0000-000057080000}"/>
    <cellStyle name="20% - Accent2 2 2 2 2 3 2 2 3 2" xfId="35531" xr:uid="{00000000-0005-0000-0000-000058080000}"/>
    <cellStyle name="20% - Accent2 2 2 2 2 3 2 2 4" xfId="25291" xr:uid="{00000000-0005-0000-0000-000059080000}"/>
    <cellStyle name="20% - Accent2 2 2 2 2 3 2 3" xfId="7371" xr:uid="{00000000-0005-0000-0000-00005A080000}"/>
    <cellStyle name="20% - Accent2 2 2 2 2 3 2 3 2" xfId="17611" xr:uid="{00000000-0005-0000-0000-00005B080000}"/>
    <cellStyle name="20% - Accent2 2 2 2 2 3 2 3 2 2" xfId="38091" xr:uid="{00000000-0005-0000-0000-00005C080000}"/>
    <cellStyle name="20% - Accent2 2 2 2 2 3 2 3 3" xfId="27851" xr:uid="{00000000-0005-0000-0000-00005D080000}"/>
    <cellStyle name="20% - Accent2 2 2 2 2 3 2 4" xfId="12491" xr:uid="{00000000-0005-0000-0000-00005E080000}"/>
    <cellStyle name="20% - Accent2 2 2 2 2 3 2 4 2" xfId="32971" xr:uid="{00000000-0005-0000-0000-00005F080000}"/>
    <cellStyle name="20% - Accent2 2 2 2 2 3 2 5" xfId="22731" xr:uid="{00000000-0005-0000-0000-000060080000}"/>
    <cellStyle name="20% - Accent2 2 2 2 2 3 3" xfId="3531" xr:uid="{00000000-0005-0000-0000-000061080000}"/>
    <cellStyle name="20% - Accent2 2 2 2 2 3 3 2" xfId="8651" xr:uid="{00000000-0005-0000-0000-000062080000}"/>
    <cellStyle name="20% - Accent2 2 2 2 2 3 3 2 2" xfId="18891" xr:uid="{00000000-0005-0000-0000-000063080000}"/>
    <cellStyle name="20% - Accent2 2 2 2 2 3 3 2 2 2" xfId="39371" xr:uid="{00000000-0005-0000-0000-000064080000}"/>
    <cellStyle name="20% - Accent2 2 2 2 2 3 3 2 3" xfId="29131" xr:uid="{00000000-0005-0000-0000-000065080000}"/>
    <cellStyle name="20% - Accent2 2 2 2 2 3 3 3" xfId="13771" xr:uid="{00000000-0005-0000-0000-000066080000}"/>
    <cellStyle name="20% - Accent2 2 2 2 2 3 3 3 2" xfId="34251" xr:uid="{00000000-0005-0000-0000-000067080000}"/>
    <cellStyle name="20% - Accent2 2 2 2 2 3 3 4" xfId="24011" xr:uid="{00000000-0005-0000-0000-000068080000}"/>
    <cellStyle name="20% - Accent2 2 2 2 2 3 4" xfId="6091" xr:uid="{00000000-0005-0000-0000-000069080000}"/>
    <cellStyle name="20% - Accent2 2 2 2 2 3 4 2" xfId="16331" xr:uid="{00000000-0005-0000-0000-00006A080000}"/>
    <cellStyle name="20% - Accent2 2 2 2 2 3 4 2 2" xfId="36811" xr:uid="{00000000-0005-0000-0000-00006B080000}"/>
    <cellStyle name="20% - Accent2 2 2 2 2 3 4 3" xfId="26571" xr:uid="{00000000-0005-0000-0000-00006C080000}"/>
    <cellStyle name="20% - Accent2 2 2 2 2 3 5" xfId="11211" xr:uid="{00000000-0005-0000-0000-00006D080000}"/>
    <cellStyle name="20% - Accent2 2 2 2 2 3 5 2" xfId="31691" xr:uid="{00000000-0005-0000-0000-00006E080000}"/>
    <cellStyle name="20% - Accent2 2 2 2 2 3 6" xfId="21451" xr:uid="{00000000-0005-0000-0000-00006F080000}"/>
    <cellStyle name="20% - Accent2 2 2 2 2 4" xfId="1611" xr:uid="{00000000-0005-0000-0000-000070080000}"/>
    <cellStyle name="20% - Accent2 2 2 2 2 4 2" xfId="4171" xr:uid="{00000000-0005-0000-0000-000071080000}"/>
    <cellStyle name="20% - Accent2 2 2 2 2 4 2 2" xfId="9291" xr:uid="{00000000-0005-0000-0000-000072080000}"/>
    <cellStyle name="20% - Accent2 2 2 2 2 4 2 2 2" xfId="19531" xr:uid="{00000000-0005-0000-0000-000073080000}"/>
    <cellStyle name="20% - Accent2 2 2 2 2 4 2 2 2 2" xfId="40011" xr:uid="{00000000-0005-0000-0000-000074080000}"/>
    <cellStyle name="20% - Accent2 2 2 2 2 4 2 2 3" xfId="29771" xr:uid="{00000000-0005-0000-0000-000075080000}"/>
    <cellStyle name="20% - Accent2 2 2 2 2 4 2 3" xfId="14411" xr:uid="{00000000-0005-0000-0000-000076080000}"/>
    <cellStyle name="20% - Accent2 2 2 2 2 4 2 3 2" xfId="34891" xr:uid="{00000000-0005-0000-0000-000077080000}"/>
    <cellStyle name="20% - Accent2 2 2 2 2 4 2 4" xfId="24651" xr:uid="{00000000-0005-0000-0000-000078080000}"/>
    <cellStyle name="20% - Accent2 2 2 2 2 4 3" xfId="6731" xr:uid="{00000000-0005-0000-0000-000079080000}"/>
    <cellStyle name="20% - Accent2 2 2 2 2 4 3 2" xfId="16971" xr:uid="{00000000-0005-0000-0000-00007A080000}"/>
    <cellStyle name="20% - Accent2 2 2 2 2 4 3 2 2" xfId="37451" xr:uid="{00000000-0005-0000-0000-00007B080000}"/>
    <cellStyle name="20% - Accent2 2 2 2 2 4 3 3" xfId="27211" xr:uid="{00000000-0005-0000-0000-00007C080000}"/>
    <cellStyle name="20% - Accent2 2 2 2 2 4 4" xfId="11851" xr:uid="{00000000-0005-0000-0000-00007D080000}"/>
    <cellStyle name="20% - Accent2 2 2 2 2 4 4 2" xfId="32331" xr:uid="{00000000-0005-0000-0000-00007E080000}"/>
    <cellStyle name="20% - Accent2 2 2 2 2 4 5" xfId="22091" xr:uid="{00000000-0005-0000-0000-00007F080000}"/>
    <cellStyle name="20% - Accent2 2 2 2 2 5" xfId="2891" xr:uid="{00000000-0005-0000-0000-000080080000}"/>
    <cellStyle name="20% - Accent2 2 2 2 2 5 2" xfId="8011" xr:uid="{00000000-0005-0000-0000-000081080000}"/>
    <cellStyle name="20% - Accent2 2 2 2 2 5 2 2" xfId="18251" xr:uid="{00000000-0005-0000-0000-000082080000}"/>
    <cellStyle name="20% - Accent2 2 2 2 2 5 2 2 2" xfId="38731" xr:uid="{00000000-0005-0000-0000-000083080000}"/>
    <cellStyle name="20% - Accent2 2 2 2 2 5 2 3" xfId="28491" xr:uid="{00000000-0005-0000-0000-000084080000}"/>
    <cellStyle name="20% - Accent2 2 2 2 2 5 3" xfId="13131" xr:uid="{00000000-0005-0000-0000-000085080000}"/>
    <cellStyle name="20% - Accent2 2 2 2 2 5 3 2" xfId="33611" xr:uid="{00000000-0005-0000-0000-000086080000}"/>
    <cellStyle name="20% - Accent2 2 2 2 2 5 4" xfId="23371" xr:uid="{00000000-0005-0000-0000-000087080000}"/>
    <cellStyle name="20% - Accent2 2 2 2 2 6" xfId="5451" xr:uid="{00000000-0005-0000-0000-000088080000}"/>
    <cellStyle name="20% - Accent2 2 2 2 2 6 2" xfId="15691" xr:uid="{00000000-0005-0000-0000-000089080000}"/>
    <cellStyle name="20% - Accent2 2 2 2 2 6 2 2" xfId="36171" xr:uid="{00000000-0005-0000-0000-00008A080000}"/>
    <cellStyle name="20% - Accent2 2 2 2 2 6 3" xfId="25931" xr:uid="{00000000-0005-0000-0000-00008B080000}"/>
    <cellStyle name="20% - Accent2 2 2 2 2 7" xfId="10571" xr:uid="{00000000-0005-0000-0000-00008C080000}"/>
    <cellStyle name="20% - Accent2 2 2 2 2 7 2" xfId="31051" xr:uid="{00000000-0005-0000-0000-00008D080000}"/>
    <cellStyle name="20% - Accent2 2 2 2 2 8" xfId="20811" xr:uid="{00000000-0005-0000-0000-00008E080000}"/>
    <cellStyle name="20% - Accent2 2 2 2 3" xfId="491" xr:uid="{00000000-0005-0000-0000-00008F080000}"/>
    <cellStyle name="20% - Accent2 2 2 2 3 2" xfId="1131" xr:uid="{00000000-0005-0000-0000-000090080000}"/>
    <cellStyle name="20% - Accent2 2 2 2 3 2 2" xfId="2411" xr:uid="{00000000-0005-0000-0000-000091080000}"/>
    <cellStyle name="20% - Accent2 2 2 2 3 2 2 2" xfId="4971" xr:uid="{00000000-0005-0000-0000-000092080000}"/>
    <cellStyle name="20% - Accent2 2 2 2 3 2 2 2 2" xfId="10091" xr:uid="{00000000-0005-0000-0000-000093080000}"/>
    <cellStyle name="20% - Accent2 2 2 2 3 2 2 2 2 2" xfId="20331" xr:uid="{00000000-0005-0000-0000-000094080000}"/>
    <cellStyle name="20% - Accent2 2 2 2 3 2 2 2 2 2 2" xfId="40811" xr:uid="{00000000-0005-0000-0000-000095080000}"/>
    <cellStyle name="20% - Accent2 2 2 2 3 2 2 2 2 3" xfId="30571" xr:uid="{00000000-0005-0000-0000-000096080000}"/>
    <cellStyle name="20% - Accent2 2 2 2 3 2 2 2 3" xfId="15211" xr:uid="{00000000-0005-0000-0000-000097080000}"/>
    <cellStyle name="20% - Accent2 2 2 2 3 2 2 2 3 2" xfId="35691" xr:uid="{00000000-0005-0000-0000-000098080000}"/>
    <cellStyle name="20% - Accent2 2 2 2 3 2 2 2 4" xfId="25451" xr:uid="{00000000-0005-0000-0000-000099080000}"/>
    <cellStyle name="20% - Accent2 2 2 2 3 2 2 3" xfId="7531" xr:uid="{00000000-0005-0000-0000-00009A080000}"/>
    <cellStyle name="20% - Accent2 2 2 2 3 2 2 3 2" xfId="17771" xr:uid="{00000000-0005-0000-0000-00009B080000}"/>
    <cellStyle name="20% - Accent2 2 2 2 3 2 2 3 2 2" xfId="38251" xr:uid="{00000000-0005-0000-0000-00009C080000}"/>
    <cellStyle name="20% - Accent2 2 2 2 3 2 2 3 3" xfId="28011" xr:uid="{00000000-0005-0000-0000-00009D080000}"/>
    <cellStyle name="20% - Accent2 2 2 2 3 2 2 4" xfId="12651" xr:uid="{00000000-0005-0000-0000-00009E080000}"/>
    <cellStyle name="20% - Accent2 2 2 2 3 2 2 4 2" xfId="33131" xr:uid="{00000000-0005-0000-0000-00009F080000}"/>
    <cellStyle name="20% - Accent2 2 2 2 3 2 2 5" xfId="22891" xr:uid="{00000000-0005-0000-0000-0000A0080000}"/>
    <cellStyle name="20% - Accent2 2 2 2 3 2 3" xfId="3691" xr:uid="{00000000-0005-0000-0000-0000A1080000}"/>
    <cellStyle name="20% - Accent2 2 2 2 3 2 3 2" xfId="8811" xr:uid="{00000000-0005-0000-0000-0000A2080000}"/>
    <cellStyle name="20% - Accent2 2 2 2 3 2 3 2 2" xfId="19051" xr:uid="{00000000-0005-0000-0000-0000A3080000}"/>
    <cellStyle name="20% - Accent2 2 2 2 3 2 3 2 2 2" xfId="39531" xr:uid="{00000000-0005-0000-0000-0000A4080000}"/>
    <cellStyle name="20% - Accent2 2 2 2 3 2 3 2 3" xfId="29291" xr:uid="{00000000-0005-0000-0000-0000A5080000}"/>
    <cellStyle name="20% - Accent2 2 2 2 3 2 3 3" xfId="13931" xr:uid="{00000000-0005-0000-0000-0000A6080000}"/>
    <cellStyle name="20% - Accent2 2 2 2 3 2 3 3 2" xfId="34411" xr:uid="{00000000-0005-0000-0000-0000A7080000}"/>
    <cellStyle name="20% - Accent2 2 2 2 3 2 3 4" xfId="24171" xr:uid="{00000000-0005-0000-0000-0000A8080000}"/>
    <cellStyle name="20% - Accent2 2 2 2 3 2 4" xfId="6251" xr:uid="{00000000-0005-0000-0000-0000A9080000}"/>
    <cellStyle name="20% - Accent2 2 2 2 3 2 4 2" xfId="16491" xr:uid="{00000000-0005-0000-0000-0000AA080000}"/>
    <cellStyle name="20% - Accent2 2 2 2 3 2 4 2 2" xfId="36971" xr:uid="{00000000-0005-0000-0000-0000AB080000}"/>
    <cellStyle name="20% - Accent2 2 2 2 3 2 4 3" xfId="26731" xr:uid="{00000000-0005-0000-0000-0000AC080000}"/>
    <cellStyle name="20% - Accent2 2 2 2 3 2 5" xfId="11371" xr:uid="{00000000-0005-0000-0000-0000AD080000}"/>
    <cellStyle name="20% - Accent2 2 2 2 3 2 5 2" xfId="31851" xr:uid="{00000000-0005-0000-0000-0000AE080000}"/>
    <cellStyle name="20% - Accent2 2 2 2 3 2 6" xfId="21611" xr:uid="{00000000-0005-0000-0000-0000AF080000}"/>
    <cellStyle name="20% - Accent2 2 2 2 3 3" xfId="1771" xr:uid="{00000000-0005-0000-0000-0000B0080000}"/>
    <cellStyle name="20% - Accent2 2 2 2 3 3 2" xfId="4331" xr:uid="{00000000-0005-0000-0000-0000B1080000}"/>
    <cellStyle name="20% - Accent2 2 2 2 3 3 2 2" xfId="9451" xr:uid="{00000000-0005-0000-0000-0000B2080000}"/>
    <cellStyle name="20% - Accent2 2 2 2 3 3 2 2 2" xfId="19691" xr:uid="{00000000-0005-0000-0000-0000B3080000}"/>
    <cellStyle name="20% - Accent2 2 2 2 3 3 2 2 2 2" xfId="40171" xr:uid="{00000000-0005-0000-0000-0000B4080000}"/>
    <cellStyle name="20% - Accent2 2 2 2 3 3 2 2 3" xfId="29931" xr:uid="{00000000-0005-0000-0000-0000B5080000}"/>
    <cellStyle name="20% - Accent2 2 2 2 3 3 2 3" xfId="14571" xr:uid="{00000000-0005-0000-0000-0000B6080000}"/>
    <cellStyle name="20% - Accent2 2 2 2 3 3 2 3 2" xfId="35051" xr:uid="{00000000-0005-0000-0000-0000B7080000}"/>
    <cellStyle name="20% - Accent2 2 2 2 3 3 2 4" xfId="24811" xr:uid="{00000000-0005-0000-0000-0000B8080000}"/>
    <cellStyle name="20% - Accent2 2 2 2 3 3 3" xfId="6891" xr:uid="{00000000-0005-0000-0000-0000B9080000}"/>
    <cellStyle name="20% - Accent2 2 2 2 3 3 3 2" xfId="17131" xr:uid="{00000000-0005-0000-0000-0000BA080000}"/>
    <cellStyle name="20% - Accent2 2 2 2 3 3 3 2 2" xfId="37611" xr:uid="{00000000-0005-0000-0000-0000BB080000}"/>
    <cellStyle name="20% - Accent2 2 2 2 3 3 3 3" xfId="27371" xr:uid="{00000000-0005-0000-0000-0000BC080000}"/>
    <cellStyle name="20% - Accent2 2 2 2 3 3 4" xfId="12011" xr:uid="{00000000-0005-0000-0000-0000BD080000}"/>
    <cellStyle name="20% - Accent2 2 2 2 3 3 4 2" xfId="32491" xr:uid="{00000000-0005-0000-0000-0000BE080000}"/>
    <cellStyle name="20% - Accent2 2 2 2 3 3 5" xfId="22251" xr:uid="{00000000-0005-0000-0000-0000BF080000}"/>
    <cellStyle name="20% - Accent2 2 2 2 3 4" xfId="3051" xr:uid="{00000000-0005-0000-0000-0000C0080000}"/>
    <cellStyle name="20% - Accent2 2 2 2 3 4 2" xfId="8171" xr:uid="{00000000-0005-0000-0000-0000C1080000}"/>
    <cellStyle name="20% - Accent2 2 2 2 3 4 2 2" xfId="18411" xr:uid="{00000000-0005-0000-0000-0000C2080000}"/>
    <cellStyle name="20% - Accent2 2 2 2 3 4 2 2 2" xfId="38891" xr:uid="{00000000-0005-0000-0000-0000C3080000}"/>
    <cellStyle name="20% - Accent2 2 2 2 3 4 2 3" xfId="28651" xr:uid="{00000000-0005-0000-0000-0000C4080000}"/>
    <cellStyle name="20% - Accent2 2 2 2 3 4 3" xfId="13291" xr:uid="{00000000-0005-0000-0000-0000C5080000}"/>
    <cellStyle name="20% - Accent2 2 2 2 3 4 3 2" xfId="33771" xr:uid="{00000000-0005-0000-0000-0000C6080000}"/>
    <cellStyle name="20% - Accent2 2 2 2 3 4 4" xfId="23531" xr:uid="{00000000-0005-0000-0000-0000C7080000}"/>
    <cellStyle name="20% - Accent2 2 2 2 3 5" xfId="5611" xr:uid="{00000000-0005-0000-0000-0000C8080000}"/>
    <cellStyle name="20% - Accent2 2 2 2 3 5 2" xfId="15851" xr:uid="{00000000-0005-0000-0000-0000C9080000}"/>
    <cellStyle name="20% - Accent2 2 2 2 3 5 2 2" xfId="36331" xr:uid="{00000000-0005-0000-0000-0000CA080000}"/>
    <cellStyle name="20% - Accent2 2 2 2 3 5 3" xfId="26091" xr:uid="{00000000-0005-0000-0000-0000CB080000}"/>
    <cellStyle name="20% - Accent2 2 2 2 3 6" xfId="10731" xr:uid="{00000000-0005-0000-0000-0000CC080000}"/>
    <cellStyle name="20% - Accent2 2 2 2 3 6 2" xfId="31211" xr:uid="{00000000-0005-0000-0000-0000CD080000}"/>
    <cellStyle name="20% - Accent2 2 2 2 3 7" xfId="20971" xr:uid="{00000000-0005-0000-0000-0000CE080000}"/>
    <cellStyle name="20% - Accent2 2 2 2 4" xfId="811" xr:uid="{00000000-0005-0000-0000-0000CF080000}"/>
    <cellStyle name="20% - Accent2 2 2 2 4 2" xfId="2091" xr:uid="{00000000-0005-0000-0000-0000D0080000}"/>
    <cellStyle name="20% - Accent2 2 2 2 4 2 2" xfId="4651" xr:uid="{00000000-0005-0000-0000-0000D1080000}"/>
    <cellStyle name="20% - Accent2 2 2 2 4 2 2 2" xfId="9771" xr:uid="{00000000-0005-0000-0000-0000D2080000}"/>
    <cellStyle name="20% - Accent2 2 2 2 4 2 2 2 2" xfId="20011" xr:uid="{00000000-0005-0000-0000-0000D3080000}"/>
    <cellStyle name="20% - Accent2 2 2 2 4 2 2 2 2 2" xfId="40491" xr:uid="{00000000-0005-0000-0000-0000D4080000}"/>
    <cellStyle name="20% - Accent2 2 2 2 4 2 2 2 3" xfId="30251" xr:uid="{00000000-0005-0000-0000-0000D5080000}"/>
    <cellStyle name="20% - Accent2 2 2 2 4 2 2 3" xfId="14891" xr:uid="{00000000-0005-0000-0000-0000D6080000}"/>
    <cellStyle name="20% - Accent2 2 2 2 4 2 2 3 2" xfId="35371" xr:uid="{00000000-0005-0000-0000-0000D7080000}"/>
    <cellStyle name="20% - Accent2 2 2 2 4 2 2 4" xfId="25131" xr:uid="{00000000-0005-0000-0000-0000D8080000}"/>
    <cellStyle name="20% - Accent2 2 2 2 4 2 3" xfId="7211" xr:uid="{00000000-0005-0000-0000-0000D9080000}"/>
    <cellStyle name="20% - Accent2 2 2 2 4 2 3 2" xfId="17451" xr:uid="{00000000-0005-0000-0000-0000DA080000}"/>
    <cellStyle name="20% - Accent2 2 2 2 4 2 3 2 2" xfId="37931" xr:uid="{00000000-0005-0000-0000-0000DB080000}"/>
    <cellStyle name="20% - Accent2 2 2 2 4 2 3 3" xfId="27691" xr:uid="{00000000-0005-0000-0000-0000DC080000}"/>
    <cellStyle name="20% - Accent2 2 2 2 4 2 4" xfId="12331" xr:uid="{00000000-0005-0000-0000-0000DD080000}"/>
    <cellStyle name="20% - Accent2 2 2 2 4 2 4 2" xfId="32811" xr:uid="{00000000-0005-0000-0000-0000DE080000}"/>
    <cellStyle name="20% - Accent2 2 2 2 4 2 5" xfId="22571" xr:uid="{00000000-0005-0000-0000-0000DF080000}"/>
    <cellStyle name="20% - Accent2 2 2 2 4 3" xfId="3371" xr:uid="{00000000-0005-0000-0000-0000E0080000}"/>
    <cellStyle name="20% - Accent2 2 2 2 4 3 2" xfId="8491" xr:uid="{00000000-0005-0000-0000-0000E1080000}"/>
    <cellStyle name="20% - Accent2 2 2 2 4 3 2 2" xfId="18731" xr:uid="{00000000-0005-0000-0000-0000E2080000}"/>
    <cellStyle name="20% - Accent2 2 2 2 4 3 2 2 2" xfId="39211" xr:uid="{00000000-0005-0000-0000-0000E3080000}"/>
    <cellStyle name="20% - Accent2 2 2 2 4 3 2 3" xfId="28971" xr:uid="{00000000-0005-0000-0000-0000E4080000}"/>
    <cellStyle name="20% - Accent2 2 2 2 4 3 3" xfId="13611" xr:uid="{00000000-0005-0000-0000-0000E5080000}"/>
    <cellStyle name="20% - Accent2 2 2 2 4 3 3 2" xfId="34091" xr:uid="{00000000-0005-0000-0000-0000E6080000}"/>
    <cellStyle name="20% - Accent2 2 2 2 4 3 4" xfId="23851" xr:uid="{00000000-0005-0000-0000-0000E7080000}"/>
    <cellStyle name="20% - Accent2 2 2 2 4 4" xfId="5931" xr:uid="{00000000-0005-0000-0000-0000E8080000}"/>
    <cellStyle name="20% - Accent2 2 2 2 4 4 2" xfId="16171" xr:uid="{00000000-0005-0000-0000-0000E9080000}"/>
    <cellStyle name="20% - Accent2 2 2 2 4 4 2 2" xfId="36651" xr:uid="{00000000-0005-0000-0000-0000EA080000}"/>
    <cellStyle name="20% - Accent2 2 2 2 4 4 3" xfId="26411" xr:uid="{00000000-0005-0000-0000-0000EB080000}"/>
    <cellStyle name="20% - Accent2 2 2 2 4 5" xfId="11051" xr:uid="{00000000-0005-0000-0000-0000EC080000}"/>
    <cellStyle name="20% - Accent2 2 2 2 4 5 2" xfId="31531" xr:uid="{00000000-0005-0000-0000-0000ED080000}"/>
    <cellStyle name="20% - Accent2 2 2 2 4 6" xfId="21291" xr:uid="{00000000-0005-0000-0000-0000EE080000}"/>
    <cellStyle name="20% - Accent2 2 2 2 5" xfId="1451" xr:uid="{00000000-0005-0000-0000-0000EF080000}"/>
    <cellStyle name="20% - Accent2 2 2 2 5 2" xfId="4011" xr:uid="{00000000-0005-0000-0000-0000F0080000}"/>
    <cellStyle name="20% - Accent2 2 2 2 5 2 2" xfId="9131" xr:uid="{00000000-0005-0000-0000-0000F1080000}"/>
    <cellStyle name="20% - Accent2 2 2 2 5 2 2 2" xfId="19371" xr:uid="{00000000-0005-0000-0000-0000F2080000}"/>
    <cellStyle name="20% - Accent2 2 2 2 5 2 2 2 2" xfId="39851" xr:uid="{00000000-0005-0000-0000-0000F3080000}"/>
    <cellStyle name="20% - Accent2 2 2 2 5 2 2 3" xfId="29611" xr:uid="{00000000-0005-0000-0000-0000F4080000}"/>
    <cellStyle name="20% - Accent2 2 2 2 5 2 3" xfId="14251" xr:uid="{00000000-0005-0000-0000-0000F5080000}"/>
    <cellStyle name="20% - Accent2 2 2 2 5 2 3 2" xfId="34731" xr:uid="{00000000-0005-0000-0000-0000F6080000}"/>
    <cellStyle name="20% - Accent2 2 2 2 5 2 4" xfId="24491" xr:uid="{00000000-0005-0000-0000-0000F7080000}"/>
    <cellStyle name="20% - Accent2 2 2 2 5 3" xfId="6571" xr:uid="{00000000-0005-0000-0000-0000F8080000}"/>
    <cellStyle name="20% - Accent2 2 2 2 5 3 2" xfId="16811" xr:uid="{00000000-0005-0000-0000-0000F9080000}"/>
    <cellStyle name="20% - Accent2 2 2 2 5 3 2 2" xfId="37291" xr:uid="{00000000-0005-0000-0000-0000FA080000}"/>
    <cellStyle name="20% - Accent2 2 2 2 5 3 3" xfId="27051" xr:uid="{00000000-0005-0000-0000-0000FB080000}"/>
    <cellStyle name="20% - Accent2 2 2 2 5 4" xfId="11691" xr:uid="{00000000-0005-0000-0000-0000FC080000}"/>
    <cellStyle name="20% - Accent2 2 2 2 5 4 2" xfId="32171" xr:uid="{00000000-0005-0000-0000-0000FD080000}"/>
    <cellStyle name="20% - Accent2 2 2 2 5 5" xfId="21931" xr:uid="{00000000-0005-0000-0000-0000FE080000}"/>
    <cellStyle name="20% - Accent2 2 2 2 6" xfId="2731" xr:uid="{00000000-0005-0000-0000-0000FF080000}"/>
    <cellStyle name="20% - Accent2 2 2 2 6 2" xfId="7851" xr:uid="{00000000-0005-0000-0000-000000090000}"/>
    <cellStyle name="20% - Accent2 2 2 2 6 2 2" xfId="18091" xr:uid="{00000000-0005-0000-0000-000001090000}"/>
    <cellStyle name="20% - Accent2 2 2 2 6 2 2 2" xfId="38571" xr:uid="{00000000-0005-0000-0000-000002090000}"/>
    <cellStyle name="20% - Accent2 2 2 2 6 2 3" xfId="28331" xr:uid="{00000000-0005-0000-0000-000003090000}"/>
    <cellStyle name="20% - Accent2 2 2 2 6 3" xfId="12971" xr:uid="{00000000-0005-0000-0000-000004090000}"/>
    <cellStyle name="20% - Accent2 2 2 2 6 3 2" xfId="33451" xr:uid="{00000000-0005-0000-0000-000005090000}"/>
    <cellStyle name="20% - Accent2 2 2 2 6 4" xfId="23211" xr:uid="{00000000-0005-0000-0000-000006090000}"/>
    <cellStyle name="20% - Accent2 2 2 2 7" xfId="5291" xr:uid="{00000000-0005-0000-0000-000007090000}"/>
    <cellStyle name="20% - Accent2 2 2 2 7 2" xfId="15531" xr:uid="{00000000-0005-0000-0000-000008090000}"/>
    <cellStyle name="20% - Accent2 2 2 2 7 2 2" xfId="36011" xr:uid="{00000000-0005-0000-0000-000009090000}"/>
    <cellStyle name="20% - Accent2 2 2 2 7 3" xfId="25771" xr:uid="{00000000-0005-0000-0000-00000A090000}"/>
    <cellStyle name="20% - Accent2 2 2 2 8" xfId="10411" xr:uid="{00000000-0005-0000-0000-00000B090000}"/>
    <cellStyle name="20% - Accent2 2 2 2 8 2" xfId="30891" xr:uid="{00000000-0005-0000-0000-00000C090000}"/>
    <cellStyle name="20% - Accent2 2 2 2 9" xfId="20651" xr:uid="{00000000-0005-0000-0000-00000D090000}"/>
    <cellStyle name="20% - Accent2 2 2 3" xfId="251" xr:uid="{00000000-0005-0000-0000-00000E090000}"/>
    <cellStyle name="20% - Accent2 2 2 3 2" xfId="571" xr:uid="{00000000-0005-0000-0000-00000F090000}"/>
    <cellStyle name="20% - Accent2 2 2 3 2 2" xfId="1211" xr:uid="{00000000-0005-0000-0000-000010090000}"/>
    <cellStyle name="20% - Accent2 2 2 3 2 2 2" xfId="2491" xr:uid="{00000000-0005-0000-0000-000011090000}"/>
    <cellStyle name="20% - Accent2 2 2 3 2 2 2 2" xfId="5051" xr:uid="{00000000-0005-0000-0000-000012090000}"/>
    <cellStyle name="20% - Accent2 2 2 3 2 2 2 2 2" xfId="10171" xr:uid="{00000000-0005-0000-0000-000013090000}"/>
    <cellStyle name="20% - Accent2 2 2 3 2 2 2 2 2 2" xfId="20411" xr:uid="{00000000-0005-0000-0000-000014090000}"/>
    <cellStyle name="20% - Accent2 2 2 3 2 2 2 2 2 2 2" xfId="40891" xr:uid="{00000000-0005-0000-0000-000015090000}"/>
    <cellStyle name="20% - Accent2 2 2 3 2 2 2 2 2 3" xfId="30651" xr:uid="{00000000-0005-0000-0000-000016090000}"/>
    <cellStyle name="20% - Accent2 2 2 3 2 2 2 2 3" xfId="15291" xr:uid="{00000000-0005-0000-0000-000017090000}"/>
    <cellStyle name="20% - Accent2 2 2 3 2 2 2 2 3 2" xfId="35771" xr:uid="{00000000-0005-0000-0000-000018090000}"/>
    <cellStyle name="20% - Accent2 2 2 3 2 2 2 2 4" xfId="25531" xr:uid="{00000000-0005-0000-0000-000019090000}"/>
    <cellStyle name="20% - Accent2 2 2 3 2 2 2 3" xfId="7611" xr:uid="{00000000-0005-0000-0000-00001A090000}"/>
    <cellStyle name="20% - Accent2 2 2 3 2 2 2 3 2" xfId="17851" xr:uid="{00000000-0005-0000-0000-00001B090000}"/>
    <cellStyle name="20% - Accent2 2 2 3 2 2 2 3 2 2" xfId="38331" xr:uid="{00000000-0005-0000-0000-00001C090000}"/>
    <cellStyle name="20% - Accent2 2 2 3 2 2 2 3 3" xfId="28091" xr:uid="{00000000-0005-0000-0000-00001D090000}"/>
    <cellStyle name="20% - Accent2 2 2 3 2 2 2 4" xfId="12731" xr:uid="{00000000-0005-0000-0000-00001E090000}"/>
    <cellStyle name="20% - Accent2 2 2 3 2 2 2 4 2" xfId="33211" xr:uid="{00000000-0005-0000-0000-00001F090000}"/>
    <cellStyle name="20% - Accent2 2 2 3 2 2 2 5" xfId="22971" xr:uid="{00000000-0005-0000-0000-000020090000}"/>
    <cellStyle name="20% - Accent2 2 2 3 2 2 3" xfId="3771" xr:uid="{00000000-0005-0000-0000-000021090000}"/>
    <cellStyle name="20% - Accent2 2 2 3 2 2 3 2" xfId="8891" xr:uid="{00000000-0005-0000-0000-000022090000}"/>
    <cellStyle name="20% - Accent2 2 2 3 2 2 3 2 2" xfId="19131" xr:uid="{00000000-0005-0000-0000-000023090000}"/>
    <cellStyle name="20% - Accent2 2 2 3 2 2 3 2 2 2" xfId="39611" xr:uid="{00000000-0005-0000-0000-000024090000}"/>
    <cellStyle name="20% - Accent2 2 2 3 2 2 3 2 3" xfId="29371" xr:uid="{00000000-0005-0000-0000-000025090000}"/>
    <cellStyle name="20% - Accent2 2 2 3 2 2 3 3" xfId="14011" xr:uid="{00000000-0005-0000-0000-000026090000}"/>
    <cellStyle name="20% - Accent2 2 2 3 2 2 3 3 2" xfId="34491" xr:uid="{00000000-0005-0000-0000-000027090000}"/>
    <cellStyle name="20% - Accent2 2 2 3 2 2 3 4" xfId="24251" xr:uid="{00000000-0005-0000-0000-000028090000}"/>
    <cellStyle name="20% - Accent2 2 2 3 2 2 4" xfId="6331" xr:uid="{00000000-0005-0000-0000-000029090000}"/>
    <cellStyle name="20% - Accent2 2 2 3 2 2 4 2" xfId="16571" xr:uid="{00000000-0005-0000-0000-00002A090000}"/>
    <cellStyle name="20% - Accent2 2 2 3 2 2 4 2 2" xfId="37051" xr:uid="{00000000-0005-0000-0000-00002B090000}"/>
    <cellStyle name="20% - Accent2 2 2 3 2 2 4 3" xfId="26811" xr:uid="{00000000-0005-0000-0000-00002C090000}"/>
    <cellStyle name="20% - Accent2 2 2 3 2 2 5" xfId="11451" xr:uid="{00000000-0005-0000-0000-00002D090000}"/>
    <cellStyle name="20% - Accent2 2 2 3 2 2 5 2" xfId="31931" xr:uid="{00000000-0005-0000-0000-00002E090000}"/>
    <cellStyle name="20% - Accent2 2 2 3 2 2 6" xfId="21691" xr:uid="{00000000-0005-0000-0000-00002F090000}"/>
    <cellStyle name="20% - Accent2 2 2 3 2 3" xfId="1851" xr:uid="{00000000-0005-0000-0000-000030090000}"/>
    <cellStyle name="20% - Accent2 2 2 3 2 3 2" xfId="4411" xr:uid="{00000000-0005-0000-0000-000031090000}"/>
    <cellStyle name="20% - Accent2 2 2 3 2 3 2 2" xfId="9531" xr:uid="{00000000-0005-0000-0000-000032090000}"/>
    <cellStyle name="20% - Accent2 2 2 3 2 3 2 2 2" xfId="19771" xr:uid="{00000000-0005-0000-0000-000033090000}"/>
    <cellStyle name="20% - Accent2 2 2 3 2 3 2 2 2 2" xfId="40251" xr:uid="{00000000-0005-0000-0000-000034090000}"/>
    <cellStyle name="20% - Accent2 2 2 3 2 3 2 2 3" xfId="30011" xr:uid="{00000000-0005-0000-0000-000035090000}"/>
    <cellStyle name="20% - Accent2 2 2 3 2 3 2 3" xfId="14651" xr:uid="{00000000-0005-0000-0000-000036090000}"/>
    <cellStyle name="20% - Accent2 2 2 3 2 3 2 3 2" xfId="35131" xr:uid="{00000000-0005-0000-0000-000037090000}"/>
    <cellStyle name="20% - Accent2 2 2 3 2 3 2 4" xfId="24891" xr:uid="{00000000-0005-0000-0000-000038090000}"/>
    <cellStyle name="20% - Accent2 2 2 3 2 3 3" xfId="6971" xr:uid="{00000000-0005-0000-0000-000039090000}"/>
    <cellStyle name="20% - Accent2 2 2 3 2 3 3 2" xfId="17211" xr:uid="{00000000-0005-0000-0000-00003A090000}"/>
    <cellStyle name="20% - Accent2 2 2 3 2 3 3 2 2" xfId="37691" xr:uid="{00000000-0005-0000-0000-00003B090000}"/>
    <cellStyle name="20% - Accent2 2 2 3 2 3 3 3" xfId="27451" xr:uid="{00000000-0005-0000-0000-00003C090000}"/>
    <cellStyle name="20% - Accent2 2 2 3 2 3 4" xfId="12091" xr:uid="{00000000-0005-0000-0000-00003D090000}"/>
    <cellStyle name="20% - Accent2 2 2 3 2 3 4 2" xfId="32571" xr:uid="{00000000-0005-0000-0000-00003E090000}"/>
    <cellStyle name="20% - Accent2 2 2 3 2 3 5" xfId="22331" xr:uid="{00000000-0005-0000-0000-00003F090000}"/>
    <cellStyle name="20% - Accent2 2 2 3 2 4" xfId="3131" xr:uid="{00000000-0005-0000-0000-000040090000}"/>
    <cellStyle name="20% - Accent2 2 2 3 2 4 2" xfId="8251" xr:uid="{00000000-0005-0000-0000-000041090000}"/>
    <cellStyle name="20% - Accent2 2 2 3 2 4 2 2" xfId="18491" xr:uid="{00000000-0005-0000-0000-000042090000}"/>
    <cellStyle name="20% - Accent2 2 2 3 2 4 2 2 2" xfId="38971" xr:uid="{00000000-0005-0000-0000-000043090000}"/>
    <cellStyle name="20% - Accent2 2 2 3 2 4 2 3" xfId="28731" xr:uid="{00000000-0005-0000-0000-000044090000}"/>
    <cellStyle name="20% - Accent2 2 2 3 2 4 3" xfId="13371" xr:uid="{00000000-0005-0000-0000-000045090000}"/>
    <cellStyle name="20% - Accent2 2 2 3 2 4 3 2" xfId="33851" xr:uid="{00000000-0005-0000-0000-000046090000}"/>
    <cellStyle name="20% - Accent2 2 2 3 2 4 4" xfId="23611" xr:uid="{00000000-0005-0000-0000-000047090000}"/>
    <cellStyle name="20% - Accent2 2 2 3 2 5" xfId="5691" xr:uid="{00000000-0005-0000-0000-000048090000}"/>
    <cellStyle name="20% - Accent2 2 2 3 2 5 2" xfId="15931" xr:uid="{00000000-0005-0000-0000-000049090000}"/>
    <cellStyle name="20% - Accent2 2 2 3 2 5 2 2" xfId="36411" xr:uid="{00000000-0005-0000-0000-00004A090000}"/>
    <cellStyle name="20% - Accent2 2 2 3 2 5 3" xfId="26171" xr:uid="{00000000-0005-0000-0000-00004B090000}"/>
    <cellStyle name="20% - Accent2 2 2 3 2 6" xfId="10811" xr:uid="{00000000-0005-0000-0000-00004C090000}"/>
    <cellStyle name="20% - Accent2 2 2 3 2 6 2" xfId="31291" xr:uid="{00000000-0005-0000-0000-00004D090000}"/>
    <cellStyle name="20% - Accent2 2 2 3 2 7" xfId="21051" xr:uid="{00000000-0005-0000-0000-00004E090000}"/>
    <cellStyle name="20% - Accent2 2 2 3 3" xfId="891" xr:uid="{00000000-0005-0000-0000-00004F090000}"/>
    <cellStyle name="20% - Accent2 2 2 3 3 2" xfId="2171" xr:uid="{00000000-0005-0000-0000-000050090000}"/>
    <cellStyle name="20% - Accent2 2 2 3 3 2 2" xfId="4731" xr:uid="{00000000-0005-0000-0000-000051090000}"/>
    <cellStyle name="20% - Accent2 2 2 3 3 2 2 2" xfId="9851" xr:uid="{00000000-0005-0000-0000-000052090000}"/>
    <cellStyle name="20% - Accent2 2 2 3 3 2 2 2 2" xfId="20091" xr:uid="{00000000-0005-0000-0000-000053090000}"/>
    <cellStyle name="20% - Accent2 2 2 3 3 2 2 2 2 2" xfId="40571" xr:uid="{00000000-0005-0000-0000-000054090000}"/>
    <cellStyle name="20% - Accent2 2 2 3 3 2 2 2 3" xfId="30331" xr:uid="{00000000-0005-0000-0000-000055090000}"/>
    <cellStyle name="20% - Accent2 2 2 3 3 2 2 3" xfId="14971" xr:uid="{00000000-0005-0000-0000-000056090000}"/>
    <cellStyle name="20% - Accent2 2 2 3 3 2 2 3 2" xfId="35451" xr:uid="{00000000-0005-0000-0000-000057090000}"/>
    <cellStyle name="20% - Accent2 2 2 3 3 2 2 4" xfId="25211" xr:uid="{00000000-0005-0000-0000-000058090000}"/>
    <cellStyle name="20% - Accent2 2 2 3 3 2 3" xfId="7291" xr:uid="{00000000-0005-0000-0000-000059090000}"/>
    <cellStyle name="20% - Accent2 2 2 3 3 2 3 2" xfId="17531" xr:uid="{00000000-0005-0000-0000-00005A090000}"/>
    <cellStyle name="20% - Accent2 2 2 3 3 2 3 2 2" xfId="38011" xr:uid="{00000000-0005-0000-0000-00005B090000}"/>
    <cellStyle name="20% - Accent2 2 2 3 3 2 3 3" xfId="27771" xr:uid="{00000000-0005-0000-0000-00005C090000}"/>
    <cellStyle name="20% - Accent2 2 2 3 3 2 4" xfId="12411" xr:uid="{00000000-0005-0000-0000-00005D090000}"/>
    <cellStyle name="20% - Accent2 2 2 3 3 2 4 2" xfId="32891" xr:uid="{00000000-0005-0000-0000-00005E090000}"/>
    <cellStyle name="20% - Accent2 2 2 3 3 2 5" xfId="22651" xr:uid="{00000000-0005-0000-0000-00005F090000}"/>
    <cellStyle name="20% - Accent2 2 2 3 3 3" xfId="3451" xr:uid="{00000000-0005-0000-0000-000060090000}"/>
    <cellStyle name="20% - Accent2 2 2 3 3 3 2" xfId="8571" xr:uid="{00000000-0005-0000-0000-000061090000}"/>
    <cellStyle name="20% - Accent2 2 2 3 3 3 2 2" xfId="18811" xr:uid="{00000000-0005-0000-0000-000062090000}"/>
    <cellStyle name="20% - Accent2 2 2 3 3 3 2 2 2" xfId="39291" xr:uid="{00000000-0005-0000-0000-000063090000}"/>
    <cellStyle name="20% - Accent2 2 2 3 3 3 2 3" xfId="29051" xr:uid="{00000000-0005-0000-0000-000064090000}"/>
    <cellStyle name="20% - Accent2 2 2 3 3 3 3" xfId="13691" xr:uid="{00000000-0005-0000-0000-000065090000}"/>
    <cellStyle name="20% - Accent2 2 2 3 3 3 3 2" xfId="34171" xr:uid="{00000000-0005-0000-0000-000066090000}"/>
    <cellStyle name="20% - Accent2 2 2 3 3 3 4" xfId="23931" xr:uid="{00000000-0005-0000-0000-000067090000}"/>
    <cellStyle name="20% - Accent2 2 2 3 3 4" xfId="6011" xr:uid="{00000000-0005-0000-0000-000068090000}"/>
    <cellStyle name="20% - Accent2 2 2 3 3 4 2" xfId="16251" xr:uid="{00000000-0005-0000-0000-000069090000}"/>
    <cellStyle name="20% - Accent2 2 2 3 3 4 2 2" xfId="36731" xr:uid="{00000000-0005-0000-0000-00006A090000}"/>
    <cellStyle name="20% - Accent2 2 2 3 3 4 3" xfId="26491" xr:uid="{00000000-0005-0000-0000-00006B090000}"/>
    <cellStyle name="20% - Accent2 2 2 3 3 5" xfId="11131" xr:uid="{00000000-0005-0000-0000-00006C090000}"/>
    <cellStyle name="20% - Accent2 2 2 3 3 5 2" xfId="31611" xr:uid="{00000000-0005-0000-0000-00006D090000}"/>
    <cellStyle name="20% - Accent2 2 2 3 3 6" xfId="21371" xr:uid="{00000000-0005-0000-0000-00006E090000}"/>
    <cellStyle name="20% - Accent2 2 2 3 4" xfId="1531" xr:uid="{00000000-0005-0000-0000-00006F090000}"/>
    <cellStyle name="20% - Accent2 2 2 3 4 2" xfId="4091" xr:uid="{00000000-0005-0000-0000-000070090000}"/>
    <cellStyle name="20% - Accent2 2 2 3 4 2 2" xfId="9211" xr:uid="{00000000-0005-0000-0000-000071090000}"/>
    <cellStyle name="20% - Accent2 2 2 3 4 2 2 2" xfId="19451" xr:uid="{00000000-0005-0000-0000-000072090000}"/>
    <cellStyle name="20% - Accent2 2 2 3 4 2 2 2 2" xfId="39931" xr:uid="{00000000-0005-0000-0000-000073090000}"/>
    <cellStyle name="20% - Accent2 2 2 3 4 2 2 3" xfId="29691" xr:uid="{00000000-0005-0000-0000-000074090000}"/>
    <cellStyle name="20% - Accent2 2 2 3 4 2 3" xfId="14331" xr:uid="{00000000-0005-0000-0000-000075090000}"/>
    <cellStyle name="20% - Accent2 2 2 3 4 2 3 2" xfId="34811" xr:uid="{00000000-0005-0000-0000-000076090000}"/>
    <cellStyle name="20% - Accent2 2 2 3 4 2 4" xfId="24571" xr:uid="{00000000-0005-0000-0000-000077090000}"/>
    <cellStyle name="20% - Accent2 2 2 3 4 3" xfId="6651" xr:uid="{00000000-0005-0000-0000-000078090000}"/>
    <cellStyle name="20% - Accent2 2 2 3 4 3 2" xfId="16891" xr:uid="{00000000-0005-0000-0000-000079090000}"/>
    <cellStyle name="20% - Accent2 2 2 3 4 3 2 2" xfId="37371" xr:uid="{00000000-0005-0000-0000-00007A090000}"/>
    <cellStyle name="20% - Accent2 2 2 3 4 3 3" xfId="27131" xr:uid="{00000000-0005-0000-0000-00007B090000}"/>
    <cellStyle name="20% - Accent2 2 2 3 4 4" xfId="11771" xr:uid="{00000000-0005-0000-0000-00007C090000}"/>
    <cellStyle name="20% - Accent2 2 2 3 4 4 2" xfId="32251" xr:uid="{00000000-0005-0000-0000-00007D090000}"/>
    <cellStyle name="20% - Accent2 2 2 3 4 5" xfId="22011" xr:uid="{00000000-0005-0000-0000-00007E090000}"/>
    <cellStyle name="20% - Accent2 2 2 3 5" xfId="2811" xr:uid="{00000000-0005-0000-0000-00007F090000}"/>
    <cellStyle name="20% - Accent2 2 2 3 5 2" xfId="7931" xr:uid="{00000000-0005-0000-0000-000080090000}"/>
    <cellStyle name="20% - Accent2 2 2 3 5 2 2" xfId="18171" xr:uid="{00000000-0005-0000-0000-000081090000}"/>
    <cellStyle name="20% - Accent2 2 2 3 5 2 2 2" xfId="38651" xr:uid="{00000000-0005-0000-0000-000082090000}"/>
    <cellStyle name="20% - Accent2 2 2 3 5 2 3" xfId="28411" xr:uid="{00000000-0005-0000-0000-000083090000}"/>
    <cellStyle name="20% - Accent2 2 2 3 5 3" xfId="13051" xr:uid="{00000000-0005-0000-0000-000084090000}"/>
    <cellStyle name="20% - Accent2 2 2 3 5 3 2" xfId="33531" xr:uid="{00000000-0005-0000-0000-000085090000}"/>
    <cellStyle name="20% - Accent2 2 2 3 5 4" xfId="23291" xr:uid="{00000000-0005-0000-0000-000086090000}"/>
    <cellStyle name="20% - Accent2 2 2 3 6" xfId="5371" xr:uid="{00000000-0005-0000-0000-000087090000}"/>
    <cellStyle name="20% - Accent2 2 2 3 6 2" xfId="15611" xr:uid="{00000000-0005-0000-0000-000088090000}"/>
    <cellStyle name="20% - Accent2 2 2 3 6 2 2" xfId="36091" xr:uid="{00000000-0005-0000-0000-000089090000}"/>
    <cellStyle name="20% - Accent2 2 2 3 6 3" xfId="25851" xr:uid="{00000000-0005-0000-0000-00008A090000}"/>
    <cellStyle name="20% - Accent2 2 2 3 7" xfId="10491" xr:uid="{00000000-0005-0000-0000-00008B090000}"/>
    <cellStyle name="20% - Accent2 2 2 3 7 2" xfId="30971" xr:uid="{00000000-0005-0000-0000-00008C090000}"/>
    <cellStyle name="20% - Accent2 2 2 3 8" xfId="20731" xr:uid="{00000000-0005-0000-0000-00008D090000}"/>
    <cellStyle name="20% - Accent2 2 2 4" xfId="411" xr:uid="{00000000-0005-0000-0000-00008E090000}"/>
    <cellStyle name="20% - Accent2 2 2 4 2" xfId="1051" xr:uid="{00000000-0005-0000-0000-00008F090000}"/>
    <cellStyle name="20% - Accent2 2 2 4 2 2" xfId="2331" xr:uid="{00000000-0005-0000-0000-000090090000}"/>
    <cellStyle name="20% - Accent2 2 2 4 2 2 2" xfId="4891" xr:uid="{00000000-0005-0000-0000-000091090000}"/>
    <cellStyle name="20% - Accent2 2 2 4 2 2 2 2" xfId="10011" xr:uid="{00000000-0005-0000-0000-000092090000}"/>
    <cellStyle name="20% - Accent2 2 2 4 2 2 2 2 2" xfId="20251" xr:uid="{00000000-0005-0000-0000-000093090000}"/>
    <cellStyle name="20% - Accent2 2 2 4 2 2 2 2 2 2" xfId="40731" xr:uid="{00000000-0005-0000-0000-000094090000}"/>
    <cellStyle name="20% - Accent2 2 2 4 2 2 2 2 3" xfId="30491" xr:uid="{00000000-0005-0000-0000-000095090000}"/>
    <cellStyle name="20% - Accent2 2 2 4 2 2 2 3" xfId="15131" xr:uid="{00000000-0005-0000-0000-000096090000}"/>
    <cellStyle name="20% - Accent2 2 2 4 2 2 2 3 2" xfId="35611" xr:uid="{00000000-0005-0000-0000-000097090000}"/>
    <cellStyle name="20% - Accent2 2 2 4 2 2 2 4" xfId="25371" xr:uid="{00000000-0005-0000-0000-000098090000}"/>
    <cellStyle name="20% - Accent2 2 2 4 2 2 3" xfId="7451" xr:uid="{00000000-0005-0000-0000-000099090000}"/>
    <cellStyle name="20% - Accent2 2 2 4 2 2 3 2" xfId="17691" xr:uid="{00000000-0005-0000-0000-00009A090000}"/>
    <cellStyle name="20% - Accent2 2 2 4 2 2 3 2 2" xfId="38171" xr:uid="{00000000-0005-0000-0000-00009B090000}"/>
    <cellStyle name="20% - Accent2 2 2 4 2 2 3 3" xfId="27931" xr:uid="{00000000-0005-0000-0000-00009C090000}"/>
    <cellStyle name="20% - Accent2 2 2 4 2 2 4" xfId="12571" xr:uid="{00000000-0005-0000-0000-00009D090000}"/>
    <cellStyle name="20% - Accent2 2 2 4 2 2 4 2" xfId="33051" xr:uid="{00000000-0005-0000-0000-00009E090000}"/>
    <cellStyle name="20% - Accent2 2 2 4 2 2 5" xfId="22811" xr:uid="{00000000-0005-0000-0000-00009F090000}"/>
    <cellStyle name="20% - Accent2 2 2 4 2 3" xfId="3611" xr:uid="{00000000-0005-0000-0000-0000A0090000}"/>
    <cellStyle name="20% - Accent2 2 2 4 2 3 2" xfId="8731" xr:uid="{00000000-0005-0000-0000-0000A1090000}"/>
    <cellStyle name="20% - Accent2 2 2 4 2 3 2 2" xfId="18971" xr:uid="{00000000-0005-0000-0000-0000A2090000}"/>
    <cellStyle name="20% - Accent2 2 2 4 2 3 2 2 2" xfId="39451" xr:uid="{00000000-0005-0000-0000-0000A3090000}"/>
    <cellStyle name="20% - Accent2 2 2 4 2 3 2 3" xfId="29211" xr:uid="{00000000-0005-0000-0000-0000A4090000}"/>
    <cellStyle name="20% - Accent2 2 2 4 2 3 3" xfId="13851" xr:uid="{00000000-0005-0000-0000-0000A5090000}"/>
    <cellStyle name="20% - Accent2 2 2 4 2 3 3 2" xfId="34331" xr:uid="{00000000-0005-0000-0000-0000A6090000}"/>
    <cellStyle name="20% - Accent2 2 2 4 2 3 4" xfId="24091" xr:uid="{00000000-0005-0000-0000-0000A7090000}"/>
    <cellStyle name="20% - Accent2 2 2 4 2 4" xfId="6171" xr:uid="{00000000-0005-0000-0000-0000A8090000}"/>
    <cellStyle name="20% - Accent2 2 2 4 2 4 2" xfId="16411" xr:uid="{00000000-0005-0000-0000-0000A9090000}"/>
    <cellStyle name="20% - Accent2 2 2 4 2 4 2 2" xfId="36891" xr:uid="{00000000-0005-0000-0000-0000AA090000}"/>
    <cellStyle name="20% - Accent2 2 2 4 2 4 3" xfId="26651" xr:uid="{00000000-0005-0000-0000-0000AB090000}"/>
    <cellStyle name="20% - Accent2 2 2 4 2 5" xfId="11291" xr:uid="{00000000-0005-0000-0000-0000AC090000}"/>
    <cellStyle name="20% - Accent2 2 2 4 2 5 2" xfId="31771" xr:uid="{00000000-0005-0000-0000-0000AD090000}"/>
    <cellStyle name="20% - Accent2 2 2 4 2 6" xfId="21531" xr:uid="{00000000-0005-0000-0000-0000AE090000}"/>
    <cellStyle name="20% - Accent2 2 2 4 3" xfId="1691" xr:uid="{00000000-0005-0000-0000-0000AF090000}"/>
    <cellStyle name="20% - Accent2 2 2 4 3 2" xfId="4251" xr:uid="{00000000-0005-0000-0000-0000B0090000}"/>
    <cellStyle name="20% - Accent2 2 2 4 3 2 2" xfId="9371" xr:uid="{00000000-0005-0000-0000-0000B1090000}"/>
    <cellStyle name="20% - Accent2 2 2 4 3 2 2 2" xfId="19611" xr:uid="{00000000-0005-0000-0000-0000B2090000}"/>
    <cellStyle name="20% - Accent2 2 2 4 3 2 2 2 2" xfId="40091" xr:uid="{00000000-0005-0000-0000-0000B3090000}"/>
    <cellStyle name="20% - Accent2 2 2 4 3 2 2 3" xfId="29851" xr:uid="{00000000-0005-0000-0000-0000B4090000}"/>
    <cellStyle name="20% - Accent2 2 2 4 3 2 3" xfId="14491" xr:uid="{00000000-0005-0000-0000-0000B5090000}"/>
    <cellStyle name="20% - Accent2 2 2 4 3 2 3 2" xfId="34971" xr:uid="{00000000-0005-0000-0000-0000B6090000}"/>
    <cellStyle name="20% - Accent2 2 2 4 3 2 4" xfId="24731" xr:uid="{00000000-0005-0000-0000-0000B7090000}"/>
    <cellStyle name="20% - Accent2 2 2 4 3 3" xfId="6811" xr:uid="{00000000-0005-0000-0000-0000B8090000}"/>
    <cellStyle name="20% - Accent2 2 2 4 3 3 2" xfId="17051" xr:uid="{00000000-0005-0000-0000-0000B9090000}"/>
    <cellStyle name="20% - Accent2 2 2 4 3 3 2 2" xfId="37531" xr:uid="{00000000-0005-0000-0000-0000BA090000}"/>
    <cellStyle name="20% - Accent2 2 2 4 3 3 3" xfId="27291" xr:uid="{00000000-0005-0000-0000-0000BB090000}"/>
    <cellStyle name="20% - Accent2 2 2 4 3 4" xfId="11931" xr:uid="{00000000-0005-0000-0000-0000BC090000}"/>
    <cellStyle name="20% - Accent2 2 2 4 3 4 2" xfId="32411" xr:uid="{00000000-0005-0000-0000-0000BD090000}"/>
    <cellStyle name="20% - Accent2 2 2 4 3 5" xfId="22171" xr:uid="{00000000-0005-0000-0000-0000BE090000}"/>
    <cellStyle name="20% - Accent2 2 2 4 4" xfId="2971" xr:uid="{00000000-0005-0000-0000-0000BF090000}"/>
    <cellStyle name="20% - Accent2 2 2 4 4 2" xfId="8091" xr:uid="{00000000-0005-0000-0000-0000C0090000}"/>
    <cellStyle name="20% - Accent2 2 2 4 4 2 2" xfId="18331" xr:uid="{00000000-0005-0000-0000-0000C1090000}"/>
    <cellStyle name="20% - Accent2 2 2 4 4 2 2 2" xfId="38811" xr:uid="{00000000-0005-0000-0000-0000C2090000}"/>
    <cellStyle name="20% - Accent2 2 2 4 4 2 3" xfId="28571" xr:uid="{00000000-0005-0000-0000-0000C3090000}"/>
    <cellStyle name="20% - Accent2 2 2 4 4 3" xfId="13211" xr:uid="{00000000-0005-0000-0000-0000C4090000}"/>
    <cellStyle name="20% - Accent2 2 2 4 4 3 2" xfId="33691" xr:uid="{00000000-0005-0000-0000-0000C5090000}"/>
    <cellStyle name="20% - Accent2 2 2 4 4 4" xfId="23451" xr:uid="{00000000-0005-0000-0000-0000C6090000}"/>
    <cellStyle name="20% - Accent2 2 2 4 5" xfId="5531" xr:uid="{00000000-0005-0000-0000-0000C7090000}"/>
    <cellStyle name="20% - Accent2 2 2 4 5 2" xfId="15771" xr:uid="{00000000-0005-0000-0000-0000C8090000}"/>
    <cellStyle name="20% - Accent2 2 2 4 5 2 2" xfId="36251" xr:uid="{00000000-0005-0000-0000-0000C9090000}"/>
    <cellStyle name="20% - Accent2 2 2 4 5 3" xfId="26011" xr:uid="{00000000-0005-0000-0000-0000CA090000}"/>
    <cellStyle name="20% - Accent2 2 2 4 6" xfId="10651" xr:uid="{00000000-0005-0000-0000-0000CB090000}"/>
    <cellStyle name="20% - Accent2 2 2 4 6 2" xfId="31131" xr:uid="{00000000-0005-0000-0000-0000CC090000}"/>
    <cellStyle name="20% - Accent2 2 2 4 7" xfId="20891" xr:uid="{00000000-0005-0000-0000-0000CD090000}"/>
    <cellStyle name="20% - Accent2 2 2 5" xfId="731" xr:uid="{00000000-0005-0000-0000-0000CE090000}"/>
    <cellStyle name="20% - Accent2 2 2 5 2" xfId="2011" xr:uid="{00000000-0005-0000-0000-0000CF090000}"/>
    <cellStyle name="20% - Accent2 2 2 5 2 2" xfId="4571" xr:uid="{00000000-0005-0000-0000-0000D0090000}"/>
    <cellStyle name="20% - Accent2 2 2 5 2 2 2" xfId="9691" xr:uid="{00000000-0005-0000-0000-0000D1090000}"/>
    <cellStyle name="20% - Accent2 2 2 5 2 2 2 2" xfId="19931" xr:uid="{00000000-0005-0000-0000-0000D2090000}"/>
    <cellStyle name="20% - Accent2 2 2 5 2 2 2 2 2" xfId="40411" xr:uid="{00000000-0005-0000-0000-0000D3090000}"/>
    <cellStyle name="20% - Accent2 2 2 5 2 2 2 3" xfId="30171" xr:uid="{00000000-0005-0000-0000-0000D4090000}"/>
    <cellStyle name="20% - Accent2 2 2 5 2 2 3" xfId="14811" xr:uid="{00000000-0005-0000-0000-0000D5090000}"/>
    <cellStyle name="20% - Accent2 2 2 5 2 2 3 2" xfId="35291" xr:uid="{00000000-0005-0000-0000-0000D6090000}"/>
    <cellStyle name="20% - Accent2 2 2 5 2 2 4" xfId="25051" xr:uid="{00000000-0005-0000-0000-0000D7090000}"/>
    <cellStyle name="20% - Accent2 2 2 5 2 3" xfId="7131" xr:uid="{00000000-0005-0000-0000-0000D8090000}"/>
    <cellStyle name="20% - Accent2 2 2 5 2 3 2" xfId="17371" xr:uid="{00000000-0005-0000-0000-0000D9090000}"/>
    <cellStyle name="20% - Accent2 2 2 5 2 3 2 2" xfId="37851" xr:uid="{00000000-0005-0000-0000-0000DA090000}"/>
    <cellStyle name="20% - Accent2 2 2 5 2 3 3" xfId="27611" xr:uid="{00000000-0005-0000-0000-0000DB090000}"/>
    <cellStyle name="20% - Accent2 2 2 5 2 4" xfId="12251" xr:uid="{00000000-0005-0000-0000-0000DC090000}"/>
    <cellStyle name="20% - Accent2 2 2 5 2 4 2" xfId="32731" xr:uid="{00000000-0005-0000-0000-0000DD090000}"/>
    <cellStyle name="20% - Accent2 2 2 5 2 5" xfId="22491" xr:uid="{00000000-0005-0000-0000-0000DE090000}"/>
    <cellStyle name="20% - Accent2 2 2 5 3" xfId="3291" xr:uid="{00000000-0005-0000-0000-0000DF090000}"/>
    <cellStyle name="20% - Accent2 2 2 5 3 2" xfId="8411" xr:uid="{00000000-0005-0000-0000-0000E0090000}"/>
    <cellStyle name="20% - Accent2 2 2 5 3 2 2" xfId="18651" xr:uid="{00000000-0005-0000-0000-0000E1090000}"/>
    <cellStyle name="20% - Accent2 2 2 5 3 2 2 2" xfId="39131" xr:uid="{00000000-0005-0000-0000-0000E2090000}"/>
    <cellStyle name="20% - Accent2 2 2 5 3 2 3" xfId="28891" xr:uid="{00000000-0005-0000-0000-0000E3090000}"/>
    <cellStyle name="20% - Accent2 2 2 5 3 3" xfId="13531" xr:uid="{00000000-0005-0000-0000-0000E4090000}"/>
    <cellStyle name="20% - Accent2 2 2 5 3 3 2" xfId="34011" xr:uid="{00000000-0005-0000-0000-0000E5090000}"/>
    <cellStyle name="20% - Accent2 2 2 5 3 4" xfId="23771" xr:uid="{00000000-0005-0000-0000-0000E6090000}"/>
    <cellStyle name="20% - Accent2 2 2 5 4" xfId="5851" xr:uid="{00000000-0005-0000-0000-0000E7090000}"/>
    <cellStyle name="20% - Accent2 2 2 5 4 2" xfId="16091" xr:uid="{00000000-0005-0000-0000-0000E8090000}"/>
    <cellStyle name="20% - Accent2 2 2 5 4 2 2" xfId="36571" xr:uid="{00000000-0005-0000-0000-0000E9090000}"/>
    <cellStyle name="20% - Accent2 2 2 5 4 3" xfId="26331" xr:uid="{00000000-0005-0000-0000-0000EA090000}"/>
    <cellStyle name="20% - Accent2 2 2 5 5" xfId="10971" xr:uid="{00000000-0005-0000-0000-0000EB090000}"/>
    <cellStyle name="20% - Accent2 2 2 5 5 2" xfId="31451" xr:uid="{00000000-0005-0000-0000-0000EC090000}"/>
    <cellStyle name="20% - Accent2 2 2 5 6" xfId="21211" xr:uid="{00000000-0005-0000-0000-0000ED090000}"/>
    <cellStyle name="20% - Accent2 2 2 6" xfId="1371" xr:uid="{00000000-0005-0000-0000-0000EE090000}"/>
    <cellStyle name="20% - Accent2 2 2 6 2" xfId="3931" xr:uid="{00000000-0005-0000-0000-0000EF090000}"/>
    <cellStyle name="20% - Accent2 2 2 6 2 2" xfId="9051" xr:uid="{00000000-0005-0000-0000-0000F0090000}"/>
    <cellStyle name="20% - Accent2 2 2 6 2 2 2" xfId="19291" xr:uid="{00000000-0005-0000-0000-0000F1090000}"/>
    <cellStyle name="20% - Accent2 2 2 6 2 2 2 2" xfId="39771" xr:uid="{00000000-0005-0000-0000-0000F2090000}"/>
    <cellStyle name="20% - Accent2 2 2 6 2 2 3" xfId="29531" xr:uid="{00000000-0005-0000-0000-0000F3090000}"/>
    <cellStyle name="20% - Accent2 2 2 6 2 3" xfId="14171" xr:uid="{00000000-0005-0000-0000-0000F4090000}"/>
    <cellStyle name="20% - Accent2 2 2 6 2 3 2" xfId="34651" xr:uid="{00000000-0005-0000-0000-0000F5090000}"/>
    <cellStyle name="20% - Accent2 2 2 6 2 4" xfId="24411" xr:uid="{00000000-0005-0000-0000-0000F6090000}"/>
    <cellStyle name="20% - Accent2 2 2 6 3" xfId="6491" xr:uid="{00000000-0005-0000-0000-0000F7090000}"/>
    <cellStyle name="20% - Accent2 2 2 6 3 2" xfId="16731" xr:uid="{00000000-0005-0000-0000-0000F8090000}"/>
    <cellStyle name="20% - Accent2 2 2 6 3 2 2" xfId="37211" xr:uid="{00000000-0005-0000-0000-0000F9090000}"/>
    <cellStyle name="20% - Accent2 2 2 6 3 3" xfId="26971" xr:uid="{00000000-0005-0000-0000-0000FA090000}"/>
    <cellStyle name="20% - Accent2 2 2 6 4" xfId="11611" xr:uid="{00000000-0005-0000-0000-0000FB090000}"/>
    <cellStyle name="20% - Accent2 2 2 6 4 2" xfId="32091" xr:uid="{00000000-0005-0000-0000-0000FC090000}"/>
    <cellStyle name="20% - Accent2 2 2 6 5" xfId="21851" xr:uid="{00000000-0005-0000-0000-0000FD090000}"/>
    <cellStyle name="20% - Accent2 2 2 7" xfId="2651" xr:uid="{00000000-0005-0000-0000-0000FE090000}"/>
    <cellStyle name="20% - Accent2 2 2 7 2" xfId="7771" xr:uid="{00000000-0005-0000-0000-0000FF090000}"/>
    <cellStyle name="20% - Accent2 2 2 7 2 2" xfId="18011" xr:uid="{00000000-0005-0000-0000-0000000A0000}"/>
    <cellStyle name="20% - Accent2 2 2 7 2 2 2" xfId="38491" xr:uid="{00000000-0005-0000-0000-0000010A0000}"/>
    <cellStyle name="20% - Accent2 2 2 7 2 3" xfId="28251" xr:uid="{00000000-0005-0000-0000-0000020A0000}"/>
    <cellStyle name="20% - Accent2 2 2 7 3" xfId="12891" xr:uid="{00000000-0005-0000-0000-0000030A0000}"/>
    <cellStyle name="20% - Accent2 2 2 7 3 2" xfId="33371" xr:uid="{00000000-0005-0000-0000-0000040A0000}"/>
    <cellStyle name="20% - Accent2 2 2 7 4" xfId="23131" xr:uid="{00000000-0005-0000-0000-0000050A0000}"/>
    <cellStyle name="20% - Accent2 2 2 8" xfId="5211" xr:uid="{00000000-0005-0000-0000-0000060A0000}"/>
    <cellStyle name="20% - Accent2 2 2 8 2" xfId="15451" xr:uid="{00000000-0005-0000-0000-0000070A0000}"/>
    <cellStyle name="20% - Accent2 2 2 8 2 2" xfId="35931" xr:uid="{00000000-0005-0000-0000-0000080A0000}"/>
    <cellStyle name="20% - Accent2 2 2 8 3" xfId="25691" xr:uid="{00000000-0005-0000-0000-0000090A0000}"/>
    <cellStyle name="20% - Accent2 2 2 9" xfId="10331" xr:uid="{00000000-0005-0000-0000-00000A0A0000}"/>
    <cellStyle name="20% - Accent2 2 2 9 2" xfId="30811" xr:uid="{00000000-0005-0000-0000-00000B0A0000}"/>
    <cellStyle name="20% - Accent2 2 3" xfId="131" xr:uid="{00000000-0005-0000-0000-00000C0A0000}"/>
    <cellStyle name="20% - Accent2 2 3 2" xfId="291" xr:uid="{00000000-0005-0000-0000-00000D0A0000}"/>
    <cellStyle name="20% - Accent2 2 3 2 2" xfId="611" xr:uid="{00000000-0005-0000-0000-00000E0A0000}"/>
    <cellStyle name="20% - Accent2 2 3 2 2 2" xfId="1251" xr:uid="{00000000-0005-0000-0000-00000F0A0000}"/>
    <cellStyle name="20% - Accent2 2 3 2 2 2 2" xfId="2531" xr:uid="{00000000-0005-0000-0000-0000100A0000}"/>
    <cellStyle name="20% - Accent2 2 3 2 2 2 2 2" xfId="5091" xr:uid="{00000000-0005-0000-0000-0000110A0000}"/>
    <cellStyle name="20% - Accent2 2 3 2 2 2 2 2 2" xfId="10211" xr:uid="{00000000-0005-0000-0000-0000120A0000}"/>
    <cellStyle name="20% - Accent2 2 3 2 2 2 2 2 2 2" xfId="20451" xr:uid="{00000000-0005-0000-0000-0000130A0000}"/>
    <cellStyle name="20% - Accent2 2 3 2 2 2 2 2 2 2 2" xfId="40931" xr:uid="{00000000-0005-0000-0000-0000140A0000}"/>
    <cellStyle name="20% - Accent2 2 3 2 2 2 2 2 2 3" xfId="30691" xr:uid="{00000000-0005-0000-0000-0000150A0000}"/>
    <cellStyle name="20% - Accent2 2 3 2 2 2 2 2 3" xfId="15331" xr:uid="{00000000-0005-0000-0000-0000160A0000}"/>
    <cellStyle name="20% - Accent2 2 3 2 2 2 2 2 3 2" xfId="35811" xr:uid="{00000000-0005-0000-0000-0000170A0000}"/>
    <cellStyle name="20% - Accent2 2 3 2 2 2 2 2 4" xfId="25571" xr:uid="{00000000-0005-0000-0000-0000180A0000}"/>
    <cellStyle name="20% - Accent2 2 3 2 2 2 2 3" xfId="7651" xr:uid="{00000000-0005-0000-0000-0000190A0000}"/>
    <cellStyle name="20% - Accent2 2 3 2 2 2 2 3 2" xfId="17891" xr:uid="{00000000-0005-0000-0000-00001A0A0000}"/>
    <cellStyle name="20% - Accent2 2 3 2 2 2 2 3 2 2" xfId="38371" xr:uid="{00000000-0005-0000-0000-00001B0A0000}"/>
    <cellStyle name="20% - Accent2 2 3 2 2 2 2 3 3" xfId="28131" xr:uid="{00000000-0005-0000-0000-00001C0A0000}"/>
    <cellStyle name="20% - Accent2 2 3 2 2 2 2 4" xfId="12771" xr:uid="{00000000-0005-0000-0000-00001D0A0000}"/>
    <cellStyle name="20% - Accent2 2 3 2 2 2 2 4 2" xfId="33251" xr:uid="{00000000-0005-0000-0000-00001E0A0000}"/>
    <cellStyle name="20% - Accent2 2 3 2 2 2 2 5" xfId="23011" xr:uid="{00000000-0005-0000-0000-00001F0A0000}"/>
    <cellStyle name="20% - Accent2 2 3 2 2 2 3" xfId="3811" xr:uid="{00000000-0005-0000-0000-0000200A0000}"/>
    <cellStyle name="20% - Accent2 2 3 2 2 2 3 2" xfId="8931" xr:uid="{00000000-0005-0000-0000-0000210A0000}"/>
    <cellStyle name="20% - Accent2 2 3 2 2 2 3 2 2" xfId="19171" xr:uid="{00000000-0005-0000-0000-0000220A0000}"/>
    <cellStyle name="20% - Accent2 2 3 2 2 2 3 2 2 2" xfId="39651" xr:uid="{00000000-0005-0000-0000-0000230A0000}"/>
    <cellStyle name="20% - Accent2 2 3 2 2 2 3 2 3" xfId="29411" xr:uid="{00000000-0005-0000-0000-0000240A0000}"/>
    <cellStyle name="20% - Accent2 2 3 2 2 2 3 3" xfId="14051" xr:uid="{00000000-0005-0000-0000-0000250A0000}"/>
    <cellStyle name="20% - Accent2 2 3 2 2 2 3 3 2" xfId="34531" xr:uid="{00000000-0005-0000-0000-0000260A0000}"/>
    <cellStyle name="20% - Accent2 2 3 2 2 2 3 4" xfId="24291" xr:uid="{00000000-0005-0000-0000-0000270A0000}"/>
    <cellStyle name="20% - Accent2 2 3 2 2 2 4" xfId="6371" xr:uid="{00000000-0005-0000-0000-0000280A0000}"/>
    <cellStyle name="20% - Accent2 2 3 2 2 2 4 2" xfId="16611" xr:uid="{00000000-0005-0000-0000-0000290A0000}"/>
    <cellStyle name="20% - Accent2 2 3 2 2 2 4 2 2" xfId="37091" xr:uid="{00000000-0005-0000-0000-00002A0A0000}"/>
    <cellStyle name="20% - Accent2 2 3 2 2 2 4 3" xfId="26851" xr:uid="{00000000-0005-0000-0000-00002B0A0000}"/>
    <cellStyle name="20% - Accent2 2 3 2 2 2 5" xfId="11491" xr:uid="{00000000-0005-0000-0000-00002C0A0000}"/>
    <cellStyle name="20% - Accent2 2 3 2 2 2 5 2" xfId="31971" xr:uid="{00000000-0005-0000-0000-00002D0A0000}"/>
    <cellStyle name="20% - Accent2 2 3 2 2 2 6" xfId="21731" xr:uid="{00000000-0005-0000-0000-00002E0A0000}"/>
    <cellStyle name="20% - Accent2 2 3 2 2 3" xfId="1891" xr:uid="{00000000-0005-0000-0000-00002F0A0000}"/>
    <cellStyle name="20% - Accent2 2 3 2 2 3 2" xfId="4451" xr:uid="{00000000-0005-0000-0000-0000300A0000}"/>
    <cellStyle name="20% - Accent2 2 3 2 2 3 2 2" xfId="9571" xr:uid="{00000000-0005-0000-0000-0000310A0000}"/>
    <cellStyle name="20% - Accent2 2 3 2 2 3 2 2 2" xfId="19811" xr:uid="{00000000-0005-0000-0000-0000320A0000}"/>
    <cellStyle name="20% - Accent2 2 3 2 2 3 2 2 2 2" xfId="40291" xr:uid="{00000000-0005-0000-0000-0000330A0000}"/>
    <cellStyle name="20% - Accent2 2 3 2 2 3 2 2 3" xfId="30051" xr:uid="{00000000-0005-0000-0000-0000340A0000}"/>
    <cellStyle name="20% - Accent2 2 3 2 2 3 2 3" xfId="14691" xr:uid="{00000000-0005-0000-0000-0000350A0000}"/>
    <cellStyle name="20% - Accent2 2 3 2 2 3 2 3 2" xfId="35171" xr:uid="{00000000-0005-0000-0000-0000360A0000}"/>
    <cellStyle name="20% - Accent2 2 3 2 2 3 2 4" xfId="24931" xr:uid="{00000000-0005-0000-0000-0000370A0000}"/>
    <cellStyle name="20% - Accent2 2 3 2 2 3 3" xfId="7011" xr:uid="{00000000-0005-0000-0000-0000380A0000}"/>
    <cellStyle name="20% - Accent2 2 3 2 2 3 3 2" xfId="17251" xr:uid="{00000000-0005-0000-0000-0000390A0000}"/>
    <cellStyle name="20% - Accent2 2 3 2 2 3 3 2 2" xfId="37731" xr:uid="{00000000-0005-0000-0000-00003A0A0000}"/>
    <cellStyle name="20% - Accent2 2 3 2 2 3 3 3" xfId="27491" xr:uid="{00000000-0005-0000-0000-00003B0A0000}"/>
    <cellStyle name="20% - Accent2 2 3 2 2 3 4" xfId="12131" xr:uid="{00000000-0005-0000-0000-00003C0A0000}"/>
    <cellStyle name="20% - Accent2 2 3 2 2 3 4 2" xfId="32611" xr:uid="{00000000-0005-0000-0000-00003D0A0000}"/>
    <cellStyle name="20% - Accent2 2 3 2 2 3 5" xfId="22371" xr:uid="{00000000-0005-0000-0000-00003E0A0000}"/>
    <cellStyle name="20% - Accent2 2 3 2 2 4" xfId="3171" xr:uid="{00000000-0005-0000-0000-00003F0A0000}"/>
    <cellStyle name="20% - Accent2 2 3 2 2 4 2" xfId="8291" xr:uid="{00000000-0005-0000-0000-0000400A0000}"/>
    <cellStyle name="20% - Accent2 2 3 2 2 4 2 2" xfId="18531" xr:uid="{00000000-0005-0000-0000-0000410A0000}"/>
    <cellStyle name="20% - Accent2 2 3 2 2 4 2 2 2" xfId="39011" xr:uid="{00000000-0005-0000-0000-0000420A0000}"/>
    <cellStyle name="20% - Accent2 2 3 2 2 4 2 3" xfId="28771" xr:uid="{00000000-0005-0000-0000-0000430A0000}"/>
    <cellStyle name="20% - Accent2 2 3 2 2 4 3" xfId="13411" xr:uid="{00000000-0005-0000-0000-0000440A0000}"/>
    <cellStyle name="20% - Accent2 2 3 2 2 4 3 2" xfId="33891" xr:uid="{00000000-0005-0000-0000-0000450A0000}"/>
    <cellStyle name="20% - Accent2 2 3 2 2 4 4" xfId="23651" xr:uid="{00000000-0005-0000-0000-0000460A0000}"/>
    <cellStyle name="20% - Accent2 2 3 2 2 5" xfId="5731" xr:uid="{00000000-0005-0000-0000-0000470A0000}"/>
    <cellStyle name="20% - Accent2 2 3 2 2 5 2" xfId="15971" xr:uid="{00000000-0005-0000-0000-0000480A0000}"/>
    <cellStyle name="20% - Accent2 2 3 2 2 5 2 2" xfId="36451" xr:uid="{00000000-0005-0000-0000-0000490A0000}"/>
    <cellStyle name="20% - Accent2 2 3 2 2 5 3" xfId="26211" xr:uid="{00000000-0005-0000-0000-00004A0A0000}"/>
    <cellStyle name="20% - Accent2 2 3 2 2 6" xfId="10851" xr:uid="{00000000-0005-0000-0000-00004B0A0000}"/>
    <cellStyle name="20% - Accent2 2 3 2 2 6 2" xfId="31331" xr:uid="{00000000-0005-0000-0000-00004C0A0000}"/>
    <cellStyle name="20% - Accent2 2 3 2 2 7" xfId="21091" xr:uid="{00000000-0005-0000-0000-00004D0A0000}"/>
    <cellStyle name="20% - Accent2 2 3 2 3" xfId="931" xr:uid="{00000000-0005-0000-0000-00004E0A0000}"/>
    <cellStyle name="20% - Accent2 2 3 2 3 2" xfId="2211" xr:uid="{00000000-0005-0000-0000-00004F0A0000}"/>
    <cellStyle name="20% - Accent2 2 3 2 3 2 2" xfId="4771" xr:uid="{00000000-0005-0000-0000-0000500A0000}"/>
    <cellStyle name="20% - Accent2 2 3 2 3 2 2 2" xfId="9891" xr:uid="{00000000-0005-0000-0000-0000510A0000}"/>
    <cellStyle name="20% - Accent2 2 3 2 3 2 2 2 2" xfId="20131" xr:uid="{00000000-0005-0000-0000-0000520A0000}"/>
    <cellStyle name="20% - Accent2 2 3 2 3 2 2 2 2 2" xfId="40611" xr:uid="{00000000-0005-0000-0000-0000530A0000}"/>
    <cellStyle name="20% - Accent2 2 3 2 3 2 2 2 3" xfId="30371" xr:uid="{00000000-0005-0000-0000-0000540A0000}"/>
    <cellStyle name="20% - Accent2 2 3 2 3 2 2 3" xfId="15011" xr:uid="{00000000-0005-0000-0000-0000550A0000}"/>
    <cellStyle name="20% - Accent2 2 3 2 3 2 2 3 2" xfId="35491" xr:uid="{00000000-0005-0000-0000-0000560A0000}"/>
    <cellStyle name="20% - Accent2 2 3 2 3 2 2 4" xfId="25251" xr:uid="{00000000-0005-0000-0000-0000570A0000}"/>
    <cellStyle name="20% - Accent2 2 3 2 3 2 3" xfId="7331" xr:uid="{00000000-0005-0000-0000-0000580A0000}"/>
    <cellStyle name="20% - Accent2 2 3 2 3 2 3 2" xfId="17571" xr:uid="{00000000-0005-0000-0000-0000590A0000}"/>
    <cellStyle name="20% - Accent2 2 3 2 3 2 3 2 2" xfId="38051" xr:uid="{00000000-0005-0000-0000-00005A0A0000}"/>
    <cellStyle name="20% - Accent2 2 3 2 3 2 3 3" xfId="27811" xr:uid="{00000000-0005-0000-0000-00005B0A0000}"/>
    <cellStyle name="20% - Accent2 2 3 2 3 2 4" xfId="12451" xr:uid="{00000000-0005-0000-0000-00005C0A0000}"/>
    <cellStyle name="20% - Accent2 2 3 2 3 2 4 2" xfId="32931" xr:uid="{00000000-0005-0000-0000-00005D0A0000}"/>
    <cellStyle name="20% - Accent2 2 3 2 3 2 5" xfId="22691" xr:uid="{00000000-0005-0000-0000-00005E0A0000}"/>
    <cellStyle name="20% - Accent2 2 3 2 3 3" xfId="3491" xr:uid="{00000000-0005-0000-0000-00005F0A0000}"/>
    <cellStyle name="20% - Accent2 2 3 2 3 3 2" xfId="8611" xr:uid="{00000000-0005-0000-0000-0000600A0000}"/>
    <cellStyle name="20% - Accent2 2 3 2 3 3 2 2" xfId="18851" xr:uid="{00000000-0005-0000-0000-0000610A0000}"/>
    <cellStyle name="20% - Accent2 2 3 2 3 3 2 2 2" xfId="39331" xr:uid="{00000000-0005-0000-0000-0000620A0000}"/>
    <cellStyle name="20% - Accent2 2 3 2 3 3 2 3" xfId="29091" xr:uid="{00000000-0005-0000-0000-0000630A0000}"/>
    <cellStyle name="20% - Accent2 2 3 2 3 3 3" xfId="13731" xr:uid="{00000000-0005-0000-0000-0000640A0000}"/>
    <cellStyle name="20% - Accent2 2 3 2 3 3 3 2" xfId="34211" xr:uid="{00000000-0005-0000-0000-0000650A0000}"/>
    <cellStyle name="20% - Accent2 2 3 2 3 3 4" xfId="23971" xr:uid="{00000000-0005-0000-0000-0000660A0000}"/>
    <cellStyle name="20% - Accent2 2 3 2 3 4" xfId="6051" xr:uid="{00000000-0005-0000-0000-0000670A0000}"/>
    <cellStyle name="20% - Accent2 2 3 2 3 4 2" xfId="16291" xr:uid="{00000000-0005-0000-0000-0000680A0000}"/>
    <cellStyle name="20% - Accent2 2 3 2 3 4 2 2" xfId="36771" xr:uid="{00000000-0005-0000-0000-0000690A0000}"/>
    <cellStyle name="20% - Accent2 2 3 2 3 4 3" xfId="26531" xr:uid="{00000000-0005-0000-0000-00006A0A0000}"/>
    <cellStyle name="20% - Accent2 2 3 2 3 5" xfId="11171" xr:uid="{00000000-0005-0000-0000-00006B0A0000}"/>
    <cellStyle name="20% - Accent2 2 3 2 3 5 2" xfId="31651" xr:uid="{00000000-0005-0000-0000-00006C0A0000}"/>
    <cellStyle name="20% - Accent2 2 3 2 3 6" xfId="21411" xr:uid="{00000000-0005-0000-0000-00006D0A0000}"/>
    <cellStyle name="20% - Accent2 2 3 2 4" xfId="1571" xr:uid="{00000000-0005-0000-0000-00006E0A0000}"/>
    <cellStyle name="20% - Accent2 2 3 2 4 2" xfId="4131" xr:uid="{00000000-0005-0000-0000-00006F0A0000}"/>
    <cellStyle name="20% - Accent2 2 3 2 4 2 2" xfId="9251" xr:uid="{00000000-0005-0000-0000-0000700A0000}"/>
    <cellStyle name="20% - Accent2 2 3 2 4 2 2 2" xfId="19491" xr:uid="{00000000-0005-0000-0000-0000710A0000}"/>
    <cellStyle name="20% - Accent2 2 3 2 4 2 2 2 2" xfId="39971" xr:uid="{00000000-0005-0000-0000-0000720A0000}"/>
    <cellStyle name="20% - Accent2 2 3 2 4 2 2 3" xfId="29731" xr:uid="{00000000-0005-0000-0000-0000730A0000}"/>
    <cellStyle name="20% - Accent2 2 3 2 4 2 3" xfId="14371" xr:uid="{00000000-0005-0000-0000-0000740A0000}"/>
    <cellStyle name="20% - Accent2 2 3 2 4 2 3 2" xfId="34851" xr:uid="{00000000-0005-0000-0000-0000750A0000}"/>
    <cellStyle name="20% - Accent2 2 3 2 4 2 4" xfId="24611" xr:uid="{00000000-0005-0000-0000-0000760A0000}"/>
    <cellStyle name="20% - Accent2 2 3 2 4 3" xfId="6691" xr:uid="{00000000-0005-0000-0000-0000770A0000}"/>
    <cellStyle name="20% - Accent2 2 3 2 4 3 2" xfId="16931" xr:uid="{00000000-0005-0000-0000-0000780A0000}"/>
    <cellStyle name="20% - Accent2 2 3 2 4 3 2 2" xfId="37411" xr:uid="{00000000-0005-0000-0000-0000790A0000}"/>
    <cellStyle name="20% - Accent2 2 3 2 4 3 3" xfId="27171" xr:uid="{00000000-0005-0000-0000-00007A0A0000}"/>
    <cellStyle name="20% - Accent2 2 3 2 4 4" xfId="11811" xr:uid="{00000000-0005-0000-0000-00007B0A0000}"/>
    <cellStyle name="20% - Accent2 2 3 2 4 4 2" xfId="32291" xr:uid="{00000000-0005-0000-0000-00007C0A0000}"/>
    <cellStyle name="20% - Accent2 2 3 2 4 5" xfId="22051" xr:uid="{00000000-0005-0000-0000-00007D0A0000}"/>
    <cellStyle name="20% - Accent2 2 3 2 5" xfId="2851" xr:uid="{00000000-0005-0000-0000-00007E0A0000}"/>
    <cellStyle name="20% - Accent2 2 3 2 5 2" xfId="7971" xr:uid="{00000000-0005-0000-0000-00007F0A0000}"/>
    <cellStyle name="20% - Accent2 2 3 2 5 2 2" xfId="18211" xr:uid="{00000000-0005-0000-0000-0000800A0000}"/>
    <cellStyle name="20% - Accent2 2 3 2 5 2 2 2" xfId="38691" xr:uid="{00000000-0005-0000-0000-0000810A0000}"/>
    <cellStyle name="20% - Accent2 2 3 2 5 2 3" xfId="28451" xr:uid="{00000000-0005-0000-0000-0000820A0000}"/>
    <cellStyle name="20% - Accent2 2 3 2 5 3" xfId="13091" xr:uid="{00000000-0005-0000-0000-0000830A0000}"/>
    <cellStyle name="20% - Accent2 2 3 2 5 3 2" xfId="33571" xr:uid="{00000000-0005-0000-0000-0000840A0000}"/>
    <cellStyle name="20% - Accent2 2 3 2 5 4" xfId="23331" xr:uid="{00000000-0005-0000-0000-0000850A0000}"/>
    <cellStyle name="20% - Accent2 2 3 2 6" xfId="5411" xr:uid="{00000000-0005-0000-0000-0000860A0000}"/>
    <cellStyle name="20% - Accent2 2 3 2 6 2" xfId="15651" xr:uid="{00000000-0005-0000-0000-0000870A0000}"/>
    <cellStyle name="20% - Accent2 2 3 2 6 2 2" xfId="36131" xr:uid="{00000000-0005-0000-0000-0000880A0000}"/>
    <cellStyle name="20% - Accent2 2 3 2 6 3" xfId="25891" xr:uid="{00000000-0005-0000-0000-0000890A0000}"/>
    <cellStyle name="20% - Accent2 2 3 2 7" xfId="10531" xr:uid="{00000000-0005-0000-0000-00008A0A0000}"/>
    <cellStyle name="20% - Accent2 2 3 2 7 2" xfId="31011" xr:uid="{00000000-0005-0000-0000-00008B0A0000}"/>
    <cellStyle name="20% - Accent2 2 3 2 8" xfId="20771" xr:uid="{00000000-0005-0000-0000-00008C0A0000}"/>
    <cellStyle name="20% - Accent2 2 3 3" xfId="451" xr:uid="{00000000-0005-0000-0000-00008D0A0000}"/>
    <cellStyle name="20% - Accent2 2 3 3 2" xfId="1091" xr:uid="{00000000-0005-0000-0000-00008E0A0000}"/>
    <cellStyle name="20% - Accent2 2 3 3 2 2" xfId="2371" xr:uid="{00000000-0005-0000-0000-00008F0A0000}"/>
    <cellStyle name="20% - Accent2 2 3 3 2 2 2" xfId="4931" xr:uid="{00000000-0005-0000-0000-0000900A0000}"/>
    <cellStyle name="20% - Accent2 2 3 3 2 2 2 2" xfId="10051" xr:uid="{00000000-0005-0000-0000-0000910A0000}"/>
    <cellStyle name="20% - Accent2 2 3 3 2 2 2 2 2" xfId="20291" xr:uid="{00000000-0005-0000-0000-0000920A0000}"/>
    <cellStyle name="20% - Accent2 2 3 3 2 2 2 2 2 2" xfId="40771" xr:uid="{00000000-0005-0000-0000-0000930A0000}"/>
    <cellStyle name="20% - Accent2 2 3 3 2 2 2 2 3" xfId="30531" xr:uid="{00000000-0005-0000-0000-0000940A0000}"/>
    <cellStyle name="20% - Accent2 2 3 3 2 2 2 3" xfId="15171" xr:uid="{00000000-0005-0000-0000-0000950A0000}"/>
    <cellStyle name="20% - Accent2 2 3 3 2 2 2 3 2" xfId="35651" xr:uid="{00000000-0005-0000-0000-0000960A0000}"/>
    <cellStyle name="20% - Accent2 2 3 3 2 2 2 4" xfId="25411" xr:uid="{00000000-0005-0000-0000-0000970A0000}"/>
    <cellStyle name="20% - Accent2 2 3 3 2 2 3" xfId="7491" xr:uid="{00000000-0005-0000-0000-0000980A0000}"/>
    <cellStyle name="20% - Accent2 2 3 3 2 2 3 2" xfId="17731" xr:uid="{00000000-0005-0000-0000-0000990A0000}"/>
    <cellStyle name="20% - Accent2 2 3 3 2 2 3 2 2" xfId="38211" xr:uid="{00000000-0005-0000-0000-00009A0A0000}"/>
    <cellStyle name="20% - Accent2 2 3 3 2 2 3 3" xfId="27971" xr:uid="{00000000-0005-0000-0000-00009B0A0000}"/>
    <cellStyle name="20% - Accent2 2 3 3 2 2 4" xfId="12611" xr:uid="{00000000-0005-0000-0000-00009C0A0000}"/>
    <cellStyle name="20% - Accent2 2 3 3 2 2 4 2" xfId="33091" xr:uid="{00000000-0005-0000-0000-00009D0A0000}"/>
    <cellStyle name="20% - Accent2 2 3 3 2 2 5" xfId="22851" xr:uid="{00000000-0005-0000-0000-00009E0A0000}"/>
    <cellStyle name="20% - Accent2 2 3 3 2 3" xfId="3651" xr:uid="{00000000-0005-0000-0000-00009F0A0000}"/>
    <cellStyle name="20% - Accent2 2 3 3 2 3 2" xfId="8771" xr:uid="{00000000-0005-0000-0000-0000A00A0000}"/>
    <cellStyle name="20% - Accent2 2 3 3 2 3 2 2" xfId="19011" xr:uid="{00000000-0005-0000-0000-0000A10A0000}"/>
    <cellStyle name="20% - Accent2 2 3 3 2 3 2 2 2" xfId="39491" xr:uid="{00000000-0005-0000-0000-0000A20A0000}"/>
    <cellStyle name="20% - Accent2 2 3 3 2 3 2 3" xfId="29251" xr:uid="{00000000-0005-0000-0000-0000A30A0000}"/>
    <cellStyle name="20% - Accent2 2 3 3 2 3 3" xfId="13891" xr:uid="{00000000-0005-0000-0000-0000A40A0000}"/>
    <cellStyle name="20% - Accent2 2 3 3 2 3 3 2" xfId="34371" xr:uid="{00000000-0005-0000-0000-0000A50A0000}"/>
    <cellStyle name="20% - Accent2 2 3 3 2 3 4" xfId="24131" xr:uid="{00000000-0005-0000-0000-0000A60A0000}"/>
    <cellStyle name="20% - Accent2 2 3 3 2 4" xfId="6211" xr:uid="{00000000-0005-0000-0000-0000A70A0000}"/>
    <cellStyle name="20% - Accent2 2 3 3 2 4 2" xfId="16451" xr:uid="{00000000-0005-0000-0000-0000A80A0000}"/>
    <cellStyle name="20% - Accent2 2 3 3 2 4 2 2" xfId="36931" xr:uid="{00000000-0005-0000-0000-0000A90A0000}"/>
    <cellStyle name="20% - Accent2 2 3 3 2 4 3" xfId="26691" xr:uid="{00000000-0005-0000-0000-0000AA0A0000}"/>
    <cellStyle name="20% - Accent2 2 3 3 2 5" xfId="11331" xr:uid="{00000000-0005-0000-0000-0000AB0A0000}"/>
    <cellStyle name="20% - Accent2 2 3 3 2 5 2" xfId="31811" xr:uid="{00000000-0005-0000-0000-0000AC0A0000}"/>
    <cellStyle name="20% - Accent2 2 3 3 2 6" xfId="21571" xr:uid="{00000000-0005-0000-0000-0000AD0A0000}"/>
    <cellStyle name="20% - Accent2 2 3 3 3" xfId="1731" xr:uid="{00000000-0005-0000-0000-0000AE0A0000}"/>
    <cellStyle name="20% - Accent2 2 3 3 3 2" xfId="4291" xr:uid="{00000000-0005-0000-0000-0000AF0A0000}"/>
    <cellStyle name="20% - Accent2 2 3 3 3 2 2" xfId="9411" xr:uid="{00000000-0005-0000-0000-0000B00A0000}"/>
    <cellStyle name="20% - Accent2 2 3 3 3 2 2 2" xfId="19651" xr:uid="{00000000-0005-0000-0000-0000B10A0000}"/>
    <cellStyle name="20% - Accent2 2 3 3 3 2 2 2 2" xfId="40131" xr:uid="{00000000-0005-0000-0000-0000B20A0000}"/>
    <cellStyle name="20% - Accent2 2 3 3 3 2 2 3" xfId="29891" xr:uid="{00000000-0005-0000-0000-0000B30A0000}"/>
    <cellStyle name="20% - Accent2 2 3 3 3 2 3" xfId="14531" xr:uid="{00000000-0005-0000-0000-0000B40A0000}"/>
    <cellStyle name="20% - Accent2 2 3 3 3 2 3 2" xfId="35011" xr:uid="{00000000-0005-0000-0000-0000B50A0000}"/>
    <cellStyle name="20% - Accent2 2 3 3 3 2 4" xfId="24771" xr:uid="{00000000-0005-0000-0000-0000B60A0000}"/>
    <cellStyle name="20% - Accent2 2 3 3 3 3" xfId="6851" xr:uid="{00000000-0005-0000-0000-0000B70A0000}"/>
    <cellStyle name="20% - Accent2 2 3 3 3 3 2" xfId="17091" xr:uid="{00000000-0005-0000-0000-0000B80A0000}"/>
    <cellStyle name="20% - Accent2 2 3 3 3 3 2 2" xfId="37571" xr:uid="{00000000-0005-0000-0000-0000B90A0000}"/>
    <cellStyle name="20% - Accent2 2 3 3 3 3 3" xfId="27331" xr:uid="{00000000-0005-0000-0000-0000BA0A0000}"/>
    <cellStyle name="20% - Accent2 2 3 3 3 4" xfId="11971" xr:uid="{00000000-0005-0000-0000-0000BB0A0000}"/>
    <cellStyle name="20% - Accent2 2 3 3 3 4 2" xfId="32451" xr:uid="{00000000-0005-0000-0000-0000BC0A0000}"/>
    <cellStyle name="20% - Accent2 2 3 3 3 5" xfId="22211" xr:uid="{00000000-0005-0000-0000-0000BD0A0000}"/>
    <cellStyle name="20% - Accent2 2 3 3 4" xfId="3011" xr:uid="{00000000-0005-0000-0000-0000BE0A0000}"/>
    <cellStyle name="20% - Accent2 2 3 3 4 2" xfId="8131" xr:uid="{00000000-0005-0000-0000-0000BF0A0000}"/>
    <cellStyle name="20% - Accent2 2 3 3 4 2 2" xfId="18371" xr:uid="{00000000-0005-0000-0000-0000C00A0000}"/>
    <cellStyle name="20% - Accent2 2 3 3 4 2 2 2" xfId="38851" xr:uid="{00000000-0005-0000-0000-0000C10A0000}"/>
    <cellStyle name="20% - Accent2 2 3 3 4 2 3" xfId="28611" xr:uid="{00000000-0005-0000-0000-0000C20A0000}"/>
    <cellStyle name="20% - Accent2 2 3 3 4 3" xfId="13251" xr:uid="{00000000-0005-0000-0000-0000C30A0000}"/>
    <cellStyle name="20% - Accent2 2 3 3 4 3 2" xfId="33731" xr:uid="{00000000-0005-0000-0000-0000C40A0000}"/>
    <cellStyle name="20% - Accent2 2 3 3 4 4" xfId="23491" xr:uid="{00000000-0005-0000-0000-0000C50A0000}"/>
    <cellStyle name="20% - Accent2 2 3 3 5" xfId="5571" xr:uid="{00000000-0005-0000-0000-0000C60A0000}"/>
    <cellStyle name="20% - Accent2 2 3 3 5 2" xfId="15811" xr:uid="{00000000-0005-0000-0000-0000C70A0000}"/>
    <cellStyle name="20% - Accent2 2 3 3 5 2 2" xfId="36291" xr:uid="{00000000-0005-0000-0000-0000C80A0000}"/>
    <cellStyle name="20% - Accent2 2 3 3 5 3" xfId="26051" xr:uid="{00000000-0005-0000-0000-0000C90A0000}"/>
    <cellStyle name="20% - Accent2 2 3 3 6" xfId="10691" xr:uid="{00000000-0005-0000-0000-0000CA0A0000}"/>
    <cellStyle name="20% - Accent2 2 3 3 6 2" xfId="31171" xr:uid="{00000000-0005-0000-0000-0000CB0A0000}"/>
    <cellStyle name="20% - Accent2 2 3 3 7" xfId="20931" xr:uid="{00000000-0005-0000-0000-0000CC0A0000}"/>
    <cellStyle name="20% - Accent2 2 3 4" xfId="771" xr:uid="{00000000-0005-0000-0000-0000CD0A0000}"/>
    <cellStyle name="20% - Accent2 2 3 4 2" xfId="2051" xr:uid="{00000000-0005-0000-0000-0000CE0A0000}"/>
    <cellStyle name="20% - Accent2 2 3 4 2 2" xfId="4611" xr:uid="{00000000-0005-0000-0000-0000CF0A0000}"/>
    <cellStyle name="20% - Accent2 2 3 4 2 2 2" xfId="9731" xr:uid="{00000000-0005-0000-0000-0000D00A0000}"/>
    <cellStyle name="20% - Accent2 2 3 4 2 2 2 2" xfId="19971" xr:uid="{00000000-0005-0000-0000-0000D10A0000}"/>
    <cellStyle name="20% - Accent2 2 3 4 2 2 2 2 2" xfId="40451" xr:uid="{00000000-0005-0000-0000-0000D20A0000}"/>
    <cellStyle name="20% - Accent2 2 3 4 2 2 2 3" xfId="30211" xr:uid="{00000000-0005-0000-0000-0000D30A0000}"/>
    <cellStyle name="20% - Accent2 2 3 4 2 2 3" xfId="14851" xr:uid="{00000000-0005-0000-0000-0000D40A0000}"/>
    <cellStyle name="20% - Accent2 2 3 4 2 2 3 2" xfId="35331" xr:uid="{00000000-0005-0000-0000-0000D50A0000}"/>
    <cellStyle name="20% - Accent2 2 3 4 2 2 4" xfId="25091" xr:uid="{00000000-0005-0000-0000-0000D60A0000}"/>
    <cellStyle name="20% - Accent2 2 3 4 2 3" xfId="7171" xr:uid="{00000000-0005-0000-0000-0000D70A0000}"/>
    <cellStyle name="20% - Accent2 2 3 4 2 3 2" xfId="17411" xr:uid="{00000000-0005-0000-0000-0000D80A0000}"/>
    <cellStyle name="20% - Accent2 2 3 4 2 3 2 2" xfId="37891" xr:uid="{00000000-0005-0000-0000-0000D90A0000}"/>
    <cellStyle name="20% - Accent2 2 3 4 2 3 3" xfId="27651" xr:uid="{00000000-0005-0000-0000-0000DA0A0000}"/>
    <cellStyle name="20% - Accent2 2 3 4 2 4" xfId="12291" xr:uid="{00000000-0005-0000-0000-0000DB0A0000}"/>
    <cellStyle name="20% - Accent2 2 3 4 2 4 2" xfId="32771" xr:uid="{00000000-0005-0000-0000-0000DC0A0000}"/>
    <cellStyle name="20% - Accent2 2 3 4 2 5" xfId="22531" xr:uid="{00000000-0005-0000-0000-0000DD0A0000}"/>
    <cellStyle name="20% - Accent2 2 3 4 3" xfId="3331" xr:uid="{00000000-0005-0000-0000-0000DE0A0000}"/>
    <cellStyle name="20% - Accent2 2 3 4 3 2" xfId="8451" xr:uid="{00000000-0005-0000-0000-0000DF0A0000}"/>
    <cellStyle name="20% - Accent2 2 3 4 3 2 2" xfId="18691" xr:uid="{00000000-0005-0000-0000-0000E00A0000}"/>
    <cellStyle name="20% - Accent2 2 3 4 3 2 2 2" xfId="39171" xr:uid="{00000000-0005-0000-0000-0000E10A0000}"/>
    <cellStyle name="20% - Accent2 2 3 4 3 2 3" xfId="28931" xr:uid="{00000000-0005-0000-0000-0000E20A0000}"/>
    <cellStyle name="20% - Accent2 2 3 4 3 3" xfId="13571" xr:uid="{00000000-0005-0000-0000-0000E30A0000}"/>
    <cellStyle name="20% - Accent2 2 3 4 3 3 2" xfId="34051" xr:uid="{00000000-0005-0000-0000-0000E40A0000}"/>
    <cellStyle name="20% - Accent2 2 3 4 3 4" xfId="23811" xr:uid="{00000000-0005-0000-0000-0000E50A0000}"/>
    <cellStyle name="20% - Accent2 2 3 4 4" xfId="5891" xr:uid="{00000000-0005-0000-0000-0000E60A0000}"/>
    <cellStyle name="20% - Accent2 2 3 4 4 2" xfId="16131" xr:uid="{00000000-0005-0000-0000-0000E70A0000}"/>
    <cellStyle name="20% - Accent2 2 3 4 4 2 2" xfId="36611" xr:uid="{00000000-0005-0000-0000-0000E80A0000}"/>
    <cellStyle name="20% - Accent2 2 3 4 4 3" xfId="26371" xr:uid="{00000000-0005-0000-0000-0000E90A0000}"/>
    <cellStyle name="20% - Accent2 2 3 4 5" xfId="11011" xr:uid="{00000000-0005-0000-0000-0000EA0A0000}"/>
    <cellStyle name="20% - Accent2 2 3 4 5 2" xfId="31491" xr:uid="{00000000-0005-0000-0000-0000EB0A0000}"/>
    <cellStyle name="20% - Accent2 2 3 4 6" xfId="21251" xr:uid="{00000000-0005-0000-0000-0000EC0A0000}"/>
    <cellStyle name="20% - Accent2 2 3 5" xfId="1411" xr:uid="{00000000-0005-0000-0000-0000ED0A0000}"/>
    <cellStyle name="20% - Accent2 2 3 5 2" xfId="3971" xr:uid="{00000000-0005-0000-0000-0000EE0A0000}"/>
    <cellStyle name="20% - Accent2 2 3 5 2 2" xfId="9091" xr:uid="{00000000-0005-0000-0000-0000EF0A0000}"/>
    <cellStyle name="20% - Accent2 2 3 5 2 2 2" xfId="19331" xr:uid="{00000000-0005-0000-0000-0000F00A0000}"/>
    <cellStyle name="20% - Accent2 2 3 5 2 2 2 2" xfId="39811" xr:uid="{00000000-0005-0000-0000-0000F10A0000}"/>
    <cellStyle name="20% - Accent2 2 3 5 2 2 3" xfId="29571" xr:uid="{00000000-0005-0000-0000-0000F20A0000}"/>
    <cellStyle name="20% - Accent2 2 3 5 2 3" xfId="14211" xr:uid="{00000000-0005-0000-0000-0000F30A0000}"/>
    <cellStyle name="20% - Accent2 2 3 5 2 3 2" xfId="34691" xr:uid="{00000000-0005-0000-0000-0000F40A0000}"/>
    <cellStyle name="20% - Accent2 2 3 5 2 4" xfId="24451" xr:uid="{00000000-0005-0000-0000-0000F50A0000}"/>
    <cellStyle name="20% - Accent2 2 3 5 3" xfId="6531" xr:uid="{00000000-0005-0000-0000-0000F60A0000}"/>
    <cellStyle name="20% - Accent2 2 3 5 3 2" xfId="16771" xr:uid="{00000000-0005-0000-0000-0000F70A0000}"/>
    <cellStyle name="20% - Accent2 2 3 5 3 2 2" xfId="37251" xr:uid="{00000000-0005-0000-0000-0000F80A0000}"/>
    <cellStyle name="20% - Accent2 2 3 5 3 3" xfId="27011" xr:uid="{00000000-0005-0000-0000-0000F90A0000}"/>
    <cellStyle name="20% - Accent2 2 3 5 4" xfId="11651" xr:uid="{00000000-0005-0000-0000-0000FA0A0000}"/>
    <cellStyle name="20% - Accent2 2 3 5 4 2" xfId="32131" xr:uid="{00000000-0005-0000-0000-0000FB0A0000}"/>
    <cellStyle name="20% - Accent2 2 3 5 5" xfId="21891" xr:uid="{00000000-0005-0000-0000-0000FC0A0000}"/>
    <cellStyle name="20% - Accent2 2 3 6" xfId="2691" xr:uid="{00000000-0005-0000-0000-0000FD0A0000}"/>
    <cellStyle name="20% - Accent2 2 3 6 2" xfId="7811" xr:uid="{00000000-0005-0000-0000-0000FE0A0000}"/>
    <cellStyle name="20% - Accent2 2 3 6 2 2" xfId="18051" xr:uid="{00000000-0005-0000-0000-0000FF0A0000}"/>
    <cellStyle name="20% - Accent2 2 3 6 2 2 2" xfId="38531" xr:uid="{00000000-0005-0000-0000-0000000B0000}"/>
    <cellStyle name="20% - Accent2 2 3 6 2 3" xfId="28291" xr:uid="{00000000-0005-0000-0000-0000010B0000}"/>
    <cellStyle name="20% - Accent2 2 3 6 3" xfId="12931" xr:uid="{00000000-0005-0000-0000-0000020B0000}"/>
    <cellStyle name="20% - Accent2 2 3 6 3 2" xfId="33411" xr:uid="{00000000-0005-0000-0000-0000030B0000}"/>
    <cellStyle name="20% - Accent2 2 3 6 4" xfId="23171" xr:uid="{00000000-0005-0000-0000-0000040B0000}"/>
    <cellStyle name="20% - Accent2 2 3 7" xfId="5251" xr:uid="{00000000-0005-0000-0000-0000050B0000}"/>
    <cellStyle name="20% - Accent2 2 3 7 2" xfId="15491" xr:uid="{00000000-0005-0000-0000-0000060B0000}"/>
    <cellStyle name="20% - Accent2 2 3 7 2 2" xfId="35971" xr:uid="{00000000-0005-0000-0000-0000070B0000}"/>
    <cellStyle name="20% - Accent2 2 3 7 3" xfId="25731" xr:uid="{00000000-0005-0000-0000-0000080B0000}"/>
    <cellStyle name="20% - Accent2 2 3 8" xfId="10371" xr:uid="{00000000-0005-0000-0000-0000090B0000}"/>
    <cellStyle name="20% - Accent2 2 3 8 2" xfId="30851" xr:uid="{00000000-0005-0000-0000-00000A0B0000}"/>
    <cellStyle name="20% - Accent2 2 3 9" xfId="20611" xr:uid="{00000000-0005-0000-0000-00000B0B0000}"/>
    <cellStyle name="20% - Accent2 2 4" xfId="211" xr:uid="{00000000-0005-0000-0000-00000C0B0000}"/>
    <cellStyle name="20% - Accent2 2 4 2" xfId="531" xr:uid="{00000000-0005-0000-0000-00000D0B0000}"/>
    <cellStyle name="20% - Accent2 2 4 2 2" xfId="1171" xr:uid="{00000000-0005-0000-0000-00000E0B0000}"/>
    <cellStyle name="20% - Accent2 2 4 2 2 2" xfId="2451" xr:uid="{00000000-0005-0000-0000-00000F0B0000}"/>
    <cellStyle name="20% - Accent2 2 4 2 2 2 2" xfId="5011" xr:uid="{00000000-0005-0000-0000-0000100B0000}"/>
    <cellStyle name="20% - Accent2 2 4 2 2 2 2 2" xfId="10131" xr:uid="{00000000-0005-0000-0000-0000110B0000}"/>
    <cellStyle name="20% - Accent2 2 4 2 2 2 2 2 2" xfId="20371" xr:uid="{00000000-0005-0000-0000-0000120B0000}"/>
    <cellStyle name="20% - Accent2 2 4 2 2 2 2 2 2 2" xfId="40851" xr:uid="{00000000-0005-0000-0000-0000130B0000}"/>
    <cellStyle name="20% - Accent2 2 4 2 2 2 2 2 3" xfId="30611" xr:uid="{00000000-0005-0000-0000-0000140B0000}"/>
    <cellStyle name="20% - Accent2 2 4 2 2 2 2 3" xfId="15251" xr:uid="{00000000-0005-0000-0000-0000150B0000}"/>
    <cellStyle name="20% - Accent2 2 4 2 2 2 2 3 2" xfId="35731" xr:uid="{00000000-0005-0000-0000-0000160B0000}"/>
    <cellStyle name="20% - Accent2 2 4 2 2 2 2 4" xfId="25491" xr:uid="{00000000-0005-0000-0000-0000170B0000}"/>
    <cellStyle name="20% - Accent2 2 4 2 2 2 3" xfId="7571" xr:uid="{00000000-0005-0000-0000-0000180B0000}"/>
    <cellStyle name="20% - Accent2 2 4 2 2 2 3 2" xfId="17811" xr:uid="{00000000-0005-0000-0000-0000190B0000}"/>
    <cellStyle name="20% - Accent2 2 4 2 2 2 3 2 2" xfId="38291" xr:uid="{00000000-0005-0000-0000-00001A0B0000}"/>
    <cellStyle name="20% - Accent2 2 4 2 2 2 3 3" xfId="28051" xr:uid="{00000000-0005-0000-0000-00001B0B0000}"/>
    <cellStyle name="20% - Accent2 2 4 2 2 2 4" xfId="12691" xr:uid="{00000000-0005-0000-0000-00001C0B0000}"/>
    <cellStyle name="20% - Accent2 2 4 2 2 2 4 2" xfId="33171" xr:uid="{00000000-0005-0000-0000-00001D0B0000}"/>
    <cellStyle name="20% - Accent2 2 4 2 2 2 5" xfId="22931" xr:uid="{00000000-0005-0000-0000-00001E0B0000}"/>
    <cellStyle name="20% - Accent2 2 4 2 2 3" xfId="3731" xr:uid="{00000000-0005-0000-0000-00001F0B0000}"/>
    <cellStyle name="20% - Accent2 2 4 2 2 3 2" xfId="8851" xr:uid="{00000000-0005-0000-0000-0000200B0000}"/>
    <cellStyle name="20% - Accent2 2 4 2 2 3 2 2" xfId="19091" xr:uid="{00000000-0005-0000-0000-0000210B0000}"/>
    <cellStyle name="20% - Accent2 2 4 2 2 3 2 2 2" xfId="39571" xr:uid="{00000000-0005-0000-0000-0000220B0000}"/>
    <cellStyle name="20% - Accent2 2 4 2 2 3 2 3" xfId="29331" xr:uid="{00000000-0005-0000-0000-0000230B0000}"/>
    <cellStyle name="20% - Accent2 2 4 2 2 3 3" xfId="13971" xr:uid="{00000000-0005-0000-0000-0000240B0000}"/>
    <cellStyle name="20% - Accent2 2 4 2 2 3 3 2" xfId="34451" xr:uid="{00000000-0005-0000-0000-0000250B0000}"/>
    <cellStyle name="20% - Accent2 2 4 2 2 3 4" xfId="24211" xr:uid="{00000000-0005-0000-0000-0000260B0000}"/>
    <cellStyle name="20% - Accent2 2 4 2 2 4" xfId="6291" xr:uid="{00000000-0005-0000-0000-0000270B0000}"/>
    <cellStyle name="20% - Accent2 2 4 2 2 4 2" xfId="16531" xr:uid="{00000000-0005-0000-0000-0000280B0000}"/>
    <cellStyle name="20% - Accent2 2 4 2 2 4 2 2" xfId="37011" xr:uid="{00000000-0005-0000-0000-0000290B0000}"/>
    <cellStyle name="20% - Accent2 2 4 2 2 4 3" xfId="26771" xr:uid="{00000000-0005-0000-0000-00002A0B0000}"/>
    <cellStyle name="20% - Accent2 2 4 2 2 5" xfId="11411" xr:uid="{00000000-0005-0000-0000-00002B0B0000}"/>
    <cellStyle name="20% - Accent2 2 4 2 2 5 2" xfId="31891" xr:uid="{00000000-0005-0000-0000-00002C0B0000}"/>
    <cellStyle name="20% - Accent2 2 4 2 2 6" xfId="21651" xr:uid="{00000000-0005-0000-0000-00002D0B0000}"/>
    <cellStyle name="20% - Accent2 2 4 2 3" xfId="1811" xr:uid="{00000000-0005-0000-0000-00002E0B0000}"/>
    <cellStyle name="20% - Accent2 2 4 2 3 2" xfId="4371" xr:uid="{00000000-0005-0000-0000-00002F0B0000}"/>
    <cellStyle name="20% - Accent2 2 4 2 3 2 2" xfId="9491" xr:uid="{00000000-0005-0000-0000-0000300B0000}"/>
    <cellStyle name="20% - Accent2 2 4 2 3 2 2 2" xfId="19731" xr:uid="{00000000-0005-0000-0000-0000310B0000}"/>
    <cellStyle name="20% - Accent2 2 4 2 3 2 2 2 2" xfId="40211" xr:uid="{00000000-0005-0000-0000-0000320B0000}"/>
    <cellStyle name="20% - Accent2 2 4 2 3 2 2 3" xfId="29971" xr:uid="{00000000-0005-0000-0000-0000330B0000}"/>
    <cellStyle name="20% - Accent2 2 4 2 3 2 3" xfId="14611" xr:uid="{00000000-0005-0000-0000-0000340B0000}"/>
    <cellStyle name="20% - Accent2 2 4 2 3 2 3 2" xfId="35091" xr:uid="{00000000-0005-0000-0000-0000350B0000}"/>
    <cellStyle name="20% - Accent2 2 4 2 3 2 4" xfId="24851" xr:uid="{00000000-0005-0000-0000-0000360B0000}"/>
    <cellStyle name="20% - Accent2 2 4 2 3 3" xfId="6931" xr:uid="{00000000-0005-0000-0000-0000370B0000}"/>
    <cellStyle name="20% - Accent2 2 4 2 3 3 2" xfId="17171" xr:uid="{00000000-0005-0000-0000-0000380B0000}"/>
    <cellStyle name="20% - Accent2 2 4 2 3 3 2 2" xfId="37651" xr:uid="{00000000-0005-0000-0000-0000390B0000}"/>
    <cellStyle name="20% - Accent2 2 4 2 3 3 3" xfId="27411" xr:uid="{00000000-0005-0000-0000-00003A0B0000}"/>
    <cellStyle name="20% - Accent2 2 4 2 3 4" xfId="12051" xr:uid="{00000000-0005-0000-0000-00003B0B0000}"/>
    <cellStyle name="20% - Accent2 2 4 2 3 4 2" xfId="32531" xr:uid="{00000000-0005-0000-0000-00003C0B0000}"/>
    <cellStyle name="20% - Accent2 2 4 2 3 5" xfId="22291" xr:uid="{00000000-0005-0000-0000-00003D0B0000}"/>
    <cellStyle name="20% - Accent2 2 4 2 4" xfId="3091" xr:uid="{00000000-0005-0000-0000-00003E0B0000}"/>
    <cellStyle name="20% - Accent2 2 4 2 4 2" xfId="8211" xr:uid="{00000000-0005-0000-0000-00003F0B0000}"/>
    <cellStyle name="20% - Accent2 2 4 2 4 2 2" xfId="18451" xr:uid="{00000000-0005-0000-0000-0000400B0000}"/>
    <cellStyle name="20% - Accent2 2 4 2 4 2 2 2" xfId="38931" xr:uid="{00000000-0005-0000-0000-0000410B0000}"/>
    <cellStyle name="20% - Accent2 2 4 2 4 2 3" xfId="28691" xr:uid="{00000000-0005-0000-0000-0000420B0000}"/>
    <cellStyle name="20% - Accent2 2 4 2 4 3" xfId="13331" xr:uid="{00000000-0005-0000-0000-0000430B0000}"/>
    <cellStyle name="20% - Accent2 2 4 2 4 3 2" xfId="33811" xr:uid="{00000000-0005-0000-0000-0000440B0000}"/>
    <cellStyle name="20% - Accent2 2 4 2 4 4" xfId="23571" xr:uid="{00000000-0005-0000-0000-0000450B0000}"/>
    <cellStyle name="20% - Accent2 2 4 2 5" xfId="5651" xr:uid="{00000000-0005-0000-0000-0000460B0000}"/>
    <cellStyle name="20% - Accent2 2 4 2 5 2" xfId="15891" xr:uid="{00000000-0005-0000-0000-0000470B0000}"/>
    <cellStyle name="20% - Accent2 2 4 2 5 2 2" xfId="36371" xr:uid="{00000000-0005-0000-0000-0000480B0000}"/>
    <cellStyle name="20% - Accent2 2 4 2 5 3" xfId="26131" xr:uid="{00000000-0005-0000-0000-0000490B0000}"/>
    <cellStyle name="20% - Accent2 2 4 2 6" xfId="10771" xr:uid="{00000000-0005-0000-0000-00004A0B0000}"/>
    <cellStyle name="20% - Accent2 2 4 2 6 2" xfId="31251" xr:uid="{00000000-0005-0000-0000-00004B0B0000}"/>
    <cellStyle name="20% - Accent2 2 4 2 7" xfId="21011" xr:uid="{00000000-0005-0000-0000-00004C0B0000}"/>
    <cellStyle name="20% - Accent2 2 4 3" xfId="851" xr:uid="{00000000-0005-0000-0000-00004D0B0000}"/>
    <cellStyle name="20% - Accent2 2 4 3 2" xfId="2131" xr:uid="{00000000-0005-0000-0000-00004E0B0000}"/>
    <cellStyle name="20% - Accent2 2 4 3 2 2" xfId="4691" xr:uid="{00000000-0005-0000-0000-00004F0B0000}"/>
    <cellStyle name="20% - Accent2 2 4 3 2 2 2" xfId="9811" xr:uid="{00000000-0005-0000-0000-0000500B0000}"/>
    <cellStyle name="20% - Accent2 2 4 3 2 2 2 2" xfId="20051" xr:uid="{00000000-0005-0000-0000-0000510B0000}"/>
    <cellStyle name="20% - Accent2 2 4 3 2 2 2 2 2" xfId="40531" xr:uid="{00000000-0005-0000-0000-0000520B0000}"/>
    <cellStyle name="20% - Accent2 2 4 3 2 2 2 3" xfId="30291" xr:uid="{00000000-0005-0000-0000-0000530B0000}"/>
    <cellStyle name="20% - Accent2 2 4 3 2 2 3" xfId="14931" xr:uid="{00000000-0005-0000-0000-0000540B0000}"/>
    <cellStyle name="20% - Accent2 2 4 3 2 2 3 2" xfId="35411" xr:uid="{00000000-0005-0000-0000-0000550B0000}"/>
    <cellStyle name="20% - Accent2 2 4 3 2 2 4" xfId="25171" xr:uid="{00000000-0005-0000-0000-0000560B0000}"/>
    <cellStyle name="20% - Accent2 2 4 3 2 3" xfId="7251" xr:uid="{00000000-0005-0000-0000-0000570B0000}"/>
    <cellStyle name="20% - Accent2 2 4 3 2 3 2" xfId="17491" xr:uid="{00000000-0005-0000-0000-0000580B0000}"/>
    <cellStyle name="20% - Accent2 2 4 3 2 3 2 2" xfId="37971" xr:uid="{00000000-0005-0000-0000-0000590B0000}"/>
    <cellStyle name="20% - Accent2 2 4 3 2 3 3" xfId="27731" xr:uid="{00000000-0005-0000-0000-00005A0B0000}"/>
    <cellStyle name="20% - Accent2 2 4 3 2 4" xfId="12371" xr:uid="{00000000-0005-0000-0000-00005B0B0000}"/>
    <cellStyle name="20% - Accent2 2 4 3 2 4 2" xfId="32851" xr:uid="{00000000-0005-0000-0000-00005C0B0000}"/>
    <cellStyle name="20% - Accent2 2 4 3 2 5" xfId="22611" xr:uid="{00000000-0005-0000-0000-00005D0B0000}"/>
    <cellStyle name="20% - Accent2 2 4 3 3" xfId="3411" xr:uid="{00000000-0005-0000-0000-00005E0B0000}"/>
    <cellStyle name="20% - Accent2 2 4 3 3 2" xfId="8531" xr:uid="{00000000-0005-0000-0000-00005F0B0000}"/>
    <cellStyle name="20% - Accent2 2 4 3 3 2 2" xfId="18771" xr:uid="{00000000-0005-0000-0000-0000600B0000}"/>
    <cellStyle name="20% - Accent2 2 4 3 3 2 2 2" xfId="39251" xr:uid="{00000000-0005-0000-0000-0000610B0000}"/>
    <cellStyle name="20% - Accent2 2 4 3 3 2 3" xfId="29011" xr:uid="{00000000-0005-0000-0000-0000620B0000}"/>
    <cellStyle name="20% - Accent2 2 4 3 3 3" xfId="13651" xr:uid="{00000000-0005-0000-0000-0000630B0000}"/>
    <cellStyle name="20% - Accent2 2 4 3 3 3 2" xfId="34131" xr:uid="{00000000-0005-0000-0000-0000640B0000}"/>
    <cellStyle name="20% - Accent2 2 4 3 3 4" xfId="23891" xr:uid="{00000000-0005-0000-0000-0000650B0000}"/>
    <cellStyle name="20% - Accent2 2 4 3 4" xfId="5971" xr:uid="{00000000-0005-0000-0000-0000660B0000}"/>
    <cellStyle name="20% - Accent2 2 4 3 4 2" xfId="16211" xr:uid="{00000000-0005-0000-0000-0000670B0000}"/>
    <cellStyle name="20% - Accent2 2 4 3 4 2 2" xfId="36691" xr:uid="{00000000-0005-0000-0000-0000680B0000}"/>
    <cellStyle name="20% - Accent2 2 4 3 4 3" xfId="26451" xr:uid="{00000000-0005-0000-0000-0000690B0000}"/>
    <cellStyle name="20% - Accent2 2 4 3 5" xfId="11091" xr:uid="{00000000-0005-0000-0000-00006A0B0000}"/>
    <cellStyle name="20% - Accent2 2 4 3 5 2" xfId="31571" xr:uid="{00000000-0005-0000-0000-00006B0B0000}"/>
    <cellStyle name="20% - Accent2 2 4 3 6" xfId="21331" xr:uid="{00000000-0005-0000-0000-00006C0B0000}"/>
    <cellStyle name="20% - Accent2 2 4 4" xfId="1491" xr:uid="{00000000-0005-0000-0000-00006D0B0000}"/>
    <cellStyle name="20% - Accent2 2 4 4 2" xfId="4051" xr:uid="{00000000-0005-0000-0000-00006E0B0000}"/>
    <cellStyle name="20% - Accent2 2 4 4 2 2" xfId="9171" xr:uid="{00000000-0005-0000-0000-00006F0B0000}"/>
    <cellStyle name="20% - Accent2 2 4 4 2 2 2" xfId="19411" xr:uid="{00000000-0005-0000-0000-0000700B0000}"/>
    <cellStyle name="20% - Accent2 2 4 4 2 2 2 2" xfId="39891" xr:uid="{00000000-0005-0000-0000-0000710B0000}"/>
    <cellStyle name="20% - Accent2 2 4 4 2 2 3" xfId="29651" xr:uid="{00000000-0005-0000-0000-0000720B0000}"/>
    <cellStyle name="20% - Accent2 2 4 4 2 3" xfId="14291" xr:uid="{00000000-0005-0000-0000-0000730B0000}"/>
    <cellStyle name="20% - Accent2 2 4 4 2 3 2" xfId="34771" xr:uid="{00000000-0005-0000-0000-0000740B0000}"/>
    <cellStyle name="20% - Accent2 2 4 4 2 4" xfId="24531" xr:uid="{00000000-0005-0000-0000-0000750B0000}"/>
    <cellStyle name="20% - Accent2 2 4 4 3" xfId="6611" xr:uid="{00000000-0005-0000-0000-0000760B0000}"/>
    <cellStyle name="20% - Accent2 2 4 4 3 2" xfId="16851" xr:uid="{00000000-0005-0000-0000-0000770B0000}"/>
    <cellStyle name="20% - Accent2 2 4 4 3 2 2" xfId="37331" xr:uid="{00000000-0005-0000-0000-0000780B0000}"/>
    <cellStyle name="20% - Accent2 2 4 4 3 3" xfId="27091" xr:uid="{00000000-0005-0000-0000-0000790B0000}"/>
    <cellStyle name="20% - Accent2 2 4 4 4" xfId="11731" xr:uid="{00000000-0005-0000-0000-00007A0B0000}"/>
    <cellStyle name="20% - Accent2 2 4 4 4 2" xfId="32211" xr:uid="{00000000-0005-0000-0000-00007B0B0000}"/>
    <cellStyle name="20% - Accent2 2 4 4 5" xfId="21971" xr:uid="{00000000-0005-0000-0000-00007C0B0000}"/>
    <cellStyle name="20% - Accent2 2 4 5" xfId="2771" xr:uid="{00000000-0005-0000-0000-00007D0B0000}"/>
    <cellStyle name="20% - Accent2 2 4 5 2" xfId="7891" xr:uid="{00000000-0005-0000-0000-00007E0B0000}"/>
    <cellStyle name="20% - Accent2 2 4 5 2 2" xfId="18131" xr:uid="{00000000-0005-0000-0000-00007F0B0000}"/>
    <cellStyle name="20% - Accent2 2 4 5 2 2 2" xfId="38611" xr:uid="{00000000-0005-0000-0000-0000800B0000}"/>
    <cellStyle name="20% - Accent2 2 4 5 2 3" xfId="28371" xr:uid="{00000000-0005-0000-0000-0000810B0000}"/>
    <cellStyle name="20% - Accent2 2 4 5 3" xfId="13011" xr:uid="{00000000-0005-0000-0000-0000820B0000}"/>
    <cellStyle name="20% - Accent2 2 4 5 3 2" xfId="33491" xr:uid="{00000000-0005-0000-0000-0000830B0000}"/>
    <cellStyle name="20% - Accent2 2 4 5 4" xfId="23251" xr:uid="{00000000-0005-0000-0000-0000840B0000}"/>
    <cellStyle name="20% - Accent2 2 4 6" xfId="5331" xr:uid="{00000000-0005-0000-0000-0000850B0000}"/>
    <cellStyle name="20% - Accent2 2 4 6 2" xfId="15571" xr:uid="{00000000-0005-0000-0000-0000860B0000}"/>
    <cellStyle name="20% - Accent2 2 4 6 2 2" xfId="36051" xr:uid="{00000000-0005-0000-0000-0000870B0000}"/>
    <cellStyle name="20% - Accent2 2 4 6 3" xfId="25811" xr:uid="{00000000-0005-0000-0000-0000880B0000}"/>
    <cellStyle name="20% - Accent2 2 4 7" xfId="10451" xr:uid="{00000000-0005-0000-0000-0000890B0000}"/>
    <cellStyle name="20% - Accent2 2 4 7 2" xfId="30931" xr:uid="{00000000-0005-0000-0000-00008A0B0000}"/>
    <cellStyle name="20% - Accent2 2 4 8" xfId="20691" xr:uid="{00000000-0005-0000-0000-00008B0B0000}"/>
    <cellStyle name="20% - Accent2 2 5" xfId="371" xr:uid="{00000000-0005-0000-0000-00008C0B0000}"/>
    <cellStyle name="20% - Accent2 2 5 2" xfId="1011" xr:uid="{00000000-0005-0000-0000-00008D0B0000}"/>
    <cellStyle name="20% - Accent2 2 5 2 2" xfId="2291" xr:uid="{00000000-0005-0000-0000-00008E0B0000}"/>
    <cellStyle name="20% - Accent2 2 5 2 2 2" xfId="4851" xr:uid="{00000000-0005-0000-0000-00008F0B0000}"/>
    <cellStyle name="20% - Accent2 2 5 2 2 2 2" xfId="9971" xr:uid="{00000000-0005-0000-0000-0000900B0000}"/>
    <cellStyle name="20% - Accent2 2 5 2 2 2 2 2" xfId="20211" xr:uid="{00000000-0005-0000-0000-0000910B0000}"/>
    <cellStyle name="20% - Accent2 2 5 2 2 2 2 2 2" xfId="40691" xr:uid="{00000000-0005-0000-0000-0000920B0000}"/>
    <cellStyle name="20% - Accent2 2 5 2 2 2 2 3" xfId="30451" xr:uid="{00000000-0005-0000-0000-0000930B0000}"/>
    <cellStyle name="20% - Accent2 2 5 2 2 2 3" xfId="15091" xr:uid="{00000000-0005-0000-0000-0000940B0000}"/>
    <cellStyle name="20% - Accent2 2 5 2 2 2 3 2" xfId="35571" xr:uid="{00000000-0005-0000-0000-0000950B0000}"/>
    <cellStyle name="20% - Accent2 2 5 2 2 2 4" xfId="25331" xr:uid="{00000000-0005-0000-0000-0000960B0000}"/>
    <cellStyle name="20% - Accent2 2 5 2 2 3" xfId="7411" xr:uid="{00000000-0005-0000-0000-0000970B0000}"/>
    <cellStyle name="20% - Accent2 2 5 2 2 3 2" xfId="17651" xr:uid="{00000000-0005-0000-0000-0000980B0000}"/>
    <cellStyle name="20% - Accent2 2 5 2 2 3 2 2" xfId="38131" xr:uid="{00000000-0005-0000-0000-0000990B0000}"/>
    <cellStyle name="20% - Accent2 2 5 2 2 3 3" xfId="27891" xr:uid="{00000000-0005-0000-0000-00009A0B0000}"/>
    <cellStyle name="20% - Accent2 2 5 2 2 4" xfId="12531" xr:uid="{00000000-0005-0000-0000-00009B0B0000}"/>
    <cellStyle name="20% - Accent2 2 5 2 2 4 2" xfId="33011" xr:uid="{00000000-0005-0000-0000-00009C0B0000}"/>
    <cellStyle name="20% - Accent2 2 5 2 2 5" xfId="22771" xr:uid="{00000000-0005-0000-0000-00009D0B0000}"/>
    <cellStyle name="20% - Accent2 2 5 2 3" xfId="3571" xr:uid="{00000000-0005-0000-0000-00009E0B0000}"/>
    <cellStyle name="20% - Accent2 2 5 2 3 2" xfId="8691" xr:uid="{00000000-0005-0000-0000-00009F0B0000}"/>
    <cellStyle name="20% - Accent2 2 5 2 3 2 2" xfId="18931" xr:uid="{00000000-0005-0000-0000-0000A00B0000}"/>
    <cellStyle name="20% - Accent2 2 5 2 3 2 2 2" xfId="39411" xr:uid="{00000000-0005-0000-0000-0000A10B0000}"/>
    <cellStyle name="20% - Accent2 2 5 2 3 2 3" xfId="29171" xr:uid="{00000000-0005-0000-0000-0000A20B0000}"/>
    <cellStyle name="20% - Accent2 2 5 2 3 3" xfId="13811" xr:uid="{00000000-0005-0000-0000-0000A30B0000}"/>
    <cellStyle name="20% - Accent2 2 5 2 3 3 2" xfId="34291" xr:uid="{00000000-0005-0000-0000-0000A40B0000}"/>
    <cellStyle name="20% - Accent2 2 5 2 3 4" xfId="24051" xr:uid="{00000000-0005-0000-0000-0000A50B0000}"/>
    <cellStyle name="20% - Accent2 2 5 2 4" xfId="6131" xr:uid="{00000000-0005-0000-0000-0000A60B0000}"/>
    <cellStyle name="20% - Accent2 2 5 2 4 2" xfId="16371" xr:uid="{00000000-0005-0000-0000-0000A70B0000}"/>
    <cellStyle name="20% - Accent2 2 5 2 4 2 2" xfId="36851" xr:uid="{00000000-0005-0000-0000-0000A80B0000}"/>
    <cellStyle name="20% - Accent2 2 5 2 4 3" xfId="26611" xr:uid="{00000000-0005-0000-0000-0000A90B0000}"/>
    <cellStyle name="20% - Accent2 2 5 2 5" xfId="11251" xr:uid="{00000000-0005-0000-0000-0000AA0B0000}"/>
    <cellStyle name="20% - Accent2 2 5 2 5 2" xfId="31731" xr:uid="{00000000-0005-0000-0000-0000AB0B0000}"/>
    <cellStyle name="20% - Accent2 2 5 2 6" xfId="21491" xr:uid="{00000000-0005-0000-0000-0000AC0B0000}"/>
    <cellStyle name="20% - Accent2 2 5 3" xfId="1651" xr:uid="{00000000-0005-0000-0000-0000AD0B0000}"/>
    <cellStyle name="20% - Accent2 2 5 3 2" xfId="4211" xr:uid="{00000000-0005-0000-0000-0000AE0B0000}"/>
    <cellStyle name="20% - Accent2 2 5 3 2 2" xfId="9331" xr:uid="{00000000-0005-0000-0000-0000AF0B0000}"/>
    <cellStyle name="20% - Accent2 2 5 3 2 2 2" xfId="19571" xr:uid="{00000000-0005-0000-0000-0000B00B0000}"/>
    <cellStyle name="20% - Accent2 2 5 3 2 2 2 2" xfId="40051" xr:uid="{00000000-0005-0000-0000-0000B10B0000}"/>
    <cellStyle name="20% - Accent2 2 5 3 2 2 3" xfId="29811" xr:uid="{00000000-0005-0000-0000-0000B20B0000}"/>
    <cellStyle name="20% - Accent2 2 5 3 2 3" xfId="14451" xr:uid="{00000000-0005-0000-0000-0000B30B0000}"/>
    <cellStyle name="20% - Accent2 2 5 3 2 3 2" xfId="34931" xr:uid="{00000000-0005-0000-0000-0000B40B0000}"/>
    <cellStyle name="20% - Accent2 2 5 3 2 4" xfId="24691" xr:uid="{00000000-0005-0000-0000-0000B50B0000}"/>
    <cellStyle name="20% - Accent2 2 5 3 3" xfId="6771" xr:uid="{00000000-0005-0000-0000-0000B60B0000}"/>
    <cellStyle name="20% - Accent2 2 5 3 3 2" xfId="17011" xr:uid="{00000000-0005-0000-0000-0000B70B0000}"/>
    <cellStyle name="20% - Accent2 2 5 3 3 2 2" xfId="37491" xr:uid="{00000000-0005-0000-0000-0000B80B0000}"/>
    <cellStyle name="20% - Accent2 2 5 3 3 3" xfId="27251" xr:uid="{00000000-0005-0000-0000-0000B90B0000}"/>
    <cellStyle name="20% - Accent2 2 5 3 4" xfId="11891" xr:uid="{00000000-0005-0000-0000-0000BA0B0000}"/>
    <cellStyle name="20% - Accent2 2 5 3 4 2" xfId="32371" xr:uid="{00000000-0005-0000-0000-0000BB0B0000}"/>
    <cellStyle name="20% - Accent2 2 5 3 5" xfId="22131" xr:uid="{00000000-0005-0000-0000-0000BC0B0000}"/>
    <cellStyle name="20% - Accent2 2 5 4" xfId="2931" xr:uid="{00000000-0005-0000-0000-0000BD0B0000}"/>
    <cellStyle name="20% - Accent2 2 5 4 2" xfId="8051" xr:uid="{00000000-0005-0000-0000-0000BE0B0000}"/>
    <cellStyle name="20% - Accent2 2 5 4 2 2" xfId="18291" xr:uid="{00000000-0005-0000-0000-0000BF0B0000}"/>
    <cellStyle name="20% - Accent2 2 5 4 2 2 2" xfId="38771" xr:uid="{00000000-0005-0000-0000-0000C00B0000}"/>
    <cellStyle name="20% - Accent2 2 5 4 2 3" xfId="28531" xr:uid="{00000000-0005-0000-0000-0000C10B0000}"/>
    <cellStyle name="20% - Accent2 2 5 4 3" xfId="13171" xr:uid="{00000000-0005-0000-0000-0000C20B0000}"/>
    <cellStyle name="20% - Accent2 2 5 4 3 2" xfId="33651" xr:uid="{00000000-0005-0000-0000-0000C30B0000}"/>
    <cellStyle name="20% - Accent2 2 5 4 4" xfId="23411" xr:uid="{00000000-0005-0000-0000-0000C40B0000}"/>
    <cellStyle name="20% - Accent2 2 5 5" xfId="5491" xr:uid="{00000000-0005-0000-0000-0000C50B0000}"/>
    <cellStyle name="20% - Accent2 2 5 5 2" xfId="15731" xr:uid="{00000000-0005-0000-0000-0000C60B0000}"/>
    <cellStyle name="20% - Accent2 2 5 5 2 2" xfId="36211" xr:uid="{00000000-0005-0000-0000-0000C70B0000}"/>
    <cellStyle name="20% - Accent2 2 5 5 3" xfId="25971" xr:uid="{00000000-0005-0000-0000-0000C80B0000}"/>
    <cellStyle name="20% - Accent2 2 5 6" xfId="10611" xr:uid="{00000000-0005-0000-0000-0000C90B0000}"/>
    <cellStyle name="20% - Accent2 2 5 6 2" xfId="31091" xr:uid="{00000000-0005-0000-0000-0000CA0B0000}"/>
    <cellStyle name="20% - Accent2 2 5 7" xfId="20851" xr:uid="{00000000-0005-0000-0000-0000CB0B0000}"/>
    <cellStyle name="20% - Accent2 2 6" xfId="691" xr:uid="{00000000-0005-0000-0000-0000CC0B0000}"/>
    <cellStyle name="20% - Accent2 2 6 2" xfId="1971" xr:uid="{00000000-0005-0000-0000-0000CD0B0000}"/>
    <cellStyle name="20% - Accent2 2 6 2 2" xfId="4531" xr:uid="{00000000-0005-0000-0000-0000CE0B0000}"/>
    <cellStyle name="20% - Accent2 2 6 2 2 2" xfId="9651" xr:uid="{00000000-0005-0000-0000-0000CF0B0000}"/>
    <cellStyle name="20% - Accent2 2 6 2 2 2 2" xfId="19891" xr:uid="{00000000-0005-0000-0000-0000D00B0000}"/>
    <cellStyle name="20% - Accent2 2 6 2 2 2 2 2" xfId="40371" xr:uid="{00000000-0005-0000-0000-0000D10B0000}"/>
    <cellStyle name="20% - Accent2 2 6 2 2 2 3" xfId="30131" xr:uid="{00000000-0005-0000-0000-0000D20B0000}"/>
    <cellStyle name="20% - Accent2 2 6 2 2 3" xfId="14771" xr:uid="{00000000-0005-0000-0000-0000D30B0000}"/>
    <cellStyle name="20% - Accent2 2 6 2 2 3 2" xfId="35251" xr:uid="{00000000-0005-0000-0000-0000D40B0000}"/>
    <cellStyle name="20% - Accent2 2 6 2 2 4" xfId="25011" xr:uid="{00000000-0005-0000-0000-0000D50B0000}"/>
    <cellStyle name="20% - Accent2 2 6 2 3" xfId="7091" xr:uid="{00000000-0005-0000-0000-0000D60B0000}"/>
    <cellStyle name="20% - Accent2 2 6 2 3 2" xfId="17331" xr:uid="{00000000-0005-0000-0000-0000D70B0000}"/>
    <cellStyle name="20% - Accent2 2 6 2 3 2 2" xfId="37811" xr:uid="{00000000-0005-0000-0000-0000D80B0000}"/>
    <cellStyle name="20% - Accent2 2 6 2 3 3" xfId="27571" xr:uid="{00000000-0005-0000-0000-0000D90B0000}"/>
    <cellStyle name="20% - Accent2 2 6 2 4" xfId="12211" xr:uid="{00000000-0005-0000-0000-0000DA0B0000}"/>
    <cellStyle name="20% - Accent2 2 6 2 4 2" xfId="32691" xr:uid="{00000000-0005-0000-0000-0000DB0B0000}"/>
    <cellStyle name="20% - Accent2 2 6 2 5" xfId="22451" xr:uid="{00000000-0005-0000-0000-0000DC0B0000}"/>
    <cellStyle name="20% - Accent2 2 6 3" xfId="3251" xr:uid="{00000000-0005-0000-0000-0000DD0B0000}"/>
    <cellStyle name="20% - Accent2 2 6 3 2" xfId="8371" xr:uid="{00000000-0005-0000-0000-0000DE0B0000}"/>
    <cellStyle name="20% - Accent2 2 6 3 2 2" xfId="18611" xr:uid="{00000000-0005-0000-0000-0000DF0B0000}"/>
    <cellStyle name="20% - Accent2 2 6 3 2 2 2" xfId="39091" xr:uid="{00000000-0005-0000-0000-0000E00B0000}"/>
    <cellStyle name="20% - Accent2 2 6 3 2 3" xfId="28851" xr:uid="{00000000-0005-0000-0000-0000E10B0000}"/>
    <cellStyle name="20% - Accent2 2 6 3 3" xfId="13491" xr:uid="{00000000-0005-0000-0000-0000E20B0000}"/>
    <cellStyle name="20% - Accent2 2 6 3 3 2" xfId="33971" xr:uid="{00000000-0005-0000-0000-0000E30B0000}"/>
    <cellStyle name="20% - Accent2 2 6 3 4" xfId="23731" xr:uid="{00000000-0005-0000-0000-0000E40B0000}"/>
    <cellStyle name="20% - Accent2 2 6 4" xfId="5811" xr:uid="{00000000-0005-0000-0000-0000E50B0000}"/>
    <cellStyle name="20% - Accent2 2 6 4 2" xfId="16051" xr:uid="{00000000-0005-0000-0000-0000E60B0000}"/>
    <cellStyle name="20% - Accent2 2 6 4 2 2" xfId="36531" xr:uid="{00000000-0005-0000-0000-0000E70B0000}"/>
    <cellStyle name="20% - Accent2 2 6 4 3" xfId="26291" xr:uid="{00000000-0005-0000-0000-0000E80B0000}"/>
    <cellStyle name="20% - Accent2 2 6 5" xfId="10931" xr:uid="{00000000-0005-0000-0000-0000E90B0000}"/>
    <cellStyle name="20% - Accent2 2 6 5 2" xfId="31411" xr:uid="{00000000-0005-0000-0000-0000EA0B0000}"/>
    <cellStyle name="20% - Accent2 2 6 6" xfId="21171" xr:uid="{00000000-0005-0000-0000-0000EB0B0000}"/>
    <cellStyle name="20% - Accent2 2 7" xfId="1331" xr:uid="{00000000-0005-0000-0000-0000EC0B0000}"/>
    <cellStyle name="20% - Accent2 2 7 2" xfId="3891" xr:uid="{00000000-0005-0000-0000-0000ED0B0000}"/>
    <cellStyle name="20% - Accent2 2 7 2 2" xfId="9011" xr:uid="{00000000-0005-0000-0000-0000EE0B0000}"/>
    <cellStyle name="20% - Accent2 2 7 2 2 2" xfId="19251" xr:uid="{00000000-0005-0000-0000-0000EF0B0000}"/>
    <cellStyle name="20% - Accent2 2 7 2 2 2 2" xfId="39731" xr:uid="{00000000-0005-0000-0000-0000F00B0000}"/>
    <cellStyle name="20% - Accent2 2 7 2 2 3" xfId="29491" xr:uid="{00000000-0005-0000-0000-0000F10B0000}"/>
    <cellStyle name="20% - Accent2 2 7 2 3" xfId="14131" xr:uid="{00000000-0005-0000-0000-0000F20B0000}"/>
    <cellStyle name="20% - Accent2 2 7 2 3 2" xfId="34611" xr:uid="{00000000-0005-0000-0000-0000F30B0000}"/>
    <cellStyle name="20% - Accent2 2 7 2 4" xfId="24371" xr:uid="{00000000-0005-0000-0000-0000F40B0000}"/>
    <cellStyle name="20% - Accent2 2 7 3" xfId="6451" xr:uid="{00000000-0005-0000-0000-0000F50B0000}"/>
    <cellStyle name="20% - Accent2 2 7 3 2" xfId="16691" xr:uid="{00000000-0005-0000-0000-0000F60B0000}"/>
    <cellStyle name="20% - Accent2 2 7 3 2 2" xfId="37171" xr:uid="{00000000-0005-0000-0000-0000F70B0000}"/>
    <cellStyle name="20% - Accent2 2 7 3 3" xfId="26931" xr:uid="{00000000-0005-0000-0000-0000F80B0000}"/>
    <cellStyle name="20% - Accent2 2 7 4" xfId="11571" xr:uid="{00000000-0005-0000-0000-0000F90B0000}"/>
    <cellStyle name="20% - Accent2 2 7 4 2" xfId="32051" xr:uid="{00000000-0005-0000-0000-0000FA0B0000}"/>
    <cellStyle name="20% - Accent2 2 7 5" xfId="21811" xr:uid="{00000000-0005-0000-0000-0000FB0B0000}"/>
    <cellStyle name="20% - Accent2 2 8" xfId="2611" xr:uid="{00000000-0005-0000-0000-0000FC0B0000}"/>
    <cellStyle name="20% - Accent2 2 8 2" xfId="7731" xr:uid="{00000000-0005-0000-0000-0000FD0B0000}"/>
    <cellStyle name="20% - Accent2 2 8 2 2" xfId="17971" xr:uid="{00000000-0005-0000-0000-0000FE0B0000}"/>
    <cellStyle name="20% - Accent2 2 8 2 2 2" xfId="38451" xr:uid="{00000000-0005-0000-0000-0000FF0B0000}"/>
    <cellStyle name="20% - Accent2 2 8 2 3" xfId="28211" xr:uid="{00000000-0005-0000-0000-0000000C0000}"/>
    <cellStyle name="20% - Accent2 2 8 3" xfId="12851" xr:uid="{00000000-0005-0000-0000-0000010C0000}"/>
    <cellStyle name="20% - Accent2 2 8 3 2" xfId="33331" xr:uid="{00000000-0005-0000-0000-0000020C0000}"/>
    <cellStyle name="20% - Accent2 2 8 4" xfId="23091" xr:uid="{00000000-0005-0000-0000-0000030C0000}"/>
    <cellStyle name="20% - Accent2 2 9" xfId="5171" xr:uid="{00000000-0005-0000-0000-0000040C0000}"/>
    <cellStyle name="20% - Accent2 2 9 2" xfId="15411" xr:uid="{00000000-0005-0000-0000-0000050C0000}"/>
    <cellStyle name="20% - Accent2 2 9 2 2" xfId="35891" xr:uid="{00000000-0005-0000-0000-0000060C0000}"/>
    <cellStyle name="20% - Accent2 2 9 3" xfId="25651" xr:uid="{00000000-0005-0000-0000-0000070C0000}"/>
    <cellStyle name="20% - Accent2 3" xfId="71" xr:uid="{00000000-0005-0000-0000-0000080C0000}"/>
    <cellStyle name="20% - Accent2 3 10" xfId="20551" xr:uid="{00000000-0005-0000-0000-0000090C0000}"/>
    <cellStyle name="20% - Accent2 3 2" xfId="151" xr:uid="{00000000-0005-0000-0000-00000A0C0000}"/>
    <cellStyle name="20% - Accent2 3 2 2" xfId="311" xr:uid="{00000000-0005-0000-0000-00000B0C0000}"/>
    <cellStyle name="20% - Accent2 3 2 2 2" xfId="631" xr:uid="{00000000-0005-0000-0000-00000C0C0000}"/>
    <cellStyle name="20% - Accent2 3 2 2 2 2" xfId="1271" xr:uid="{00000000-0005-0000-0000-00000D0C0000}"/>
    <cellStyle name="20% - Accent2 3 2 2 2 2 2" xfId="2551" xr:uid="{00000000-0005-0000-0000-00000E0C0000}"/>
    <cellStyle name="20% - Accent2 3 2 2 2 2 2 2" xfId="5111" xr:uid="{00000000-0005-0000-0000-00000F0C0000}"/>
    <cellStyle name="20% - Accent2 3 2 2 2 2 2 2 2" xfId="10231" xr:uid="{00000000-0005-0000-0000-0000100C0000}"/>
    <cellStyle name="20% - Accent2 3 2 2 2 2 2 2 2 2" xfId="20471" xr:uid="{00000000-0005-0000-0000-0000110C0000}"/>
    <cellStyle name="20% - Accent2 3 2 2 2 2 2 2 2 2 2" xfId="40951" xr:uid="{00000000-0005-0000-0000-0000120C0000}"/>
    <cellStyle name="20% - Accent2 3 2 2 2 2 2 2 2 3" xfId="30711" xr:uid="{00000000-0005-0000-0000-0000130C0000}"/>
    <cellStyle name="20% - Accent2 3 2 2 2 2 2 2 3" xfId="15351" xr:uid="{00000000-0005-0000-0000-0000140C0000}"/>
    <cellStyle name="20% - Accent2 3 2 2 2 2 2 2 3 2" xfId="35831" xr:uid="{00000000-0005-0000-0000-0000150C0000}"/>
    <cellStyle name="20% - Accent2 3 2 2 2 2 2 2 4" xfId="25591" xr:uid="{00000000-0005-0000-0000-0000160C0000}"/>
    <cellStyle name="20% - Accent2 3 2 2 2 2 2 3" xfId="7671" xr:uid="{00000000-0005-0000-0000-0000170C0000}"/>
    <cellStyle name="20% - Accent2 3 2 2 2 2 2 3 2" xfId="17911" xr:uid="{00000000-0005-0000-0000-0000180C0000}"/>
    <cellStyle name="20% - Accent2 3 2 2 2 2 2 3 2 2" xfId="38391" xr:uid="{00000000-0005-0000-0000-0000190C0000}"/>
    <cellStyle name="20% - Accent2 3 2 2 2 2 2 3 3" xfId="28151" xr:uid="{00000000-0005-0000-0000-00001A0C0000}"/>
    <cellStyle name="20% - Accent2 3 2 2 2 2 2 4" xfId="12791" xr:uid="{00000000-0005-0000-0000-00001B0C0000}"/>
    <cellStyle name="20% - Accent2 3 2 2 2 2 2 4 2" xfId="33271" xr:uid="{00000000-0005-0000-0000-00001C0C0000}"/>
    <cellStyle name="20% - Accent2 3 2 2 2 2 2 5" xfId="23031" xr:uid="{00000000-0005-0000-0000-00001D0C0000}"/>
    <cellStyle name="20% - Accent2 3 2 2 2 2 3" xfId="3831" xr:uid="{00000000-0005-0000-0000-00001E0C0000}"/>
    <cellStyle name="20% - Accent2 3 2 2 2 2 3 2" xfId="8951" xr:uid="{00000000-0005-0000-0000-00001F0C0000}"/>
    <cellStyle name="20% - Accent2 3 2 2 2 2 3 2 2" xfId="19191" xr:uid="{00000000-0005-0000-0000-0000200C0000}"/>
    <cellStyle name="20% - Accent2 3 2 2 2 2 3 2 2 2" xfId="39671" xr:uid="{00000000-0005-0000-0000-0000210C0000}"/>
    <cellStyle name="20% - Accent2 3 2 2 2 2 3 2 3" xfId="29431" xr:uid="{00000000-0005-0000-0000-0000220C0000}"/>
    <cellStyle name="20% - Accent2 3 2 2 2 2 3 3" xfId="14071" xr:uid="{00000000-0005-0000-0000-0000230C0000}"/>
    <cellStyle name="20% - Accent2 3 2 2 2 2 3 3 2" xfId="34551" xr:uid="{00000000-0005-0000-0000-0000240C0000}"/>
    <cellStyle name="20% - Accent2 3 2 2 2 2 3 4" xfId="24311" xr:uid="{00000000-0005-0000-0000-0000250C0000}"/>
    <cellStyle name="20% - Accent2 3 2 2 2 2 4" xfId="6391" xr:uid="{00000000-0005-0000-0000-0000260C0000}"/>
    <cellStyle name="20% - Accent2 3 2 2 2 2 4 2" xfId="16631" xr:uid="{00000000-0005-0000-0000-0000270C0000}"/>
    <cellStyle name="20% - Accent2 3 2 2 2 2 4 2 2" xfId="37111" xr:uid="{00000000-0005-0000-0000-0000280C0000}"/>
    <cellStyle name="20% - Accent2 3 2 2 2 2 4 3" xfId="26871" xr:uid="{00000000-0005-0000-0000-0000290C0000}"/>
    <cellStyle name="20% - Accent2 3 2 2 2 2 5" xfId="11511" xr:uid="{00000000-0005-0000-0000-00002A0C0000}"/>
    <cellStyle name="20% - Accent2 3 2 2 2 2 5 2" xfId="31991" xr:uid="{00000000-0005-0000-0000-00002B0C0000}"/>
    <cellStyle name="20% - Accent2 3 2 2 2 2 6" xfId="21751" xr:uid="{00000000-0005-0000-0000-00002C0C0000}"/>
    <cellStyle name="20% - Accent2 3 2 2 2 3" xfId="1911" xr:uid="{00000000-0005-0000-0000-00002D0C0000}"/>
    <cellStyle name="20% - Accent2 3 2 2 2 3 2" xfId="4471" xr:uid="{00000000-0005-0000-0000-00002E0C0000}"/>
    <cellStyle name="20% - Accent2 3 2 2 2 3 2 2" xfId="9591" xr:uid="{00000000-0005-0000-0000-00002F0C0000}"/>
    <cellStyle name="20% - Accent2 3 2 2 2 3 2 2 2" xfId="19831" xr:uid="{00000000-0005-0000-0000-0000300C0000}"/>
    <cellStyle name="20% - Accent2 3 2 2 2 3 2 2 2 2" xfId="40311" xr:uid="{00000000-0005-0000-0000-0000310C0000}"/>
    <cellStyle name="20% - Accent2 3 2 2 2 3 2 2 3" xfId="30071" xr:uid="{00000000-0005-0000-0000-0000320C0000}"/>
    <cellStyle name="20% - Accent2 3 2 2 2 3 2 3" xfId="14711" xr:uid="{00000000-0005-0000-0000-0000330C0000}"/>
    <cellStyle name="20% - Accent2 3 2 2 2 3 2 3 2" xfId="35191" xr:uid="{00000000-0005-0000-0000-0000340C0000}"/>
    <cellStyle name="20% - Accent2 3 2 2 2 3 2 4" xfId="24951" xr:uid="{00000000-0005-0000-0000-0000350C0000}"/>
    <cellStyle name="20% - Accent2 3 2 2 2 3 3" xfId="7031" xr:uid="{00000000-0005-0000-0000-0000360C0000}"/>
    <cellStyle name="20% - Accent2 3 2 2 2 3 3 2" xfId="17271" xr:uid="{00000000-0005-0000-0000-0000370C0000}"/>
    <cellStyle name="20% - Accent2 3 2 2 2 3 3 2 2" xfId="37751" xr:uid="{00000000-0005-0000-0000-0000380C0000}"/>
    <cellStyle name="20% - Accent2 3 2 2 2 3 3 3" xfId="27511" xr:uid="{00000000-0005-0000-0000-0000390C0000}"/>
    <cellStyle name="20% - Accent2 3 2 2 2 3 4" xfId="12151" xr:uid="{00000000-0005-0000-0000-00003A0C0000}"/>
    <cellStyle name="20% - Accent2 3 2 2 2 3 4 2" xfId="32631" xr:uid="{00000000-0005-0000-0000-00003B0C0000}"/>
    <cellStyle name="20% - Accent2 3 2 2 2 3 5" xfId="22391" xr:uid="{00000000-0005-0000-0000-00003C0C0000}"/>
    <cellStyle name="20% - Accent2 3 2 2 2 4" xfId="3191" xr:uid="{00000000-0005-0000-0000-00003D0C0000}"/>
    <cellStyle name="20% - Accent2 3 2 2 2 4 2" xfId="8311" xr:uid="{00000000-0005-0000-0000-00003E0C0000}"/>
    <cellStyle name="20% - Accent2 3 2 2 2 4 2 2" xfId="18551" xr:uid="{00000000-0005-0000-0000-00003F0C0000}"/>
    <cellStyle name="20% - Accent2 3 2 2 2 4 2 2 2" xfId="39031" xr:uid="{00000000-0005-0000-0000-0000400C0000}"/>
    <cellStyle name="20% - Accent2 3 2 2 2 4 2 3" xfId="28791" xr:uid="{00000000-0005-0000-0000-0000410C0000}"/>
    <cellStyle name="20% - Accent2 3 2 2 2 4 3" xfId="13431" xr:uid="{00000000-0005-0000-0000-0000420C0000}"/>
    <cellStyle name="20% - Accent2 3 2 2 2 4 3 2" xfId="33911" xr:uid="{00000000-0005-0000-0000-0000430C0000}"/>
    <cellStyle name="20% - Accent2 3 2 2 2 4 4" xfId="23671" xr:uid="{00000000-0005-0000-0000-0000440C0000}"/>
    <cellStyle name="20% - Accent2 3 2 2 2 5" xfId="5751" xr:uid="{00000000-0005-0000-0000-0000450C0000}"/>
    <cellStyle name="20% - Accent2 3 2 2 2 5 2" xfId="15991" xr:uid="{00000000-0005-0000-0000-0000460C0000}"/>
    <cellStyle name="20% - Accent2 3 2 2 2 5 2 2" xfId="36471" xr:uid="{00000000-0005-0000-0000-0000470C0000}"/>
    <cellStyle name="20% - Accent2 3 2 2 2 5 3" xfId="26231" xr:uid="{00000000-0005-0000-0000-0000480C0000}"/>
    <cellStyle name="20% - Accent2 3 2 2 2 6" xfId="10871" xr:uid="{00000000-0005-0000-0000-0000490C0000}"/>
    <cellStyle name="20% - Accent2 3 2 2 2 6 2" xfId="31351" xr:uid="{00000000-0005-0000-0000-00004A0C0000}"/>
    <cellStyle name="20% - Accent2 3 2 2 2 7" xfId="21111" xr:uid="{00000000-0005-0000-0000-00004B0C0000}"/>
    <cellStyle name="20% - Accent2 3 2 2 3" xfId="951" xr:uid="{00000000-0005-0000-0000-00004C0C0000}"/>
    <cellStyle name="20% - Accent2 3 2 2 3 2" xfId="2231" xr:uid="{00000000-0005-0000-0000-00004D0C0000}"/>
    <cellStyle name="20% - Accent2 3 2 2 3 2 2" xfId="4791" xr:uid="{00000000-0005-0000-0000-00004E0C0000}"/>
    <cellStyle name="20% - Accent2 3 2 2 3 2 2 2" xfId="9911" xr:uid="{00000000-0005-0000-0000-00004F0C0000}"/>
    <cellStyle name="20% - Accent2 3 2 2 3 2 2 2 2" xfId="20151" xr:uid="{00000000-0005-0000-0000-0000500C0000}"/>
    <cellStyle name="20% - Accent2 3 2 2 3 2 2 2 2 2" xfId="40631" xr:uid="{00000000-0005-0000-0000-0000510C0000}"/>
    <cellStyle name="20% - Accent2 3 2 2 3 2 2 2 3" xfId="30391" xr:uid="{00000000-0005-0000-0000-0000520C0000}"/>
    <cellStyle name="20% - Accent2 3 2 2 3 2 2 3" xfId="15031" xr:uid="{00000000-0005-0000-0000-0000530C0000}"/>
    <cellStyle name="20% - Accent2 3 2 2 3 2 2 3 2" xfId="35511" xr:uid="{00000000-0005-0000-0000-0000540C0000}"/>
    <cellStyle name="20% - Accent2 3 2 2 3 2 2 4" xfId="25271" xr:uid="{00000000-0005-0000-0000-0000550C0000}"/>
    <cellStyle name="20% - Accent2 3 2 2 3 2 3" xfId="7351" xr:uid="{00000000-0005-0000-0000-0000560C0000}"/>
    <cellStyle name="20% - Accent2 3 2 2 3 2 3 2" xfId="17591" xr:uid="{00000000-0005-0000-0000-0000570C0000}"/>
    <cellStyle name="20% - Accent2 3 2 2 3 2 3 2 2" xfId="38071" xr:uid="{00000000-0005-0000-0000-0000580C0000}"/>
    <cellStyle name="20% - Accent2 3 2 2 3 2 3 3" xfId="27831" xr:uid="{00000000-0005-0000-0000-0000590C0000}"/>
    <cellStyle name="20% - Accent2 3 2 2 3 2 4" xfId="12471" xr:uid="{00000000-0005-0000-0000-00005A0C0000}"/>
    <cellStyle name="20% - Accent2 3 2 2 3 2 4 2" xfId="32951" xr:uid="{00000000-0005-0000-0000-00005B0C0000}"/>
    <cellStyle name="20% - Accent2 3 2 2 3 2 5" xfId="22711" xr:uid="{00000000-0005-0000-0000-00005C0C0000}"/>
    <cellStyle name="20% - Accent2 3 2 2 3 3" xfId="3511" xr:uid="{00000000-0005-0000-0000-00005D0C0000}"/>
    <cellStyle name="20% - Accent2 3 2 2 3 3 2" xfId="8631" xr:uid="{00000000-0005-0000-0000-00005E0C0000}"/>
    <cellStyle name="20% - Accent2 3 2 2 3 3 2 2" xfId="18871" xr:uid="{00000000-0005-0000-0000-00005F0C0000}"/>
    <cellStyle name="20% - Accent2 3 2 2 3 3 2 2 2" xfId="39351" xr:uid="{00000000-0005-0000-0000-0000600C0000}"/>
    <cellStyle name="20% - Accent2 3 2 2 3 3 2 3" xfId="29111" xr:uid="{00000000-0005-0000-0000-0000610C0000}"/>
    <cellStyle name="20% - Accent2 3 2 2 3 3 3" xfId="13751" xr:uid="{00000000-0005-0000-0000-0000620C0000}"/>
    <cellStyle name="20% - Accent2 3 2 2 3 3 3 2" xfId="34231" xr:uid="{00000000-0005-0000-0000-0000630C0000}"/>
    <cellStyle name="20% - Accent2 3 2 2 3 3 4" xfId="23991" xr:uid="{00000000-0005-0000-0000-0000640C0000}"/>
    <cellStyle name="20% - Accent2 3 2 2 3 4" xfId="6071" xr:uid="{00000000-0005-0000-0000-0000650C0000}"/>
    <cellStyle name="20% - Accent2 3 2 2 3 4 2" xfId="16311" xr:uid="{00000000-0005-0000-0000-0000660C0000}"/>
    <cellStyle name="20% - Accent2 3 2 2 3 4 2 2" xfId="36791" xr:uid="{00000000-0005-0000-0000-0000670C0000}"/>
    <cellStyle name="20% - Accent2 3 2 2 3 4 3" xfId="26551" xr:uid="{00000000-0005-0000-0000-0000680C0000}"/>
    <cellStyle name="20% - Accent2 3 2 2 3 5" xfId="11191" xr:uid="{00000000-0005-0000-0000-0000690C0000}"/>
    <cellStyle name="20% - Accent2 3 2 2 3 5 2" xfId="31671" xr:uid="{00000000-0005-0000-0000-00006A0C0000}"/>
    <cellStyle name="20% - Accent2 3 2 2 3 6" xfId="21431" xr:uid="{00000000-0005-0000-0000-00006B0C0000}"/>
    <cellStyle name="20% - Accent2 3 2 2 4" xfId="1591" xr:uid="{00000000-0005-0000-0000-00006C0C0000}"/>
    <cellStyle name="20% - Accent2 3 2 2 4 2" xfId="4151" xr:uid="{00000000-0005-0000-0000-00006D0C0000}"/>
    <cellStyle name="20% - Accent2 3 2 2 4 2 2" xfId="9271" xr:uid="{00000000-0005-0000-0000-00006E0C0000}"/>
    <cellStyle name="20% - Accent2 3 2 2 4 2 2 2" xfId="19511" xr:uid="{00000000-0005-0000-0000-00006F0C0000}"/>
    <cellStyle name="20% - Accent2 3 2 2 4 2 2 2 2" xfId="39991" xr:uid="{00000000-0005-0000-0000-0000700C0000}"/>
    <cellStyle name="20% - Accent2 3 2 2 4 2 2 3" xfId="29751" xr:uid="{00000000-0005-0000-0000-0000710C0000}"/>
    <cellStyle name="20% - Accent2 3 2 2 4 2 3" xfId="14391" xr:uid="{00000000-0005-0000-0000-0000720C0000}"/>
    <cellStyle name="20% - Accent2 3 2 2 4 2 3 2" xfId="34871" xr:uid="{00000000-0005-0000-0000-0000730C0000}"/>
    <cellStyle name="20% - Accent2 3 2 2 4 2 4" xfId="24631" xr:uid="{00000000-0005-0000-0000-0000740C0000}"/>
    <cellStyle name="20% - Accent2 3 2 2 4 3" xfId="6711" xr:uid="{00000000-0005-0000-0000-0000750C0000}"/>
    <cellStyle name="20% - Accent2 3 2 2 4 3 2" xfId="16951" xr:uid="{00000000-0005-0000-0000-0000760C0000}"/>
    <cellStyle name="20% - Accent2 3 2 2 4 3 2 2" xfId="37431" xr:uid="{00000000-0005-0000-0000-0000770C0000}"/>
    <cellStyle name="20% - Accent2 3 2 2 4 3 3" xfId="27191" xr:uid="{00000000-0005-0000-0000-0000780C0000}"/>
    <cellStyle name="20% - Accent2 3 2 2 4 4" xfId="11831" xr:uid="{00000000-0005-0000-0000-0000790C0000}"/>
    <cellStyle name="20% - Accent2 3 2 2 4 4 2" xfId="32311" xr:uid="{00000000-0005-0000-0000-00007A0C0000}"/>
    <cellStyle name="20% - Accent2 3 2 2 4 5" xfId="22071" xr:uid="{00000000-0005-0000-0000-00007B0C0000}"/>
    <cellStyle name="20% - Accent2 3 2 2 5" xfId="2871" xr:uid="{00000000-0005-0000-0000-00007C0C0000}"/>
    <cellStyle name="20% - Accent2 3 2 2 5 2" xfId="7991" xr:uid="{00000000-0005-0000-0000-00007D0C0000}"/>
    <cellStyle name="20% - Accent2 3 2 2 5 2 2" xfId="18231" xr:uid="{00000000-0005-0000-0000-00007E0C0000}"/>
    <cellStyle name="20% - Accent2 3 2 2 5 2 2 2" xfId="38711" xr:uid="{00000000-0005-0000-0000-00007F0C0000}"/>
    <cellStyle name="20% - Accent2 3 2 2 5 2 3" xfId="28471" xr:uid="{00000000-0005-0000-0000-0000800C0000}"/>
    <cellStyle name="20% - Accent2 3 2 2 5 3" xfId="13111" xr:uid="{00000000-0005-0000-0000-0000810C0000}"/>
    <cellStyle name="20% - Accent2 3 2 2 5 3 2" xfId="33591" xr:uid="{00000000-0005-0000-0000-0000820C0000}"/>
    <cellStyle name="20% - Accent2 3 2 2 5 4" xfId="23351" xr:uid="{00000000-0005-0000-0000-0000830C0000}"/>
    <cellStyle name="20% - Accent2 3 2 2 6" xfId="5431" xr:uid="{00000000-0005-0000-0000-0000840C0000}"/>
    <cellStyle name="20% - Accent2 3 2 2 6 2" xfId="15671" xr:uid="{00000000-0005-0000-0000-0000850C0000}"/>
    <cellStyle name="20% - Accent2 3 2 2 6 2 2" xfId="36151" xr:uid="{00000000-0005-0000-0000-0000860C0000}"/>
    <cellStyle name="20% - Accent2 3 2 2 6 3" xfId="25911" xr:uid="{00000000-0005-0000-0000-0000870C0000}"/>
    <cellStyle name="20% - Accent2 3 2 2 7" xfId="10551" xr:uid="{00000000-0005-0000-0000-0000880C0000}"/>
    <cellStyle name="20% - Accent2 3 2 2 7 2" xfId="31031" xr:uid="{00000000-0005-0000-0000-0000890C0000}"/>
    <cellStyle name="20% - Accent2 3 2 2 8" xfId="20791" xr:uid="{00000000-0005-0000-0000-00008A0C0000}"/>
    <cellStyle name="20% - Accent2 3 2 3" xfId="471" xr:uid="{00000000-0005-0000-0000-00008B0C0000}"/>
    <cellStyle name="20% - Accent2 3 2 3 2" xfId="1111" xr:uid="{00000000-0005-0000-0000-00008C0C0000}"/>
    <cellStyle name="20% - Accent2 3 2 3 2 2" xfId="2391" xr:uid="{00000000-0005-0000-0000-00008D0C0000}"/>
    <cellStyle name="20% - Accent2 3 2 3 2 2 2" xfId="4951" xr:uid="{00000000-0005-0000-0000-00008E0C0000}"/>
    <cellStyle name="20% - Accent2 3 2 3 2 2 2 2" xfId="10071" xr:uid="{00000000-0005-0000-0000-00008F0C0000}"/>
    <cellStyle name="20% - Accent2 3 2 3 2 2 2 2 2" xfId="20311" xr:uid="{00000000-0005-0000-0000-0000900C0000}"/>
    <cellStyle name="20% - Accent2 3 2 3 2 2 2 2 2 2" xfId="40791" xr:uid="{00000000-0005-0000-0000-0000910C0000}"/>
    <cellStyle name="20% - Accent2 3 2 3 2 2 2 2 3" xfId="30551" xr:uid="{00000000-0005-0000-0000-0000920C0000}"/>
    <cellStyle name="20% - Accent2 3 2 3 2 2 2 3" xfId="15191" xr:uid="{00000000-0005-0000-0000-0000930C0000}"/>
    <cellStyle name="20% - Accent2 3 2 3 2 2 2 3 2" xfId="35671" xr:uid="{00000000-0005-0000-0000-0000940C0000}"/>
    <cellStyle name="20% - Accent2 3 2 3 2 2 2 4" xfId="25431" xr:uid="{00000000-0005-0000-0000-0000950C0000}"/>
    <cellStyle name="20% - Accent2 3 2 3 2 2 3" xfId="7511" xr:uid="{00000000-0005-0000-0000-0000960C0000}"/>
    <cellStyle name="20% - Accent2 3 2 3 2 2 3 2" xfId="17751" xr:uid="{00000000-0005-0000-0000-0000970C0000}"/>
    <cellStyle name="20% - Accent2 3 2 3 2 2 3 2 2" xfId="38231" xr:uid="{00000000-0005-0000-0000-0000980C0000}"/>
    <cellStyle name="20% - Accent2 3 2 3 2 2 3 3" xfId="27991" xr:uid="{00000000-0005-0000-0000-0000990C0000}"/>
    <cellStyle name="20% - Accent2 3 2 3 2 2 4" xfId="12631" xr:uid="{00000000-0005-0000-0000-00009A0C0000}"/>
    <cellStyle name="20% - Accent2 3 2 3 2 2 4 2" xfId="33111" xr:uid="{00000000-0005-0000-0000-00009B0C0000}"/>
    <cellStyle name="20% - Accent2 3 2 3 2 2 5" xfId="22871" xr:uid="{00000000-0005-0000-0000-00009C0C0000}"/>
    <cellStyle name="20% - Accent2 3 2 3 2 3" xfId="3671" xr:uid="{00000000-0005-0000-0000-00009D0C0000}"/>
    <cellStyle name="20% - Accent2 3 2 3 2 3 2" xfId="8791" xr:uid="{00000000-0005-0000-0000-00009E0C0000}"/>
    <cellStyle name="20% - Accent2 3 2 3 2 3 2 2" xfId="19031" xr:uid="{00000000-0005-0000-0000-00009F0C0000}"/>
    <cellStyle name="20% - Accent2 3 2 3 2 3 2 2 2" xfId="39511" xr:uid="{00000000-0005-0000-0000-0000A00C0000}"/>
    <cellStyle name="20% - Accent2 3 2 3 2 3 2 3" xfId="29271" xr:uid="{00000000-0005-0000-0000-0000A10C0000}"/>
    <cellStyle name="20% - Accent2 3 2 3 2 3 3" xfId="13911" xr:uid="{00000000-0005-0000-0000-0000A20C0000}"/>
    <cellStyle name="20% - Accent2 3 2 3 2 3 3 2" xfId="34391" xr:uid="{00000000-0005-0000-0000-0000A30C0000}"/>
    <cellStyle name="20% - Accent2 3 2 3 2 3 4" xfId="24151" xr:uid="{00000000-0005-0000-0000-0000A40C0000}"/>
    <cellStyle name="20% - Accent2 3 2 3 2 4" xfId="6231" xr:uid="{00000000-0005-0000-0000-0000A50C0000}"/>
    <cellStyle name="20% - Accent2 3 2 3 2 4 2" xfId="16471" xr:uid="{00000000-0005-0000-0000-0000A60C0000}"/>
    <cellStyle name="20% - Accent2 3 2 3 2 4 2 2" xfId="36951" xr:uid="{00000000-0005-0000-0000-0000A70C0000}"/>
    <cellStyle name="20% - Accent2 3 2 3 2 4 3" xfId="26711" xr:uid="{00000000-0005-0000-0000-0000A80C0000}"/>
    <cellStyle name="20% - Accent2 3 2 3 2 5" xfId="11351" xr:uid="{00000000-0005-0000-0000-0000A90C0000}"/>
    <cellStyle name="20% - Accent2 3 2 3 2 5 2" xfId="31831" xr:uid="{00000000-0005-0000-0000-0000AA0C0000}"/>
    <cellStyle name="20% - Accent2 3 2 3 2 6" xfId="21591" xr:uid="{00000000-0005-0000-0000-0000AB0C0000}"/>
    <cellStyle name="20% - Accent2 3 2 3 3" xfId="1751" xr:uid="{00000000-0005-0000-0000-0000AC0C0000}"/>
    <cellStyle name="20% - Accent2 3 2 3 3 2" xfId="4311" xr:uid="{00000000-0005-0000-0000-0000AD0C0000}"/>
    <cellStyle name="20% - Accent2 3 2 3 3 2 2" xfId="9431" xr:uid="{00000000-0005-0000-0000-0000AE0C0000}"/>
    <cellStyle name="20% - Accent2 3 2 3 3 2 2 2" xfId="19671" xr:uid="{00000000-0005-0000-0000-0000AF0C0000}"/>
    <cellStyle name="20% - Accent2 3 2 3 3 2 2 2 2" xfId="40151" xr:uid="{00000000-0005-0000-0000-0000B00C0000}"/>
    <cellStyle name="20% - Accent2 3 2 3 3 2 2 3" xfId="29911" xr:uid="{00000000-0005-0000-0000-0000B10C0000}"/>
    <cellStyle name="20% - Accent2 3 2 3 3 2 3" xfId="14551" xr:uid="{00000000-0005-0000-0000-0000B20C0000}"/>
    <cellStyle name="20% - Accent2 3 2 3 3 2 3 2" xfId="35031" xr:uid="{00000000-0005-0000-0000-0000B30C0000}"/>
    <cellStyle name="20% - Accent2 3 2 3 3 2 4" xfId="24791" xr:uid="{00000000-0005-0000-0000-0000B40C0000}"/>
    <cellStyle name="20% - Accent2 3 2 3 3 3" xfId="6871" xr:uid="{00000000-0005-0000-0000-0000B50C0000}"/>
    <cellStyle name="20% - Accent2 3 2 3 3 3 2" xfId="17111" xr:uid="{00000000-0005-0000-0000-0000B60C0000}"/>
    <cellStyle name="20% - Accent2 3 2 3 3 3 2 2" xfId="37591" xr:uid="{00000000-0005-0000-0000-0000B70C0000}"/>
    <cellStyle name="20% - Accent2 3 2 3 3 3 3" xfId="27351" xr:uid="{00000000-0005-0000-0000-0000B80C0000}"/>
    <cellStyle name="20% - Accent2 3 2 3 3 4" xfId="11991" xr:uid="{00000000-0005-0000-0000-0000B90C0000}"/>
    <cellStyle name="20% - Accent2 3 2 3 3 4 2" xfId="32471" xr:uid="{00000000-0005-0000-0000-0000BA0C0000}"/>
    <cellStyle name="20% - Accent2 3 2 3 3 5" xfId="22231" xr:uid="{00000000-0005-0000-0000-0000BB0C0000}"/>
    <cellStyle name="20% - Accent2 3 2 3 4" xfId="3031" xr:uid="{00000000-0005-0000-0000-0000BC0C0000}"/>
    <cellStyle name="20% - Accent2 3 2 3 4 2" xfId="8151" xr:uid="{00000000-0005-0000-0000-0000BD0C0000}"/>
    <cellStyle name="20% - Accent2 3 2 3 4 2 2" xfId="18391" xr:uid="{00000000-0005-0000-0000-0000BE0C0000}"/>
    <cellStyle name="20% - Accent2 3 2 3 4 2 2 2" xfId="38871" xr:uid="{00000000-0005-0000-0000-0000BF0C0000}"/>
    <cellStyle name="20% - Accent2 3 2 3 4 2 3" xfId="28631" xr:uid="{00000000-0005-0000-0000-0000C00C0000}"/>
    <cellStyle name="20% - Accent2 3 2 3 4 3" xfId="13271" xr:uid="{00000000-0005-0000-0000-0000C10C0000}"/>
    <cellStyle name="20% - Accent2 3 2 3 4 3 2" xfId="33751" xr:uid="{00000000-0005-0000-0000-0000C20C0000}"/>
    <cellStyle name="20% - Accent2 3 2 3 4 4" xfId="23511" xr:uid="{00000000-0005-0000-0000-0000C30C0000}"/>
    <cellStyle name="20% - Accent2 3 2 3 5" xfId="5591" xr:uid="{00000000-0005-0000-0000-0000C40C0000}"/>
    <cellStyle name="20% - Accent2 3 2 3 5 2" xfId="15831" xr:uid="{00000000-0005-0000-0000-0000C50C0000}"/>
    <cellStyle name="20% - Accent2 3 2 3 5 2 2" xfId="36311" xr:uid="{00000000-0005-0000-0000-0000C60C0000}"/>
    <cellStyle name="20% - Accent2 3 2 3 5 3" xfId="26071" xr:uid="{00000000-0005-0000-0000-0000C70C0000}"/>
    <cellStyle name="20% - Accent2 3 2 3 6" xfId="10711" xr:uid="{00000000-0005-0000-0000-0000C80C0000}"/>
    <cellStyle name="20% - Accent2 3 2 3 6 2" xfId="31191" xr:uid="{00000000-0005-0000-0000-0000C90C0000}"/>
    <cellStyle name="20% - Accent2 3 2 3 7" xfId="20951" xr:uid="{00000000-0005-0000-0000-0000CA0C0000}"/>
    <cellStyle name="20% - Accent2 3 2 4" xfId="791" xr:uid="{00000000-0005-0000-0000-0000CB0C0000}"/>
    <cellStyle name="20% - Accent2 3 2 4 2" xfId="2071" xr:uid="{00000000-0005-0000-0000-0000CC0C0000}"/>
    <cellStyle name="20% - Accent2 3 2 4 2 2" xfId="4631" xr:uid="{00000000-0005-0000-0000-0000CD0C0000}"/>
    <cellStyle name="20% - Accent2 3 2 4 2 2 2" xfId="9751" xr:uid="{00000000-0005-0000-0000-0000CE0C0000}"/>
    <cellStyle name="20% - Accent2 3 2 4 2 2 2 2" xfId="19991" xr:uid="{00000000-0005-0000-0000-0000CF0C0000}"/>
    <cellStyle name="20% - Accent2 3 2 4 2 2 2 2 2" xfId="40471" xr:uid="{00000000-0005-0000-0000-0000D00C0000}"/>
    <cellStyle name="20% - Accent2 3 2 4 2 2 2 3" xfId="30231" xr:uid="{00000000-0005-0000-0000-0000D10C0000}"/>
    <cellStyle name="20% - Accent2 3 2 4 2 2 3" xfId="14871" xr:uid="{00000000-0005-0000-0000-0000D20C0000}"/>
    <cellStyle name="20% - Accent2 3 2 4 2 2 3 2" xfId="35351" xr:uid="{00000000-0005-0000-0000-0000D30C0000}"/>
    <cellStyle name="20% - Accent2 3 2 4 2 2 4" xfId="25111" xr:uid="{00000000-0005-0000-0000-0000D40C0000}"/>
    <cellStyle name="20% - Accent2 3 2 4 2 3" xfId="7191" xr:uid="{00000000-0005-0000-0000-0000D50C0000}"/>
    <cellStyle name="20% - Accent2 3 2 4 2 3 2" xfId="17431" xr:uid="{00000000-0005-0000-0000-0000D60C0000}"/>
    <cellStyle name="20% - Accent2 3 2 4 2 3 2 2" xfId="37911" xr:uid="{00000000-0005-0000-0000-0000D70C0000}"/>
    <cellStyle name="20% - Accent2 3 2 4 2 3 3" xfId="27671" xr:uid="{00000000-0005-0000-0000-0000D80C0000}"/>
    <cellStyle name="20% - Accent2 3 2 4 2 4" xfId="12311" xr:uid="{00000000-0005-0000-0000-0000D90C0000}"/>
    <cellStyle name="20% - Accent2 3 2 4 2 4 2" xfId="32791" xr:uid="{00000000-0005-0000-0000-0000DA0C0000}"/>
    <cellStyle name="20% - Accent2 3 2 4 2 5" xfId="22551" xr:uid="{00000000-0005-0000-0000-0000DB0C0000}"/>
    <cellStyle name="20% - Accent2 3 2 4 3" xfId="3351" xr:uid="{00000000-0005-0000-0000-0000DC0C0000}"/>
    <cellStyle name="20% - Accent2 3 2 4 3 2" xfId="8471" xr:uid="{00000000-0005-0000-0000-0000DD0C0000}"/>
    <cellStyle name="20% - Accent2 3 2 4 3 2 2" xfId="18711" xr:uid="{00000000-0005-0000-0000-0000DE0C0000}"/>
    <cellStyle name="20% - Accent2 3 2 4 3 2 2 2" xfId="39191" xr:uid="{00000000-0005-0000-0000-0000DF0C0000}"/>
    <cellStyle name="20% - Accent2 3 2 4 3 2 3" xfId="28951" xr:uid="{00000000-0005-0000-0000-0000E00C0000}"/>
    <cellStyle name="20% - Accent2 3 2 4 3 3" xfId="13591" xr:uid="{00000000-0005-0000-0000-0000E10C0000}"/>
    <cellStyle name="20% - Accent2 3 2 4 3 3 2" xfId="34071" xr:uid="{00000000-0005-0000-0000-0000E20C0000}"/>
    <cellStyle name="20% - Accent2 3 2 4 3 4" xfId="23831" xr:uid="{00000000-0005-0000-0000-0000E30C0000}"/>
    <cellStyle name="20% - Accent2 3 2 4 4" xfId="5911" xr:uid="{00000000-0005-0000-0000-0000E40C0000}"/>
    <cellStyle name="20% - Accent2 3 2 4 4 2" xfId="16151" xr:uid="{00000000-0005-0000-0000-0000E50C0000}"/>
    <cellStyle name="20% - Accent2 3 2 4 4 2 2" xfId="36631" xr:uid="{00000000-0005-0000-0000-0000E60C0000}"/>
    <cellStyle name="20% - Accent2 3 2 4 4 3" xfId="26391" xr:uid="{00000000-0005-0000-0000-0000E70C0000}"/>
    <cellStyle name="20% - Accent2 3 2 4 5" xfId="11031" xr:uid="{00000000-0005-0000-0000-0000E80C0000}"/>
    <cellStyle name="20% - Accent2 3 2 4 5 2" xfId="31511" xr:uid="{00000000-0005-0000-0000-0000E90C0000}"/>
    <cellStyle name="20% - Accent2 3 2 4 6" xfId="21271" xr:uid="{00000000-0005-0000-0000-0000EA0C0000}"/>
    <cellStyle name="20% - Accent2 3 2 5" xfId="1431" xr:uid="{00000000-0005-0000-0000-0000EB0C0000}"/>
    <cellStyle name="20% - Accent2 3 2 5 2" xfId="3991" xr:uid="{00000000-0005-0000-0000-0000EC0C0000}"/>
    <cellStyle name="20% - Accent2 3 2 5 2 2" xfId="9111" xr:uid="{00000000-0005-0000-0000-0000ED0C0000}"/>
    <cellStyle name="20% - Accent2 3 2 5 2 2 2" xfId="19351" xr:uid="{00000000-0005-0000-0000-0000EE0C0000}"/>
    <cellStyle name="20% - Accent2 3 2 5 2 2 2 2" xfId="39831" xr:uid="{00000000-0005-0000-0000-0000EF0C0000}"/>
    <cellStyle name="20% - Accent2 3 2 5 2 2 3" xfId="29591" xr:uid="{00000000-0005-0000-0000-0000F00C0000}"/>
    <cellStyle name="20% - Accent2 3 2 5 2 3" xfId="14231" xr:uid="{00000000-0005-0000-0000-0000F10C0000}"/>
    <cellStyle name="20% - Accent2 3 2 5 2 3 2" xfId="34711" xr:uid="{00000000-0005-0000-0000-0000F20C0000}"/>
    <cellStyle name="20% - Accent2 3 2 5 2 4" xfId="24471" xr:uid="{00000000-0005-0000-0000-0000F30C0000}"/>
    <cellStyle name="20% - Accent2 3 2 5 3" xfId="6551" xr:uid="{00000000-0005-0000-0000-0000F40C0000}"/>
    <cellStyle name="20% - Accent2 3 2 5 3 2" xfId="16791" xr:uid="{00000000-0005-0000-0000-0000F50C0000}"/>
    <cellStyle name="20% - Accent2 3 2 5 3 2 2" xfId="37271" xr:uid="{00000000-0005-0000-0000-0000F60C0000}"/>
    <cellStyle name="20% - Accent2 3 2 5 3 3" xfId="27031" xr:uid="{00000000-0005-0000-0000-0000F70C0000}"/>
    <cellStyle name="20% - Accent2 3 2 5 4" xfId="11671" xr:uid="{00000000-0005-0000-0000-0000F80C0000}"/>
    <cellStyle name="20% - Accent2 3 2 5 4 2" xfId="32151" xr:uid="{00000000-0005-0000-0000-0000F90C0000}"/>
    <cellStyle name="20% - Accent2 3 2 5 5" xfId="21911" xr:uid="{00000000-0005-0000-0000-0000FA0C0000}"/>
    <cellStyle name="20% - Accent2 3 2 6" xfId="2711" xr:uid="{00000000-0005-0000-0000-0000FB0C0000}"/>
    <cellStyle name="20% - Accent2 3 2 6 2" xfId="7831" xr:uid="{00000000-0005-0000-0000-0000FC0C0000}"/>
    <cellStyle name="20% - Accent2 3 2 6 2 2" xfId="18071" xr:uid="{00000000-0005-0000-0000-0000FD0C0000}"/>
    <cellStyle name="20% - Accent2 3 2 6 2 2 2" xfId="38551" xr:uid="{00000000-0005-0000-0000-0000FE0C0000}"/>
    <cellStyle name="20% - Accent2 3 2 6 2 3" xfId="28311" xr:uid="{00000000-0005-0000-0000-0000FF0C0000}"/>
    <cellStyle name="20% - Accent2 3 2 6 3" xfId="12951" xr:uid="{00000000-0005-0000-0000-0000000D0000}"/>
    <cellStyle name="20% - Accent2 3 2 6 3 2" xfId="33431" xr:uid="{00000000-0005-0000-0000-0000010D0000}"/>
    <cellStyle name="20% - Accent2 3 2 6 4" xfId="23191" xr:uid="{00000000-0005-0000-0000-0000020D0000}"/>
    <cellStyle name="20% - Accent2 3 2 7" xfId="5271" xr:uid="{00000000-0005-0000-0000-0000030D0000}"/>
    <cellStyle name="20% - Accent2 3 2 7 2" xfId="15511" xr:uid="{00000000-0005-0000-0000-0000040D0000}"/>
    <cellStyle name="20% - Accent2 3 2 7 2 2" xfId="35991" xr:uid="{00000000-0005-0000-0000-0000050D0000}"/>
    <cellStyle name="20% - Accent2 3 2 7 3" xfId="25751" xr:uid="{00000000-0005-0000-0000-0000060D0000}"/>
    <cellStyle name="20% - Accent2 3 2 8" xfId="10391" xr:uid="{00000000-0005-0000-0000-0000070D0000}"/>
    <cellStyle name="20% - Accent2 3 2 8 2" xfId="30871" xr:uid="{00000000-0005-0000-0000-0000080D0000}"/>
    <cellStyle name="20% - Accent2 3 2 9" xfId="20631" xr:uid="{00000000-0005-0000-0000-0000090D0000}"/>
    <cellStyle name="20% - Accent2 3 3" xfId="231" xr:uid="{00000000-0005-0000-0000-00000A0D0000}"/>
    <cellStyle name="20% - Accent2 3 3 2" xfId="551" xr:uid="{00000000-0005-0000-0000-00000B0D0000}"/>
    <cellStyle name="20% - Accent2 3 3 2 2" xfId="1191" xr:uid="{00000000-0005-0000-0000-00000C0D0000}"/>
    <cellStyle name="20% - Accent2 3 3 2 2 2" xfId="2471" xr:uid="{00000000-0005-0000-0000-00000D0D0000}"/>
    <cellStyle name="20% - Accent2 3 3 2 2 2 2" xfId="5031" xr:uid="{00000000-0005-0000-0000-00000E0D0000}"/>
    <cellStyle name="20% - Accent2 3 3 2 2 2 2 2" xfId="10151" xr:uid="{00000000-0005-0000-0000-00000F0D0000}"/>
    <cellStyle name="20% - Accent2 3 3 2 2 2 2 2 2" xfId="20391" xr:uid="{00000000-0005-0000-0000-0000100D0000}"/>
    <cellStyle name="20% - Accent2 3 3 2 2 2 2 2 2 2" xfId="40871" xr:uid="{00000000-0005-0000-0000-0000110D0000}"/>
    <cellStyle name="20% - Accent2 3 3 2 2 2 2 2 3" xfId="30631" xr:uid="{00000000-0005-0000-0000-0000120D0000}"/>
    <cellStyle name="20% - Accent2 3 3 2 2 2 2 3" xfId="15271" xr:uid="{00000000-0005-0000-0000-0000130D0000}"/>
    <cellStyle name="20% - Accent2 3 3 2 2 2 2 3 2" xfId="35751" xr:uid="{00000000-0005-0000-0000-0000140D0000}"/>
    <cellStyle name="20% - Accent2 3 3 2 2 2 2 4" xfId="25511" xr:uid="{00000000-0005-0000-0000-0000150D0000}"/>
    <cellStyle name="20% - Accent2 3 3 2 2 2 3" xfId="7591" xr:uid="{00000000-0005-0000-0000-0000160D0000}"/>
    <cellStyle name="20% - Accent2 3 3 2 2 2 3 2" xfId="17831" xr:uid="{00000000-0005-0000-0000-0000170D0000}"/>
    <cellStyle name="20% - Accent2 3 3 2 2 2 3 2 2" xfId="38311" xr:uid="{00000000-0005-0000-0000-0000180D0000}"/>
    <cellStyle name="20% - Accent2 3 3 2 2 2 3 3" xfId="28071" xr:uid="{00000000-0005-0000-0000-0000190D0000}"/>
    <cellStyle name="20% - Accent2 3 3 2 2 2 4" xfId="12711" xr:uid="{00000000-0005-0000-0000-00001A0D0000}"/>
    <cellStyle name="20% - Accent2 3 3 2 2 2 4 2" xfId="33191" xr:uid="{00000000-0005-0000-0000-00001B0D0000}"/>
    <cellStyle name="20% - Accent2 3 3 2 2 2 5" xfId="22951" xr:uid="{00000000-0005-0000-0000-00001C0D0000}"/>
    <cellStyle name="20% - Accent2 3 3 2 2 3" xfId="3751" xr:uid="{00000000-0005-0000-0000-00001D0D0000}"/>
    <cellStyle name="20% - Accent2 3 3 2 2 3 2" xfId="8871" xr:uid="{00000000-0005-0000-0000-00001E0D0000}"/>
    <cellStyle name="20% - Accent2 3 3 2 2 3 2 2" xfId="19111" xr:uid="{00000000-0005-0000-0000-00001F0D0000}"/>
    <cellStyle name="20% - Accent2 3 3 2 2 3 2 2 2" xfId="39591" xr:uid="{00000000-0005-0000-0000-0000200D0000}"/>
    <cellStyle name="20% - Accent2 3 3 2 2 3 2 3" xfId="29351" xr:uid="{00000000-0005-0000-0000-0000210D0000}"/>
    <cellStyle name="20% - Accent2 3 3 2 2 3 3" xfId="13991" xr:uid="{00000000-0005-0000-0000-0000220D0000}"/>
    <cellStyle name="20% - Accent2 3 3 2 2 3 3 2" xfId="34471" xr:uid="{00000000-0005-0000-0000-0000230D0000}"/>
    <cellStyle name="20% - Accent2 3 3 2 2 3 4" xfId="24231" xr:uid="{00000000-0005-0000-0000-0000240D0000}"/>
    <cellStyle name="20% - Accent2 3 3 2 2 4" xfId="6311" xr:uid="{00000000-0005-0000-0000-0000250D0000}"/>
    <cellStyle name="20% - Accent2 3 3 2 2 4 2" xfId="16551" xr:uid="{00000000-0005-0000-0000-0000260D0000}"/>
    <cellStyle name="20% - Accent2 3 3 2 2 4 2 2" xfId="37031" xr:uid="{00000000-0005-0000-0000-0000270D0000}"/>
    <cellStyle name="20% - Accent2 3 3 2 2 4 3" xfId="26791" xr:uid="{00000000-0005-0000-0000-0000280D0000}"/>
    <cellStyle name="20% - Accent2 3 3 2 2 5" xfId="11431" xr:uid="{00000000-0005-0000-0000-0000290D0000}"/>
    <cellStyle name="20% - Accent2 3 3 2 2 5 2" xfId="31911" xr:uid="{00000000-0005-0000-0000-00002A0D0000}"/>
    <cellStyle name="20% - Accent2 3 3 2 2 6" xfId="21671" xr:uid="{00000000-0005-0000-0000-00002B0D0000}"/>
    <cellStyle name="20% - Accent2 3 3 2 3" xfId="1831" xr:uid="{00000000-0005-0000-0000-00002C0D0000}"/>
    <cellStyle name="20% - Accent2 3 3 2 3 2" xfId="4391" xr:uid="{00000000-0005-0000-0000-00002D0D0000}"/>
    <cellStyle name="20% - Accent2 3 3 2 3 2 2" xfId="9511" xr:uid="{00000000-0005-0000-0000-00002E0D0000}"/>
    <cellStyle name="20% - Accent2 3 3 2 3 2 2 2" xfId="19751" xr:uid="{00000000-0005-0000-0000-00002F0D0000}"/>
    <cellStyle name="20% - Accent2 3 3 2 3 2 2 2 2" xfId="40231" xr:uid="{00000000-0005-0000-0000-0000300D0000}"/>
    <cellStyle name="20% - Accent2 3 3 2 3 2 2 3" xfId="29991" xr:uid="{00000000-0005-0000-0000-0000310D0000}"/>
    <cellStyle name="20% - Accent2 3 3 2 3 2 3" xfId="14631" xr:uid="{00000000-0005-0000-0000-0000320D0000}"/>
    <cellStyle name="20% - Accent2 3 3 2 3 2 3 2" xfId="35111" xr:uid="{00000000-0005-0000-0000-0000330D0000}"/>
    <cellStyle name="20% - Accent2 3 3 2 3 2 4" xfId="24871" xr:uid="{00000000-0005-0000-0000-0000340D0000}"/>
    <cellStyle name="20% - Accent2 3 3 2 3 3" xfId="6951" xr:uid="{00000000-0005-0000-0000-0000350D0000}"/>
    <cellStyle name="20% - Accent2 3 3 2 3 3 2" xfId="17191" xr:uid="{00000000-0005-0000-0000-0000360D0000}"/>
    <cellStyle name="20% - Accent2 3 3 2 3 3 2 2" xfId="37671" xr:uid="{00000000-0005-0000-0000-0000370D0000}"/>
    <cellStyle name="20% - Accent2 3 3 2 3 3 3" xfId="27431" xr:uid="{00000000-0005-0000-0000-0000380D0000}"/>
    <cellStyle name="20% - Accent2 3 3 2 3 4" xfId="12071" xr:uid="{00000000-0005-0000-0000-0000390D0000}"/>
    <cellStyle name="20% - Accent2 3 3 2 3 4 2" xfId="32551" xr:uid="{00000000-0005-0000-0000-00003A0D0000}"/>
    <cellStyle name="20% - Accent2 3 3 2 3 5" xfId="22311" xr:uid="{00000000-0005-0000-0000-00003B0D0000}"/>
    <cellStyle name="20% - Accent2 3 3 2 4" xfId="3111" xr:uid="{00000000-0005-0000-0000-00003C0D0000}"/>
    <cellStyle name="20% - Accent2 3 3 2 4 2" xfId="8231" xr:uid="{00000000-0005-0000-0000-00003D0D0000}"/>
    <cellStyle name="20% - Accent2 3 3 2 4 2 2" xfId="18471" xr:uid="{00000000-0005-0000-0000-00003E0D0000}"/>
    <cellStyle name="20% - Accent2 3 3 2 4 2 2 2" xfId="38951" xr:uid="{00000000-0005-0000-0000-00003F0D0000}"/>
    <cellStyle name="20% - Accent2 3 3 2 4 2 3" xfId="28711" xr:uid="{00000000-0005-0000-0000-0000400D0000}"/>
    <cellStyle name="20% - Accent2 3 3 2 4 3" xfId="13351" xr:uid="{00000000-0005-0000-0000-0000410D0000}"/>
    <cellStyle name="20% - Accent2 3 3 2 4 3 2" xfId="33831" xr:uid="{00000000-0005-0000-0000-0000420D0000}"/>
    <cellStyle name="20% - Accent2 3 3 2 4 4" xfId="23591" xr:uid="{00000000-0005-0000-0000-0000430D0000}"/>
    <cellStyle name="20% - Accent2 3 3 2 5" xfId="5671" xr:uid="{00000000-0005-0000-0000-0000440D0000}"/>
    <cellStyle name="20% - Accent2 3 3 2 5 2" xfId="15911" xr:uid="{00000000-0005-0000-0000-0000450D0000}"/>
    <cellStyle name="20% - Accent2 3 3 2 5 2 2" xfId="36391" xr:uid="{00000000-0005-0000-0000-0000460D0000}"/>
    <cellStyle name="20% - Accent2 3 3 2 5 3" xfId="26151" xr:uid="{00000000-0005-0000-0000-0000470D0000}"/>
    <cellStyle name="20% - Accent2 3 3 2 6" xfId="10791" xr:uid="{00000000-0005-0000-0000-0000480D0000}"/>
    <cellStyle name="20% - Accent2 3 3 2 6 2" xfId="31271" xr:uid="{00000000-0005-0000-0000-0000490D0000}"/>
    <cellStyle name="20% - Accent2 3 3 2 7" xfId="21031" xr:uid="{00000000-0005-0000-0000-00004A0D0000}"/>
    <cellStyle name="20% - Accent2 3 3 3" xfId="871" xr:uid="{00000000-0005-0000-0000-00004B0D0000}"/>
    <cellStyle name="20% - Accent2 3 3 3 2" xfId="2151" xr:uid="{00000000-0005-0000-0000-00004C0D0000}"/>
    <cellStyle name="20% - Accent2 3 3 3 2 2" xfId="4711" xr:uid="{00000000-0005-0000-0000-00004D0D0000}"/>
    <cellStyle name="20% - Accent2 3 3 3 2 2 2" xfId="9831" xr:uid="{00000000-0005-0000-0000-00004E0D0000}"/>
    <cellStyle name="20% - Accent2 3 3 3 2 2 2 2" xfId="20071" xr:uid="{00000000-0005-0000-0000-00004F0D0000}"/>
    <cellStyle name="20% - Accent2 3 3 3 2 2 2 2 2" xfId="40551" xr:uid="{00000000-0005-0000-0000-0000500D0000}"/>
    <cellStyle name="20% - Accent2 3 3 3 2 2 2 3" xfId="30311" xr:uid="{00000000-0005-0000-0000-0000510D0000}"/>
    <cellStyle name="20% - Accent2 3 3 3 2 2 3" xfId="14951" xr:uid="{00000000-0005-0000-0000-0000520D0000}"/>
    <cellStyle name="20% - Accent2 3 3 3 2 2 3 2" xfId="35431" xr:uid="{00000000-0005-0000-0000-0000530D0000}"/>
    <cellStyle name="20% - Accent2 3 3 3 2 2 4" xfId="25191" xr:uid="{00000000-0005-0000-0000-0000540D0000}"/>
    <cellStyle name="20% - Accent2 3 3 3 2 3" xfId="7271" xr:uid="{00000000-0005-0000-0000-0000550D0000}"/>
    <cellStyle name="20% - Accent2 3 3 3 2 3 2" xfId="17511" xr:uid="{00000000-0005-0000-0000-0000560D0000}"/>
    <cellStyle name="20% - Accent2 3 3 3 2 3 2 2" xfId="37991" xr:uid="{00000000-0005-0000-0000-0000570D0000}"/>
    <cellStyle name="20% - Accent2 3 3 3 2 3 3" xfId="27751" xr:uid="{00000000-0005-0000-0000-0000580D0000}"/>
    <cellStyle name="20% - Accent2 3 3 3 2 4" xfId="12391" xr:uid="{00000000-0005-0000-0000-0000590D0000}"/>
    <cellStyle name="20% - Accent2 3 3 3 2 4 2" xfId="32871" xr:uid="{00000000-0005-0000-0000-00005A0D0000}"/>
    <cellStyle name="20% - Accent2 3 3 3 2 5" xfId="22631" xr:uid="{00000000-0005-0000-0000-00005B0D0000}"/>
    <cellStyle name="20% - Accent2 3 3 3 3" xfId="3431" xr:uid="{00000000-0005-0000-0000-00005C0D0000}"/>
    <cellStyle name="20% - Accent2 3 3 3 3 2" xfId="8551" xr:uid="{00000000-0005-0000-0000-00005D0D0000}"/>
    <cellStyle name="20% - Accent2 3 3 3 3 2 2" xfId="18791" xr:uid="{00000000-0005-0000-0000-00005E0D0000}"/>
    <cellStyle name="20% - Accent2 3 3 3 3 2 2 2" xfId="39271" xr:uid="{00000000-0005-0000-0000-00005F0D0000}"/>
    <cellStyle name="20% - Accent2 3 3 3 3 2 3" xfId="29031" xr:uid="{00000000-0005-0000-0000-0000600D0000}"/>
    <cellStyle name="20% - Accent2 3 3 3 3 3" xfId="13671" xr:uid="{00000000-0005-0000-0000-0000610D0000}"/>
    <cellStyle name="20% - Accent2 3 3 3 3 3 2" xfId="34151" xr:uid="{00000000-0005-0000-0000-0000620D0000}"/>
    <cellStyle name="20% - Accent2 3 3 3 3 4" xfId="23911" xr:uid="{00000000-0005-0000-0000-0000630D0000}"/>
    <cellStyle name="20% - Accent2 3 3 3 4" xfId="5991" xr:uid="{00000000-0005-0000-0000-0000640D0000}"/>
    <cellStyle name="20% - Accent2 3 3 3 4 2" xfId="16231" xr:uid="{00000000-0005-0000-0000-0000650D0000}"/>
    <cellStyle name="20% - Accent2 3 3 3 4 2 2" xfId="36711" xr:uid="{00000000-0005-0000-0000-0000660D0000}"/>
    <cellStyle name="20% - Accent2 3 3 3 4 3" xfId="26471" xr:uid="{00000000-0005-0000-0000-0000670D0000}"/>
    <cellStyle name="20% - Accent2 3 3 3 5" xfId="11111" xr:uid="{00000000-0005-0000-0000-0000680D0000}"/>
    <cellStyle name="20% - Accent2 3 3 3 5 2" xfId="31591" xr:uid="{00000000-0005-0000-0000-0000690D0000}"/>
    <cellStyle name="20% - Accent2 3 3 3 6" xfId="21351" xr:uid="{00000000-0005-0000-0000-00006A0D0000}"/>
    <cellStyle name="20% - Accent2 3 3 4" xfId="1511" xr:uid="{00000000-0005-0000-0000-00006B0D0000}"/>
    <cellStyle name="20% - Accent2 3 3 4 2" xfId="4071" xr:uid="{00000000-0005-0000-0000-00006C0D0000}"/>
    <cellStyle name="20% - Accent2 3 3 4 2 2" xfId="9191" xr:uid="{00000000-0005-0000-0000-00006D0D0000}"/>
    <cellStyle name="20% - Accent2 3 3 4 2 2 2" xfId="19431" xr:uid="{00000000-0005-0000-0000-00006E0D0000}"/>
    <cellStyle name="20% - Accent2 3 3 4 2 2 2 2" xfId="39911" xr:uid="{00000000-0005-0000-0000-00006F0D0000}"/>
    <cellStyle name="20% - Accent2 3 3 4 2 2 3" xfId="29671" xr:uid="{00000000-0005-0000-0000-0000700D0000}"/>
    <cellStyle name="20% - Accent2 3 3 4 2 3" xfId="14311" xr:uid="{00000000-0005-0000-0000-0000710D0000}"/>
    <cellStyle name="20% - Accent2 3 3 4 2 3 2" xfId="34791" xr:uid="{00000000-0005-0000-0000-0000720D0000}"/>
    <cellStyle name="20% - Accent2 3 3 4 2 4" xfId="24551" xr:uid="{00000000-0005-0000-0000-0000730D0000}"/>
    <cellStyle name="20% - Accent2 3 3 4 3" xfId="6631" xr:uid="{00000000-0005-0000-0000-0000740D0000}"/>
    <cellStyle name="20% - Accent2 3 3 4 3 2" xfId="16871" xr:uid="{00000000-0005-0000-0000-0000750D0000}"/>
    <cellStyle name="20% - Accent2 3 3 4 3 2 2" xfId="37351" xr:uid="{00000000-0005-0000-0000-0000760D0000}"/>
    <cellStyle name="20% - Accent2 3 3 4 3 3" xfId="27111" xr:uid="{00000000-0005-0000-0000-0000770D0000}"/>
    <cellStyle name="20% - Accent2 3 3 4 4" xfId="11751" xr:uid="{00000000-0005-0000-0000-0000780D0000}"/>
    <cellStyle name="20% - Accent2 3 3 4 4 2" xfId="32231" xr:uid="{00000000-0005-0000-0000-0000790D0000}"/>
    <cellStyle name="20% - Accent2 3 3 4 5" xfId="21991" xr:uid="{00000000-0005-0000-0000-00007A0D0000}"/>
    <cellStyle name="20% - Accent2 3 3 5" xfId="2791" xr:uid="{00000000-0005-0000-0000-00007B0D0000}"/>
    <cellStyle name="20% - Accent2 3 3 5 2" xfId="7911" xr:uid="{00000000-0005-0000-0000-00007C0D0000}"/>
    <cellStyle name="20% - Accent2 3 3 5 2 2" xfId="18151" xr:uid="{00000000-0005-0000-0000-00007D0D0000}"/>
    <cellStyle name="20% - Accent2 3 3 5 2 2 2" xfId="38631" xr:uid="{00000000-0005-0000-0000-00007E0D0000}"/>
    <cellStyle name="20% - Accent2 3 3 5 2 3" xfId="28391" xr:uid="{00000000-0005-0000-0000-00007F0D0000}"/>
    <cellStyle name="20% - Accent2 3 3 5 3" xfId="13031" xr:uid="{00000000-0005-0000-0000-0000800D0000}"/>
    <cellStyle name="20% - Accent2 3 3 5 3 2" xfId="33511" xr:uid="{00000000-0005-0000-0000-0000810D0000}"/>
    <cellStyle name="20% - Accent2 3 3 5 4" xfId="23271" xr:uid="{00000000-0005-0000-0000-0000820D0000}"/>
    <cellStyle name="20% - Accent2 3 3 6" xfId="5351" xr:uid="{00000000-0005-0000-0000-0000830D0000}"/>
    <cellStyle name="20% - Accent2 3 3 6 2" xfId="15591" xr:uid="{00000000-0005-0000-0000-0000840D0000}"/>
    <cellStyle name="20% - Accent2 3 3 6 2 2" xfId="36071" xr:uid="{00000000-0005-0000-0000-0000850D0000}"/>
    <cellStyle name="20% - Accent2 3 3 6 3" xfId="25831" xr:uid="{00000000-0005-0000-0000-0000860D0000}"/>
    <cellStyle name="20% - Accent2 3 3 7" xfId="10471" xr:uid="{00000000-0005-0000-0000-0000870D0000}"/>
    <cellStyle name="20% - Accent2 3 3 7 2" xfId="30951" xr:uid="{00000000-0005-0000-0000-0000880D0000}"/>
    <cellStyle name="20% - Accent2 3 3 8" xfId="20711" xr:uid="{00000000-0005-0000-0000-0000890D0000}"/>
    <cellStyle name="20% - Accent2 3 4" xfId="391" xr:uid="{00000000-0005-0000-0000-00008A0D0000}"/>
    <cellStyle name="20% - Accent2 3 4 2" xfId="1031" xr:uid="{00000000-0005-0000-0000-00008B0D0000}"/>
    <cellStyle name="20% - Accent2 3 4 2 2" xfId="2311" xr:uid="{00000000-0005-0000-0000-00008C0D0000}"/>
    <cellStyle name="20% - Accent2 3 4 2 2 2" xfId="4871" xr:uid="{00000000-0005-0000-0000-00008D0D0000}"/>
    <cellStyle name="20% - Accent2 3 4 2 2 2 2" xfId="9991" xr:uid="{00000000-0005-0000-0000-00008E0D0000}"/>
    <cellStyle name="20% - Accent2 3 4 2 2 2 2 2" xfId="20231" xr:uid="{00000000-0005-0000-0000-00008F0D0000}"/>
    <cellStyle name="20% - Accent2 3 4 2 2 2 2 2 2" xfId="40711" xr:uid="{00000000-0005-0000-0000-0000900D0000}"/>
    <cellStyle name="20% - Accent2 3 4 2 2 2 2 3" xfId="30471" xr:uid="{00000000-0005-0000-0000-0000910D0000}"/>
    <cellStyle name="20% - Accent2 3 4 2 2 2 3" xfId="15111" xr:uid="{00000000-0005-0000-0000-0000920D0000}"/>
    <cellStyle name="20% - Accent2 3 4 2 2 2 3 2" xfId="35591" xr:uid="{00000000-0005-0000-0000-0000930D0000}"/>
    <cellStyle name="20% - Accent2 3 4 2 2 2 4" xfId="25351" xr:uid="{00000000-0005-0000-0000-0000940D0000}"/>
    <cellStyle name="20% - Accent2 3 4 2 2 3" xfId="7431" xr:uid="{00000000-0005-0000-0000-0000950D0000}"/>
    <cellStyle name="20% - Accent2 3 4 2 2 3 2" xfId="17671" xr:uid="{00000000-0005-0000-0000-0000960D0000}"/>
    <cellStyle name="20% - Accent2 3 4 2 2 3 2 2" xfId="38151" xr:uid="{00000000-0005-0000-0000-0000970D0000}"/>
    <cellStyle name="20% - Accent2 3 4 2 2 3 3" xfId="27911" xr:uid="{00000000-0005-0000-0000-0000980D0000}"/>
    <cellStyle name="20% - Accent2 3 4 2 2 4" xfId="12551" xr:uid="{00000000-0005-0000-0000-0000990D0000}"/>
    <cellStyle name="20% - Accent2 3 4 2 2 4 2" xfId="33031" xr:uid="{00000000-0005-0000-0000-00009A0D0000}"/>
    <cellStyle name="20% - Accent2 3 4 2 2 5" xfId="22791" xr:uid="{00000000-0005-0000-0000-00009B0D0000}"/>
    <cellStyle name="20% - Accent2 3 4 2 3" xfId="3591" xr:uid="{00000000-0005-0000-0000-00009C0D0000}"/>
    <cellStyle name="20% - Accent2 3 4 2 3 2" xfId="8711" xr:uid="{00000000-0005-0000-0000-00009D0D0000}"/>
    <cellStyle name="20% - Accent2 3 4 2 3 2 2" xfId="18951" xr:uid="{00000000-0005-0000-0000-00009E0D0000}"/>
    <cellStyle name="20% - Accent2 3 4 2 3 2 2 2" xfId="39431" xr:uid="{00000000-0005-0000-0000-00009F0D0000}"/>
    <cellStyle name="20% - Accent2 3 4 2 3 2 3" xfId="29191" xr:uid="{00000000-0005-0000-0000-0000A00D0000}"/>
    <cellStyle name="20% - Accent2 3 4 2 3 3" xfId="13831" xr:uid="{00000000-0005-0000-0000-0000A10D0000}"/>
    <cellStyle name="20% - Accent2 3 4 2 3 3 2" xfId="34311" xr:uid="{00000000-0005-0000-0000-0000A20D0000}"/>
    <cellStyle name="20% - Accent2 3 4 2 3 4" xfId="24071" xr:uid="{00000000-0005-0000-0000-0000A30D0000}"/>
    <cellStyle name="20% - Accent2 3 4 2 4" xfId="6151" xr:uid="{00000000-0005-0000-0000-0000A40D0000}"/>
    <cellStyle name="20% - Accent2 3 4 2 4 2" xfId="16391" xr:uid="{00000000-0005-0000-0000-0000A50D0000}"/>
    <cellStyle name="20% - Accent2 3 4 2 4 2 2" xfId="36871" xr:uid="{00000000-0005-0000-0000-0000A60D0000}"/>
    <cellStyle name="20% - Accent2 3 4 2 4 3" xfId="26631" xr:uid="{00000000-0005-0000-0000-0000A70D0000}"/>
    <cellStyle name="20% - Accent2 3 4 2 5" xfId="11271" xr:uid="{00000000-0005-0000-0000-0000A80D0000}"/>
    <cellStyle name="20% - Accent2 3 4 2 5 2" xfId="31751" xr:uid="{00000000-0005-0000-0000-0000A90D0000}"/>
    <cellStyle name="20% - Accent2 3 4 2 6" xfId="21511" xr:uid="{00000000-0005-0000-0000-0000AA0D0000}"/>
    <cellStyle name="20% - Accent2 3 4 3" xfId="1671" xr:uid="{00000000-0005-0000-0000-0000AB0D0000}"/>
    <cellStyle name="20% - Accent2 3 4 3 2" xfId="4231" xr:uid="{00000000-0005-0000-0000-0000AC0D0000}"/>
    <cellStyle name="20% - Accent2 3 4 3 2 2" xfId="9351" xr:uid="{00000000-0005-0000-0000-0000AD0D0000}"/>
    <cellStyle name="20% - Accent2 3 4 3 2 2 2" xfId="19591" xr:uid="{00000000-0005-0000-0000-0000AE0D0000}"/>
    <cellStyle name="20% - Accent2 3 4 3 2 2 2 2" xfId="40071" xr:uid="{00000000-0005-0000-0000-0000AF0D0000}"/>
    <cellStyle name="20% - Accent2 3 4 3 2 2 3" xfId="29831" xr:uid="{00000000-0005-0000-0000-0000B00D0000}"/>
    <cellStyle name="20% - Accent2 3 4 3 2 3" xfId="14471" xr:uid="{00000000-0005-0000-0000-0000B10D0000}"/>
    <cellStyle name="20% - Accent2 3 4 3 2 3 2" xfId="34951" xr:uid="{00000000-0005-0000-0000-0000B20D0000}"/>
    <cellStyle name="20% - Accent2 3 4 3 2 4" xfId="24711" xr:uid="{00000000-0005-0000-0000-0000B30D0000}"/>
    <cellStyle name="20% - Accent2 3 4 3 3" xfId="6791" xr:uid="{00000000-0005-0000-0000-0000B40D0000}"/>
    <cellStyle name="20% - Accent2 3 4 3 3 2" xfId="17031" xr:uid="{00000000-0005-0000-0000-0000B50D0000}"/>
    <cellStyle name="20% - Accent2 3 4 3 3 2 2" xfId="37511" xr:uid="{00000000-0005-0000-0000-0000B60D0000}"/>
    <cellStyle name="20% - Accent2 3 4 3 3 3" xfId="27271" xr:uid="{00000000-0005-0000-0000-0000B70D0000}"/>
    <cellStyle name="20% - Accent2 3 4 3 4" xfId="11911" xr:uid="{00000000-0005-0000-0000-0000B80D0000}"/>
    <cellStyle name="20% - Accent2 3 4 3 4 2" xfId="32391" xr:uid="{00000000-0005-0000-0000-0000B90D0000}"/>
    <cellStyle name="20% - Accent2 3 4 3 5" xfId="22151" xr:uid="{00000000-0005-0000-0000-0000BA0D0000}"/>
    <cellStyle name="20% - Accent2 3 4 4" xfId="2951" xr:uid="{00000000-0005-0000-0000-0000BB0D0000}"/>
    <cellStyle name="20% - Accent2 3 4 4 2" xfId="8071" xr:uid="{00000000-0005-0000-0000-0000BC0D0000}"/>
    <cellStyle name="20% - Accent2 3 4 4 2 2" xfId="18311" xr:uid="{00000000-0005-0000-0000-0000BD0D0000}"/>
    <cellStyle name="20% - Accent2 3 4 4 2 2 2" xfId="38791" xr:uid="{00000000-0005-0000-0000-0000BE0D0000}"/>
    <cellStyle name="20% - Accent2 3 4 4 2 3" xfId="28551" xr:uid="{00000000-0005-0000-0000-0000BF0D0000}"/>
    <cellStyle name="20% - Accent2 3 4 4 3" xfId="13191" xr:uid="{00000000-0005-0000-0000-0000C00D0000}"/>
    <cellStyle name="20% - Accent2 3 4 4 3 2" xfId="33671" xr:uid="{00000000-0005-0000-0000-0000C10D0000}"/>
    <cellStyle name="20% - Accent2 3 4 4 4" xfId="23431" xr:uid="{00000000-0005-0000-0000-0000C20D0000}"/>
    <cellStyle name="20% - Accent2 3 4 5" xfId="5511" xr:uid="{00000000-0005-0000-0000-0000C30D0000}"/>
    <cellStyle name="20% - Accent2 3 4 5 2" xfId="15751" xr:uid="{00000000-0005-0000-0000-0000C40D0000}"/>
    <cellStyle name="20% - Accent2 3 4 5 2 2" xfId="36231" xr:uid="{00000000-0005-0000-0000-0000C50D0000}"/>
    <cellStyle name="20% - Accent2 3 4 5 3" xfId="25991" xr:uid="{00000000-0005-0000-0000-0000C60D0000}"/>
    <cellStyle name="20% - Accent2 3 4 6" xfId="10631" xr:uid="{00000000-0005-0000-0000-0000C70D0000}"/>
    <cellStyle name="20% - Accent2 3 4 6 2" xfId="31111" xr:uid="{00000000-0005-0000-0000-0000C80D0000}"/>
    <cellStyle name="20% - Accent2 3 4 7" xfId="20871" xr:uid="{00000000-0005-0000-0000-0000C90D0000}"/>
    <cellStyle name="20% - Accent2 3 5" xfId="711" xr:uid="{00000000-0005-0000-0000-0000CA0D0000}"/>
    <cellStyle name="20% - Accent2 3 5 2" xfId="1991" xr:uid="{00000000-0005-0000-0000-0000CB0D0000}"/>
    <cellStyle name="20% - Accent2 3 5 2 2" xfId="4551" xr:uid="{00000000-0005-0000-0000-0000CC0D0000}"/>
    <cellStyle name="20% - Accent2 3 5 2 2 2" xfId="9671" xr:uid="{00000000-0005-0000-0000-0000CD0D0000}"/>
    <cellStyle name="20% - Accent2 3 5 2 2 2 2" xfId="19911" xr:uid="{00000000-0005-0000-0000-0000CE0D0000}"/>
    <cellStyle name="20% - Accent2 3 5 2 2 2 2 2" xfId="40391" xr:uid="{00000000-0005-0000-0000-0000CF0D0000}"/>
    <cellStyle name="20% - Accent2 3 5 2 2 2 3" xfId="30151" xr:uid="{00000000-0005-0000-0000-0000D00D0000}"/>
    <cellStyle name="20% - Accent2 3 5 2 2 3" xfId="14791" xr:uid="{00000000-0005-0000-0000-0000D10D0000}"/>
    <cellStyle name="20% - Accent2 3 5 2 2 3 2" xfId="35271" xr:uid="{00000000-0005-0000-0000-0000D20D0000}"/>
    <cellStyle name="20% - Accent2 3 5 2 2 4" xfId="25031" xr:uid="{00000000-0005-0000-0000-0000D30D0000}"/>
    <cellStyle name="20% - Accent2 3 5 2 3" xfId="7111" xr:uid="{00000000-0005-0000-0000-0000D40D0000}"/>
    <cellStyle name="20% - Accent2 3 5 2 3 2" xfId="17351" xr:uid="{00000000-0005-0000-0000-0000D50D0000}"/>
    <cellStyle name="20% - Accent2 3 5 2 3 2 2" xfId="37831" xr:uid="{00000000-0005-0000-0000-0000D60D0000}"/>
    <cellStyle name="20% - Accent2 3 5 2 3 3" xfId="27591" xr:uid="{00000000-0005-0000-0000-0000D70D0000}"/>
    <cellStyle name="20% - Accent2 3 5 2 4" xfId="12231" xr:uid="{00000000-0005-0000-0000-0000D80D0000}"/>
    <cellStyle name="20% - Accent2 3 5 2 4 2" xfId="32711" xr:uid="{00000000-0005-0000-0000-0000D90D0000}"/>
    <cellStyle name="20% - Accent2 3 5 2 5" xfId="22471" xr:uid="{00000000-0005-0000-0000-0000DA0D0000}"/>
    <cellStyle name="20% - Accent2 3 5 3" xfId="3271" xr:uid="{00000000-0005-0000-0000-0000DB0D0000}"/>
    <cellStyle name="20% - Accent2 3 5 3 2" xfId="8391" xr:uid="{00000000-0005-0000-0000-0000DC0D0000}"/>
    <cellStyle name="20% - Accent2 3 5 3 2 2" xfId="18631" xr:uid="{00000000-0005-0000-0000-0000DD0D0000}"/>
    <cellStyle name="20% - Accent2 3 5 3 2 2 2" xfId="39111" xr:uid="{00000000-0005-0000-0000-0000DE0D0000}"/>
    <cellStyle name="20% - Accent2 3 5 3 2 3" xfId="28871" xr:uid="{00000000-0005-0000-0000-0000DF0D0000}"/>
    <cellStyle name="20% - Accent2 3 5 3 3" xfId="13511" xr:uid="{00000000-0005-0000-0000-0000E00D0000}"/>
    <cellStyle name="20% - Accent2 3 5 3 3 2" xfId="33991" xr:uid="{00000000-0005-0000-0000-0000E10D0000}"/>
    <cellStyle name="20% - Accent2 3 5 3 4" xfId="23751" xr:uid="{00000000-0005-0000-0000-0000E20D0000}"/>
    <cellStyle name="20% - Accent2 3 5 4" xfId="5831" xr:uid="{00000000-0005-0000-0000-0000E30D0000}"/>
    <cellStyle name="20% - Accent2 3 5 4 2" xfId="16071" xr:uid="{00000000-0005-0000-0000-0000E40D0000}"/>
    <cellStyle name="20% - Accent2 3 5 4 2 2" xfId="36551" xr:uid="{00000000-0005-0000-0000-0000E50D0000}"/>
    <cellStyle name="20% - Accent2 3 5 4 3" xfId="26311" xr:uid="{00000000-0005-0000-0000-0000E60D0000}"/>
    <cellStyle name="20% - Accent2 3 5 5" xfId="10951" xr:uid="{00000000-0005-0000-0000-0000E70D0000}"/>
    <cellStyle name="20% - Accent2 3 5 5 2" xfId="31431" xr:uid="{00000000-0005-0000-0000-0000E80D0000}"/>
    <cellStyle name="20% - Accent2 3 5 6" xfId="21191" xr:uid="{00000000-0005-0000-0000-0000E90D0000}"/>
    <cellStyle name="20% - Accent2 3 6" xfId="1351" xr:uid="{00000000-0005-0000-0000-0000EA0D0000}"/>
    <cellStyle name="20% - Accent2 3 6 2" xfId="3911" xr:uid="{00000000-0005-0000-0000-0000EB0D0000}"/>
    <cellStyle name="20% - Accent2 3 6 2 2" xfId="9031" xr:uid="{00000000-0005-0000-0000-0000EC0D0000}"/>
    <cellStyle name="20% - Accent2 3 6 2 2 2" xfId="19271" xr:uid="{00000000-0005-0000-0000-0000ED0D0000}"/>
    <cellStyle name="20% - Accent2 3 6 2 2 2 2" xfId="39751" xr:uid="{00000000-0005-0000-0000-0000EE0D0000}"/>
    <cellStyle name="20% - Accent2 3 6 2 2 3" xfId="29511" xr:uid="{00000000-0005-0000-0000-0000EF0D0000}"/>
    <cellStyle name="20% - Accent2 3 6 2 3" xfId="14151" xr:uid="{00000000-0005-0000-0000-0000F00D0000}"/>
    <cellStyle name="20% - Accent2 3 6 2 3 2" xfId="34631" xr:uid="{00000000-0005-0000-0000-0000F10D0000}"/>
    <cellStyle name="20% - Accent2 3 6 2 4" xfId="24391" xr:uid="{00000000-0005-0000-0000-0000F20D0000}"/>
    <cellStyle name="20% - Accent2 3 6 3" xfId="6471" xr:uid="{00000000-0005-0000-0000-0000F30D0000}"/>
    <cellStyle name="20% - Accent2 3 6 3 2" xfId="16711" xr:uid="{00000000-0005-0000-0000-0000F40D0000}"/>
    <cellStyle name="20% - Accent2 3 6 3 2 2" xfId="37191" xr:uid="{00000000-0005-0000-0000-0000F50D0000}"/>
    <cellStyle name="20% - Accent2 3 6 3 3" xfId="26951" xr:uid="{00000000-0005-0000-0000-0000F60D0000}"/>
    <cellStyle name="20% - Accent2 3 6 4" xfId="11591" xr:uid="{00000000-0005-0000-0000-0000F70D0000}"/>
    <cellStyle name="20% - Accent2 3 6 4 2" xfId="32071" xr:uid="{00000000-0005-0000-0000-0000F80D0000}"/>
    <cellStyle name="20% - Accent2 3 6 5" xfId="21831" xr:uid="{00000000-0005-0000-0000-0000F90D0000}"/>
    <cellStyle name="20% - Accent2 3 7" xfId="2631" xr:uid="{00000000-0005-0000-0000-0000FA0D0000}"/>
    <cellStyle name="20% - Accent2 3 7 2" xfId="7751" xr:uid="{00000000-0005-0000-0000-0000FB0D0000}"/>
    <cellStyle name="20% - Accent2 3 7 2 2" xfId="17991" xr:uid="{00000000-0005-0000-0000-0000FC0D0000}"/>
    <cellStyle name="20% - Accent2 3 7 2 2 2" xfId="38471" xr:uid="{00000000-0005-0000-0000-0000FD0D0000}"/>
    <cellStyle name="20% - Accent2 3 7 2 3" xfId="28231" xr:uid="{00000000-0005-0000-0000-0000FE0D0000}"/>
    <cellStyle name="20% - Accent2 3 7 3" xfId="12871" xr:uid="{00000000-0005-0000-0000-0000FF0D0000}"/>
    <cellStyle name="20% - Accent2 3 7 3 2" xfId="33351" xr:uid="{00000000-0005-0000-0000-0000000E0000}"/>
    <cellStyle name="20% - Accent2 3 7 4" xfId="23111" xr:uid="{00000000-0005-0000-0000-0000010E0000}"/>
    <cellStyle name="20% - Accent2 3 8" xfId="5191" xr:uid="{00000000-0005-0000-0000-0000020E0000}"/>
    <cellStyle name="20% - Accent2 3 8 2" xfId="15431" xr:uid="{00000000-0005-0000-0000-0000030E0000}"/>
    <cellStyle name="20% - Accent2 3 8 2 2" xfId="35911" xr:uid="{00000000-0005-0000-0000-0000040E0000}"/>
    <cellStyle name="20% - Accent2 3 8 3" xfId="25671" xr:uid="{00000000-0005-0000-0000-0000050E0000}"/>
    <cellStyle name="20% - Accent2 3 9" xfId="10311" xr:uid="{00000000-0005-0000-0000-0000060E0000}"/>
    <cellStyle name="20% - Accent2 3 9 2" xfId="30791" xr:uid="{00000000-0005-0000-0000-0000070E0000}"/>
    <cellStyle name="20% - Accent2 4" xfId="111" xr:uid="{00000000-0005-0000-0000-0000080E0000}"/>
    <cellStyle name="20% - Accent2 4 2" xfId="271" xr:uid="{00000000-0005-0000-0000-0000090E0000}"/>
    <cellStyle name="20% - Accent2 4 2 2" xfId="591" xr:uid="{00000000-0005-0000-0000-00000A0E0000}"/>
    <cellStyle name="20% - Accent2 4 2 2 2" xfId="1231" xr:uid="{00000000-0005-0000-0000-00000B0E0000}"/>
    <cellStyle name="20% - Accent2 4 2 2 2 2" xfId="2511" xr:uid="{00000000-0005-0000-0000-00000C0E0000}"/>
    <cellStyle name="20% - Accent2 4 2 2 2 2 2" xfId="5071" xr:uid="{00000000-0005-0000-0000-00000D0E0000}"/>
    <cellStyle name="20% - Accent2 4 2 2 2 2 2 2" xfId="10191" xr:uid="{00000000-0005-0000-0000-00000E0E0000}"/>
    <cellStyle name="20% - Accent2 4 2 2 2 2 2 2 2" xfId="20431" xr:uid="{00000000-0005-0000-0000-00000F0E0000}"/>
    <cellStyle name="20% - Accent2 4 2 2 2 2 2 2 2 2" xfId="40911" xr:uid="{00000000-0005-0000-0000-0000100E0000}"/>
    <cellStyle name="20% - Accent2 4 2 2 2 2 2 2 3" xfId="30671" xr:uid="{00000000-0005-0000-0000-0000110E0000}"/>
    <cellStyle name="20% - Accent2 4 2 2 2 2 2 3" xfId="15311" xr:uid="{00000000-0005-0000-0000-0000120E0000}"/>
    <cellStyle name="20% - Accent2 4 2 2 2 2 2 3 2" xfId="35791" xr:uid="{00000000-0005-0000-0000-0000130E0000}"/>
    <cellStyle name="20% - Accent2 4 2 2 2 2 2 4" xfId="25551" xr:uid="{00000000-0005-0000-0000-0000140E0000}"/>
    <cellStyle name="20% - Accent2 4 2 2 2 2 3" xfId="7631" xr:uid="{00000000-0005-0000-0000-0000150E0000}"/>
    <cellStyle name="20% - Accent2 4 2 2 2 2 3 2" xfId="17871" xr:uid="{00000000-0005-0000-0000-0000160E0000}"/>
    <cellStyle name="20% - Accent2 4 2 2 2 2 3 2 2" xfId="38351" xr:uid="{00000000-0005-0000-0000-0000170E0000}"/>
    <cellStyle name="20% - Accent2 4 2 2 2 2 3 3" xfId="28111" xr:uid="{00000000-0005-0000-0000-0000180E0000}"/>
    <cellStyle name="20% - Accent2 4 2 2 2 2 4" xfId="12751" xr:uid="{00000000-0005-0000-0000-0000190E0000}"/>
    <cellStyle name="20% - Accent2 4 2 2 2 2 4 2" xfId="33231" xr:uid="{00000000-0005-0000-0000-00001A0E0000}"/>
    <cellStyle name="20% - Accent2 4 2 2 2 2 5" xfId="22991" xr:uid="{00000000-0005-0000-0000-00001B0E0000}"/>
    <cellStyle name="20% - Accent2 4 2 2 2 3" xfId="3791" xr:uid="{00000000-0005-0000-0000-00001C0E0000}"/>
    <cellStyle name="20% - Accent2 4 2 2 2 3 2" xfId="8911" xr:uid="{00000000-0005-0000-0000-00001D0E0000}"/>
    <cellStyle name="20% - Accent2 4 2 2 2 3 2 2" xfId="19151" xr:uid="{00000000-0005-0000-0000-00001E0E0000}"/>
    <cellStyle name="20% - Accent2 4 2 2 2 3 2 2 2" xfId="39631" xr:uid="{00000000-0005-0000-0000-00001F0E0000}"/>
    <cellStyle name="20% - Accent2 4 2 2 2 3 2 3" xfId="29391" xr:uid="{00000000-0005-0000-0000-0000200E0000}"/>
    <cellStyle name="20% - Accent2 4 2 2 2 3 3" xfId="14031" xr:uid="{00000000-0005-0000-0000-0000210E0000}"/>
    <cellStyle name="20% - Accent2 4 2 2 2 3 3 2" xfId="34511" xr:uid="{00000000-0005-0000-0000-0000220E0000}"/>
    <cellStyle name="20% - Accent2 4 2 2 2 3 4" xfId="24271" xr:uid="{00000000-0005-0000-0000-0000230E0000}"/>
    <cellStyle name="20% - Accent2 4 2 2 2 4" xfId="6351" xr:uid="{00000000-0005-0000-0000-0000240E0000}"/>
    <cellStyle name="20% - Accent2 4 2 2 2 4 2" xfId="16591" xr:uid="{00000000-0005-0000-0000-0000250E0000}"/>
    <cellStyle name="20% - Accent2 4 2 2 2 4 2 2" xfId="37071" xr:uid="{00000000-0005-0000-0000-0000260E0000}"/>
    <cellStyle name="20% - Accent2 4 2 2 2 4 3" xfId="26831" xr:uid="{00000000-0005-0000-0000-0000270E0000}"/>
    <cellStyle name="20% - Accent2 4 2 2 2 5" xfId="11471" xr:uid="{00000000-0005-0000-0000-0000280E0000}"/>
    <cellStyle name="20% - Accent2 4 2 2 2 5 2" xfId="31951" xr:uid="{00000000-0005-0000-0000-0000290E0000}"/>
    <cellStyle name="20% - Accent2 4 2 2 2 6" xfId="21711" xr:uid="{00000000-0005-0000-0000-00002A0E0000}"/>
    <cellStyle name="20% - Accent2 4 2 2 3" xfId="1871" xr:uid="{00000000-0005-0000-0000-00002B0E0000}"/>
    <cellStyle name="20% - Accent2 4 2 2 3 2" xfId="4431" xr:uid="{00000000-0005-0000-0000-00002C0E0000}"/>
    <cellStyle name="20% - Accent2 4 2 2 3 2 2" xfId="9551" xr:uid="{00000000-0005-0000-0000-00002D0E0000}"/>
    <cellStyle name="20% - Accent2 4 2 2 3 2 2 2" xfId="19791" xr:uid="{00000000-0005-0000-0000-00002E0E0000}"/>
    <cellStyle name="20% - Accent2 4 2 2 3 2 2 2 2" xfId="40271" xr:uid="{00000000-0005-0000-0000-00002F0E0000}"/>
    <cellStyle name="20% - Accent2 4 2 2 3 2 2 3" xfId="30031" xr:uid="{00000000-0005-0000-0000-0000300E0000}"/>
    <cellStyle name="20% - Accent2 4 2 2 3 2 3" xfId="14671" xr:uid="{00000000-0005-0000-0000-0000310E0000}"/>
    <cellStyle name="20% - Accent2 4 2 2 3 2 3 2" xfId="35151" xr:uid="{00000000-0005-0000-0000-0000320E0000}"/>
    <cellStyle name="20% - Accent2 4 2 2 3 2 4" xfId="24911" xr:uid="{00000000-0005-0000-0000-0000330E0000}"/>
    <cellStyle name="20% - Accent2 4 2 2 3 3" xfId="6991" xr:uid="{00000000-0005-0000-0000-0000340E0000}"/>
    <cellStyle name="20% - Accent2 4 2 2 3 3 2" xfId="17231" xr:uid="{00000000-0005-0000-0000-0000350E0000}"/>
    <cellStyle name="20% - Accent2 4 2 2 3 3 2 2" xfId="37711" xr:uid="{00000000-0005-0000-0000-0000360E0000}"/>
    <cellStyle name="20% - Accent2 4 2 2 3 3 3" xfId="27471" xr:uid="{00000000-0005-0000-0000-0000370E0000}"/>
    <cellStyle name="20% - Accent2 4 2 2 3 4" xfId="12111" xr:uid="{00000000-0005-0000-0000-0000380E0000}"/>
    <cellStyle name="20% - Accent2 4 2 2 3 4 2" xfId="32591" xr:uid="{00000000-0005-0000-0000-0000390E0000}"/>
    <cellStyle name="20% - Accent2 4 2 2 3 5" xfId="22351" xr:uid="{00000000-0005-0000-0000-00003A0E0000}"/>
    <cellStyle name="20% - Accent2 4 2 2 4" xfId="3151" xr:uid="{00000000-0005-0000-0000-00003B0E0000}"/>
    <cellStyle name="20% - Accent2 4 2 2 4 2" xfId="8271" xr:uid="{00000000-0005-0000-0000-00003C0E0000}"/>
    <cellStyle name="20% - Accent2 4 2 2 4 2 2" xfId="18511" xr:uid="{00000000-0005-0000-0000-00003D0E0000}"/>
    <cellStyle name="20% - Accent2 4 2 2 4 2 2 2" xfId="38991" xr:uid="{00000000-0005-0000-0000-00003E0E0000}"/>
    <cellStyle name="20% - Accent2 4 2 2 4 2 3" xfId="28751" xr:uid="{00000000-0005-0000-0000-00003F0E0000}"/>
    <cellStyle name="20% - Accent2 4 2 2 4 3" xfId="13391" xr:uid="{00000000-0005-0000-0000-0000400E0000}"/>
    <cellStyle name="20% - Accent2 4 2 2 4 3 2" xfId="33871" xr:uid="{00000000-0005-0000-0000-0000410E0000}"/>
    <cellStyle name="20% - Accent2 4 2 2 4 4" xfId="23631" xr:uid="{00000000-0005-0000-0000-0000420E0000}"/>
    <cellStyle name="20% - Accent2 4 2 2 5" xfId="5711" xr:uid="{00000000-0005-0000-0000-0000430E0000}"/>
    <cellStyle name="20% - Accent2 4 2 2 5 2" xfId="15951" xr:uid="{00000000-0005-0000-0000-0000440E0000}"/>
    <cellStyle name="20% - Accent2 4 2 2 5 2 2" xfId="36431" xr:uid="{00000000-0005-0000-0000-0000450E0000}"/>
    <cellStyle name="20% - Accent2 4 2 2 5 3" xfId="26191" xr:uid="{00000000-0005-0000-0000-0000460E0000}"/>
    <cellStyle name="20% - Accent2 4 2 2 6" xfId="10831" xr:uid="{00000000-0005-0000-0000-0000470E0000}"/>
    <cellStyle name="20% - Accent2 4 2 2 6 2" xfId="31311" xr:uid="{00000000-0005-0000-0000-0000480E0000}"/>
    <cellStyle name="20% - Accent2 4 2 2 7" xfId="21071" xr:uid="{00000000-0005-0000-0000-0000490E0000}"/>
    <cellStyle name="20% - Accent2 4 2 3" xfId="911" xr:uid="{00000000-0005-0000-0000-00004A0E0000}"/>
    <cellStyle name="20% - Accent2 4 2 3 2" xfId="2191" xr:uid="{00000000-0005-0000-0000-00004B0E0000}"/>
    <cellStyle name="20% - Accent2 4 2 3 2 2" xfId="4751" xr:uid="{00000000-0005-0000-0000-00004C0E0000}"/>
    <cellStyle name="20% - Accent2 4 2 3 2 2 2" xfId="9871" xr:uid="{00000000-0005-0000-0000-00004D0E0000}"/>
    <cellStyle name="20% - Accent2 4 2 3 2 2 2 2" xfId="20111" xr:uid="{00000000-0005-0000-0000-00004E0E0000}"/>
    <cellStyle name="20% - Accent2 4 2 3 2 2 2 2 2" xfId="40591" xr:uid="{00000000-0005-0000-0000-00004F0E0000}"/>
    <cellStyle name="20% - Accent2 4 2 3 2 2 2 3" xfId="30351" xr:uid="{00000000-0005-0000-0000-0000500E0000}"/>
    <cellStyle name="20% - Accent2 4 2 3 2 2 3" xfId="14991" xr:uid="{00000000-0005-0000-0000-0000510E0000}"/>
    <cellStyle name="20% - Accent2 4 2 3 2 2 3 2" xfId="35471" xr:uid="{00000000-0005-0000-0000-0000520E0000}"/>
    <cellStyle name="20% - Accent2 4 2 3 2 2 4" xfId="25231" xr:uid="{00000000-0005-0000-0000-0000530E0000}"/>
    <cellStyle name="20% - Accent2 4 2 3 2 3" xfId="7311" xr:uid="{00000000-0005-0000-0000-0000540E0000}"/>
    <cellStyle name="20% - Accent2 4 2 3 2 3 2" xfId="17551" xr:uid="{00000000-0005-0000-0000-0000550E0000}"/>
    <cellStyle name="20% - Accent2 4 2 3 2 3 2 2" xfId="38031" xr:uid="{00000000-0005-0000-0000-0000560E0000}"/>
    <cellStyle name="20% - Accent2 4 2 3 2 3 3" xfId="27791" xr:uid="{00000000-0005-0000-0000-0000570E0000}"/>
    <cellStyle name="20% - Accent2 4 2 3 2 4" xfId="12431" xr:uid="{00000000-0005-0000-0000-0000580E0000}"/>
    <cellStyle name="20% - Accent2 4 2 3 2 4 2" xfId="32911" xr:uid="{00000000-0005-0000-0000-0000590E0000}"/>
    <cellStyle name="20% - Accent2 4 2 3 2 5" xfId="22671" xr:uid="{00000000-0005-0000-0000-00005A0E0000}"/>
    <cellStyle name="20% - Accent2 4 2 3 3" xfId="3471" xr:uid="{00000000-0005-0000-0000-00005B0E0000}"/>
    <cellStyle name="20% - Accent2 4 2 3 3 2" xfId="8591" xr:uid="{00000000-0005-0000-0000-00005C0E0000}"/>
    <cellStyle name="20% - Accent2 4 2 3 3 2 2" xfId="18831" xr:uid="{00000000-0005-0000-0000-00005D0E0000}"/>
    <cellStyle name="20% - Accent2 4 2 3 3 2 2 2" xfId="39311" xr:uid="{00000000-0005-0000-0000-00005E0E0000}"/>
    <cellStyle name="20% - Accent2 4 2 3 3 2 3" xfId="29071" xr:uid="{00000000-0005-0000-0000-00005F0E0000}"/>
    <cellStyle name="20% - Accent2 4 2 3 3 3" xfId="13711" xr:uid="{00000000-0005-0000-0000-0000600E0000}"/>
    <cellStyle name="20% - Accent2 4 2 3 3 3 2" xfId="34191" xr:uid="{00000000-0005-0000-0000-0000610E0000}"/>
    <cellStyle name="20% - Accent2 4 2 3 3 4" xfId="23951" xr:uid="{00000000-0005-0000-0000-0000620E0000}"/>
    <cellStyle name="20% - Accent2 4 2 3 4" xfId="6031" xr:uid="{00000000-0005-0000-0000-0000630E0000}"/>
    <cellStyle name="20% - Accent2 4 2 3 4 2" xfId="16271" xr:uid="{00000000-0005-0000-0000-0000640E0000}"/>
    <cellStyle name="20% - Accent2 4 2 3 4 2 2" xfId="36751" xr:uid="{00000000-0005-0000-0000-0000650E0000}"/>
    <cellStyle name="20% - Accent2 4 2 3 4 3" xfId="26511" xr:uid="{00000000-0005-0000-0000-0000660E0000}"/>
    <cellStyle name="20% - Accent2 4 2 3 5" xfId="11151" xr:uid="{00000000-0005-0000-0000-0000670E0000}"/>
    <cellStyle name="20% - Accent2 4 2 3 5 2" xfId="31631" xr:uid="{00000000-0005-0000-0000-0000680E0000}"/>
    <cellStyle name="20% - Accent2 4 2 3 6" xfId="21391" xr:uid="{00000000-0005-0000-0000-0000690E0000}"/>
    <cellStyle name="20% - Accent2 4 2 4" xfId="1551" xr:uid="{00000000-0005-0000-0000-00006A0E0000}"/>
    <cellStyle name="20% - Accent2 4 2 4 2" xfId="4111" xr:uid="{00000000-0005-0000-0000-00006B0E0000}"/>
    <cellStyle name="20% - Accent2 4 2 4 2 2" xfId="9231" xr:uid="{00000000-0005-0000-0000-00006C0E0000}"/>
    <cellStyle name="20% - Accent2 4 2 4 2 2 2" xfId="19471" xr:uid="{00000000-0005-0000-0000-00006D0E0000}"/>
    <cellStyle name="20% - Accent2 4 2 4 2 2 2 2" xfId="39951" xr:uid="{00000000-0005-0000-0000-00006E0E0000}"/>
    <cellStyle name="20% - Accent2 4 2 4 2 2 3" xfId="29711" xr:uid="{00000000-0005-0000-0000-00006F0E0000}"/>
    <cellStyle name="20% - Accent2 4 2 4 2 3" xfId="14351" xr:uid="{00000000-0005-0000-0000-0000700E0000}"/>
    <cellStyle name="20% - Accent2 4 2 4 2 3 2" xfId="34831" xr:uid="{00000000-0005-0000-0000-0000710E0000}"/>
    <cellStyle name="20% - Accent2 4 2 4 2 4" xfId="24591" xr:uid="{00000000-0005-0000-0000-0000720E0000}"/>
    <cellStyle name="20% - Accent2 4 2 4 3" xfId="6671" xr:uid="{00000000-0005-0000-0000-0000730E0000}"/>
    <cellStyle name="20% - Accent2 4 2 4 3 2" xfId="16911" xr:uid="{00000000-0005-0000-0000-0000740E0000}"/>
    <cellStyle name="20% - Accent2 4 2 4 3 2 2" xfId="37391" xr:uid="{00000000-0005-0000-0000-0000750E0000}"/>
    <cellStyle name="20% - Accent2 4 2 4 3 3" xfId="27151" xr:uid="{00000000-0005-0000-0000-0000760E0000}"/>
    <cellStyle name="20% - Accent2 4 2 4 4" xfId="11791" xr:uid="{00000000-0005-0000-0000-0000770E0000}"/>
    <cellStyle name="20% - Accent2 4 2 4 4 2" xfId="32271" xr:uid="{00000000-0005-0000-0000-0000780E0000}"/>
    <cellStyle name="20% - Accent2 4 2 4 5" xfId="22031" xr:uid="{00000000-0005-0000-0000-0000790E0000}"/>
    <cellStyle name="20% - Accent2 4 2 5" xfId="2831" xr:uid="{00000000-0005-0000-0000-00007A0E0000}"/>
    <cellStyle name="20% - Accent2 4 2 5 2" xfId="7951" xr:uid="{00000000-0005-0000-0000-00007B0E0000}"/>
    <cellStyle name="20% - Accent2 4 2 5 2 2" xfId="18191" xr:uid="{00000000-0005-0000-0000-00007C0E0000}"/>
    <cellStyle name="20% - Accent2 4 2 5 2 2 2" xfId="38671" xr:uid="{00000000-0005-0000-0000-00007D0E0000}"/>
    <cellStyle name="20% - Accent2 4 2 5 2 3" xfId="28431" xr:uid="{00000000-0005-0000-0000-00007E0E0000}"/>
    <cellStyle name="20% - Accent2 4 2 5 3" xfId="13071" xr:uid="{00000000-0005-0000-0000-00007F0E0000}"/>
    <cellStyle name="20% - Accent2 4 2 5 3 2" xfId="33551" xr:uid="{00000000-0005-0000-0000-0000800E0000}"/>
    <cellStyle name="20% - Accent2 4 2 5 4" xfId="23311" xr:uid="{00000000-0005-0000-0000-0000810E0000}"/>
    <cellStyle name="20% - Accent2 4 2 6" xfId="5391" xr:uid="{00000000-0005-0000-0000-0000820E0000}"/>
    <cellStyle name="20% - Accent2 4 2 6 2" xfId="15631" xr:uid="{00000000-0005-0000-0000-0000830E0000}"/>
    <cellStyle name="20% - Accent2 4 2 6 2 2" xfId="36111" xr:uid="{00000000-0005-0000-0000-0000840E0000}"/>
    <cellStyle name="20% - Accent2 4 2 6 3" xfId="25871" xr:uid="{00000000-0005-0000-0000-0000850E0000}"/>
    <cellStyle name="20% - Accent2 4 2 7" xfId="10511" xr:uid="{00000000-0005-0000-0000-0000860E0000}"/>
    <cellStyle name="20% - Accent2 4 2 7 2" xfId="30991" xr:uid="{00000000-0005-0000-0000-0000870E0000}"/>
    <cellStyle name="20% - Accent2 4 2 8" xfId="20751" xr:uid="{00000000-0005-0000-0000-0000880E0000}"/>
    <cellStyle name="20% - Accent2 4 3" xfId="431" xr:uid="{00000000-0005-0000-0000-0000890E0000}"/>
    <cellStyle name="20% - Accent2 4 3 2" xfId="1071" xr:uid="{00000000-0005-0000-0000-00008A0E0000}"/>
    <cellStyle name="20% - Accent2 4 3 2 2" xfId="2351" xr:uid="{00000000-0005-0000-0000-00008B0E0000}"/>
    <cellStyle name="20% - Accent2 4 3 2 2 2" xfId="4911" xr:uid="{00000000-0005-0000-0000-00008C0E0000}"/>
    <cellStyle name="20% - Accent2 4 3 2 2 2 2" xfId="10031" xr:uid="{00000000-0005-0000-0000-00008D0E0000}"/>
    <cellStyle name="20% - Accent2 4 3 2 2 2 2 2" xfId="20271" xr:uid="{00000000-0005-0000-0000-00008E0E0000}"/>
    <cellStyle name="20% - Accent2 4 3 2 2 2 2 2 2" xfId="40751" xr:uid="{00000000-0005-0000-0000-00008F0E0000}"/>
    <cellStyle name="20% - Accent2 4 3 2 2 2 2 3" xfId="30511" xr:uid="{00000000-0005-0000-0000-0000900E0000}"/>
    <cellStyle name="20% - Accent2 4 3 2 2 2 3" xfId="15151" xr:uid="{00000000-0005-0000-0000-0000910E0000}"/>
    <cellStyle name="20% - Accent2 4 3 2 2 2 3 2" xfId="35631" xr:uid="{00000000-0005-0000-0000-0000920E0000}"/>
    <cellStyle name="20% - Accent2 4 3 2 2 2 4" xfId="25391" xr:uid="{00000000-0005-0000-0000-0000930E0000}"/>
    <cellStyle name="20% - Accent2 4 3 2 2 3" xfId="7471" xr:uid="{00000000-0005-0000-0000-0000940E0000}"/>
    <cellStyle name="20% - Accent2 4 3 2 2 3 2" xfId="17711" xr:uid="{00000000-0005-0000-0000-0000950E0000}"/>
    <cellStyle name="20% - Accent2 4 3 2 2 3 2 2" xfId="38191" xr:uid="{00000000-0005-0000-0000-0000960E0000}"/>
    <cellStyle name="20% - Accent2 4 3 2 2 3 3" xfId="27951" xr:uid="{00000000-0005-0000-0000-0000970E0000}"/>
    <cellStyle name="20% - Accent2 4 3 2 2 4" xfId="12591" xr:uid="{00000000-0005-0000-0000-0000980E0000}"/>
    <cellStyle name="20% - Accent2 4 3 2 2 4 2" xfId="33071" xr:uid="{00000000-0005-0000-0000-0000990E0000}"/>
    <cellStyle name="20% - Accent2 4 3 2 2 5" xfId="22831" xr:uid="{00000000-0005-0000-0000-00009A0E0000}"/>
    <cellStyle name="20% - Accent2 4 3 2 3" xfId="3631" xr:uid="{00000000-0005-0000-0000-00009B0E0000}"/>
    <cellStyle name="20% - Accent2 4 3 2 3 2" xfId="8751" xr:uid="{00000000-0005-0000-0000-00009C0E0000}"/>
    <cellStyle name="20% - Accent2 4 3 2 3 2 2" xfId="18991" xr:uid="{00000000-0005-0000-0000-00009D0E0000}"/>
    <cellStyle name="20% - Accent2 4 3 2 3 2 2 2" xfId="39471" xr:uid="{00000000-0005-0000-0000-00009E0E0000}"/>
    <cellStyle name="20% - Accent2 4 3 2 3 2 3" xfId="29231" xr:uid="{00000000-0005-0000-0000-00009F0E0000}"/>
    <cellStyle name="20% - Accent2 4 3 2 3 3" xfId="13871" xr:uid="{00000000-0005-0000-0000-0000A00E0000}"/>
    <cellStyle name="20% - Accent2 4 3 2 3 3 2" xfId="34351" xr:uid="{00000000-0005-0000-0000-0000A10E0000}"/>
    <cellStyle name="20% - Accent2 4 3 2 3 4" xfId="24111" xr:uid="{00000000-0005-0000-0000-0000A20E0000}"/>
    <cellStyle name="20% - Accent2 4 3 2 4" xfId="6191" xr:uid="{00000000-0005-0000-0000-0000A30E0000}"/>
    <cellStyle name="20% - Accent2 4 3 2 4 2" xfId="16431" xr:uid="{00000000-0005-0000-0000-0000A40E0000}"/>
    <cellStyle name="20% - Accent2 4 3 2 4 2 2" xfId="36911" xr:uid="{00000000-0005-0000-0000-0000A50E0000}"/>
    <cellStyle name="20% - Accent2 4 3 2 4 3" xfId="26671" xr:uid="{00000000-0005-0000-0000-0000A60E0000}"/>
    <cellStyle name="20% - Accent2 4 3 2 5" xfId="11311" xr:uid="{00000000-0005-0000-0000-0000A70E0000}"/>
    <cellStyle name="20% - Accent2 4 3 2 5 2" xfId="31791" xr:uid="{00000000-0005-0000-0000-0000A80E0000}"/>
    <cellStyle name="20% - Accent2 4 3 2 6" xfId="21551" xr:uid="{00000000-0005-0000-0000-0000A90E0000}"/>
    <cellStyle name="20% - Accent2 4 3 3" xfId="1711" xr:uid="{00000000-0005-0000-0000-0000AA0E0000}"/>
    <cellStyle name="20% - Accent2 4 3 3 2" xfId="4271" xr:uid="{00000000-0005-0000-0000-0000AB0E0000}"/>
    <cellStyle name="20% - Accent2 4 3 3 2 2" xfId="9391" xr:uid="{00000000-0005-0000-0000-0000AC0E0000}"/>
    <cellStyle name="20% - Accent2 4 3 3 2 2 2" xfId="19631" xr:uid="{00000000-0005-0000-0000-0000AD0E0000}"/>
    <cellStyle name="20% - Accent2 4 3 3 2 2 2 2" xfId="40111" xr:uid="{00000000-0005-0000-0000-0000AE0E0000}"/>
    <cellStyle name="20% - Accent2 4 3 3 2 2 3" xfId="29871" xr:uid="{00000000-0005-0000-0000-0000AF0E0000}"/>
    <cellStyle name="20% - Accent2 4 3 3 2 3" xfId="14511" xr:uid="{00000000-0005-0000-0000-0000B00E0000}"/>
    <cellStyle name="20% - Accent2 4 3 3 2 3 2" xfId="34991" xr:uid="{00000000-0005-0000-0000-0000B10E0000}"/>
    <cellStyle name="20% - Accent2 4 3 3 2 4" xfId="24751" xr:uid="{00000000-0005-0000-0000-0000B20E0000}"/>
    <cellStyle name="20% - Accent2 4 3 3 3" xfId="6831" xr:uid="{00000000-0005-0000-0000-0000B30E0000}"/>
    <cellStyle name="20% - Accent2 4 3 3 3 2" xfId="17071" xr:uid="{00000000-0005-0000-0000-0000B40E0000}"/>
    <cellStyle name="20% - Accent2 4 3 3 3 2 2" xfId="37551" xr:uid="{00000000-0005-0000-0000-0000B50E0000}"/>
    <cellStyle name="20% - Accent2 4 3 3 3 3" xfId="27311" xr:uid="{00000000-0005-0000-0000-0000B60E0000}"/>
    <cellStyle name="20% - Accent2 4 3 3 4" xfId="11951" xr:uid="{00000000-0005-0000-0000-0000B70E0000}"/>
    <cellStyle name="20% - Accent2 4 3 3 4 2" xfId="32431" xr:uid="{00000000-0005-0000-0000-0000B80E0000}"/>
    <cellStyle name="20% - Accent2 4 3 3 5" xfId="22191" xr:uid="{00000000-0005-0000-0000-0000B90E0000}"/>
    <cellStyle name="20% - Accent2 4 3 4" xfId="2991" xr:uid="{00000000-0005-0000-0000-0000BA0E0000}"/>
    <cellStyle name="20% - Accent2 4 3 4 2" xfId="8111" xr:uid="{00000000-0005-0000-0000-0000BB0E0000}"/>
    <cellStyle name="20% - Accent2 4 3 4 2 2" xfId="18351" xr:uid="{00000000-0005-0000-0000-0000BC0E0000}"/>
    <cellStyle name="20% - Accent2 4 3 4 2 2 2" xfId="38831" xr:uid="{00000000-0005-0000-0000-0000BD0E0000}"/>
    <cellStyle name="20% - Accent2 4 3 4 2 3" xfId="28591" xr:uid="{00000000-0005-0000-0000-0000BE0E0000}"/>
    <cellStyle name="20% - Accent2 4 3 4 3" xfId="13231" xr:uid="{00000000-0005-0000-0000-0000BF0E0000}"/>
    <cellStyle name="20% - Accent2 4 3 4 3 2" xfId="33711" xr:uid="{00000000-0005-0000-0000-0000C00E0000}"/>
    <cellStyle name="20% - Accent2 4 3 4 4" xfId="23471" xr:uid="{00000000-0005-0000-0000-0000C10E0000}"/>
    <cellStyle name="20% - Accent2 4 3 5" xfId="5551" xr:uid="{00000000-0005-0000-0000-0000C20E0000}"/>
    <cellStyle name="20% - Accent2 4 3 5 2" xfId="15791" xr:uid="{00000000-0005-0000-0000-0000C30E0000}"/>
    <cellStyle name="20% - Accent2 4 3 5 2 2" xfId="36271" xr:uid="{00000000-0005-0000-0000-0000C40E0000}"/>
    <cellStyle name="20% - Accent2 4 3 5 3" xfId="26031" xr:uid="{00000000-0005-0000-0000-0000C50E0000}"/>
    <cellStyle name="20% - Accent2 4 3 6" xfId="10671" xr:uid="{00000000-0005-0000-0000-0000C60E0000}"/>
    <cellStyle name="20% - Accent2 4 3 6 2" xfId="31151" xr:uid="{00000000-0005-0000-0000-0000C70E0000}"/>
    <cellStyle name="20% - Accent2 4 3 7" xfId="20911" xr:uid="{00000000-0005-0000-0000-0000C80E0000}"/>
    <cellStyle name="20% - Accent2 4 4" xfId="751" xr:uid="{00000000-0005-0000-0000-0000C90E0000}"/>
    <cellStyle name="20% - Accent2 4 4 2" xfId="2031" xr:uid="{00000000-0005-0000-0000-0000CA0E0000}"/>
    <cellStyle name="20% - Accent2 4 4 2 2" xfId="4591" xr:uid="{00000000-0005-0000-0000-0000CB0E0000}"/>
    <cellStyle name="20% - Accent2 4 4 2 2 2" xfId="9711" xr:uid="{00000000-0005-0000-0000-0000CC0E0000}"/>
    <cellStyle name="20% - Accent2 4 4 2 2 2 2" xfId="19951" xr:uid="{00000000-0005-0000-0000-0000CD0E0000}"/>
    <cellStyle name="20% - Accent2 4 4 2 2 2 2 2" xfId="40431" xr:uid="{00000000-0005-0000-0000-0000CE0E0000}"/>
    <cellStyle name="20% - Accent2 4 4 2 2 2 3" xfId="30191" xr:uid="{00000000-0005-0000-0000-0000CF0E0000}"/>
    <cellStyle name="20% - Accent2 4 4 2 2 3" xfId="14831" xr:uid="{00000000-0005-0000-0000-0000D00E0000}"/>
    <cellStyle name="20% - Accent2 4 4 2 2 3 2" xfId="35311" xr:uid="{00000000-0005-0000-0000-0000D10E0000}"/>
    <cellStyle name="20% - Accent2 4 4 2 2 4" xfId="25071" xr:uid="{00000000-0005-0000-0000-0000D20E0000}"/>
    <cellStyle name="20% - Accent2 4 4 2 3" xfId="7151" xr:uid="{00000000-0005-0000-0000-0000D30E0000}"/>
    <cellStyle name="20% - Accent2 4 4 2 3 2" xfId="17391" xr:uid="{00000000-0005-0000-0000-0000D40E0000}"/>
    <cellStyle name="20% - Accent2 4 4 2 3 2 2" xfId="37871" xr:uid="{00000000-0005-0000-0000-0000D50E0000}"/>
    <cellStyle name="20% - Accent2 4 4 2 3 3" xfId="27631" xr:uid="{00000000-0005-0000-0000-0000D60E0000}"/>
    <cellStyle name="20% - Accent2 4 4 2 4" xfId="12271" xr:uid="{00000000-0005-0000-0000-0000D70E0000}"/>
    <cellStyle name="20% - Accent2 4 4 2 4 2" xfId="32751" xr:uid="{00000000-0005-0000-0000-0000D80E0000}"/>
    <cellStyle name="20% - Accent2 4 4 2 5" xfId="22511" xr:uid="{00000000-0005-0000-0000-0000D90E0000}"/>
    <cellStyle name="20% - Accent2 4 4 3" xfId="3311" xr:uid="{00000000-0005-0000-0000-0000DA0E0000}"/>
    <cellStyle name="20% - Accent2 4 4 3 2" xfId="8431" xr:uid="{00000000-0005-0000-0000-0000DB0E0000}"/>
    <cellStyle name="20% - Accent2 4 4 3 2 2" xfId="18671" xr:uid="{00000000-0005-0000-0000-0000DC0E0000}"/>
    <cellStyle name="20% - Accent2 4 4 3 2 2 2" xfId="39151" xr:uid="{00000000-0005-0000-0000-0000DD0E0000}"/>
    <cellStyle name="20% - Accent2 4 4 3 2 3" xfId="28911" xr:uid="{00000000-0005-0000-0000-0000DE0E0000}"/>
    <cellStyle name="20% - Accent2 4 4 3 3" xfId="13551" xr:uid="{00000000-0005-0000-0000-0000DF0E0000}"/>
    <cellStyle name="20% - Accent2 4 4 3 3 2" xfId="34031" xr:uid="{00000000-0005-0000-0000-0000E00E0000}"/>
    <cellStyle name="20% - Accent2 4 4 3 4" xfId="23791" xr:uid="{00000000-0005-0000-0000-0000E10E0000}"/>
    <cellStyle name="20% - Accent2 4 4 4" xfId="5871" xr:uid="{00000000-0005-0000-0000-0000E20E0000}"/>
    <cellStyle name="20% - Accent2 4 4 4 2" xfId="16111" xr:uid="{00000000-0005-0000-0000-0000E30E0000}"/>
    <cellStyle name="20% - Accent2 4 4 4 2 2" xfId="36591" xr:uid="{00000000-0005-0000-0000-0000E40E0000}"/>
    <cellStyle name="20% - Accent2 4 4 4 3" xfId="26351" xr:uid="{00000000-0005-0000-0000-0000E50E0000}"/>
    <cellStyle name="20% - Accent2 4 4 5" xfId="10991" xr:uid="{00000000-0005-0000-0000-0000E60E0000}"/>
    <cellStyle name="20% - Accent2 4 4 5 2" xfId="31471" xr:uid="{00000000-0005-0000-0000-0000E70E0000}"/>
    <cellStyle name="20% - Accent2 4 4 6" xfId="21231" xr:uid="{00000000-0005-0000-0000-0000E80E0000}"/>
    <cellStyle name="20% - Accent2 4 5" xfId="1391" xr:uid="{00000000-0005-0000-0000-0000E90E0000}"/>
    <cellStyle name="20% - Accent2 4 5 2" xfId="3951" xr:uid="{00000000-0005-0000-0000-0000EA0E0000}"/>
    <cellStyle name="20% - Accent2 4 5 2 2" xfId="9071" xr:uid="{00000000-0005-0000-0000-0000EB0E0000}"/>
    <cellStyle name="20% - Accent2 4 5 2 2 2" xfId="19311" xr:uid="{00000000-0005-0000-0000-0000EC0E0000}"/>
    <cellStyle name="20% - Accent2 4 5 2 2 2 2" xfId="39791" xr:uid="{00000000-0005-0000-0000-0000ED0E0000}"/>
    <cellStyle name="20% - Accent2 4 5 2 2 3" xfId="29551" xr:uid="{00000000-0005-0000-0000-0000EE0E0000}"/>
    <cellStyle name="20% - Accent2 4 5 2 3" xfId="14191" xr:uid="{00000000-0005-0000-0000-0000EF0E0000}"/>
    <cellStyle name="20% - Accent2 4 5 2 3 2" xfId="34671" xr:uid="{00000000-0005-0000-0000-0000F00E0000}"/>
    <cellStyle name="20% - Accent2 4 5 2 4" xfId="24431" xr:uid="{00000000-0005-0000-0000-0000F10E0000}"/>
    <cellStyle name="20% - Accent2 4 5 3" xfId="6511" xr:uid="{00000000-0005-0000-0000-0000F20E0000}"/>
    <cellStyle name="20% - Accent2 4 5 3 2" xfId="16751" xr:uid="{00000000-0005-0000-0000-0000F30E0000}"/>
    <cellStyle name="20% - Accent2 4 5 3 2 2" xfId="37231" xr:uid="{00000000-0005-0000-0000-0000F40E0000}"/>
    <cellStyle name="20% - Accent2 4 5 3 3" xfId="26991" xr:uid="{00000000-0005-0000-0000-0000F50E0000}"/>
    <cellStyle name="20% - Accent2 4 5 4" xfId="11631" xr:uid="{00000000-0005-0000-0000-0000F60E0000}"/>
    <cellStyle name="20% - Accent2 4 5 4 2" xfId="32111" xr:uid="{00000000-0005-0000-0000-0000F70E0000}"/>
    <cellStyle name="20% - Accent2 4 5 5" xfId="21871" xr:uid="{00000000-0005-0000-0000-0000F80E0000}"/>
    <cellStyle name="20% - Accent2 4 6" xfId="2671" xr:uid="{00000000-0005-0000-0000-0000F90E0000}"/>
    <cellStyle name="20% - Accent2 4 6 2" xfId="7791" xr:uid="{00000000-0005-0000-0000-0000FA0E0000}"/>
    <cellStyle name="20% - Accent2 4 6 2 2" xfId="18031" xr:uid="{00000000-0005-0000-0000-0000FB0E0000}"/>
    <cellStyle name="20% - Accent2 4 6 2 2 2" xfId="38511" xr:uid="{00000000-0005-0000-0000-0000FC0E0000}"/>
    <cellStyle name="20% - Accent2 4 6 2 3" xfId="28271" xr:uid="{00000000-0005-0000-0000-0000FD0E0000}"/>
    <cellStyle name="20% - Accent2 4 6 3" xfId="12911" xr:uid="{00000000-0005-0000-0000-0000FE0E0000}"/>
    <cellStyle name="20% - Accent2 4 6 3 2" xfId="33391" xr:uid="{00000000-0005-0000-0000-0000FF0E0000}"/>
    <cellStyle name="20% - Accent2 4 6 4" xfId="23151" xr:uid="{00000000-0005-0000-0000-0000000F0000}"/>
    <cellStyle name="20% - Accent2 4 7" xfId="5231" xr:uid="{00000000-0005-0000-0000-0000010F0000}"/>
    <cellStyle name="20% - Accent2 4 7 2" xfId="15471" xr:uid="{00000000-0005-0000-0000-0000020F0000}"/>
    <cellStyle name="20% - Accent2 4 7 2 2" xfId="35951" xr:uid="{00000000-0005-0000-0000-0000030F0000}"/>
    <cellStyle name="20% - Accent2 4 7 3" xfId="25711" xr:uid="{00000000-0005-0000-0000-0000040F0000}"/>
    <cellStyle name="20% - Accent2 4 8" xfId="10351" xr:uid="{00000000-0005-0000-0000-0000050F0000}"/>
    <cellStyle name="20% - Accent2 4 8 2" xfId="30831" xr:uid="{00000000-0005-0000-0000-0000060F0000}"/>
    <cellStyle name="20% - Accent2 4 9" xfId="20591" xr:uid="{00000000-0005-0000-0000-0000070F0000}"/>
    <cellStyle name="20% - Accent2 5" xfId="191" xr:uid="{00000000-0005-0000-0000-0000080F0000}"/>
    <cellStyle name="20% - Accent2 5 2" xfId="511" xr:uid="{00000000-0005-0000-0000-0000090F0000}"/>
    <cellStyle name="20% - Accent2 5 2 2" xfId="1151" xr:uid="{00000000-0005-0000-0000-00000A0F0000}"/>
    <cellStyle name="20% - Accent2 5 2 2 2" xfId="2431" xr:uid="{00000000-0005-0000-0000-00000B0F0000}"/>
    <cellStyle name="20% - Accent2 5 2 2 2 2" xfId="4991" xr:uid="{00000000-0005-0000-0000-00000C0F0000}"/>
    <cellStyle name="20% - Accent2 5 2 2 2 2 2" xfId="10111" xr:uid="{00000000-0005-0000-0000-00000D0F0000}"/>
    <cellStyle name="20% - Accent2 5 2 2 2 2 2 2" xfId="20351" xr:uid="{00000000-0005-0000-0000-00000E0F0000}"/>
    <cellStyle name="20% - Accent2 5 2 2 2 2 2 2 2" xfId="40831" xr:uid="{00000000-0005-0000-0000-00000F0F0000}"/>
    <cellStyle name="20% - Accent2 5 2 2 2 2 2 3" xfId="30591" xr:uid="{00000000-0005-0000-0000-0000100F0000}"/>
    <cellStyle name="20% - Accent2 5 2 2 2 2 3" xfId="15231" xr:uid="{00000000-0005-0000-0000-0000110F0000}"/>
    <cellStyle name="20% - Accent2 5 2 2 2 2 3 2" xfId="35711" xr:uid="{00000000-0005-0000-0000-0000120F0000}"/>
    <cellStyle name="20% - Accent2 5 2 2 2 2 4" xfId="25471" xr:uid="{00000000-0005-0000-0000-0000130F0000}"/>
    <cellStyle name="20% - Accent2 5 2 2 2 3" xfId="7551" xr:uid="{00000000-0005-0000-0000-0000140F0000}"/>
    <cellStyle name="20% - Accent2 5 2 2 2 3 2" xfId="17791" xr:uid="{00000000-0005-0000-0000-0000150F0000}"/>
    <cellStyle name="20% - Accent2 5 2 2 2 3 2 2" xfId="38271" xr:uid="{00000000-0005-0000-0000-0000160F0000}"/>
    <cellStyle name="20% - Accent2 5 2 2 2 3 3" xfId="28031" xr:uid="{00000000-0005-0000-0000-0000170F0000}"/>
    <cellStyle name="20% - Accent2 5 2 2 2 4" xfId="12671" xr:uid="{00000000-0005-0000-0000-0000180F0000}"/>
    <cellStyle name="20% - Accent2 5 2 2 2 4 2" xfId="33151" xr:uid="{00000000-0005-0000-0000-0000190F0000}"/>
    <cellStyle name="20% - Accent2 5 2 2 2 5" xfId="22911" xr:uid="{00000000-0005-0000-0000-00001A0F0000}"/>
    <cellStyle name="20% - Accent2 5 2 2 3" xfId="3711" xr:uid="{00000000-0005-0000-0000-00001B0F0000}"/>
    <cellStyle name="20% - Accent2 5 2 2 3 2" xfId="8831" xr:uid="{00000000-0005-0000-0000-00001C0F0000}"/>
    <cellStyle name="20% - Accent2 5 2 2 3 2 2" xfId="19071" xr:uid="{00000000-0005-0000-0000-00001D0F0000}"/>
    <cellStyle name="20% - Accent2 5 2 2 3 2 2 2" xfId="39551" xr:uid="{00000000-0005-0000-0000-00001E0F0000}"/>
    <cellStyle name="20% - Accent2 5 2 2 3 2 3" xfId="29311" xr:uid="{00000000-0005-0000-0000-00001F0F0000}"/>
    <cellStyle name="20% - Accent2 5 2 2 3 3" xfId="13951" xr:uid="{00000000-0005-0000-0000-0000200F0000}"/>
    <cellStyle name="20% - Accent2 5 2 2 3 3 2" xfId="34431" xr:uid="{00000000-0005-0000-0000-0000210F0000}"/>
    <cellStyle name="20% - Accent2 5 2 2 3 4" xfId="24191" xr:uid="{00000000-0005-0000-0000-0000220F0000}"/>
    <cellStyle name="20% - Accent2 5 2 2 4" xfId="6271" xr:uid="{00000000-0005-0000-0000-0000230F0000}"/>
    <cellStyle name="20% - Accent2 5 2 2 4 2" xfId="16511" xr:uid="{00000000-0005-0000-0000-0000240F0000}"/>
    <cellStyle name="20% - Accent2 5 2 2 4 2 2" xfId="36991" xr:uid="{00000000-0005-0000-0000-0000250F0000}"/>
    <cellStyle name="20% - Accent2 5 2 2 4 3" xfId="26751" xr:uid="{00000000-0005-0000-0000-0000260F0000}"/>
    <cellStyle name="20% - Accent2 5 2 2 5" xfId="11391" xr:uid="{00000000-0005-0000-0000-0000270F0000}"/>
    <cellStyle name="20% - Accent2 5 2 2 5 2" xfId="31871" xr:uid="{00000000-0005-0000-0000-0000280F0000}"/>
    <cellStyle name="20% - Accent2 5 2 2 6" xfId="21631" xr:uid="{00000000-0005-0000-0000-0000290F0000}"/>
    <cellStyle name="20% - Accent2 5 2 3" xfId="1791" xr:uid="{00000000-0005-0000-0000-00002A0F0000}"/>
    <cellStyle name="20% - Accent2 5 2 3 2" xfId="4351" xr:uid="{00000000-0005-0000-0000-00002B0F0000}"/>
    <cellStyle name="20% - Accent2 5 2 3 2 2" xfId="9471" xr:uid="{00000000-0005-0000-0000-00002C0F0000}"/>
    <cellStyle name="20% - Accent2 5 2 3 2 2 2" xfId="19711" xr:uid="{00000000-0005-0000-0000-00002D0F0000}"/>
    <cellStyle name="20% - Accent2 5 2 3 2 2 2 2" xfId="40191" xr:uid="{00000000-0005-0000-0000-00002E0F0000}"/>
    <cellStyle name="20% - Accent2 5 2 3 2 2 3" xfId="29951" xr:uid="{00000000-0005-0000-0000-00002F0F0000}"/>
    <cellStyle name="20% - Accent2 5 2 3 2 3" xfId="14591" xr:uid="{00000000-0005-0000-0000-0000300F0000}"/>
    <cellStyle name="20% - Accent2 5 2 3 2 3 2" xfId="35071" xr:uid="{00000000-0005-0000-0000-0000310F0000}"/>
    <cellStyle name="20% - Accent2 5 2 3 2 4" xfId="24831" xr:uid="{00000000-0005-0000-0000-0000320F0000}"/>
    <cellStyle name="20% - Accent2 5 2 3 3" xfId="6911" xr:uid="{00000000-0005-0000-0000-0000330F0000}"/>
    <cellStyle name="20% - Accent2 5 2 3 3 2" xfId="17151" xr:uid="{00000000-0005-0000-0000-0000340F0000}"/>
    <cellStyle name="20% - Accent2 5 2 3 3 2 2" xfId="37631" xr:uid="{00000000-0005-0000-0000-0000350F0000}"/>
    <cellStyle name="20% - Accent2 5 2 3 3 3" xfId="27391" xr:uid="{00000000-0005-0000-0000-0000360F0000}"/>
    <cellStyle name="20% - Accent2 5 2 3 4" xfId="12031" xr:uid="{00000000-0005-0000-0000-0000370F0000}"/>
    <cellStyle name="20% - Accent2 5 2 3 4 2" xfId="32511" xr:uid="{00000000-0005-0000-0000-0000380F0000}"/>
    <cellStyle name="20% - Accent2 5 2 3 5" xfId="22271" xr:uid="{00000000-0005-0000-0000-0000390F0000}"/>
    <cellStyle name="20% - Accent2 5 2 4" xfId="3071" xr:uid="{00000000-0005-0000-0000-00003A0F0000}"/>
    <cellStyle name="20% - Accent2 5 2 4 2" xfId="8191" xr:uid="{00000000-0005-0000-0000-00003B0F0000}"/>
    <cellStyle name="20% - Accent2 5 2 4 2 2" xfId="18431" xr:uid="{00000000-0005-0000-0000-00003C0F0000}"/>
    <cellStyle name="20% - Accent2 5 2 4 2 2 2" xfId="38911" xr:uid="{00000000-0005-0000-0000-00003D0F0000}"/>
    <cellStyle name="20% - Accent2 5 2 4 2 3" xfId="28671" xr:uid="{00000000-0005-0000-0000-00003E0F0000}"/>
    <cellStyle name="20% - Accent2 5 2 4 3" xfId="13311" xr:uid="{00000000-0005-0000-0000-00003F0F0000}"/>
    <cellStyle name="20% - Accent2 5 2 4 3 2" xfId="33791" xr:uid="{00000000-0005-0000-0000-0000400F0000}"/>
    <cellStyle name="20% - Accent2 5 2 4 4" xfId="23551" xr:uid="{00000000-0005-0000-0000-0000410F0000}"/>
    <cellStyle name="20% - Accent2 5 2 5" xfId="5631" xr:uid="{00000000-0005-0000-0000-0000420F0000}"/>
    <cellStyle name="20% - Accent2 5 2 5 2" xfId="15871" xr:uid="{00000000-0005-0000-0000-0000430F0000}"/>
    <cellStyle name="20% - Accent2 5 2 5 2 2" xfId="36351" xr:uid="{00000000-0005-0000-0000-0000440F0000}"/>
    <cellStyle name="20% - Accent2 5 2 5 3" xfId="26111" xr:uid="{00000000-0005-0000-0000-0000450F0000}"/>
    <cellStyle name="20% - Accent2 5 2 6" xfId="10751" xr:uid="{00000000-0005-0000-0000-0000460F0000}"/>
    <cellStyle name="20% - Accent2 5 2 6 2" xfId="31231" xr:uid="{00000000-0005-0000-0000-0000470F0000}"/>
    <cellStyle name="20% - Accent2 5 2 7" xfId="20991" xr:uid="{00000000-0005-0000-0000-0000480F0000}"/>
    <cellStyle name="20% - Accent2 5 3" xfId="831" xr:uid="{00000000-0005-0000-0000-0000490F0000}"/>
    <cellStyle name="20% - Accent2 5 3 2" xfId="2111" xr:uid="{00000000-0005-0000-0000-00004A0F0000}"/>
    <cellStyle name="20% - Accent2 5 3 2 2" xfId="4671" xr:uid="{00000000-0005-0000-0000-00004B0F0000}"/>
    <cellStyle name="20% - Accent2 5 3 2 2 2" xfId="9791" xr:uid="{00000000-0005-0000-0000-00004C0F0000}"/>
    <cellStyle name="20% - Accent2 5 3 2 2 2 2" xfId="20031" xr:uid="{00000000-0005-0000-0000-00004D0F0000}"/>
    <cellStyle name="20% - Accent2 5 3 2 2 2 2 2" xfId="40511" xr:uid="{00000000-0005-0000-0000-00004E0F0000}"/>
    <cellStyle name="20% - Accent2 5 3 2 2 2 3" xfId="30271" xr:uid="{00000000-0005-0000-0000-00004F0F0000}"/>
    <cellStyle name="20% - Accent2 5 3 2 2 3" xfId="14911" xr:uid="{00000000-0005-0000-0000-0000500F0000}"/>
    <cellStyle name="20% - Accent2 5 3 2 2 3 2" xfId="35391" xr:uid="{00000000-0005-0000-0000-0000510F0000}"/>
    <cellStyle name="20% - Accent2 5 3 2 2 4" xfId="25151" xr:uid="{00000000-0005-0000-0000-0000520F0000}"/>
    <cellStyle name="20% - Accent2 5 3 2 3" xfId="7231" xr:uid="{00000000-0005-0000-0000-0000530F0000}"/>
    <cellStyle name="20% - Accent2 5 3 2 3 2" xfId="17471" xr:uid="{00000000-0005-0000-0000-0000540F0000}"/>
    <cellStyle name="20% - Accent2 5 3 2 3 2 2" xfId="37951" xr:uid="{00000000-0005-0000-0000-0000550F0000}"/>
    <cellStyle name="20% - Accent2 5 3 2 3 3" xfId="27711" xr:uid="{00000000-0005-0000-0000-0000560F0000}"/>
    <cellStyle name="20% - Accent2 5 3 2 4" xfId="12351" xr:uid="{00000000-0005-0000-0000-0000570F0000}"/>
    <cellStyle name="20% - Accent2 5 3 2 4 2" xfId="32831" xr:uid="{00000000-0005-0000-0000-0000580F0000}"/>
    <cellStyle name="20% - Accent2 5 3 2 5" xfId="22591" xr:uid="{00000000-0005-0000-0000-0000590F0000}"/>
    <cellStyle name="20% - Accent2 5 3 3" xfId="3391" xr:uid="{00000000-0005-0000-0000-00005A0F0000}"/>
    <cellStyle name="20% - Accent2 5 3 3 2" xfId="8511" xr:uid="{00000000-0005-0000-0000-00005B0F0000}"/>
    <cellStyle name="20% - Accent2 5 3 3 2 2" xfId="18751" xr:uid="{00000000-0005-0000-0000-00005C0F0000}"/>
    <cellStyle name="20% - Accent2 5 3 3 2 2 2" xfId="39231" xr:uid="{00000000-0005-0000-0000-00005D0F0000}"/>
    <cellStyle name="20% - Accent2 5 3 3 2 3" xfId="28991" xr:uid="{00000000-0005-0000-0000-00005E0F0000}"/>
    <cellStyle name="20% - Accent2 5 3 3 3" xfId="13631" xr:uid="{00000000-0005-0000-0000-00005F0F0000}"/>
    <cellStyle name="20% - Accent2 5 3 3 3 2" xfId="34111" xr:uid="{00000000-0005-0000-0000-0000600F0000}"/>
    <cellStyle name="20% - Accent2 5 3 3 4" xfId="23871" xr:uid="{00000000-0005-0000-0000-0000610F0000}"/>
    <cellStyle name="20% - Accent2 5 3 4" xfId="5951" xr:uid="{00000000-0005-0000-0000-0000620F0000}"/>
    <cellStyle name="20% - Accent2 5 3 4 2" xfId="16191" xr:uid="{00000000-0005-0000-0000-0000630F0000}"/>
    <cellStyle name="20% - Accent2 5 3 4 2 2" xfId="36671" xr:uid="{00000000-0005-0000-0000-0000640F0000}"/>
    <cellStyle name="20% - Accent2 5 3 4 3" xfId="26431" xr:uid="{00000000-0005-0000-0000-0000650F0000}"/>
    <cellStyle name="20% - Accent2 5 3 5" xfId="11071" xr:uid="{00000000-0005-0000-0000-0000660F0000}"/>
    <cellStyle name="20% - Accent2 5 3 5 2" xfId="31551" xr:uid="{00000000-0005-0000-0000-0000670F0000}"/>
    <cellStyle name="20% - Accent2 5 3 6" xfId="21311" xr:uid="{00000000-0005-0000-0000-0000680F0000}"/>
    <cellStyle name="20% - Accent2 5 4" xfId="1471" xr:uid="{00000000-0005-0000-0000-0000690F0000}"/>
    <cellStyle name="20% - Accent2 5 4 2" xfId="4031" xr:uid="{00000000-0005-0000-0000-00006A0F0000}"/>
    <cellStyle name="20% - Accent2 5 4 2 2" xfId="9151" xr:uid="{00000000-0005-0000-0000-00006B0F0000}"/>
    <cellStyle name="20% - Accent2 5 4 2 2 2" xfId="19391" xr:uid="{00000000-0005-0000-0000-00006C0F0000}"/>
    <cellStyle name="20% - Accent2 5 4 2 2 2 2" xfId="39871" xr:uid="{00000000-0005-0000-0000-00006D0F0000}"/>
    <cellStyle name="20% - Accent2 5 4 2 2 3" xfId="29631" xr:uid="{00000000-0005-0000-0000-00006E0F0000}"/>
    <cellStyle name="20% - Accent2 5 4 2 3" xfId="14271" xr:uid="{00000000-0005-0000-0000-00006F0F0000}"/>
    <cellStyle name="20% - Accent2 5 4 2 3 2" xfId="34751" xr:uid="{00000000-0005-0000-0000-0000700F0000}"/>
    <cellStyle name="20% - Accent2 5 4 2 4" xfId="24511" xr:uid="{00000000-0005-0000-0000-0000710F0000}"/>
    <cellStyle name="20% - Accent2 5 4 3" xfId="6591" xr:uid="{00000000-0005-0000-0000-0000720F0000}"/>
    <cellStyle name="20% - Accent2 5 4 3 2" xfId="16831" xr:uid="{00000000-0005-0000-0000-0000730F0000}"/>
    <cellStyle name="20% - Accent2 5 4 3 2 2" xfId="37311" xr:uid="{00000000-0005-0000-0000-0000740F0000}"/>
    <cellStyle name="20% - Accent2 5 4 3 3" xfId="27071" xr:uid="{00000000-0005-0000-0000-0000750F0000}"/>
    <cellStyle name="20% - Accent2 5 4 4" xfId="11711" xr:uid="{00000000-0005-0000-0000-0000760F0000}"/>
    <cellStyle name="20% - Accent2 5 4 4 2" xfId="32191" xr:uid="{00000000-0005-0000-0000-0000770F0000}"/>
    <cellStyle name="20% - Accent2 5 4 5" xfId="21951" xr:uid="{00000000-0005-0000-0000-0000780F0000}"/>
    <cellStyle name="20% - Accent2 5 5" xfId="2751" xr:uid="{00000000-0005-0000-0000-0000790F0000}"/>
    <cellStyle name="20% - Accent2 5 5 2" xfId="7871" xr:uid="{00000000-0005-0000-0000-00007A0F0000}"/>
    <cellStyle name="20% - Accent2 5 5 2 2" xfId="18111" xr:uid="{00000000-0005-0000-0000-00007B0F0000}"/>
    <cellStyle name="20% - Accent2 5 5 2 2 2" xfId="38591" xr:uid="{00000000-0005-0000-0000-00007C0F0000}"/>
    <cellStyle name="20% - Accent2 5 5 2 3" xfId="28351" xr:uid="{00000000-0005-0000-0000-00007D0F0000}"/>
    <cellStyle name="20% - Accent2 5 5 3" xfId="12991" xr:uid="{00000000-0005-0000-0000-00007E0F0000}"/>
    <cellStyle name="20% - Accent2 5 5 3 2" xfId="33471" xr:uid="{00000000-0005-0000-0000-00007F0F0000}"/>
    <cellStyle name="20% - Accent2 5 5 4" xfId="23231" xr:uid="{00000000-0005-0000-0000-0000800F0000}"/>
    <cellStyle name="20% - Accent2 5 6" xfId="5311" xr:uid="{00000000-0005-0000-0000-0000810F0000}"/>
    <cellStyle name="20% - Accent2 5 6 2" xfId="15551" xr:uid="{00000000-0005-0000-0000-0000820F0000}"/>
    <cellStyle name="20% - Accent2 5 6 2 2" xfId="36031" xr:uid="{00000000-0005-0000-0000-0000830F0000}"/>
    <cellStyle name="20% - Accent2 5 6 3" xfId="25791" xr:uid="{00000000-0005-0000-0000-0000840F0000}"/>
    <cellStyle name="20% - Accent2 5 7" xfId="10431" xr:uid="{00000000-0005-0000-0000-0000850F0000}"/>
    <cellStyle name="20% - Accent2 5 7 2" xfId="30911" xr:uid="{00000000-0005-0000-0000-0000860F0000}"/>
    <cellStyle name="20% - Accent2 5 8" xfId="20671" xr:uid="{00000000-0005-0000-0000-0000870F0000}"/>
    <cellStyle name="20% - Accent2 6" xfId="351" xr:uid="{00000000-0005-0000-0000-0000880F0000}"/>
    <cellStyle name="20% - Accent2 6 2" xfId="991" xr:uid="{00000000-0005-0000-0000-0000890F0000}"/>
    <cellStyle name="20% - Accent2 6 2 2" xfId="2271" xr:uid="{00000000-0005-0000-0000-00008A0F0000}"/>
    <cellStyle name="20% - Accent2 6 2 2 2" xfId="4831" xr:uid="{00000000-0005-0000-0000-00008B0F0000}"/>
    <cellStyle name="20% - Accent2 6 2 2 2 2" xfId="9951" xr:uid="{00000000-0005-0000-0000-00008C0F0000}"/>
    <cellStyle name="20% - Accent2 6 2 2 2 2 2" xfId="20191" xr:uid="{00000000-0005-0000-0000-00008D0F0000}"/>
    <cellStyle name="20% - Accent2 6 2 2 2 2 2 2" xfId="40671" xr:uid="{00000000-0005-0000-0000-00008E0F0000}"/>
    <cellStyle name="20% - Accent2 6 2 2 2 2 3" xfId="30431" xr:uid="{00000000-0005-0000-0000-00008F0F0000}"/>
    <cellStyle name="20% - Accent2 6 2 2 2 3" xfId="15071" xr:uid="{00000000-0005-0000-0000-0000900F0000}"/>
    <cellStyle name="20% - Accent2 6 2 2 2 3 2" xfId="35551" xr:uid="{00000000-0005-0000-0000-0000910F0000}"/>
    <cellStyle name="20% - Accent2 6 2 2 2 4" xfId="25311" xr:uid="{00000000-0005-0000-0000-0000920F0000}"/>
    <cellStyle name="20% - Accent2 6 2 2 3" xfId="7391" xr:uid="{00000000-0005-0000-0000-0000930F0000}"/>
    <cellStyle name="20% - Accent2 6 2 2 3 2" xfId="17631" xr:uid="{00000000-0005-0000-0000-0000940F0000}"/>
    <cellStyle name="20% - Accent2 6 2 2 3 2 2" xfId="38111" xr:uid="{00000000-0005-0000-0000-0000950F0000}"/>
    <cellStyle name="20% - Accent2 6 2 2 3 3" xfId="27871" xr:uid="{00000000-0005-0000-0000-0000960F0000}"/>
    <cellStyle name="20% - Accent2 6 2 2 4" xfId="12511" xr:uid="{00000000-0005-0000-0000-0000970F0000}"/>
    <cellStyle name="20% - Accent2 6 2 2 4 2" xfId="32991" xr:uid="{00000000-0005-0000-0000-0000980F0000}"/>
    <cellStyle name="20% - Accent2 6 2 2 5" xfId="22751" xr:uid="{00000000-0005-0000-0000-0000990F0000}"/>
    <cellStyle name="20% - Accent2 6 2 3" xfId="3551" xr:uid="{00000000-0005-0000-0000-00009A0F0000}"/>
    <cellStyle name="20% - Accent2 6 2 3 2" xfId="8671" xr:uid="{00000000-0005-0000-0000-00009B0F0000}"/>
    <cellStyle name="20% - Accent2 6 2 3 2 2" xfId="18911" xr:uid="{00000000-0005-0000-0000-00009C0F0000}"/>
    <cellStyle name="20% - Accent2 6 2 3 2 2 2" xfId="39391" xr:uid="{00000000-0005-0000-0000-00009D0F0000}"/>
    <cellStyle name="20% - Accent2 6 2 3 2 3" xfId="29151" xr:uid="{00000000-0005-0000-0000-00009E0F0000}"/>
    <cellStyle name="20% - Accent2 6 2 3 3" xfId="13791" xr:uid="{00000000-0005-0000-0000-00009F0F0000}"/>
    <cellStyle name="20% - Accent2 6 2 3 3 2" xfId="34271" xr:uid="{00000000-0005-0000-0000-0000A00F0000}"/>
    <cellStyle name="20% - Accent2 6 2 3 4" xfId="24031" xr:uid="{00000000-0005-0000-0000-0000A10F0000}"/>
    <cellStyle name="20% - Accent2 6 2 4" xfId="6111" xr:uid="{00000000-0005-0000-0000-0000A20F0000}"/>
    <cellStyle name="20% - Accent2 6 2 4 2" xfId="16351" xr:uid="{00000000-0005-0000-0000-0000A30F0000}"/>
    <cellStyle name="20% - Accent2 6 2 4 2 2" xfId="36831" xr:uid="{00000000-0005-0000-0000-0000A40F0000}"/>
    <cellStyle name="20% - Accent2 6 2 4 3" xfId="26591" xr:uid="{00000000-0005-0000-0000-0000A50F0000}"/>
    <cellStyle name="20% - Accent2 6 2 5" xfId="11231" xr:uid="{00000000-0005-0000-0000-0000A60F0000}"/>
    <cellStyle name="20% - Accent2 6 2 5 2" xfId="31711" xr:uid="{00000000-0005-0000-0000-0000A70F0000}"/>
    <cellStyle name="20% - Accent2 6 2 6" xfId="21471" xr:uid="{00000000-0005-0000-0000-0000A80F0000}"/>
    <cellStyle name="20% - Accent2 6 3" xfId="1631" xr:uid="{00000000-0005-0000-0000-0000A90F0000}"/>
    <cellStyle name="20% - Accent2 6 3 2" xfId="4191" xr:uid="{00000000-0005-0000-0000-0000AA0F0000}"/>
    <cellStyle name="20% - Accent2 6 3 2 2" xfId="9311" xr:uid="{00000000-0005-0000-0000-0000AB0F0000}"/>
    <cellStyle name="20% - Accent2 6 3 2 2 2" xfId="19551" xr:uid="{00000000-0005-0000-0000-0000AC0F0000}"/>
    <cellStyle name="20% - Accent2 6 3 2 2 2 2" xfId="40031" xr:uid="{00000000-0005-0000-0000-0000AD0F0000}"/>
    <cellStyle name="20% - Accent2 6 3 2 2 3" xfId="29791" xr:uid="{00000000-0005-0000-0000-0000AE0F0000}"/>
    <cellStyle name="20% - Accent2 6 3 2 3" xfId="14431" xr:uid="{00000000-0005-0000-0000-0000AF0F0000}"/>
    <cellStyle name="20% - Accent2 6 3 2 3 2" xfId="34911" xr:uid="{00000000-0005-0000-0000-0000B00F0000}"/>
    <cellStyle name="20% - Accent2 6 3 2 4" xfId="24671" xr:uid="{00000000-0005-0000-0000-0000B10F0000}"/>
    <cellStyle name="20% - Accent2 6 3 3" xfId="6751" xr:uid="{00000000-0005-0000-0000-0000B20F0000}"/>
    <cellStyle name="20% - Accent2 6 3 3 2" xfId="16991" xr:uid="{00000000-0005-0000-0000-0000B30F0000}"/>
    <cellStyle name="20% - Accent2 6 3 3 2 2" xfId="37471" xr:uid="{00000000-0005-0000-0000-0000B40F0000}"/>
    <cellStyle name="20% - Accent2 6 3 3 3" xfId="27231" xr:uid="{00000000-0005-0000-0000-0000B50F0000}"/>
    <cellStyle name="20% - Accent2 6 3 4" xfId="11871" xr:uid="{00000000-0005-0000-0000-0000B60F0000}"/>
    <cellStyle name="20% - Accent2 6 3 4 2" xfId="32351" xr:uid="{00000000-0005-0000-0000-0000B70F0000}"/>
    <cellStyle name="20% - Accent2 6 3 5" xfId="22111" xr:uid="{00000000-0005-0000-0000-0000B80F0000}"/>
    <cellStyle name="20% - Accent2 6 4" xfId="2911" xr:uid="{00000000-0005-0000-0000-0000B90F0000}"/>
    <cellStyle name="20% - Accent2 6 4 2" xfId="8031" xr:uid="{00000000-0005-0000-0000-0000BA0F0000}"/>
    <cellStyle name="20% - Accent2 6 4 2 2" xfId="18271" xr:uid="{00000000-0005-0000-0000-0000BB0F0000}"/>
    <cellStyle name="20% - Accent2 6 4 2 2 2" xfId="38751" xr:uid="{00000000-0005-0000-0000-0000BC0F0000}"/>
    <cellStyle name="20% - Accent2 6 4 2 3" xfId="28511" xr:uid="{00000000-0005-0000-0000-0000BD0F0000}"/>
    <cellStyle name="20% - Accent2 6 4 3" xfId="13151" xr:uid="{00000000-0005-0000-0000-0000BE0F0000}"/>
    <cellStyle name="20% - Accent2 6 4 3 2" xfId="33631" xr:uid="{00000000-0005-0000-0000-0000BF0F0000}"/>
    <cellStyle name="20% - Accent2 6 4 4" xfId="23391" xr:uid="{00000000-0005-0000-0000-0000C00F0000}"/>
    <cellStyle name="20% - Accent2 6 5" xfId="5471" xr:uid="{00000000-0005-0000-0000-0000C10F0000}"/>
    <cellStyle name="20% - Accent2 6 5 2" xfId="15711" xr:uid="{00000000-0005-0000-0000-0000C20F0000}"/>
    <cellStyle name="20% - Accent2 6 5 2 2" xfId="36191" xr:uid="{00000000-0005-0000-0000-0000C30F0000}"/>
    <cellStyle name="20% - Accent2 6 5 3" xfId="25951" xr:uid="{00000000-0005-0000-0000-0000C40F0000}"/>
    <cellStyle name="20% - Accent2 6 6" xfId="10591" xr:uid="{00000000-0005-0000-0000-0000C50F0000}"/>
    <cellStyle name="20% - Accent2 6 6 2" xfId="31071" xr:uid="{00000000-0005-0000-0000-0000C60F0000}"/>
    <cellStyle name="20% - Accent2 6 7" xfId="20831" xr:uid="{00000000-0005-0000-0000-0000C70F0000}"/>
    <cellStyle name="20% - Accent2 7" xfId="671" xr:uid="{00000000-0005-0000-0000-0000C80F0000}"/>
    <cellStyle name="20% - Accent2 7 2" xfId="1951" xr:uid="{00000000-0005-0000-0000-0000C90F0000}"/>
    <cellStyle name="20% - Accent2 7 2 2" xfId="4511" xr:uid="{00000000-0005-0000-0000-0000CA0F0000}"/>
    <cellStyle name="20% - Accent2 7 2 2 2" xfId="9631" xr:uid="{00000000-0005-0000-0000-0000CB0F0000}"/>
    <cellStyle name="20% - Accent2 7 2 2 2 2" xfId="19871" xr:uid="{00000000-0005-0000-0000-0000CC0F0000}"/>
    <cellStyle name="20% - Accent2 7 2 2 2 2 2" xfId="40351" xr:uid="{00000000-0005-0000-0000-0000CD0F0000}"/>
    <cellStyle name="20% - Accent2 7 2 2 2 3" xfId="30111" xr:uid="{00000000-0005-0000-0000-0000CE0F0000}"/>
    <cellStyle name="20% - Accent2 7 2 2 3" xfId="14751" xr:uid="{00000000-0005-0000-0000-0000CF0F0000}"/>
    <cellStyle name="20% - Accent2 7 2 2 3 2" xfId="35231" xr:uid="{00000000-0005-0000-0000-0000D00F0000}"/>
    <cellStyle name="20% - Accent2 7 2 2 4" xfId="24991" xr:uid="{00000000-0005-0000-0000-0000D10F0000}"/>
    <cellStyle name="20% - Accent2 7 2 3" xfId="7071" xr:uid="{00000000-0005-0000-0000-0000D20F0000}"/>
    <cellStyle name="20% - Accent2 7 2 3 2" xfId="17311" xr:uid="{00000000-0005-0000-0000-0000D30F0000}"/>
    <cellStyle name="20% - Accent2 7 2 3 2 2" xfId="37791" xr:uid="{00000000-0005-0000-0000-0000D40F0000}"/>
    <cellStyle name="20% - Accent2 7 2 3 3" xfId="27551" xr:uid="{00000000-0005-0000-0000-0000D50F0000}"/>
    <cellStyle name="20% - Accent2 7 2 4" xfId="12191" xr:uid="{00000000-0005-0000-0000-0000D60F0000}"/>
    <cellStyle name="20% - Accent2 7 2 4 2" xfId="32671" xr:uid="{00000000-0005-0000-0000-0000D70F0000}"/>
    <cellStyle name="20% - Accent2 7 2 5" xfId="22431" xr:uid="{00000000-0005-0000-0000-0000D80F0000}"/>
    <cellStyle name="20% - Accent2 7 3" xfId="3231" xr:uid="{00000000-0005-0000-0000-0000D90F0000}"/>
    <cellStyle name="20% - Accent2 7 3 2" xfId="8351" xr:uid="{00000000-0005-0000-0000-0000DA0F0000}"/>
    <cellStyle name="20% - Accent2 7 3 2 2" xfId="18591" xr:uid="{00000000-0005-0000-0000-0000DB0F0000}"/>
    <cellStyle name="20% - Accent2 7 3 2 2 2" xfId="39071" xr:uid="{00000000-0005-0000-0000-0000DC0F0000}"/>
    <cellStyle name="20% - Accent2 7 3 2 3" xfId="28831" xr:uid="{00000000-0005-0000-0000-0000DD0F0000}"/>
    <cellStyle name="20% - Accent2 7 3 3" xfId="13471" xr:uid="{00000000-0005-0000-0000-0000DE0F0000}"/>
    <cellStyle name="20% - Accent2 7 3 3 2" xfId="33951" xr:uid="{00000000-0005-0000-0000-0000DF0F0000}"/>
    <cellStyle name="20% - Accent2 7 3 4" xfId="23711" xr:uid="{00000000-0005-0000-0000-0000E00F0000}"/>
    <cellStyle name="20% - Accent2 7 4" xfId="5791" xr:uid="{00000000-0005-0000-0000-0000E10F0000}"/>
    <cellStyle name="20% - Accent2 7 4 2" xfId="16031" xr:uid="{00000000-0005-0000-0000-0000E20F0000}"/>
    <cellStyle name="20% - Accent2 7 4 2 2" xfId="36511" xr:uid="{00000000-0005-0000-0000-0000E30F0000}"/>
    <cellStyle name="20% - Accent2 7 4 3" xfId="26271" xr:uid="{00000000-0005-0000-0000-0000E40F0000}"/>
    <cellStyle name="20% - Accent2 7 5" xfId="10911" xr:uid="{00000000-0005-0000-0000-0000E50F0000}"/>
    <cellStyle name="20% - Accent2 7 5 2" xfId="31391" xr:uid="{00000000-0005-0000-0000-0000E60F0000}"/>
    <cellStyle name="20% - Accent2 7 6" xfId="21151" xr:uid="{00000000-0005-0000-0000-0000E70F0000}"/>
    <cellStyle name="20% - Accent2 8" xfId="1311" xr:uid="{00000000-0005-0000-0000-0000E80F0000}"/>
    <cellStyle name="20% - Accent2 8 2" xfId="3871" xr:uid="{00000000-0005-0000-0000-0000E90F0000}"/>
    <cellStyle name="20% - Accent2 8 2 2" xfId="8991" xr:uid="{00000000-0005-0000-0000-0000EA0F0000}"/>
    <cellStyle name="20% - Accent2 8 2 2 2" xfId="19231" xr:uid="{00000000-0005-0000-0000-0000EB0F0000}"/>
    <cellStyle name="20% - Accent2 8 2 2 2 2" xfId="39711" xr:uid="{00000000-0005-0000-0000-0000EC0F0000}"/>
    <cellStyle name="20% - Accent2 8 2 2 3" xfId="29471" xr:uid="{00000000-0005-0000-0000-0000ED0F0000}"/>
    <cellStyle name="20% - Accent2 8 2 3" xfId="14111" xr:uid="{00000000-0005-0000-0000-0000EE0F0000}"/>
    <cellStyle name="20% - Accent2 8 2 3 2" xfId="34591" xr:uid="{00000000-0005-0000-0000-0000EF0F0000}"/>
    <cellStyle name="20% - Accent2 8 2 4" xfId="24351" xr:uid="{00000000-0005-0000-0000-0000F00F0000}"/>
    <cellStyle name="20% - Accent2 8 3" xfId="6431" xr:uid="{00000000-0005-0000-0000-0000F10F0000}"/>
    <cellStyle name="20% - Accent2 8 3 2" xfId="16671" xr:uid="{00000000-0005-0000-0000-0000F20F0000}"/>
    <cellStyle name="20% - Accent2 8 3 2 2" xfId="37151" xr:uid="{00000000-0005-0000-0000-0000F30F0000}"/>
    <cellStyle name="20% - Accent2 8 3 3" xfId="26911" xr:uid="{00000000-0005-0000-0000-0000F40F0000}"/>
    <cellStyle name="20% - Accent2 8 4" xfId="11551" xr:uid="{00000000-0005-0000-0000-0000F50F0000}"/>
    <cellStyle name="20% - Accent2 8 4 2" xfId="32031" xr:uid="{00000000-0005-0000-0000-0000F60F0000}"/>
    <cellStyle name="20% - Accent2 8 5" xfId="21791" xr:uid="{00000000-0005-0000-0000-0000F70F0000}"/>
    <cellStyle name="20% - Accent2 9" xfId="2591" xr:uid="{00000000-0005-0000-0000-0000F80F0000}"/>
    <cellStyle name="20% - Accent2 9 2" xfId="7711" xr:uid="{00000000-0005-0000-0000-0000F90F0000}"/>
    <cellStyle name="20% - Accent2 9 2 2" xfId="17951" xr:uid="{00000000-0005-0000-0000-0000FA0F0000}"/>
    <cellStyle name="20% - Accent2 9 2 2 2" xfId="38431" xr:uid="{00000000-0005-0000-0000-0000FB0F0000}"/>
    <cellStyle name="20% - Accent2 9 2 3" xfId="28191" xr:uid="{00000000-0005-0000-0000-0000FC0F0000}"/>
    <cellStyle name="20% - Accent2 9 3" xfId="12831" xr:uid="{00000000-0005-0000-0000-0000FD0F0000}"/>
    <cellStyle name="20% - Accent2 9 3 2" xfId="33311" xr:uid="{00000000-0005-0000-0000-0000FE0F0000}"/>
    <cellStyle name="20% - Accent2 9 4" xfId="23071" xr:uid="{00000000-0005-0000-0000-0000FF0F0000}"/>
    <cellStyle name="20% - Accent3 10" xfId="5154" xr:uid="{00000000-0005-0000-0000-000000100000}"/>
    <cellStyle name="20% - Accent3 10 2" xfId="15394" xr:uid="{00000000-0005-0000-0000-000001100000}"/>
    <cellStyle name="20% - Accent3 10 2 2" xfId="35874" xr:uid="{00000000-0005-0000-0000-000002100000}"/>
    <cellStyle name="20% - Accent3 10 3" xfId="25634" xr:uid="{00000000-0005-0000-0000-000003100000}"/>
    <cellStyle name="20% - Accent3 11" xfId="10274" xr:uid="{00000000-0005-0000-0000-000004100000}"/>
    <cellStyle name="20% - Accent3 11 2" xfId="30754" xr:uid="{00000000-0005-0000-0000-000005100000}"/>
    <cellStyle name="20% - Accent3 12" xfId="20514" xr:uid="{00000000-0005-0000-0000-000006100000}"/>
    <cellStyle name="20% - Accent3 13" xfId="31" xr:uid="{00000000-0005-0000-0000-000007100000}"/>
    <cellStyle name="20% - Accent3 2" xfId="54" xr:uid="{00000000-0005-0000-0000-000008100000}"/>
    <cellStyle name="20% - Accent3 2 10" xfId="10294" xr:uid="{00000000-0005-0000-0000-000009100000}"/>
    <cellStyle name="20% - Accent3 2 10 2" xfId="30774" xr:uid="{00000000-0005-0000-0000-00000A100000}"/>
    <cellStyle name="20% - Accent3 2 11" xfId="20534" xr:uid="{00000000-0005-0000-0000-00000B100000}"/>
    <cellStyle name="20% - Accent3 2 2" xfId="94" xr:uid="{00000000-0005-0000-0000-00000C100000}"/>
    <cellStyle name="20% - Accent3 2 2 10" xfId="20574" xr:uid="{00000000-0005-0000-0000-00000D100000}"/>
    <cellStyle name="20% - Accent3 2 2 2" xfId="174" xr:uid="{00000000-0005-0000-0000-00000E100000}"/>
    <cellStyle name="20% - Accent3 2 2 2 2" xfId="334" xr:uid="{00000000-0005-0000-0000-00000F100000}"/>
    <cellStyle name="20% - Accent3 2 2 2 2 2" xfId="654" xr:uid="{00000000-0005-0000-0000-000010100000}"/>
    <cellStyle name="20% - Accent3 2 2 2 2 2 2" xfId="1294" xr:uid="{00000000-0005-0000-0000-000011100000}"/>
    <cellStyle name="20% - Accent3 2 2 2 2 2 2 2" xfId="2574" xr:uid="{00000000-0005-0000-0000-000012100000}"/>
    <cellStyle name="20% - Accent3 2 2 2 2 2 2 2 2" xfId="5134" xr:uid="{00000000-0005-0000-0000-000013100000}"/>
    <cellStyle name="20% - Accent3 2 2 2 2 2 2 2 2 2" xfId="10254" xr:uid="{00000000-0005-0000-0000-000014100000}"/>
    <cellStyle name="20% - Accent3 2 2 2 2 2 2 2 2 2 2" xfId="20494" xr:uid="{00000000-0005-0000-0000-000015100000}"/>
    <cellStyle name="20% - Accent3 2 2 2 2 2 2 2 2 2 2 2" xfId="40974" xr:uid="{00000000-0005-0000-0000-000016100000}"/>
    <cellStyle name="20% - Accent3 2 2 2 2 2 2 2 2 2 3" xfId="30734" xr:uid="{00000000-0005-0000-0000-000017100000}"/>
    <cellStyle name="20% - Accent3 2 2 2 2 2 2 2 2 3" xfId="15374" xr:uid="{00000000-0005-0000-0000-000018100000}"/>
    <cellStyle name="20% - Accent3 2 2 2 2 2 2 2 2 3 2" xfId="35854" xr:uid="{00000000-0005-0000-0000-000019100000}"/>
    <cellStyle name="20% - Accent3 2 2 2 2 2 2 2 2 4" xfId="25614" xr:uid="{00000000-0005-0000-0000-00001A100000}"/>
    <cellStyle name="20% - Accent3 2 2 2 2 2 2 2 3" xfId="7694" xr:uid="{00000000-0005-0000-0000-00001B100000}"/>
    <cellStyle name="20% - Accent3 2 2 2 2 2 2 2 3 2" xfId="17934" xr:uid="{00000000-0005-0000-0000-00001C100000}"/>
    <cellStyle name="20% - Accent3 2 2 2 2 2 2 2 3 2 2" xfId="38414" xr:uid="{00000000-0005-0000-0000-00001D100000}"/>
    <cellStyle name="20% - Accent3 2 2 2 2 2 2 2 3 3" xfId="28174" xr:uid="{00000000-0005-0000-0000-00001E100000}"/>
    <cellStyle name="20% - Accent3 2 2 2 2 2 2 2 4" xfId="12814" xr:uid="{00000000-0005-0000-0000-00001F100000}"/>
    <cellStyle name="20% - Accent3 2 2 2 2 2 2 2 4 2" xfId="33294" xr:uid="{00000000-0005-0000-0000-000020100000}"/>
    <cellStyle name="20% - Accent3 2 2 2 2 2 2 2 5" xfId="23054" xr:uid="{00000000-0005-0000-0000-000021100000}"/>
    <cellStyle name="20% - Accent3 2 2 2 2 2 2 3" xfId="3854" xr:uid="{00000000-0005-0000-0000-000022100000}"/>
    <cellStyle name="20% - Accent3 2 2 2 2 2 2 3 2" xfId="8974" xr:uid="{00000000-0005-0000-0000-000023100000}"/>
    <cellStyle name="20% - Accent3 2 2 2 2 2 2 3 2 2" xfId="19214" xr:uid="{00000000-0005-0000-0000-000024100000}"/>
    <cellStyle name="20% - Accent3 2 2 2 2 2 2 3 2 2 2" xfId="39694" xr:uid="{00000000-0005-0000-0000-000025100000}"/>
    <cellStyle name="20% - Accent3 2 2 2 2 2 2 3 2 3" xfId="29454" xr:uid="{00000000-0005-0000-0000-000026100000}"/>
    <cellStyle name="20% - Accent3 2 2 2 2 2 2 3 3" xfId="14094" xr:uid="{00000000-0005-0000-0000-000027100000}"/>
    <cellStyle name="20% - Accent3 2 2 2 2 2 2 3 3 2" xfId="34574" xr:uid="{00000000-0005-0000-0000-000028100000}"/>
    <cellStyle name="20% - Accent3 2 2 2 2 2 2 3 4" xfId="24334" xr:uid="{00000000-0005-0000-0000-000029100000}"/>
    <cellStyle name="20% - Accent3 2 2 2 2 2 2 4" xfId="6414" xr:uid="{00000000-0005-0000-0000-00002A100000}"/>
    <cellStyle name="20% - Accent3 2 2 2 2 2 2 4 2" xfId="16654" xr:uid="{00000000-0005-0000-0000-00002B100000}"/>
    <cellStyle name="20% - Accent3 2 2 2 2 2 2 4 2 2" xfId="37134" xr:uid="{00000000-0005-0000-0000-00002C100000}"/>
    <cellStyle name="20% - Accent3 2 2 2 2 2 2 4 3" xfId="26894" xr:uid="{00000000-0005-0000-0000-00002D100000}"/>
    <cellStyle name="20% - Accent3 2 2 2 2 2 2 5" xfId="11534" xr:uid="{00000000-0005-0000-0000-00002E100000}"/>
    <cellStyle name="20% - Accent3 2 2 2 2 2 2 5 2" xfId="32014" xr:uid="{00000000-0005-0000-0000-00002F100000}"/>
    <cellStyle name="20% - Accent3 2 2 2 2 2 2 6" xfId="21774" xr:uid="{00000000-0005-0000-0000-000030100000}"/>
    <cellStyle name="20% - Accent3 2 2 2 2 2 3" xfId="1934" xr:uid="{00000000-0005-0000-0000-000031100000}"/>
    <cellStyle name="20% - Accent3 2 2 2 2 2 3 2" xfId="4494" xr:uid="{00000000-0005-0000-0000-000032100000}"/>
    <cellStyle name="20% - Accent3 2 2 2 2 2 3 2 2" xfId="9614" xr:uid="{00000000-0005-0000-0000-000033100000}"/>
    <cellStyle name="20% - Accent3 2 2 2 2 2 3 2 2 2" xfId="19854" xr:uid="{00000000-0005-0000-0000-000034100000}"/>
    <cellStyle name="20% - Accent3 2 2 2 2 2 3 2 2 2 2" xfId="40334" xr:uid="{00000000-0005-0000-0000-000035100000}"/>
    <cellStyle name="20% - Accent3 2 2 2 2 2 3 2 2 3" xfId="30094" xr:uid="{00000000-0005-0000-0000-000036100000}"/>
    <cellStyle name="20% - Accent3 2 2 2 2 2 3 2 3" xfId="14734" xr:uid="{00000000-0005-0000-0000-000037100000}"/>
    <cellStyle name="20% - Accent3 2 2 2 2 2 3 2 3 2" xfId="35214" xr:uid="{00000000-0005-0000-0000-000038100000}"/>
    <cellStyle name="20% - Accent3 2 2 2 2 2 3 2 4" xfId="24974" xr:uid="{00000000-0005-0000-0000-000039100000}"/>
    <cellStyle name="20% - Accent3 2 2 2 2 2 3 3" xfId="7054" xr:uid="{00000000-0005-0000-0000-00003A100000}"/>
    <cellStyle name="20% - Accent3 2 2 2 2 2 3 3 2" xfId="17294" xr:uid="{00000000-0005-0000-0000-00003B100000}"/>
    <cellStyle name="20% - Accent3 2 2 2 2 2 3 3 2 2" xfId="37774" xr:uid="{00000000-0005-0000-0000-00003C100000}"/>
    <cellStyle name="20% - Accent3 2 2 2 2 2 3 3 3" xfId="27534" xr:uid="{00000000-0005-0000-0000-00003D100000}"/>
    <cellStyle name="20% - Accent3 2 2 2 2 2 3 4" xfId="12174" xr:uid="{00000000-0005-0000-0000-00003E100000}"/>
    <cellStyle name="20% - Accent3 2 2 2 2 2 3 4 2" xfId="32654" xr:uid="{00000000-0005-0000-0000-00003F100000}"/>
    <cellStyle name="20% - Accent3 2 2 2 2 2 3 5" xfId="22414" xr:uid="{00000000-0005-0000-0000-000040100000}"/>
    <cellStyle name="20% - Accent3 2 2 2 2 2 4" xfId="3214" xr:uid="{00000000-0005-0000-0000-000041100000}"/>
    <cellStyle name="20% - Accent3 2 2 2 2 2 4 2" xfId="8334" xr:uid="{00000000-0005-0000-0000-000042100000}"/>
    <cellStyle name="20% - Accent3 2 2 2 2 2 4 2 2" xfId="18574" xr:uid="{00000000-0005-0000-0000-000043100000}"/>
    <cellStyle name="20% - Accent3 2 2 2 2 2 4 2 2 2" xfId="39054" xr:uid="{00000000-0005-0000-0000-000044100000}"/>
    <cellStyle name="20% - Accent3 2 2 2 2 2 4 2 3" xfId="28814" xr:uid="{00000000-0005-0000-0000-000045100000}"/>
    <cellStyle name="20% - Accent3 2 2 2 2 2 4 3" xfId="13454" xr:uid="{00000000-0005-0000-0000-000046100000}"/>
    <cellStyle name="20% - Accent3 2 2 2 2 2 4 3 2" xfId="33934" xr:uid="{00000000-0005-0000-0000-000047100000}"/>
    <cellStyle name="20% - Accent3 2 2 2 2 2 4 4" xfId="23694" xr:uid="{00000000-0005-0000-0000-000048100000}"/>
    <cellStyle name="20% - Accent3 2 2 2 2 2 5" xfId="5774" xr:uid="{00000000-0005-0000-0000-000049100000}"/>
    <cellStyle name="20% - Accent3 2 2 2 2 2 5 2" xfId="16014" xr:uid="{00000000-0005-0000-0000-00004A100000}"/>
    <cellStyle name="20% - Accent3 2 2 2 2 2 5 2 2" xfId="36494" xr:uid="{00000000-0005-0000-0000-00004B100000}"/>
    <cellStyle name="20% - Accent3 2 2 2 2 2 5 3" xfId="26254" xr:uid="{00000000-0005-0000-0000-00004C100000}"/>
    <cellStyle name="20% - Accent3 2 2 2 2 2 6" xfId="10894" xr:uid="{00000000-0005-0000-0000-00004D100000}"/>
    <cellStyle name="20% - Accent3 2 2 2 2 2 6 2" xfId="31374" xr:uid="{00000000-0005-0000-0000-00004E100000}"/>
    <cellStyle name="20% - Accent3 2 2 2 2 2 7" xfId="21134" xr:uid="{00000000-0005-0000-0000-00004F100000}"/>
    <cellStyle name="20% - Accent3 2 2 2 2 3" xfId="974" xr:uid="{00000000-0005-0000-0000-000050100000}"/>
    <cellStyle name="20% - Accent3 2 2 2 2 3 2" xfId="2254" xr:uid="{00000000-0005-0000-0000-000051100000}"/>
    <cellStyle name="20% - Accent3 2 2 2 2 3 2 2" xfId="4814" xr:uid="{00000000-0005-0000-0000-000052100000}"/>
    <cellStyle name="20% - Accent3 2 2 2 2 3 2 2 2" xfId="9934" xr:uid="{00000000-0005-0000-0000-000053100000}"/>
    <cellStyle name="20% - Accent3 2 2 2 2 3 2 2 2 2" xfId="20174" xr:uid="{00000000-0005-0000-0000-000054100000}"/>
    <cellStyle name="20% - Accent3 2 2 2 2 3 2 2 2 2 2" xfId="40654" xr:uid="{00000000-0005-0000-0000-000055100000}"/>
    <cellStyle name="20% - Accent3 2 2 2 2 3 2 2 2 3" xfId="30414" xr:uid="{00000000-0005-0000-0000-000056100000}"/>
    <cellStyle name="20% - Accent3 2 2 2 2 3 2 2 3" xfId="15054" xr:uid="{00000000-0005-0000-0000-000057100000}"/>
    <cellStyle name="20% - Accent3 2 2 2 2 3 2 2 3 2" xfId="35534" xr:uid="{00000000-0005-0000-0000-000058100000}"/>
    <cellStyle name="20% - Accent3 2 2 2 2 3 2 2 4" xfId="25294" xr:uid="{00000000-0005-0000-0000-000059100000}"/>
    <cellStyle name="20% - Accent3 2 2 2 2 3 2 3" xfId="7374" xr:uid="{00000000-0005-0000-0000-00005A100000}"/>
    <cellStyle name="20% - Accent3 2 2 2 2 3 2 3 2" xfId="17614" xr:uid="{00000000-0005-0000-0000-00005B100000}"/>
    <cellStyle name="20% - Accent3 2 2 2 2 3 2 3 2 2" xfId="38094" xr:uid="{00000000-0005-0000-0000-00005C100000}"/>
    <cellStyle name="20% - Accent3 2 2 2 2 3 2 3 3" xfId="27854" xr:uid="{00000000-0005-0000-0000-00005D100000}"/>
    <cellStyle name="20% - Accent3 2 2 2 2 3 2 4" xfId="12494" xr:uid="{00000000-0005-0000-0000-00005E100000}"/>
    <cellStyle name="20% - Accent3 2 2 2 2 3 2 4 2" xfId="32974" xr:uid="{00000000-0005-0000-0000-00005F100000}"/>
    <cellStyle name="20% - Accent3 2 2 2 2 3 2 5" xfId="22734" xr:uid="{00000000-0005-0000-0000-000060100000}"/>
    <cellStyle name="20% - Accent3 2 2 2 2 3 3" xfId="3534" xr:uid="{00000000-0005-0000-0000-000061100000}"/>
    <cellStyle name="20% - Accent3 2 2 2 2 3 3 2" xfId="8654" xr:uid="{00000000-0005-0000-0000-000062100000}"/>
    <cellStyle name="20% - Accent3 2 2 2 2 3 3 2 2" xfId="18894" xr:uid="{00000000-0005-0000-0000-000063100000}"/>
    <cellStyle name="20% - Accent3 2 2 2 2 3 3 2 2 2" xfId="39374" xr:uid="{00000000-0005-0000-0000-000064100000}"/>
    <cellStyle name="20% - Accent3 2 2 2 2 3 3 2 3" xfId="29134" xr:uid="{00000000-0005-0000-0000-000065100000}"/>
    <cellStyle name="20% - Accent3 2 2 2 2 3 3 3" xfId="13774" xr:uid="{00000000-0005-0000-0000-000066100000}"/>
    <cellStyle name="20% - Accent3 2 2 2 2 3 3 3 2" xfId="34254" xr:uid="{00000000-0005-0000-0000-000067100000}"/>
    <cellStyle name="20% - Accent3 2 2 2 2 3 3 4" xfId="24014" xr:uid="{00000000-0005-0000-0000-000068100000}"/>
    <cellStyle name="20% - Accent3 2 2 2 2 3 4" xfId="6094" xr:uid="{00000000-0005-0000-0000-000069100000}"/>
    <cellStyle name="20% - Accent3 2 2 2 2 3 4 2" xfId="16334" xr:uid="{00000000-0005-0000-0000-00006A100000}"/>
    <cellStyle name="20% - Accent3 2 2 2 2 3 4 2 2" xfId="36814" xr:uid="{00000000-0005-0000-0000-00006B100000}"/>
    <cellStyle name="20% - Accent3 2 2 2 2 3 4 3" xfId="26574" xr:uid="{00000000-0005-0000-0000-00006C100000}"/>
    <cellStyle name="20% - Accent3 2 2 2 2 3 5" xfId="11214" xr:uid="{00000000-0005-0000-0000-00006D100000}"/>
    <cellStyle name="20% - Accent3 2 2 2 2 3 5 2" xfId="31694" xr:uid="{00000000-0005-0000-0000-00006E100000}"/>
    <cellStyle name="20% - Accent3 2 2 2 2 3 6" xfId="21454" xr:uid="{00000000-0005-0000-0000-00006F100000}"/>
    <cellStyle name="20% - Accent3 2 2 2 2 4" xfId="1614" xr:uid="{00000000-0005-0000-0000-000070100000}"/>
    <cellStyle name="20% - Accent3 2 2 2 2 4 2" xfId="4174" xr:uid="{00000000-0005-0000-0000-000071100000}"/>
    <cellStyle name="20% - Accent3 2 2 2 2 4 2 2" xfId="9294" xr:uid="{00000000-0005-0000-0000-000072100000}"/>
    <cellStyle name="20% - Accent3 2 2 2 2 4 2 2 2" xfId="19534" xr:uid="{00000000-0005-0000-0000-000073100000}"/>
    <cellStyle name="20% - Accent3 2 2 2 2 4 2 2 2 2" xfId="40014" xr:uid="{00000000-0005-0000-0000-000074100000}"/>
    <cellStyle name="20% - Accent3 2 2 2 2 4 2 2 3" xfId="29774" xr:uid="{00000000-0005-0000-0000-000075100000}"/>
    <cellStyle name="20% - Accent3 2 2 2 2 4 2 3" xfId="14414" xr:uid="{00000000-0005-0000-0000-000076100000}"/>
    <cellStyle name="20% - Accent3 2 2 2 2 4 2 3 2" xfId="34894" xr:uid="{00000000-0005-0000-0000-000077100000}"/>
    <cellStyle name="20% - Accent3 2 2 2 2 4 2 4" xfId="24654" xr:uid="{00000000-0005-0000-0000-000078100000}"/>
    <cellStyle name="20% - Accent3 2 2 2 2 4 3" xfId="6734" xr:uid="{00000000-0005-0000-0000-000079100000}"/>
    <cellStyle name="20% - Accent3 2 2 2 2 4 3 2" xfId="16974" xr:uid="{00000000-0005-0000-0000-00007A100000}"/>
    <cellStyle name="20% - Accent3 2 2 2 2 4 3 2 2" xfId="37454" xr:uid="{00000000-0005-0000-0000-00007B100000}"/>
    <cellStyle name="20% - Accent3 2 2 2 2 4 3 3" xfId="27214" xr:uid="{00000000-0005-0000-0000-00007C100000}"/>
    <cellStyle name="20% - Accent3 2 2 2 2 4 4" xfId="11854" xr:uid="{00000000-0005-0000-0000-00007D100000}"/>
    <cellStyle name="20% - Accent3 2 2 2 2 4 4 2" xfId="32334" xr:uid="{00000000-0005-0000-0000-00007E100000}"/>
    <cellStyle name="20% - Accent3 2 2 2 2 4 5" xfId="22094" xr:uid="{00000000-0005-0000-0000-00007F100000}"/>
    <cellStyle name="20% - Accent3 2 2 2 2 5" xfId="2894" xr:uid="{00000000-0005-0000-0000-000080100000}"/>
    <cellStyle name="20% - Accent3 2 2 2 2 5 2" xfId="8014" xr:uid="{00000000-0005-0000-0000-000081100000}"/>
    <cellStyle name="20% - Accent3 2 2 2 2 5 2 2" xfId="18254" xr:uid="{00000000-0005-0000-0000-000082100000}"/>
    <cellStyle name="20% - Accent3 2 2 2 2 5 2 2 2" xfId="38734" xr:uid="{00000000-0005-0000-0000-000083100000}"/>
    <cellStyle name="20% - Accent3 2 2 2 2 5 2 3" xfId="28494" xr:uid="{00000000-0005-0000-0000-000084100000}"/>
    <cellStyle name="20% - Accent3 2 2 2 2 5 3" xfId="13134" xr:uid="{00000000-0005-0000-0000-000085100000}"/>
    <cellStyle name="20% - Accent3 2 2 2 2 5 3 2" xfId="33614" xr:uid="{00000000-0005-0000-0000-000086100000}"/>
    <cellStyle name="20% - Accent3 2 2 2 2 5 4" xfId="23374" xr:uid="{00000000-0005-0000-0000-000087100000}"/>
    <cellStyle name="20% - Accent3 2 2 2 2 6" xfId="5454" xr:uid="{00000000-0005-0000-0000-000088100000}"/>
    <cellStyle name="20% - Accent3 2 2 2 2 6 2" xfId="15694" xr:uid="{00000000-0005-0000-0000-000089100000}"/>
    <cellStyle name="20% - Accent3 2 2 2 2 6 2 2" xfId="36174" xr:uid="{00000000-0005-0000-0000-00008A100000}"/>
    <cellStyle name="20% - Accent3 2 2 2 2 6 3" xfId="25934" xr:uid="{00000000-0005-0000-0000-00008B100000}"/>
    <cellStyle name="20% - Accent3 2 2 2 2 7" xfId="10574" xr:uid="{00000000-0005-0000-0000-00008C100000}"/>
    <cellStyle name="20% - Accent3 2 2 2 2 7 2" xfId="31054" xr:uid="{00000000-0005-0000-0000-00008D100000}"/>
    <cellStyle name="20% - Accent3 2 2 2 2 8" xfId="20814" xr:uid="{00000000-0005-0000-0000-00008E100000}"/>
    <cellStyle name="20% - Accent3 2 2 2 3" xfId="494" xr:uid="{00000000-0005-0000-0000-00008F100000}"/>
    <cellStyle name="20% - Accent3 2 2 2 3 2" xfId="1134" xr:uid="{00000000-0005-0000-0000-000090100000}"/>
    <cellStyle name="20% - Accent3 2 2 2 3 2 2" xfId="2414" xr:uid="{00000000-0005-0000-0000-000091100000}"/>
    <cellStyle name="20% - Accent3 2 2 2 3 2 2 2" xfId="4974" xr:uid="{00000000-0005-0000-0000-000092100000}"/>
    <cellStyle name="20% - Accent3 2 2 2 3 2 2 2 2" xfId="10094" xr:uid="{00000000-0005-0000-0000-000093100000}"/>
    <cellStyle name="20% - Accent3 2 2 2 3 2 2 2 2 2" xfId="20334" xr:uid="{00000000-0005-0000-0000-000094100000}"/>
    <cellStyle name="20% - Accent3 2 2 2 3 2 2 2 2 2 2" xfId="40814" xr:uid="{00000000-0005-0000-0000-000095100000}"/>
    <cellStyle name="20% - Accent3 2 2 2 3 2 2 2 2 3" xfId="30574" xr:uid="{00000000-0005-0000-0000-000096100000}"/>
    <cellStyle name="20% - Accent3 2 2 2 3 2 2 2 3" xfId="15214" xr:uid="{00000000-0005-0000-0000-000097100000}"/>
    <cellStyle name="20% - Accent3 2 2 2 3 2 2 2 3 2" xfId="35694" xr:uid="{00000000-0005-0000-0000-000098100000}"/>
    <cellStyle name="20% - Accent3 2 2 2 3 2 2 2 4" xfId="25454" xr:uid="{00000000-0005-0000-0000-000099100000}"/>
    <cellStyle name="20% - Accent3 2 2 2 3 2 2 3" xfId="7534" xr:uid="{00000000-0005-0000-0000-00009A100000}"/>
    <cellStyle name="20% - Accent3 2 2 2 3 2 2 3 2" xfId="17774" xr:uid="{00000000-0005-0000-0000-00009B100000}"/>
    <cellStyle name="20% - Accent3 2 2 2 3 2 2 3 2 2" xfId="38254" xr:uid="{00000000-0005-0000-0000-00009C100000}"/>
    <cellStyle name="20% - Accent3 2 2 2 3 2 2 3 3" xfId="28014" xr:uid="{00000000-0005-0000-0000-00009D100000}"/>
    <cellStyle name="20% - Accent3 2 2 2 3 2 2 4" xfId="12654" xr:uid="{00000000-0005-0000-0000-00009E100000}"/>
    <cellStyle name="20% - Accent3 2 2 2 3 2 2 4 2" xfId="33134" xr:uid="{00000000-0005-0000-0000-00009F100000}"/>
    <cellStyle name="20% - Accent3 2 2 2 3 2 2 5" xfId="22894" xr:uid="{00000000-0005-0000-0000-0000A0100000}"/>
    <cellStyle name="20% - Accent3 2 2 2 3 2 3" xfId="3694" xr:uid="{00000000-0005-0000-0000-0000A1100000}"/>
    <cellStyle name="20% - Accent3 2 2 2 3 2 3 2" xfId="8814" xr:uid="{00000000-0005-0000-0000-0000A2100000}"/>
    <cellStyle name="20% - Accent3 2 2 2 3 2 3 2 2" xfId="19054" xr:uid="{00000000-0005-0000-0000-0000A3100000}"/>
    <cellStyle name="20% - Accent3 2 2 2 3 2 3 2 2 2" xfId="39534" xr:uid="{00000000-0005-0000-0000-0000A4100000}"/>
    <cellStyle name="20% - Accent3 2 2 2 3 2 3 2 3" xfId="29294" xr:uid="{00000000-0005-0000-0000-0000A5100000}"/>
    <cellStyle name="20% - Accent3 2 2 2 3 2 3 3" xfId="13934" xr:uid="{00000000-0005-0000-0000-0000A6100000}"/>
    <cellStyle name="20% - Accent3 2 2 2 3 2 3 3 2" xfId="34414" xr:uid="{00000000-0005-0000-0000-0000A7100000}"/>
    <cellStyle name="20% - Accent3 2 2 2 3 2 3 4" xfId="24174" xr:uid="{00000000-0005-0000-0000-0000A8100000}"/>
    <cellStyle name="20% - Accent3 2 2 2 3 2 4" xfId="6254" xr:uid="{00000000-0005-0000-0000-0000A9100000}"/>
    <cellStyle name="20% - Accent3 2 2 2 3 2 4 2" xfId="16494" xr:uid="{00000000-0005-0000-0000-0000AA100000}"/>
    <cellStyle name="20% - Accent3 2 2 2 3 2 4 2 2" xfId="36974" xr:uid="{00000000-0005-0000-0000-0000AB100000}"/>
    <cellStyle name="20% - Accent3 2 2 2 3 2 4 3" xfId="26734" xr:uid="{00000000-0005-0000-0000-0000AC100000}"/>
    <cellStyle name="20% - Accent3 2 2 2 3 2 5" xfId="11374" xr:uid="{00000000-0005-0000-0000-0000AD100000}"/>
    <cellStyle name="20% - Accent3 2 2 2 3 2 5 2" xfId="31854" xr:uid="{00000000-0005-0000-0000-0000AE100000}"/>
    <cellStyle name="20% - Accent3 2 2 2 3 2 6" xfId="21614" xr:uid="{00000000-0005-0000-0000-0000AF100000}"/>
    <cellStyle name="20% - Accent3 2 2 2 3 3" xfId="1774" xr:uid="{00000000-0005-0000-0000-0000B0100000}"/>
    <cellStyle name="20% - Accent3 2 2 2 3 3 2" xfId="4334" xr:uid="{00000000-0005-0000-0000-0000B1100000}"/>
    <cellStyle name="20% - Accent3 2 2 2 3 3 2 2" xfId="9454" xr:uid="{00000000-0005-0000-0000-0000B2100000}"/>
    <cellStyle name="20% - Accent3 2 2 2 3 3 2 2 2" xfId="19694" xr:uid="{00000000-0005-0000-0000-0000B3100000}"/>
    <cellStyle name="20% - Accent3 2 2 2 3 3 2 2 2 2" xfId="40174" xr:uid="{00000000-0005-0000-0000-0000B4100000}"/>
    <cellStyle name="20% - Accent3 2 2 2 3 3 2 2 3" xfId="29934" xr:uid="{00000000-0005-0000-0000-0000B5100000}"/>
    <cellStyle name="20% - Accent3 2 2 2 3 3 2 3" xfId="14574" xr:uid="{00000000-0005-0000-0000-0000B6100000}"/>
    <cellStyle name="20% - Accent3 2 2 2 3 3 2 3 2" xfId="35054" xr:uid="{00000000-0005-0000-0000-0000B7100000}"/>
    <cellStyle name="20% - Accent3 2 2 2 3 3 2 4" xfId="24814" xr:uid="{00000000-0005-0000-0000-0000B8100000}"/>
    <cellStyle name="20% - Accent3 2 2 2 3 3 3" xfId="6894" xr:uid="{00000000-0005-0000-0000-0000B9100000}"/>
    <cellStyle name="20% - Accent3 2 2 2 3 3 3 2" xfId="17134" xr:uid="{00000000-0005-0000-0000-0000BA100000}"/>
    <cellStyle name="20% - Accent3 2 2 2 3 3 3 2 2" xfId="37614" xr:uid="{00000000-0005-0000-0000-0000BB100000}"/>
    <cellStyle name="20% - Accent3 2 2 2 3 3 3 3" xfId="27374" xr:uid="{00000000-0005-0000-0000-0000BC100000}"/>
    <cellStyle name="20% - Accent3 2 2 2 3 3 4" xfId="12014" xr:uid="{00000000-0005-0000-0000-0000BD100000}"/>
    <cellStyle name="20% - Accent3 2 2 2 3 3 4 2" xfId="32494" xr:uid="{00000000-0005-0000-0000-0000BE100000}"/>
    <cellStyle name="20% - Accent3 2 2 2 3 3 5" xfId="22254" xr:uid="{00000000-0005-0000-0000-0000BF100000}"/>
    <cellStyle name="20% - Accent3 2 2 2 3 4" xfId="3054" xr:uid="{00000000-0005-0000-0000-0000C0100000}"/>
    <cellStyle name="20% - Accent3 2 2 2 3 4 2" xfId="8174" xr:uid="{00000000-0005-0000-0000-0000C1100000}"/>
    <cellStyle name="20% - Accent3 2 2 2 3 4 2 2" xfId="18414" xr:uid="{00000000-0005-0000-0000-0000C2100000}"/>
    <cellStyle name="20% - Accent3 2 2 2 3 4 2 2 2" xfId="38894" xr:uid="{00000000-0005-0000-0000-0000C3100000}"/>
    <cellStyle name="20% - Accent3 2 2 2 3 4 2 3" xfId="28654" xr:uid="{00000000-0005-0000-0000-0000C4100000}"/>
    <cellStyle name="20% - Accent3 2 2 2 3 4 3" xfId="13294" xr:uid="{00000000-0005-0000-0000-0000C5100000}"/>
    <cellStyle name="20% - Accent3 2 2 2 3 4 3 2" xfId="33774" xr:uid="{00000000-0005-0000-0000-0000C6100000}"/>
    <cellStyle name="20% - Accent3 2 2 2 3 4 4" xfId="23534" xr:uid="{00000000-0005-0000-0000-0000C7100000}"/>
    <cellStyle name="20% - Accent3 2 2 2 3 5" xfId="5614" xr:uid="{00000000-0005-0000-0000-0000C8100000}"/>
    <cellStyle name="20% - Accent3 2 2 2 3 5 2" xfId="15854" xr:uid="{00000000-0005-0000-0000-0000C9100000}"/>
    <cellStyle name="20% - Accent3 2 2 2 3 5 2 2" xfId="36334" xr:uid="{00000000-0005-0000-0000-0000CA100000}"/>
    <cellStyle name="20% - Accent3 2 2 2 3 5 3" xfId="26094" xr:uid="{00000000-0005-0000-0000-0000CB100000}"/>
    <cellStyle name="20% - Accent3 2 2 2 3 6" xfId="10734" xr:uid="{00000000-0005-0000-0000-0000CC100000}"/>
    <cellStyle name="20% - Accent3 2 2 2 3 6 2" xfId="31214" xr:uid="{00000000-0005-0000-0000-0000CD100000}"/>
    <cellStyle name="20% - Accent3 2 2 2 3 7" xfId="20974" xr:uid="{00000000-0005-0000-0000-0000CE100000}"/>
    <cellStyle name="20% - Accent3 2 2 2 4" xfId="814" xr:uid="{00000000-0005-0000-0000-0000CF100000}"/>
    <cellStyle name="20% - Accent3 2 2 2 4 2" xfId="2094" xr:uid="{00000000-0005-0000-0000-0000D0100000}"/>
    <cellStyle name="20% - Accent3 2 2 2 4 2 2" xfId="4654" xr:uid="{00000000-0005-0000-0000-0000D1100000}"/>
    <cellStyle name="20% - Accent3 2 2 2 4 2 2 2" xfId="9774" xr:uid="{00000000-0005-0000-0000-0000D2100000}"/>
    <cellStyle name="20% - Accent3 2 2 2 4 2 2 2 2" xfId="20014" xr:uid="{00000000-0005-0000-0000-0000D3100000}"/>
    <cellStyle name="20% - Accent3 2 2 2 4 2 2 2 2 2" xfId="40494" xr:uid="{00000000-0005-0000-0000-0000D4100000}"/>
    <cellStyle name="20% - Accent3 2 2 2 4 2 2 2 3" xfId="30254" xr:uid="{00000000-0005-0000-0000-0000D5100000}"/>
    <cellStyle name="20% - Accent3 2 2 2 4 2 2 3" xfId="14894" xr:uid="{00000000-0005-0000-0000-0000D6100000}"/>
    <cellStyle name="20% - Accent3 2 2 2 4 2 2 3 2" xfId="35374" xr:uid="{00000000-0005-0000-0000-0000D7100000}"/>
    <cellStyle name="20% - Accent3 2 2 2 4 2 2 4" xfId="25134" xr:uid="{00000000-0005-0000-0000-0000D8100000}"/>
    <cellStyle name="20% - Accent3 2 2 2 4 2 3" xfId="7214" xr:uid="{00000000-0005-0000-0000-0000D9100000}"/>
    <cellStyle name="20% - Accent3 2 2 2 4 2 3 2" xfId="17454" xr:uid="{00000000-0005-0000-0000-0000DA100000}"/>
    <cellStyle name="20% - Accent3 2 2 2 4 2 3 2 2" xfId="37934" xr:uid="{00000000-0005-0000-0000-0000DB100000}"/>
    <cellStyle name="20% - Accent3 2 2 2 4 2 3 3" xfId="27694" xr:uid="{00000000-0005-0000-0000-0000DC100000}"/>
    <cellStyle name="20% - Accent3 2 2 2 4 2 4" xfId="12334" xr:uid="{00000000-0005-0000-0000-0000DD100000}"/>
    <cellStyle name="20% - Accent3 2 2 2 4 2 4 2" xfId="32814" xr:uid="{00000000-0005-0000-0000-0000DE100000}"/>
    <cellStyle name="20% - Accent3 2 2 2 4 2 5" xfId="22574" xr:uid="{00000000-0005-0000-0000-0000DF100000}"/>
    <cellStyle name="20% - Accent3 2 2 2 4 3" xfId="3374" xr:uid="{00000000-0005-0000-0000-0000E0100000}"/>
    <cellStyle name="20% - Accent3 2 2 2 4 3 2" xfId="8494" xr:uid="{00000000-0005-0000-0000-0000E1100000}"/>
    <cellStyle name="20% - Accent3 2 2 2 4 3 2 2" xfId="18734" xr:uid="{00000000-0005-0000-0000-0000E2100000}"/>
    <cellStyle name="20% - Accent3 2 2 2 4 3 2 2 2" xfId="39214" xr:uid="{00000000-0005-0000-0000-0000E3100000}"/>
    <cellStyle name="20% - Accent3 2 2 2 4 3 2 3" xfId="28974" xr:uid="{00000000-0005-0000-0000-0000E4100000}"/>
    <cellStyle name="20% - Accent3 2 2 2 4 3 3" xfId="13614" xr:uid="{00000000-0005-0000-0000-0000E5100000}"/>
    <cellStyle name="20% - Accent3 2 2 2 4 3 3 2" xfId="34094" xr:uid="{00000000-0005-0000-0000-0000E6100000}"/>
    <cellStyle name="20% - Accent3 2 2 2 4 3 4" xfId="23854" xr:uid="{00000000-0005-0000-0000-0000E7100000}"/>
    <cellStyle name="20% - Accent3 2 2 2 4 4" xfId="5934" xr:uid="{00000000-0005-0000-0000-0000E8100000}"/>
    <cellStyle name="20% - Accent3 2 2 2 4 4 2" xfId="16174" xr:uid="{00000000-0005-0000-0000-0000E9100000}"/>
    <cellStyle name="20% - Accent3 2 2 2 4 4 2 2" xfId="36654" xr:uid="{00000000-0005-0000-0000-0000EA100000}"/>
    <cellStyle name="20% - Accent3 2 2 2 4 4 3" xfId="26414" xr:uid="{00000000-0005-0000-0000-0000EB100000}"/>
    <cellStyle name="20% - Accent3 2 2 2 4 5" xfId="11054" xr:uid="{00000000-0005-0000-0000-0000EC100000}"/>
    <cellStyle name="20% - Accent3 2 2 2 4 5 2" xfId="31534" xr:uid="{00000000-0005-0000-0000-0000ED100000}"/>
    <cellStyle name="20% - Accent3 2 2 2 4 6" xfId="21294" xr:uid="{00000000-0005-0000-0000-0000EE100000}"/>
    <cellStyle name="20% - Accent3 2 2 2 5" xfId="1454" xr:uid="{00000000-0005-0000-0000-0000EF100000}"/>
    <cellStyle name="20% - Accent3 2 2 2 5 2" xfId="4014" xr:uid="{00000000-0005-0000-0000-0000F0100000}"/>
    <cellStyle name="20% - Accent3 2 2 2 5 2 2" xfId="9134" xr:uid="{00000000-0005-0000-0000-0000F1100000}"/>
    <cellStyle name="20% - Accent3 2 2 2 5 2 2 2" xfId="19374" xr:uid="{00000000-0005-0000-0000-0000F2100000}"/>
    <cellStyle name="20% - Accent3 2 2 2 5 2 2 2 2" xfId="39854" xr:uid="{00000000-0005-0000-0000-0000F3100000}"/>
    <cellStyle name="20% - Accent3 2 2 2 5 2 2 3" xfId="29614" xr:uid="{00000000-0005-0000-0000-0000F4100000}"/>
    <cellStyle name="20% - Accent3 2 2 2 5 2 3" xfId="14254" xr:uid="{00000000-0005-0000-0000-0000F5100000}"/>
    <cellStyle name="20% - Accent3 2 2 2 5 2 3 2" xfId="34734" xr:uid="{00000000-0005-0000-0000-0000F6100000}"/>
    <cellStyle name="20% - Accent3 2 2 2 5 2 4" xfId="24494" xr:uid="{00000000-0005-0000-0000-0000F7100000}"/>
    <cellStyle name="20% - Accent3 2 2 2 5 3" xfId="6574" xr:uid="{00000000-0005-0000-0000-0000F8100000}"/>
    <cellStyle name="20% - Accent3 2 2 2 5 3 2" xfId="16814" xr:uid="{00000000-0005-0000-0000-0000F9100000}"/>
    <cellStyle name="20% - Accent3 2 2 2 5 3 2 2" xfId="37294" xr:uid="{00000000-0005-0000-0000-0000FA100000}"/>
    <cellStyle name="20% - Accent3 2 2 2 5 3 3" xfId="27054" xr:uid="{00000000-0005-0000-0000-0000FB100000}"/>
    <cellStyle name="20% - Accent3 2 2 2 5 4" xfId="11694" xr:uid="{00000000-0005-0000-0000-0000FC100000}"/>
    <cellStyle name="20% - Accent3 2 2 2 5 4 2" xfId="32174" xr:uid="{00000000-0005-0000-0000-0000FD100000}"/>
    <cellStyle name="20% - Accent3 2 2 2 5 5" xfId="21934" xr:uid="{00000000-0005-0000-0000-0000FE100000}"/>
    <cellStyle name="20% - Accent3 2 2 2 6" xfId="2734" xr:uid="{00000000-0005-0000-0000-0000FF100000}"/>
    <cellStyle name="20% - Accent3 2 2 2 6 2" xfId="7854" xr:uid="{00000000-0005-0000-0000-000000110000}"/>
    <cellStyle name="20% - Accent3 2 2 2 6 2 2" xfId="18094" xr:uid="{00000000-0005-0000-0000-000001110000}"/>
    <cellStyle name="20% - Accent3 2 2 2 6 2 2 2" xfId="38574" xr:uid="{00000000-0005-0000-0000-000002110000}"/>
    <cellStyle name="20% - Accent3 2 2 2 6 2 3" xfId="28334" xr:uid="{00000000-0005-0000-0000-000003110000}"/>
    <cellStyle name="20% - Accent3 2 2 2 6 3" xfId="12974" xr:uid="{00000000-0005-0000-0000-000004110000}"/>
    <cellStyle name="20% - Accent3 2 2 2 6 3 2" xfId="33454" xr:uid="{00000000-0005-0000-0000-000005110000}"/>
    <cellStyle name="20% - Accent3 2 2 2 6 4" xfId="23214" xr:uid="{00000000-0005-0000-0000-000006110000}"/>
    <cellStyle name="20% - Accent3 2 2 2 7" xfId="5294" xr:uid="{00000000-0005-0000-0000-000007110000}"/>
    <cellStyle name="20% - Accent3 2 2 2 7 2" xfId="15534" xr:uid="{00000000-0005-0000-0000-000008110000}"/>
    <cellStyle name="20% - Accent3 2 2 2 7 2 2" xfId="36014" xr:uid="{00000000-0005-0000-0000-000009110000}"/>
    <cellStyle name="20% - Accent3 2 2 2 7 3" xfId="25774" xr:uid="{00000000-0005-0000-0000-00000A110000}"/>
    <cellStyle name="20% - Accent3 2 2 2 8" xfId="10414" xr:uid="{00000000-0005-0000-0000-00000B110000}"/>
    <cellStyle name="20% - Accent3 2 2 2 8 2" xfId="30894" xr:uid="{00000000-0005-0000-0000-00000C110000}"/>
    <cellStyle name="20% - Accent3 2 2 2 9" xfId="20654" xr:uid="{00000000-0005-0000-0000-00000D110000}"/>
    <cellStyle name="20% - Accent3 2 2 3" xfId="254" xr:uid="{00000000-0005-0000-0000-00000E110000}"/>
    <cellStyle name="20% - Accent3 2 2 3 2" xfId="574" xr:uid="{00000000-0005-0000-0000-00000F110000}"/>
    <cellStyle name="20% - Accent3 2 2 3 2 2" xfId="1214" xr:uid="{00000000-0005-0000-0000-000010110000}"/>
    <cellStyle name="20% - Accent3 2 2 3 2 2 2" xfId="2494" xr:uid="{00000000-0005-0000-0000-000011110000}"/>
    <cellStyle name="20% - Accent3 2 2 3 2 2 2 2" xfId="5054" xr:uid="{00000000-0005-0000-0000-000012110000}"/>
    <cellStyle name="20% - Accent3 2 2 3 2 2 2 2 2" xfId="10174" xr:uid="{00000000-0005-0000-0000-000013110000}"/>
    <cellStyle name="20% - Accent3 2 2 3 2 2 2 2 2 2" xfId="20414" xr:uid="{00000000-0005-0000-0000-000014110000}"/>
    <cellStyle name="20% - Accent3 2 2 3 2 2 2 2 2 2 2" xfId="40894" xr:uid="{00000000-0005-0000-0000-000015110000}"/>
    <cellStyle name="20% - Accent3 2 2 3 2 2 2 2 2 3" xfId="30654" xr:uid="{00000000-0005-0000-0000-000016110000}"/>
    <cellStyle name="20% - Accent3 2 2 3 2 2 2 2 3" xfId="15294" xr:uid="{00000000-0005-0000-0000-000017110000}"/>
    <cellStyle name="20% - Accent3 2 2 3 2 2 2 2 3 2" xfId="35774" xr:uid="{00000000-0005-0000-0000-000018110000}"/>
    <cellStyle name="20% - Accent3 2 2 3 2 2 2 2 4" xfId="25534" xr:uid="{00000000-0005-0000-0000-000019110000}"/>
    <cellStyle name="20% - Accent3 2 2 3 2 2 2 3" xfId="7614" xr:uid="{00000000-0005-0000-0000-00001A110000}"/>
    <cellStyle name="20% - Accent3 2 2 3 2 2 2 3 2" xfId="17854" xr:uid="{00000000-0005-0000-0000-00001B110000}"/>
    <cellStyle name="20% - Accent3 2 2 3 2 2 2 3 2 2" xfId="38334" xr:uid="{00000000-0005-0000-0000-00001C110000}"/>
    <cellStyle name="20% - Accent3 2 2 3 2 2 2 3 3" xfId="28094" xr:uid="{00000000-0005-0000-0000-00001D110000}"/>
    <cellStyle name="20% - Accent3 2 2 3 2 2 2 4" xfId="12734" xr:uid="{00000000-0005-0000-0000-00001E110000}"/>
    <cellStyle name="20% - Accent3 2 2 3 2 2 2 4 2" xfId="33214" xr:uid="{00000000-0005-0000-0000-00001F110000}"/>
    <cellStyle name="20% - Accent3 2 2 3 2 2 2 5" xfId="22974" xr:uid="{00000000-0005-0000-0000-000020110000}"/>
    <cellStyle name="20% - Accent3 2 2 3 2 2 3" xfId="3774" xr:uid="{00000000-0005-0000-0000-000021110000}"/>
    <cellStyle name="20% - Accent3 2 2 3 2 2 3 2" xfId="8894" xr:uid="{00000000-0005-0000-0000-000022110000}"/>
    <cellStyle name="20% - Accent3 2 2 3 2 2 3 2 2" xfId="19134" xr:uid="{00000000-0005-0000-0000-000023110000}"/>
    <cellStyle name="20% - Accent3 2 2 3 2 2 3 2 2 2" xfId="39614" xr:uid="{00000000-0005-0000-0000-000024110000}"/>
    <cellStyle name="20% - Accent3 2 2 3 2 2 3 2 3" xfId="29374" xr:uid="{00000000-0005-0000-0000-000025110000}"/>
    <cellStyle name="20% - Accent3 2 2 3 2 2 3 3" xfId="14014" xr:uid="{00000000-0005-0000-0000-000026110000}"/>
    <cellStyle name="20% - Accent3 2 2 3 2 2 3 3 2" xfId="34494" xr:uid="{00000000-0005-0000-0000-000027110000}"/>
    <cellStyle name="20% - Accent3 2 2 3 2 2 3 4" xfId="24254" xr:uid="{00000000-0005-0000-0000-000028110000}"/>
    <cellStyle name="20% - Accent3 2 2 3 2 2 4" xfId="6334" xr:uid="{00000000-0005-0000-0000-000029110000}"/>
    <cellStyle name="20% - Accent3 2 2 3 2 2 4 2" xfId="16574" xr:uid="{00000000-0005-0000-0000-00002A110000}"/>
    <cellStyle name="20% - Accent3 2 2 3 2 2 4 2 2" xfId="37054" xr:uid="{00000000-0005-0000-0000-00002B110000}"/>
    <cellStyle name="20% - Accent3 2 2 3 2 2 4 3" xfId="26814" xr:uid="{00000000-0005-0000-0000-00002C110000}"/>
    <cellStyle name="20% - Accent3 2 2 3 2 2 5" xfId="11454" xr:uid="{00000000-0005-0000-0000-00002D110000}"/>
    <cellStyle name="20% - Accent3 2 2 3 2 2 5 2" xfId="31934" xr:uid="{00000000-0005-0000-0000-00002E110000}"/>
    <cellStyle name="20% - Accent3 2 2 3 2 2 6" xfId="21694" xr:uid="{00000000-0005-0000-0000-00002F110000}"/>
    <cellStyle name="20% - Accent3 2 2 3 2 3" xfId="1854" xr:uid="{00000000-0005-0000-0000-000030110000}"/>
    <cellStyle name="20% - Accent3 2 2 3 2 3 2" xfId="4414" xr:uid="{00000000-0005-0000-0000-000031110000}"/>
    <cellStyle name="20% - Accent3 2 2 3 2 3 2 2" xfId="9534" xr:uid="{00000000-0005-0000-0000-000032110000}"/>
    <cellStyle name="20% - Accent3 2 2 3 2 3 2 2 2" xfId="19774" xr:uid="{00000000-0005-0000-0000-000033110000}"/>
    <cellStyle name="20% - Accent3 2 2 3 2 3 2 2 2 2" xfId="40254" xr:uid="{00000000-0005-0000-0000-000034110000}"/>
    <cellStyle name="20% - Accent3 2 2 3 2 3 2 2 3" xfId="30014" xr:uid="{00000000-0005-0000-0000-000035110000}"/>
    <cellStyle name="20% - Accent3 2 2 3 2 3 2 3" xfId="14654" xr:uid="{00000000-0005-0000-0000-000036110000}"/>
    <cellStyle name="20% - Accent3 2 2 3 2 3 2 3 2" xfId="35134" xr:uid="{00000000-0005-0000-0000-000037110000}"/>
    <cellStyle name="20% - Accent3 2 2 3 2 3 2 4" xfId="24894" xr:uid="{00000000-0005-0000-0000-000038110000}"/>
    <cellStyle name="20% - Accent3 2 2 3 2 3 3" xfId="6974" xr:uid="{00000000-0005-0000-0000-000039110000}"/>
    <cellStyle name="20% - Accent3 2 2 3 2 3 3 2" xfId="17214" xr:uid="{00000000-0005-0000-0000-00003A110000}"/>
    <cellStyle name="20% - Accent3 2 2 3 2 3 3 2 2" xfId="37694" xr:uid="{00000000-0005-0000-0000-00003B110000}"/>
    <cellStyle name="20% - Accent3 2 2 3 2 3 3 3" xfId="27454" xr:uid="{00000000-0005-0000-0000-00003C110000}"/>
    <cellStyle name="20% - Accent3 2 2 3 2 3 4" xfId="12094" xr:uid="{00000000-0005-0000-0000-00003D110000}"/>
    <cellStyle name="20% - Accent3 2 2 3 2 3 4 2" xfId="32574" xr:uid="{00000000-0005-0000-0000-00003E110000}"/>
    <cellStyle name="20% - Accent3 2 2 3 2 3 5" xfId="22334" xr:uid="{00000000-0005-0000-0000-00003F110000}"/>
    <cellStyle name="20% - Accent3 2 2 3 2 4" xfId="3134" xr:uid="{00000000-0005-0000-0000-000040110000}"/>
    <cellStyle name="20% - Accent3 2 2 3 2 4 2" xfId="8254" xr:uid="{00000000-0005-0000-0000-000041110000}"/>
    <cellStyle name="20% - Accent3 2 2 3 2 4 2 2" xfId="18494" xr:uid="{00000000-0005-0000-0000-000042110000}"/>
    <cellStyle name="20% - Accent3 2 2 3 2 4 2 2 2" xfId="38974" xr:uid="{00000000-0005-0000-0000-000043110000}"/>
    <cellStyle name="20% - Accent3 2 2 3 2 4 2 3" xfId="28734" xr:uid="{00000000-0005-0000-0000-000044110000}"/>
    <cellStyle name="20% - Accent3 2 2 3 2 4 3" xfId="13374" xr:uid="{00000000-0005-0000-0000-000045110000}"/>
    <cellStyle name="20% - Accent3 2 2 3 2 4 3 2" xfId="33854" xr:uid="{00000000-0005-0000-0000-000046110000}"/>
    <cellStyle name="20% - Accent3 2 2 3 2 4 4" xfId="23614" xr:uid="{00000000-0005-0000-0000-000047110000}"/>
    <cellStyle name="20% - Accent3 2 2 3 2 5" xfId="5694" xr:uid="{00000000-0005-0000-0000-000048110000}"/>
    <cellStyle name="20% - Accent3 2 2 3 2 5 2" xfId="15934" xr:uid="{00000000-0005-0000-0000-000049110000}"/>
    <cellStyle name="20% - Accent3 2 2 3 2 5 2 2" xfId="36414" xr:uid="{00000000-0005-0000-0000-00004A110000}"/>
    <cellStyle name="20% - Accent3 2 2 3 2 5 3" xfId="26174" xr:uid="{00000000-0005-0000-0000-00004B110000}"/>
    <cellStyle name="20% - Accent3 2 2 3 2 6" xfId="10814" xr:uid="{00000000-0005-0000-0000-00004C110000}"/>
    <cellStyle name="20% - Accent3 2 2 3 2 6 2" xfId="31294" xr:uid="{00000000-0005-0000-0000-00004D110000}"/>
    <cellStyle name="20% - Accent3 2 2 3 2 7" xfId="21054" xr:uid="{00000000-0005-0000-0000-00004E110000}"/>
    <cellStyle name="20% - Accent3 2 2 3 3" xfId="894" xr:uid="{00000000-0005-0000-0000-00004F110000}"/>
    <cellStyle name="20% - Accent3 2 2 3 3 2" xfId="2174" xr:uid="{00000000-0005-0000-0000-000050110000}"/>
    <cellStyle name="20% - Accent3 2 2 3 3 2 2" xfId="4734" xr:uid="{00000000-0005-0000-0000-000051110000}"/>
    <cellStyle name="20% - Accent3 2 2 3 3 2 2 2" xfId="9854" xr:uid="{00000000-0005-0000-0000-000052110000}"/>
    <cellStyle name="20% - Accent3 2 2 3 3 2 2 2 2" xfId="20094" xr:uid="{00000000-0005-0000-0000-000053110000}"/>
    <cellStyle name="20% - Accent3 2 2 3 3 2 2 2 2 2" xfId="40574" xr:uid="{00000000-0005-0000-0000-000054110000}"/>
    <cellStyle name="20% - Accent3 2 2 3 3 2 2 2 3" xfId="30334" xr:uid="{00000000-0005-0000-0000-000055110000}"/>
    <cellStyle name="20% - Accent3 2 2 3 3 2 2 3" xfId="14974" xr:uid="{00000000-0005-0000-0000-000056110000}"/>
    <cellStyle name="20% - Accent3 2 2 3 3 2 2 3 2" xfId="35454" xr:uid="{00000000-0005-0000-0000-000057110000}"/>
    <cellStyle name="20% - Accent3 2 2 3 3 2 2 4" xfId="25214" xr:uid="{00000000-0005-0000-0000-000058110000}"/>
    <cellStyle name="20% - Accent3 2 2 3 3 2 3" xfId="7294" xr:uid="{00000000-0005-0000-0000-000059110000}"/>
    <cellStyle name="20% - Accent3 2 2 3 3 2 3 2" xfId="17534" xr:uid="{00000000-0005-0000-0000-00005A110000}"/>
    <cellStyle name="20% - Accent3 2 2 3 3 2 3 2 2" xfId="38014" xr:uid="{00000000-0005-0000-0000-00005B110000}"/>
    <cellStyle name="20% - Accent3 2 2 3 3 2 3 3" xfId="27774" xr:uid="{00000000-0005-0000-0000-00005C110000}"/>
    <cellStyle name="20% - Accent3 2 2 3 3 2 4" xfId="12414" xr:uid="{00000000-0005-0000-0000-00005D110000}"/>
    <cellStyle name="20% - Accent3 2 2 3 3 2 4 2" xfId="32894" xr:uid="{00000000-0005-0000-0000-00005E110000}"/>
    <cellStyle name="20% - Accent3 2 2 3 3 2 5" xfId="22654" xr:uid="{00000000-0005-0000-0000-00005F110000}"/>
    <cellStyle name="20% - Accent3 2 2 3 3 3" xfId="3454" xr:uid="{00000000-0005-0000-0000-000060110000}"/>
    <cellStyle name="20% - Accent3 2 2 3 3 3 2" xfId="8574" xr:uid="{00000000-0005-0000-0000-000061110000}"/>
    <cellStyle name="20% - Accent3 2 2 3 3 3 2 2" xfId="18814" xr:uid="{00000000-0005-0000-0000-000062110000}"/>
    <cellStyle name="20% - Accent3 2 2 3 3 3 2 2 2" xfId="39294" xr:uid="{00000000-0005-0000-0000-000063110000}"/>
    <cellStyle name="20% - Accent3 2 2 3 3 3 2 3" xfId="29054" xr:uid="{00000000-0005-0000-0000-000064110000}"/>
    <cellStyle name="20% - Accent3 2 2 3 3 3 3" xfId="13694" xr:uid="{00000000-0005-0000-0000-000065110000}"/>
    <cellStyle name="20% - Accent3 2 2 3 3 3 3 2" xfId="34174" xr:uid="{00000000-0005-0000-0000-000066110000}"/>
    <cellStyle name="20% - Accent3 2 2 3 3 3 4" xfId="23934" xr:uid="{00000000-0005-0000-0000-000067110000}"/>
    <cellStyle name="20% - Accent3 2 2 3 3 4" xfId="6014" xr:uid="{00000000-0005-0000-0000-000068110000}"/>
    <cellStyle name="20% - Accent3 2 2 3 3 4 2" xfId="16254" xr:uid="{00000000-0005-0000-0000-000069110000}"/>
    <cellStyle name="20% - Accent3 2 2 3 3 4 2 2" xfId="36734" xr:uid="{00000000-0005-0000-0000-00006A110000}"/>
    <cellStyle name="20% - Accent3 2 2 3 3 4 3" xfId="26494" xr:uid="{00000000-0005-0000-0000-00006B110000}"/>
    <cellStyle name="20% - Accent3 2 2 3 3 5" xfId="11134" xr:uid="{00000000-0005-0000-0000-00006C110000}"/>
    <cellStyle name="20% - Accent3 2 2 3 3 5 2" xfId="31614" xr:uid="{00000000-0005-0000-0000-00006D110000}"/>
    <cellStyle name="20% - Accent3 2 2 3 3 6" xfId="21374" xr:uid="{00000000-0005-0000-0000-00006E110000}"/>
    <cellStyle name="20% - Accent3 2 2 3 4" xfId="1534" xr:uid="{00000000-0005-0000-0000-00006F110000}"/>
    <cellStyle name="20% - Accent3 2 2 3 4 2" xfId="4094" xr:uid="{00000000-0005-0000-0000-000070110000}"/>
    <cellStyle name="20% - Accent3 2 2 3 4 2 2" xfId="9214" xr:uid="{00000000-0005-0000-0000-000071110000}"/>
    <cellStyle name="20% - Accent3 2 2 3 4 2 2 2" xfId="19454" xr:uid="{00000000-0005-0000-0000-000072110000}"/>
    <cellStyle name="20% - Accent3 2 2 3 4 2 2 2 2" xfId="39934" xr:uid="{00000000-0005-0000-0000-000073110000}"/>
    <cellStyle name="20% - Accent3 2 2 3 4 2 2 3" xfId="29694" xr:uid="{00000000-0005-0000-0000-000074110000}"/>
    <cellStyle name="20% - Accent3 2 2 3 4 2 3" xfId="14334" xr:uid="{00000000-0005-0000-0000-000075110000}"/>
    <cellStyle name="20% - Accent3 2 2 3 4 2 3 2" xfId="34814" xr:uid="{00000000-0005-0000-0000-000076110000}"/>
    <cellStyle name="20% - Accent3 2 2 3 4 2 4" xfId="24574" xr:uid="{00000000-0005-0000-0000-000077110000}"/>
    <cellStyle name="20% - Accent3 2 2 3 4 3" xfId="6654" xr:uid="{00000000-0005-0000-0000-000078110000}"/>
    <cellStyle name="20% - Accent3 2 2 3 4 3 2" xfId="16894" xr:uid="{00000000-0005-0000-0000-000079110000}"/>
    <cellStyle name="20% - Accent3 2 2 3 4 3 2 2" xfId="37374" xr:uid="{00000000-0005-0000-0000-00007A110000}"/>
    <cellStyle name="20% - Accent3 2 2 3 4 3 3" xfId="27134" xr:uid="{00000000-0005-0000-0000-00007B110000}"/>
    <cellStyle name="20% - Accent3 2 2 3 4 4" xfId="11774" xr:uid="{00000000-0005-0000-0000-00007C110000}"/>
    <cellStyle name="20% - Accent3 2 2 3 4 4 2" xfId="32254" xr:uid="{00000000-0005-0000-0000-00007D110000}"/>
    <cellStyle name="20% - Accent3 2 2 3 4 5" xfId="22014" xr:uid="{00000000-0005-0000-0000-00007E110000}"/>
    <cellStyle name="20% - Accent3 2 2 3 5" xfId="2814" xr:uid="{00000000-0005-0000-0000-00007F110000}"/>
    <cellStyle name="20% - Accent3 2 2 3 5 2" xfId="7934" xr:uid="{00000000-0005-0000-0000-000080110000}"/>
    <cellStyle name="20% - Accent3 2 2 3 5 2 2" xfId="18174" xr:uid="{00000000-0005-0000-0000-000081110000}"/>
    <cellStyle name="20% - Accent3 2 2 3 5 2 2 2" xfId="38654" xr:uid="{00000000-0005-0000-0000-000082110000}"/>
    <cellStyle name="20% - Accent3 2 2 3 5 2 3" xfId="28414" xr:uid="{00000000-0005-0000-0000-000083110000}"/>
    <cellStyle name="20% - Accent3 2 2 3 5 3" xfId="13054" xr:uid="{00000000-0005-0000-0000-000084110000}"/>
    <cellStyle name="20% - Accent3 2 2 3 5 3 2" xfId="33534" xr:uid="{00000000-0005-0000-0000-000085110000}"/>
    <cellStyle name="20% - Accent3 2 2 3 5 4" xfId="23294" xr:uid="{00000000-0005-0000-0000-000086110000}"/>
    <cellStyle name="20% - Accent3 2 2 3 6" xfId="5374" xr:uid="{00000000-0005-0000-0000-000087110000}"/>
    <cellStyle name="20% - Accent3 2 2 3 6 2" xfId="15614" xr:uid="{00000000-0005-0000-0000-000088110000}"/>
    <cellStyle name="20% - Accent3 2 2 3 6 2 2" xfId="36094" xr:uid="{00000000-0005-0000-0000-000089110000}"/>
    <cellStyle name="20% - Accent3 2 2 3 6 3" xfId="25854" xr:uid="{00000000-0005-0000-0000-00008A110000}"/>
    <cellStyle name="20% - Accent3 2 2 3 7" xfId="10494" xr:uid="{00000000-0005-0000-0000-00008B110000}"/>
    <cellStyle name="20% - Accent3 2 2 3 7 2" xfId="30974" xr:uid="{00000000-0005-0000-0000-00008C110000}"/>
    <cellStyle name="20% - Accent3 2 2 3 8" xfId="20734" xr:uid="{00000000-0005-0000-0000-00008D110000}"/>
    <cellStyle name="20% - Accent3 2 2 4" xfId="414" xr:uid="{00000000-0005-0000-0000-00008E110000}"/>
    <cellStyle name="20% - Accent3 2 2 4 2" xfId="1054" xr:uid="{00000000-0005-0000-0000-00008F110000}"/>
    <cellStyle name="20% - Accent3 2 2 4 2 2" xfId="2334" xr:uid="{00000000-0005-0000-0000-000090110000}"/>
    <cellStyle name="20% - Accent3 2 2 4 2 2 2" xfId="4894" xr:uid="{00000000-0005-0000-0000-000091110000}"/>
    <cellStyle name="20% - Accent3 2 2 4 2 2 2 2" xfId="10014" xr:uid="{00000000-0005-0000-0000-000092110000}"/>
    <cellStyle name="20% - Accent3 2 2 4 2 2 2 2 2" xfId="20254" xr:uid="{00000000-0005-0000-0000-000093110000}"/>
    <cellStyle name="20% - Accent3 2 2 4 2 2 2 2 2 2" xfId="40734" xr:uid="{00000000-0005-0000-0000-000094110000}"/>
    <cellStyle name="20% - Accent3 2 2 4 2 2 2 2 3" xfId="30494" xr:uid="{00000000-0005-0000-0000-000095110000}"/>
    <cellStyle name="20% - Accent3 2 2 4 2 2 2 3" xfId="15134" xr:uid="{00000000-0005-0000-0000-000096110000}"/>
    <cellStyle name="20% - Accent3 2 2 4 2 2 2 3 2" xfId="35614" xr:uid="{00000000-0005-0000-0000-000097110000}"/>
    <cellStyle name="20% - Accent3 2 2 4 2 2 2 4" xfId="25374" xr:uid="{00000000-0005-0000-0000-000098110000}"/>
    <cellStyle name="20% - Accent3 2 2 4 2 2 3" xfId="7454" xr:uid="{00000000-0005-0000-0000-000099110000}"/>
    <cellStyle name="20% - Accent3 2 2 4 2 2 3 2" xfId="17694" xr:uid="{00000000-0005-0000-0000-00009A110000}"/>
    <cellStyle name="20% - Accent3 2 2 4 2 2 3 2 2" xfId="38174" xr:uid="{00000000-0005-0000-0000-00009B110000}"/>
    <cellStyle name="20% - Accent3 2 2 4 2 2 3 3" xfId="27934" xr:uid="{00000000-0005-0000-0000-00009C110000}"/>
    <cellStyle name="20% - Accent3 2 2 4 2 2 4" xfId="12574" xr:uid="{00000000-0005-0000-0000-00009D110000}"/>
    <cellStyle name="20% - Accent3 2 2 4 2 2 4 2" xfId="33054" xr:uid="{00000000-0005-0000-0000-00009E110000}"/>
    <cellStyle name="20% - Accent3 2 2 4 2 2 5" xfId="22814" xr:uid="{00000000-0005-0000-0000-00009F110000}"/>
    <cellStyle name="20% - Accent3 2 2 4 2 3" xfId="3614" xr:uid="{00000000-0005-0000-0000-0000A0110000}"/>
    <cellStyle name="20% - Accent3 2 2 4 2 3 2" xfId="8734" xr:uid="{00000000-0005-0000-0000-0000A1110000}"/>
    <cellStyle name="20% - Accent3 2 2 4 2 3 2 2" xfId="18974" xr:uid="{00000000-0005-0000-0000-0000A2110000}"/>
    <cellStyle name="20% - Accent3 2 2 4 2 3 2 2 2" xfId="39454" xr:uid="{00000000-0005-0000-0000-0000A3110000}"/>
    <cellStyle name="20% - Accent3 2 2 4 2 3 2 3" xfId="29214" xr:uid="{00000000-0005-0000-0000-0000A4110000}"/>
    <cellStyle name="20% - Accent3 2 2 4 2 3 3" xfId="13854" xr:uid="{00000000-0005-0000-0000-0000A5110000}"/>
    <cellStyle name="20% - Accent3 2 2 4 2 3 3 2" xfId="34334" xr:uid="{00000000-0005-0000-0000-0000A6110000}"/>
    <cellStyle name="20% - Accent3 2 2 4 2 3 4" xfId="24094" xr:uid="{00000000-0005-0000-0000-0000A7110000}"/>
    <cellStyle name="20% - Accent3 2 2 4 2 4" xfId="6174" xr:uid="{00000000-0005-0000-0000-0000A8110000}"/>
    <cellStyle name="20% - Accent3 2 2 4 2 4 2" xfId="16414" xr:uid="{00000000-0005-0000-0000-0000A9110000}"/>
    <cellStyle name="20% - Accent3 2 2 4 2 4 2 2" xfId="36894" xr:uid="{00000000-0005-0000-0000-0000AA110000}"/>
    <cellStyle name="20% - Accent3 2 2 4 2 4 3" xfId="26654" xr:uid="{00000000-0005-0000-0000-0000AB110000}"/>
    <cellStyle name="20% - Accent3 2 2 4 2 5" xfId="11294" xr:uid="{00000000-0005-0000-0000-0000AC110000}"/>
    <cellStyle name="20% - Accent3 2 2 4 2 5 2" xfId="31774" xr:uid="{00000000-0005-0000-0000-0000AD110000}"/>
    <cellStyle name="20% - Accent3 2 2 4 2 6" xfId="21534" xr:uid="{00000000-0005-0000-0000-0000AE110000}"/>
    <cellStyle name="20% - Accent3 2 2 4 3" xfId="1694" xr:uid="{00000000-0005-0000-0000-0000AF110000}"/>
    <cellStyle name="20% - Accent3 2 2 4 3 2" xfId="4254" xr:uid="{00000000-0005-0000-0000-0000B0110000}"/>
    <cellStyle name="20% - Accent3 2 2 4 3 2 2" xfId="9374" xr:uid="{00000000-0005-0000-0000-0000B1110000}"/>
    <cellStyle name="20% - Accent3 2 2 4 3 2 2 2" xfId="19614" xr:uid="{00000000-0005-0000-0000-0000B2110000}"/>
    <cellStyle name="20% - Accent3 2 2 4 3 2 2 2 2" xfId="40094" xr:uid="{00000000-0005-0000-0000-0000B3110000}"/>
    <cellStyle name="20% - Accent3 2 2 4 3 2 2 3" xfId="29854" xr:uid="{00000000-0005-0000-0000-0000B4110000}"/>
    <cellStyle name="20% - Accent3 2 2 4 3 2 3" xfId="14494" xr:uid="{00000000-0005-0000-0000-0000B5110000}"/>
    <cellStyle name="20% - Accent3 2 2 4 3 2 3 2" xfId="34974" xr:uid="{00000000-0005-0000-0000-0000B6110000}"/>
    <cellStyle name="20% - Accent3 2 2 4 3 2 4" xfId="24734" xr:uid="{00000000-0005-0000-0000-0000B7110000}"/>
    <cellStyle name="20% - Accent3 2 2 4 3 3" xfId="6814" xr:uid="{00000000-0005-0000-0000-0000B8110000}"/>
    <cellStyle name="20% - Accent3 2 2 4 3 3 2" xfId="17054" xr:uid="{00000000-0005-0000-0000-0000B9110000}"/>
    <cellStyle name="20% - Accent3 2 2 4 3 3 2 2" xfId="37534" xr:uid="{00000000-0005-0000-0000-0000BA110000}"/>
    <cellStyle name="20% - Accent3 2 2 4 3 3 3" xfId="27294" xr:uid="{00000000-0005-0000-0000-0000BB110000}"/>
    <cellStyle name="20% - Accent3 2 2 4 3 4" xfId="11934" xr:uid="{00000000-0005-0000-0000-0000BC110000}"/>
    <cellStyle name="20% - Accent3 2 2 4 3 4 2" xfId="32414" xr:uid="{00000000-0005-0000-0000-0000BD110000}"/>
    <cellStyle name="20% - Accent3 2 2 4 3 5" xfId="22174" xr:uid="{00000000-0005-0000-0000-0000BE110000}"/>
    <cellStyle name="20% - Accent3 2 2 4 4" xfId="2974" xr:uid="{00000000-0005-0000-0000-0000BF110000}"/>
    <cellStyle name="20% - Accent3 2 2 4 4 2" xfId="8094" xr:uid="{00000000-0005-0000-0000-0000C0110000}"/>
    <cellStyle name="20% - Accent3 2 2 4 4 2 2" xfId="18334" xr:uid="{00000000-0005-0000-0000-0000C1110000}"/>
    <cellStyle name="20% - Accent3 2 2 4 4 2 2 2" xfId="38814" xr:uid="{00000000-0005-0000-0000-0000C2110000}"/>
    <cellStyle name="20% - Accent3 2 2 4 4 2 3" xfId="28574" xr:uid="{00000000-0005-0000-0000-0000C3110000}"/>
    <cellStyle name="20% - Accent3 2 2 4 4 3" xfId="13214" xr:uid="{00000000-0005-0000-0000-0000C4110000}"/>
    <cellStyle name="20% - Accent3 2 2 4 4 3 2" xfId="33694" xr:uid="{00000000-0005-0000-0000-0000C5110000}"/>
    <cellStyle name="20% - Accent3 2 2 4 4 4" xfId="23454" xr:uid="{00000000-0005-0000-0000-0000C6110000}"/>
    <cellStyle name="20% - Accent3 2 2 4 5" xfId="5534" xr:uid="{00000000-0005-0000-0000-0000C7110000}"/>
    <cellStyle name="20% - Accent3 2 2 4 5 2" xfId="15774" xr:uid="{00000000-0005-0000-0000-0000C8110000}"/>
    <cellStyle name="20% - Accent3 2 2 4 5 2 2" xfId="36254" xr:uid="{00000000-0005-0000-0000-0000C9110000}"/>
    <cellStyle name="20% - Accent3 2 2 4 5 3" xfId="26014" xr:uid="{00000000-0005-0000-0000-0000CA110000}"/>
    <cellStyle name="20% - Accent3 2 2 4 6" xfId="10654" xr:uid="{00000000-0005-0000-0000-0000CB110000}"/>
    <cellStyle name="20% - Accent3 2 2 4 6 2" xfId="31134" xr:uid="{00000000-0005-0000-0000-0000CC110000}"/>
    <cellStyle name="20% - Accent3 2 2 4 7" xfId="20894" xr:uid="{00000000-0005-0000-0000-0000CD110000}"/>
    <cellStyle name="20% - Accent3 2 2 5" xfId="734" xr:uid="{00000000-0005-0000-0000-0000CE110000}"/>
    <cellStyle name="20% - Accent3 2 2 5 2" xfId="2014" xr:uid="{00000000-0005-0000-0000-0000CF110000}"/>
    <cellStyle name="20% - Accent3 2 2 5 2 2" xfId="4574" xr:uid="{00000000-0005-0000-0000-0000D0110000}"/>
    <cellStyle name="20% - Accent3 2 2 5 2 2 2" xfId="9694" xr:uid="{00000000-0005-0000-0000-0000D1110000}"/>
    <cellStyle name="20% - Accent3 2 2 5 2 2 2 2" xfId="19934" xr:uid="{00000000-0005-0000-0000-0000D2110000}"/>
    <cellStyle name="20% - Accent3 2 2 5 2 2 2 2 2" xfId="40414" xr:uid="{00000000-0005-0000-0000-0000D3110000}"/>
    <cellStyle name="20% - Accent3 2 2 5 2 2 2 3" xfId="30174" xr:uid="{00000000-0005-0000-0000-0000D4110000}"/>
    <cellStyle name="20% - Accent3 2 2 5 2 2 3" xfId="14814" xr:uid="{00000000-0005-0000-0000-0000D5110000}"/>
    <cellStyle name="20% - Accent3 2 2 5 2 2 3 2" xfId="35294" xr:uid="{00000000-0005-0000-0000-0000D6110000}"/>
    <cellStyle name="20% - Accent3 2 2 5 2 2 4" xfId="25054" xr:uid="{00000000-0005-0000-0000-0000D7110000}"/>
    <cellStyle name="20% - Accent3 2 2 5 2 3" xfId="7134" xr:uid="{00000000-0005-0000-0000-0000D8110000}"/>
    <cellStyle name="20% - Accent3 2 2 5 2 3 2" xfId="17374" xr:uid="{00000000-0005-0000-0000-0000D9110000}"/>
    <cellStyle name="20% - Accent3 2 2 5 2 3 2 2" xfId="37854" xr:uid="{00000000-0005-0000-0000-0000DA110000}"/>
    <cellStyle name="20% - Accent3 2 2 5 2 3 3" xfId="27614" xr:uid="{00000000-0005-0000-0000-0000DB110000}"/>
    <cellStyle name="20% - Accent3 2 2 5 2 4" xfId="12254" xr:uid="{00000000-0005-0000-0000-0000DC110000}"/>
    <cellStyle name="20% - Accent3 2 2 5 2 4 2" xfId="32734" xr:uid="{00000000-0005-0000-0000-0000DD110000}"/>
    <cellStyle name="20% - Accent3 2 2 5 2 5" xfId="22494" xr:uid="{00000000-0005-0000-0000-0000DE110000}"/>
    <cellStyle name="20% - Accent3 2 2 5 3" xfId="3294" xr:uid="{00000000-0005-0000-0000-0000DF110000}"/>
    <cellStyle name="20% - Accent3 2 2 5 3 2" xfId="8414" xr:uid="{00000000-0005-0000-0000-0000E0110000}"/>
    <cellStyle name="20% - Accent3 2 2 5 3 2 2" xfId="18654" xr:uid="{00000000-0005-0000-0000-0000E1110000}"/>
    <cellStyle name="20% - Accent3 2 2 5 3 2 2 2" xfId="39134" xr:uid="{00000000-0005-0000-0000-0000E2110000}"/>
    <cellStyle name="20% - Accent3 2 2 5 3 2 3" xfId="28894" xr:uid="{00000000-0005-0000-0000-0000E3110000}"/>
    <cellStyle name="20% - Accent3 2 2 5 3 3" xfId="13534" xr:uid="{00000000-0005-0000-0000-0000E4110000}"/>
    <cellStyle name="20% - Accent3 2 2 5 3 3 2" xfId="34014" xr:uid="{00000000-0005-0000-0000-0000E5110000}"/>
    <cellStyle name="20% - Accent3 2 2 5 3 4" xfId="23774" xr:uid="{00000000-0005-0000-0000-0000E6110000}"/>
    <cellStyle name="20% - Accent3 2 2 5 4" xfId="5854" xr:uid="{00000000-0005-0000-0000-0000E7110000}"/>
    <cellStyle name="20% - Accent3 2 2 5 4 2" xfId="16094" xr:uid="{00000000-0005-0000-0000-0000E8110000}"/>
    <cellStyle name="20% - Accent3 2 2 5 4 2 2" xfId="36574" xr:uid="{00000000-0005-0000-0000-0000E9110000}"/>
    <cellStyle name="20% - Accent3 2 2 5 4 3" xfId="26334" xr:uid="{00000000-0005-0000-0000-0000EA110000}"/>
    <cellStyle name="20% - Accent3 2 2 5 5" xfId="10974" xr:uid="{00000000-0005-0000-0000-0000EB110000}"/>
    <cellStyle name="20% - Accent3 2 2 5 5 2" xfId="31454" xr:uid="{00000000-0005-0000-0000-0000EC110000}"/>
    <cellStyle name="20% - Accent3 2 2 5 6" xfId="21214" xr:uid="{00000000-0005-0000-0000-0000ED110000}"/>
    <cellStyle name="20% - Accent3 2 2 6" xfId="1374" xr:uid="{00000000-0005-0000-0000-0000EE110000}"/>
    <cellStyle name="20% - Accent3 2 2 6 2" xfId="3934" xr:uid="{00000000-0005-0000-0000-0000EF110000}"/>
    <cellStyle name="20% - Accent3 2 2 6 2 2" xfId="9054" xr:uid="{00000000-0005-0000-0000-0000F0110000}"/>
    <cellStyle name="20% - Accent3 2 2 6 2 2 2" xfId="19294" xr:uid="{00000000-0005-0000-0000-0000F1110000}"/>
    <cellStyle name="20% - Accent3 2 2 6 2 2 2 2" xfId="39774" xr:uid="{00000000-0005-0000-0000-0000F2110000}"/>
    <cellStyle name="20% - Accent3 2 2 6 2 2 3" xfId="29534" xr:uid="{00000000-0005-0000-0000-0000F3110000}"/>
    <cellStyle name="20% - Accent3 2 2 6 2 3" xfId="14174" xr:uid="{00000000-0005-0000-0000-0000F4110000}"/>
    <cellStyle name="20% - Accent3 2 2 6 2 3 2" xfId="34654" xr:uid="{00000000-0005-0000-0000-0000F5110000}"/>
    <cellStyle name="20% - Accent3 2 2 6 2 4" xfId="24414" xr:uid="{00000000-0005-0000-0000-0000F6110000}"/>
    <cellStyle name="20% - Accent3 2 2 6 3" xfId="6494" xr:uid="{00000000-0005-0000-0000-0000F7110000}"/>
    <cellStyle name="20% - Accent3 2 2 6 3 2" xfId="16734" xr:uid="{00000000-0005-0000-0000-0000F8110000}"/>
    <cellStyle name="20% - Accent3 2 2 6 3 2 2" xfId="37214" xr:uid="{00000000-0005-0000-0000-0000F9110000}"/>
    <cellStyle name="20% - Accent3 2 2 6 3 3" xfId="26974" xr:uid="{00000000-0005-0000-0000-0000FA110000}"/>
    <cellStyle name="20% - Accent3 2 2 6 4" xfId="11614" xr:uid="{00000000-0005-0000-0000-0000FB110000}"/>
    <cellStyle name="20% - Accent3 2 2 6 4 2" xfId="32094" xr:uid="{00000000-0005-0000-0000-0000FC110000}"/>
    <cellStyle name="20% - Accent3 2 2 6 5" xfId="21854" xr:uid="{00000000-0005-0000-0000-0000FD110000}"/>
    <cellStyle name="20% - Accent3 2 2 7" xfId="2654" xr:uid="{00000000-0005-0000-0000-0000FE110000}"/>
    <cellStyle name="20% - Accent3 2 2 7 2" xfId="7774" xr:uid="{00000000-0005-0000-0000-0000FF110000}"/>
    <cellStyle name="20% - Accent3 2 2 7 2 2" xfId="18014" xr:uid="{00000000-0005-0000-0000-000000120000}"/>
    <cellStyle name="20% - Accent3 2 2 7 2 2 2" xfId="38494" xr:uid="{00000000-0005-0000-0000-000001120000}"/>
    <cellStyle name="20% - Accent3 2 2 7 2 3" xfId="28254" xr:uid="{00000000-0005-0000-0000-000002120000}"/>
    <cellStyle name="20% - Accent3 2 2 7 3" xfId="12894" xr:uid="{00000000-0005-0000-0000-000003120000}"/>
    <cellStyle name="20% - Accent3 2 2 7 3 2" xfId="33374" xr:uid="{00000000-0005-0000-0000-000004120000}"/>
    <cellStyle name="20% - Accent3 2 2 7 4" xfId="23134" xr:uid="{00000000-0005-0000-0000-000005120000}"/>
    <cellStyle name="20% - Accent3 2 2 8" xfId="5214" xr:uid="{00000000-0005-0000-0000-000006120000}"/>
    <cellStyle name="20% - Accent3 2 2 8 2" xfId="15454" xr:uid="{00000000-0005-0000-0000-000007120000}"/>
    <cellStyle name="20% - Accent3 2 2 8 2 2" xfId="35934" xr:uid="{00000000-0005-0000-0000-000008120000}"/>
    <cellStyle name="20% - Accent3 2 2 8 3" xfId="25694" xr:uid="{00000000-0005-0000-0000-000009120000}"/>
    <cellStyle name="20% - Accent3 2 2 9" xfId="10334" xr:uid="{00000000-0005-0000-0000-00000A120000}"/>
    <cellStyle name="20% - Accent3 2 2 9 2" xfId="30814" xr:uid="{00000000-0005-0000-0000-00000B120000}"/>
    <cellStyle name="20% - Accent3 2 3" xfId="134" xr:uid="{00000000-0005-0000-0000-00000C120000}"/>
    <cellStyle name="20% - Accent3 2 3 2" xfId="294" xr:uid="{00000000-0005-0000-0000-00000D120000}"/>
    <cellStyle name="20% - Accent3 2 3 2 2" xfId="614" xr:uid="{00000000-0005-0000-0000-00000E120000}"/>
    <cellStyle name="20% - Accent3 2 3 2 2 2" xfId="1254" xr:uid="{00000000-0005-0000-0000-00000F120000}"/>
    <cellStyle name="20% - Accent3 2 3 2 2 2 2" xfId="2534" xr:uid="{00000000-0005-0000-0000-000010120000}"/>
    <cellStyle name="20% - Accent3 2 3 2 2 2 2 2" xfId="5094" xr:uid="{00000000-0005-0000-0000-000011120000}"/>
    <cellStyle name="20% - Accent3 2 3 2 2 2 2 2 2" xfId="10214" xr:uid="{00000000-0005-0000-0000-000012120000}"/>
    <cellStyle name="20% - Accent3 2 3 2 2 2 2 2 2 2" xfId="20454" xr:uid="{00000000-0005-0000-0000-000013120000}"/>
    <cellStyle name="20% - Accent3 2 3 2 2 2 2 2 2 2 2" xfId="40934" xr:uid="{00000000-0005-0000-0000-000014120000}"/>
    <cellStyle name="20% - Accent3 2 3 2 2 2 2 2 2 3" xfId="30694" xr:uid="{00000000-0005-0000-0000-000015120000}"/>
    <cellStyle name="20% - Accent3 2 3 2 2 2 2 2 3" xfId="15334" xr:uid="{00000000-0005-0000-0000-000016120000}"/>
    <cellStyle name="20% - Accent3 2 3 2 2 2 2 2 3 2" xfId="35814" xr:uid="{00000000-0005-0000-0000-000017120000}"/>
    <cellStyle name="20% - Accent3 2 3 2 2 2 2 2 4" xfId="25574" xr:uid="{00000000-0005-0000-0000-000018120000}"/>
    <cellStyle name="20% - Accent3 2 3 2 2 2 2 3" xfId="7654" xr:uid="{00000000-0005-0000-0000-000019120000}"/>
    <cellStyle name="20% - Accent3 2 3 2 2 2 2 3 2" xfId="17894" xr:uid="{00000000-0005-0000-0000-00001A120000}"/>
    <cellStyle name="20% - Accent3 2 3 2 2 2 2 3 2 2" xfId="38374" xr:uid="{00000000-0005-0000-0000-00001B120000}"/>
    <cellStyle name="20% - Accent3 2 3 2 2 2 2 3 3" xfId="28134" xr:uid="{00000000-0005-0000-0000-00001C120000}"/>
    <cellStyle name="20% - Accent3 2 3 2 2 2 2 4" xfId="12774" xr:uid="{00000000-0005-0000-0000-00001D120000}"/>
    <cellStyle name="20% - Accent3 2 3 2 2 2 2 4 2" xfId="33254" xr:uid="{00000000-0005-0000-0000-00001E120000}"/>
    <cellStyle name="20% - Accent3 2 3 2 2 2 2 5" xfId="23014" xr:uid="{00000000-0005-0000-0000-00001F120000}"/>
    <cellStyle name="20% - Accent3 2 3 2 2 2 3" xfId="3814" xr:uid="{00000000-0005-0000-0000-000020120000}"/>
    <cellStyle name="20% - Accent3 2 3 2 2 2 3 2" xfId="8934" xr:uid="{00000000-0005-0000-0000-000021120000}"/>
    <cellStyle name="20% - Accent3 2 3 2 2 2 3 2 2" xfId="19174" xr:uid="{00000000-0005-0000-0000-000022120000}"/>
    <cellStyle name="20% - Accent3 2 3 2 2 2 3 2 2 2" xfId="39654" xr:uid="{00000000-0005-0000-0000-000023120000}"/>
    <cellStyle name="20% - Accent3 2 3 2 2 2 3 2 3" xfId="29414" xr:uid="{00000000-0005-0000-0000-000024120000}"/>
    <cellStyle name="20% - Accent3 2 3 2 2 2 3 3" xfId="14054" xr:uid="{00000000-0005-0000-0000-000025120000}"/>
    <cellStyle name="20% - Accent3 2 3 2 2 2 3 3 2" xfId="34534" xr:uid="{00000000-0005-0000-0000-000026120000}"/>
    <cellStyle name="20% - Accent3 2 3 2 2 2 3 4" xfId="24294" xr:uid="{00000000-0005-0000-0000-000027120000}"/>
    <cellStyle name="20% - Accent3 2 3 2 2 2 4" xfId="6374" xr:uid="{00000000-0005-0000-0000-000028120000}"/>
    <cellStyle name="20% - Accent3 2 3 2 2 2 4 2" xfId="16614" xr:uid="{00000000-0005-0000-0000-000029120000}"/>
    <cellStyle name="20% - Accent3 2 3 2 2 2 4 2 2" xfId="37094" xr:uid="{00000000-0005-0000-0000-00002A120000}"/>
    <cellStyle name="20% - Accent3 2 3 2 2 2 4 3" xfId="26854" xr:uid="{00000000-0005-0000-0000-00002B120000}"/>
    <cellStyle name="20% - Accent3 2 3 2 2 2 5" xfId="11494" xr:uid="{00000000-0005-0000-0000-00002C120000}"/>
    <cellStyle name="20% - Accent3 2 3 2 2 2 5 2" xfId="31974" xr:uid="{00000000-0005-0000-0000-00002D120000}"/>
    <cellStyle name="20% - Accent3 2 3 2 2 2 6" xfId="21734" xr:uid="{00000000-0005-0000-0000-00002E120000}"/>
    <cellStyle name="20% - Accent3 2 3 2 2 3" xfId="1894" xr:uid="{00000000-0005-0000-0000-00002F120000}"/>
    <cellStyle name="20% - Accent3 2 3 2 2 3 2" xfId="4454" xr:uid="{00000000-0005-0000-0000-000030120000}"/>
    <cellStyle name="20% - Accent3 2 3 2 2 3 2 2" xfId="9574" xr:uid="{00000000-0005-0000-0000-000031120000}"/>
    <cellStyle name="20% - Accent3 2 3 2 2 3 2 2 2" xfId="19814" xr:uid="{00000000-0005-0000-0000-000032120000}"/>
    <cellStyle name="20% - Accent3 2 3 2 2 3 2 2 2 2" xfId="40294" xr:uid="{00000000-0005-0000-0000-000033120000}"/>
    <cellStyle name="20% - Accent3 2 3 2 2 3 2 2 3" xfId="30054" xr:uid="{00000000-0005-0000-0000-000034120000}"/>
    <cellStyle name="20% - Accent3 2 3 2 2 3 2 3" xfId="14694" xr:uid="{00000000-0005-0000-0000-000035120000}"/>
    <cellStyle name="20% - Accent3 2 3 2 2 3 2 3 2" xfId="35174" xr:uid="{00000000-0005-0000-0000-000036120000}"/>
    <cellStyle name="20% - Accent3 2 3 2 2 3 2 4" xfId="24934" xr:uid="{00000000-0005-0000-0000-000037120000}"/>
    <cellStyle name="20% - Accent3 2 3 2 2 3 3" xfId="7014" xr:uid="{00000000-0005-0000-0000-000038120000}"/>
    <cellStyle name="20% - Accent3 2 3 2 2 3 3 2" xfId="17254" xr:uid="{00000000-0005-0000-0000-000039120000}"/>
    <cellStyle name="20% - Accent3 2 3 2 2 3 3 2 2" xfId="37734" xr:uid="{00000000-0005-0000-0000-00003A120000}"/>
    <cellStyle name="20% - Accent3 2 3 2 2 3 3 3" xfId="27494" xr:uid="{00000000-0005-0000-0000-00003B120000}"/>
    <cellStyle name="20% - Accent3 2 3 2 2 3 4" xfId="12134" xr:uid="{00000000-0005-0000-0000-00003C120000}"/>
    <cellStyle name="20% - Accent3 2 3 2 2 3 4 2" xfId="32614" xr:uid="{00000000-0005-0000-0000-00003D120000}"/>
    <cellStyle name="20% - Accent3 2 3 2 2 3 5" xfId="22374" xr:uid="{00000000-0005-0000-0000-00003E120000}"/>
    <cellStyle name="20% - Accent3 2 3 2 2 4" xfId="3174" xr:uid="{00000000-0005-0000-0000-00003F120000}"/>
    <cellStyle name="20% - Accent3 2 3 2 2 4 2" xfId="8294" xr:uid="{00000000-0005-0000-0000-000040120000}"/>
    <cellStyle name="20% - Accent3 2 3 2 2 4 2 2" xfId="18534" xr:uid="{00000000-0005-0000-0000-000041120000}"/>
    <cellStyle name="20% - Accent3 2 3 2 2 4 2 2 2" xfId="39014" xr:uid="{00000000-0005-0000-0000-000042120000}"/>
    <cellStyle name="20% - Accent3 2 3 2 2 4 2 3" xfId="28774" xr:uid="{00000000-0005-0000-0000-000043120000}"/>
    <cellStyle name="20% - Accent3 2 3 2 2 4 3" xfId="13414" xr:uid="{00000000-0005-0000-0000-000044120000}"/>
    <cellStyle name="20% - Accent3 2 3 2 2 4 3 2" xfId="33894" xr:uid="{00000000-0005-0000-0000-000045120000}"/>
    <cellStyle name="20% - Accent3 2 3 2 2 4 4" xfId="23654" xr:uid="{00000000-0005-0000-0000-000046120000}"/>
    <cellStyle name="20% - Accent3 2 3 2 2 5" xfId="5734" xr:uid="{00000000-0005-0000-0000-000047120000}"/>
    <cellStyle name="20% - Accent3 2 3 2 2 5 2" xfId="15974" xr:uid="{00000000-0005-0000-0000-000048120000}"/>
    <cellStyle name="20% - Accent3 2 3 2 2 5 2 2" xfId="36454" xr:uid="{00000000-0005-0000-0000-000049120000}"/>
    <cellStyle name="20% - Accent3 2 3 2 2 5 3" xfId="26214" xr:uid="{00000000-0005-0000-0000-00004A120000}"/>
    <cellStyle name="20% - Accent3 2 3 2 2 6" xfId="10854" xr:uid="{00000000-0005-0000-0000-00004B120000}"/>
    <cellStyle name="20% - Accent3 2 3 2 2 6 2" xfId="31334" xr:uid="{00000000-0005-0000-0000-00004C120000}"/>
    <cellStyle name="20% - Accent3 2 3 2 2 7" xfId="21094" xr:uid="{00000000-0005-0000-0000-00004D120000}"/>
    <cellStyle name="20% - Accent3 2 3 2 3" xfId="934" xr:uid="{00000000-0005-0000-0000-00004E120000}"/>
    <cellStyle name="20% - Accent3 2 3 2 3 2" xfId="2214" xr:uid="{00000000-0005-0000-0000-00004F120000}"/>
    <cellStyle name="20% - Accent3 2 3 2 3 2 2" xfId="4774" xr:uid="{00000000-0005-0000-0000-000050120000}"/>
    <cellStyle name="20% - Accent3 2 3 2 3 2 2 2" xfId="9894" xr:uid="{00000000-0005-0000-0000-000051120000}"/>
    <cellStyle name="20% - Accent3 2 3 2 3 2 2 2 2" xfId="20134" xr:uid="{00000000-0005-0000-0000-000052120000}"/>
    <cellStyle name="20% - Accent3 2 3 2 3 2 2 2 2 2" xfId="40614" xr:uid="{00000000-0005-0000-0000-000053120000}"/>
    <cellStyle name="20% - Accent3 2 3 2 3 2 2 2 3" xfId="30374" xr:uid="{00000000-0005-0000-0000-000054120000}"/>
    <cellStyle name="20% - Accent3 2 3 2 3 2 2 3" xfId="15014" xr:uid="{00000000-0005-0000-0000-000055120000}"/>
    <cellStyle name="20% - Accent3 2 3 2 3 2 2 3 2" xfId="35494" xr:uid="{00000000-0005-0000-0000-000056120000}"/>
    <cellStyle name="20% - Accent3 2 3 2 3 2 2 4" xfId="25254" xr:uid="{00000000-0005-0000-0000-000057120000}"/>
    <cellStyle name="20% - Accent3 2 3 2 3 2 3" xfId="7334" xr:uid="{00000000-0005-0000-0000-000058120000}"/>
    <cellStyle name="20% - Accent3 2 3 2 3 2 3 2" xfId="17574" xr:uid="{00000000-0005-0000-0000-000059120000}"/>
    <cellStyle name="20% - Accent3 2 3 2 3 2 3 2 2" xfId="38054" xr:uid="{00000000-0005-0000-0000-00005A120000}"/>
    <cellStyle name="20% - Accent3 2 3 2 3 2 3 3" xfId="27814" xr:uid="{00000000-0005-0000-0000-00005B120000}"/>
    <cellStyle name="20% - Accent3 2 3 2 3 2 4" xfId="12454" xr:uid="{00000000-0005-0000-0000-00005C120000}"/>
    <cellStyle name="20% - Accent3 2 3 2 3 2 4 2" xfId="32934" xr:uid="{00000000-0005-0000-0000-00005D120000}"/>
    <cellStyle name="20% - Accent3 2 3 2 3 2 5" xfId="22694" xr:uid="{00000000-0005-0000-0000-00005E120000}"/>
    <cellStyle name="20% - Accent3 2 3 2 3 3" xfId="3494" xr:uid="{00000000-0005-0000-0000-00005F120000}"/>
    <cellStyle name="20% - Accent3 2 3 2 3 3 2" xfId="8614" xr:uid="{00000000-0005-0000-0000-000060120000}"/>
    <cellStyle name="20% - Accent3 2 3 2 3 3 2 2" xfId="18854" xr:uid="{00000000-0005-0000-0000-000061120000}"/>
    <cellStyle name="20% - Accent3 2 3 2 3 3 2 2 2" xfId="39334" xr:uid="{00000000-0005-0000-0000-000062120000}"/>
    <cellStyle name="20% - Accent3 2 3 2 3 3 2 3" xfId="29094" xr:uid="{00000000-0005-0000-0000-000063120000}"/>
    <cellStyle name="20% - Accent3 2 3 2 3 3 3" xfId="13734" xr:uid="{00000000-0005-0000-0000-000064120000}"/>
    <cellStyle name="20% - Accent3 2 3 2 3 3 3 2" xfId="34214" xr:uid="{00000000-0005-0000-0000-000065120000}"/>
    <cellStyle name="20% - Accent3 2 3 2 3 3 4" xfId="23974" xr:uid="{00000000-0005-0000-0000-000066120000}"/>
    <cellStyle name="20% - Accent3 2 3 2 3 4" xfId="6054" xr:uid="{00000000-0005-0000-0000-000067120000}"/>
    <cellStyle name="20% - Accent3 2 3 2 3 4 2" xfId="16294" xr:uid="{00000000-0005-0000-0000-000068120000}"/>
    <cellStyle name="20% - Accent3 2 3 2 3 4 2 2" xfId="36774" xr:uid="{00000000-0005-0000-0000-000069120000}"/>
    <cellStyle name="20% - Accent3 2 3 2 3 4 3" xfId="26534" xr:uid="{00000000-0005-0000-0000-00006A120000}"/>
    <cellStyle name="20% - Accent3 2 3 2 3 5" xfId="11174" xr:uid="{00000000-0005-0000-0000-00006B120000}"/>
    <cellStyle name="20% - Accent3 2 3 2 3 5 2" xfId="31654" xr:uid="{00000000-0005-0000-0000-00006C120000}"/>
    <cellStyle name="20% - Accent3 2 3 2 3 6" xfId="21414" xr:uid="{00000000-0005-0000-0000-00006D120000}"/>
    <cellStyle name="20% - Accent3 2 3 2 4" xfId="1574" xr:uid="{00000000-0005-0000-0000-00006E120000}"/>
    <cellStyle name="20% - Accent3 2 3 2 4 2" xfId="4134" xr:uid="{00000000-0005-0000-0000-00006F120000}"/>
    <cellStyle name="20% - Accent3 2 3 2 4 2 2" xfId="9254" xr:uid="{00000000-0005-0000-0000-000070120000}"/>
    <cellStyle name="20% - Accent3 2 3 2 4 2 2 2" xfId="19494" xr:uid="{00000000-0005-0000-0000-000071120000}"/>
    <cellStyle name="20% - Accent3 2 3 2 4 2 2 2 2" xfId="39974" xr:uid="{00000000-0005-0000-0000-000072120000}"/>
    <cellStyle name="20% - Accent3 2 3 2 4 2 2 3" xfId="29734" xr:uid="{00000000-0005-0000-0000-000073120000}"/>
    <cellStyle name="20% - Accent3 2 3 2 4 2 3" xfId="14374" xr:uid="{00000000-0005-0000-0000-000074120000}"/>
    <cellStyle name="20% - Accent3 2 3 2 4 2 3 2" xfId="34854" xr:uid="{00000000-0005-0000-0000-000075120000}"/>
    <cellStyle name="20% - Accent3 2 3 2 4 2 4" xfId="24614" xr:uid="{00000000-0005-0000-0000-000076120000}"/>
    <cellStyle name="20% - Accent3 2 3 2 4 3" xfId="6694" xr:uid="{00000000-0005-0000-0000-000077120000}"/>
    <cellStyle name="20% - Accent3 2 3 2 4 3 2" xfId="16934" xr:uid="{00000000-0005-0000-0000-000078120000}"/>
    <cellStyle name="20% - Accent3 2 3 2 4 3 2 2" xfId="37414" xr:uid="{00000000-0005-0000-0000-000079120000}"/>
    <cellStyle name="20% - Accent3 2 3 2 4 3 3" xfId="27174" xr:uid="{00000000-0005-0000-0000-00007A120000}"/>
    <cellStyle name="20% - Accent3 2 3 2 4 4" xfId="11814" xr:uid="{00000000-0005-0000-0000-00007B120000}"/>
    <cellStyle name="20% - Accent3 2 3 2 4 4 2" xfId="32294" xr:uid="{00000000-0005-0000-0000-00007C120000}"/>
    <cellStyle name="20% - Accent3 2 3 2 4 5" xfId="22054" xr:uid="{00000000-0005-0000-0000-00007D120000}"/>
    <cellStyle name="20% - Accent3 2 3 2 5" xfId="2854" xr:uid="{00000000-0005-0000-0000-00007E120000}"/>
    <cellStyle name="20% - Accent3 2 3 2 5 2" xfId="7974" xr:uid="{00000000-0005-0000-0000-00007F120000}"/>
    <cellStyle name="20% - Accent3 2 3 2 5 2 2" xfId="18214" xr:uid="{00000000-0005-0000-0000-000080120000}"/>
    <cellStyle name="20% - Accent3 2 3 2 5 2 2 2" xfId="38694" xr:uid="{00000000-0005-0000-0000-000081120000}"/>
    <cellStyle name="20% - Accent3 2 3 2 5 2 3" xfId="28454" xr:uid="{00000000-0005-0000-0000-000082120000}"/>
    <cellStyle name="20% - Accent3 2 3 2 5 3" xfId="13094" xr:uid="{00000000-0005-0000-0000-000083120000}"/>
    <cellStyle name="20% - Accent3 2 3 2 5 3 2" xfId="33574" xr:uid="{00000000-0005-0000-0000-000084120000}"/>
    <cellStyle name="20% - Accent3 2 3 2 5 4" xfId="23334" xr:uid="{00000000-0005-0000-0000-000085120000}"/>
    <cellStyle name="20% - Accent3 2 3 2 6" xfId="5414" xr:uid="{00000000-0005-0000-0000-000086120000}"/>
    <cellStyle name="20% - Accent3 2 3 2 6 2" xfId="15654" xr:uid="{00000000-0005-0000-0000-000087120000}"/>
    <cellStyle name="20% - Accent3 2 3 2 6 2 2" xfId="36134" xr:uid="{00000000-0005-0000-0000-000088120000}"/>
    <cellStyle name="20% - Accent3 2 3 2 6 3" xfId="25894" xr:uid="{00000000-0005-0000-0000-000089120000}"/>
    <cellStyle name="20% - Accent3 2 3 2 7" xfId="10534" xr:uid="{00000000-0005-0000-0000-00008A120000}"/>
    <cellStyle name="20% - Accent3 2 3 2 7 2" xfId="31014" xr:uid="{00000000-0005-0000-0000-00008B120000}"/>
    <cellStyle name="20% - Accent3 2 3 2 8" xfId="20774" xr:uid="{00000000-0005-0000-0000-00008C120000}"/>
    <cellStyle name="20% - Accent3 2 3 3" xfId="454" xr:uid="{00000000-0005-0000-0000-00008D120000}"/>
    <cellStyle name="20% - Accent3 2 3 3 2" xfId="1094" xr:uid="{00000000-0005-0000-0000-00008E120000}"/>
    <cellStyle name="20% - Accent3 2 3 3 2 2" xfId="2374" xr:uid="{00000000-0005-0000-0000-00008F120000}"/>
    <cellStyle name="20% - Accent3 2 3 3 2 2 2" xfId="4934" xr:uid="{00000000-0005-0000-0000-000090120000}"/>
    <cellStyle name="20% - Accent3 2 3 3 2 2 2 2" xfId="10054" xr:uid="{00000000-0005-0000-0000-000091120000}"/>
    <cellStyle name="20% - Accent3 2 3 3 2 2 2 2 2" xfId="20294" xr:uid="{00000000-0005-0000-0000-000092120000}"/>
    <cellStyle name="20% - Accent3 2 3 3 2 2 2 2 2 2" xfId="40774" xr:uid="{00000000-0005-0000-0000-000093120000}"/>
    <cellStyle name="20% - Accent3 2 3 3 2 2 2 2 3" xfId="30534" xr:uid="{00000000-0005-0000-0000-000094120000}"/>
    <cellStyle name="20% - Accent3 2 3 3 2 2 2 3" xfId="15174" xr:uid="{00000000-0005-0000-0000-000095120000}"/>
    <cellStyle name="20% - Accent3 2 3 3 2 2 2 3 2" xfId="35654" xr:uid="{00000000-0005-0000-0000-000096120000}"/>
    <cellStyle name="20% - Accent3 2 3 3 2 2 2 4" xfId="25414" xr:uid="{00000000-0005-0000-0000-000097120000}"/>
    <cellStyle name="20% - Accent3 2 3 3 2 2 3" xfId="7494" xr:uid="{00000000-0005-0000-0000-000098120000}"/>
    <cellStyle name="20% - Accent3 2 3 3 2 2 3 2" xfId="17734" xr:uid="{00000000-0005-0000-0000-000099120000}"/>
    <cellStyle name="20% - Accent3 2 3 3 2 2 3 2 2" xfId="38214" xr:uid="{00000000-0005-0000-0000-00009A120000}"/>
    <cellStyle name="20% - Accent3 2 3 3 2 2 3 3" xfId="27974" xr:uid="{00000000-0005-0000-0000-00009B120000}"/>
    <cellStyle name="20% - Accent3 2 3 3 2 2 4" xfId="12614" xr:uid="{00000000-0005-0000-0000-00009C120000}"/>
    <cellStyle name="20% - Accent3 2 3 3 2 2 4 2" xfId="33094" xr:uid="{00000000-0005-0000-0000-00009D120000}"/>
    <cellStyle name="20% - Accent3 2 3 3 2 2 5" xfId="22854" xr:uid="{00000000-0005-0000-0000-00009E120000}"/>
    <cellStyle name="20% - Accent3 2 3 3 2 3" xfId="3654" xr:uid="{00000000-0005-0000-0000-00009F120000}"/>
    <cellStyle name="20% - Accent3 2 3 3 2 3 2" xfId="8774" xr:uid="{00000000-0005-0000-0000-0000A0120000}"/>
    <cellStyle name="20% - Accent3 2 3 3 2 3 2 2" xfId="19014" xr:uid="{00000000-0005-0000-0000-0000A1120000}"/>
    <cellStyle name="20% - Accent3 2 3 3 2 3 2 2 2" xfId="39494" xr:uid="{00000000-0005-0000-0000-0000A2120000}"/>
    <cellStyle name="20% - Accent3 2 3 3 2 3 2 3" xfId="29254" xr:uid="{00000000-0005-0000-0000-0000A3120000}"/>
    <cellStyle name="20% - Accent3 2 3 3 2 3 3" xfId="13894" xr:uid="{00000000-0005-0000-0000-0000A4120000}"/>
    <cellStyle name="20% - Accent3 2 3 3 2 3 3 2" xfId="34374" xr:uid="{00000000-0005-0000-0000-0000A5120000}"/>
    <cellStyle name="20% - Accent3 2 3 3 2 3 4" xfId="24134" xr:uid="{00000000-0005-0000-0000-0000A6120000}"/>
    <cellStyle name="20% - Accent3 2 3 3 2 4" xfId="6214" xr:uid="{00000000-0005-0000-0000-0000A7120000}"/>
    <cellStyle name="20% - Accent3 2 3 3 2 4 2" xfId="16454" xr:uid="{00000000-0005-0000-0000-0000A8120000}"/>
    <cellStyle name="20% - Accent3 2 3 3 2 4 2 2" xfId="36934" xr:uid="{00000000-0005-0000-0000-0000A9120000}"/>
    <cellStyle name="20% - Accent3 2 3 3 2 4 3" xfId="26694" xr:uid="{00000000-0005-0000-0000-0000AA120000}"/>
    <cellStyle name="20% - Accent3 2 3 3 2 5" xfId="11334" xr:uid="{00000000-0005-0000-0000-0000AB120000}"/>
    <cellStyle name="20% - Accent3 2 3 3 2 5 2" xfId="31814" xr:uid="{00000000-0005-0000-0000-0000AC120000}"/>
    <cellStyle name="20% - Accent3 2 3 3 2 6" xfId="21574" xr:uid="{00000000-0005-0000-0000-0000AD120000}"/>
    <cellStyle name="20% - Accent3 2 3 3 3" xfId="1734" xr:uid="{00000000-0005-0000-0000-0000AE120000}"/>
    <cellStyle name="20% - Accent3 2 3 3 3 2" xfId="4294" xr:uid="{00000000-0005-0000-0000-0000AF120000}"/>
    <cellStyle name="20% - Accent3 2 3 3 3 2 2" xfId="9414" xr:uid="{00000000-0005-0000-0000-0000B0120000}"/>
    <cellStyle name="20% - Accent3 2 3 3 3 2 2 2" xfId="19654" xr:uid="{00000000-0005-0000-0000-0000B1120000}"/>
    <cellStyle name="20% - Accent3 2 3 3 3 2 2 2 2" xfId="40134" xr:uid="{00000000-0005-0000-0000-0000B2120000}"/>
    <cellStyle name="20% - Accent3 2 3 3 3 2 2 3" xfId="29894" xr:uid="{00000000-0005-0000-0000-0000B3120000}"/>
    <cellStyle name="20% - Accent3 2 3 3 3 2 3" xfId="14534" xr:uid="{00000000-0005-0000-0000-0000B4120000}"/>
    <cellStyle name="20% - Accent3 2 3 3 3 2 3 2" xfId="35014" xr:uid="{00000000-0005-0000-0000-0000B5120000}"/>
    <cellStyle name="20% - Accent3 2 3 3 3 2 4" xfId="24774" xr:uid="{00000000-0005-0000-0000-0000B6120000}"/>
    <cellStyle name="20% - Accent3 2 3 3 3 3" xfId="6854" xr:uid="{00000000-0005-0000-0000-0000B7120000}"/>
    <cellStyle name="20% - Accent3 2 3 3 3 3 2" xfId="17094" xr:uid="{00000000-0005-0000-0000-0000B8120000}"/>
    <cellStyle name="20% - Accent3 2 3 3 3 3 2 2" xfId="37574" xr:uid="{00000000-0005-0000-0000-0000B9120000}"/>
    <cellStyle name="20% - Accent3 2 3 3 3 3 3" xfId="27334" xr:uid="{00000000-0005-0000-0000-0000BA120000}"/>
    <cellStyle name="20% - Accent3 2 3 3 3 4" xfId="11974" xr:uid="{00000000-0005-0000-0000-0000BB120000}"/>
    <cellStyle name="20% - Accent3 2 3 3 3 4 2" xfId="32454" xr:uid="{00000000-0005-0000-0000-0000BC120000}"/>
    <cellStyle name="20% - Accent3 2 3 3 3 5" xfId="22214" xr:uid="{00000000-0005-0000-0000-0000BD120000}"/>
    <cellStyle name="20% - Accent3 2 3 3 4" xfId="3014" xr:uid="{00000000-0005-0000-0000-0000BE120000}"/>
    <cellStyle name="20% - Accent3 2 3 3 4 2" xfId="8134" xr:uid="{00000000-0005-0000-0000-0000BF120000}"/>
    <cellStyle name="20% - Accent3 2 3 3 4 2 2" xfId="18374" xr:uid="{00000000-0005-0000-0000-0000C0120000}"/>
    <cellStyle name="20% - Accent3 2 3 3 4 2 2 2" xfId="38854" xr:uid="{00000000-0005-0000-0000-0000C1120000}"/>
    <cellStyle name="20% - Accent3 2 3 3 4 2 3" xfId="28614" xr:uid="{00000000-0005-0000-0000-0000C2120000}"/>
    <cellStyle name="20% - Accent3 2 3 3 4 3" xfId="13254" xr:uid="{00000000-0005-0000-0000-0000C3120000}"/>
    <cellStyle name="20% - Accent3 2 3 3 4 3 2" xfId="33734" xr:uid="{00000000-0005-0000-0000-0000C4120000}"/>
    <cellStyle name="20% - Accent3 2 3 3 4 4" xfId="23494" xr:uid="{00000000-0005-0000-0000-0000C5120000}"/>
    <cellStyle name="20% - Accent3 2 3 3 5" xfId="5574" xr:uid="{00000000-0005-0000-0000-0000C6120000}"/>
    <cellStyle name="20% - Accent3 2 3 3 5 2" xfId="15814" xr:uid="{00000000-0005-0000-0000-0000C7120000}"/>
    <cellStyle name="20% - Accent3 2 3 3 5 2 2" xfId="36294" xr:uid="{00000000-0005-0000-0000-0000C8120000}"/>
    <cellStyle name="20% - Accent3 2 3 3 5 3" xfId="26054" xr:uid="{00000000-0005-0000-0000-0000C9120000}"/>
    <cellStyle name="20% - Accent3 2 3 3 6" xfId="10694" xr:uid="{00000000-0005-0000-0000-0000CA120000}"/>
    <cellStyle name="20% - Accent3 2 3 3 6 2" xfId="31174" xr:uid="{00000000-0005-0000-0000-0000CB120000}"/>
    <cellStyle name="20% - Accent3 2 3 3 7" xfId="20934" xr:uid="{00000000-0005-0000-0000-0000CC120000}"/>
    <cellStyle name="20% - Accent3 2 3 4" xfId="774" xr:uid="{00000000-0005-0000-0000-0000CD120000}"/>
    <cellStyle name="20% - Accent3 2 3 4 2" xfId="2054" xr:uid="{00000000-0005-0000-0000-0000CE120000}"/>
    <cellStyle name="20% - Accent3 2 3 4 2 2" xfId="4614" xr:uid="{00000000-0005-0000-0000-0000CF120000}"/>
    <cellStyle name="20% - Accent3 2 3 4 2 2 2" xfId="9734" xr:uid="{00000000-0005-0000-0000-0000D0120000}"/>
    <cellStyle name="20% - Accent3 2 3 4 2 2 2 2" xfId="19974" xr:uid="{00000000-0005-0000-0000-0000D1120000}"/>
    <cellStyle name="20% - Accent3 2 3 4 2 2 2 2 2" xfId="40454" xr:uid="{00000000-0005-0000-0000-0000D2120000}"/>
    <cellStyle name="20% - Accent3 2 3 4 2 2 2 3" xfId="30214" xr:uid="{00000000-0005-0000-0000-0000D3120000}"/>
    <cellStyle name="20% - Accent3 2 3 4 2 2 3" xfId="14854" xr:uid="{00000000-0005-0000-0000-0000D4120000}"/>
    <cellStyle name="20% - Accent3 2 3 4 2 2 3 2" xfId="35334" xr:uid="{00000000-0005-0000-0000-0000D5120000}"/>
    <cellStyle name="20% - Accent3 2 3 4 2 2 4" xfId="25094" xr:uid="{00000000-0005-0000-0000-0000D6120000}"/>
    <cellStyle name="20% - Accent3 2 3 4 2 3" xfId="7174" xr:uid="{00000000-0005-0000-0000-0000D7120000}"/>
    <cellStyle name="20% - Accent3 2 3 4 2 3 2" xfId="17414" xr:uid="{00000000-0005-0000-0000-0000D8120000}"/>
    <cellStyle name="20% - Accent3 2 3 4 2 3 2 2" xfId="37894" xr:uid="{00000000-0005-0000-0000-0000D9120000}"/>
    <cellStyle name="20% - Accent3 2 3 4 2 3 3" xfId="27654" xr:uid="{00000000-0005-0000-0000-0000DA120000}"/>
    <cellStyle name="20% - Accent3 2 3 4 2 4" xfId="12294" xr:uid="{00000000-0005-0000-0000-0000DB120000}"/>
    <cellStyle name="20% - Accent3 2 3 4 2 4 2" xfId="32774" xr:uid="{00000000-0005-0000-0000-0000DC120000}"/>
    <cellStyle name="20% - Accent3 2 3 4 2 5" xfId="22534" xr:uid="{00000000-0005-0000-0000-0000DD120000}"/>
    <cellStyle name="20% - Accent3 2 3 4 3" xfId="3334" xr:uid="{00000000-0005-0000-0000-0000DE120000}"/>
    <cellStyle name="20% - Accent3 2 3 4 3 2" xfId="8454" xr:uid="{00000000-0005-0000-0000-0000DF120000}"/>
    <cellStyle name="20% - Accent3 2 3 4 3 2 2" xfId="18694" xr:uid="{00000000-0005-0000-0000-0000E0120000}"/>
    <cellStyle name="20% - Accent3 2 3 4 3 2 2 2" xfId="39174" xr:uid="{00000000-0005-0000-0000-0000E1120000}"/>
    <cellStyle name="20% - Accent3 2 3 4 3 2 3" xfId="28934" xr:uid="{00000000-0005-0000-0000-0000E2120000}"/>
    <cellStyle name="20% - Accent3 2 3 4 3 3" xfId="13574" xr:uid="{00000000-0005-0000-0000-0000E3120000}"/>
    <cellStyle name="20% - Accent3 2 3 4 3 3 2" xfId="34054" xr:uid="{00000000-0005-0000-0000-0000E4120000}"/>
    <cellStyle name="20% - Accent3 2 3 4 3 4" xfId="23814" xr:uid="{00000000-0005-0000-0000-0000E5120000}"/>
    <cellStyle name="20% - Accent3 2 3 4 4" xfId="5894" xr:uid="{00000000-0005-0000-0000-0000E6120000}"/>
    <cellStyle name="20% - Accent3 2 3 4 4 2" xfId="16134" xr:uid="{00000000-0005-0000-0000-0000E7120000}"/>
    <cellStyle name="20% - Accent3 2 3 4 4 2 2" xfId="36614" xr:uid="{00000000-0005-0000-0000-0000E8120000}"/>
    <cellStyle name="20% - Accent3 2 3 4 4 3" xfId="26374" xr:uid="{00000000-0005-0000-0000-0000E9120000}"/>
    <cellStyle name="20% - Accent3 2 3 4 5" xfId="11014" xr:uid="{00000000-0005-0000-0000-0000EA120000}"/>
    <cellStyle name="20% - Accent3 2 3 4 5 2" xfId="31494" xr:uid="{00000000-0005-0000-0000-0000EB120000}"/>
    <cellStyle name="20% - Accent3 2 3 4 6" xfId="21254" xr:uid="{00000000-0005-0000-0000-0000EC120000}"/>
    <cellStyle name="20% - Accent3 2 3 5" xfId="1414" xr:uid="{00000000-0005-0000-0000-0000ED120000}"/>
    <cellStyle name="20% - Accent3 2 3 5 2" xfId="3974" xr:uid="{00000000-0005-0000-0000-0000EE120000}"/>
    <cellStyle name="20% - Accent3 2 3 5 2 2" xfId="9094" xr:uid="{00000000-0005-0000-0000-0000EF120000}"/>
    <cellStyle name="20% - Accent3 2 3 5 2 2 2" xfId="19334" xr:uid="{00000000-0005-0000-0000-0000F0120000}"/>
    <cellStyle name="20% - Accent3 2 3 5 2 2 2 2" xfId="39814" xr:uid="{00000000-0005-0000-0000-0000F1120000}"/>
    <cellStyle name="20% - Accent3 2 3 5 2 2 3" xfId="29574" xr:uid="{00000000-0005-0000-0000-0000F2120000}"/>
    <cellStyle name="20% - Accent3 2 3 5 2 3" xfId="14214" xr:uid="{00000000-0005-0000-0000-0000F3120000}"/>
    <cellStyle name="20% - Accent3 2 3 5 2 3 2" xfId="34694" xr:uid="{00000000-0005-0000-0000-0000F4120000}"/>
    <cellStyle name="20% - Accent3 2 3 5 2 4" xfId="24454" xr:uid="{00000000-0005-0000-0000-0000F5120000}"/>
    <cellStyle name="20% - Accent3 2 3 5 3" xfId="6534" xr:uid="{00000000-0005-0000-0000-0000F6120000}"/>
    <cellStyle name="20% - Accent3 2 3 5 3 2" xfId="16774" xr:uid="{00000000-0005-0000-0000-0000F7120000}"/>
    <cellStyle name="20% - Accent3 2 3 5 3 2 2" xfId="37254" xr:uid="{00000000-0005-0000-0000-0000F8120000}"/>
    <cellStyle name="20% - Accent3 2 3 5 3 3" xfId="27014" xr:uid="{00000000-0005-0000-0000-0000F9120000}"/>
    <cellStyle name="20% - Accent3 2 3 5 4" xfId="11654" xr:uid="{00000000-0005-0000-0000-0000FA120000}"/>
    <cellStyle name="20% - Accent3 2 3 5 4 2" xfId="32134" xr:uid="{00000000-0005-0000-0000-0000FB120000}"/>
    <cellStyle name="20% - Accent3 2 3 5 5" xfId="21894" xr:uid="{00000000-0005-0000-0000-0000FC120000}"/>
    <cellStyle name="20% - Accent3 2 3 6" xfId="2694" xr:uid="{00000000-0005-0000-0000-0000FD120000}"/>
    <cellStyle name="20% - Accent3 2 3 6 2" xfId="7814" xr:uid="{00000000-0005-0000-0000-0000FE120000}"/>
    <cellStyle name="20% - Accent3 2 3 6 2 2" xfId="18054" xr:uid="{00000000-0005-0000-0000-0000FF120000}"/>
    <cellStyle name="20% - Accent3 2 3 6 2 2 2" xfId="38534" xr:uid="{00000000-0005-0000-0000-000000130000}"/>
    <cellStyle name="20% - Accent3 2 3 6 2 3" xfId="28294" xr:uid="{00000000-0005-0000-0000-000001130000}"/>
    <cellStyle name="20% - Accent3 2 3 6 3" xfId="12934" xr:uid="{00000000-0005-0000-0000-000002130000}"/>
    <cellStyle name="20% - Accent3 2 3 6 3 2" xfId="33414" xr:uid="{00000000-0005-0000-0000-000003130000}"/>
    <cellStyle name="20% - Accent3 2 3 6 4" xfId="23174" xr:uid="{00000000-0005-0000-0000-000004130000}"/>
    <cellStyle name="20% - Accent3 2 3 7" xfId="5254" xr:uid="{00000000-0005-0000-0000-000005130000}"/>
    <cellStyle name="20% - Accent3 2 3 7 2" xfId="15494" xr:uid="{00000000-0005-0000-0000-000006130000}"/>
    <cellStyle name="20% - Accent3 2 3 7 2 2" xfId="35974" xr:uid="{00000000-0005-0000-0000-000007130000}"/>
    <cellStyle name="20% - Accent3 2 3 7 3" xfId="25734" xr:uid="{00000000-0005-0000-0000-000008130000}"/>
    <cellStyle name="20% - Accent3 2 3 8" xfId="10374" xr:uid="{00000000-0005-0000-0000-000009130000}"/>
    <cellStyle name="20% - Accent3 2 3 8 2" xfId="30854" xr:uid="{00000000-0005-0000-0000-00000A130000}"/>
    <cellStyle name="20% - Accent3 2 3 9" xfId="20614" xr:uid="{00000000-0005-0000-0000-00000B130000}"/>
    <cellStyle name="20% - Accent3 2 4" xfId="214" xr:uid="{00000000-0005-0000-0000-00000C130000}"/>
    <cellStyle name="20% - Accent3 2 4 2" xfId="534" xr:uid="{00000000-0005-0000-0000-00000D130000}"/>
    <cellStyle name="20% - Accent3 2 4 2 2" xfId="1174" xr:uid="{00000000-0005-0000-0000-00000E130000}"/>
    <cellStyle name="20% - Accent3 2 4 2 2 2" xfId="2454" xr:uid="{00000000-0005-0000-0000-00000F130000}"/>
    <cellStyle name="20% - Accent3 2 4 2 2 2 2" xfId="5014" xr:uid="{00000000-0005-0000-0000-000010130000}"/>
    <cellStyle name="20% - Accent3 2 4 2 2 2 2 2" xfId="10134" xr:uid="{00000000-0005-0000-0000-000011130000}"/>
    <cellStyle name="20% - Accent3 2 4 2 2 2 2 2 2" xfId="20374" xr:uid="{00000000-0005-0000-0000-000012130000}"/>
    <cellStyle name="20% - Accent3 2 4 2 2 2 2 2 2 2" xfId="40854" xr:uid="{00000000-0005-0000-0000-000013130000}"/>
    <cellStyle name="20% - Accent3 2 4 2 2 2 2 2 3" xfId="30614" xr:uid="{00000000-0005-0000-0000-000014130000}"/>
    <cellStyle name="20% - Accent3 2 4 2 2 2 2 3" xfId="15254" xr:uid="{00000000-0005-0000-0000-000015130000}"/>
    <cellStyle name="20% - Accent3 2 4 2 2 2 2 3 2" xfId="35734" xr:uid="{00000000-0005-0000-0000-000016130000}"/>
    <cellStyle name="20% - Accent3 2 4 2 2 2 2 4" xfId="25494" xr:uid="{00000000-0005-0000-0000-000017130000}"/>
    <cellStyle name="20% - Accent3 2 4 2 2 2 3" xfId="7574" xr:uid="{00000000-0005-0000-0000-000018130000}"/>
    <cellStyle name="20% - Accent3 2 4 2 2 2 3 2" xfId="17814" xr:uid="{00000000-0005-0000-0000-000019130000}"/>
    <cellStyle name="20% - Accent3 2 4 2 2 2 3 2 2" xfId="38294" xr:uid="{00000000-0005-0000-0000-00001A130000}"/>
    <cellStyle name="20% - Accent3 2 4 2 2 2 3 3" xfId="28054" xr:uid="{00000000-0005-0000-0000-00001B130000}"/>
    <cellStyle name="20% - Accent3 2 4 2 2 2 4" xfId="12694" xr:uid="{00000000-0005-0000-0000-00001C130000}"/>
    <cellStyle name="20% - Accent3 2 4 2 2 2 4 2" xfId="33174" xr:uid="{00000000-0005-0000-0000-00001D130000}"/>
    <cellStyle name="20% - Accent3 2 4 2 2 2 5" xfId="22934" xr:uid="{00000000-0005-0000-0000-00001E130000}"/>
    <cellStyle name="20% - Accent3 2 4 2 2 3" xfId="3734" xr:uid="{00000000-0005-0000-0000-00001F130000}"/>
    <cellStyle name="20% - Accent3 2 4 2 2 3 2" xfId="8854" xr:uid="{00000000-0005-0000-0000-000020130000}"/>
    <cellStyle name="20% - Accent3 2 4 2 2 3 2 2" xfId="19094" xr:uid="{00000000-0005-0000-0000-000021130000}"/>
    <cellStyle name="20% - Accent3 2 4 2 2 3 2 2 2" xfId="39574" xr:uid="{00000000-0005-0000-0000-000022130000}"/>
    <cellStyle name="20% - Accent3 2 4 2 2 3 2 3" xfId="29334" xr:uid="{00000000-0005-0000-0000-000023130000}"/>
    <cellStyle name="20% - Accent3 2 4 2 2 3 3" xfId="13974" xr:uid="{00000000-0005-0000-0000-000024130000}"/>
    <cellStyle name="20% - Accent3 2 4 2 2 3 3 2" xfId="34454" xr:uid="{00000000-0005-0000-0000-000025130000}"/>
    <cellStyle name="20% - Accent3 2 4 2 2 3 4" xfId="24214" xr:uid="{00000000-0005-0000-0000-000026130000}"/>
    <cellStyle name="20% - Accent3 2 4 2 2 4" xfId="6294" xr:uid="{00000000-0005-0000-0000-000027130000}"/>
    <cellStyle name="20% - Accent3 2 4 2 2 4 2" xfId="16534" xr:uid="{00000000-0005-0000-0000-000028130000}"/>
    <cellStyle name="20% - Accent3 2 4 2 2 4 2 2" xfId="37014" xr:uid="{00000000-0005-0000-0000-000029130000}"/>
    <cellStyle name="20% - Accent3 2 4 2 2 4 3" xfId="26774" xr:uid="{00000000-0005-0000-0000-00002A130000}"/>
    <cellStyle name="20% - Accent3 2 4 2 2 5" xfId="11414" xr:uid="{00000000-0005-0000-0000-00002B130000}"/>
    <cellStyle name="20% - Accent3 2 4 2 2 5 2" xfId="31894" xr:uid="{00000000-0005-0000-0000-00002C130000}"/>
    <cellStyle name="20% - Accent3 2 4 2 2 6" xfId="21654" xr:uid="{00000000-0005-0000-0000-00002D130000}"/>
    <cellStyle name="20% - Accent3 2 4 2 3" xfId="1814" xr:uid="{00000000-0005-0000-0000-00002E130000}"/>
    <cellStyle name="20% - Accent3 2 4 2 3 2" xfId="4374" xr:uid="{00000000-0005-0000-0000-00002F130000}"/>
    <cellStyle name="20% - Accent3 2 4 2 3 2 2" xfId="9494" xr:uid="{00000000-0005-0000-0000-000030130000}"/>
    <cellStyle name="20% - Accent3 2 4 2 3 2 2 2" xfId="19734" xr:uid="{00000000-0005-0000-0000-000031130000}"/>
    <cellStyle name="20% - Accent3 2 4 2 3 2 2 2 2" xfId="40214" xr:uid="{00000000-0005-0000-0000-000032130000}"/>
    <cellStyle name="20% - Accent3 2 4 2 3 2 2 3" xfId="29974" xr:uid="{00000000-0005-0000-0000-000033130000}"/>
    <cellStyle name="20% - Accent3 2 4 2 3 2 3" xfId="14614" xr:uid="{00000000-0005-0000-0000-000034130000}"/>
    <cellStyle name="20% - Accent3 2 4 2 3 2 3 2" xfId="35094" xr:uid="{00000000-0005-0000-0000-000035130000}"/>
    <cellStyle name="20% - Accent3 2 4 2 3 2 4" xfId="24854" xr:uid="{00000000-0005-0000-0000-000036130000}"/>
    <cellStyle name="20% - Accent3 2 4 2 3 3" xfId="6934" xr:uid="{00000000-0005-0000-0000-000037130000}"/>
    <cellStyle name="20% - Accent3 2 4 2 3 3 2" xfId="17174" xr:uid="{00000000-0005-0000-0000-000038130000}"/>
    <cellStyle name="20% - Accent3 2 4 2 3 3 2 2" xfId="37654" xr:uid="{00000000-0005-0000-0000-000039130000}"/>
    <cellStyle name="20% - Accent3 2 4 2 3 3 3" xfId="27414" xr:uid="{00000000-0005-0000-0000-00003A130000}"/>
    <cellStyle name="20% - Accent3 2 4 2 3 4" xfId="12054" xr:uid="{00000000-0005-0000-0000-00003B130000}"/>
    <cellStyle name="20% - Accent3 2 4 2 3 4 2" xfId="32534" xr:uid="{00000000-0005-0000-0000-00003C130000}"/>
    <cellStyle name="20% - Accent3 2 4 2 3 5" xfId="22294" xr:uid="{00000000-0005-0000-0000-00003D130000}"/>
    <cellStyle name="20% - Accent3 2 4 2 4" xfId="3094" xr:uid="{00000000-0005-0000-0000-00003E130000}"/>
    <cellStyle name="20% - Accent3 2 4 2 4 2" xfId="8214" xr:uid="{00000000-0005-0000-0000-00003F130000}"/>
    <cellStyle name="20% - Accent3 2 4 2 4 2 2" xfId="18454" xr:uid="{00000000-0005-0000-0000-000040130000}"/>
    <cellStyle name="20% - Accent3 2 4 2 4 2 2 2" xfId="38934" xr:uid="{00000000-0005-0000-0000-000041130000}"/>
    <cellStyle name="20% - Accent3 2 4 2 4 2 3" xfId="28694" xr:uid="{00000000-0005-0000-0000-000042130000}"/>
    <cellStyle name="20% - Accent3 2 4 2 4 3" xfId="13334" xr:uid="{00000000-0005-0000-0000-000043130000}"/>
    <cellStyle name="20% - Accent3 2 4 2 4 3 2" xfId="33814" xr:uid="{00000000-0005-0000-0000-000044130000}"/>
    <cellStyle name="20% - Accent3 2 4 2 4 4" xfId="23574" xr:uid="{00000000-0005-0000-0000-000045130000}"/>
    <cellStyle name="20% - Accent3 2 4 2 5" xfId="5654" xr:uid="{00000000-0005-0000-0000-000046130000}"/>
    <cellStyle name="20% - Accent3 2 4 2 5 2" xfId="15894" xr:uid="{00000000-0005-0000-0000-000047130000}"/>
    <cellStyle name="20% - Accent3 2 4 2 5 2 2" xfId="36374" xr:uid="{00000000-0005-0000-0000-000048130000}"/>
    <cellStyle name="20% - Accent3 2 4 2 5 3" xfId="26134" xr:uid="{00000000-0005-0000-0000-000049130000}"/>
    <cellStyle name="20% - Accent3 2 4 2 6" xfId="10774" xr:uid="{00000000-0005-0000-0000-00004A130000}"/>
    <cellStyle name="20% - Accent3 2 4 2 6 2" xfId="31254" xr:uid="{00000000-0005-0000-0000-00004B130000}"/>
    <cellStyle name="20% - Accent3 2 4 2 7" xfId="21014" xr:uid="{00000000-0005-0000-0000-00004C130000}"/>
    <cellStyle name="20% - Accent3 2 4 3" xfId="854" xr:uid="{00000000-0005-0000-0000-00004D130000}"/>
    <cellStyle name="20% - Accent3 2 4 3 2" xfId="2134" xr:uid="{00000000-0005-0000-0000-00004E130000}"/>
    <cellStyle name="20% - Accent3 2 4 3 2 2" xfId="4694" xr:uid="{00000000-0005-0000-0000-00004F130000}"/>
    <cellStyle name="20% - Accent3 2 4 3 2 2 2" xfId="9814" xr:uid="{00000000-0005-0000-0000-000050130000}"/>
    <cellStyle name="20% - Accent3 2 4 3 2 2 2 2" xfId="20054" xr:uid="{00000000-0005-0000-0000-000051130000}"/>
    <cellStyle name="20% - Accent3 2 4 3 2 2 2 2 2" xfId="40534" xr:uid="{00000000-0005-0000-0000-000052130000}"/>
    <cellStyle name="20% - Accent3 2 4 3 2 2 2 3" xfId="30294" xr:uid="{00000000-0005-0000-0000-000053130000}"/>
    <cellStyle name="20% - Accent3 2 4 3 2 2 3" xfId="14934" xr:uid="{00000000-0005-0000-0000-000054130000}"/>
    <cellStyle name="20% - Accent3 2 4 3 2 2 3 2" xfId="35414" xr:uid="{00000000-0005-0000-0000-000055130000}"/>
    <cellStyle name="20% - Accent3 2 4 3 2 2 4" xfId="25174" xr:uid="{00000000-0005-0000-0000-000056130000}"/>
    <cellStyle name="20% - Accent3 2 4 3 2 3" xfId="7254" xr:uid="{00000000-0005-0000-0000-000057130000}"/>
    <cellStyle name="20% - Accent3 2 4 3 2 3 2" xfId="17494" xr:uid="{00000000-0005-0000-0000-000058130000}"/>
    <cellStyle name="20% - Accent3 2 4 3 2 3 2 2" xfId="37974" xr:uid="{00000000-0005-0000-0000-000059130000}"/>
    <cellStyle name="20% - Accent3 2 4 3 2 3 3" xfId="27734" xr:uid="{00000000-0005-0000-0000-00005A130000}"/>
    <cellStyle name="20% - Accent3 2 4 3 2 4" xfId="12374" xr:uid="{00000000-0005-0000-0000-00005B130000}"/>
    <cellStyle name="20% - Accent3 2 4 3 2 4 2" xfId="32854" xr:uid="{00000000-0005-0000-0000-00005C130000}"/>
    <cellStyle name="20% - Accent3 2 4 3 2 5" xfId="22614" xr:uid="{00000000-0005-0000-0000-00005D130000}"/>
    <cellStyle name="20% - Accent3 2 4 3 3" xfId="3414" xr:uid="{00000000-0005-0000-0000-00005E130000}"/>
    <cellStyle name="20% - Accent3 2 4 3 3 2" xfId="8534" xr:uid="{00000000-0005-0000-0000-00005F130000}"/>
    <cellStyle name="20% - Accent3 2 4 3 3 2 2" xfId="18774" xr:uid="{00000000-0005-0000-0000-000060130000}"/>
    <cellStyle name="20% - Accent3 2 4 3 3 2 2 2" xfId="39254" xr:uid="{00000000-0005-0000-0000-000061130000}"/>
    <cellStyle name="20% - Accent3 2 4 3 3 2 3" xfId="29014" xr:uid="{00000000-0005-0000-0000-000062130000}"/>
    <cellStyle name="20% - Accent3 2 4 3 3 3" xfId="13654" xr:uid="{00000000-0005-0000-0000-000063130000}"/>
    <cellStyle name="20% - Accent3 2 4 3 3 3 2" xfId="34134" xr:uid="{00000000-0005-0000-0000-000064130000}"/>
    <cellStyle name="20% - Accent3 2 4 3 3 4" xfId="23894" xr:uid="{00000000-0005-0000-0000-000065130000}"/>
    <cellStyle name="20% - Accent3 2 4 3 4" xfId="5974" xr:uid="{00000000-0005-0000-0000-000066130000}"/>
    <cellStyle name="20% - Accent3 2 4 3 4 2" xfId="16214" xr:uid="{00000000-0005-0000-0000-000067130000}"/>
    <cellStyle name="20% - Accent3 2 4 3 4 2 2" xfId="36694" xr:uid="{00000000-0005-0000-0000-000068130000}"/>
    <cellStyle name="20% - Accent3 2 4 3 4 3" xfId="26454" xr:uid="{00000000-0005-0000-0000-000069130000}"/>
    <cellStyle name="20% - Accent3 2 4 3 5" xfId="11094" xr:uid="{00000000-0005-0000-0000-00006A130000}"/>
    <cellStyle name="20% - Accent3 2 4 3 5 2" xfId="31574" xr:uid="{00000000-0005-0000-0000-00006B130000}"/>
    <cellStyle name="20% - Accent3 2 4 3 6" xfId="21334" xr:uid="{00000000-0005-0000-0000-00006C130000}"/>
    <cellStyle name="20% - Accent3 2 4 4" xfId="1494" xr:uid="{00000000-0005-0000-0000-00006D130000}"/>
    <cellStyle name="20% - Accent3 2 4 4 2" xfId="4054" xr:uid="{00000000-0005-0000-0000-00006E130000}"/>
    <cellStyle name="20% - Accent3 2 4 4 2 2" xfId="9174" xr:uid="{00000000-0005-0000-0000-00006F130000}"/>
    <cellStyle name="20% - Accent3 2 4 4 2 2 2" xfId="19414" xr:uid="{00000000-0005-0000-0000-000070130000}"/>
    <cellStyle name="20% - Accent3 2 4 4 2 2 2 2" xfId="39894" xr:uid="{00000000-0005-0000-0000-000071130000}"/>
    <cellStyle name="20% - Accent3 2 4 4 2 2 3" xfId="29654" xr:uid="{00000000-0005-0000-0000-000072130000}"/>
    <cellStyle name="20% - Accent3 2 4 4 2 3" xfId="14294" xr:uid="{00000000-0005-0000-0000-000073130000}"/>
    <cellStyle name="20% - Accent3 2 4 4 2 3 2" xfId="34774" xr:uid="{00000000-0005-0000-0000-000074130000}"/>
    <cellStyle name="20% - Accent3 2 4 4 2 4" xfId="24534" xr:uid="{00000000-0005-0000-0000-000075130000}"/>
    <cellStyle name="20% - Accent3 2 4 4 3" xfId="6614" xr:uid="{00000000-0005-0000-0000-000076130000}"/>
    <cellStyle name="20% - Accent3 2 4 4 3 2" xfId="16854" xr:uid="{00000000-0005-0000-0000-000077130000}"/>
    <cellStyle name="20% - Accent3 2 4 4 3 2 2" xfId="37334" xr:uid="{00000000-0005-0000-0000-000078130000}"/>
    <cellStyle name="20% - Accent3 2 4 4 3 3" xfId="27094" xr:uid="{00000000-0005-0000-0000-000079130000}"/>
    <cellStyle name="20% - Accent3 2 4 4 4" xfId="11734" xr:uid="{00000000-0005-0000-0000-00007A130000}"/>
    <cellStyle name="20% - Accent3 2 4 4 4 2" xfId="32214" xr:uid="{00000000-0005-0000-0000-00007B130000}"/>
    <cellStyle name="20% - Accent3 2 4 4 5" xfId="21974" xr:uid="{00000000-0005-0000-0000-00007C130000}"/>
    <cellStyle name="20% - Accent3 2 4 5" xfId="2774" xr:uid="{00000000-0005-0000-0000-00007D130000}"/>
    <cellStyle name="20% - Accent3 2 4 5 2" xfId="7894" xr:uid="{00000000-0005-0000-0000-00007E130000}"/>
    <cellStyle name="20% - Accent3 2 4 5 2 2" xfId="18134" xr:uid="{00000000-0005-0000-0000-00007F130000}"/>
    <cellStyle name="20% - Accent3 2 4 5 2 2 2" xfId="38614" xr:uid="{00000000-0005-0000-0000-000080130000}"/>
    <cellStyle name="20% - Accent3 2 4 5 2 3" xfId="28374" xr:uid="{00000000-0005-0000-0000-000081130000}"/>
    <cellStyle name="20% - Accent3 2 4 5 3" xfId="13014" xr:uid="{00000000-0005-0000-0000-000082130000}"/>
    <cellStyle name="20% - Accent3 2 4 5 3 2" xfId="33494" xr:uid="{00000000-0005-0000-0000-000083130000}"/>
    <cellStyle name="20% - Accent3 2 4 5 4" xfId="23254" xr:uid="{00000000-0005-0000-0000-000084130000}"/>
    <cellStyle name="20% - Accent3 2 4 6" xfId="5334" xr:uid="{00000000-0005-0000-0000-000085130000}"/>
    <cellStyle name="20% - Accent3 2 4 6 2" xfId="15574" xr:uid="{00000000-0005-0000-0000-000086130000}"/>
    <cellStyle name="20% - Accent3 2 4 6 2 2" xfId="36054" xr:uid="{00000000-0005-0000-0000-000087130000}"/>
    <cellStyle name="20% - Accent3 2 4 6 3" xfId="25814" xr:uid="{00000000-0005-0000-0000-000088130000}"/>
    <cellStyle name="20% - Accent3 2 4 7" xfId="10454" xr:uid="{00000000-0005-0000-0000-000089130000}"/>
    <cellStyle name="20% - Accent3 2 4 7 2" xfId="30934" xr:uid="{00000000-0005-0000-0000-00008A130000}"/>
    <cellStyle name="20% - Accent3 2 4 8" xfId="20694" xr:uid="{00000000-0005-0000-0000-00008B130000}"/>
    <cellStyle name="20% - Accent3 2 5" xfId="374" xr:uid="{00000000-0005-0000-0000-00008C130000}"/>
    <cellStyle name="20% - Accent3 2 5 2" xfId="1014" xr:uid="{00000000-0005-0000-0000-00008D130000}"/>
    <cellStyle name="20% - Accent3 2 5 2 2" xfId="2294" xr:uid="{00000000-0005-0000-0000-00008E130000}"/>
    <cellStyle name="20% - Accent3 2 5 2 2 2" xfId="4854" xr:uid="{00000000-0005-0000-0000-00008F130000}"/>
    <cellStyle name="20% - Accent3 2 5 2 2 2 2" xfId="9974" xr:uid="{00000000-0005-0000-0000-000090130000}"/>
    <cellStyle name="20% - Accent3 2 5 2 2 2 2 2" xfId="20214" xr:uid="{00000000-0005-0000-0000-000091130000}"/>
    <cellStyle name="20% - Accent3 2 5 2 2 2 2 2 2" xfId="40694" xr:uid="{00000000-0005-0000-0000-000092130000}"/>
    <cellStyle name="20% - Accent3 2 5 2 2 2 2 3" xfId="30454" xr:uid="{00000000-0005-0000-0000-000093130000}"/>
    <cellStyle name="20% - Accent3 2 5 2 2 2 3" xfId="15094" xr:uid="{00000000-0005-0000-0000-000094130000}"/>
    <cellStyle name="20% - Accent3 2 5 2 2 2 3 2" xfId="35574" xr:uid="{00000000-0005-0000-0000-000095130000}"/>
    <cellStyle name="20% - Accent3 2 5 2 2 2 4" xfId="25334" xr:uid="{00000000-0005-0000-0000-000096130000}"/>
    <cellStyle name="20% - Accent3 2 5 2 2 3" xfId="7414" xr:uid="{00000000-0005-0000-0000-000097130000}"/>
    <cellStyle name="20% - Accent3 2 5 2 2 3 2" xfId="17654" xr:uid="{00000000-0005-0000-0000-000098130000}"/>
    <cellStyle name="20% - Accent3 2 5 2 2 3 2 2" xfId="38134" xr:uid="{00000000-0005-0000-0000-000099130000}"/>
    <cellStyle name="20% - Accent3 2 5 2 2 3 3" xfId="27894" xr:uid="{00000000-0005-0000-0000-00009A130000}"/>
    <cellStyle name="20% - Accent3 2 5 2 2 4" xfId="12534" xr:uid="{00000000-0005-0000-0000-00009B130000}"/>
    <cellStyle name="20% - Accent3 2 5 2 2 4 2" xfId="33014" xr:uid="{00000000-0005-0000-0000-00009C130000}"/>
    <cellStyle name="20% - Accent3 2 5 2 2 5" xfId="22774" xr:uid="{00000000-0005-0000-0000-00009D130000}"/>
    <cellStyle name="20% - Accent3 2 5 2 3" xfId="3574" xr:uid="{00000000-0005-0000-0000-00009E130000}"/>
    <cellStyle name="20% - Accent3 2 5 2 3 2" xfId="8694" xr:uid="{00000000-0005-0000-0000-00009F130000}"/>
    <cellStyle name="20% - Accent3 2 5 2 3 2 2" xfId="18934" xr:uid="{00000000-0005-0000-0000-0000A0130000}"/>
    <cellStyle name="20% - Accent3 2 5 2 3 2 2 2" xfId="39414" xr:uid="{00000000-0005-0000-0000-0000A1130000}"/>
    <cellStyle name="20% - Accent3 2 5 2 3 2 3" xfId="29174" xr:uid="{00000000-0005-0000-0000-0000A2130000}"/>
    <cellStyle name="20% - Accent3 2 5 2 3 3" xfId="13814" xr:uid="{00000000-0005-0000-0000-0000A3130000}"/>
    <cellStyle name="20% - Accent3 2 5 2 3 3 2" xfId="34294" xr:uid="{00000000-0005-0000-0000-0000A4130000}"/>
    <cellStyle name="20% - Accent3 2 5 2 3 4" xfId="24054" xr:uid="{00000000-0005-0000-0000-0000A5130000}"/>
    <cellStyle name="20% - Accent3 2 5 2 4" xfId="6134" xr:uid="{00000000-0005-0000-0000-0000A6130000}"/>
    <cellStyle name="20% - Accent3 2 5 2 4 2" xfId="16374" xr:uid="{00000000-0005-0000-0000-0000A7130000}"/>
    <cellStyle name="20% - Accent3 2 5 2 4 2 2" xfId="36854" xr:uid="{00000000-0005-0000-0000-0000A8130000}"/>
    <cellStyle name="20% - Accent3 2 5 2 4 3" xfId="26614" xr:uid="{00000000-0005-0000-0000-0000A9130000}"/>
    <cellStyle name="20% - Accent3 2 5 2 5" xfId="11254" xr:uid="{00000000-0005-0000-0000-0000AA130000}"/>
    <cellStyle name="20% - Accent3 2 5 2 5 2" xfId="31734" xr:uid="{00000000-0005-0000-0000-0000AB130000}"/>
    <cellStyle name="20% - Accent3 2 5 2 6" xfId="21494" xr:uid="{00000000-0005-0000-0000-0000AC130000}"/>
    <cellStyle name="20% - Accent3 2 5 3" xfId="1654" xr:uid="{00000000-0005-0000-0000-0000AD130000}"/>
    <cellStyle name="20% - Accent3 2 5 3 2" xfId="4214" xr:uid="{00000000-0005-0000-0000-0000AE130000}"/>
    <cellStyle name="20% - Accent3 2 5 3 2 2" xfId="9334" xr:uid="{00000000-0005-0000-0000-0000AF130000}"/>
    <cellStyle name="20% - Accent3 2 5 3 2 2 2" xfId="19574" xr:uid="{00000000-0005-0000-0000-0000B0130000}"/>
    <cellStyle name="20% - Accent3 2 5 3 2 2 2 2" xfId="40054" xr:uid="{00000000-0005-0000-0000-0000B1130000}"/>
    <cellStyle name="20% - Accent3 2 5 3 2 2 3" xfId="29814" xr:uid="{00000000-0005-0000-0000-0000B2130000}"/>
    <cellStyle name="20% - Accent3 2 5 3 2 3" xfId="14454" xr:uid="{00000000-0005-0000-0000-0000B3130000}"/>
    <cellStyle name="20% - Accent3 2 5 3 2 3 2" xfId="34934" xr:uid="{00000000-0005-0000-0000-0000B4130000}"/>
    <cellStyle name="20% - Accent3 2 5 3 2 4" xfId="24694" xr:uid="{00000000-0005-0000-0000-0000B5130000}"/>
    <cellStyle name="20% - Accent3 2 5 3 3" xfId="6774" xr:uid="{00000000-0005-0000-0000-0000B6130000}"/>
    <cellStyle name="20% - Accent3 2 5 3 3 2" xfId="17014" xr:uid="{00000000-0005-0000-0000-0000B7130000}"/>
    <cellStyle name="20% - Accent3 2 5 3 3 2 2" xfId="37494" xr:uid="{00000000-0005-0000-0000-0000B8130000}"/>
    <cellStyle name="20% - Accent3 2 5 3 3 3" xfId="27254" xr:uid="{00000000-0005-0000-0000-0000B9130000}"/>
    <cellStyle name="20% - Accent3 2 5 3 4" xfId="11894" xr:uid="{00000000-0005-0000-0000-0000BA130000}"/>
    <cellStyle name="20% - Accent3 2 5 3 4 2" xfId="32374" xr:uid="{00000000-0005-0000-0000-0000BB130000}"/>
    <cellStyle name="20% - Accent3 2 5 3 5" xfId="22134" xr:uid="{00000000-0005-0000-0000-0000BC130000}"/>
    <cellStyle name="20% - Accent3 2 5 4" xfId="2934" xr:uid="{00000000-0005-0000-0000-0000BD130000}"/>
    <cellStyle name="20% - Accent3 2 5 4 2" xfId="8054" xr:uid="{00000000-0005-0000-0000-0000BE130000}"/>
    <cellStyle name="20% - Accent3 2 5 4 2 2" xfId="18294" xr:uid="{00000000-0005-0000-0000-0000BF130000}"/>
    <cellStyle name="20% - Accent3 2 5 4 2 2 2" xfId="38774" xr:uid="{00000000-0005-0000-0000-0000C0130000}"/>
    <cellStyle name="20% - Accent3 2 5 4 2 3" xfId="28534" xr:uid="{00000000-0005-0000-0000-0000C1130000}"/>
    <cellStyle name="20% - Accent3 2 5 4 3" xfId="13174" xr:uid="{00000000-0005-0000-0000-0000C2130000}"/>
    <cellStyle name="20% - Accent3 2 5 4 3 2" xfId="33654" xr:uid="{00000000-0005-0000-0000-0000C3130000}"/>
    <cellStyle name="20% - Accent3 2 5 4 4" xfId="23414" xr:uid="{00000000-0005-0000-0000-0000C4130000}"/>
    <cellStyle name="20% - Accent3 2 5 5" xfId="5494" xr:uid="{00000000-0005-0000-0000-0000C5130000}"/>
    <cellStyle name="20% - Accent3 2 5 5 2" xfId="15734" xr:uid="{00000000-0005-0000-0000-0000C6130000}"/>
    <cellStyle name="20% - Accent3 2 5 5 2 2" xfId="36214" xr:uid="{00000000-0005-0000-0000-0000C7130000}"/>
    <cellStyle name="20% - Accent3 2 5 5 3" xfId="25974" xr:uid="{00000000-0005-0000-0000-0000C8130000}"/>
    <cellStyle name="20% - Accent3 2 5 6" xfId="10614" xr:uid="{00000000-0005-0000-0000-0000C9130000}"/>
    <cellStyle name="20% - Accent3 2 5 6 2" xfId="31094" xr:uid="{00000000-0005-0000-0000-0000CA130000}"/>
    <cellStyle name="20% - Accent3 2 5 7" xfId="20854" xr:uid="{00000000-0005-0000-0000-0000CB130000}"/>
    <cellStyle name="20% - Accent3 2 6" xfId="694" xr:uid="{00000000-0005-0000-0000-0000CC130000}"/>
    <cellStyle name="20% - Accent3 2 6 2" xfId="1974" xr:uid="{00000000-0005-0000-0000-0000CD130000}"/>
    <cellStyle name="20% - Accent3 2 6 2 2" xfId="4534" xr:uid="{00000000-0005-0000-0000-0000CE130000}"/>
    <cellStyle name="20% - Accent3 2 6 2 2 2" xfId="9654" xr:uid="{00000000-0005-0000-0000-0000CF130000}"/>
    <cellStyle name="20% - Accent3 2 6 2 2 2 2" xfId="19894" xr:uid="{00000000-0005-0000-0000-0000D0130000}"/>
    <cellStyle name="20% - Accent3 2 6 2 2 2 2 2" xfId="40374" xr:uid="{00000000-0005-0000-0000-0000D1130000}"/>
    <cellStyle name="20% - Accent3 2 6 2 2 2 3" xfId="30134" xr:uid="{00000000-0005-0000-0000-0000D2130000}"/>
    <cellStyle name="20% - Accent3 2 6 2 2 3" xfId="14774" xr:uid="{00000000-0005-0000-0000-0000D3130000}"/>
    <cellStyle name="20% - Accent3 2 6 2 2 3 2" xfId="35254" xr:uid="{00000000-0005-0000-0000-0000D4130000}"/>
    <cellStyle name="20% - Accent3 2 6 2 2 4" xfId="25014" xr:uid="{00000000-0005-0000-0000-0000D5130000}"/>
    <cellStyle name="20% - Accent3 2 6 2 3" xfId="7094" xr:uid="{00000000-0005-0000-0000-0000D6130000}"/>
    <cellStyle name="20% - Accent3 2 6 2 3 2" xfId="17334" xr:uid="{00000000-0005-0000-0000-0000D7130000}"/>
    <cellStyle name="20% - Accent3 2 6 2 3 2 2" xfId="37814" xr:uid="{00000000-0005-0000-0000-0000D8130000}"/>
    <cellStyle name="20% - Accent3 2 6 2 3 3" xfId="27574" xr:uid="{00000000-0005-0000-0000-0000D9130000}"/>
    <cellStyle name="20% - Accent3 2 6 2 4" xfId="12214" xr:uid="{00000000-0005-0000-0000-0000DA130000}"/>
    <cellStyle name="20% - Accent3 2 6 2 4 2" xfId="32694" xr:uid="{00000000-0005-0000-0000-0000DB130000}"/>
    <cellStyle name="20% - Accent3 2 6 2 5" xfId="22454" xr:uid="{00000000-0005-0000-0000-0000DC130000}"/>
    <cellStyle name="20% - Accent3 2 6 3" xfId="3254" xr:uid="{00000000-0005-0000-0000-0000DD130000}"/>
    <cellStyle name="20% - Accent3 2 6 3 2" xfId="8374" xr:uid="{00000000-0005-0000-0000-0000DE130000}"/>
    <cellStyle name="20% - Accent3 2 6 3 2 2" xfId="18614" xr:uid="{00000000-0005-0000-0000-0000DF130000}"/>
    <cellStyle name="20% - Accent3 2 6 3 2 2 2" xfId="39094" xr:uid="{00000000-0005-0000-0000-0000E0130000}"/>
    <cellStyle name="20% - Accent3 2 6 3 2 3" xfId="28854" xr:uid="{00000000-0005-0000-0000-0000E1130000}"/>
    <cellStyle name="20% - Accent3 2 6 3 3" xfId="13494" xr:uid="{00000000-0005-0000-0000-0000E2130000}"/>
    <cellStyle name="20% - Accent3 2 6 3 3 2" xfId="33974" xr:uid="{00000000-0005-0000-0000-0000E3130000}"/>
    <cellStyle name="20% - Accent3 2 6 3 4" xfId="23734" xr:uid="{00000000-0005-0000-0000-0000E4130000}"/>
    <cellStyle name="20% - Accent3 2 6 4" xfId="5814" xr:uid="{00000000-0005-0000-0000-0000E5130000}"/>
    <cellStyle name="20% - Accent3 2 6 4 2" xfId="16054" xr:uid="{00000000-0005-0000-0000-0000E6130000}"/>
    <cellStyle name="20% - Accent3 2 6 4 2 2" xfId="36534" xr:uid="{00000000-0005-0000-0000-0000E7130000}"/>
    <cellStyle name="20% - Accent3 2 6 4 3" xfId="26294" xr:uid="{00000000-0005-0000-0000-0000E8130000}"/>
    <cellStyle name="20% - Accent3 2 6 5" xfId="10934" xr:uid="{00000000-0005-0000-0000-0000E9130000}"/>
    <cellStyle name="20% - Accent3 2 6 5 2" xfId="31414" xr:uid="{00000000-0005-0000-0000-0000EA130000}"/>
    <cellStyle name="20% - Accent3 2 6 6" xfId="21174" xr:uid="{00000000-0005-0000-0000-0000EB130000}"/>
    <cellStyle name="20% - Accent3 2 7" xfId="1334" xr:uid="{00000000-0005-0000-0000-0000EC130000}"/>
    <cellStyle name="20% - Accent3 2 7 2" xfId="3894" xr:uid="{00000000-0005-0000-0000-0000ED130000}"/>
    <cellStyle name="20% - Accent3 2 7 2 2" xfId="9014" xr:uid="{00000000-0005-0000-0000-0000EE130000}"/>
    <cellStyle name="20% - Accent3 2 7 2 2 2" xfId="19254" xr:uid="{00000000-0005-0000-0000-0000EF130000}"/>
    <cellStyle name="20% - Accent3 2 7 2 2 2 2" xfId="39734" xr:uid="{00000000-0005-0000-0000-0000F0130000}"/>
    <cellStyle name="20% - Accent3 2 7 2 2 3" xfId="29494" xr:uid="{00000000-0005-0000-0000-0000F1130000}"/>
    <cellStyle name="20% - Accent3 2 7 2 3" xfId="14134" xr:uid="{00000000-0005-0000-0000-0000F2130000}"/>
    <cellStyle name="20% - Accent3 2 7 2 3 2" xfId="34614" xr:uid="{00000000-0005-0000-0000-0000F3130000}"/>
    <cellStyle name="20% - Accent3 2 7 2 4" xfId="24374" xr:uid="{00000000-0005-0000-0000-0000F4130000}"/>
    <cellStyle name="20% - Accent3 2 7 3" xfId="6454" xr:uid="{00000000-0005-0000-0000-0000F5130000}"/>
    <cellStyle name="20% - Accent3 2 7 3 2" xfId="16694" xr:uid="{00000000-0005-0000-0000-0000F6130000}"/>
    <cellStyle name="20% - Accent3 2 7 3 2 2" xfId="37174" xr:uid="{00000000-0005-0000-0000-0000F7130000}"/>
    <cellStyle name="20% - Accent3 2 7 3 3" xfId="26934" xr:uid="{00000000-0005-0000-0000-0000F8130000}"/>
    <cellStyle name="20% - Accent3 2 7 4" xfId="11574" xr:uid="{00000000-0005-0000-0000-0000F9130000}"/>
    <cellStyle name="20% - Accent3 2 7 4 2" xfId="32054" xr:uid="{00000000-0005-0000-0000-0000FA130000}"/>
    <cellStyle name="20% - Accent3 2 7 5" xfId="21814" xr:uid="{00000000-0005-0000-0000-0000FB130000}"/>
    <cellStyle name="20% - Accent3 2 8" xfId="2614" xr:uid="{00000000-0005-0000-0000-0000FC130000}"/>
    <cellStyle name="20% - Accent3 2 8 2" xfId="7734" xr:uid="{00000000-0005-0000-0000-0000FD130000}"/>
    <cellStyle name="20% - Accent3 2 8 2 2" xfId="17974" xr:uid="{00000000-0005-0000-0000-0000FE130000}"/>
    <cellStyle name="20% - Accent3 2 8 2 2 2" xfId="38454" xr:uid="{00000000-0005-0000-0000-0000FF130000}"/>
    <cellStyle name="20% - Accent3 2 8 2 3" xfId="28214" xr:uid="{00000000-0005-0000-0000-000000140000}"/>
    <cellStyle name="20% - Accent3 2 8 3" xfId="12854" xr:uid="{00000000-0005-0000-0000-000001140000}"/>
    <cellStyle name="20% - Accent3 2 8 3 2" xfId="33334" xr:uid="{00000000-0005-0000-0000-000002140000}"/>
    <cellStyle name="20% - Accent3 2 8 4" xfId="23094" xr:uid="{00000000-0005-0000-0000-000003140000}"/>
    <cellStyle name="20% - Accent3 2 9" xfId="5174" xr:uid="{00000000-0005-0000-0000-000004140000}"/>
    <cellStyle name="20% - Accent3 2 9 2" xfId="15414" xr:uid="{00000000-0005-0000-0000-000005140000}"/>
    <cellStyle name="20% - Accent3 2 9 2 2" xfId="35894" xr:uid="{00000000-0005-0000-0000-000006140000}"/>
    <cellStyle name="20% - Accent3 2 9 3" xfId="25654" xr:uid="{00000000-0005-0000-0000-000007140000}"/>
    <cellStyle name="20% - Accent3 3" xfId="74" xr:uid="{00000000-0005-0000-0000-000008140000}"/>
    <cellStyle name="20% - Accent3 3 10" xfId="20554" xr:uid="{00000000-0005-0000-0000-000009140000}"/>
    <cellStyle name="20% - Accent3 3 2" xfId="154" xr:uid="{00000000-0005-0000-0000-00000A140000}"/>
    <cellStyle name="20% - Accent3 3 2 2" xfId="314" xr:uid="{00000000-0005-0000-0000-00000B140000}"/>
    <cellStyle name="20% - Accent3 3 2 2 2" xfId="634" xr:uid="{00000000-0005-0000-0000-00000C140000}"/>
    <cellStyle name="20% - Accent3 3 2 2 2 2" xfId="1274" xr:uid="{00000000-0005-0000-0000-00000D140000}"/>
    <cellStyle name="20% - Accent3 3 2 2 2 2 2" xfId="2554" xr:uid="{00000000-0005-0000-0000-00000E140000}"/>
    <cellStyle name="20% - Accent3 3 2 2 2 2 2 2" xfId="5114" xr:uid="{00000000-0005-0000-0000-00000F140000}"/>
    <cellStyle name="20% - Accent3 3 2 2 2 2 2 2 2" xfId="10234" xr:uid="{00000000-0005-0000-0000-000010140000}"/>
    <cellStyle name="20% - Accent3 3 2 2 2 2 2 2 2 2" xfId="20474" xr:uid="{00000000-0005-0000-0000-000011140000}"/>
    <cellStyle name="20% - Accent3 3 2 2 2 2 2 2 2 2 2" xfId="40954" xr:uid="{00000000-0005-0000-0000-000012140000}"/>
    <cellStyle name="20% - Accent3 3 2 2 2 2 2 2 2 3" xfId="30714" xr:uid="{00000000-0005-0000-0000-000013140000}"/>
    <cellStyle name="20% - Accent3 3 2 2 2 2 2 2 3" xfId="15354" xr:uid="{00000000-0005-0000-0000-000014140000}"/>
    <cellStyle name="20% - Accent3 3 2 2 2 2 2 2 3 2" xfId="35834" xr:uid="{00000000-0005-0000-0000-000015140000}"/>
    <cellStyle name="20% - Accent3 3 2 2 2 2 2 2 4" xfId="25594" xr:uid="{00000000-0005-0000-0000-000016140000}"/>
    <cellStyle name="20% - Accent3 3 2 2 2 2 2 3" xfId="7674" xr:uid="{00000000-0005-0000-0000-000017140000}"/>
    <cellStyle name="20% - Accent3 3 2 2 2 2 2 3 2" xfId="17914" xr:uid="{00000000-0005-0000-0000-000018140000}"/>
    <cellStyle name="20% - Accent3 3 2 2 2 2 2 3 2 2" xfId="38394" xr:uid="{00000000-0005-0000-0000-000019140000}"/>
    <cellStyle name="20% - Accent3 3 2 2 2 2 2 3 3" xfId="28154" xr:uid="{00000000-0005-0000-0000-00001A140000}"/>
    <cellStyle name="20% - Accent3 3 2 2 2 2 2 4" xfId="12794" xr:uid="{00000000-0005-0000-0000-00001B140000}"/>
    <cellStyle name="20% - Accent3 3 2 2 2 2 2 4 2" xfId="33274" xr:uid="{00000000-0005-0000-0000-00001C140000}"/>
    <cellStyle name="20% - Accent3 3 2 2 2 2 2 5" xfId="23034" xr:uid="{00000000-0005-0000-0000-00001D140000}"/>
    <cellStyle name="20% - Accent3 3 2 2 2 2 3" xfId="3834" xr:uid="{00000000-0005-0000-0000-00001E140000}"/>
    <cellStyle name="20% - Accent3 3 2 2 2 2 3 2" xfId="8954" xr:uid="{00000000-0005-0000-0000-00001F140000}"/>
    <cellStyle name="20% - Accent3 3 2 2 2 2 3 2 2" xfId="19194" xr:uid="{00000000-0005-0000-0000-000020140000}"/>
    <cellStyle name="20% - Accent3 3 2 2 2 2 3 2 2 2" xfId="39674" xr:uid="{00000000-0005-0000-0000-000021140000}"/>
    <cellStyle name="20% - Accent3 3 2 2 2 2 3 2 3" xfId="29434" xr:uid="{00000000-0005-0000-0000-000022140000}"/>
    <cellStyle name="20% - Accent3 3 2 2 2 2 3 3" xfId="14074" xr:uid="{00000000-0005-0000-0000-000023140000}"/>
    <cellStyle name="20% - Accent3 3 2 2 2 2 3 3 2" xfId="34554" xr:uid="{00000000-0005-0000-0000-000024140000}"/>
    <cellStyle name="20% - Accent3 3 2 2 2 2 3 4" xfId="24314" xr:uid="{00000000-0005-0000-0000-000025140000}"/>
    <cellStyle name="20% - Accent3 3 2 2 2 2 4" xfId="6394" xr:uid="{00000000-0005-0000-0000-000026140000}"/>
    <cellStyle name="20% - Accent3 3 2 2 2 2 4 2" xfId="16634" xr:uid="{00000000-0005-0000-0000-000027140000}"/>
    <cellStyle name="20% - Accent3 3 2 2 2 2 4 2 2" xfId="37114" xr:uid="{00000000-0005-0000-0000-000028140000}"/>
    <cellStyle name="20% - Accent3 3 2 2 2 2 4 3" xfId="26874" xr:uid="{00000000-0005-0000-0000-000029140000}"/>
    <cellStyle name="20% - Accent3 3 2 2 2 2 5" xfId="11514" xr:uid="{00000000-0005-0000-0000-00002A140000}"/>
    <cellStyle name="20% - Accent3 3 2 2 2 2 5 2" xfId="31994" xr:uid="{00000000-0005-0000-0000-00002B140000}"/>
    <cellStyle name="20% - Accent3 3 2 2 2 2 6" xfId="21754" xr:uid="{00000000-0005-0000-0000-00002C140000}"/>
    <cellStyle name="20% - Accent3 3 2 2 2 3" xfId="1914" xr:uid="{00000000-0005-0000-0000-00002D140000}"/>
    <cellStyle name="20% - Accent3 3 2 2 2 3 2" xfId="4474" xr:uid="{00000000-0005-0000-0000-00002E140000}"/>
    <cellStyle name="20% - Accent3 3 2 2 2 3 2 2" xfId="9594" xr:uid="{00000000-0005-0000-0000-00002F140000}"/>
    <cellStyle name="20% - Accent3 3 2 2 2 3 2 2 2" xfId="19834" xr:uid="{00000000-0005-0000-0000-000030140000}"/>
    <cellStyle name="20% - Accent3 3 2 2 2 3 2 2 2 2" xfId="40314" xr:uid="{00000000-0005-0000-0000-000031140000}"/>
    <cellStyle name="20% - Accent3 3 2 2 2 3 2 2 3" xfId="30074" xr:uid="{00000000-0005-0000-0000-000032140000}"/>
    <cellStyle name="20% - Accent3 3 2 2 2 3 2 3" xfId="14714" xr:uid="{00000000-0005-0000-0000-000033140000}"/>
    <cellStyle name="20% - Accent3 3 2 2 2 3 2 3 2" xfId="35194" xr:uid="{00000000-0005-0000-0000-000034140000}"/>
    <cellStyle name="20% - Accent3 3 2 2 2 3 2 4" xfId="24954" xr:uid="{00000000-0005-0000-0000-000035140000}"/>
    <cellStyle name="20% - Accent3 3 2 2 2 3 3" xfId="7034" xr:uid="{00000000-0005-0000-0000-000036140000}"/>
    <cellStyle name="20% - Accent3 3 2 2 2 3 3 2" xfId="17274" xr:uid="{00000000-0005-0000-0000-000037140000}"/>
    <cellStyle name="20% - Accent3 3 2 2 2 3 3 2 2" xfId="37754" xr:uid="{00000000-0005-0000-0000-000038140000}"/>
    <cellStyle name="20% - Accent3 3 2 2 2 3 3 3" xfId="27514" xr:uid="{00000000-0005-0000-0000-000039140000}"/>
    <cellStyle name="20% - Accent3 3 2 2 2 3 4" xfId="12154" xr:uid="{00000000-0005-0000-0000-00003A140000}"/>
    <cellStyle name="20% - Accent3 3 2 2 2 3 4 2" xfId="32634" xr:uid="{00000000-0005-0000-0000-00003B140000}"/>
    <cellStyle name="20% - Accent3 3 2 2 2 3 5" xfId="22394" xr:uid="{00000000-0005-0000-0000-00003C140000}"/>
    <cellStyle name="20% - Accent3 3 2 2 2 4" xfId="3194" xr:uid="{00000000-0005-0000-0000-00003D140000}"/>
    <cellStyle name="20% - Accent3 3 2 2 2 4 2" xfId="8314" xr:uid="{00000000-0005-0000-0000-00003E140000}"/>
    <cellStyle name="20% - Accent3 3 2 2 2 4 2 2" xfId="18554" xr:uid="{00000000-0005-0000-0000-00003F140000}"/>
    <cellStyle name="20% - Accent3 3 2 2 2 4 2 2 2" xfId="39034" xr:uid="{00000000-0005-0000-0000-000040140000}"/>
    <cellStyle name="20% - Accent3 3 2 2 2 4 2 3" xfId="28794" xr:uid="{00000000-0005-0000-0000-000041140000}"/>
    <cellStyle name="20% - Accent3 3 2 2 2 4 3" xfId="13434" xr:uid="{00000000-0005-0000-0000-000042140000}"/>
    <cellStyle name="20% - Accent3 3 2 2 2 4 3 2" xfId="33914" xr:uid="{00000000-0005-0000-0000-000043140000}"/>
    <cellStyle name="20% - Accent3 3 2 2 2 4 4" xfId="23674" xr:uid="{00000000-0005-0000-0000-000044140000}"/>
    <cellStyle name="20% - Accent3 3 2 2 2 5" xfId="5754" xr:uid="{00000000-0005-0000-0000-000045140000}"/>
    <cellStyle name="20% - Accent3 3 2 2 2 5 2" xfId="15994" xr:uid="{00000000-0005-0000-0000-000046140000}"/>
    <cellStyle name="20% - Accent3 3 2 2 2 5 2 2" xfId="36474" xr:uid="{00000000-0005-0000-0000-000047140000}"/>
    <cellStyle name="20% - Accent3 3 2 2 2 5 3" xfId="26234" xr:uid="{00000000-0005-0000-0000-000048140000}"/>
    <cellStyle name="20% - Accent3 3 2 2 2 6" xfId="10874" xr:uid="{00000000-0005-0000-0000-000049140000}"/>
    <cellStyle name="20% - Accent3 3 2 2 2 6 2" xfId="31354" xr:uid="{00000000-0005-0000-0000-00004A140000}"/>
    <cellStyle name="20% - Accent3 3 2 2 2 7" xfId="21114" xr:uid="{00000000-0005-0000-0000-00004B140000}"/>
    <cellStyle name="20% - Accent3 3 2 2 3" xfId="954" xr:uid="{00000000-0005-0000-0000-00004C140000}"/>
    <cellStyle name="20% - Accent3 3 2 2 3 2" xfId="2234" xr:uid="{00000000-0005-0000-0000-00004D140000}"/>
    <cellStyle name="20% - Accent3 3 2 2 3 2 2" xfId="4794" xr:uid="{00000000-0005-0000-0000-00004E140000}"/>
    <cellStyle name="20% - Accent3 3 2 2 3 2 2 2" xfId="9914" xr:uid="{00000000-0005-0000-0000-00004F140000}"/>
    <cellStyle name="20% - Accent3 3 2 2 3 2 2 2 2" xfId="20154" xr:uid="{00000000-0005-0000-0000-000050140000}"/>
    <cellStyle name="20% - Accent3 3 2 2 3 2 2 2 2 2" xfId="40634" xr:uid="{00000000-0005-0000-0000-000051140000}"/>
    <cellStyle name="20% - Accent3 3 2 2 3 2 2 2 3" xfId="30394" xr:uid="{00000000-0005-0000-0000-000052140000}"/>
    <cellStyle name="20% - Accent3 3 2 2 3 2 2 3" xfId="15034" xr:uid="{00000000-0005-0000-0000-000053140000}"/>
    <cellStyle name="20% - Accent3 3 2 2 3 2 2 3 2" xfId="35514" xr:uid="{00000000-0005-0000-0000-000054140000}"/>
    <cellStyle name="20% - Accent3 3 2 2 3 2 2 4" xfId="25274" xr:uid="{00000000-0005-0000-0000-000055140000}"/>
    <cellStyle name="20% - Accent3 3 2 2 3 2 3" xfId="7354" xr:uid="{00000000-0005-0000-0000-000056140000}"/>
    <cellStyle name="20% - Accent3 3 2 2 3 2 3 2" xfId="17594" xr:uid="{00000000-0005-0000-0000-000057140000}"/>
    <cellStyle name="20% - Accent3 3 2 2 3 2 3 2 2" xfId="38074" xr:uid="{00000000-0005-0000-0000-000058140000}"/>
    <cellStyle name="20% - Accent3 3 2 2 3 2 3 3" xfId="27834" xr:uid="{00000000-0005-0000-0000-000059140000}"/>
    <cellStyle name="20% - Accent3 3 2 2 3 2 4" xfId="12474" xr:uid="{00000000-0005-0000-0000-00005A140000}"/>
    <cellStyle name="20% - Accent3 3 2 2 3 2 4 2" xfId="32954" xr:uid="{00000000-0005-0000-0000-00005B140000}"/>
    <cellStyle name="20% - Accent3 3 2 2 3 2 5" xfId="22714" xr:uid="{00000000-0005-0000-0000-00005C140000}"/>
    <cellStyle name="20% - Accent3 3 2 2 3 3" xfId="3514" xr:uid="{00000000-0005-0000-0000-00005D140000}"/>
    <cellStyle name="20% - Accent3 3 2 2 3 3 2" xfId="8634" xr:uid="{00000000-0005-0000-0000-00005E140000}"/>
    <cellStyle name="20% - Accent3 3 2 2 3 3 2 2" xfId="18874" xr:uid="{00000000-0005-0000-0000-00005F140000}"/>
    <cellStyle name="20% - Accent3 3 2 2 3 3 2 2 2" xfId="39354" xr:uid="{00000000-0005-0000-0000-000060140000}"/>
    <cellStyle name="20% - Accent3 3 2 2 3 3 2 3" xfId="29114" xr:uid="{00000000-0005-0000-0000-000061140000}"/>
    <cellStyle name="20% - Accent3 3 2 2 3 3 3" xfId="13754" xr:uid="{00000000-0005-0000-0000-000062140000}"/>
    <cellStyle name="20% - Accent3 3 2 2 3 3 3 2" xfId="34234" xr:uid="{00000000-0005-0000-0000-000063140000}"/>
    <cellStyle name="20% - Accent3 3 2 2 3 3 4" xfId="23994" xr:uid="{00000000-0005-0000-0000-000064140000}"/>
    <cellStyle name="20% - Accent3 3 2 2 3 4" xfId="6074" xr:uid="{00000000-0005-0000-0000-000065140000}"/>
    <cellStyle name="20% - Accent3 3 2 2 3 4 2" xfId="16314" xr:uid="{00000000-0005-0000-0000-000066140000}"/>
    <cellStyle name="20% - Accent3 3 2 2 3 4 2 2" xfId="36794" xr:uid="{00000000-0005-0000-0000-000067140000}"/>
    <cellStyle name="20% - Accent3 3 2 2 3 4 3" xfId="26554" xr:uid="{00000000-0005-0000-0000-000068140000}"/>
    <cellStyle name="20% - Accent3 3 2 2 3 5" xfId="11194" xr:uid="{00000000-0005-0000-0000-000069140000}"/>
    <cellStyle name="20% - Accent3 3 2 2 3 5 2" xfId="31674" xr:uid="{00000000-0005-0000-0000-00006A140000}"/>
    <cellStyle name="20% - Accent3 3 2 2 3 6" xfId="21434" xr:uid="{00000000-0005-0000-0000-00006B140000}"/>
    <cellStyle name="20% - Accent3 3 2 2 4" xfId="1594" xr:uid="{00000000-0005-0000-0000-00006C140000}"/>
    <cellStyle name="20% - Accent3 3 2 2 4 2" xfId="4154" xr:uid="{00000000-0005-0000-0000-00006D140000}"/>
    <cellStyle name="20% - Accent3 3 2 2 4 2 2" xfId="9274" xr:uid="{00000000-0005-0000-0000-00006E140000}"/>
    <cellStyle name="20% - Accent3 3 2 2 4 2 2 2" xfId="19514" xr:uid="{00000000-0005-0000-0000-00006F140000}"/>
    <cellStyle name="20% - Accent3 3 2 2 4 2 2 2 2" xfId="39994" xr:uid="{00000000-0005-0000-0000-000070140000}"/>
    <cellStyle name="20% - Accent3 3 2 2 4 2 2 3" xfId="29754" xr:uid="{00000000-0005-0000-0000-000071140000}"/>
    <cellStyle name="20% - Accent3 3 2 2 4 2 3" xfId="14394" xr:uid="{00000000-0005-0000-0000-000072140000}"/>
    <cellStyle name="20% - Accent3 3 2 2 4 2 3 2" xfId="34874" xr:uid="{00000000-0005-0000-0000-000073140000}"/>
    <cellStyle name="20% - Accent3 3 2 2 4 2 4" xfId="24634" xr:uid="{00000000-0005-0000-0000-000074140000}"/>
    <cellStyle name="20% - Accent3 3 2 2 4 3" xfId="6714" xr:uid="{00000000-0005-0000-0000-000075140000}"/>
    <cellStyle name="20% - Accent3 3 2 2 4 3 2" xfId="16954" xr:uid="{00000000-0005-0000-0000-000076140000}"/>
    <cellStyle name="20% - Accent3 3 2 2 4 3 2 2" xfId="37434" xr:uid="{00000000-0005-0000-0000-000077140000}"/>
    <cellStyle name="20% - Accent3 3 2 2 4 3 3" xfId="27194" xr:uid="{00000000-0005-0000-0000-000078140000}"/>
    <cellStyle name="20% - Accent3 3 2 2 4 4" xfId="11834" xr:uid="{00000000-0005-0000-0000-000079140000}"/>
    <cellStyle name="20% - Accent3 3 2 2 4 4 2" xfId="32314" xr:uid="{00000000-0005-0000-0000-00007A140000}"/>
    <cellStyle name="20% - Accent3 3 2 2 4 5" xfId="22074" xr:uid="{00000000-0005-0000-0000-00007B140000}"/>
    <cellStyle name="20% - Accent3 3 2 2 5" xfId="2874" xr:uid="{00000000-0005-0000-0000-00007C140000}"/>
    <cellStyle name="20% - Accent3 3 2 2 5 2" xfId="7994" xr:uid="{00000000-0005-0000-0000-00007D140000}"/>
    <cellStyle name="20% - Accent3 3 2 2 5 2 2" xfId="18234" xr:uid="{00000000-0005-0000-0000-00007E140000}"/>
    <cellStyle name="20% - Accent3 3 2 2 5 2 2 2" xfId="38714" xr:uid="{00000000-0005-0000-0000-00007F140000}"/>
    <cellStyle name="20% - Accent3 3 2 2 5 2 3" xfId="28474" xr:uid="{00000000-0005-0000-0000-000080140000}"/>
    <cellStyle name="20% - Accent3 3 2 2 5 3" xfId="13114" xr:uid="{00000000-0005-0000-0000-000081140000}"/>
    <cellStyle name="20% - Accent3 3 2 2 5 3 2" xfId="33594" xr:uid="{00000000-0005-0000-0000-000082140000}"/>
    <cellStyle name="20% - Accent3 3 2 2 5 4" xfId="23354" xr:uid="{00000000-0005-0000-0000-000083140000}"/>
    <cellStyle name="20% - Accent3 3 2 2 6" xfId="5434" xr:uid="{00000000-0005-0000-0000-000084140000}"/>
    <cellStyle name="20% - Accent3 3 2 2 6 2" xfId="15674" xr:uid="{00000000-0005-0000-0000-000085140000}"/>
    <cellStyle name="20% - Accent3 3 2 2 6 2 2" xfId="36154" xr:uid="{00000000-0005-0000-0000-000086140000}"/>
    <cellStyle name="20% - Accent3 3 2 2 6 3" xfId="25914" xr:uid="{00000000-0005-0000-0000-000087140000}"/>
    <cellStyle name="20% - Accent3 3 2 2 7" xfId="10554" xr:uid="{00000000-0005-0000-0000-000088140000}"/>
    <cellStyle name="20% - Accent3 3 2 2 7 2" xfId="31034" xr:uid="{00000000-0005-0000-0000-000089140000}"/>
    <cellStyle name="20% - Accent3 3 2 2 8" xfId="20794" xr:uid="{00000000-0005-0000-0000-00008A140000}"/>
    <cellStyle name="20% - Accent3 3 2 3" xfId="474" xr:uid="{00000000-0005-0000-0000-00008B140000}"/>
    <cellStyle name="20% - Accent3 3 2 3 2" xfId="1114" xr:uid="{00000000-0005-0000-0000-00008C140000}"/>
    <cellStyle name="20% - Accent3 3 2 3 2 2" xfId="2394" xr:uid="{00000000-0005-0000-0000-00008D140000}"/>
    <cellStyle name="20% - Accent3 3 2 3 2 2 2" xfId="4954" xr:uid="{00000000-0005-0000-0000-00008E140000}"/>
    <cellStyle name="20% - Accent3 3 2 3 2 2 2 2" xfId="10074" xr:uid="{00000000-0005-0000-0000-00008F140000}"/>
    <cellStyle name="20% - Accent3 3 2 3 2 2 2 2 2" xfId="20314" xr:uid="{00000000-0005-0000-0000-000090140000}"/>
    <cellStyle name="20% - Accent3 3 2 3 2 2 2 2 2 2" xfId="40794" xr:uid="{00000000-0005-0000-0000-000091140000}"/>
    <cellStyle name="20% - Accent3 3 2 3 2 2 2 2 3" xfId="30554" xr:uid="{00000000-0005-0000-0000-000092140000}"/>
    <cellStyle name="20% - Accent3 3 2 3 2 2 2 3" xfId="15194" xr:uid="{00000000-0005-0000-0000-000093140000}"/>
    <cellStyle name="20% - Accent3 3 2 3 2 2 2 3 2" xfId="35674" xr:uid="{00000000-0005-0000-0000-000094140000}"/>
    <cellStyle name="20% - Accent3 3 2 3 2 2 2 4" xfId="25434" xr:uid="{00000000-0005-0000-0000-000095140000}"/>
    <cellStyle name="20% - Accent3 3 2 3 2 2 3" xfId="7514" xr:uid="{00000000-0005-0000-0000-000096140000}"/>
    <cellStyle name="20% - Accent3 3 2 3 2 2 3 2" xfId="17754" xr:uid="{00000000-0005-0000-0000-000097140000}"/>
    <cellStyle name="20% - Accent3 3 2 3 2 2 3 2 2" xfId="38234" xr:uid="{00000000-0005-0000-0000-000098140000}"/>
    <cellStyle name="20% - Accent3 3 2 3 2 2 3 3" xfId="27994" xr:uid="{00000000-0005-0000-0000-000099140000}"/>
    <cellStyle name="20% - Accent3 3 2 3 2 2 4" xfId="12634" xr:uid="{00000000-0005-0000-0000-00009A140000}"/>
    <cellStyle name="20% - Accent3 3 2 3 2 2 4 2" xfId="33114" xr:uid="{00000000-0005-0000-0000-00009B140000}"/>
    <cellStyle name="20% - Accent3 3 2 3 2 2 5" xfId="22874" xr:uid="{00000000-0005-0000-0000-00009C140000}"/>
    <cellStyle name="20% - Accent3 3 2 3 2 3" xfId="3674" xr:uid="{00000000-0005-0000-0000-00009D140000}"/>
    <cellStyle name="20% - Accent3 3 2 3 2 3 2" xfId="8794" xr:uid="{00000000-0005-0000-0000-00009E140000}"/>
    <cellStyle name="20% - Accent3 3 2 3 2 3 2 2" xfId="19034" xr:uid="{00000000-0005-0000-0000-00009F140000}"/>
    <cellStyle name="20% - Accent3 3 2 3 2 3 2 2 2" xfId="39514" xr:uid="{00000000-0005-0000-0000-0000A0140000}"/>
    <cellStyle name="20% - Accent3 3 2 3 2 3 2 3" xfId="29274" xr:uid="{00000000-0005-0000-0000-0000A1140000}"/>
    <cellStyle name="20% - Accent3 3 2 3 2 3 3" xfId="13914" xr:uid="{00000000-0005-0000-0000-0000A2140000}"/>
    <cellStyle name="20% - Accent3 3 2 3 2 3 3 2" xfId="34394" xr:uid="{00000000-0005-0000-0000-0000A3140000}"/>
    <cellStyle name="20% - Accent3 3 2 3 2 3 4" xfId="24154" xr:uid="{00000000-0005-0000-0000-0000A4140000}"/>
    <cellStyle name="20% - Accent3 3 2 3 2 4" xfId="6234" xr:uid="{00000000-0005-0000-0000-0000A5140000}"/>
    <cellStyle name="20% - Accent3 3 2 3 2 4 2" xfId="16474" xr:uid="{00000000-0005-0000-0000-0000A6140000}"/>
    <cellStyle name="20% - Accent3 3 2 3 2 4 2 2" xfId="36954" xr:uid="{00000000-0005-0000-0000-0000A7140000}"/>
    <cellStyle name="20% - Accent3 3 2 3 2 4 3" xfId="26714" xr:uid="{00000000-0005-0000-0000-0000A8140000}"/>
    <cellStyle name="20% - Accent3 3 2 3 2 5" xfId="11354" xr:uid="{00000000-0005-0000-0000-0000A9140000}"/>
    <cellStyle name="20% - Accent3 3 2 3 2 5 2" xfId="31834" xr:uid="{00000000-0005-0000-0000-0000AA140000}"/>
    <cellStyle name="20% - Accent3 3 2 3 2 6" xfId="21594" xr:uid="{00000000-0005-0000-0000-0000AB140000}"/>
    <cellStyle name="20% - Accent3 3 2 3 3" xfId="1754" xr:uid="{00000000-0005-0000-0000-0000AC140000}"/>
    <cellStyle name="20% - Accent3 3 2 3 3 2" xfId="4314" xr:uid="{00000000-0005-0000-0000-0000AD140000}"/>
    <cellStyle name="20% - Accent3 3 2 3 3 2 2" xfId="9434" xr:uid="{00000000-0005-0000-0000-0000AE140000}"/>
    <cellStyle name="20% - Accent3 3 2 3 3 2 2 2" xfId="19674" xr:uid="{00000000-0005-0000-0000-0000AF140000}"/>
    <cellStyle name="20% - Accent3 3 2 3 3 2 2 2 2" xfId="40154" xr:uid="{00000000-0005-0000-0000-0000B0140000}"/>
    <cellStyle name="20% - Accent3 3 2 3 3 2 2 3" xfId="29914" xr:uid="{00000000-0005-0000-0000-0000B1140000}"/>
    <cellStyle name="20% - Accent3 3 2 3 3 2 3" xfId="14554" xr:uid="{00000000-0005-0000-0000-0000B2140000}"/>
    <cellStyle name="20% - Accent3 3 2 3 3 2 3 2" xfId="35034" xr:uid="{00000000-0005-0000-0000-0000B3140000}"/>
    <cellStyle name="20% - Accent3 3 2 3 3 2 4" xfId="24794" xr:uid="{00000000-0005-0000-0000-0000B4140000}"/>
    <cellStyle name="20% - Accent3 3 2 3 3 3" xfId="6874" xr:uid="{00000000-0005-0000-0000-0000B5140000}"/>
    <cellStyle name="20% - Accent3 3 2 3 3 3 2" xfId="17114" xr:uid="{00000000-0005-0000-0000-0000B6140000}"/>
    <cellStyle name="20% - Accent3 3 2 3 3 3 2 2" xfId="37594" xr:uid="{00000000-0005-0000-0000-0000B7140000}"/>
    <cellStyle name="20% - Accent3 3 2 3 3 3 3" xfId="27354" xr:uid="{00000000-0005-0000-0000-0000B8140000}"/>
    <cellStyle name="20% - Accent3 3 2 3 3 4" xfId="11994" xr:uid="{00000000-0005-0000-0000-0000B9140000}"/>
    <cellStyle name="20% - Accent3 3 2 3 3 4 2" xfId="32474" xr:uid="{00000000-0005-0000-0000-0000BA140000}"/>
    <cellStyle name="20% - Accent3 3 2 3 3 5" xfId="22234" xr:uid="{00000000-0005-0000-0000-0000BB140000}"/>
    <cellStyle name="20% - Accent3 3 2 3 4" xfId="3034" xr:uid="{00000000-0005-0000-0000-0000BC140000}"/>
    <cellStyle name="20% - Accent3 3 2 3 4 2" xfId="8154" xr:uid="{00000000-0005-0000-0000-0000BD140000}"/>
    <cellStyle name="20% - Accent3 3 2 3 4 2 2" xfId="18394" xr:uid="{00000000-0005-0000-0000-0000BE140000}"/>
    <cellStyle name="20% - Accent3 3 2 3 4 2 2 2" xfId="38874" xr:uid="{00000000-0005-0000-0000-0000BF140000}"/>
    <cellStyle name="20% - Accent3 3 2 3 4 2 3" xfId="28634" xr:uid="{00000000-0005-0000-0000-0000C0140000}"/>
    <cellStyle name="20% - Accent3 3 2 3 4 3" xfId="13274" xr:uid="{00000000-0005-0000-0000-0000C1140000}"/>
    <cellStyle name="20% - Accent3 3 2 3 4 3 2" xfId="33754" xr:uid="{00000000-0005-0000-0000-0000C2140000}"/>
    <cellStyle name="20% - Accent3 3 2 3 4 4" xfId="23514" xr:uid="{00000000-0005-0000-0000-0000C3140000}"/>
    <cellStyle name="20% - Accent3 3 2 3 5" xfId="5594" xr:uid="{00000000-0005-0000-0000-0000C4140000}"/>
    <cellStyle name="20% - Accent3 3 2 3 5 2" xfId="15834" xr:uid="{00000000-0005-0000-0000-0000C5140000}"/>
    <cellStyle name="20% - Accent3 3 2 3 5 2 2" xfId="36314" xr:uid="{00000000-0005-0000-0000-0000C6140000}"/>
    <cellStyle name="20% - Accent3 3 2 3 5 3" xfId="26074" xr:uid="{00000000-0005-0000-0000-0000C7140000}"/>
    <cellStyle name="20% - Accent3 3 2 3 6" xfId="10714" xr:uid="{00000000-0005-0000-0000-0000C8140000}"/>
    <cellStyle name="20% - Accent3 3 2 3 6 2" xfId="31194" xr:uid="{00000000-0005-0000-0000-0000C9140000}"/>
    <cellStyle name="20% - Accent3 3 2 3 7" xfId="20954" xr:uid="{00000000-0005-0000-0000-0000CA140000}"/>
    <cellStyle name="20% - Accent3 3 2 4" xfId="794" xr:uid="{00000000-0005-0000-0000-0000CB140000}"/>
    <cellStyle name="20% - Accent3 3 2 4 2" xfId="2074" xr:uid="{00000000-0005-0000-0000-0000CC140000}"/>
    <cellStyle name="20% - Accent3 3 2 4 2 2" xfId="4634" xr:uid="{00000000-0005-0000-0000-0000CD140000}"/>
    <cellStyle name="20% - Accent3 3 2 4 2 2 2" xfId="9754" xr:uid="{00000000-0005-0000-0000-0000CE140000}"/>
    <cellStyle name="20% - Accent3 3 2 4 2 2 2 2" xfId="19994" xr:uid="{00000000-0005-0000-0000-0000CF140000}"/>
    <cellStyle name="20% - Accent3 3 2 4 2 2 2 2 2" xfId="40474" xr:uid="{00000000-0005-0000-0000-0000D0140000}"/>
    <cellStyle name="20% - Accent3 3 2 4 2 2 2 3" xfId="30234" xr:uid="{00000000-0005-0000-0000-0000D1140000}"/>
    <cellStyle name="20% - Accent3 3 2 4 2 2 3" xfId="14874" xr:uid="{00000000-0005-0000-0000-0000D2140000}"/>
    <cellStyle name="20% - Accent3 3 2 4 2 2 3 2" xfId="35354" xr:uid="{00000000-0005-0000-0000-0000D3140000}"/>
    <cellStyle name="20% - Accent3 3 2 4 2 2 4" xfId="25114" xr:uid="{00000000-0005-0000-0000-0000D4140000}"/>
    <cellStyle name="20% - Accent3 3 2 4 2 3" xfId="7194" xr:uid="{00000000-0005-0000-0000-0000D5140000}"/>
    <cellStyle name="20% - Accent3 3 2 4 2 3 2" xfId="17434" xr:uid="{00000000-0005-0000-0000-0000D6140000}"/>
    <cellStyle name="20% - Accent3 3 2 4 2 3 2 2" xfId="37914" xr:uid="{00000000-0005-0000-0000-0000D7140000}"/>
    <cellStyle name="20% - Accent3 3 2 4 2 3 3" xfId="27674" xr:uid="{00000000-0005-0000-0000-0000D8140000}"/>
    <cellStyle name="20% - Accent3 3 2 4 2 4" xfId="12314" xr:uid="{00000000-0005-0000-0000-0000D9140000}"/>
    <cellStyle name="20% - Accent3 3 2 4 2 4 2" xfId="32794" xr:uid="{00000000-0005-0000-0000-0000DA140000}"/>
    <cellStyle name="20% - Accent3 3 2 4 2 5" xfId="22554" xr:uid="{00000000-0005-0000-0000-0000DB140000}"/>
    <cellStyle name="20% - Accent3 3 2 4 3" xfId="3354" xr:uid="{00000000-0005-0000-0000-0000DC140000}"/>
    <cellStyle name="20% - Accent3 3 2 4 3 2" xfId="8474" xr:uid="{00000000-0005-0000-0000-0000DD140000}"/>
    <cellStyle name="20% - Accent3 3 2 4 3 2 2" xfId="18714" xr:uid="{00000000-0005-0000-0000-0000DE140000}"/>
    <cellStyle name="20% - Accent3 3 2 4 3 2 2 2" xfId="39194" xr:uid="{00000000-0005-0000-0000-0000DF140000}"/>
    <cellStyle name="20% - Accent3 3 2 4 3 2 3" xfId="28954" xr:uid="{00000000-0005-0000-0000-0000E0140000}"/>
    <cellStyle name="20% - Accent3 3 2 4 3 3" xfId="13594" xr:uid="{00000000-0005-0000-0000-0000E1140000}"/>
    <cellStyle name="20% - Accent3 3 2 4 3 3 2" xfId="34074" xr:uid="{00000000-0005-0000-0000-0000E2140000}"/>
    <cellStyle name="20% - Accent3 3 2 4 3 4" xfId="23834" xr:uid="{00000000-0005-0000-0000-0000E3140000}"/>
    <cellStyle name="20% - Accent3 3 2 4 4" xfId="5914" xr:uid="{00000000-0005-0000-0000-0000E4140000}"/>
    <cellStyle name="20% - Accent3 3 2 4 4 2" xfId="16154" xr:uid="{00000000-0005-0000-0000-0000E5140000}"/>
    <cellStyle name="20% - Accent3 3 2 4 4 2 2" xfId="36634" xr:uid="{00000000-0005-0000-0000-0000E6140000}"/>
    <cellStyle name="20% - Accent3 3 2 4 4 3" xfId="26394" xr:uid="{00000000-0005-0000-0000-0000E7140000}"/>
    <cellStyle name="20% - Accent3 3 2 4 5" xfId="11034" xr:uid="{00000000-0005-0000-0000-0000E8140000}"/>
    <cellStyle name="20% - Accent3 3 2 4 5 2" xfId="31514" xr:uid="{00000000-0005-0000-0000-0000E9140000}"/>
    <cellStyle name="20% - Accent3 3 2 4 6" xfId="21274" xr:uid="{00000000-0005-0000-0000-0000EA140000}"/>
    <cellStyle name="20% - Accent3 3 2 5" xfId="1434" xr:uid="{00000000-0005-0000-0000-0000EB140000}"/>
    <cellStyle name="20% - Accent3 3 2 5 2" xfId="3994" xr:uid="{00000000-0005-0000-0000-0000EC140000}"/>
    <cellStyle name="20% - Accent3 3 2 5 2 2" xfId="9114" xr:uid="{00000000-0005-0000-0000-0000ED140000}"/>
    <cellStyle name="20% - Accent3 3 2 5 2 2 2" xfId="19354" xr:uid="{00000000-0005-0000-0000-0000EE140000}"/>
    <cellStyle name="20% - Accent3 3 2 5 2 2 2 2" xfId="39834" xr:uid="{00000000-0005-0000-0000-0000EF140000}"/>
    <cellStyle name="20% - Accent3 3 2 5 2 2 3" xfId="29594" xr:uid="{00000000-0005-0000-0000-0000F0140000}"/>
    <cellStyle name="20% - Accent3 3 2 5 2 3" xfId="14234" xr:uid="{00000000-0005-0000-0000-0000F1140000}"/>
    <cellStyle name="20% - Accent3 3 2 5 2 3 2" xfId="34714" xr:uid="{00000000-0005-0000-0000-0000F2140000}"/>
    <cellStyle name="20% - Accent3 3 2 5 2 4" xfId="24474" xr:uid="{00000000-0005-0000-0000-0000F3140000}"/>
    <cellStyle name="20% - Accent3 3 2 5 3" xfId="6554" xr:uid="{00000000-0005-0000-0000-0000F4140000}"/>
    <cellStyle name="20% - Accent3 3 2 5 3 2" xfId="16794" xr:uid="{00000000-0005-0000-0000-0000F5140000}"/>
    <cellStyle name="20% - Accent3 3 2 5 3 2 2" xfId="37274" xr:uid="{00000000-0005-0000-0000-0000F6140000}"/>
    <cellStyle name="20% - Accent3 3 2 5 3 3" xfId="27034" xr:uid="{00000000-0005-0000-0000-0000F7140000}"/>
    <cellStyle name="20% - Accent3 3 2 5 4" xfId="11674" xr:uid="{00000000-0005-0000-0000-0000F8140000}"/>
    <cellStyle name="20% - Accent3 3 2 5 4 2" xfId="32154" xr:uid="{00000000-0005-0000-0000-0000F9140000}"/>
    <cellStyle name="20% - Accent3 3 2 5 5" xfId="21914" xr:uid="{00000000-0005-0000-0000-0000FA140000}"/>
    <cellStyle name="20% - Accent3 3 2 6" xfId="2714" xr:uid="{00000000-0005-0000-0000-0000FB140000}"/>
    <cellStyle name="20% - Accent3 3 2 6 2" xfId="7834" xr:uid="{00000000-0005-0000-0000-0000FC140000}"/>
    <cellStyle name="20% - Accent3 3 2 6 2 2" xfId="18074" xr:uid="{00000000-0005-0000-0000-0000FD140000}"/>
    <cellStyle name="20% - Accent3 3 2 6 2 2 2" xfId="38554" xr:uid="{00000000-0005-0000-0000-0000FE140000}"/>
    <cellStyle name="20% - Accent3 3 2 6 2 3" xfId="28314" xr:uid="{00000000-0005-0000-0000-0000FF140000}"/>
    <cellStyle name="20% - Accent3 3 2 6 3" xfId="12954" xr:uid="{00000000-0005-0000-0000-000000150000}"/>
    <cellStyle name="20% - Accent3 3 2 6 3 2" xfId="33434" xr:uid="{00000000-0005-0000-0000-000001150000}"/>
    <cellStyle name="20% - Accent3 3 2 6 4" xfId="23194" xr:uid="{00000000-0005-0000-0000-000002150000}"/>
    <cellStyle name="20% - Accent3 3 2 7" xfId="5274" xr:uid="{00000000-0005-0000-0000-000003150000}"/>
    <cellStyle name="20% - Accent3 3 2 7 2" xfId="15514" xr:uid="{00000000-0005-0000-0000-000004150000}"/>
    <cellStyle name="20% - Accent3 3 2 7 2 2" xfId="35994" xr:uid="{00000000-0005-0000-0000-000005150000}"/>
    <cellStyle name="20% - Accent3 3 2 7 3" xfId="25754" xr:uid="{00000000-0005-0000-0000-000006150000}"/>
    <cellStyle name="20% - Accent3 3 2 8" xfId="10394" xr:uid="{00000000-0005-0000-0000-000007150000}"/>
    <cellStyle name="20% - Accent3 3 2 8 2" xfId="30874" xr:uid="{00000000-0005-0000-0000-000008150000}"/>
    <cellStyle name="20% - Accent3 3 2 9" xfId="20634" xr:uid="{00000000-0005-0000-0000-000009150000}"/>
    <cellStyle name="20% - Accent3 3 3" xfId="234" xr:uid="{00000000-0005-0000-0000-00000A150000}"/>
    <cellStyle name="20% - Accent3 3 3 2" xfId="554" xr:uid="{00000000-0005-0000-0000-00000B150000}"/>
    <cellStyle name="20% - Accent3 3 3 2 2" xfId="1194" xr:uid="{00000000-0005-0000-0000-00000C150000}"/>
    <cellStyle name="20% - Accent3 3 3 2 2 2" xfId="2474" xr:uid="{00000000-0005-0000-0000-00000D150000}"/>
    <cellStyle name="20% - Accent3 3 3 2 2 2 2" xfId="5034" xr:uid="{00000000-0005-0000-0000-00000E150000}"/>
    <cellStyle name="20% - Accent3 3 3 2 2 2 2 2" xfId="10154" xr:uid="{00000000-0005-0000-0000-00000F150000}"/>
    <cellStyle name="20% - Accent3 3 3 2 2 2 2 2 2" xfId="20394" xr:uid="{00000000-0005-0000-0000-000010150000}"/>
    <cellStyle name="20% - Accent3 3 3 2 2 2 2 2 2 2" xfId="40874" xr:uid="{00000000-0005-0000-0000-000011150000}"/>
    <cellStyle name="20% - Accent3 3 3 2 2 2 2 2 3" xfId="30634" xr:uid="{00000000-0005-0000-0000-000012150000}"/>
    <cellStyle name="20% - Accent3 3 3 2 2 2 2 3" xfId="15274" xr:uid="{00000000-0005-0000-0000-000013150000}"/>
    <cellStyle name="20% - Accent3 3 3 2 2 2 2 3 2" xfId="35754" xr:uid="{00000000-0005-0000-0000-000014150000}"/>
    <cellStyle name="20% - Accent3 3 3 2 2 2 2 4" xfId="25514" xr:uid="{00000000-0005-0000-0000-000015150000}"/>
    <cellStyle name="20% - Accent3 3 3 2 2 2 3" xfId="7594" xr:uid="{00000000-0005-0000-0000-000016150000}"/>
    <cellStyle name="20% - Accent3 3 3 2 2 2 3 2" xfId="17834" xr:uid="{00000000-0005-0000-0000-000017150000}"/>
    <cellStyle name="20% - Accent3 3 3 2 2 2 3 2 2" xfId="38314" xr:uid="{00000000-0005-0000-0000-000018150000}"/>
    <cellStyle name="20% - Accent3 3 3 2 2 2 3 3" xfId="28074" xr:uid="{00000000-0005-0000-0000-000019150000}"/>
    <cellStyle name="20% - Accent3 3 3 2 2 2 4" xfId="12714" xr:uid="{00000000-0005-0000-0000-00001A150000}"/>
    <cellStyle name="20% - Accent3 3 3 2 2 2 4 2" xfId="33194" xr:uid="{00000000-0005-0000-0000-00001B150000}"/>
    <cellStyle name="20% - Accent3 3 3 2 2 2 5" xfId="22954" xr:uid="{00000000-0005-0000-0000-00001C150000}"/>
    <cellStyle name="20% - Accent3 3 3 2 2 3" xfId="3754" xr:uid="{00000000-0005-0000-0000-00001D150000}"/>
    <cellStyle name="20% - Accent3 3 3 2 2 3 2" xfId="8874" xr:uid="{00000000-0005-0000-0000-00001E150000}"/>
    <cellStyle name="20% - Accent3 3 3 2 2 3 2 2" xfId="19114" xr:uid="{00000000-0005-0000-0000-00001F150000}"/>
    <cellStyle name="20% - Accent3 3 3 2 2 3 2 2 2" xfId="39594" xr:uid="{00000000-0005-0000-0000-000020150000}"/>
    <cellStyle name="20% - Accent3 3 3 2 2 3 2 3" xfId="29354" xr:uid="{00000000-0005-0000-0000-000021150000}"/>
    <cellStyle name="20% - Accent3 3 3 2 2 3 3" xfId="13994" xr:uid="{00000000-0005-0000-0000-000022150000}"/>
    <cellStyle name="20% - Accent3 3 3 2 2 3 3 2" xfId="34474" xr:uid="{00000000-0005-0000-0000-000023150000}"/>
    <cellStyle name="20% - Accent3 3 3 2 2 3 4" xfId="24234" xr:uid="{00000000-0005-0000-0000-000024150000}"/>
    <cellStyle name="20% - Accent3 3 3 2 2 4" xfId="6314" xr:uid="{00000000-0005-0000-0000-000025150000}"/>
    <cellStyle name="20% - Accent3 3 3 2 2 4 2" xfId="16554" xr:uid="{00000000-0005-0000-0000-000026150000}"/>
    <cellStyle name="20% - Accent3 3 3 2 2 4 2 2" xfId="37034" xr:uid="{00000000-0005-0000-0000-000027150000}"/>
    <cellStyle name="20% - Accent3 3 3 2 2 4 3" xfId="26794" xr:uid="{00000000-0005-0000-0000-000028150000}"/>
    <cellStyle name="20% - Accent3 3 3 2 2 5" xfId="11434" xr:uid="{00000000-0005-0000-0000-000029150000}"/>
    <cellStyle name="20% - Accent3 3 3 2 2 5 2" xfId="31914" xr:uid="{00000000-0005-0000-0000-00002A150000}"/>
    <cellStyle name="20% - Accent3 3 3 2 2 6" xfId="21674" xr:uid="{00000000-0005-0000-0000-00002B150000}"/>
    <cellStyle name="20% - Accent3 3 3 2 3" xfId="1834" xr:uid="{00000000-0005-0000-0000-00002C150000}"/>
    <cellStyle name="20% - Accent3 3 3 2 3 2" xfId="4394" xr:uid="{00000000-0005-0000-0000-00002D150000}"/>
    <cellStyle name="20% - Accent3 3 3 2 3 2 2" xfId="9514" xr:uid="{00000000-0005-0000-0000-00002E150000}"/>
    <cellStyle name="20% - Accent3 3 3 2 3 2 2 2" xfId="19754" xr:uid="{00000000-0005-0000-0000-00002F150000}"/>
    <cellStyle name="20% - Accent3 3 3 2 3 2 2 2 2" xfId="40234" xr:uid="{00000000-0005-0000-0000-000030150000}"/>
    <cellStyle name="20% - Accent3 3 3 2 3 2 2 3" xfId="29994" xr:uid="{00000000-0005-0000-0000-000031150000}"/>
    <cellStyle name="20% - Accent3 3 3 2 3 2 3" xfId="14634" xr:uid="{00000000-0005-0000-0000-000032150000}"/>
    <cellStyle name="20% - Accent3 3 3 2 3 2 3 2" xfId="35114" xr:uid="{00000000-0005-0000-0000-000033150000}"/>
    <cellStyle name="20% - Accent3 3 3 2 3 2 4" xfId="24874" xr:uid="{00000000-0005-0000-0000-000034150000}"/>
    <cellStyle name="20% - Accent3 3 3 2 3 3" xfId="6954" xr:uid="{00000000-0005-0000-0000-000035150000}"/>
    <cellStyle name="20% - Accent3 3 3 2 3 3 2" xfId="17194" xr:uid="{00000000-0005-0000-0000-000036150000}"/>
    <cellStyle name="20% - Accent3 3 3 2 3 3 2 2" xfId="37674" xr:uid="{00000000-0005-0000-0000-000037150000}"/>
    <cellStyle name="20% - Accent3 3 3 2 3 3 3" xfId="27434" xr:uid="{00000000-0005-0000-0000-000038150000}"/>
    <cellStyle name="20% - Accent3 3 3 2 3 4" xfId="12074" xr:uid="{00000000-0005-0000-0000-000039150000}"/>
    <cellStyle name="20% - Accent3 3 3 2 3 4 2" xfId="32554" xr:uid="{00000000-0005-0000-0000-00003A150000}"/>
    <cellStyle name="20% - Accent3 3 3 2 3 5" xfId="22314" xr:uid="{00000000-0005-0000-0000-00003B150000}"/>
    <cellStyle name="20% - Accent3 3 3 2 4" xfId="3114" xr:uid="{00000000-0005-0000-0000-00003C150000}"/>
    <cellStyle name="20% - Accent3 3 3 2 4 2" xfId="8234" xr:uid="{00000000-0005-0000-0000-00003D150000}"/>
    <cellStyle name="20% - Accent3 3 3 2 4 2 2" xfId="18474" xr:uid="{00000000-0005-0000-0000-00003E150000}"/>
    <cellStyle name="20% - Accent3 3 3 2 4 2 2 2" xfId="38954" xr:uid="{00000000-0005-0000-0000-00003F150000}"/>
    <cellStyle name="20% - Accent3 3 3 2 4 2 3" xfId="28714" xr:uid="{00000000-0005-0000-0000-000040150000}"/>
    <cellStyle name="20% - Accent3 3 3 2 4 3" xfId="13354" xr:uid="{00000000-0005-0000-0000-000041150000}"/>
    <cellStyle name="20% - Accent3 3 3 2 4 3 2" xfId="33834" xr:uid="{00000000-0005-0000-0000-000042150000}"/>
    <cellStyle name="20% - Accent3 3 3 2 4 4" xfId="23594" xr:uid="{00000000-0005-0000-0000-000043150000}"/>
    <cellStyle name="20% - Accent3 3 3 2 5" xfId="5674" xr:uid="{00000000-0005-0000-0000-000044150000}"/>
    <cellStyle name="20% - Accent3 3 3 2 5 2" xfId="15914" xr:uid="{00000000-0005-0000-0000-000045150000}"/>
    <cellStyle name="20% - Accent3 3 3 2 5 2 2" xfId="36394" xr:uid="{00000000-0005-0000-0000-000046150000}"/>
    <cellStyle name="20% - Accent3 3 3 2 5 3" xfId="26154" xr:uid="{00000000-0005-0000-0000-000047150000}"/>
    <cellStyle name="20% - Accent3 3 3 2 6" xfId="10794" xr:uid="{00000000-0005-0000-0000-000048150000}"/>
    <cellStyle name="20% - Accent3 3 3 2 6 2" xfId="31274" xr:uid="{00000000-0005-0000-0000-000049150000}"/>
    <cellStyle name="20% - Accent3 3 3 2 7" xfId="21034" xr:uid="{00000000-0005-0000-0000-00004A150000}"/>
    <cellStyle name="20% - Accent3 3 3 3" xfId="874" xr:uid="{00000000-0005-0000-0000-00004B150000}"/>
    <cellStyle name="20% - Accent3 3 3 3 2" xfId="2154" xr:uid="{00000000-0005-0000-0000-00004C150000}"/>
    <cellStyle name="20% - Accent3 3 3 3 2 2" xfId="4714" xr:uid="{00000000-0005-0000-0000-00004D150000}"/>
    <cellStyle name="20% - Accent3 3 3 3 2 2 2" xfId="9834" xr:uid="{00000000-0005-0000-0000-00004E150000}"/>
    <cellStyle name="20% - Accent3 3 3 3 2 2 2 2" xfId="20074" xr:uid="{00000000-0005-0000-0000-00004F150000}"/>
    <cellStyle name="20% - Accent3 3 3 3 2 2 2 2 2" xfId="40554" xr:uid="{00000000-0005-0000-0000-000050150000}"/>
    <cellStyle name="20% - Accent3 3 3 3 2 2 2 3" xfId="30314" xr:uid="{00000000-0005-0000-0000-000051150000}"/>
    <cellStyle name="20% - Accent3 3 3 3 2 2 3" xfId="14954" xr:uid="{00000000-0005-0000-0000-000052150000}"/>
    <cellStyle name="20% - Accent3 3 3 3 2 2 3 2" xfId="35434" xr:uid="{00000000-0005-0000-0000-000053150000}"/>
    <cellStyle name="20% - Accent3 3 3 3 2 2 4" xfId="25194" xr:uid="{00000000-0005-0000-0000-000054150000}"/>
    <cellStyle name="20% - Accent3 3 3 3 2 3" xfId="7274" xr:uid="{00000000-0005-0000-0000-000055150000}"/>
    <cellStyle name="20% - Accent3 3 3 3 2 3 2" xfId="17514" xr:uid="{00000000-0005-0000-0000-000056150000}"/>
    <cellStyle name="20% - Accent3 3 3 3 2 3 2 2" xfId="37994" xr:uid="{00000000-0005-0000-0000-000057150000}"/>
    <cellStyle name="20% - Accent3 3 3 3 2 3 3" xfId="27754" xr:uid="{00000000-0005-0000-0000-000058150000}"/>
    <cellStyle name="20% - Accent3 3 3 3 2 4" xfId="12394" xr:uid="{00000000-0005-0000-0000-000059150000}"/>
    <cellStyle name="20% - Accent3 3 3 3 2 4 2" xfId="32874" xr:uid="{00000000-0005-0000-0000-00005A150000}"/>
    <cellStyle name="20% - Accent3 3 3 3 2 5" xfId="22634" xr:uid="{00000000-0005-0000-0000-00005B150000}"/>
    <cellStyle name="20% - Accent3 3 3 3 3" xfId="3434" xr:uid="{00000000-0005-0000-0000-00005C150000}"/>
    <cellStyle name="20% - Accent3 3 3 3 3 2" xfId="8554" xr:uid="{00000000-0005-0000-0000-00005D150000}"/>
    <cellStyle name="20% - Accent3 3 3 3 3 2 2" xfId="18794" xr:uid="{00000000-0005-0000-0000-00005E150000}"/>
    <cellStyle name="20% - Accent3 3 3 3 3 2 2 2" xfId="39274" xr:uid="{00000000-0005-0000-0000-00005F150000}"/>
    <cellStyle name="20% - Accent3 3 3 3 3 2 3" xfId="29034" xr:uid="{00000000-0005-0000-0000-000060150000}"/>
    <cellStyle name="20% - Accent3 3 3 3 3 3" xfId="13674" xr:uid="{00000000-0005-0000-0000-000061150000}"/>
    <cellStyle name="20% - Accent3 3 3 3 3 3 2" xfId="34154" xr:uid="{00000000-0005-0000-0000-000062150000}"/>
    <cellStyle name="20% - Accent3 3 3 3 3 4" xfId="23914" xr:uid="{00000000-0005-0000-0000-000063150000}"/>
    <cellStyle name="20% - Accent3 3 3 3 4" xfId="5994" xr:uid="{00000000-0005-0000-0000-000064150000}"/>
    <cellStyle name="20% - Accent3 3 3 3 4 2" xfId="16234" xr:uid="{00000000-0005-0000-0000-000065150000}"/>
    <cellStyle name="20% - Accent3 3 3 3 4 2 2" xfId="36714" xr:uid="{00000000-0005-0000-0000-000066150000}"/>
    <cellStyle name="20% - Accent3 3 3 3 4 3" xfId="26474" xr:uid="{00000000-0005-0000-0000-000067150000}"/>
    <cellStyle name="20% - Accent3 3 3 3 5" xfId="11114" xr:uid="{00000000-0005-0000-0000-000068150000}"/>
    <cellStyle name="20% - Accent3 3 3 3 5 2" xfId="31594" xr:uid="{00000000-0005-0000-0000-000069150000}"/>
    <cellStyle name="20% - Accent3 3 3 3 6" xfId="21354" xr:uid="{00000000-0005-0000-0000-00006A150000}"/>
    <cellStyle name="20% - Accent3 3 3 4" xfId="1514" xr:uid="{00000000-0005-0000-0000-00006B150000}"/>
    <cellStyle name="20% - Accent3 3 3 4 2" xfId="4074" xr:uid="{00000000-0005-0000-0000-00006C150000}"/>
    <cellStyle name="20% - Accent3 3 3 4 2 2" xfId="9194" xr:uid="{00000000-0005-0000-0000-00006D150000}"/>
    <cellStyle name="20% - Accent3 3 3 4 2 2 2" xfId="19434" xr:uid="{00000000-0005-0000-0000-00006E150000}"/>
    <cellStyle name="20% - Accent3 3 3 4 2 2 2 2" xfId="39914" xr:uid="{00000000-0005-0000-0000-00006F150000}"/>
    <cellStyle name="20% - Accent3 3 3 4 2 2 3" xfId="29674" xr:uid="{00000000-0005-0000-0000-000070150000}"/>
    <cellStyle name="20% - Accent3 3 3 4 2 3" xfId="14314" xr:uid="{00000000-0005-0000-0000-000071150000}"/>
    <cellStyle name="20% - Accent3 3 3 4 2 3 2" xfId="34794" xr:uid="{00000000-0005-0000-0000-000072150000}"/>
    <cellStyle name="20% - Accent3 3 3 4 2 4" xfId="24554" xr:uid="{00000000-0005-0000-0000-000073150000}"/>
    <cellStyle name="20% - Accent3 3 3 4 3" xfId="6634" xr:uid="{00000000-0005-0000-0000-000074150000}"/>
    <cellStyle name="20% - Accent3 3 3 4 3 2" xfId="16874" xr:uid="{00000000-0005-0000-0000-000075150000}"/>
    <cellStyle name="20% - Accent3 3 3 4 3 2 2" xfId="37354" xr:uid="{00000000-0005-0000-0000-000076150000}"/>
    <cellStyle name="20% - Accent3 3 3 4 3 3" xfId="27114" xr:uid="{00000000-0005-0000-0000-000077150000}"/>
    <cellStyle name="20% - Accent3 3 3 4 4" xfId="11754" xr:uid="{00000000-0005-0000-0000-000078150000}"/>
    <cellStyle name="20% - Accent3 3 3 4 4 2" xfId="32234" xr:uid="{00000000-0005-0000-0000-000079150000}"/>
    <cellStyle name="20% - Accent3 3 3 4 5" xfId="21994" xr:uid="{00000000-0005-0000-0000-00007A150000}"/>
    <cellStyle name="20% - Accent3 3 3 5" xfId="2794" xr:uid="{00000000-0005-0000-0000-00007B150000}"/>
    <cellStyle name="20% - Accent3 3 3 5 2" xfId="7914" xr:uid="{00000000-0005-0000-0000-00007C150000}"/>
    <cellStyle name="20% - Accent3 3 3 5 2 2" xfId="18154" xr:uid="{00000000-0005-0000-0000-00007D150000}"/>
    <cellStyle name="20% - Accent3 3 3 5 2 2 2" xfId="38634" xr:uid="{00000000-0005-0000-0000-00007E150000}"/>
    <cellStyle name="20% - Accent3 3 3 5 2 3" xfId="28394" xr:uid="{00000000-0005-0000-0000-00007F150000}"/>
    <cellStyle name="20% - Accent3 3 3 5 3" xfId="13034" xr:uid="{00000000-0005-0000-0000-000080150000}"/>
    <cellStyle name="20% - Accent3 3 3 5 3 2" xfId="33514" xr:uid="{00000000-0005-0000-0000-000081150000}"/>
    <cellStyle name="20% - Accent3 3 3 5 4" xfId="23274" xr:uid="{00000000-0005-0000-0000-000082150000}"/>
    <cellStyle name="20% - Accent3 3 3 6" xfId="5354" xr:uid="{00000000-0005-0000-0000-000083150000}"/>
    <cellStyle name="20% - Accent3 3 3 6 2" xfId="15594" xr:uid="{00000000-0005-0000-0000-000084150000}"/>
    <cellStyle name="20% - Accent3 3 3 6 2 2" xfId="36074" xr:uid="{00000000-0005-0000-0000-000085150000}"/>
    <cellStyle name="20% - Accent3 3 3 6 3" xfId="25834" xr:uid="{00000000-0005-0000-0000-000086150000}"/>
    <cellStyle name="20% - Accent3 3 3 7" xfId="10474" xr:uid="{00000000-0005-0000-0000-000087150000}"/>
    <cellStyle name="20% - Accent3 3 3 7 2" xfId="30954" xr:uid="{00000000-0005-0000-0000-000088150000}"/>
    <cellStyle name="20% - Accent3 3 3 8" xfId="20714" xr:uid="{00000000-0005-0000-0000-000089150000}"/>
    <cellStyle name="20% - Accent3 3 4" xfId="394" xr:uid="{00000000-0005-0000-0000-00008A150000}"/>
    <cellStyle name="20% - Accent3 3 4 2" xfId="1034" xr:uid="{00000000-0005-0000-0000-00008B150000}"/>
    <cellStyle name="20% - Accent3 3 4 2 2" xfId="2314" xr:uid="{00000000-0005-0000-0000-00008C150000}"/>
    <cellStyle name="20% - Accent3 3 4 2 2 2" xfId="4874" xr:uid="{00000000-0005-0000-0000-00008D150000}"/>
    <cellStyle name="20% - Accent3 3 4 2 2 2 2" xfId="9994" xr:uid="{00000000-0005-0000-0000-00008E150000}"/>
    <cellStyle name="20% - Accent3 3 4 2 2 2 2 2" xfId="20234" xr:uid="{00000000-0005-0000-0000-00008F150000}"/>
    <cellStyle name="20% - Accent3 3 4 2 2 2 2 2 2" xfId="40714" xr:uid="{00000000-0005-0000-0000-000090150000}"/>
    <cellStyle name="20% - Accent3 3 4 2 2 2 2 3" xfId="30474" xr:uid="{00000000-0005-0000-0000-000091150000}"/>
    <cellStyle name="20% - Accent3 3 4 2 2 2 3" xfId="15114" xr:uid="{00000000-0005-0000-0000-000092150000}"/>
    <cellStyle name="20% - Accent3 3 4 2 2 2 3 2" xfId="35594" xr:uid="{00000000-0005-0000-0000-000093150000}"/>
    <cellStyle name="20% - Accent3 3 4 2 2 2 4" xfId="25354" xr:uid="{00000000-0005-0000-0000-000094150000}"/>
    <cellStyle name="20% - Accent3 3 4 2 2 3" xfId="7434" xr:uid="{00000000-0005-0000-0000-000095150000}"/>
    <cellStyle name="20% - Accent3 3 4 2 2 3 2" xfId="17674" xr:uid="{00000000-0005-0000-0000-000096150000}"/>
    <cellStyle name="20% - Accent3 3 4 2 2 3 2 2" xfId="38154" xr:uid="{00000000-0005-0000-0000-000097150000}"/>
    <cellStyle name="20% - Accent3 3 4 2 2 3 3" xfId="27914" xr:uid="{00000000-0005-0000-0000-000098150000}"/>
    <cellStyle name="20% - Accent3 3 4 2 2 4" xfId="12554" xr:uid="{00000000-0005-0000-0000-000099150000}"/>
    <cellStyle name="20% - Accent3 3 4 2 2 4 2" xfId="33034" xr:uid="{00000000-0005-0000-0000-00009A150000}"/>
    <cellStyle name="20% - Accent3 3 4 2 2 5" xfId="22794" xr:uid="{00000000-0005-0000-0000-00009B150000}"/>
    <cellStyle name="20% - Accent3 3 4 2 3" xfId="3594" xr:uid="{00000000-0005-0000-0000-00009C150000}"/>
    <cellStyle name="20% - Accent3 3 4 2 3 2" xfId="8714" xr:uid="{00000000-0005-0000-0000-00009D150000}"/>
    <cellStyle name="20% - Accent3 3 4 2 3 2 2" xfId="18954" xr:uid="{00000000-0005-0000-0000-00009E150000}"/>
    <cellStyle name="20% - Accent3 3 4 2 3 2 2 2" xfId="39434" xr:uid="{00000000-0005-0000-0000-00009F150000}"/>
    <cellStyle name="20% - Accent3 3 4 2 3 2 3" xfId="29194" xr:uid="{00000000-0005-0000-0000-0000A0150000}"/>
    <cellStyle name="20% - Accent3 3 4 2 3 3" xfId="13834" xr:uid="{00000000-0005-0000-0000-0000A1150000}"/>
    <cellStyle name="20% - Accent3 3 4 2 3 3 2" xfId="34314" xr:uid="{00000000-0005-0000-0000-0000A2150000}"/>
    <cellStyle name="20% - Accent3 3 4 2 3 4" xfId="24074" xr:uid="{00000000-0005-0000-0000-0000A3150000}"/>
    <cellStyle name="20% - Accent3 3 4 2 4" xfId="6154" xr:uid="{00000000-0005-0000-0000-0000A4150000}"/>
    <cellStyle name="20% - Accent3 3 4 2 4 2" xfId="16394" xr:uid="{00000000-0005-0000-0000-0000A5150000}"/>
    <cellStyle name="20% - Accent3 3 4 2 4 2 2" xfId="36874" xr:uid="{00000000-0005-0000-0000-0000A6150000}"/>
    <cellStyle name="20% - Accent3 3 4 2 4 3" xfId="26634" xr:uid="{00000000-0005-0000-0000-0000A7150000}"/>
    <cellStyle name="20% - Accent3 3 4 2 5" xfId="11274" xr:uid="{00000000-0005-0000-0000-0000A8150000}"/>
    <cellStyle name="20% - Accent3 3 4 2 5 2" xfId="31754" xr:uid="{00000000-0005-0000-0000-0000A9150000}"/>
    <cellStyle name="20% - Accent3 3 4 2 6" xfId="21514" xr:uid="{00000000-0005-0000-0000-0000AA150000}"/>
    <cellStyle name="20% - Accent3 3 4 3" xfId="1674" xr:uid="{00000000-0005-0000-0000-0000AB150000}"/>
    <cellStyle name="20% - Accent3 3 4 3 2" xfId="4234" xr:uid="{00000000-0005-0000-0000-0000AC150000}"/>
    <cellStyle name="20% - Accent3 3 4 3 2 2" xfId="9354" xr:uid="{00000000-0005-0000-0000-0000AD150000}"/>
    <cellStyle name="20% - Accent3 3 4 3 2 2 2" xfId="19594" xr:uid="{00000000-0005-0000-0000-0000AE150000}"/>
    <cellStyle name="20% - Accent3 3 4 3 2 2 2 2" xfId="40074" xr:uid="{00000000-0005-0000-0000-0000AF150000}"/>
    <cellStyle name="20% - Accent3 3 4 3 2 2 3" xfId="29834" xr:uid="{00000000-0005-0000-0000-0000B0150000}"/>
    <cellStyle name="20% - Accent3 3 4 3 2 3" xfId="14474" xr:uid="{00000000-0005-0000-0000-0000B1150000}"/>
    <cellStyle name="20% - Accent3 3 4 3 2 3 2" xfId="34954" xr:uid="{00000000-0005-0000-0000-0000B2150000}"/>
    <cellStyle name="20% - Accent3 3 4 3 2 4" xfId="24714" xr:uid="{00000000-0005-0000-0000-0000B3150000}"/>
    <cellStyle name="20% - Accent3 3 4 3 3" xfId="6794" xr:uid="{00000000-0005-0000-0000-0000B4150000}"/>
    <cellStyle name="20% - Accent3 3 4 3 3 2" xfId="17034" xr:uid="{00000000-0005-0000-0000-0000B5150000}"/>
    <cellStyle name="20% - Accent3 3 4 3 3 2 2" xfId="37514" xr:uid="{00000000-0005-0000-0000-0000B6150000}"/>
    <cellStyle name="20% - Accent3 3 4 3 3 3" xfId="27274" xr:uid="{00000000-0005-0000-0000-0000B7150000}"/>
    <cellStyle name="20% - Accent3 3 4 3 4" xfId="11914" xr:uid="{00000000-0005-0000-0000-0000B8150000}"/>
    <cellStyle name="20% - Accent3 3 4 3 4 2" xfId="32394" xr:uid="{00000000-0005-0000-0000-0000B9150000}"/>
    <cellStyle name="20% - Accent3 3 4 3 5" xfId="22154" xr:uid="{00000000-0005-0000-0000-0000BA150000}"/>
    <cellStyle name="20% - Accent3 3 4 4" xfId="2954" xr:uid="{00000000-0005-0000-0000-0000BB150000}"/>
    <cellStyle name="20% - Accent3 3 4 4 2" xfId="8074" xr:uid="{00000000-0005-0000-0000-0000BC150000}"/>
    <cellStyle name="20% - Accent3 3 4 4 2 2" xfId="18314" xr:uid="{00000000-0005-0000-0000-0000BD150000}"/>
    <cellStyle name="20% - Accent3 3 4 4 2 2 2" xfId="38794" xr:uid="{00000000-0005-0000-0000-0000BE150000}"/>
    <cellStyle name="20% - Accent3 3 4 4 2 3" xfId="28554" xr:uid="{00000000-0005-0000-0000-0000BF150000}"/>
    <cellStyle name="20% - Accent3 3 4 4 3" xfId="13194" xr:uid="{00000000-0005-0000-0000-0000C0150000}"/>
    <cellStyle name="20% - Accent3 3 4 4 3 2" xfId="33674" xr:uid="{00000000-0005-0000-0000-0000C1150000}"/>
    <cellStyle name="20% - Accent3 3 4 4 4" xfId="23434" xr:uid="{00000000-0005-0000-0000-0000C2150000}"/>
    <cellStyle name="20% - Accent3 3 4 5" xfId="5514" xr:uid="{00000000-0005-0000-0000-0000C3150000}"/>
    <cellStyle name="20% - Accent3 3 4 5 2" xfId="15754" xr:uid="{00000000-0005-0000-0000-0000C4150000}"/>
    <cellStyle name="20% - Accent3 3 4 5 2 2" xfId="36234" xr:uid="{00000000-0005-0000-0000-0000C5150000}"/>
    <cellStyle name="20% - Accent3 3 4 5 3" xfId="25994" xr:uid="{00000000-0005-0000-0000-0000C6150000}"/>
    <cellStyle name="20% - Accent3 3 4 6" xfId="10634" xr:uid="{00000000-0005-0000-0000-0000C7150000}"/>
    <cellStyle name="20% - Accent3 3 4 6 2" xfId="31114" xr:uid="{00000000-0005-0000-0000-0000C8150000}"/>
    <cellStyle name="20% - Accent3 3 4 7" xfId="20874" xr:uid="{00000000-0005-0000-0000-0000C9150000}"/>
    <cellStyle name="20% - Accent3 3 5" xfId="714" xr:uid="{00000000-0005-0000-0000-0000CA150000}"/>
    <cellStyle name="20% - Accent3 3 5 2" xfId="1994" xr:uid="{00000000-0005-0000-0000-0000CB150000}"/>
    <cellStyle name="20% - Accent3 3 5 2 2" xfId="4554" xr:uid="{00000000-0005-0000-0000-0000CC150000}"/>
    <cellStyle name="20% - Accent3 3 5 2 2 2" xfId="9674" xr:uid="{00000000-0005-0000-0000-0000CD150000}"/>
    <cellStyle name="20% - Accent3 3 5 2 2 2 2" xfId="19914" xr:uid="{00000000-0005-0000-0000-0000CE150000}"/>
    <cellStyle name="20% - Accent3 3 5 2 2 2 2 2" xfId="40394" xr:uid="{00000000-0005-0000-0000-0000CF150000}"/>
    <cellStyle name="20% - Accent3 3 5 2 2 2 3" xfId="30154" xr:uid="{00000000-0005-0000-0000-0000D0150000}"/>
    <cellStyle name="20% - Accent3 3 5 2 2 3" xfId="14794" xr:uid="{00000000-0005-0000-0000-0000D1150000}"/>
    <cellStyle name="20% - Accent3 3 5 2 2 3 2" xfId="35274" xr:uid="{00000000-0005-0000-0000-0000D2150000}"/>
    <cellStyle name="20% - Accent3 3 5 2 2 4" xfId="25034" xr:uid="{00000000-0005-0000-0000-0000D3150000}"/>
    <cellStyle name="20% - Accent3 3 5 2 3" xfId="7114" xr:uid="{00000000-0005-0000-0000-0000D4150000}"/>
    <cellStyle name="20% - Accent3 3 5 2 3 2" xfId="17354" xr:uid="{00000000-0005-0000-0000-0000D5150000}"/>
    <cellStyle name="20% - Accent3 3 5 2 3 2 2" xfId="37834" xr:uid="{00000000-0005-0000-0000-0000D6150000}"/>
    <cellStyle name="20% - Accent3 3 5 2 3 3" xfId="27594" xr:uid="{00000000-0005-0000-0000-0000D7150000}"/>
    <cellStyle name="20% - Accent3 3 5 2 4" xfId="12234" xr:uid="{00000000-0005-0000-0000-0000D8150000}"/>
    <cellStyle name="20% - Accent3 3 5 2 4 2" xfId="32714" xr:uid="{00000000-0005-0000-0000-0000D9150000}"/>
    <cellStyle name="20% - Accent3 3 5 2 5" xfId="22474" xr:uid="{00000000-0005-0000-0000-0000DA150000}"/>
    <cellStyle name="20% - Accent3 3 5 3" xfId="3274" xr:uid="{00000000-0005-0000-0000-0000DB150000}"/>
    <cellStyle name="20% - Accent3 3 5 3 2" xfId="8394" xr:uid="{00000000-0005-0000-0000-0000DC150000}"/>
    <cellStyle name="20% - Accent3 3 5 3 2 2" xfId="18634" xr:uid="{00000000-0005-0000-0000-0000DD150000}"/>
    <cellStyle name="20% - Accent3 3 5 3 2 2 2" xfId="39114" xr:uid="{00000000-0005-0000-0000-0000DE150000}"/>
    <cellStyle name="20% - Accent3 3 5 3 2 3" xfId="28874" xr:uid="{00000000-0005-0000-0000-0000DF150000}"/>
    <cellStyle name="20% - Accent3 3 5 3 3" xfId="13514" xr:uid="{00000000-0005-0000-0000-0000E0150000}"/>
    <cellStyle name="20% - Accent3 3 5 3 3 2" xfId="33994" xr:uid="{00000000-0005-0000-0000-0000E1150000}"/>
    <cellStyle name="20% - Accent3 3 5 3 4" xfId="23754" xr:uid="{00000000-0005-0000-0000-0000E2150000}"/>
    <cellStyle name="20% - Accent3 3 5 4" xfId="5834" xr:uid="{00000000-0005-0000-0000-0000E3150000}"/>
    <cellStyle name="20% - Accent3 3 5 4 2" xfId="16074" xr:uid="{00000000-0005-0000-0000-0000E4150000}"/>
    <cellStyle name="20% - Accent3 3 5 4 2 2" xfId="36554" xr:uid="{00000000-0005-0000-0000-0000E5150000}"/>
    <cellStyle name="20% - Accent3 3 5 4 3" xfId="26314" xr:uid="{00000000-0005-0000-0000-0000E6150000}"/>
    <cellStyle name="20% - Accent3 3 5 5" xfId="10954" xr:uid="{00000000-0005-0000-0000-0000E7150000}"/>
    <cellStyle name="20% - Accent3 3 5 5 2" xfId="31434" xr:uid="{00000000-0005-0000-0000-0000E8150000}"/>
    <cellStyle name="20% - Accent3 3 5 6" xfId="21194" xr:uid="{00000000-0005-0000-0000-0000E9150000}"/>
    <cellStyle name="20% - Accent3 3 6" xfId="1354" xr:uid="{00000000-0005-0000-0000-0000EA150000}"/>
    <cellStyle name="20% - Accent3 3 6 2" xfId="3914" xr:uid="{00000000-0005-0000-0000-0000EB150000}"/>
    <cellStyle name="20% - Accent3 3 6 2 2" xfId="9034" xr:uid="{00000000-0005-0000-0000-0000EC150000}"/>
    <cellStyle name="20% - Accent3 3 6 2 2 2" xfId="19274" xr:uid="{00000000-0005-0000-0000-0000ED150000}"/>
    <cellStyle name="20% - Accent3 3 6 2 2 2 2" xfId="39754" xr:uid="{00000000-0005-0000-0000-0000EE150000}"/>
    <cellStyle name="20% - Accent3 3 6 2 2 3" xfId="29514" xr:uid="{00000000-0005-0000-0000-0000EF150000}"/>
    <cellStyle name="20% - Accent3 3 6 2 3" xfId="14154" xr:uid="{00000000-0005-0000-0000-0000F0150000}"/>
    <cellStyle name="20% - Accent3 3 6 2 3 2" xfId="34634" xr:uid="{00000000-0005-0000-0000-0000F1150000}"/>
    <cellStyle name="20% - Accent3 3 6 2 4" xfId="24394" xr:uid="{00000000-0005-0000-0000-0000F2150000}"/>
    <cellStyle name="20% - Accent3 3 6 3" xfId="6474" xr:uid="{00000000-0005-0000-0000-0000F3150000}"/>
    <cellStyle name="20% - Accent3 3 6 3 2" xfId="16714" xr:uid="{00000000-0005-0000-0000-0000F4150000}"/>
    <cellStyle name="20% - Accent3 3 6 3 2 2" xfId="37194" xr:uid="{00000000-0005-0000-0000-0000F5150000}"/>
    <cellStyle name="20% - Accent3 3 6 3 3" xfId="26954" xr:uid="{00000000-0005-0000-0000-0000F6150000}"/>
    <cellStyle name="20% - Accent3 3 6 4" xfId="11594" xr:uid="{00000000-0005-0000-0000-0000F7150000}"/>
    <cellStyle name="20% - Accent3 3 6 4 2" xfId="32074" xr:uid="{00000000-0005-0000-0000-0000F8150000}"/>
    <cellStyle name="20% - Accent3 3 6 5" xfId="21834" xr:uid="{00000000-0005-0000-0000-0000F9150000}"/>
    <cellStyle name="20% - Accent3 3 7" xfId="2634" xr:uid="{00000000-0005-0000-0000-0000FA150000}"/>
    <cellStyle name="20% - Accent3 3 7 2" xfId="7754" xr:uid="{00000000-0005-0000-0000-0000FB150000}"/>
    <cellStyle name="20% - Accent3 3 7 2 2" xfId="17994" xr:uid="{00000000-0005-0000-0000-0000FC150000}"/>
    <cellStyle name="20% - Accent3 3 7 2 2 2" xfId="38474" xr:uid="{00000000-0005-0000-0000-0000FD150000}"/>
    <cellStyle name="20% - Accent3 3 7 2 3" xfId="28234" xr:uid="{00000000-0005-0000-0000-0000FE150000}"/>
    <cellStyle name="20% - Accent3 3 7 3" xfId="12874" xr:uid="{00000000-0005-0000-0000-0000FF150000}"/>
    <cellStyle name="20% - Accent3 3 7 3 2" xfId="33354" xr:uid="{00000000-0005-0000-0000-000000160000}"/>
    <cellStyle name="20% - Accent3 3 7 4" xfId="23114" xr:uid="{00000000-0005-0000-0000-000001160000}"/>
    <cellStyle name="20% - Accent3 3 8" xfId="5194" xr:uid="{00000000-0005-0000-0000-000002160000}"/>
    <cellStyle name="20% - Accent3 3 8 2" xfId="15434" xr:uid="{00000000-0005-0000-0000-000003160000}"/>
    <cellStyle name="20% - Accent3 3 8 2 2" xfId="35914" xr:uid="{00000000-0005-0000-0000-000004160000}"/>
    <cellStyle name="20% - Accent3 3 8 3" xfId="25674" xr:uid="{00000000-0005-0000-0000-000005160000}"/>
    <cellStyle name="20% - Accent3 3 9" xfId="10314" xr:uid="{00000000-0005-0000-0000-000006160000}"/>
    <cellStyle name="20% - Accent3 3 9 2" xfId="30794" xr:uid="{00000000-0005-0000-0000-000007160000}"/>
    <cellStyle name="20% - Accent3 4" xfId="114" xr:uid="{00000000-0005-0000-0000-000008160000}"/>
    <cellStyle name="20% - Accent3 4 2" xfId="274" xr:uid="{00000000-0005-0000-0000-000009160000}"/>
    <cellStyle name="20% - Accent3 4 2 2" xfId="594" xr:uid="{00000000-0005-0000-0000-00000A160000}"/>
    <cellStyle name="20% - Accent3 4 2 2 2" xfId="1234" xr:uid="{00000000-0005-0000-0000-00000B160000}"/>
    <cellStyle name="20% - Accent3 4 2 2 2 2" xfId="2514" xr:uid="{00000000-0005-0000-0000-00000C160000}"/>
    <cellStyle name="20% - Accent3 4 2 2 2 2 2" xfId="5074" xr:uid="{00000000-0005-0000-0000-00000D160000}"/>
    <cellStyle name="20% - Accent3 4 2 2 2 2 2 2" xfId="10194" xr:uid="{00000000-0005-0000-0000-00000E160000}"/>
    <cellStyle name="20% - Accent3 4 2 2 2 2 2 2 2" xfId="20434" xr:uid="{00000000-0005-0000-0000-00000F160000}"/>
    <cellStyle name="20% - Accent3 4 2 2 2 2 2 2 2 2" xfId="40914" xr:uid="{00000000-0005-0000-0000-000010160000}"/>
    <cellStyle name="20% - Accent3 4 2 2 2 2 2 2 3" xfId="30674" xr:uid="{00000000-0005-0000-0000-000011160000}"/>
    <cellStyle name="20% - Accent3 4 2 2 2 2 2 3" xfId="15314" xr:uid="{00000000-0005-0000-0000-000012160000}"/>
    <cellStyle name="20% - Accent3 4 2 2 2 2 2 3 2" xfId="35794" xr:uid="{00000000-0005-0000-0000-000013160000}"/>
    <cellStyle name="20% - Accent3 4 2 2 2 2 2 4" xfId="25554" xr:uid="{00000000-0005-0000-0000-000014160000}"/>
    <cellStyle name="20% - Accent3 4 2 2 2 2 3" xfId="7634" xr:uid="{00000000-0005-0000-0000-000015160000}"/>
    <cellStyle name="20% - Accent3 4 2 2 2 2 3 2" xfId="17874" xr:uid="{00000000-0005-0000-0000-000016160000}"/>
    <cellStyle name="20% - Accent3 4 2 2 2 2 3 2 2" xfId="38354" xr:uid="{00000000-0005-0000-0000-000017160000}"/>
    <cellStyle name="20% - Accent3 4 2 2 2 2 3 3" xfId="28114" xr:uid="{00000000-0005-0000-0000-000018160000}"/>
    <cellStyle name="20% - Accent3 4 2 2 2 2 4" xfId="12754" xr:uid="{00000000-0005-0000-0000-000019160000}"/>
    <cellStyle name="20% - Accent3 4 2 2 2 2 4 2" xfId="33234" xr:uid="{00000000-0005-0000-0000-00001A160000}"/>
    <cellStyle name="20% - Accent3 4 2 2 2 2 5" xfId="22994" xr:uid="{00000000-0005-0000-0000-00001B160000}"/>
    <cellStyle name="20% - Accent3 4 2 2 2 3" xfId="3794" xr:uid="{00000000-0005-0000-0000-00001C160000}"/>
    <cellStyle name="20% - Accent3 4 2 2 2 3 2" xfId="8914" xr:uid="{00000000-0005-0000-0000-00001D160000}"/>
    <cellStyle name="20% - Accent3 4 2 2 2 3 2 2" xfId="19154" xr:uid="{00000000-0005-0000-0000-00001E160000}"/>
    <cellStyle name="20% - Accent3 4 2 2 2 3 2 2 2" xfId="39634" xr:uid="{00000000-0005-0000-0000-00001F160000}"/>
    <cellStyle name="20% - Accent3 4 2 2 2 3 2 3" xfId="29394" xr:uid="{00000000-0005-0000-0000-000020160000}"/>
    <cellStyle name="20% - Accent3 4 2 2 2 3 3" xfId="14034" xr:uid="{00000000-0005-0000-0000-000021160000}"/>
    <cellStyle name="20% - Accent3 4 2 2 2 3 3 2" xfId="34514" xr:uid="{00000000-0005-0000-0000-000022160000}"/>
    <cellStyle name="20% - Accent3 4 2 2 2 3 4" xfId="24274" xr:uid="{00000000-0005-0000-0000-000023160000}"/>
    <cellStyle name="20% - Accent3 4 2 2 2 4" xfId="6354" xr:uid="{00000000-0005-0000-0000-000024160000}"/>
    <cellStyle name="20% - Accent3 4 2 2 2 4 2" xfId="16594" xr:uid="{00000000-0005-0000-0000-000025160000}"/>
    <cellStyle name="20% - Accent3 4 2 2 2 4 2 2" xfId="37074" xr:uid="{00000000-0005-0000-0000-000026160000}"/>
    <cellStyle name="20% - Accent3 4 2 2 2 4 3" xfId="26834" xr:uid="{00000000-0005-0000-0000-000027160000}"/>
    <cellStyle name="20% - Accent3 4 2 2 2 5" xfId="11474" xr:uid="{00000000-0005-0000-0000-000028160000}"/>
    <cellStyle name="20% - Accent3 4 2 2 2 5 2" xfId="31954" xr:uid="{00000000-0005-0000-0000-000029160000}"/>
    <cellStyle name="20% - Accent3 4 2 2 2 6" xfId="21714" xr:uid="{00000000-0005-0000-0000-00002A160000}"/>
    <cellStyle name="20% - Accent3 4 2 2 3" xfId="1874" xr:uid="{00000000-0005-0000-0000-00002B160000}"/>
    <cellStyle name="20% - Accent3 4 2 2 3 2" xfId="4434" xr:uid="{00000000-0005-0000-0000-00002C160000}"/>
    <cellStyle name="20% - Accent3 4 2 2 3 2 2" xfId="9554" xr:uid="{00000000-0005-0000-0000-00002D160000}"/>
    <cellStyle name="20% - Accent3 4 2 2 3 2 2 2" xfId="19794" xr:uid="{00000000-0005-0000-0000-00002E160000}"/>
    <cellStyle name="20% - Accent3 4 2 2 3 2 2 2 2" xfId="40274" xr:uid="{00000000-0005-0000-0000-00002F160000}"/>
    <cellStyle name="20% - Accent3 4 2 2 3 2 2 3" xfId="30034" xr:uid="{00000000-0005-0000-0000-000030160000}"/>
    <cellStyle name="20% - Accent3 4 2 2 3 2 3" xfId="14674" xr:uid="{00000000-0005-0000-0000-000031160000}"/>
    <cellStyle name="20% - Accent3 4 2 2 3 2 3 2" xfId="35154" xr:uid="{00000000-0005-0000-0000-000032160000}"/>
    <cellStyle name="20% - Accent3 4 2 2 3 2 4" xfId="24914" xr:uid="{00000000-0005-0000-0000-000033160000}"/>
    <cellStyle name="20% - Accent3 4 2 2 3 3" xfId="6994" xr:uid="{00000000-0005-0000-0000-000034160000}"/>
    <cellStyle name="20% - Accent3 4 2 2 3 3 2" xfId="17234" xr:uid="{00000000-0005-0000-0000-000035160000}"/>
    <cellStyle name="20% - Accent3 4 2 2 3 3 2 2" xfId="37714" xr:uid="{00000000-0005-0000-0000-000036160000}"/>
    <cellStyle name="20% - Accent3 4 2 2 3 3 3" xfId="27474" xr:uid="{00000000-0005-0000-0000-000037160000}"/>
    <cellStyle name="20% - Accent3 4 2 2 3 4" xfId="12114" xr:uid="{00000000-0005-0000-0000-000038160000}"/>
    <cellStyle name="20% - Accent3 4 2 2 3 4 2" xfId="32594" xr:uid="{00000000-0005-0000-0000-000039160000}"/>
    <cellStyle name="20% - Accent3 4 2 2 3 5" xfId="22354" xr:uid="{00000000-0005-0000-0000-00003A160000}"/>
    <cellStyle name="20% - Accent3 4 2 2 4" xfId="3154" xr:uid="{00000000-0005-0000-0000-00003B160000}"/>
    <cellStyle name="20% - Accent3 4 2 2 4 2" xfId="8274" xr:uid="{00000000-0005-0000-0000-00003C160000}"/>
    <cellStyle name="20% - Accent3 4 2 2 4 2 2" xfId="18514" xr:uid="{00000000-0005-0000-0000-00003D160000}"/>
    <cellStyle name="20% - Accent3 4 2 2 4 2 2 2" xfId="38994" xr:uid="{00000000-0005-0000-0000-00003E160000}"/>
    <cellStyle name="20% - Accent3 4 2 2 4 2 3" xfId="28754" xr:uid="{00000000-0005-0000-0000-00003F160000}"/>
    <cellStyle name="20% - Accent3 4 2 2 4 3" xfId="13394" xr:uid="{00000000-0005-0000-0000-000040160000}"/>
    <cellStyle name="20% - Accent3 4 2 2 4 3 2" xfId="33874" xr:uid="{00000000-0005-0000-0000-000041160000}"/>
    <cellStyle name="20% - Accent3 4 2 2 4 4" xfId="23634" xr:uid="{00000000-0005-0000-0000-000042160000}"/>
    <cellStyle name="20% - Accent3 4 2 2 5" xfId="5714" xr:uid="{00000000-0005-0000-0000-000043160000}"/>
    <cellStyle name="20% - Accent3 4 2 2 5 2" xfId="15954" xr:uid="{00000000-0005-0000-0000-000044160000}"/>
    <cellStyle name="20% - Accent3 4 2 2 5 2 2" xfId="36434" xr:uid="{00000000-0005-0000-0000-000045160000}"/>
    <cellStyle name="20% - Accent3 4 2 2 5 3" xfId="26194" xr:uid="{00000000-0005-0000-0000-000046160000}"/>
    <cellStyle name="20% - Accent3 4 2 2 6" xfId="10834" xr:uid="{00000000-0005-0000-0000-000047160000}"/>
    <cellStyle name="20% - Accent3 4 2 2 6 2" xfId="31314" xr:uid="{00000000-0005-0000-0000-000048160000}"/>
    <cellStyle name="20% - Accent3 4 2 2 7" xfId="21074" xr:uid="{00000000-0005-0000-0000-000049160000}"/>
    <cellStyle name="20% - Accent3 4 2 3" xfId="914" xr:uid="{00000000-0005-0000-0000-00004A160000}"/>
    <cellStyle name="20% - Accent3 4 2 3 2" xfId="2194" xr:uid="{00000000-0005-0000-0000-00004B160000}"/>
    <cellStyle name="20% - Accent3 4 2 3 2 2" xfId="4754" xr:uid="{00000000-0005-0000-0000-00004C160000}"/>
    <cellStyle name="20% - Accent3 4 2 3 2 2 2" xfId="9874" xr:uid="{00000000-0005-0000-0000-00004D160000}"/>
    <cellStyle name="20% - Accent3 4 2 3 2 2 2 2" xfId="20114" xr:uid="{00000000-0005-0000-0000-00004E160000}"/>
    <cellStyle name="20% - Accent3 4 2 3 2 2 2 2 2" xfId="40594" xr:uid="{00000000-0005-0000-0000-00004F160000}"/>
    <cellStyle name="20% - Accent3 4 2 3 2 2 2 3" xfId="30354" xr:uid="{00000000-0005-0000-0000-000050160000}"/>
    <cellStyle name="20% - Accent3 4 2 3 2 2 3" xfId="14994" xr:uid="{00000000-0005-0000-0000-000051160000}"/>
    <cellStyle name="20% - Accent3 4 2 3 2 2 3 2" xfId="35474" xr:uid="{00000000-0005-0000-0000-000052160000}"/>
    <cellStyle name="20% - Accent3 4 2 3 2 2 4" xfId="25234" xr:uid="{00000000-0005-0000-0000-000053160000}"/>
    <cellStyle name="20% - Accent3 4 2 3 2 3" xfId="7314" xr:uid="{00000000-0005-0000-0000-000054160000}"/>
    <cellStyle name="20% - Accent3 4 2 3 2 3 2" xfId="17554" xr:uid="{00000000-0005-0000-0000-000055160000}"/>
    <cellStyle name="20% - Accent3 4 2 3 2 3 2 2" xfId="38034" xr:uid="{00000000-0005-0000-0000-000056160000}"/>
    <cellStyle name="20% - Accent3 4 2 3 2 3 3" xfId="27794" xr:uid="{00000000-0005-0000-0000-000057160000}"/>
    <cellStyle name="20% - Accent3 4 2 3 2 4" xfId="12434" xr:uid="{00000000-0005-0000-0000-000058160000}"/>
    <cellStyle name="20% - Accent3 4 2 3 2 4 2" xfId="32914" xr:uid="{00000000-0005-0000-0000-000059160000}"/>
    <cellStyle name="20% - Accent3 4 2 3 2 5" xfId="22674" xr:uid="{00000000-0005-0000-0000-00005A160000}"/>
    <cellStyle name="20% - Accent3 4 2 3 3" xfId="3474" xr:uid="{00000000-0005-0000-0000-00005B160000}"/>
    <cellStyle name="20% - Accent3 4 2 3 3 2" xfId="8594" xr:uid="{00000000-0005-0000-0000-00005C160000}"/>
    <cellStyle name="20% - Accent3 4 2 3 3 2 2" xfId="18834" xr:uid="{00000000-0005-0000-0000-00005D160000}"/>
    <cellStyle name="20% - Accent3 4 2 3 3 2 2 2" xfId="39314" xr:uid="{00000000-0005-0000-0000-00005E160000}"/>
    <cellStyle name="20% - Accent3 4 2 3 3 2 3" xfId="29074" xr:uid="{00000000-0005-0000-0000-00005F160000}"/>
    <cellStyle name="20% - Accent3 4 2 3 3 3" xfId="13714" xr:uid="{00000000-0005-0000-0000-000060160000}"/>
    <cellStyle name="20% - Accent3 4 2 3 3 3 2" xfId="34194" xr:uid="{00000000-0005-0000-0000-000061160000}"/>
    <cellStyle name="20% - Accent3 4 2 3 3 4" xfId="23954" xr:uid="{00000000-0005-0000-0000-000062160000}"/>
    <cellStyle name="20% - Accent3 4 2 3 4" xfId="6034" xr:uid="{00000000-0005-0000-0000-000063160000}"/>
    <cellStyle name="20% - Accent3 4 2 3 4 2" xfId="16274" xr:uid="{00000000-0005-0000-0000-000064160000}"/>
    <cellStyle name="20% - Accent3 4 2 3 4 2 2" xfId="36754" xr:uid="{00000000-0005-0000-0000-000065160000}"/>
    <cellStyle name="20% - Accent3 4 2 3 4 3" xfId="26514" xr:uid="{00000000-0005-0000-0000-000066160000}"/>
    <cellStyle name="20% - Accent3 4 2 3 5" xfId="11154" xr:uid="{00000000-0005-0000-0000-000067160000}"/>
    <cellStyle name="20% - Accent3 4 2 3 5 2" xfId="31634" xr:uid="{00000000-0005-0000-0000-000068160000}"/>
    <cellStyle name="20% - Accent3 4 2 3 6" xfId="21394" xr:uid="{00000000-0005-0000-0000-000069160000}"/>
    <cellStyle name="20% - Accent3 4 2 4" xfId="1554" xr:uid="{00000000-0005-0000-0000-00006A160000}"/>
    <cellStyle name="20% - Accent3 4 2 4 2" xfId="4114" xr:uid="{00000000-0005-0000-0000-00006B160000}"/>
    <cellStyle name="20% - Accent3 4 2 4 2 2" xfId="9234" xr:uid="{00000000-0005-0000-0000-00006C160000}"/>
    <cellStyle name="20% - Accent3 4 2 4 2 2 2" xfId="19474" xr:uid="{00000000-0005-0000-0000-00006D160000}"/>
    <cellStyle name="20% - Accent3 4 2 4 2 2 2 2" xfId="39954" xr:uid="{00000000-0005-0000-0000-00006E160000}"/>
    <cellStyle name="20% - Accent3 4 2 4 2 2 3" xfId="29714" xr:uid="{00000000-0005-0000-0000-00006F160000}"/>
    <cellStyle name="20% - Accent3 4 2 4 2 3" xfId="14354" xr:uid="{00000000-0005-0000-0000-000070160000}"/>
    <cellStyle name="20% - Accent3 4 2 4 2 3 2" xfId="34834" xr:uid="{00000000-0005-0000-0000-000071160000}"/>
    <cellStyle name="20% - Accent3 4 2 4 2 4" xfId="24594" xr:uid="{00000000-0005-0000-0000-000072160000}"/>
    <cellStyle name="20% - Accent3 4 2 4 3" xfId="6674" xr:uid="{00000000-0005-0000-0000-000073160000}"/>
    <cellStyle name="20% - Accent3 4 2 4 3 2" xfId="16914" xr:uid="{00000000-0005-0000-0000-000074160000}"/>
    <cellStyle name="20% - Accent3 4 2 4 3 2 2" xfId="37394" xr:uid="{00000000-0005-0000-0000-000075160000}"/>
    <cellStyle name="20% - Accent3 4 2 4 3 3" xfId="27154" xr:uid="{00000000-0005-0000-0000-000076160000}"/>
    <cellStyle name="20% - Accent3 4 2 4 4" xfId="11794" xr:uid="{00000000-0005-0000-0000-000077160000}"/>
    <cellStyle name="20% - Accent3 4 2 4 4 2" xfId="32274" xr:uid="{00000000-0005-0000-0000-000078160000}"/>
    <cellStyle name="20% - Accent3 4 2 4 5" xfId="22034" xr:uid="{00000000-0005-0000-0000-000079160000}"/>
    <cellStyle name="20% - Accent3 4 2 5" xfId="2834" xr:uid="{00000000-0005-0000-0000-00007A160000}"/>
    <cellStyle name="20% - Accent3 4 2 5 2" xfId="7954" xr:uid="{00000000-0005-0000-0000-00007B160000}"/>
    <cellStyle name="20% - Accent3 4 2 5 2 2" xfId="18194" xr:uid="{00000000-0005-0000-0000-00007C160000}"/>
    <cellStyle name="20% - Accent3 4 2 5 2 2 2" xfId="38674" xr:uid="{00000000-0005-0000-0000-00007D160000}"/>
    <cellStyle name="20% - Accent3 4 2 5 2 3" xfId="28434" xr:uid="{00000000-0005-0000-0000-00007E160000}"/>
    <cellStyle name="20% - Accent3 4 2 5 3" xfId="13074" xr:uid="{00000000-0005-0000-0000-00007F160000}"/>
    <cellStyle name="20% - Accent3 4 2 5 3 2" xfId="33554" xr:uid="{00000000-0005-0000-0000-000080160000}"/>
    <cellStyle name="20% - Accent3 4 2 5 4" xfId="23314" xr:uid="{00000000-0005-0000-0000-000081160000}"/>
    <cellStyle name="20% - Accent3 4 2 6" xfId="5394" xr:uid="{00000000-0005-0000-0000-000082160000}"/>
    <cellStyle name="20% - Accent3 4 2 6 2" xfId="15634" xr:uid="{00000000-0005-0000-0000-000083160000}"/>
    <cellStyle name="20% - Accent3 4 2 6 2 2" xfId="36114" xr:uid="{00000000-0005-0000-0000-000084160000}"/>
    <cellStyle name="20% - Accent3 4 2 6 3" xfId="25874" xr:uid="{00000000-0005-0000-0000-000085160000}"/>
    <cellStyle name="20% - Accent3 4 2 7" xfId="10514" xr:uid="{00000000-0005-0000-0000-000086160000}"/>
    <cellStyle name="20% - Accent3 4 2 7 2" xfId="30994" xr:uid="{00000000-0005-0000-0000-000087160000}"/>
    <cellStyle name="20% - Accent3 4 2 8" xfId="20754" xr:uid="{00000000-0005-0000-0000-000088160000}"/>
    <cellStyle name="20% - Accent3 4 3" xfId="434" xr:uid="{00000000-0005-0000-0000-000089160000}"/>
    <cellStyle name="20% - Accent3 4 3 2" xfId="1074" xr:uid="{00000000-0005-0000-0000-00008A160000}"/>
    <cellStyle name="20% - Accent3 4 3 2 2" xfId="2354" xr:uid="{00000000-0005-0000-0000-00008B160000}"/>
    <cellStyle name="20% - Accent3 4 3 2 2 2" xfId="4914" xr:uid="{00000000-0005-0000-0000-00008C160000}"/>
    <cellStyle name="20% - Accent3 4 3 2 2 2 2" xfId="10034" xr:uid="{00000000-0005-0000-0000-00008D160000}"/>
    <cellStyle name="20% - Accent3 4 3 2 2 2 2 2" xfId="20274" xr:uid="{00000000-0005-0000-0000-00008E160000}"/>
    <cellStyle name="20% - Accent3 4 3 2 2 2 2 2 2" xfId="40754" xr:uid="{00000000-0005-0000-0000-00008F160000}"/>
    <cellStyle name="20% - Accent3 4 3 2 2 2 2 3" xfId="30514" xr:uid="{00000000-0005-0000-0000-000090160000}"/>
    <cellStyle name="20% - Accent3 4 3 2 2 2 3" xfId="15154" xr:uid="{00000000-0005-0000-0000-000091160000}"/>
    <cellStyle name="20% - Accent3 4 3 2 2 2 3 2" xfId="35634" xr:uid="{00000000-0005-0000-0000-000092160000}"/>
    <cellStyle name="20% - Accent3 4 3 2 2 2 4" xfId="25394" xr:uid="{00000000-0005-0000-0000-000093160000}"/>
    <cellStyle name="20% - Accent3 4 3 2 2 3" xfId="7474" xr:uid="{00000000-0005-0000-0000-000094160000}"/>
    <cellStyle name="20% - Accent3 4 3 2 2 3 2" xfId="17714" xr:uid="{00000000-0005-0000-0000-000095160000}"/>
    <cellStyle name="20% - Accent3 4 3 2 2 3 2 2" xfId="38194" xr:uid="{00000000-0005-0000-0000-000096160000}"/>
    <cellStyle name="20% - Accent3 4 3 2 2 3 3" xfId="27954" xr:uid="{00000000-0005-0000-0000-000097160000}"/>
    <cellStyle name="20% - Accent3 4 3 2 2 4" xfId="12594" xr:uid="{00000000-0005-0000-0000-000098160000}"/>
    <cellStyle name="20% - Accent3 4 3 2 2 4 2" xfId="33074" xr:uid="{00000000-0005-0000-0000-000099160000}"/>
    <cellStyle name="20% - Accent3 4 3 2 2 5" xfId="22834" xr:uid="{00000000-0005-0000-0000-00009A160000}"/>
    <cellStyle name="20% - Accent3 4 3 2 3" xfId="3634" xr:uid="{00000000-0005-0000-0000-00009B160000}"/>
    <cellStyle name="20% - Accent3 4 3 2 3 2" xfId="8754" xr:uid="{00000000-0005-0000-0000-00009C160000}"/>
    <cellStyle name="20% - Accent3 4 3 2 3 2 2" xfId="18994" xr:uid="{00000000-0005-0000-0000-00009D160000}"/>
    <cellStyle name="20% - Accent3 4 3 2 3 2 2 2" xfId="39474" xr:uid="{00000000-0005-0000-0000-00009E160000}"/>
    <cellStyle name="20% - Accent3 4 3 2 3 2 3" xfId="29234" xr:uid="{00000000-0005-0000-0000-00009F160000}"/>
    <cellStyle name="20% - Accent3 4 3 2 3 3" xfId="13874" xr:uid="{00000000-0005-0000-0000-0000A0160000}"/>
    <cellStyle name="20% - Accent3 4 3 2 3 3 2" xfId="34354" xr:uid="{00000000-0005-0000-0000-0000A1160000}"/>
    <cellStyle name="20% - Accent3 4 3 2 3 4" xfId="24114" xr:uid="{00000000-0005-0000-0000-0000A2160000}"/>
    <cellStyle name="20% - Accent3 4 3 2 4" xfId="6194" xr:uid="{00000000-0005-0000-0000-0000A3160000}"/>
    <cellStyle name="20% - Accent3 4 3 2 4 2" xfId="16434" xr:uid="{00000000-0005-0000-0000-0000A4160000}"/>
    <cellStyle name="20% - Accent3 4 3 2 4 2 2" xfId="36914" xr:uid="{00000000-0005-0000-0000-0000A5160000}"/>
    <cellStyle name="20% - Accent3 4 3 2 4 3" xfId="26674" xr:uid="{00000000-0005-0000-0000-0000A6160000}"/>
    <cellStyle name="20% - Accent3 4 3 2 5" xfId="11314" xr:uid="{00000000-0005-0000-0000-0000A7160000}"/>
    <cellStyle name="20% - Accent3 4 3 2 5 2" xfId="31794" xr:uid="{00000000-0005-0000-0000-0000A8160000}"/>
    <cellStyle name="20% - Accent3 4 3 2 6" xfId="21554" xr:uid="{00000000-0005-0000-0000-0000A9160000}"/>
    <cellStyle name="20% - Accent3 4 3 3" xfId="1714" xr:uid="{00000000-0005-0000-0000-0000AA160000}"/>
    <cellStyle name="20% - Accent3 4 3 3 2" xfId="4274" xr:uid="{00000000-0005-0000-0000-0000AB160000}"/>
    <cellStyle name="20% - Accent3 4 3 3 2 2" xfId="9394" xr:uid="{00000000-0005-0000-0000-0000AC160000}"/>
    <cellStyle name="20% - Accent3 4 3 3 2 2 2" xfId="19634" xr:uid="{00000000-0005-0000-0000-0000AD160000}"/>
    <cellStyle name="20% - Accent3 4 3 3 2 2 2 2" xfId="40114" xr:uid="{00000000-0005-0000-0000-0000AE160000}"/>
    <cellStyle name="20% - Accent3 4 3 3 2 2 3" xfId="29874" xr:uid="{00000000-0005-0000-0000-0000AF160000}"/>
    <cellStyle name="20% - Accent3 4 3 3 2 3" xfId="14514" xr:uid="{00000000-0005-0000-0000-0000B0160000}"/>
    <cellStyle name="20% - Accent3 4 3 3 2 3 2" xfId="34994" xr:uid="{00000000-0005-0000-0000-0000B1160000}"/>
    <cellStyle name="20% - Accent3 4 3 3 2 4" xfId="24754" xr:uid="{00000000-0005-0000-0000-0000B2160000}"/>
    <cellStyle name="20% - Accent3 4 3 3 3" xfId="6834" xr:uid="{00000000-0005-0000-0000-0000B3160000}"/>
    <cellStyle name="20% - Accent3 4 3 3 3 2" xfId="17074" xr:uid="{00000000-0005-0000-0000-0000B4160000}"/>
    <cellStyle name="20% - Accent3 4 3 3 3 2 2" xfId="37554" xr:uid="{00000000-0005-0000-0000-0000B5160000}"/>
    <cellStyle name="20% - Accent3 4 3 3 3 3" xfId="27314" xr:uid="{00000000-0005-0000-0000-0000B6160000}"/>
    <cellStyle name="20% - Accent3 4 3 3 4" xfId="11954" xr:uid="{00000000-0005-0000-0000-0000B7160000}"/>
    <cellStyle name="20% - Accent3 4 3 3 4 2" xfId="32434" xr:uid="{00000000-0005-0000-0000-0000B8160000}"/>
    <cellStyle name="20% - Accent3 4 3 3 5" xfId="22194" xr:uid="{00000000-0005-0000-0000-0000B9160000}"/>
    <cellStyle name="20% - Accent3 4 3 4" xfId="2994" xr:uid="{00000000-0005-0000-0000-0000BA160000}"/>
    <cellStyle name="20% - Accent3 4 3 4 2" xfId="8114" xr:uid="{00000000-0005-0000-0000-0000BB160000}"/>
    <cellStyle name="20% - Accent3 4 3 4 2 2" xfId="18354" xr:uid="{00000000-0005-0000-0000-0000BC160000}"/>
    <cellStyle name="20% - Accent3 4 3 4 2 2 2" xfId="38834" xr:uid="{00000000-0005-0000-0000-0000BD160000}"/>
    <cellStyle name="20% - Accent3 4 3 4 2 3" xfId="28594" xr:uid="{00000000-0005-0000-0000-0000BE160000}"/>
    <cellStyle name="20% - Accent3 4 3 4 3" xfId="13234" xr:uid="{00000000-0005-0000-0000-0000BF160000}"/>
    <cellStyle name="20% - Accent3 4 3 4 3 2" xfId="33714" xr:uid="{00000000-0005-0000-0000-0000C0160000}"/>
    <cellStyle name="20% - Accent3 4 3 4 4" xfId="23474" xr:uid="{00000000-0005-0000-0000-0000C1160000}"/>
    <cellStyle name="20% - Accent3 4 3 5" xfId="5554" xr:uid="{00000000-0005-0000-0000-0000C2160000}"/>
    <cellStyle name="20% - Accent3 4 3 5 2" xfId="15794" xr:uid="{00000000-0005-0000-0000-0000C3160000}"/>
    <cellStyle name="20% - Accent3 4 3 5 2 2" xfId="36274" xr:uid="{00000000-0005-0000-0000-0000C4160000}"/>
    <cellStyle name="20% - Accent3 4 3 5 3" xfId="26034" xr:uid="{00000000-0005-0000-0000-0000C5160000}"/>
    <cellStyle name="20% - Accent3 4 3 6" xfId="10674" xr:uid="{00000000-0005-0000-0000-0000C6160000}"/>
    <cellStyle name="20% - Accent3 4 3 6 2" xfId="31154" xr:uid="{00000000-0005-0000-0000-0000C7160000}"/>
    <cellStyle name="20% - Accent3 4 3 7" xfId="20914" xr:uid="{00000000-0005-0000-0000-0000C8160000}"/>
    <cellStyle name="20% - Accent3 4 4" xfId="754" xr:uid="{00000000-0005-0000-0000-0000C9160000}"/>
    <cellStyle name="20% - Accent3 4 4 2" xfId="2034" xr:uid="{00000000-0005-0000-0000-0000CA160000}"/>
    <cellStyle name="20% - Accent3 4 4 2 2" xfId="4594" xr:uid="{00000000-0005-0000-0000-0000CB160000}"/>
    <cellStyle name="20% - Accent3 4 4 2 2 2" xfId="9714" xr:uid="{00000000-0005-0000-0000-0000CC160000}"/>
    <cellStyle name="20% - Accent3 4 4 2 2 2 2" xfId="19954" xr:uid="{00000000-0005-0000-0000-0000CD160000}"/>
    <cellStyle name="20% - Accent3 4 4 2 2 2 2 2" xfId="40434" xr:uid="{00000000-0005-0000-0000-0000CE160000}"/>
    <cellStyle name="20% - Accent3 4 4 2 2 2 3" xfId="30194" xr:uid="{00000000-0005-0000-0000-0000CF160000}"/>
    <cellStyle name="20% - Accent3 4 4 2 2 3" xfId="14834" xr:uid="{00000000-0005-0000-0000-0000D0160000}"/>
    <cellStyle name="20% - Accent3 4 4 2 2 3 2" xfId="35314" xr:uid="{00000000-0005-0000-0000-0000D1160000}"/>
    <cellStyle name="20% - Accent3 4 4 2 2 4" xfId="25074" xr:uid="{00000000-0005-0000-0000-0000D2160000}"/>
    <cellStyle name="20% - Accent3 4 4 2 3" xfId="7154" xr:uid="{00000000-0005-0000-0000-0000D3160000}"/>
    <cellStyle name="20% - Accent3 4 4 2 3 2" xfId="17394" xr:uid="{00000000-0005-0000-0000-0000D4160000}"/>
    <cellStyle name="20% - Accent3 4 4 2 3 2 2" xfId="37874" xr:uid="{00000000-0005-0000-0000-0000D5160000}"/>
    <cellStyle name="20% - Accent3 4 4 2 3 3" xfId="27634" xr:uid="{00000000-0005-0000-0000-0000D6160000}"/>
    <cellStyle name="20% - Accent3 4 4 2 4" xfId="12274" xr:uid="{00000000-0005-0000-0000-0000D7160000}"/>
    <cellStyle name="20% - Accent3 4 4 2 4 2" xfId="32754" xr:uid="{00000000-0005-0000-0000-0000D8160000}"/>
    <cellStyle name="20% - Accent3 4 4 2 5" xfId="22514" xr:uid="{00000000-0005-0000-0000-0000D9160000}"/>
    <cellStyle name="20% - Accent3 4 4 3" xfId="3314" xr:uid="{00000000-0005-0000-0000-0000DA160000}"/>
    <cellStyle name="20% - Accent3 4 4 3 2" xfId="8434" xr:uid="{00000000-0005-0000-0000-0000DB160000}"/>
    <cellStyle name="20% - Accent3 4 4 3 2 2" xfId="18674" xr:uid="{00000000-0005-0000-0000-0000DC160000}"/>
    <cellStyle name="20% - Accent3 4 4 3 2 2 2" xfId="39154" xr:uid="{00000000-0005-0000-0000-0000DD160000}"/>
    <cellStyle name="20% - Accent3 4 4 3 2 3" xfId="28914" xr:uid="{00000000-0005-0000-0000-0000DE160000}"/>
    <cellStyle name="20% - Accent3 4 4 3 3" xfId="13554" xr:uid="{00000000-0005-0000-0000-0000DF160000}"/>
    <cellStyle name="20% - Accent3 4 4 3 3 2" xfId="34034" xr:uid="{00000000-0005-0000-0000-0000E0160000}"/>
    <cellStyle name="20% - Accent3 4 4 3 4" xfId="23794" xr:uid="{00000000-0005-0000-0000-0000E1160000}"/>
    <cellStyle name="20% - Accent3 4 4 4" xfId="5874" xr:uid="{00000000-0005-0000-0000-0000E2160000}"/>
    <cellStyle name="20% - Accent3 4 4 4 2" xfId="16114" xr:uid="{00000000-0005-0000-0000-0000E3160000}"/>
    <cellStyle name="20% - Accent3 4 4 4 2 2" xfId="36594" xr:uid="{00000000-0005-0000-0000-0000E4160000}"/>
    <cellStyle name="20% - Accent3 4 4 4 3" xfId="26354" xr:uid="{00000000-0005-0000-0000-0000E5160000}"/>
    <cellStyle name="20% - Accent3 4 4 5" xfId="10994" xr:uid="{00000000-0005-0000-0000-0000E6160000}"/>
    <cellStyle name="20% - Accent3 4 4 5 2" xfId="31474" xr:uid="{00000000-0005-0000-0000-0000E7160000}"/>
    <cellStyle name="20% - Accent3 4 4 6" xfId="21234" xr:uid="{00000000-0005-0000-0000-0000E8160000}"/>
    <cellStyle name="20% - Accent3 4 5" xfId="1394" xr:uid="{00000000-0005-0000-0000-0000E9160000}"/>
    <cellStyle name="20% - Accent3 4 5 2" xfId="3954" xr:uid="{00000000-0005-0000-0000-0000EA160000}"/>
    <cellStyle name="20% - Accent3 4 5 2 2" xfId="9074" xr:uid="{00000000-0005-0000-0000-0000EB160000}"/>
    <cellStyle name="20% - Accent3 4 5 2 2 2" xfId="19314" xr:uid="{00000000-0005-0000-0000-0000EC160000}"/>
    <cellStyle name="20% - Accent3 4 5 2 2 2 2" xfId="39794" xr:uid="{00000000-0005-0000-0000-0000ED160000}"/>
    <cellStyle name="20% - Accent3 4 5 2 2 3" xfId="29554" xr:uid="{00000000-0005-0000-0000-0000EE160000}"/>
    <cellStyle name="20% - Accent3 4 5 2 3" xfId="14194" xr:uid="{00000000-0005-0000-0000-0000EF160000}"/>
    <cellStyle name="20% - Accent3 4 5 2 3 2" xfId="34674" xr:uid="{00000000-0005-0000-0000-0000F0160000}"/>
    <cellStyle name="20% - Accent3 4 5 2 4" xfId="24434" xr:uid="{00000000-0005-0000-0000-0000F1160000}"/>
    <cellStyle name="20% - Accent3 4 5 3" xfId="6514" xr:uid="{00000000-0005-0000-0000-0000F2160000}"/>
    <cellStyle name="20% - Accent3 4 5 3 2" xfId="16754" xr:uid="{00000000-0005-0000-0000-0000F3160000}"/>
    <cellStyle name="20% - Accent3 4 5 3 2 2" xfId="37234" xr:uid="{00000000-0005-0000-0000-0000F4160000}"/>
    <cellStyle name="20% - Accent3 4 5 3 3" xfId="26994" xr:uid="{00000000-0005-0000-0000-0000F5160000}"/>
    <cellStyle name="20% - Accent3 4 5 4" xfId="11634" xr:uid="{00000000-0005-0000-0000-0000F6160000}"/>
    <cellStyle name="20% - Accent3 4 5 4 2" xfId="32114" xr:uid="{00000000-0005-0000-0000-0000F7160000}"/>
    <cellStyle name="20% - Accent3 4 5 5" xfId="21874" xr:uid="{00000000-0005-0000-0000-0000F8160000}"/>
    <cellStyle name="20% - Accent3 4 6" xfId="2674" xr:uid="{00000000-0005-0000-0000-0000F9160000}"/>
    <cellStyle name="20% - Accent3 4 6 2" xfId="7794" xr:uid="{00000000-0005-0000-0000-0000FA160000}"/>
    <cellStyle name="20% - Accent3 4 6 2 2" xfId="18034" xr:uid="{00000000-0005-0000-0000-0000FB160000}"/>
    <cellStyle name="20% - Accent3 4 6 2 2 2" xfId="38514" xr:uid="{00000000-0005-0000-0000-0000FC160000}"/>
    <cellStyle name="20% - Accent3 4 6 2 3" xfId="28274" xr:uid="{00000000-0005-0000-0000-0000FD160000}"/>
    <cellStyle name="20% - Accent3 4 6 3" xfId="12914" xr:uid="{00000000-0005-0000-0000-0000FE160000}"/>
    <cellStyle name="20% - Accent3 4 6 3 2" xfId="33394" xr:uid="{00000000-0005-0000-0000-0000FF160000}"/>
    <cellStyle name="20% - Accent3 4 6 4" xfId="23154" xr:uid="{00000000-0005-0000-0000-000000170000}"/>
    <cellStyle name="20% - Accent3 4 7" xfId="5234" xr:uid="{00000000-0005-0000-0000-000001170000}"/>
    <cellStyle name="20% - Accent3 4 7 2" xfId="15474" xr:uid="{00000000-0005-0000-0000-000002170000}"/>
    <cellStyle name="20% - Accent3 4 7 2 2" xfId="35954" xr:uid="{00000000-0005-0000-0000-000003170000}"/>
    <cellStyle name="20% - Accent3 4 7 3" xfId="25714" xr:uid="{00000000-0005-0000-0000-000004170000}"/>
    <cellStyle name="20% - Accent3 4 8" xfId="10354" xr:uid="{00000000-0005-0000-0000-000005170000}"/>
    <cellStyle name="20% - Accent3 4 8 2" xfId="30834" xr:uid="{00000000-0005-0000-0000-000006170000}"/>
    <cellStyle name="20% - Accent3 4 9" xfId="20594" xr:uid="{00000000-0005-0000-0000-000007170000}"/>
    <cellStyle name="20% - Accent3 5" xfId="194" xr:uid="{00000000-0005-0000-0000-000008170000}"/>
    <cellStyle name="20% - Accent3 5 2" xfId="514" xr:uid="{00000000-0005-0000-0000-000009170000}"/>
    <cellStyle name="20% - Accent3 5 2 2" xfId="1154" xr:uid="{00000000-0005-0000-0000-00000A170000}"/>
    <cellStyle name="20% - Accent3 5 2 2 2" xfId="2434" xr:uid="{00000000-0005-0000-0000-00000B170000}"/>
    <cellStyle name="20% - Accent3 5 2 2 2 2" xfId="4994" xr:uid="{00000000-0005-0000-0000-00000C170000}"/>
    <cellStyle name="20% - Accent3 5 2 2 2 2 2" xfId="10114" xr:uid="{00000000-0005-0000-0000-00000D170000}"/>
    <cellStyle name="20% - Accent3 5 2 2 2 2 2 2" xfId="20354" xr:uid="{00000000-0005-0000-0000-00000E170000}"/>
    <cellStyle name="20% - Accent3 5 2 2 2 2 2 2 2" xfId="40834" xr:uid="{00000000-0005-0000-0000-00000F170000}"/>
    <cellStyle name="20% - Accent3 5 2 2 2 2 2 3" xfId="30594" xr:uid="{00000000-0005-0000-0000-000010170000}"/>
    <cellStyle name="20% - Accent3 5 2 2 2 2 3" xfId="15234" xr:uid="{00000000-0005-0000-0000-000011170000}"/>
    <cellStyle name="20% - Accent3 5 2 2 2 2 3 2" xfId="35714" xr:uid="{00000000-0005-0000-0000-000012170000}"/>
    <cellStyle name="20% - Accent3 5 2 2 2 2 4" xfId="25474" xr:uid="{00000000-0005-0000-0000-000013170000}"/>
    <cellStyle name="20% - Accent3 5 2 2 2 3" xfId="7554" xr:uid="{00000000-0005-0000-0000-000014170000}"/>
    <cellStyle name="20% - Accent3 5 2 2 2 3 2" xfId="17794" xr:uid="{00000000-0005-0000-0000-000015170000}"/>
    <cellStyle name="20% - Accent3 5 2 2 2 3 2 2" xfId="38274" xr:uid="{00000000-0005-0000-0000-000016170000}"/>
    <cellStyle name="20% - Accent3 5 2 2 2 3 3" xfId="28034" xr:uid="{00000000-0005-0000-0000-000017170000}"/>
    <cellStyle name="20% - Accent3 5 2 2 2 4" xfId="12674" xr:uid="{00000000-0005-0000-0000-000018170000}"/>
    <cellStyle name="20% - Accent3 5 2 2 2 4 2" xfId="33154" xr:uid="{00000000-0005-0000-0000-000019170000}"/>
    <cellStyle name="20% - Accent3 5 2 2 2 5" xfId="22914" xr:uid="{00000000-0005-0000-0000-00001A170000}"/>
    <cellStyle name="20% - Accent3 5 2 2 3" xfId="3714" xr:uid="{00000000-0005-0000-0000-00001B170000}"/>
    <cellStyle name="20% - Accent3 5 2 2 3 2" xfId="8834" xr:uid="{00000000-0005-0000-0000-00001C170000}"/>
    <cellStyle name="20% - Accent3 5 2 2 3 2 2" xfId="19074" xr:uid="{00000000-0005-0000-0000-00001D170000}"/>
    <cellStyle name="20% - Accent3 5 2 2 3 2 2 2" xfId="39554" xr:uid="{00000000-0005-0000-0000-00001E170000}"/>
    <cellStyle name="20% - Accent3 5 2 2 3 2 3" xfId="29314" xr:uid="{00000000-0005-0000-0000-00001F170000}"/>
    <cellStyle name="20% - Accent3 5 2 2 3 3" xfId="13954" xr:uid="{00000000-0005-0000-0000-000020170000}"/>
    <cellStyle name="20% - Accent3 5 2 2 3 3 2" xfId="34434" xr:uid="{00000000-0005-0000-0000-000021170000}"/>
    <cellStyle name="20% - Accent3 5 2 2 3 4" xfId="24194" xr:uid="{00000000-0005-0000-0000-000022170000}"/>
    <cellStyle name="20% - Accent3 5 2 2 4" xfId="6274" xr:uid="{00000000-0005-0000-0000-000023170000}"/>
    <cellStyle name="20% - Accent3 5 2 2 4 2" xfId="16514" xr:uid="{00000000-0005-0000-0000-000024170000}"/>
    <cellStyle name="20% - Accent3 5 2 2 4 2 2" xfId="36994" xr:uid="{00000000-0005-0000-0000-000025170000}"/>
    <cellStyle name="20% - Accent3 5 2 2 4 3" xfId="26754" xr:uid="{00000000-0005-0000-0000-000026170000}"/>
    <cellStyle name="20% - Accent3 5 2 2 5" xfId="11394" xr:uid="{00000000-0005-0000-0000-000027170000}"/>
    <cellStyle name="20% - Accent3 5 2 2 5 2" xfId="31874" xr:uid="{00000000-0005-0000-0000-000028170000}"/>
    <cellStyle name="20% - Accent3 5 2 2 6" xfId="21634" xr:uid="{00000000-0005-0000-0000-000029170000}"/>
    <cellStyle name="20% - Accent3 5 2 3" xfId="1794" xr:uid="{00000000-0005-0000-0000-00002A170000}"/>
    <cellStyle name="20% - Accent3 5 2 3 2" xfId="4354" xr:uid="{00000000-0005-0000-0000-00002B170000}"/>
    <cellStyle name="20% - Accent3 5 2 3 2 2" xfId="9474" xr:uid="{00000000-0005-0000-0000-00002C170000}"/>
    <cellStyle name="20% - Accent3 5 2 3 2 2 2" xfId="19714" xr:uid="{00000000-0005-0000-0000-00002D170000}"/>
    <cellStyle name="20% - Accent3 5 2 3 2 2 2 2" xfId="40194" xr:uid="{00000000-0005-0000-0000-00002E170000}"/>
    <cellStyle name="20% - Accent3 5 2 3 2 2 3" xfId="29954" xr:uid="{00000000-0005-0000-0000-00002F170000}"/>
    <cellStyle name="20% - Accent3 5 2 3 2 3" xfId="14594" xr:uid="{00000000-0005-0000-0000-000030170000}"/>
    <cellStyle name="20% - Accent3 5 2 3 2 3 2" xfId="35074" xr:uid="{00000000-0005-0000-0000-000031170000}"/>
    <cellStyle name="20% - Accent3 5 2 3 2 4" xfId="24834" xr:uid="{00000000-0005-0000-0000-000032170000}"/>
    <cellStyle name="20% - Accent3 5 2 3 3" xfId="6914" xr:uid="{00000000-0005-0000-0000-000033170000}"/>
    <cellStyle name="20% - Accent3 5 2 3 3 2" xfId="17154" xr:uid="{00000000-0005-0000-0000-000034170000}"/>
    <cellStyle name="20% - Accent3 5 2 3 3 2 2" xfId="37634" xr:uid="{00000000-0005-0000-0000-000035170000}"/>
    <cellStyle name="20% - Accent3 5 2 3 3 3" xfId="27394" xr:uid="{00000000-0005-0000-0000-000036170000}"/>
    <cellStyle name="20% - Accent3 5 2 3 4" xfId="12034" xr:uid="{00000000-0005-0000-0000-000037170000}"/>
    <cellStyle name="20% - Accent3 5 2 3 4 2" xfId="32514" xr:uid="{00000000-0005-0000-0000-000038170000}"/>
    <cellStyle name="20% - Accent3 5 2 3 5" xfId="22274" xr:uid="{00000000-0005-0000-0000-000039170000}"/>
    <cellStyle name="20% - Accent3 5 2 4" xfId="3074" xr:uid="{00000000-0005-0000-0000-00003A170000}"/>
    <cellStyle name="20% - Accent3 5 2 4 2" xfId="8194" xr:uid="{00000000-0005-0000-0000-00003B170000}"/>
    <cellStyle name="20% - Accent3 5 2 4 2 2" xfId="18434" xr:uid="{00000000-0005-0000-0000-00003C170000}"/>
    <cellStyle name="20% - Accent3 5 2 4 2 2 2" xfId="38914" xr:uid="{00000000-0005-0000-0000-00003D170000}"/>
    <cellStyle name="20% - Accent3 5 2 4 2 3" xfId="28674" xr:uid="{00000000-0005-0000-0000-00003E170000}"/>
    <cellStyle name="20% - Accent3 5 2 4 3" xfId="13314" xr:uid="{00000000-0005-0000-0000-00003F170000}"/>
    <cellStyle name="20% - Accent3 5 2 4 3 2" xfId="33794" xr:uid="{00000000-0005-0000-0000-000040170000}"/>
    <cellStyle name="20% - Accent3 5 2 4 4" xfId="23554" xr:uid="{00000000-0005-0000-0000-000041170000}"/>
    <cellStyle name="20% - Accent3 5 2 5" xfId="5634" xr:uid="{00000000-0005-0000-0000-000042170000}"/>
    <cellStyle name="20% - Accent3 5 2 5 2" xfId="15874" xr:uid="{00000000-0005-0000-0000-000043170000}"/>
    <cellStyle name="20% - Accent3 5 2 5 2 2" xfId="36354" xr:uid="{00000000-0005-0000-0000-000044170000}"/>
    <cellStyle name="20% - Accent3 5 2 5 3" xfId="26114" xr:uid="{00000000-0005-0000-0000-000045170000}"/>
    <cellStyle name="20% - Accent3 5 2 6" xfId="10754" xr:uid="{00000000-0005-0000-0000-000046170000}"/>
    <cellStyle name="20% - Accent3 5 2 6 2" xfId="31234" xr:uid="{00000000-0005-0000-0000-000047170000}"/>
    <cellStyle name="20% - Accent3 5 2 7" xfId="20994" xr:uid="{00000000-0005-0000-0000-000048170000}"/>
    <cellStyle name="20% - Accent3 5 3" xfId="834" xr:uid="{00000000-0005-0000-0000-000049170000}"/>
    <cellStyle name="20% - Accent3 5 3 2" xfId="2114" xr:uid="{00000000-0005-0000-0000-00004A170000}"/>
    <cellStyle name="20% - Accent3 5 3 2 2" xfId="4674" xr:uid="{00000000-0005-0000-0000-00004B170000}"/>
    <cellStyle name="20% - Accent3 5 3 2 2 2" xfId="9794" xr:uid="{00000000-0005-0000-0000-00004C170000}"/>
    <cellStyle name="20% - Accent3 5 3 2 2 2 2" xfId="20034" xr:uid="{00000000-0005-0000-0000-00004D170000}"/>
    <cellStyle name="20% - Accent3 5 3 2 2 2 2 2" xfId="40514" xr:uid="{00000000-0005-0000-0000-00004E170000}"/>
    <cellStyle name="20% - Accent3 5 3 2 2 2 3" xfId="30274" xr:uid="{00000000-0005-0000-0000-00004F170000}"/>
    <cellStyle name="20% - Accent3 5 3 2 2 3" xfId="14914" xr:uid="{00000000-0005-0000-0000-000050170000}"/>
    <cellStyle name="20% - Accent3 5 3 2 2 3 2" xfId="35394" xr:uid="{00000000-0005-0000-0000-000051170000}"/>
    <cellStyle name="20% - Accent3 5 3 2 2 4" xfId="25154" xr:uid="{00000000-0005-0000-0000-000052170000}"/>
    <cellStyle name="20% - Accent3 5 3 2 3" xfId="7234" xr:uid="{00000000-0005-0000-0000-000053170000}"/>
    <cellStyle name="20% - Accent3 5 3 2 3 2" xfId="17474" xr:uid="{00000000-0005-0000-0000-000054170000}"/>
    <cellStyle name="20% - Accent3 5 3 2 3 2 2" xfId="37954" xr:uid="{00000000-0005-0000-0000-000055170000}"/>
    <cellStyle name="20% - Accent3 5 3 2 3 3" xfId="27714" xr:uid="{00000000-0005-0000-0000-000056170000}"/>
    <cellStyle name="20% - Accent3 5 3 2 4" xfId="12354" xr:uid="{00000000-0005-0000-0000-000057170000}"/>
    <cellStyle name="20% - Accent3 5 3 2 4 2" xfId="32834" xr:uid="{00000000-0005-0000-0000-000058170000}"/>
    <cellStyle name="20% - Accent3 5 3 2 5" xfId="22594" xr:uid="{00000000-0005-0000-0000-000059170000}"/>
    <cellStyle name="20% - Accent3 5 3 3" xfId="3394" xr:uid="{00000000-0005-0000-0000-00005A170000}"/>
    <cellStyle name="20% - Accent3 5 3 3 2" xfId="8514" xr:uid="{00000000-0005-0000-0000-00005B170000}"/>
    <cellStyle name="20% - Accent3 5 3 3 2 2" xfId="18754" xr:uid="{00000000-0005-0000-0000-00005C170000}"/>
    <cellStyle name="20% - Accent3 5 3 3 2 2 2" xfId="39234" xr:uid="{00000000-0005-0000-0000-00005D170000}"/>
    <cellStyle name="20% - Accent3 5 3 3 2 3" xfId="28994" xr:uid="{00000000-0005-0000-0000-00005E170000}"/>
    <cellStyle name="20% - Accent3 5 3 3 3" xfId="13634" xr:uid="{00000000-0005-0000-0000-00005F170000}"/>
    <cellStyle name="20% - Accent3 5 3 3 3 2" xfId="34114" xr:uid="{00000000-0005-0000-0000-000060170000}"/>
    <cellStyle name="20% - Accent3 5 3 3 4" xfId="23874" xr:uid="{00000000-0005-0000-0000-000061170000}"/>
    <cellStyle name="20% - Accent3 5 3 4" xfId="5954" xr:uid="{00000000-0005-0000-0000-000062170000}"/>
    <cellStyle name="20% - Accent3 5 3 4 2" xfId="16194" xr:uid="{00000000-0005-0000-0000-000063170000}"/>
    <cellStyle name="20% - Accent3 5 3 4 2 2" xfId="36674" xr:uid="{00000000-0005-0000-0000-000064170000}"/>
    <cellStyle name="20% - Accent3 5 3 4 3" xfId="26434" xr:uid="{00000000-0005-0000-0000-000065170000}"/>
    <cellStyle name="20% - Accent3 5 3 5" xfId="11074" xr:uid="{00000000-0005-0000-0000-000066170000}"/>
    <cellStyle name="20% - Accent3 5 3 5 2" xfId="31554" xr:uid="{00000000-0005-0000-0000-000067170000}"/>
    <cellStyle name="20% - Accent3 5 3 6" xfId="21314" xr:uid="{00000000-0005-0000-0000-000068170000}"/>
    <cellStyle name="20% - Accent3 5 4" xfId="1474" xr:uid="{00000000-0005-0000-0000-000069170000}"/>
    <cellStyle name="20% - Accent3 5 4 2" xfId="4034" xr:uid="{00000000-0005-0000-0000-00006A170000}"/>
    <cellStyle name="20% - Accent3 5 4 2 2" xfId="9154" xr:uid="{00000000-0005-0000-0000-00006B170000}"/>
    <cellStyle name="20% - Accent3 5 4 2 2 2" xfId="19394" xr:uid="{00000000-0005-0000-0000-00006C170000}"/>
    <cellStyle name="20% - Accent3 5 4 2 2 2 2" xfId="39874" xr:uid="{00000000-0005-0000-0000-00006D170000}"/>
    <cellStyle name="20% - Accent3 5 4 2 2 3" xfId="29634" xr:uid="{00000000-0005-0000-0000-00006E170000}"/>
    <cellStyle name="20% - Accent3 5 4 2 3" xfId="14274" xr:uid="{00000000-0005-0000-0000-00006F170000}"/>
    <cellStyle name="20% - Accent3 5 4 2 3 2" xfId="34754" xr:uid="{00000000-0005-0000-0000-000070170000}"/>
    <cellStyle name="20% - Accent3 5 4 2 4" xfId="24514" xr:uid="{00000000-0005-0000-0000-000071170000}"/>
    <cellStyle name="20% - Accent3 5 4 3" xfId="6594" xr:uid="{00000000-0005-0000-0000-000072170000}"/>
    <cellStyle name="20% - Accent3 5 4 3 2" xfId="16834" xr:uid="{00000000-0005-0000-0000-000073170000}"/>
    <cellStyle name="20% - Accent3 5 4 3 2 2" xfId="37314" xr:uid="{00000000-0005-0000-0000-000074170000}"/>
    <cellStyle name="20% - Accent3 5 4 3 3" xfId="27074" xr:uid="{00000000-0005-0000-0000-000075170000}"/>
    <cellStyle name="20% - Accent3 5 4 4" xfId="11714" xr:uid="{00000000-0005-0000-0000-000076170000}"/>
    <cellStyle name="20% - Accent3 5 4 4 2" xfId="32194" xr:uid="{00000000-0005-0000-0000-000077170000}"/>
    <cellStyle name="20% - Accent3 5 4 5" xfId="21954" xr:uid="{00000000-0005-0000-0000-000078170000}"/>
    <cellStyle name="20% - Accent3 5 5" xfId="2754" xr:uid="{00000000-0005-0000-0000-000079170000}"/>
    <cellStyle name="20% - Accent3 5 5 2" xfId="7874" xr:uid="{00000000-0005-0000-0000-00007A170000}"/>
    <cellStyle name="20% - Accent3 5 5 2 2" xfId="18114" xr:uid="{00000000-0005-0000-0000-00007B170000}"/>
    <cellStyle name="20% - Accent3 5 5 2 2 2" xfId="38594" xr:uid="{00000000-0005-0000-0000-00007C170000}"/>
    <cellStyle name="20% - Accent3 5 5 2 3" xfId="28354" xr:uid="{00000000-0005-0000-0000-00007D170000}"/>
    <cellStyle name="20% - Accent3 5 5 3" xfId="12994" xr:uid="{00000000-0005-0000-0000-00007E170000}"/>
    <cellStyle name="20% - Accent3 5 5 3 2" xfId="33474" xr:uid="{00000000-0005-0000-0000-00007F170000}"/>
    <cellStyle name="20% - Accent3 5 5 4" xfId="23234" xr:uid="{00000000-0005-0000-0000-000080170000}"/>
    <cellStyle name="20% - Accent3 5 6" xfId="5314" xr:uid="{00000000-0005-0000-0000-000081170000}"/>
    <cellStyle name="20% - Accent3 5 6 2" xfId="15554" xr:uid="{00000000-0005-0000-0000-000082170000}"/>
    <cellStyle name="20% - Accent3 5 6 2 2" xfId="36034" xr:uid="{00000000-0005-0000-0000-000083170000}"/>
    <cellStyle name="20% - Accent3 5 6 3" xfId="25794" xr:uid="{00000000-0005-0000-0000-000084170000}"/>
    <cellStyle name="20% - Accent3 5 7" xfId="10434" xr:uid="{00000000-0005-0000-0000-000085170000}"/>
    <cellStyle name="20% - Accent3 5 7 2" xfId="30914" xr:uid="{00000000-0005-0000-0000-000086170000}"/>
    <cellStyle name="20% - Accent3 5 8" xfId="20674" xr:uid="{00000000-0005-0000-0000-000087170000}"/>
    <cellStyle name="20% - Accent3 6" xfId="354" xr:uid="{00000000-0005-0000-0000-000088170000}"/>
    <cellStyle name="20% - Accent3 6 2" xfId="994" xr:uid="{00000000-0005-0000-0000-000089170000}"/>
    <cellStyle name="20% - Accent3 6 2 2" xfId="2274" xr:uid="{00000000-0005-0000-0000-00008A170000}"/>
    <cellStyle name="20% - Accent3 6 2 2 2" xfId="4834" xr:uid="{00000000-0005-0000-0000-00008B170000}"/>
    <cellStyle name="20% - Accent3 6 2 2 2 2" xfId="9954" xr:uid="{00000000-0005-0000-0000-00008C170000}"/>
    <cellStyle name="20% - Accent3 6 2 2 2 2 2" xfId="20194" xr:uid="{00000000-0005-0000-0000-00008D170000}"/>
    <cellStyle name="20% - Accent3 6 2 2 2 2 2 2" xfId="40674" xr:uid="{00000000-0005-0000-0000-00008E170000}"/>
    <cellStyle name="20% - Accent3 6 2 2 2 2 3" xfId="30434" xr:uid="{00000000-0005-0000-0000-00008F170000}"/>
    <cellStyle name="20% - Accent3 6 2 2 2 3" xfId="15074" xr:uid="{00000000-0005-0000-0000-000090170000}"/>
    <cellStyle name="20% - Accent3 6 2 2 2 3 2" xfId="35554" xr:uid="{00000000-0005-0000-0000-000091170000}"/>
    <cellStyle name="20% - Accent3 6 2 2 2 4" xfId="25314" xr:uid="{00000000-0005-0000-0000-000092170000}"/>
    <cellStyle name="20% - Accent3 6 2 2 3" xfId="7394" xr:uid="{00000000-0005-0000-0000-000093170000}"/>
    <cellStyle name="20% - Accent3 6 2 2 3 2" xfId="17634" xr:uid="{00000000-0005-0000-0000-000094170000}"/>
    <cellStyle name="20% - Accent3 6 2 2 3 2 2" xfId="38114" xr:uid="{00000000-0005-0000-0000-000095170000}"/>
    <cellStyle name="20% - Accent3 6 2 2 3 3" xfId="27874" xr:uid="{00000000-0005-0000-0000-000096170000}"/>
    <cellStyle name="20% - Accent3 6 2 2 4" xfId="12514" xr:uid="{00000000-0005-0000-0000-000097170000}"/>
    <cellStyle name="20% - Accent3 6 2 2 4 2" xfId="32994" xr:uid="{00000000-0005-0000-0000-000098170000}"/>
    <cellStyle name="20% - Accent3 6 2 2 5" xfId="22754" xr:uid="{00000000-0005-0000-0000-000099170000}"/>
    <cellStyle name="20% - Accent3 6 2 3" xfId="3554" xr:uid="{00000000-0005-0000-0000-00009A170000}"/>
    <cellStyle name="20% - Accent3 6 2 3 2" xfId="8674" xr:uid="{00000000-0005-0000-0000-00009B170000}"/>
    <cellStyle name="20% - Accent3 6 2 3 2 2" xfId="18914" xr:uid="{00000000-0005-0000-0000-00009C170000}"/>
    <cellStyle name="20% - Accent3 6 2 3 2 2 2" xfId="39394" xr:uid="{00000000-0005-0000-0000-00009D170000}"/>
    <cellStyle name="20% - Accent3 6 2 3 2 3" xfId="29154" xr:uid="{00000000-0005-0000-0000-00009E170000}"/>
    <cellStyle name="20% - Accent3 6 2 3 3" xfId="13794" xr:uid="{00000000-0005-0000-0000-00009F170000}"/>
    <cellStyle name="20% - Accent3 6 2 3 3 2" xfId="34274" xr:uid="{00000000-0005-0000-0000-0000A0170000}"/>
    <cellStyle name="20% - Accent3 6 2 3 4" xfId="24034" xr:uid="{00000000-0005-0000-0000-0000A1170000}"/>
    <cellStyle name="20% - Accent3 6 2 4" xfId="6114" xr:uid="{00000000-0005-0000-0000-0000A2170000}"/>
    <cellStyle name="20% - Accent3 6 2 4 2" xfId="16354" xr:uid="{00000000-0005-0000-0000-0000A3170000}"/>
    <cellStyle name="20% - Accent3 6 2 4 2 2" xfId="36834" xr:uid="{00000000-0005-0000-0000-0000A4170000}"/>
    <cellStyle name="20% - Accent3 6 2 4 3" xfId="26594" xr:uid="{00000000-0005-0000-0000-0000A5170000}"/>
    <cellStyle name="20% - Accent3 6 2 5" xfId="11234" xr:uid="{00000000-0005-0000-0000-0000A6170000}"/>
    <cellStyle name="20% - Accent3 6 2 5 2" xfId="31714" xr:uid="{00000000-0005-0000-0000-0000A7170000}"/>
    <cellStyle name="20% - Accent3 6 2 6" xfId="21474" xr:uid="{00000000-0005-0000-0000-0000A8170000}"/>
    <cellStyle name="20% - Accent3 6 3" xfId="1634" xr:uid="{00000000-0005-0000-0000-0000A9170000}"/>
    <cellStyle name="20% - Accent3 6 3 2" xfId="4194" xr:uid="{00000000-0005-0000-0000-0000AA170000}"/>
    <cellStyle name="20% - Accent3 6 3 2 2" xfId="9314" xr:uid="{00000000-0005-0000-0000-0000AB170000}"/>
    <cellStyle name="20% - Accent3 6 3 2 2 2" xfId="19554" xr:uid="{00000000-0005-0000-0000-0000AC170000}"/>
    <cellStyle name="20% - Accent3 6 3 2 2 2 2" xfId="40034" xr:uid="{00000000-0005-0000-0000-0000AD170000}"/>
    <cellStyle name="20% - Accent3 6 3 2 2 3" xfId="29794" xr:uid="{00000000-0005-0000-0000-0000AE170000}"/>
    <cellStyle name="20% - Accent3 6 3 2 3" xfId="14434" xr:uid="{00000000-0005-0000-0000-0000AF170000}"/>
    <cellStyle name="20% - Accent3 6 3 2 3 2" xfId="34914" xr:uid="{00000000-0005-0000-0000-0000B0170000}"/>
    <cellStyle name="20% - Accent3 6 3 2 4" xfId="24674" xr:uid="{00000000-0005-0000-0000-0000B1170000}"/>
    <cellStyle name="20% - Accent3 6 3 3" xfId="6754" xr:uid="{00000000-0005-0000-0000-0000B2170000}"/>
    <cellStyle name="20% - Accent3 6 3 3 2" xfId="16994" xr:uid="{00000000-0005-0000-0000-0000B3170000}"/>
    <cellStyle name="20% - Accent3 6 3 3 2 2" xfId="37474" xr:uid="{00000000-0005-0000-0000-0000B4170000}"/>
    <cellStyle name="20% - Accent3 6 3 3 3" xfId="27234" xr:uid="{00000000-0005-0000-0000-0000B5170000}"/>
    <cellStyle name="20% - Accent3 6 3 4" xfId="11874" xr:uid="{00000000-0005-0000-0000-0000B6170000}"/>
    <cellStyle name="20% - Accent3 6 3 4 2" xfId="32354" xr:uid="{00000000-0005-0000-0000-0000B7170000}"/>
    <cellStyle name="20% - Accent3 6 3 5" xfId="22114" xr:uid="{00000000-0005-0000-0000-0000B8170000}"/>
    <cellStyle name="20% - Accent3 6 4" xfId="2914" xr:uid="{00000000-0005-0000-0000-0000B9170000}"/>
    <cellStyle name="20% - Accent3 6 4 2" xfId="8034" xr:uid="{00000000-0005-0000-0000-0000BA170000}"/>
    <cellStyle name="20% - Accent3 6 4 2 2" xfId="18274" xr:uid="{00000000-0005-0000-0000-0000BB170000}"/>
    <cellStyle name="20% - Accent3 6 4 2 2 2" xfId="38754" xr:uid="{00000000-0005-0000-0000-0000BC170000}"/>
    <cellStyle name="20% - Accent3 6 4 2 3" xfId="28514" xr:uid="{00000000-0005-0000-0000-0000BD170000}"/>
    <cellStyle name="20% - Accent3 6 4 3" xfId="13154" xr:uid="{00000000-0005-0000-0000-0000BE170000}"/>
    <cellStyle name="20% - Accent3 6 4 3 2" xfId="33634" xr:uid="{00000000-0005-0000-0000-0000BF170000}"/>
    <cellStyle name="20% - Accent3 6 4 4" xfId="23394" xr:uid="{00000000-0005-0000-0000-0000C0170000}"/>
    <cellStyle name="20% - Accent3 6 5" xfId="5474" xr:uid="{00000000-0005-0000-0000-0000C1170000}"/>
    <cellStyle name="20% - Accent3 6 5 2" xfId="15714" xr:uid="{00000000-0005-0000-0000-0000C2170000}"/>
    <cellStyle name="20% - Accent3 6 5 2 2" xfId="36194" xr:uid="{00000000-0005-0000-0000-0000C3170000}"/>
    <cellStyle name="20% - Accent3 6 5 3" xfId="25954" xr:uid="{00000000-0005-0000-0000-0000C4170000}"/>
    <cellStyle name="20% - Accent3 6 6" xfId="10594" xr:uid="{00000000-0005-0000-0000-0000C5170000}"/>
    <cellStyle name="20% - Accent3 6 6 2" xfId="31074" xr:uid="{00000000-0005-0000-0000-0000C6170000}"/>
    <cellStyle name="20% - Accent3 6 7" xfId="20834" xr:uid="{00000000-0005-0000-0000-0000C7170000}"/>
    <cellStyle name="20% - Accent3 7" xfId="674" xr:uid="{00000000-0005-0000-0000-0000C8170000}"/>
    <cellStyle name="20% - Accent3 7 2" xfId="1954" xr:uid="{00000000-0005-0000-0000-0000C9170000}"/>
    <cellStyle name="20% - Accent3 7 2 2" xfId="4514" xr:uid="{00000000-0005-0000-0000-0000CA170000}"/>
    <cellStyle name="20% - Accent3 7 2 2 2" xfId="9634" xr:uid="{00000000-0005-0000-0000-0000CB170000}"/>
    <cellStyle name="20% - Accent3 7 2 2 2 2" xfId="19874" xr:uid="{00000000-0005-0000-0000-0000CC170000}"/>
    <cellStyle name="20% - Accent3 7 2 2 2 2 2" xfId="40354" xr:uid="{00000000-0005-0000-0000-0000CD170000}"/>
    <cellStyle name="20% - Accent3 7 2 2 2 3" xfId="30114" xr:uid="{00000000-0005-0000-0000-0000CE170000}"/>
    <cellStyle name="20% - Accent3 7 2 2 3" xfId="14754" xr:uid="{00000000-0005-0000-0000-0000CF170000}"/>
    <cellStyle name="20% - Accent3 7 2 2 3 2" xfId="35234" xr:uid="{00000000-0005-0000-0000-0000D0170000}"/>
    <cellStyle name="20% - Accent3 7 2 2 4" xfId="24994" xr:uid="{00000000-0005-0000-0000-0000D1170000}"/>
    <cellStyle name="20% - Accent3 7 2 3" xfId="7074" xr:uid="{00000000-0005-0000-0000-0000D2170000}"/>
    <cellStyle name="20% - Accent3 7 2 3 2" xfId="17314" xr:uid="{00000000-0005-0000-0000-0000D3170000}"/>
    <cellStyle name="20% - Accent3 7 2 3 2 2" xfId="37794" xr:uid="{00000000-0005-0000-0000-0000D4170000}"/>
    <cellStyle name="20% - Accent3 7 2 3 3" xfId="27554" xr:uid="{00000000-0005-0000-0000-0000D5170000}"/>
    <cellStyle name="20% - Accent3 7 2 4" xfId="12194" xr:uid="{00000000-0005-0000-0000-0000D6170000}"/>
    <cellStyle name="20% - Accent3 7 2 4 2" xfId="32674" xr:uid="{00000000-0005-0000-0000-0000D7170000}"/>
    <cellStyle name="20% - Accent3 7 2 5" xfId="22434" xr:uid="{00000000-0005-0000-0000-0000D8170000}"/>
    <cellStyle name="20% - Accent3 7 3" xfId="3234" xr:uid="{00000000-0005-0000-0000-0000D9170000}"/>
    <cellStyle name="20% - Accent3 7 3 2" xfId="8354" xr:uid="{00000000-0005-0000-0000-0000DA170000}"/>
    <cellStyle name="20% - Accent3 7 3 2 2" xfId="18594" xr:uid="{00000000-0005-0000-0000-0000DB170000}"/>
    <cellStyle name="20% - Accent3 7 3 2 2 2" xfId="39074" xr:uid="{00000000-0005-0000-0000-0000DC170000}"/>
    <cellStyle name="20% - Accent3 7 3 2 3" xfId="28834" xr:uid="{00000000-0005-0000-0000-0000DD170000}"/>
    <cellStyle name="20% - Accent3 7 3 3" xfId="13474" xr:uid="{00000000-0005-0000-0000-0000DE170000}"/>
    <cellStyle name="20% - Accent3 7 3 3 2" xfId="33954" xr:uid="{00000000-0005-0000-0000-0000DF170000}"/>
    <cellStyle name="20% - Accent3 7 3 4" xfId="23714" xr:uid="{00000000-0005-0000-0000-0000E0170000}"/>
    <cellStyle name="20% - Accent3 7 4" xfId="5794" xr:uid="{00000000-0005-0000-0000-0000E1170000}"/>
    <cellStyle name="20% - Accent3 7 4 2" xfId="16034" xr:uid="{00000000-0005-0000-0000-0000E2170000}"/>
    <cellStyle name="20% - Accent3 7 4 2 2" xfId="36514" xr:uid="{00000000-0005-0000-0000-0000E3170000}"/>
    <cellStyle name="20% - Accent3 7 4 3" xfId="26274" xr:uid="{00000000-0005-0000-0000-0000E4170000}"/>
    <cellStyle name="20% - Accent3 7 5" xfId="10914" xr:uid="{00000000-0005-0000-0000-0000E5170000}"/>
    <cellStyle name="20% - Accent3 7 5 2" xfId="31394" xr:uid="{00000000-0005-0000-0000-0000E6170000}"/>
    <cellStyle name="20% - Accent3 7 6" xfId="21154" xr:uid="{00000000-0005-0000-0000-0000E7170000}"/>
    <cellStyle name="20% - Accent3 8" xfId="1314" xr:uid="{00000000-0005-0000-0000-0000E8170000}"/>
    <cellStyle name="20% - Accent3 8 2" xfId="3874" xr:uid="{00000000-0005-0000-0000-0000E9170000}"/>
    <cellStyle name="20% - Accent3 8 2 2" xfId="8994" xr:uid="{00000000-0005-0000-0000-0000EA170000}"/>
    <cellStyle name="20% - Accent3 8 2 2 2" xfId="19234" xr:uid="{00000000-0005-0000-0000-0000EB170000}"/>
    <cellStyle name="20% - Accent3 8 2 2 2 2" xfId="39714" xr:uid="{00000000-0005-0000-0000-0000EC170000}"/>
    <cellStyle name="20% - Accent3 8 2 2 3" xfId="29474" xr:uid="{00000000-0005-0000-0000-0000ED170000}"/>
    <cellStyle name="20% - Accent3 8 2 3" xfId="14114" xr:uid="{00000000-0005-0000-0000-0000EE170000}"/>
    <cellStyle name="20% - Accent3 8 2 3 2" xfId="34594" xr:uid="{00000000-0005-0000-0000-0000EF170000}"/>
    <cellStyle name="20% - Accent3 8 2 4" xfId="24354" xr:uid="{00000000-0005-0000-0000-0000F0170000}"/>
    <cellStyle name="20% - Accent3 8 3" xfId="6434" xr:uid="{00000000-0005-0000-0000-0000F1170000}"/>
    <cellStyle name="20% - Accent3 8 3 2" xfId="16674" xr:uid="{00000000-0005-0000-0000-0000F2170000}"/>
    <cellStyle name="20% - Accent3 8 3 2 2" xfId="37154" xr:uid="{00000000-0005-0000-0000-0000F3170000}"/>
    <cellStyle name="20% - Accent3 8 3 3" xfId="26914" xr:uid="{00000000-0005-0000-0000-0000F4170000}"/>
    <cellStyle name="20% - Accent3 8 4" xfId="11554" xr:uid="{00000000-0005-0000-0000-0000F5170000}"/>
    <cellStyle name="20% - Accent3 8 4 2" xfId="32034" xr:uid="{00000000-0005-0000-0000-0000F6170000}"/>
    <cellStyle name="20% - Accent3 8 5" xfId="21794" xr:uid="{00000000-0005-0000-0000-0000F7170000}"/>
    <cellStyle name="20% - Accent3 9" xfId="2594" xr:uid="{00000000-0005-0000-0000-0000F8170000}"/>
    <cellStyle name="20% - Accent3 9 2" xfId="7714" xr:uid="{00000000-0005-0000-0000-0000F9170000}"/>
    <cellStyle name="20% - Accent3 9 2 2" xfId="17954" xr:uid="{00000000-0005-0000-0000-0000FA170000}"/>
    <cellStyle name="20% - Accent3 9 2 2 2" xfId="38434" xr:uid="{00000000-0005-0000-0000-0000FB170000}"/>
    <cellStyle name="20% - Accent3 9 2 3" xfId="28194" xr:uid="{00000000-0005-0000-0000-0000FC170000}"/>
    <cellStyle name="20% - Accent3 9 3" xfId="12834" xr:uid="{00000000-0005-0000-0000-0000FD170000}"/>
    <cellStyle name="20% - Accent3 9 3 2" xfId="33314" xr:uid="{00000000-0005-0000-0000-0000FE170000}"/>
    <cellStyle name="20% - Accent3 9 4" xfId="23074" xr:uid="{00000000-0005-0000-0000-0000FF170000}"/>
    <cellStyle name="20% - Accent4 10" xfId="5157" xr:uid="{00000000-0005-0000-0000-000000180000}"/>
    <cellStyle name="20% - Accent4 10 2" xfId="15397" xr:uid="{00000000-0005-0000-0000-000001180000}"/>
    <cellStyle name="20% - Accent4 10 2 2" xfId="35877" xr:uid="{00000000-0005-0000-0000-000002180000}"/>
    <cellStyle name="20% - Accent4 10 3" xfId="25637" xr:uid="{00000000-0005-0000-0000-000003180000}"/>
    <cellStyle name="20% - Accent4 11" xfId="10277" xr:uid="{00000000-0005-0000-0000-000004180000}"/>
    <cellStyle name="20% - Accent4 11 2" xfId="30757" xr:uid="{00000000-0005-0000-0000-000005180000}"/>
    <cellStyle name="20% - Accent4 12" xfId="20517" xr:uid="{00000000-0005-0000-0000-000006180000}"/>
    <cellStyle name="20% - Accent4 13" xfId="35" xr:uid="{00000000-0005-0000-0000-000007180000}"/>
    <cellStyle name="20% - Accent4 2" xfId="57" xr:uid="{00000000-0005-0000-0000-000008180000}"/>
    <cellStyle name="20% - Accent4 2 10" xfId="10297" xr:uid="{00000000-0005-0000-0000-000009180000}"/>
    <cellStyle name="20% - Accent4 2 10 2" xfId="30777" xr:uid="{00000000-0005-0000-0000-00000A180000}"/>
    <cellStyle name="20% - Accent4 2 11" xfId="20537" xr:uid="{00000000-0005-0000-0000-00000B180000}"/>
    <cellStyle name="20% - Accent4 2 2" xfId="97" xr:uid="{00000000-0005-0000-0000-00000C180000}"/>
    <cellStyle name="20% - Accent4 2 2 10" xfId="20577" xr:uid="{00000000-0005-0000-0000-00000D180000}"/>
    <cellStyle name="20% - Accent4 2 2 2" xfId="177" xr:uid="{00000000-0005-0000-0000-00000E180000}"/>
    <cellStyle name="20% - Accent4 2 2 2 2" xfId="337" xr:uid="{00000000-0005-0000-0000-00000F180000}"/>
    <cellStyle name="20% - Accent4 2 2 2 2 2" xfId="657" xr:uid="{00000000-0005-0000-0000-000010180000}"/>
    <cellStyle name="20% - Accent4 2 2 2 2 2 2" xfId="1297" xr:uid="{00000000-0005-0000-0000-000011180000}"/>
    <cellStyle name="20% - Accent4 2 2 2 2 2 2 2" xfId="2577" xr:uid="{00000000-0005-0000-0000-000012180000}"/>
    <cellStyle name="20% - Accent4 2 2 2 2 2 2 2 2" xfId="5137" xr:uid="{00000000-0005-0000-0000-000013180000}"/>
    <cellStyle name="20% - Accent4 2 2 2 2 2 2 2 2 2" xfId="10257" xr:uid="{00000000-0005-0000-0000-000014180000}"/>
    <cellStyle name="20% - Accent4 2 2 2 2 2 2 2 2 2 2" xfId="20497" xr:uid="{00000000-0005-0000-0000-000015180000}"/>
    <cellStyle name="20% - Accent4 2 2 2 2 2 2 2 2 2 2 2" xfId="40977" xr:uid="{00000000-0005-0000-0000-000016180000}"/>
    <cellStyle name="20% - Accent4 2 2 2 2 2 2 2 2 2 3" xfId="30737" xr:uid="{00000000-0005-0000-0000-000017180000}"/>
    <cellStyle name="20% - Accent4 2 2 2 2 2 2 2 2 3" xfId="15377" xr:uid="{00000000-0005-0000-0000-000018180000}"/>
    <cellStyle name="20% - Accent4 2 2 2 2 2 2 2 2 3 2" xfId="35857" xr:uid="{00000000-0005-0000-0000-000019180000}"/>
    <cellStyle name="20% - Accent4 2 2 2 2 2 2 2 2 4" xfId="25617" xr:uid="{00000000-0005-0000-0000-00001A180000}"/>
    <cellStyle name="20% - Accent4 2 2 2 2 2 2 2 3" xfId="7697" xr:uid="{00000000-0005-0000-0000-00001B180000}"/>
    <cellStyle name="20% - Accent4 2 2 2 2 2 2 2 3 2" xfId="17937" xr:uid="{00000000-0005-0000-0000-00001C180000}"/>
    <cellStyle name="20% - Accent4 2 2 2 2 2 2 2 3 2 2" xfId="38417" xr:uid="{00000000-0005-0000-0000-00001D180000}"/>
    <cellStyle name="20% - Accent4 2 2 2 2 2 2 2 3 3" xfId="28177" xr:uid="{00000000-0005-0000-0000-00001E180000}"/>
    <cellStyle name="20% - Accent4 2 2 2 2 2 2 2 4" xfId="12817" xr:uid="{00000000-0005-0000-0000-00001F180000}"/>
    <cellStyle name="20% - Accent4 2 2 2 2 2 2 2 4 2" xfId="33297" xr:uid="{00000000-0005-0000-0000-000020180000}"/>
    <cellStyle name="20% - Accent4 2 2 2 2 2 2 2 5" xfId="23057" xr:uid="{00000000-0005-0000-0000-000021180000}"/>
    <cellStyle name="20% - Accent4 2 2 2 2 2 2 3" xfId="3857" xr:uid="{00000000-0005-0000-0000-000022180000}"/>
    <cellStyle name="20% - Accent4 2 2 2 2 2 2 3 2" xfId="8977" xr:uid="{00000000-0005-0000-0000-000023180000}"/>
    <cellStyle name="20% - Accent4 2 2 2 2 2 2 3 2 2" xfId="19217" xr:uid="{00000000-0005-0000-0000-000024180000}"/>
    <cellStyle name="20% - Accent4 2 2 2 2 2 2 3 2 2 2" xfId="39697" xr:uid="{00000000-0005-0000-0000-000025180000}"/>
    <cellStyle name="20% - Accent4 2 2 2 2 2 2 3 2 3" xfId="29457" xr:uid="{00000000-0005-0000-0000-000026180000}"/>
    <cellStyle name="20% - Accent4 2 2 2 2 2 2 3 3" xfId="14097" xr:uid="{00000000-0005-0000-0000-000027180000}"/>
    <cellStyle name="20% - Accent4 2 2 2 2 2 2 3 3 2" xfId="34577" xr:uid="{00000000-0005-0000-0000-000028180000}"/>
    <cellStyle name="20% - Accent4 2 2 2 2 2 2 3 4" xfId="24337" xr:uid="{00000000-0005-0000-0000-000029180000}"/>
    <cellStyle name="20% - Accent4 2 2 2 2 2 2 4" xfId="6417" xr:uid="{00000000-0005-0000-0000-00002A180000}"/>
    <cellStyle name="20% - Accent4 2 2 2 2 2 2 4 2" xfId="16657" xr:uid="{00000000-0005-0000-0000-00002B180000}"/>
    <cellStyle name="20% - Accent4 2 2 2 2 2 2 4 2 2" xfId="37137" xr:uid="{00000000-0005-0000-0000-00002C180000}"/>
    <cellStyle name="20% - Accent4 2 2 2 2 2 2 4 3" xfId="26897" xr:uid="{00000000-0005-0000-0000-00002D180000}"/>
    <cellStyle name="20% - Accent4 2 2 2 2 2 2 5" xfId="11537" xr:uid="{00000000-0005-0000-0000-00002E180000}"/>
    <cellStyle name="20% - Accent4 2 2 2 2 2 2 5 2" xfId="32017" xr:uid="{00000000-0005-0000-0000-00002F180000}"/>
    <cellStyle name="20% - Accent4 2 2 2 2 2 2 6" xfId="21777" xr:uid="{00000000-0005-0000-0000-000030180000}"/>
    <cellStyle name="20% - Accent4 2 2 2 2 2 3" xfId="1937" xr:uid="{00000000-0005-0000-0000-000031180000}"/>
    <cellStyle name="20% - Accent4 2 2 2 2 2 3 2" xfId="4497" xr:uid="{00000000-0005-0000-0000-000032180000}"/>
    <cellStyle name="20% - Accent4 2 2 2 2 2 3 2 2" xfId="9617" xr:uid="{00000000-0005-0000-0000-000033180000}"/>
    <cellStyle name="20% - Accent4 2 2 2 2 2 3 2 2 2" xfId="19857" xr:uid="{00000000-0005-0000-0000-000034180000}"/>
    <cellStyle name="20% - Accent4 2 2 2 2 2 3 2 2 2 2" xfId="40337" xr:uid="{00000000-0005-0000-0000-000035180000}"/>
    <cellStyle name="20% - Accent4 2 2 2 2 2 3 2 2 3" xfId="30097" xr:uid="{00000000-0005-0000-0000-000036180000}"/>
    <cellStyle name="20% - Accent4 2 2 2 2 2 3 2 3" xfId="14737" xr:uid="{00000000-0005-0000-0000-000037180000}"/>
    <cellStyle name="20% - Accent4 2 2 2 2 2 3 2 3 2" xfId="35217" xr:uid="{00000000-0005-0000-0000-000038180000}"/>
    <cellStyle name="20% - Accent4 2 2 2 2 2 3 2 4" xfId="24977" xr:uid="{00000000-0005-0000-0000-000039180000}"/>
    <cellStyle name="20% - Accent4 2 2 2 2 2 3 3" xfId="7057" xr:uid="{00000000-0005-0000-0000-00003A180000}"/>
    <cellStyle name="20% - Accent4 2 2 2 2 2 3 3 2" xfId="17297" xr:uid="{00000000-0005-0000-0000-00003B180000}"/>
    <cellStyle name="20% - Accent4 2 2 2 2 2 3 3 2 2" xfId="37777" xr:uid="{00000000-0005-0000-0000-00003C180000}"/>
    <cellStyle name="20% - Accent4 2 2 2 2 2 3 3 3" xfId="27537" xr:uid="{00000000-0005-0000-0000-00003D180000}"/>
    <cellStyle name="20% - Accent4 2 2 2 2 2 3 4" xfId="12177" xr:uid="{00000000-0005-0000-0000-00003E180000}"/>
    <cellStyle name="20% - Accent4 2 2 2 2 2 3 4 2" xfId="32657" xr:uid="{00000000-0005-0000-0000-00003F180000}"/>
    <cellStyle name="20% - Accent4 2 2 2 2 2 3 5" xfId="22417" xr:uid="{00000000-0005-0000-0000-000040180000}"/>
    <cellStyle name="20% - Accent4 2 2 2 2 2 4" xfId="3217" xr:uid="{00000000-0005-0000-0000-000041180000}"/>
    <cellStyle name="20% - Accent4 2 2 2 2 2 4 2" xfId="8337" xr:uid="{00000000-0005-0000-0000-000042180000}"/>
    <cellStyle name="20% - Accent4 2 2 2 2 2 4 2 2" xfId="18577" xr:uid="{00000000-0005-0000-0000-000043180000}"/>
    <cellStyle name="20% - Accent4 2 2 2 2 2 4 2 2 2" xfId="39057" xr:uid="{00000000-0005-0000-0000-000044180000}"/>
    <cellStyle name="20% - Accent4 2 2 2 2 2 4 2 3" xfId="28817" xr:uid="{00000000-0005-0000-0000-000045180000}"/>
    <cellStyle name="20% - Accent4 2 2 2 2 2 4 3" xfId="13457" xr:uid="{00000000-0005-0000-0000-000046180000}"/>
    <cellStyle name="20% - Accent4 2 2 2 2 2 4 3 2" xfId="33937" xr:uid="{00000000-0005-0000-0000-000047180000}"/>
    <cellStyle name="20% - Accent4 2 2 2 2 2 4 4" xfId="23697" xr:uid="{00000000-0005-0000-0000-000048180000}"/>
    <cellStyle name="20% - Accent4 2 2 2 2 2 5" xfId="5777" xr:uid="{00000000-0005-0000-0000-000049180000}"/>
    <cellStyle name="20% - Accent4 2 2 2 2 2 5 2" xfId="16017" xr:uid="{00000000-0005-0000-0000-00004A180000}"/>
    <cellStyle name="20% - Accent4 2 2 2 2 2 5 2 2" xfId="36497" xr:uid="{00000000-0005-0000-0000-00004B180000}"/>
    <cellStyle name="20% - Accent4 2 2 2 2 2 5 3" xfId="26257" xr:uid="{00000000-0005-0000-0000-00004C180000}"/>
    <cellStyle name="20% - Accent4 2 2 2 2 2 6" xfId="10897" xr:uid="{00000000-0005-0000-0000-00004D180000}"/>
    <cellStyle name="20% - Accent4 2 2 2 2 2 6 2" xfId="31377" xr:uid="{00000000-0005-0000-0000-00004E180000}"/>
    <cellStyle name="20% - Accent4 2 2 2 2 2 7" xfId="21137" xr:uid="{00000000-0005-0000-0000-00004F180000}"/>
    <cellStyle name="20% - Accent4 2 2 2 2 3" xfId="977" xr:uid="{00000000-0005-0000-0000-000050180000}"/>
    <cellStyle name="20% - Accent4 2 2 2 2 3 2" xfId="2257" xr:uid="{00000000-0005-0000-0000-000051180000}"/>
    <cellStyle name="20% - Accent4 2 2 2 2 3 2 2" xfId="4817" xr:uid="{00000000-0005-0000-0000-000052180000}"/>
    <cellStyle name="20% - Accent4 2 2 2 2 3 2 2 2" xfId="9937" xr:uid="{00000000-0005-0000-0000-000053180000}"/>
    <cellStyle name="20% - Accent4 2 2 2 2 3 2 2 2 2" xfId="20177" xr:uid="{00000000-0005-0000-0000-000054180000}"/>
    <cellStyle name="20% - Accent4 2 2 2 2 3 2 2 2 2 2" xfId="40657" xr:uid="{00000000-0005-0000-0000-000055180000}"/>
    <cellStyle name="20% - Accent4 2 2 2 2 3 2 2 2 3" xfId="30417" xr:uid="{00000000-0005-0000-0000-000056180000}"/>
    <cellStyle name="20% - Accent4 2 2 2 2 3 2 2 3" xfId="15057" xr:uid="{00000000-0005-0000-0000-000057180000}"/>
    <cellStyle name="20% - Accent4 2 2 2 2 3 2 2 3 2" xfId="35537" xr:uid="{00000000-0005-0000-0000-000058180000}"/>
    <cellStyle name="20% - Accent4 2 2 2 2 3 2 2 4" xfId="25297" xr:uid="{00000000-0005-0000-0000-000059180000}"/>
    <cellStyle name="20% - Accent4 2 2 2 2 3 2 3" xfId="7377" xr:uid="{00000000-0005-0000-0000-00005A180000}"/>
    <cellStyle name="20% - Accent4 2 2 2 2 3 2 3 2" xfId="17617" xr:uid="{00000000-0005-0000-0000-00005B180000}"/>
    <cellStyle name="20% - Accent4 2 2 2 2 3 2 3 2 2" xfId="38097" xr:uid="{00000000-0005-0000-0000-00005C180000}"/>
    <cellStyle name="20% - Accent4 2 2 2 2 3 2 3 3" xfId="27857" xr:uid="{00000000-0005-0000-0000-00005D180000}"/>
    <cellStyle name="20% - Accent4 2 2 2 2 3 2 4" xfId="12497" xr:uid="{00000000-0005-0000-0000-00005E180000}"/>
    <cellStyle name="20% - Accent4 2 2 2 2 3 2 4 2" xfId="32977" xr:uid="{00000000-0005-0000-0000-00005F180000}"/>
    <cellStyle name="20% - Accent4 2 2 2 2 3 2 5" xfId="22737" xr:uid="{00000000-0005-0000-0000-000060180000}"/>
    <cellStyle name="20% - Accent4 2 2 2 2 3 3" xfId="3537" xr:uid="{00000000-0005-0000-0000-000061180000}"/>
    <cellStyle name="20% - Accent4 2 2 2 2 3 3 2" xfId="8657" xr:uid="{00000000-0005-0000-0000-000062180000}"/>
    <cellStyle name="20% - Accent4 2 2 2 2 3 3 2 2" xfId="18897" xr:uid="{00000000-0005-0000-0000-000063180000}"/>
    <cellStyle name="20% - Accent4 2 2 2 2 3 3 2 2 2" xfId="39377" xr:uid="{00000000-0005-0000-0000-000064180000}"/>
    <cellStyle name="20% - Accent4 2 2 2 2 3 3 2 3" xfId="29137" xr:uid="{00000000-0005-0000-0000-000065180000}"/>
    <cellStyle name="20% - Accent4 2 2 2 2 3 3 3" xfId="13777" xr:uid="{00000000-0005-0000-0000-000066180000}"/>
    <cellStyle name="20% - Accent4 2 2 2 2 3 3 3 2" xfId="34257" xr:uid="{00000000-0005-0000-0000-000067180000}"/>
    <cellStyle name="20% - Accent4 2 2 2 2 3 3 4" xfId="24017" xr:uid="{00000000-0005-0000-0000-000068180000}"/>
    <cellStyle name="20% - Accent4 2 2 2 2 3 4" xfId="6097" xr:uid="{00000000-0005-0000-0000-000069180000}"/>
    <cellStyle name="20% - Accent4 2 2 2 2 3 4 2" xfId="16337" xr:uid="{00000000-0005-0000-0000-00006A180000}"/>
    <cellStyle name="20% - Accent4 2 2 2 2 3 4 2 2" xfId="36817" xr:uid="{00000000-0005-0000-0000-00006B180000}"/>
    <cellStyle name="20% - Accent4 2 2 2 2 3 4 3" xfId="26577" xr:uid="{00000000-0005-0000-0000-00006C180000}"/>
    <cellStyle name="20% - Accent4 2 2 2 2 3 5" xfId="11217" xr:uid="{00000000-0005-0000-0000-00006D180000}"/>
    <cellStyle name="20% - Accent4 2 2 2 2 3 5 2" xfId="31697" xr:uid="{00000000-0005-0000-0000-00006E180000}"/>
    <cellStyle name="20% - Accent4 2 2 2 2 3 6" xfId="21457" xr:uid="{00000000-0005-0000-0000-00006F180000}"/>
    <cellStyle name="20% - Accent4 2 2 2 2 4" xfId="1617" xr:uid="{00000000-0005-0000-0000-000070180000}"/>
    <cellStyle name="20% - Accent4 2 2 2 2 4 2" xfId="4177" xr:uid="{00000000-0005-0000-0000-000071180000}"/>
    <cellStyle name="20% - Accent4 2 2 2 2 4 2 2" xfId="9297" xr:uid="{00000000-0005-0000-0000-000072180000}"/>
    <cellStyle name="20% - Accent4 2 2 2 2 4 2 2 2" xfId="19537" xr:uid="{00000000-0005-0000-0000-000073180000}"/>
    <cellStyle name="20% - Accent4 2 2 2 2 4 2 2 2 2" xfId="40017" xr:uid="{00000000-0005-0000-0000-000074180000}"/>
    <cellStyle name="20% - Accent4 2 2 2 2 4 2 2 3" xfId="29777" xr:uid="{00000000-0005-0000-0000-000075180000}"/>
    <cellStyle name="20% - Accent4 2 2 2 2 4 2 3" xfId="14417" xr:uid="{00000000-0005-0000-0000-000076180000}"/>
    <cellStyle name="20% - Accent4 2 2 2 2 4 2 3 2" xfId="34897" xr:uid="{00000000-0005-0000-0000-000077180000}"/>
    <cellStyle name="20% - Accent4 2 2 2 2 4 2 4" xfId="24657" xr:uid="{00000000-0005-0000-0000-000078180000}"/>
    <cellStyle name="20% - Accent4 2 2 2 2 4 3" xfId="6737" xr:uid="{00000000-0005-0000-0000-000079180000}"/>
    <cellStyle name="20% - Accent4 2 2 2 2 4 3 2" xfId="16977" xr:uid="{00000000-0005-0000-0000-00007A180000}"/>
    <cellStyle name="20% - Accent4 2 2 2 2 4 3 2 2" xfId="37457" xr:uid="{00000000-0005-0000-0000-00007B180000}"/>
    <cellStyle name="20% - Accent4 2 2 2 2 4 3 3" xfId="27217" xr:uid="{00000000-0005-0000-0000-00007C180000}"/>
    <cellStyle name="20% - Accent4 2 2 2 2 4 4" xfId="11857" xr:uid="{00000000-0005-0000-0000-00007D180000}"/>
    <cellStyle name="20% - Accent4 2 2 2 2 4 4 2" xfId="32337" xr:uid="{00000000-0005-0000-0000-00007E180000}"/>
    <cellStyle name="20% - Accent4 2 2 2 2 4 5" xfId="22097" xr:uid="{00000000-0005-0000-0000-00007F180000}"/>
    <cellStyle name="20% - Accent4 2 2 2 2 5" xfId="2897" xr:uid="{00000000-0005-0000-0000-000080180000}"/>
    <cellStyle name="20% - Accent4 2 2 2 2 5 2" xfId="8017" xr:uid="{00000000-0005-0000-0000-000081180000}"/>
    <cellStyle name="20% - Accent4 2 2 2 2 5 2 2" xfId="18257" xr:uid="{00000000-0005-0000-0000-000082180000}"/>
    <cellStyle name="20% - Accent4 2 2 2 2 5 2 2 2" xfId="38737" xr:uid="{00000000-0005-0000-0000-000083180000}"/>
    <cellStyle name="20% - Accent4 2 2 2 2 5 2 3" xfId="28497" xr:uid="{00000000-0005-0000-0000-000084180000}"/>
    <cellStyle name="20% - Accent4 2 2 2 2 5 3" xfId="13137" xr:uid="{00000000-0005-0000-0000-000085180000}"/>
    <cellStyle name="20% - Accent4 2 2 2 2 5 3 2" xfId="33617" xr:uid="{00000000-0005-0000-0000-000086180000}"/>
    <cellStyle name="20% - Accent4 2 2 2 2 5 4" xfId="23377" xr:uid="{00000000-0005-0000-0000-000087180000}"/>
    <cellStyle name="20% - Accent4 2 2 2 2 6" xfId="5457" xr:uid="{00000000-0005-0000-0000-000088180000}"/>
    <cellStyle name="20% - Accent4 2 2 2 2 6 2" xfId="15697" xr:uid="{00000000-0005-0000-0000-000089180000}"/>
    <cellStyle name="20% - Accent4 2 2 2 2 6 2 2" xfId="36177" xr:uid="{00000000-0005-0000-0000-00008A180000}"/>
    <cellStyle name="20% - Accent4 2 2 2 2 6 3" xfId="25937" xr:uid="{00000000-0005-0000-0000-00008B180000}"/>
    <cellStyle name="20% - Accent4 2 2 2 2 7" xfId="10577" xr:uid="{00000000-0005-0000-0000-00008C180000}"/>
    <cellStyle name="20% - Accent4 2 2 2 2 7 2" xfId="31057" xr:uid="{00000000-0005-0000-0000-00008D180000}"/>
    <cellStyle name="20% - Accent4 2 2 2 2 8" xfId="20817" xr:uid="{00000000-0005-0000-0000-00008E180000}"/>
    <cellStyle name="20% - Accent4 2 2 2 3" xfId="497" xr:uid="{00000000-0005-0000-0000-00008F180000}"/>
    <cellStyle name="20% - Accent4 2 2 2 3 2" xfId="1137" xr:uid="{00000000-0005-0000-0000-000090180000}"/>
    <cellStyle name="20% - Accent4 2 2 2 3 2 2" xfId="2417" xr:uid="{00000000-0005-0000-0000-000091180000}"/>
    <cellStyle name="20% - Accent4 2 2 2 3 2 2 2" xfId="4977" xr:uid="{00000000-0005-0000-0000-000092180000}"/>
    <cellStyle name="20% - Accent4 2 2 2 3 2 2 2 2" xfId="10097" xr:uid="{00000000-0005-0000-0000-000093180000}"/>
    <cellStyle name="20% - Accent4 2 2 2 3 2 2 2 2 2" xfId="20337" xr:uid="{00000000-0005-0000-0000-000094180000}"/>
    <cellStyle name="20% - Accent4 2 2 2 3 2 2 2 2 2 2" xfId="40817" xr:uid="{00000000-0005-0000-0000-000095180000}"/>
    <cellStyle name="20% - Accent4 2 2 2 3 2 2 2 2 3" xfId="30577" xr:uid="{00000000-0005-0000-0000-000096180000}"/>
    <cellStyle name="20% - Accent4 2 2 2 3 2 2 2 3" xfId="15217" xr:uid="{00000000-0005-0000-0000-000097180000}"/>
    <cellStyle name="20% - Accent4 2 2 2 3 2 2 2 3 2" xfId="35697" xr:uid="{00000000-0005-0000-0000-000098180000}"/>
    <cellStyle name="20% - Accent4 2 2 2 3 2 2 2 4" xfId="25457" xr:uid="{00000000-0005-0000-0000-000099180000}"/>
    <cellStyle name="20% - Accent4 2 2 2 3 2 2 3" xfId="7537" xr:uid="{00000000-0005-0000-0000-00009A180000}"/>
    <cellStyle name="20% - Accent4 2 2 2 3 2 2 3 2" xfId="17777" xr:uid="{00000000-0005-0000-0000-00009B180000}"/>
    <cellStyle name="20% - Accent4 2 2 2 3 2 2 3 2 2" xfId="38257" xr:uid="{00000000-0005-0000-0000-00009C180000}"/>
    <cellStyle name="20% - Accent4 2 2 2 3 2 2 3 3" xfId="28017" xr:uid="{00000000-0005-0000-0000-00009D180000}"/>
    <cellStyle name="20% - Accent4 2 2 2 3 2 2 4" xfId="12657" xr:uid="{00000000-0005-0000-0000-00009E180000}"/>
    <cellStyle name="20% - Accent4 2 2 2 3 2 2 4 2" xfId="33137" xr:uid="{00000000-0005-0000-0000-00009F180000}"/>
    <cellStyle name="20% - Accent4 2 2 2 3 2 2 5" xfId="22897" xr:uid="{00000000-0005-0000-0000-0000A0180000}"/>
    <cellStyle name="20% - Accent4 2 2 2 3 2 3" xfId="3697" xr:uid="{00000000-0005-0000-0000-0000A1180000}"/>
    <cellStyle name="20% - Accent4 2 2 2 3 2 3 2" xfId="8817" xr:uid="{00000000-0005-0000-0000-0000A2180000}"/>
    <cellStyle name="20% - Accent4 2 2 2 3 2 3 2 2" xfId="19057" xr:uid="{00000000-0005-0000-0000-0000A3180000}"/>
    <cellStyle name="20% - Accent4 2 2 2 3 2 3 2 2 2" xfId="39537" xr:uid="{00000000-0005-0000-0000-0000A4180000}"/>
    <cellStyle name="20% - Accent4 2 2 2 3 2 3 2 3" xfId="29297" xr:uid="{00000000-0005-0000-0000-0000A5180000}"/>
    <cellStyle name="20% - Accent4 2 2 2 3 2 3 3" xfId="13937" xr:uid="{00000000-0005-0000-0000-0000A6180000}"/>
    <cellStyle name="20% - Accent4 2 2 2 3 2 3 3 2" xfId="34417" xr:uid="{00000000-0005-0000-0000-0000A7180000}"/>
    <cellStyle name="20% - Accent4 2 2 2 3 2 3 4" xfId="24177" xr:uid="{00000000-0005-0000-0000-0000A8180000}"/>
    <cellStyle name="20% - Accent4 2 2 2 3 2 4" xfId="6257" xr:uid="{00000000-0005-0000-0000-0000A9180000}"/>
    <cellStyle name="20% - Accent4 2 2 2 3 2 4 2" xfId="16497" xr:uid="{00000000-0005-0000-0000-0000AA180000}"/>
    <cellStyle name="20% - Accent4 2 2 2 3 2 4 2 2" xfId="36977" xr:uid="{00000000-0005-0000-0000-0000AB180000}"/>
    <cellStyle name="20% - Accent4 2 2 2 3 2 4 3" xfId="26737" xr:uid="{00000000-0005-0000-0000-0000AC180000}"/>
    <cellStyle name="20% - Accent4 2 2 2 3 2 5" xfId="11377" xr:uid="{00000000-0005-0000-0000-0000AD180000}"/>
    <cellStyle name="20% - Accent4 2 2 2 3 2 5 2" xfId="31857" xr:uid="{00000000-0005-0000-0000-0000AE180000}"/>
    <cellStyle name="20% - Accent4 2 2 2 3 2 6" xfId="21617" xr:uid="{00000000-0005-0000-0000-0000AF180000}"/>
    <cellStyle name="20% - Accent4 2 2 2 3 3" xfId="1777" xr:uid="{00000000-0005-0000-0000-0000B0180000}"/>
    <cellStyle name="20% - Accent4 2 2 2 3 3 2" xfId="4337" xr:uid="{00000000-0005-0000-0000-0000B1180000}"/>
    <cellStyle name="20% - Accent4 2 2 2 3 3 2 2" xfId="9457" xr:uid="{00000000-0005-0000-0000-0000B2180000}"/>
    <cellStyle name="20% - Accent4 2 2 2 3 3 2 2 2" xfId="19697" xr:uid="{00000000-0005-0000-0000-0000B3180000}"/>
    <cellStyle name="20% - Accent4 2 2 2 3 3 2 2 2 2" xfId="40177" xr:uid="{00000000-0005-0000-0000-0000B4180000}"/>
    <cellStyle name="20% - Accent4 2 2 2 3 3 2 2 3" xfId="29937" xr:uid="{00000000-0005-0000-0000-0000B5180000}"/>
    <cellStyle name="20% - Accent4 2 2 2 3 3 2 3" xfId="14577" xr:uid="{00000000-0005-0000-0000-0000B6180000}"/>
    <cellStyle name="20% - Accent4 2 2 2 3 3 2 3 2" xfId="35057" xr:uid="{00000000-0005-0000-0000-0000B7180000}"/>
    <cellStyle name="20% - Accent4 2 2 2 3 3 2 4" xfId="24817" xr:uid="{00000000-0005-0000-0000-0000B8180000}"/>
    <cellStyle name="20% - Accent4 2 2 2 3 3 3" xfId="6897" xr:uid="{00000000-0005-0000-0000-0000B9180000}"/>
    <cellStyle name="20% - Accent4 2 2 2 3 3 3 2" xfId="17137" xr:uid="{00000000-0005-0000-0000-0000BA180000}"/>
    <cellStyle name="20% - Accent4 2 2 2 3 3 3 2 2" xfId="37617" xr:uid="{00000000-0005-0000-0000-0000BB180000}"/>
    <cellStyle name="20% - Accent4 2 2 2 3 3 3 3" xfId="27377" xr:uid="{00000000-0005-0000-0000-0000BC180000}"/>
    <cellStyle name="20% - Accent4 2 2 2 3 3 4" xfId="12017" xr:uid="{00000000-0005-0000-0000-0000BD180000}"/>
    <cellStyle name="20% - Accent4 2 2 2 3 3 4 2" xfId="32497" xr:uid="{00000000-0005-0000-0000-0000BE180000}"/>
    <cellStyle name="20% - Accent4 2 2 2 3 3 5" xfId="22257" xr:uid="{00000000-0005-0000-0000-0000BF180000}"/>
    <cellStyle name="20% - Accent4 2 2 2 3 4" xfId="3057" xr:uid="{00000000-0005-0000-0000-0000C0180000}"/>
    <cellStyle name="20% - Accent4 2 2 2 3 4 2" xfId="8177" xr:uid="{00000000-0005-0000-0000-0000C1180000}"/>
    <cellStyle name="20% - Accent4 2 2 2 3 4 2 2" xfId="18417" xr:uid="{00000000-0005-0000-0000-0000C2180000}"/>
    <cellStyle name="20% - Accent4 2 2 2 3 4 2 2 2" xfId="38897" xr:uid="{00000000-0005-0000-0000-0000C3180000}"/>
    <cellStyle name="20% - Accent4 2 2 2 3 4 2 3" xfId="28657" xr:uid="{00000000-0005-0000-0000-0000C4180000}"/>
    <cellStyle name="20% - Accent4 2 2 2 3 4 3" xfId="13297" xr:uid="{00000000-0005-0000-0000-0000C5180000}"/>
    <cellStyle name="20% - Accent4 2 2 2 3 4 3 2" xfId="33777" xr:uid="{00000000-0005-0000-0000-0000C6180000}"/>
    <cellStyle name="20% - Accent4 2 2 2 3 4 4" xfId="23537" xr:uid="{00000000-0005-0000-0000-0000C7180000}"/>
    <cellStyle name="20% - Accent4 2 2 2 3 5" xfId="5617" xr:uid="{00000000-0005-0000-0000-0000C8180000}"/>
    <cellStyle name="20% - Accent4 2 2 2 3 5 2" xfId="15857" xr:uid="{00000000-0005-0000-0000-0000C9180000}"/>
    <cellStyle name="20% - Accent4 2 2 2 3 5 2 2" xfId="36337" xr:uid="{00000000-0005-0000-0000-0000CA180000}"/>
    <cellStyle name="20% - Accent4 2 2 2 3 5 3" xfId="26097" xr:uid="{00000000-0005-0000-0000-0000CB180000}"/>
    <cellStyle name="20% - Accent4 2 2 2 3 6" xfId="10737" xr:uid="{00000000-0005-0000-0000-0000CC180000}"/>
    <cellStyle name="20% - Accent4 2 2 2 3 6 2" xfId="31217" xr:uid="{00000000-0005-0000-0000-0000CD180000}"/>
    <cellStyle name="20% - Accent4 2 2 2 3 7" xfId="20977" xr:uid="{00000000-0005-0000-0000-0000CE180000}"/>
    <cellStyle name="20% - Accent4 2 2 2 4" xfId="817" xr:uid="{00000000-0005-0000-0000-0000CF180000}"/>
    <cellStyle name="20% - Accent4 2 2 2 4 2" xfId="2097" xr:uid="{00000000-0005-0000-0000-0000D0180000}"/>
    <cellStyle name="20% - Accent4 2 2 2 4 2 2" xfId="4657" xr:uid="{00000000-0005-0000-0000-0000D1180000}"/>
    <cellStyle name="20% - Accent4 2 2 2 4 2 2 2" xfId="9777" xr:uid="{00000000-0005-0000-0000-0000D2180000}"/>
    <cellStyle name="20% - Accent4 2 2 2 4 2 2 2 2" xfId="20017" xr:uid="{00000000-0005-0000-0000-0000D3180000}"/>
    <cellStyle name="20% - Accent4 2 2 2 4 2 2 2 2 2" xfId="40497" xr:uid="{00000000-0005-0000-0000-0000D4180000}"/>
    <cellStyle name="20% - Accent4 2 2 2 4 2 2 2 3" xfId="30257" xr:uid="{00000000-0005-0000-0000-0000D5180000}"/>
    <cellStyle name="20% - Accent4 2 2 2 4 2 2 3" xfId="14897" xr:uid="{00000000-0005-0000-0000-0000D6180000}"/>
    <cellStyle name="20% - Accent4 2 2 2 4 2 2 3 2" xfId="35377" xr:uid="{00000000-0005-0000-0000-0000D7180000}"/>
    <cellStyle name="20% - Accent4 2 2 2 4 2 2 4" xfId="25137" xr:uid="{00000000-0005-0000-0000-0000D8180000}"/>
    <cellStyle name="20% - Accent4 2 2 2 4 2 3" xfId="7217" xr:uid="{00000000-0005-0000-0000-0000D9180000}"/>
    <cellStyle name="20% - Accent4 2 2 2 4 2 3 2" xfId="17457" xr:uid="{00000000-0005-0000-0000-0000DA180000}"/>
    <cellStyle name="20% - Accent4 2 2 2 4 2 3 2 2" xfId="37937" xr:uid="{00000000-0005-0000-0000-0000DB180000}"/>
    <cellStyle name="20% - Accent4 2 2 2 4 2 3 3" xfId="27697" xr:uid="{00000000-0005-0000-0000-0000DC180000}"/>
    <cellStyle name="20% - Accent4 2 2 2 4 2 4" xfId="12337" xr:uid="{00000000-0005-0000-0000-0000DD180000}"/>
    <cellStyle name="20% - Accent4 2 2 2 4 2 4 2" xfId="32817" xr:uid="{00000000-0005-0000-0000-0000DE180000}"/>
    <cellStyle name="20% - Accent4 2 2 2 4 2 5" xfId="22577" xr:uid="{00000000-0005-0000-0000-0000DF180000}"/>
    <cellStyle name="20% - Accent4 2 2 2 4 3" xfId="3377" xr:uid="{00000000-0005-0000-0000-0000E0180000}"/>
    <cellStyle name="20% - Accent4 2 2 2 4 3 2" xfId="8497" xr:uid="{00000000-0005-0000-0000-0000E1180000}"/>
    <cellStyle name="20% - Accent4 2 2 2 4 3 2 2" xfId="18737" xr:uid="{00000000-0005-0000-0000-0000E2180000}"/>
    <cellStyle name="20% - Accent4 2 2 2 4 3 2 2 2" xfId="39217" xr:uid="{00000000-0005-0000-0000-0000E3180000}"/>
    <cellStyle name="20% - Accent4 2 2 2 4 3 2 3" xfId="28977" xr:uid="{00000000-0005-0000-0000-0000E4180000}"/>
    <cellStyle name="20% - Accent4 2 2 2 4 3 3" xfId="13617" xr:uid="{00000000-0005-0000-0000-0000E5180000}"/>
    <cellStyle name="20% - Accent4 2 2 2 4 3 3 2" xfId="34097" xr:uid="{00000000-0005-0000-0000-0000E6180000}"/>
    <cellStyle name="20% - Accent4 2 2 2 4 3 4" xfId="23857" xr:uid="{00000000-0005-0000-0000-0000E7180000}"/>
    <cellStyle name="20% - Accent4 2 2 2 4 4" xfId="5937" xr:uid="{00000000-0005-0000-0000-0000E8180000}"/>
    <cellStyle name="20% - Accent4 2 2 2 4 4 2" xfId="16177" xr:uid="{00000000-0005-0000-0000-0000E9180000}"/>
    <cellStyle name="20% - Accent4 2 2 2 4 4 2 2" xfId="36657" xr:uid="{00000000-0005-0000-0000-0000EA180000}"/>
    <cellStyle name="20% - Accent4 2 2 2 4 4 3" xfId="26417" xr:uid="{00000000-0005-0000-0000-0000EB180000}"/>
    <cellStyle name="20% - Accent4 2 2 2 4 5" xfId="11057" xr:uid="{00000000-0005-0000-0000-0000EC180000}"/>
    <cellStyle name="20% - Accent4 2 2 2 4 5 2" xfId="31537" xr:uid="{00000000-0005-0000-0000-0000ED180000}"/>
    <cellStyle name="20% - Accent4 2 2 2 4 6" xfId="21297" xr:uid="{00000000-0005-0000-0000-0000EE180000}"/>
    <cellStyle name="20% - Accent4 2 2 2 5" xfId="1457" xr:uid="{00000000-0005-0000-0000-0000EF180000}"/>
    <cellStyle name="20% - Accent4 2 2 2 5 2" xfId="4017" xr:uid="{00000000-0005-0000-0000-0000F0180000}"/>
    <cellStyle name="20% - Accent4 2 2 2 5 2 2" xfId="9137" xr:uid="{00000000-0005-0000-0000-0000F1180000}"/>
    <cellStyle name="20% - Accent4 2 2 2 5 2 2 2" xfId="19377" xr:uid="{00000000-0005-0000-0000-0000F2180000}"/>
    <cellStyle name="20% - Accent4 2 2 2 5 2 2 2 2" xfId="39857" xr:uid="{00000000-0005-0000-0000-0000F3180000}"/>
    <cellStyle name="20% - Accent4 2 2 2 5 2 2 3" xfId="29617" xr:uid="{00000000-0005-0000-0000-0000F4180000}"/>
    <cellStyle name="20% - Accent4 2 2 2 5 2 3" xfId="14257" xr:uid="{00000000-0005-0000-0000-0000F5180000}"/>
    <cellStyle name="20% - Accent4 2 2 2 5 2 3 2" xfId="34737" xr:uid="{00000000-0005-0000-0000-0000F6180000}"/>
    <cellStyle name="20% - Accent4 2 2 2 5 2 4" xfId="24497" xr:uid="{00000000-0005-0000-0000-0000F7180000}"/>
    <cellStyle name="20% - Accent4 2 2 2 5 3" xfId="6577" xr:uid="{00000000-0005-0000-0000-0000F8180000}"/>
    <cellStyle name="20% - Accent4 2 2 2 5 3 2" xfId="16817" xr:uid="{00000000-0005-0000-0000-0000F9180000}"/>
    <cellStyle name="20% - Accent4 2 2 2 5 3 2 2" xfId="37297" xr:uid="{00000000-0005-0000-0000-0000FA180000}"/>
    <cellStyle name="20% - Accent4 2 2 2 5 3 3" xfId="27057" xr:uid="{00000000-0005-0000-0000-0000FB180000}"/>
    <cellStyle name="20% - Accent4 2 2 2 5 4" xfId="11697" xr:uid="{00000000-0005-0000-0000-0000FC180000}"/>
    <cellStyle name="20% - Accent4 2 2 2 5 4 2" xfId="32177" xr:uid="{00000000-0005-0000-0000-0000FD180000}"/>
    <cellStyle name="20% - Accent4 2 2 2 5 5" xfId="21937" xr:uid="{00000000-0005-0000-0000-0000FE180000}"/>
    <cellStyle name="20% - Accent4 2 2 2 6" xfId="2737" xr:uid="{00000000-0005-0000-0000-0000FF180000}"/>
    <cellStyle name="20% - Accent4 2 2 2 6 2" xfId="7857" xr:uid="{00000000-0005-0000-0000-000000190000}"/>
    <cellStyle name="20% - Accent4 2 2 2 6 2 2" xfId="18097" xr:uid="{00000000-0005-0000-0000-000001190000}"/>
    <cellStyle name="20% - Accent4 2 2 2 6 2 2 2" xfId="38577" xr:uid="{00000000-0005-0000-0000-000002190000}"/>
    <cellStyle name="20% - Accent4 2 2 2 6 2 3" xfId="28337" xr:uid="{00000000-0005-0000-0000-000003190000}"/>
    <cellStyle name="20% - Accent4 2 2 2 6 3" xfId="12977" xr:uid="{00000000-0005-0000-0000-000004190000}"/>
    <cellStyle name="20% - Accent4 2 2 2 6 3 2" xfId="33457" xr:uid="{00000000-0005-0000-0000-000005190000}"/>
    <cellStyle name="20% - Accent4 2 2 2 6 4" xfId="23217" xr:uid="{00000000-0005-0000-0000-000006190000}"/>
    <cellStyle name="20% - Accent4 2 2 2 7" xfId="5297" xr:uid="{00000000-0005-0000-0000-000007190000}"/>
    <cellStyle name="20% - Accent4 2 2 2 7 2" xfId="15537" xr:uid="{00000000-0005-0000-0000-000008190000}"/>
    <cellStyle name="20% - Accent4 2 2 2 7 2 2" xfId="36017" xr:uid="{00000000-0005-0000-0000-000009190000}"/>
    <cellStyle name="20% - Accent4 2 2 2 7 3" xfId="25777" xr:uid="{00000000-0005-0000-0000-00000A190000}"/>
    <cellStyle name="20% - Accent4 2 2 2 8" xfId="10417" xr:uid="{00000000-0005-0000-0000-00000B190000}"/>
    <cellStyle name="20% - Accent4 2 2 2 8 2" xfId="30897" xr:uid="{00000000-0005-0000-0000-00000C190000}"/>
    <cellStyle name="20% - Accent4 2 2 2 9" xfId="20657" xr:uid="{00000000-0005-0000-0000-00000D190000}"/>
    <cellStyle name="20% - Accent4 2 2 3" xfId="257" xr:uid="{00000000-0005-0000-0000-00000E190000}"/>
    <cellStyle name="20% - Accent4 2 2 3 2" xfId="577" xr:uid="{00000000-0005-0000-0000-00000F190000}"/>
    <cellStyle name="20% - Accent4 2 2 3 2 2" xfId="1217" xr:uid="{00000000-0005-0000-0000-000010190000}"/>
    <cellStyle name="20% - Accent4 2 2 3 2 2 2" xfId="2497" xr:uid="{00000000-0005-0000-0000-000011190000}"/>
    <cellStyle name="20% - Accent4 2 2 3 2 2 2 2" xfId="5057" xr:uid="{00000000-0005-0000-0000-000012190000}"/>
    <cellStyle name="20% - Accent4 2 2 3 2 2 2 2 2" xfId="10177" xr:uid="{00000000-0005-0000-0000-000013190000}"/>
    <cellStyle name="20% - Accent4 2 2 3 2 2 2 2 2 2" xfId="20417" xr:uid="{00000000-0005-0000-0000-000014190000}"/>
    <cellStyle name="20% - Accent4 2 2 3 2 2 2 2 2 2 2" xfId="40897" xr:uid="{00000000-0005-0000-0000-000015190000}"/>
    <cellStyle name="20% - Accent4 2 2 3 2 2 2 2 2 3" xfId="30657" xr:uid="{00000000-0005-0000-0000-000016190000}"/>
    <cellStyle name="20% - Accent4 2 2 3 2 2 2 2 3" xfId="15297" xr:uid="{00000000-0005-0000-0000-000017190000}"/>
    <cellStyle name="20% - Accent4 2 2 3 2 2 2 2 3 2" xfId="35777" xr:uid="{00000000-0005-0000-0000-000018190000}"/>
    <cellStyle name="20% - Accent4 2 2 3 2 2 2 2 4" xfId="25537" xr:uid="{00000000-0005-0000-0000-000019190000}"/>
    <cellStyle name="20% - Accent4 2 2 3 2 2 2 3" xfId="7617" xr:uid="{00000000-0005-0000-0000-00001A190000}"/>
    <cellStyle name="20% - Accent4 2 2 3 2 2 2 3 2" xfId="17857" xr:uid="{00000000-0005-0000-0000-00001B190000}"/>
    <cellStyle name="20% - Accent4 2 2 3 2 2 2 3 2 2" xfId="38337" xr:uid="{00000000-0005-0000-0000-00001C190000}"/>
    <cellStyle name="20% - Accent4 2 2 3 2 2 2 3 3" xfId="28097" xr:uid="{00000000-0005-0000-0000-00001D190000}"/>
    <cellStyle name="20% - Accent4 2 2 3 2 2 2 4" xfId="12737" xr:uid="{00000000-0005-0000-0000-00001E190000}"/>
    <cellStyle name="20% - Accent4 2 2 3 2 2 2 4 2" xfId="33217" xr:uid="{00000000-0005-0000-0000-00001F190000}"/>
    <cellStyle name="20% - Accent4 2 2 3 2 2 2 5" xfId="22977" xr:uid="{00000000-0005-0000-0000-000020190000}"/>
    <cellStyle name="20% - Accent4 2 2 3 2 2 3" xfId="3777" xr:uid="{00000000-0005-0000-0000-000021190000}"/>
    <cellStyle name="20% - Accent4 2 2 3 2 2 3 2" xfId="8897" xr:uid="{00000000-0005-0000-0000-000022190000}"/>
    <cellStyle name="20% - Accent4 2 2 3 2 2 3 2 2" xfId="19137" xr:uid="{00000000-0005-0000-0000-000023190000}"/>
    <cellStyle name="20% - Accent4 2 2 3 2 2 3 2 2 2" xfId="39617" xr:uid="{00000000-0005-0000-0000-000024190000}"/>
    <cellStyle name="20% - Accent4 2 2 3 2 2 3 2 3" xfId="29377" xr:uid="{00000000-0005-0000-0000-000025190000}"/>
    <cellStyle name="20% - Accent4 2 2 3 2 2 3 3" xfId="14017" xr:uid="{00000000-0005-0000-0000-000026190000}"/>
    <cellStyle name="20% - Accent4 2 2 3 2 2 3 3 2" xfId="34497" xr:uid="{00000000-0005-0000-0000-000027190000}"/>
    <cellStyle name="20% - Accent4 2 2 3 2 2 3 4" xfId="24257" xr:uid="{00000000-0005-0000-0000-000028190000}"/>
    <cellStyle name="20% - Accent4 2 2 3 2 2 4" xfId="6337" xr:uid="{00000000-0005-0000-0000-000029190000}"/>
    <cellStyle name="20% - Accent4 2 2 3 2 2 4 2" xfId="16577" xr:uid="{00000000-0005-0000-0000-00002A190000}"/>
    <cellStyle name="20% - Accent4 2 2 3 2 2 4 2 2" xfId="37057" xr:uid="{00000000-0005-0000-0000-00002B190000}"/>
    <cellStyle name="20% - Accent4 2 2 3 2 2 4 3" xfId="26817" xr:uid="{00000000-0005-0000-0000-00002C190000}"/>
    <cellStyle name="20% - Accent4 2 2 3 2 2 5" xfId="11457" xr:uid="{00000000-0005-0000-0000-00002D190000}"/>
    <cellStyle name="20% - Accent4 2 2 3 2 2 5 2" xfId="31937" xr:uid="{00000000-0005-0000-0000-00002E190000}"/>
    <cellStyle name="20% - Accent4 2 2 3 2 2 6" xfId="21697" xr:uid="{00000000-0005-0000-0000-00002F190000}"/>
    <cellStyle name="20% - Accent4 2 2 3 2 3" xfId="1857" xr:uid="{00000000-0005-0000-0000-000030190000}"/>
    <cellStyle name="20% - Accent4 2 2 3 2 3 2" xfId="4417" xr:uid="{00000000-0005-0000-0000-000031190000}"/>
    <cellStyle name="20% - Accent4 2 2 3 2 3 2 2" xfId="9537" xr:uid="{00000000-0005-0000-0000-000032190000}"/>
    <cellStyle name="20% - Accent4 2 2 3 2 3 2 2 2" xfId="19777" xr:uid="{00000000-0005-0000-0000-000033190000}"/>
    <cellStyle name="20% - Accent4 2 2 3 2 3 2 2 2 2" xfId="40257" xr:uid="{00000000-0005-0000-0000-000034190000}"/>
    <cellStyle name="20% - Accent4 2 2 3 2 3 2 2 3" xfId="30017" xr:uid="{00000000-0005-0000-0000-000035190000}"/>
    <cellStyle name="20% - Accent4 2 2 3 2 3 2 3" xfId="14657" xr:uid="{00000000-0005-0000-0000-000036190000}"/>
    <cellStyle name="20% - Accent4 2 2 3 2 3 2 3 2" xfId="35137" xr:uid="{00000000-0005-0000-0000-000037190000}"/>
    <cellStyle name="20% - Accent4 2 2 3 2 3 2 4" xfId="24897" xr:uid="{00000000-0005-0000-0000-000038190000}"/>
    <cellStyle name="20% - Accent4 2 2 3 2 3 3" xfId="6977" xr:uid="{00000000-0005-0000-0000-000039190000}"/>
    <cellStyle name="20% - Accent4 2 2 3 2 3 3 2" xfId="17217" xr:uid="{00000000-0005-0000-0000-00003A190000}"/>
    <cellStyle name="20% - Accent4 2 2 3 2 3 3 2 2" xfId="37697" xr:uid="{00000000-0005-0000-0000-00003B190000}"/>
    <cellStyle name="20% - Accent4 2 2 3 2 3 3 3" xfId="27457" xr:uid="{00000000-0005-0000-0000-00003C190000}"/>
    <cellStyle name="20% - Accent4 2 2 3 2 3 4" xfId="12097" xr:uid="{00000000-0005-0000-0000-00003D190000}"/>
    <cellStyle name="20% - Accent4 2 2 3 2 3 4 2" xfId="32577" xr:uid="{00000000-0005-0000-0000-00003E190000}"/>
    <cellStyle name="20% - Accent4 2 2 3 2 3 5" xfId="22337" xr:uid="{00000000-0005-0000-0000-00003F190000}"/>
    <cellStyle name="20% - Accent4 2 2 3 2 4" xfId="3137" xr:uid="{00000000-0005-0000-0000-000040190000}"/>
    <cellStyle name="20% - Accent4 2 2 3 2 4 2" xfId="8257" xr:uid="{00000000-0005-0000-0000-000041190000}"/>
    <cellStyle name="20% - Accent4 2 2 3 2 4 2 2" xfId="18497" xr:uid="{00000000-0005-0000-0000-000042190000}"/>
    <cellStyle name="20% - Accent4 2 2 3 2 4 2 2 2" xfId="38977" xr:uid="{00000000-0005-0000-0000-000043190000}"/>
    <cellStyle name="20% - Accent4 2 2 3 2 4 2 3" xfId="28737" xr:uid="{00000000-0005-0000-0000-000044190000}"/>
    <cellStyle name="20% - Accent4 2 2 3 2 4 3" xfId="13377" xr:uid="{00000000-0005-0000-0000-000045190000}"/>
    <cellStyle name="20% - Accent4 2 2 3 2 4 3 2" xfId="33857" xr:uid="{00000000-0005-0000-0000-000046190000}"/>
    <cellStyle name="20% - Accent4 2 2 3 2 4 4" xfId="23617" xr:uid="{00000000-0005-0000-0000-000047190000}"/>
    <cellStyle name="20% - Accent4 2 2 3 2 5" xfId="5697" xr:uid="{00000000-0005-0000-0000-000048190000}"/>
    <cellStyle name="20% - Accent4 2 2 3 2 5 2" xfId="15937" xr:uid="{00000000-0005-0000-0000-000049190000}"/>
    <cellStyle name="20% - Accent4 2 2 3 2 5 2 2" xfId="36417" xr:uid="{00000000-0005-0000-0000-00004A190000}"/>
    <cellStyle name="20% - Accent4 2 2 3 2 5 3" xfId="26177" xr:uid="{00000000-0005-0000-0000-00004B190000}"/>
    <cellStyle name="20% - Accent4 2 2 3 2 6" xfId="10817" xr:uid="{00000000-0005-0000-0000-00004C190000}"/>
    <cellStyle name="20% - Accent4 2 2 3 2 6 2" xfId="31297" xr:uid="{00000000-0005-0000-0000-00004D190000}"/>
    <cellStyle name="20% - Accent4 2 2 3 2 7" xfId="21057" xr:uid="{00000000-0005-0000-0000-00004E190000}"/>
    <cellStyle name="20% - Accent4 2 2 3 3" xfId="897" xr:uid="{00000000-0005-0000-0000-00004F190000}"/>
    <cellStyle name="20% - Accent4 2 2 3 3 2" xfId="2177" xr:uid="{00000000-0005-0000-0000-000050190000}"/>
    <cellStyle name="20% - Accent4 2 2 3 3 2 2" xfId="4737" xr:uid="{00000000-0005-0000-0000-000051190000}"/>
    <cellStyle name="20% - Accent4 2 2 3 3 2 2 2" xfId="9857" xr:uid="{00000000-0005-0000-0000-000052190000}"/>
    <cellStyle name="20% - Accent4 2 2 3 3 2 2 2 2" xfId="20097" xr:uid="{00000000-0005-0000-0000-000053190000}"/>
    <cellStyle name="20% - Accent4 2 2 3 3 2 2 2 2 2" xfId="40577" xr:uid="{00000000-0005-0000-0000-000054190000}"/>
    <cellStyle name="20% - Accent4 2 2 3 3 2 2 2 3" xfId="30337" xr:uid="{00000000-0005-0000-0000-000055190000}"/>
    <cellStyle name="20% - Accent4 2 2 3 3 2 2 3" xfId="14977" xr:uid="{00000000-0005-0000-0000-000056190000}"/>
    <cellStyle name="20% - Accent4 2 2 3 3 2 2 3 2" xfId="35457" xr:uid="{00000000-0005-0000-0000-000057190000}"/>
    <cellStyle name="20% - Accent4 2 2 3 3 2 2 4" xfId="25217" xr:uid="{00000000-0005-0000-0000-000058190000}"/>
    <cellStyle name="20% - Accent4 2 2 3 3 2 3" xfId="7297" xr:uid="{00000000-0005-0000-0000-000059190000}"/>
    <cellStyle name="20% - Accent4 2 2 3 3 2 3 2" xfId="17537" xr:uid="{00000000-0005-0000-0000-00005A190000}"/>
    <cellStyle name="20% - Accent4 2 2 3 3 2 3 2 2" xfId="38017" xr:uid="{00000000-0005-0000-0000-00005B190000}"/>
    <cellStyle name="20% - Accent4 2 2 3 3 2 3 3" xfId="27777" xr:uid="{00000000-0005-0000-0000-00005C190000}"/>
    <cellStyle name="20% - Accent4 2 2 3 3 2 4" xfId="12417" xr:uid="{00000000-0005-0000-0000-00005D190000}"/>
    <cellStyle name="20% - Accent4 2 2 3 3 2 4 2" xfId="32897" xr:uid="{00000000-0005-0000-0000-00005E190000}"/>
    <cellStyle name="20% - Accent4 2 2 3 3 2 5" xfId="22657" xr:uid="{00000000-0005-0000-0000-00005F190000}"/>
    <cellStyle name="20% - Accent4 2 2 3 3 3" xfId="3457" xr:uid="{00000000-0005-0000-0000-000060190000}"/>
    <cellStyle name="20% - Accent4 2 2 3 3 3 2" xfId="8577" xr:uid="{00000000-0005-0000-0000-000061190000}"/>
    <cellStyle name="20% - Accent4 2 2 3 3 3 2 2" xfId="18817" xr:uid="{00000000-0005-0000-0000-000062190000}"/>
    <cellStyle name="20% - Accent4 2 2 3 3 3 2 2 2" xfId="39297" xr:uid="{00000000-0005-0000-0000-000063190000}"/>
    <cellStyle name="20% - Accent4 2 2 3 3 3 2 3" xfId="29057" xr:uid="{00000000-0005-0000-0000-000064190000}"/>
    <cellStyle name="20% - Accent4 2 2 3 3 3 3" xfId="13697" xr:uid="{00000000-0005-0000-0000-000065190000}"/>
    <cellStyle name="20% - Accent4 2 2 3 3 3 3 2" xfId="34177" xr:uid="{00000000-0005-0000-0000-000066190000}"/>
    <cellStyle name="20% - Accent4 2 2 3 3 3 4" xfId="23937" xr:uid="{00000000-0005-0000-0000-000067190000}"/>
    <cellStyle name="20% - Accent4 2 2 3 3 4" xfId="6017" xr:uid="{00000000-0005-0000-0000-000068190000}"/>
    <cellStyle name="20% - Accent4 2 2 3 3 4 2" xfId="16257" xr:uid="{00000000-0005-0000-0000-000069190000}"/>
    <cellStyle name="20% - Accent4 2 2 3 3 4 2 2" xfId="36737" xr:uid="{00000000-0005-0000-0000-00006A190000}"/>
    <cellStyle name="20% - Accent4 2 2 3 3 4 3" xfId="26497" xr:uid="{00000000-0005-0000-0000-00006B190000}"/>
    <cellStyle name="20% - Accent4 2 2 3 3 5" xfId="11137" xr:uid="{00000000-0005-0000-0000-00006C190000}"/>
    <cellStyle name="20% - Accent4 2 2 3 3 5 2" xfId="31617" xr:uid="{00000000-0005-0000-0000-00006D190000}"/>
    <cellStyle name="20% - Accent4 2 2 3 3 6" xfId="21377" xr:uid="{00000000-0005-0000-0000-00006E190000}"/>
    <cellStyle name="20% - Accent4 2 2 3 4" xfId="1537" xr:uid="{00000000-0005-0000-0000-00006F190000}"/>
    <cellStyle name="20% - Accent4 2 2 3 4 2" xfId="4097" xr:uid="{00000000-0005-0000-0000-000070190000}"/>
    <cellStyle name="20% - Accent4 2 2 3 4 2 2" xfId="9217" xr:uid="{00000000-0005-0000-0000-000071190000}"/>
    <cellStyle name="20% - Accent4 2 2 3 4 2 2 2" xfId="19457" xr:uid="{00000000-0005-0000-0000-000072190000}"/>
    <cellStyle name="20% - Accent4 2 2 3 4 2 2 2 2" xfId="39937" xr:uid="{00000000-0005-0000-0000-000073190000}"/>
    <cellStyle name="20% - Accent4 2 2 3 4 2 2 3" xfId="29697" xr:uid="{00000000-0005-0000-0000-000074190000}"/>
    <cellStyle name="20% - Accent4 2 2 3 4 2 3" xfId="14337" xr:uid="{00000000-0005-0000-0000-000075190000}"/>
    <cellStyle name="20% - Accent4 2 2 3 4 2 3 2" xfId="34817" xr:uid="{00000000-0005-0000-0000-000076190000}"/>
    <cellStyle name="20% - Accent4 2 2 3 4 2 4" xfId="24577" xr:uid="{00000000-0005-0000-0000-000077190000}"/>
    <cellStyle name="20% - Accent4 2 2 3 4 3" xfId="6657" xr:uid="{00000000-0005-0000-0000-000078190000}"/>
    <cellStyle name="20% - Accent4 2 2 3 4 3 2" xfId="16897" xr:uid="{00000000-0005-0000-0000-000079190000}"/>
    <cellStyle name="20% - Accent4 2 2 3 4 3 2 2" xfId="37377" xr:uid="{00000000-0005-0000-0000-00007A190000}"/>
    <cellStyle name="20% - Accent4 2 2 3 4 3 3" xfId="27137" xr:uid="{00000000-0005-0000-0000-00007B190000}"/>
    <cellStyle name="20% - Accent4 2 2 3 4 4" xfId="11777" xr:uid="{00000000-0005-0000-0000-00007C190000}"/>
    <cellStyle name="20% - Accent4 2 2 3 4 4 2" xfId="32257" xr:uid="{00000000-0005-0000-0000-00007D190000}"/>
    <cellStyle name="20% - Accent4 2 2 3 4 5" xfId="22017" xr:uid="{00000000-0005-0000-0000-00007E190000}"/>
    <cellStyle name="20% - Accent4 2 2 3 5" xfId="2817" xr:uid="{00000000-0005-0000-0000-00007F190000}"/>
    <cellStyle name="20% - Accent4 2 2 3 5 2" xfId="7937" xr:uid="{00000000-0005-0000-0000-000080190000}"/>
    <cellStyle name="20% - Accent4 2 2 3 5 2 2" xfId="18177" xr:uid="{00000000-0005-0000-0000-000081190000}"/>
    <cellStyle name="20% - Accent4 2 2 3 5 2 2 2" xfId="38657" xr:uid="{00000000-0005-0000-0000-000082190000}"/>
    <cellStyle name="20% - Accent4 2 2 3 5 2 3" xfId="28417" xr:uid="{00000000-0005-0000-0000-000083190000}"/>
    <cellStyle name="20% - Accent4 2 2 3 5 3" xfId="13057" xr:uid="{00000000-0005-0000-0000-000084190000}"/>
    <cellStyle name="20% - Accent4 2 2 3 5 3 2" xfId="33537" xr:uid="{00000000-0005-0000-0000-000085190000}"/>
    <cellStyle name="20% - Accent4 2 2 3 5 4" xfId="23297" xr:uid="{00000000-0005-0000-0000-000086190000}"/>
    <cellStyle name="20% - Accent4 2 2 3 6" xfId="5377" xr:uid="{00000000-0005-0000-0000-000087190000}"/>
    <cellStyle name="20% - Accent4 2 2 3 6 2" xfId="15617" xr:uid="{00000000-0005-0000-0000-000088190000}"/>
    <cellStyle name="20% - Accent4 2 2 3 6 2 2" xfId="36097" xr:uid="{00000000-0005-0000-0000-000089190000}"/>
    <cellStyle name="20% - Accent4 2 2 3 6 3" xfId="25857" xr:uid="{00000000-0005-0000-0000-00008A190000}"/>
    <cellStyle name="20% - Accent4 2 2 3 7" xfId="10497" xr:uid="{00000000-0005-0000-0000-00008B190000}"/>
    <cellStyle name="20% - Accent4 2 2 3 7 2" xfId="30977" xr:uid="{00000000-0005-0000-0000-00008C190000}"/>
    <cellStyle name="20% - Accent4 2 2 3 8" xfId="20737" xr:uid="{00000000-0005-0000-0000-00008D190000}"/>
    <cellStyle name="20% - Accent4 2 2 4" xfId="417" xr:uid="{00000000-0005-0000-0000-00008E190000}"/>
    <cellStyle name="20% - Accent4 2 2 4 2" xfId="1057" xr:uid="{00000000-0005-0000-0000-00008F190000}"/>
    <cellStyle name="20% - Accent4 2 2 4 2 2" xfId="2337" xr:uid="{00000000-0005-0000-0000-000090190000}"/>
    <cellStyle name="20% - Accent4 2 2 4 2 2 2" xfId="4897" xr:uid="{00000000-0005-0000-0000-000091190000}"/>
    <cellStyle name="20% - Accent4 2 2 4 2 2 2 2" xfId="10017" xr:uid="{00000000-0005-0000-0000-000092190000}"/>
    <cellStyle name="20% - Accent4 2 2 4 2 2 2 2 2" xfId="20257" xr:uid="{00000000-0005-0000-0000-000093190000}"/>
    <cellStyle name="20% - Accent4 2 2 4 2 2 2 2 2 2" xfId="40737" xr:uid="{00000000-0005-0000-0000-000094190000}"/>
    <cellStyle name="20% - Accent4 2 2 4 2 2 2 2 3" xfId="30497" xr:uid="{00000000-0005-0000-0000-000095190000}"/>
    <cellStyle name="20% - Accent4 2 2 4 2 2 2 3" xfId="15137" xr:uid="{00000000-0005-0000-0000-000096190000}"/>
    <cellStyle name="20% - Accent4 2 2 4 2 2 2 3 2" xfId="35617" xr:uid="{00000000-0005-0000-0000-000097190000}"/>
    <cellStyle name="20% - Accent4 2 2 4 2 2 2 4" xfId="25377" xr:uid="{00000000-0005-0000-0000-000098190000}"/>
    <cellStyle name="20% - Accent4 2 2 4 2 2 3" xfId="7457" xr:uid="{00000000-0005-0000-0000-000099190000}"/>
    <cellStyle name="20% - Accent4 2 2 4 2 2 3 2" xfId="17697" xr:uid="{00000000-0005-0000-0000-00009A190000}"/>
    <cellStyle name="20% - Accent4 2 2 4 2 2 3 2 2" xfId="38177" xr:uid="{00000000-0005-0000-0000-00009B190000}"/>
    <cellStyle name="20% - Accent4 2 2 4 2 2 3 3" xfId="27937" xr:uid="{00000000-0005-0000-0000-00009C190000}"/>
    <cellStyle name="20% - Accent4 2 2 4 2 2 4" xfId="12577" xr:uid="{00000000-0005-0000-0000-00009D190000}"/>
    <cellStyle name="20% - Accent4 2 2 4 2 2 4 2" xfId="33057" xr:uid="{00000000-0005-0000-0000-00009E190000}"/>
    <cellStyle name="20% - Accent4 2 2 4 2 2 5" xfId="22817" xr:uid="{00000000-0005-0000-0000-00009F190000}"/>
    <cellStyle name="20% - Accent4 2 2 4 2 3" xfId="3617" xr:uid="{00000000-0005-0000-0000-0000A0190000}"/>
    <cellStyle name="20% - Accent4 2 2 4 2 3 2" xfId="8737" xr:uid="{00000000-0005-0000-0000-0000A1190000}"/>
    <cellStyle name="20% - Accent4 2 2 4 2 3 2 2" xfId="18977" xr:uid="{00000000-0005-0000-0000-0000A2190000}"/>
    <cellStyle name="20% - Accent4 2 2 4 2 3 2 2 2" xfId="39457" xr:uid="{00000000-0005-0000-0000-0000A3190000}"/>
    <cellStyle name="20% - Accent4 2 2 4 2 3 2 3" xfId="29217" xr:uid="{00000000-0005-0000-0000-0000A4190000}"/>
    <cellStyle name="20% - Accent4 2 2 4 2 3 3" xfId="13857" xr:uid="{00000000-0005-0000-0000-0000A5190000}"/>
    <cellStyle name="20% - Accent4 2 2 4 2 3 3 2" xfId="34337" xr:uid="{00000000-0005-0000-0000-0000A6190000}"/>
    <cellStyle name="20% - Accent4 2 2 4 2 3 4" xfId="24097" xr:uid="{00000000-0005-0000-0000-0000A7190000}"/>
    <cellStyle name="20% - Accent4 2 2 4 2 4" xfId="6177" xr:uid="{00000000-0005-0000-0000-0000A8190000}"/>
    <cellStyle name="20% - Accent4 2 2 4 2 4 2" xfId="16417" xr:uid="{00000000-0005-0000-0000-0000A9190000}"/>
    <cellStyle name="20% - Accent4 2 2 4 2 4 2 2" xfId="36897" xr:uid="{00000000-0005-0000-0000-0000AA190000}"/>
    <cellStyle name="20% - Accent4 2 2 4 2 4 3" xfId="26657" xr:uid="{00000000-0005-0000-0000-0000AB190000}"/>
    <cellStyle name="20% - Accent4 2 2 4 2 5" xfId="11297" xr:uid="{00000000-0005-0000-0000-0000AC190000}"/>
    <cellStyle name="20% - Accent4 2 2 4 2 5 2" xfId="31777" xr:uid="{00000000-0005-0000-0000-0000AD190000}"/>
    <cellStyle name="20% - Accent4 2 2 4 2 6" xfId="21537" xr:uid="{00000000-0005-0000-0000-0000AE190000}"/>
    <cellStyle name="20% - Accent4 2 2 4 3" xfId="1697" xr:uid="{00000000-0005-0000-0000-0000AF190000}"/>
    <cellStyle name="20% - Accent4 2 2 4 3 2" xfId="4257" xr:uid="{00000000-0005-0000-0000-0000B0190000}"/>
    <cellStyle name="20% - Accent4 2 2 4 3 2 2" xfId="9377" xr:uid="{00000000-0005-0000-0000-0000B1190000}"/>
    <cellStyle name="20% - Accent4 2 2 4 3 2 2 2" xfId="19617" xr:uid="{00000000-0005-0000-0000-0000B2190000}"/>
    <cellStyle name="20% - Accent4 2 2 4 3 2 2 2 2" xfId="40097" xr:uid="{00000000-0005-0000-0000-0000B3190000}"/>
    <cellStyle name="20% - Accent4 2 2 4 3 2 2 3" xfId="29857" xr:uid="{00000000-0005-0000-0000-0000B4190000}"/>
    <cellStyle name="20% - Accent4 2 2 4 3 2 3" xfId="14497" xr:uid="{00000000-0005-0000-0000-0000B5190000}"/>
    <cellStyle name="20% - Accent4 2 2 4 3 2 3 2" xfId="34977" xr:uid="{00000000-0005-0000-0000-0000B6190000}"/>
    <cellStyle name="20% - Accent4 2 2 4 3 2 4" xfId="24737" xr:uid="{00000000-0005-0000-0000-0000B7190000}"/>
    <cellStyle name="20% - Accent4 2 2 4 3 3" xfId="6817" xr:uid="{00000000-0005-0000-0000-0000B8190000}"/>
    <cellStyle name="20% - Accent4 2 2 4 3 3 2" xfId="17057" xr:uid="{00000000-0005-0000-0000-0000B9190000}"/>
    <cellStyle name="20% - Accent4 2 2 4 3 3 2 2" xfId="37537" xr:uid="{00000000-0005-0000-0000-0000BA190000}"/>
    <cellStyle name="20% - Accent4 2 2 4 3 3 3" xfId="27297" xr:uid="{00000000-0005-0000-0000-0000BB190000}"/>
    <cellStyle name="20% - Accent4 2 2 4 3 4" xfId="11937" xr:uid="{00000000-0005-0000-0000-0000BC190000}"/>
    <cellStyle name="20% - Accent4 2 2 4 3 4 2" xfId="32417" xr:uid="{00000000-0005-0000-0000-0000BD190000}"/>
    <cellStyle name="20% - Accent4 2 2 4 3 5" xfId="22177" xr:uid="{00000000-0005-0000-0000-0000BE190000}"/>
    <cellStyle name="20% - Accent4 2 2 4 4" xfId="2977" xr:uid="{00000000-0005-0000-0000-0000BF190000}"/>
    <cellStyle name="20% - Accent4 2 2 4 4 2" xfId="8097" xr:uid="{00000000-0005-0000-0000-0000C0190000}"/>
    <cellStyle name="20% - Accent4 2 2 4 4 2 2" xfId="18337" xr:uid="{00000000-0005-0000-0000-0000C1190000}"/>
    <cellStyle name="20% - Accent4 2 2 4 4 2 2 2" xfId="38817" xr:uid="{00000000-0005-0000-0000-0000C2190000}"/>
    <cellStyle name="20% - Accent4 2 2 4 4 2 3" xfId="28577" xr:uid="{00000000-0005-0000-0000-0000C3190000}"/>
    <cellStyle name="20% - Accent4 2 2 4 4 3" xfId="13217" xr:uid="{00000000-0005-0000-0000-0000C4190000}"/>
    <cellStyle name="20% - Accent4 2 2 4 4 3 2" xfId="33697" xr:uid="{00000000-0005-0000-0000-0000C5190000}"/>
    <cellStyle name="20% - Accent4 2 2 4 4 4" xfId="23457" xr:uid="{00000000-0005-0000-0000-0000C6190000}"/>
    <cellStyle name="20% - Accent4 2 2 4 5" xfId="5537" xr:uid="{00000000-0005-0000-0000-0000C7190000}"/>
    <cellStyle name="20% - Accent4 2 2 4 5 2" xfId="15777" xr:uid="{00000000-0005-0000-0000-0000C8190000}"/>
    <cellStyle name="20% - Accent4 2 2 4 5 2 2" xfId="36257" xr:uid="{00000000-0005-0000-0000-0000C9190000}"/>
    <cellStyle name="20% - Accent4 2 2 4 5 3" xfId="26017" xr:uid="{00000000-0005-0000-0000-0000CA190000}"/>
    <cellStyle name="20% - Accent4 2 2 4 6" xfId="10657" xr:uid="{00000000-0005-0000-0000-0000CB190000}"/>
    <cellStyle name="20% - Accent4 2 2 4 6 2" xfId="31137" xr:uid="{00000000-0005-0000-0000-0000CC190000}"/>
    <cellStyle name="20% - Accent4 2 2 4 7" xfId="20897" xr:uid="{00000000-0005-0000-0000-0000CD190000}"/>
    <cellStyle name="20% - Accent4 2 2 5" xfId="737" xr:uid="{00000000-0005-0000-0000-0000CE190000}"/>
    <cellStyle name="20% - Accent4 2 2 5 2" xfId="2017" xr:uid="{00000000-0005-0000-0000-0000CF190000}"/>
    <cellStyle name="20% - Accent4 2 2 5 2 2" xfId="4577" xr:uid="{00000000-0005-0000-0000-0000D0190000}"/>
    <cellStyle name="20% - Accent4 2 2 5 2 2 2" xfId="9697" xr:uid="{00000000-0005-0000-0000-0000D1190000}"/>
    <cellStyle name="20% - Accent4 2 2 5 2 2 2 2" xfId="19937" xr:uid="{00000000-0005-0000-0000-0000D2190000}"/>
    <cellStyle name="20% - Accent4 2 2 5 2 2 2 2 2" xfId="40417" xr:uid="{00000000-0005-0000-0000-0000D3190000}"/>
    <cellStyle name="20% - Accent4 2 2 5 2 2 2 3" xfId="30177" xr:uid="{00000000-0005-0000-0000-0000D4190000}"/>
    <cellStyle name="20% - Accent4 2 2 5 2 2 3" xfId="14817" xr:uid="{00000000-0005-0000-0000-0000D5190000}"/>
    <cellStyle name="20% - Accent4 2 2 5 2 2 3 2" xfId="35297" xr:uid="{00000000-0005-0000-0000-0000D6190000}"/>
    <cellStyle name="20% - Accent4 2 2 5 2 2 4" xfId="25057" xr:uid="{00000000-0005-0000-0000-0000D7190000}"/>
    <cellStyle name="20% - Accent4 2 2 5 2 3" xfId="7137" xr:uid="{00000000-0005-0000-0000-0000D8190000}"/>
    <cellStyle name="20% - Accent4 2 2 5 2 3 2" xfId="17377" xr:uid="{00000000-0005-0000-0000-0000D9190000}"/>
    <cellStyle name="20% - Accent4 2 2 5 2 3 2 2" xfId="37857" xr:uid="{00000000-0005-0000-0000-0000DA190000}"/>
    <cellStyle name="20% - Accent4 2 2 5 2 3 3" xfId="27617" xr:uid="{00000000-0005-0000-0000-0000DB190000}"/>
    <cellStyle name="20% - Accent4 2 2 5 2 4" xfId="12257" xr:uid="{00000000-0005-0000-0000-0000DC190000}"/>
    <cellStyle name="20% - Accent4 2 2 5 2 4 2" xfId="32737" xr:uid="{00000000-0005-0000-0000-0000DD190000}"/>
    <cellStyle name="20% - Accent4 2 2 5 2 5" xfId="22497" xr:uid="{00000000-0005-0000-0000-0000DE190000}"/>
    <cellStyle name="20% - Accent4 2 2 5 3" xfId="3297" xr:uid="{00000000-0005-0000-0000-0000DF190000}"/>
    <cellStyle name="20% - Accent4 2 2 5 3 2" xfId="8417" xr:uid="{00000000-0005-0000-0000-0000E0190000}"/>
    <cellStyle name="20% - Accent4 2 2 5 3 2 2" xfId="18657" xr:uid="{00000000-0005-0000-0000-0000E1190000}"/>
    <cellStyle name="20% - Accent4 2 2 5 3 2 2 2" xfId="39137" xr:uid="{00000000-0005-0000-0000-0000E2190000}"/>
    <cellStyle name="20% - Accent4 2 2 5 3 2 3" xfId="28897" xr:uid="{00000000-0005-0000-0000-0000E3190000}"/>
    <cellStyle name="20% - Accent4 2 2 5 3 3" xfId="13537" xr:uid="{00000000-0005-0000-0000-0000E4190000}"/>
    <cellStyle name="20% - Accent4 2 2 5 3 3 2" xfId="34017" xr:uid="{00000000-0005-0000-0000-0000E5190000}"/>
    <cellStyle name="20% - Accent4 2 2 5 3 4" xfId="23777" xr:uid="{00000000-0005-0000-0000-0000E6190000}"/>
    <cellStyle name="20% - Accent4 2 2 5 4" xfId="5857" xr:uid="{00000000-0005-0000-0000-0000E7190000}"/>
    <cellStyle name="20% - Accent4 2 2 5 4 2" xfId="16097" xr:uid="{00000000-0005-0000-0000-0000E8190000}"/>
    <cellStyle name="20% - Accent4 2 2 5 4 2 2" xfId="36577" xr:uid="{00000000-0005-0000-0000-0000E9190000}"/>
    <cellStyle name="20% - Accent4 2 2 5 4 3" xfId="26337" xr:uid="{00000000-0005-0000-0000-0000EA190000}"/>
    <cellStyle name="20% - Accent4 2 2 5 5" xfId="10977" xr:uid="{00000000-0005-0000-0000-0000EB190000}"/>
    <cellStyle name="20% - Accent4 2 2 5 5 2" xfId="31457" xr:uid="{00000000-0005-0000-0000-0000EC190000}"/>
    <cellStyle name="20% - Accent4 2 2 5 6" xfId="21217" xr:uid="{00000000-0005-0000-0000-0000ED190000}"/>
    <cellStyle name="20% - Accent4 2 2 6" xfId="1377" xr:uid="{00000000-0005-0000-0000-0000EE190000}"/>
    <cellStyle name="20% - Accent4 2 2 6 2" xfId="3937" xr:uid="{00000000-0005-0000-0000-0000EF190000}"/>
    <cellStyle name="20% - Accent4 2 2 6 2 2" xfId="9057" xr:uid="{00000000-0005-0000-0000-0000F0190000}"/>
    <cellStyle name="20% - Accent4 2 2 6 2 2 2" xfId="19297" xr:uid="{00000000-0005-0000-0000-0000F1190000}"/>
    <cellStyle name="20% - Accent4 2 2 6 2 2 2 2" xfId="39777" xr:uid="{00000000-0005-0000-0000-0000F2190000}"/>
    <cellStyle name="20% - Accent4 2 2 6 2 2 3" xfId="29537" xr:uid="{00000000-0005-0000-0000-0000F3190000}"/>
    <cellStyle name="20% - Accent4 2 2 6 2 3" xfId="14177" xr:uid="{00000000-0005-0000-0000-0000F4190000}"/>
    <cellStyle name="20% - Accent4 2 2 6 2 3 2" xfId="34657" xr:uid="{00000000-0005-0000-0000-0000F5190000}"/>
    <cellStyle name="20% - Accent4 2 2 6 2 4" xfId="24417" xr:uid="{00000000-0005-0000-0000-0000F6190000}"/>
    <cellStyle name="20% - Accent4 2 2 6 3" xfId="6497" xr:uid="{00000000-0005-0000-0000-0000F7190000}"/>
    <cellStyle name="20% - Accent4 2 2 6 3 2" xfId="16737" xr:uid="{00000000-0005-0000-0000-0000F8190000}"/>
    <cellStyle name="20% - Accent4 2 2 6 3 2 2" xfId="37217" xr:uid="{00000000-0005-0000-0000-0000F9190000}"/>
    <cellStyle name="20% - Accent4 2 2 6 3 3" xfId="26977" xr:uid="{00000000-0005-0000-0000-0000FA190000}"/>
    <cellStyle name="20% - Accent4 2 2 6 4" xfId="11617" xr:uid="{00000000-0005-0000-0000-0000FB190000}"/>
    <cellStyle name="20% - Accent4 2 2 6 4 2" xfId="32097" xr:uid="{00000000-0005-0000-0000-0000FC190000}"/>
    <cellStyle name="20% - Accent4 2 2 6 5" xfId="21857" xr:uid="{00000000-0005-0000-0000-0000FD190000}"/>
    <cellStyle name="20% - Accent4 2 2 7" xfId="2657" xr:uid="{00000000-0005-0000-0000-0000FE190000}"/>
    <cellStyle name="20% - Accent4 2 2 7 2" xfId="7777" xr:uid="{00000000-0005-0000-0000-0000FF190000}"/>
    <cellStyle name="20% - Accent4 2 2 7 2 2" xfId="18017" xr:uid="{00000000-0005-0000-0000-0000001A0000}"/>
    <cellStyle name="20% - Accent4 2 2 7 2 2 2" xfId="38497" xr:uid="{00000000-0005-0000-0000-0000011A0000}"/>
    <cellStyle name="20% - Accent4 2 2 7 2 3" xfId="28257" xr:uid="{00000000-0005-0000-0000-0000021A0000}"/>
    <cellStyle name="20% - Accent4 2 2 7 3" xfId="12897" xr:uid="{00000000-0005-0000-0000-0000031A0000}"/>
    <cellStyle name="20% - Accent4 2 2 7 3 2" xfId="33377" xr:uid="{00000000-0005-0000-0000-0000041A0000}"/>
    <cellStyle name="20% - Accent4 2 2 7 4" xfId="23137" xr:uid="{00000000-0005-0000-0000-0000051A0000}"/>
    <cellStyle name="20% - Accent4 2 2 8" xfId="5217" xr:uid="{00000000-0005-0000-0000-0000061A0000}"/>
    <cellStyle name="20% - Accent4 2 2 8 2" xfId="15457" xr:uid="{00000000-0005-0000-0000-0000071A0000}"/>
    <cellStyle name="20% - Accent4 2 2 8 2 2" xfId="35937" xr:uid="{00000000-0005-0000-0000-0000081A0000}"/>
    <cellStyle name="20% - Accent4 2 2 8 3" xfId="25697" xr:uid="{00000000-0005-0000-0000-0000091A0000}"/>
    <cellStyle name="20% - Accent4 2 2 9" xfId="10337" xr:uid="{00000000-0005-0000-0000-00000A1A0000}"/>
    <cellStyle name="20% - Accent4 2 2 9 2" xfId="30817" xr:uid="{00000000-0005-0000-0000-00000B1A0000}"/>
    <cellStyle name="20% - Accent4 2 3" xfId="137" xr:uid="{00000000-0005-0000-0000-00000C1A0000}"/>
    <cellStyle name="20% - Accent4 2 3 2" xfId="297" xr:uid="{00000000-0005-0000-0000-00000D1A0000}"/>
    <cellStyle name="20% - Accent4 2 3 2 2" xfId="617" xr:uid="{00000000-0005-0000-0000-00000E1A0000}"/>
    <cellStyle name="20% - Accent4 2 3 2 2 2" xfId="1257" xr:uid="{00000000-0005-0000-0000-00000F1A0000}"/>
    <cellStyle name="20% - Accent4 2 3 2 2 2 2" xfId="2537" xr:uid="{00000000-0005-0000-0000-0000101A0000}"/>
    <cellStyle name="20% - Accent4 2 3 2 2 2 2 2" xfId="5097" xr:uid="{00000000-0005-0000-0000-0000111A0000}"/>
    <cellStyle name="20% - Accent4 2 3 2 2 2 2 2 2" xfId="10217" xr:uid="{00000000-0005-0000-0000-0000121A0000}"/>
    <cellStyle name="20% - Accent4 2 3 2 2 2 2 2 2 2" xfId="20457" xr:uid="{00000000-0005-0000-0000-0000131A0000}"/>
    <cellStyle name="20% - Accent4 2 3 2 2 2 2 2 2 2 2" xfId="40937" xr:uid="{00000000-0005-0000-0000-0000141A0000}"/>
    <cellStyle name="20% - Accent4 2 3 2 2 2 2 2 2 3" xfId="30697" xr:uid="{00000000-0005-0000-0000-0000151A0000}"/>
    <cellStyle name="20% - Accent4 2 3 2 2 2 2 2 3" xfId="15337" xr:uid="{00000000-0005-0000-0000-0000161A0000}"/>
    <cellStyle name="20% - Accent4 2 3 2 2 2 2 2 3 2" xfId="35817" xr:uid="{00000000-0005-0000-0000-0000171A0000}"/>
    <cellStyle name="20% - Accent4 2 3 2 2 2 2 2 4" xfId="25577" xr:uid="{00000000-0005-0000-0000-0000181A0000}"/>
    <cellStyle name="20% - Accent4 2 3 2 2 2 2 3" xfId="7657" xr:uid="{00000000-0005-0000-0000-0000191A0000}"/>
    <cellStyle name="20% - Accent4 2 3 2 2 2 2 3 2" xfId="17897" xr:uid="{00000000-0005-0000-0000-00001A1A0000}"/>
    <cellStyle name="20% - Accent4 2 3 2 2 2 2 3 2 2" xfId="38377" xr:uid="{00000000-0005-0000-0000-00001B1A0000}"/>
    <cellStyle name="20% - Accent4 2 3 2 2 2 2 3 3" xfId="28137" xr:uid="{00000000-0005-0000-0000-00001C1A0000}"/>
    <cellStyle name="20% - Accent4 2 3 2 2 2 2 4" xfId="12777" xr:uid="{00000000-0005-0000-0000-00001D1A0000}"/>
    <cellStyle name="20% - Accent4 2 3 2 2 2 2 4 2" xfId="33257" xr:uid="{00000000-0005-0000-0000-00001E1A0000}"/>
    <cellStyle name="20% - Accent4 2 3 2 2 2 2 5" xfId="23017" xr:uid="{00000000-0005-0000-0000-00001F1A0000}"/>
    <cellStyle name="20% - Accent4 2 3 2 2 2 3" xfId="3817" xr:uid="{00000000-0005-0000-0000-0000201A0000}"/>
    <cellStyle name="20% - Accent4 2 3 2 2 2 3 2" xfId="8937" xr:uid="{00000000-0005-0000-0000-0000211A0000}"/>
    <cellStyle name="20% - Accent4 2 3 2 2 2 3 2 2" xfId="19177" xr:uid="{00000000-0005-0000-0000-0000221A0000}"/>
    <cellStyle name="20% - Accent4 2 3 2 2 2 3 2 2 2" xfId="39657" xr:uid="{00000000-0005-0000-0000-0000231A0000}"/>
    <cellStyle name="20% - Accent4 2 3 2 2 2 3 2 3" xfId="29417" xr:uid="{00000000-0005-0000-0000-0000241A0000}"/>
    <cellStyle name="20% - Accent4 2 3 2 2 2 3 3" xfId="14057" xr:uid="{00000000-0005-0000-0000-0000251A0000}"/>
    <cellStyle name="20% - Accent4 2 3 2 2 2 3 3 2" xfId="34537" xr:uid="{00000000-0005-0000-0000-0000261A0000}"/>
    <cellStyle name="20% - Accent4 2 3 2 2 2 3 4" xfId="24297" xr:uid="{00000000-0005-0000-0000-0000271A0000}"/>
    <cellStyle name="20% - Accent4 2 3 2 2 2 4" xfId="6377" xr:uid="{00000000-0005-0000-0000-0000281A0000}"/>
    <cellStyle name="20% - Accent4 2 3 2 2 2 4 2" xfId="16617" xr:uid="{00000000-0005-0000-0000-0000291A0000}"/>
    <cellStyle name="20% - Accent4 2 3 2 2 2 4 2 2" xfId="37097" xr:uid="{00000000-0005-0000-0000-00002A1A0000}"/>
    <cellStyle name="20% - Accent4 2 3 2 2 2 4 3" xfId="26857" xr:uid="{00000000-0005-0000-0000-00002B1A0000}"/>
    <cellStyle name="20% - Accent4 2 3 2 2 2 5" xfId="11497" xr:uid="{00000000-0005-0000-0000-00002C1A0000}"/>
    <cellStyle name="20% - Accent4 2 3 2 2 2 5 2" xfId="31977" xr:uid="{00000000-0005-0000-0000-00002D1A0000}"/>
    <cellStyle name="20% - Accent4 2 3 2 2 2 6" xfId="21737" xr:uid="{00000000-0005-0000-0000-00002E1A0000}"/>
    <cellStyle name="20% - Accent4 2 3 2 2 3" xfId="1897" xr:uid="{00000000-0005-0000-0000-00002F1A0000}"/>
    <cellStyle name="20% - Accent4 2 3 2 2 3 2" xfId="4457" xr:uid="{00000000-0005-0000-0000-0000301A0000}"/>
    <cellStyle name="20% - Accent4 2 3 2 2 3 2 2" xfId="9577" xr:uid="{00000000-0005-0000-0000-0000311A0000}"/>
    <cellStyle name="20% - Accent4 2 3 2 2 3 2 2 2" xfId="19817" xr:uid="{00000000-0005-0000-0000-0000321A0000}"/>
    <cellStyle name="20% - Accent4 2 3 2 2 3 2 2 2 2" xfId="40297" xr:uid="{00000000-0005-0000-0000-0000331A0000}"/>
    <cellStyle name="20% - Accent4 2 3 2 2 3 2 2 3" xfId="30057" xr:uid="{00000000-0005-0000-0000-0000341A0000}"/>
    <cellStyle name="20% - Accent4 2 3 2 2 3 2 3" xfId="14697" xr:uid="{00000000-0005-0000-0000-0000351A0000}"/>
    <cellStyle name="20% - Accent4 2 3 2 2 3 2 3 2" xfId="35177" xr:uid="{00000000-0005-0000-0000-0000361A0000}"/>
    <cellStyle name="20% - Accent4 2 3 2 2 3 2 4" xfId="24937" xr:uid="{00000000-0005-0000-0000-0000371A0000}"/>
    <cellStyle name="20% - Accent4 2 3 2 2 3 3" xfId="7017" xr:uid="{00000000-0005-0000-0000-0000381A0000}"/>
    <cellStyle name="20% - Accent4 2 3 2 2 3 3 2" xfId="17257" xr:uid="{00000000-0005-0000-0000-0000391A0000}"/>
    <cellStyle name="20% - Accent4 2 3 2 2 3 3 2 2" xfId="37737" xr:uid="{00000000-0005-0000-0000-00003A1A0000}"/>
    <cellStyle name="20% - Accent4 2 3 2 2 3 3 3" xfId="27497" xr:uid="{00000000-0005-0000-0000-00003B1A0000}"/>
    <cellStyle name="20% - Accent4 2 3 2 2 3 4" xfId="12137" xr:uid="{00000000-0005-0000-0000-00003C1A0000}"/>
    <cellStyle name="20% - Accent4 2 3 2 2 3 4 2" xfId="32617" xr:uid="{00000000-0005-0000-0000-00003D1A0000}"/>
    <cellStyle name="20% - Accent4 2 3 2 2 3 5" xfId="22377" xr:uid="{00000000-0005-0000-0000-00003E1A0000}"/>
    <cellStyle name="20% - Accent4 2 3 2 2 4" xfId="3177" xr:uid="{00000000-0005-0000-0000-00003F1A0000}"/>
    <cellStyle name="20% - Accent4 2 3 2 2 4 2" xfId="8297" xr:uid="{00000000-0005-0000-0000-0000401A0000}"/>
    <cellStyle name="20% - Accent4 2 3 2 2 4 2 2" xfId="18537" xr:uid="{00000000-0005-0000-0000-0000411A0000}"/>
    <cellStyle name="20% - Accent4 2 3 2 2 4 2 2 2" xfId="39017" xr:uid="{00000000-0005-0000-0000-0000421A0000}"/>
    <cellStyle name="20% - Accent4 2 3 2 2 4 2 3" xfId="28777" xr:uid="{00000000-0005-0000-0000-0000431A0000}"/>
    <cellStyle name="20% - Accent4 2 3 2 2 4 3" xfId="13417" xr:uid="{00000000-0005-0000-0000-0000441A0000}"/>
    <cellStyle name="20% - Accent4 2 3 2 2 4 3 2" xfId="33897" xr:uid="{00000000-0005-0000-0000-0000451A0000}"/>
    <cellStyle name="20% - Accent4 2 3 2 2 4 4" xfId="23657" xr:uid="{00000000-0005-0000-0000-0000461A0000}"/>
    <cellStyle name="20% - Accent4 2 3 2 2 5" xfId="5737" xr:uid="{00000000-0005-0000-0000-0000471A0000}"/>
    <cellStyle name="20% - Accent4 2 3 2 2 5 2" xfId="15977" xr:uid="{00000000-0005-0000-0000-0000481A0000}"/>
    <cellStyle name="20% - Accent4 2 3 2 2 5 2 2" xfId="36457" xr:uid="{00000000-0005-0000-0000-0000491A0000}"/>
    <cellStyle name="20% - Accent4 2 3 2 2 5 3" xfId="26217" xr:uid="{00000000-0005-0000-0000-00004A1A0000}"/>
    <cellStyle name="20% - Accent4 2 3 2 2 6" xfId="10857" xr:uid="{00000000-0005-0000-0000-00004B1A0000}"/>
    <cellStyle name="20% - Accent4 2 3 2 2 6 2" xfId="31337" xr:uid="{00000000-0005-0000-0000-00004C1A0000}"/>
    <cellStyle name="20% - Accent4 2 3 2 2 7" xfId="21097" xr:uid="{00000000-0005-0000-0000-00004D1A0000}"/>
    <cellStyle name="20% - Accent4 2 3 2 3" xfId="937" xr:uid="{00000000-0005-0000-0000-00004E1A0000}"/>
    <cellStyle name="20% - Accent4 2 3 2 3 2" xfId="2217" xr:uid="{00000000-0005-0000-0000-00004F1A0000}"/>
    <cellStyle name="20% - Accent4 2 3 2 3 2 2" xfId="4777" xr:uid="{00000000-0005-0000-0000-0000501A0000}"/>
    <cellStyle name="20% - Accent4 2 3 2 3 2 2 2" xfId="9897" xr:uid="{00000000-0005-0000-0000-0000511A0000}"/>
    <cellStyle name="20% - Accent4 2 3 2 3 2 2 2 2" xfId="20137" xr:uid="{00000000-0005-0000-0000-0000521A0000}"/>
    <cellStyle name="20% - Accent4 2 3 2 3 2 2 2 2 2" xfId="40617" xr:uid="{00000000-0005-0000-0000-0000531A0000}"/>
    <cellStyle name="20% - Accent4 2 3 2 3 2 2 2 3" xfId="30377" xr:uid="{00000000-0005-0000-0000-0000541A0000}"/>
    <cellStyle name="20% - Accent4 2 3 2 3 2 2 3" xfId="15017" xr:uid="{00000000-0005-0000-0000-0000551A0000}"/>
    <cellStyle name="20% - Accent4 2 3 2 3 2 2 3 2" xfId="35497" xr:uid="{00000000-0005-0000-0000-0000561A0000}"/>
    <cellStyle name="20% - Accent4 2 3 2 3 2 2 4" xfId="25257" xr:uid="{00000000-0005-0000-0000-0000571A0000}"/>
    <cellStyle name="20% - Accent4 2 3 2 3 2 3" xfId="7337" xr:uid="{00000000-0005-0000-0000-0000581A0000}"/>
    <cellStyle name="20% - Accent4 2 3 2 3 2 3 2" xfId="17577" xr:uid="{00000000-0005-0000-0000-0000591A0000}"/>
    <cellStyle name="20% - Accent4 2 3 2 3 2 3 2 2" xfId="38057" xr:uid="{00000000-0005-0000-0000-00005A1A0000}"/>
    <cellStyle name="20% - Accent4 2 3 2 3 2 3 3" xfId="27817" xr:uid="{00000000-0005-0000-0000-00005B1A0000}"/>
    <cellStyle name="20% - Accent4 2 3 2 3 2 4" xfId="12457" xr:uid="{00000000-0005-0000-0000-00005C1A0000}"/>
    <cellStyle name="20% - Accent4 2 3 2 3 2 4 2" xfId="32937" xr:uid="{00000000-0005-0000-0000-00005D1A0000}"/>
    <cellStyle name="20% - Accent4 2 3 2 3 2 5" xfId="22697" xr:uid="{00000000-0005-0000-0000-00005E1A0000}"/>
    <cellStyle name="20% - Accent4 2 3 2 3 3" xfId="3497" xr:uid="{00000000-0005-0000-0000-00005F1A0000}"/>
    <cellStyle name="20% - Accent4 2 3 2 3 3 2" xfId="8617" xr:uid="{00000000-0005-0000-0000-0000601A0000}"/>
    <cellStyle name="20% - Accent4 2 3 2 3 3 2 2" xfId="18857" xr:uid="{00000000-0005-0000-0000-0000611A0000}"/>
    <cellStyle name="20% - Accent4 2 3 2 3 3 2 2 2" xfId="39337" xr:uid="{00000000-0005-0000-0000-0000621A0000}"/>
    <cellStyle name="20% - Accent4 2 3 2 3 3 2 3" xfId="29097" xr:uid="{00000000-0005-0000-0000-0000631A0000}"/>
    <cellStyle name="20% - Accent4 2 3 2 3 3 3" xfId="13737" xr:uid="{00000000-0005-0000-0000-0000641A0000}"/>
    <cellStyle name="20% - Accent4 2 3 2 3 3 3 2" xfId="34217" xr:uid="{00000000-0005-0000-0000-0000651A0000}"/>
    <cellStyle name="20% - Accent4 2 3 2 3 3 4" xfId="23977" xr:uid="{00000000-0005-0000-0000-0000661A0000}"/>
    <cellStyle name="20% - Accent4 2 3 2 3 4" xfId="6057" xr:uid="{00000000-0005-0000-0000-0000671A0000}"/>
    <cellStyle name="20% - Accent4 2 3 2 3 4 2" xfId="16297" xr:uid="{00000000-0005-0000-0000-0000681A0000}"/>
    <cellStyle name="20% - Accent4 2 3 2 3 4 2 2" xfId="36777" xr:uid="{00000000-0005-0000-0000-0000691A0000}"/>
    <cellStyle name="20% - Accent4 2 3 2 3 4 3" xfId="26537" xr:uid="{00000000-0005-0000-0000-00006A1A0000}"/>
    <cellStyle name="20% - Accent4 2 3 2 3 5" xfId="11177" xr:uid="{00000000-0005-0000-0000-00006B1A0000}"/>
    <cellStyle name="20% - Accent4 2 3 2 3 5 2" xfId="31657" xr:uid="{00000000-0005-0000-0000-00006C1A0000}"/>
    <cellStyle name="20% - Accent4 2 3 2 3 6" xfId="21417" xr:uid="{00000000-0005-0000-0000-00006D1A0000}"/>
    <cellStyle name="20% - Accent4 2 3 2 4" xfId="1577" xr:uid="{00000000-0005-0000-0000-00006E1A0000}"/>
    <cellStyle name="20% - Accent4 2 3 2 4 2" xfId="4137" xr:uid="{00000000-0005-0000-0000-00006F1A0000}"/>
    <cellStyle name="20% - Accent4 2 3 2 4 2 2" xfId="9257" xr:uid="{00000000-0005-0000-0000-0000701A0000}"/>
    <cellStyle name="20% - Accent4 2 3 2 4 2 2 2" xfId="19497" xr:uid="{00000000-0005-0000-0000-0000711A0000}"/>
    <cellStyle name="20% - Accent4 2 3 2 4 2 2 2 2" xfId="39977" xr:uid="{00000000-0005-0000-0000-0000721A0000}"/>
    <cellStyle name="20% - Accent4 2 3 2 4 2 2 3" xfId="29737" xr:uid="{00000000-0005-0000-0000-0000731A0000}"/>
    <cellStyle name="20% - Accent4 2 3 2 4 2 3" xfId="14377" xr:uid="{00000000-0005-0000-0000-0000741A0000}"/>
    <cellStyle name="20% - Accent4 2 3 2 4 2 3 2" xfId="34857" xr:uid="{00000000-0005-0000-0000-0000751A0000}"/>
    <cellStyle name="20% - Accent4 2 3 2 4 2 4" xfId="24617" xr:uid="{00000000-0005-0000-0000-0000761A0000}"/>
    <cellStyle name="20% - Accent4 2 3 2 4 3" xfId="6697" xr:uid="{00000000-0005-0000-0000-0000771A0000}"/>
    <cellStyle name="20% - Accent4 2 3 2 4 3 2" xfId="16937" xr:uid="{00000000-0005-0000-0000-0000781A0000}"/>
    <cellStyle name="20% - Accent4 2 3 2 4 3 2 2" xfId="37417" xr:uid="{00000000-0005-0000-0000-0000791A0000}"/>
    <cellStyle name="20% - Accent4 2 3 2 4 3 3" xfId="27177" xr:uid="{00000000-0005-0000-0000-00007A1A0000}"/>
    <cellStyle name="20% - Accent4 2 3 2 4 4" xfId="11817" xr:uid="{00000000-0005-0000-0000-00007B1A0000}"/>
    <cellStyle name="20% - Accent4 2 3 2 4 4 2" xfId="32297" xr:uid="{00000000-0005-0000-0000-00007C1A0000}"/>
    <cellStyle name="20% - Accent4 2 3 2 4 5" xfId="22057" xr:uid="{00000000-0005-0000-0000-00007D1A0000}"/>
    <cellStyle name="20% - Accent4 2 3 2 5" xfId="2857" xr:uid="{00000000-0005-0000-0000-00007E1A0000}"/>
    <cellStyle name="20% - Accent4 2 3 2 5 2" xfId="7977" xr:uid="{00000000-0005-0000-0000-00007F1A0000}"/>
    <cellStyle name="20% - Accent4 2 3 2 5 2 2" xfId="18217" xr:uid="{00000000-0005-0000-0000-0000801A0000}"/>
    <cellStyle name="20% - Accent4 2 3 2 5 2 2 2" xfId="38697" xr:uid="{00000000-0005-0000-0000-0000811A0000}"/>
    <cellStyle name="20% - Accent4 2 3 2 5 2 3" xfId="28457" xr:uid="{00000000-0005-0000-0000-0000821A0000}"/>
    <cellStyle name="20% - Accent4 2 3 2 5 3" xfId="13097" xr:uid="{00000000-0005-0000-0000-0000831A0000}"/>
    <cellStyle name="20% - Accent4 2 3 2 5 3 2" xfId="33577" xr:uid="{00000000-0005-0000-0000-0000841A0000}"/>
    <cellStyle name="20% - Accent4 2 3 2 5 4" xfId="23337" xr:uid="{00000000-0005-0000-0000-0000851A0000}"/>
    <cellStyle name="20% - Accent4 2 3 2 6" xfId="5417" xr:uid="{00000000-0005-0000-0000-0000861A0000}"/>
    <cellStyle name="20% - Accent4 2 3 2 6 2" xfId="15657" xr:uid="{00000000-0005-0000-0000-0000871A0000}"/>
    <cellStyle name="20% - Accent4 2 3 2 6 2 2" xfId="36137" xr:uid="{00000000-0005-0000-0000-0000881A0000}"/>
    <cellStyle name="20% - Accent4 2 3 2 6 3" xfId="25897" xr:uid="{00000000-0005-0000-0000-0000891A0000}"/>
    <cellStyle name="20% - Accent4 2 3 2 7" xfId="10537" xr:uid="{00000000-0005-0000-0000-00008A1A0000}"/>
    <cellStyle name="20% - Accent4 2 3 2 7 2" xfId="31017" xr:uid="{00000000-0005-0000-0000-00008B1A0000}"/>
    <cellStyle name="20% - Accent4 2 3 2 8" xfId="20777" xr:uid="{00000000-0005-0000-0000-00008C1A0000}"/>
    <cellStyle name="20% - Accent4 2 3 3" xfId="457" xr:uid="{00000000-0005-0000-0000-00008D1A0000}"/>
    <cellStyle name="20% - Accent4 2 3 3 2" xfId="1097" xr:uid="{00000000-0005-0000-0000-00008E1A0000}"/>
    <cellStyle name="20% - Accent4 2 3 3 2 2" xfId="2377" xr:uid="{00000000-0005-0000-0000-00008F1A0000}"/>
    <cellStyle name="20% - Accent4 2 3 3 2 2 2" xfId="4937" xr:uid="{00000000-0005-0000-0000-0000901A0000}"/>
    <cellStyle name="20% - Accent4 2 3 3 2 2 2 2" xfId="10057" xr:uid="{00000000-0005-0000-0000-0000911A0000}"/>
    <cellStyle name="20% - Accent4 2 3 3 2 2 2 2 2" xfId="20297" xr:uid="{00000000-0005-0000-0000-0000921A0000}"/>
    <cellStyle name="20% - Accent4 2 3 3 2 2 2 2 2 2" xfId="40777" xr:uid="{00000000-0005-0000-0000-0000931A0000}"/>
    <cellStyle name="20% - Accent4 2 3 3 2 2 2 2 3" xfId="30537" xr:uid="{00000000-0005-0000-0000-0000941A0000}"/>
    <cellStyle name="20% - Accent4 2 3 3 2 2 2 3" xfId="15177" xr:uid="{00000000-0005-0000-0000-0000951A0000}"/>
    <cellStyle name="20% - Accent4 2 3 3 2 2 2 3 2" xfId="35657" xr:uid="{00000000-0005-0000-0000-0000961A0000}"/>
    <cellStyle name="20% - Accent4 2 3 3 2 2 2 4" xfId="25417" xr:uid="{00000000-0005-0000-0000-0000971A0000}"/>
    <cellStyle name="20% - Accent4 2 3 3 2 2 3" xfId="7497" xr:uid="{00000000-0005-0000-0000-0000981A0000}"/>
    <cellStyle name="20% - Accent4 2 3 3 2 2 3 2" xfId="17737" xr:uid="{00000000-0005-0000-0000-0000991A0000}"/>
    <cellStyle name="20% - Accent4 2 3 3 2 2 3 2 2" xfId="38217" xr:uid="{00000000-0005-0000-0000-00009A1A0000}"/>
    <cellStyle name="20% - Accent4 2 3 3 2 2 3 3" xfId="27977" xr:uid="{00000000-0005-0000-0000-00009B1A0000}"/>
    <cellStyle name="20% - Accent4 2 3 3 2 2 4" xfId="12617" xr:uid="{00000000-0005-0000-0000-00009C1A0000}"/>
    <cellStyle name="20% - Accent4 2 3 3 2 2 4 2" xfId="33097" xr:uid="{00000000-0005-0000-0000-00009D1A0000}"/>
    <cellStyle name="20% - Accent4 2 3 3 2 2 5" xfId="22857" xr:uid="{00000000-0005-0000-0000-00009E1A0000}"/>
    <cellStyle name="20% - Accent4 2 3 3 2 3" xfId="3657" xr:uid="{00000000-0005-0000-0000-00009F1A0000}"/>
    <cellStyle name="20% - Accent4 2 3 3 2 3 2" xfId="8777" xr:uid="{00000000-0005-0000-0000-0000A01A0000}"/>
    <cellStyle name="20% - Accent4 2 3 3 2 3 2 2" xfId="19017" xr:uid="{00000000-0005-0000-0000-0000A11A0000}"/>
    <cellStyle name="20% - Accent4 2 3 3 2 3 2 2 2" xfId="39497" xr:uid="{00000000-0005-0000-0000-0000A21A0000}"/>
    <cellStyle name="20% - Accent4 2 3 3 2 3 2 3" xfId="29257" xr:uid="{00000000-0005-0000-0000-0000A31A0000}"/>
    <cellStyle name="20% - Accent4 2 3 3 2 3 3" xfId="13897" xr:uid="{00000000-0005-0000-0000-0000A41A0000}"/>
    <cellStyle name="20% - Accent4 2 3 3 2 3 3 2" xfId="34377" xr:uid="{00000000-0005-0000-0000-0000A51A0000}"/>
    <cellStyle name="20% - Accent4 2 3 3 2 3 4" xfId="24137" xr:uid="{00000000-0005-0000-0000-0000A61A0000}"/>
    <cellStyle name="20% - Accent4 2 3 3 2 4" xfId="6217" xr:uid="{00000000-0005-0000-0000-0000A71A0000}"/>
    <cellStyle name="20% - Accent4 2 3 3 2 4 2" xfId="16457" xr:uid="{00000000-0005-0000-0000-0000A81A0000}"/>
    <cellStyle name="20% - Accent4 2 3 3 2 4 2 2" xfId="36937" xr:uid="{00000000-0005-0000-0000-0000A91A0000}"/>
    <cellStyle name="20% - Accent4 2 3 3 2 4 3" xfId="26697" xr:uid="{00000000-0005-0000-0000-0000AA1A0000}"/>
    <cellStyle name="20% - Accent4 2 3 3 2 5" xfId="11337" xr:uid="{00000000-0005-0000-0000-0000AB1A0000}"/>
    <cellStyle name="20% - Accent4 2 3 3 2 5 2" xfId="31817" xr:uid="{00000000-0005-0000-0000-0000AC1A0000}"/>
    <cellStyle name="20% - Accent4 2 3 3 2 6" xfId="21577" xr:uid="{00000000-0005-0000-0000-0000AD1A0000}"/>
    <cellStyle name="20% - Accent4 2 3 3 3" xfId="1737" xr:uid="{00000000-0005-0000-0000-0000AE1A0000}"/>
    <cellStyle name="20% - Accent4 2 3 3 3 2" xfId="4297" xr:uid="{00000000-0005-0000-0000-0000AF1A0000}"/>
    <cellStyle name="20% - Accent4 2 3 3 3 2 2" xfId="9417" xr:uid="{00000000-0005-0000-0000-0000B01A0000}"/>
    <cellStyle name="20% - Accent4 2 3 3 3 2 2 2" xfId="19657" xr:uid="{00000000-0005-0000-0000-0000B11A0000}"/>
    <cellStyle name="20% - Accent4 2 3 3 3 2 2 2 2" xfId="40137" xr:uid="{00000000-0005-0000-0000-0000B21A0000}"/>
    <cellStyle name="20% - Accent4 2 3 3 3 2 2 3" xfId="29897" xr:uid="{00000000-0005-0000-0000-0000B31A0000}"/>
    <cellStyle name="20% - Accent4 2 3 3 3 2 3" xfId="14537" xr:uid="{00000000-0005-0000-0000-0000B41A0000}"/>
    <cellStyle name="20% - Accent4 2 3 3 3 2 3 2" xfId="35017" xr:uid="{00000000-0005-0000-0000-0000B51A0000}"/>
    <cellStyle name="20% - Accent4 2 3 3 3 2 4" xfId="24777" xr:uid="{00000000-0005-0000-0000-0000B61A0000}"/>
    <cellStyle name="20% - Accent4 2 3 3 3 3" xfId="6857" xr:uid="{00000000-0005-0000-0000-0000B71A0000}"/>
    <cellStyle name="20% - Accent4 2 3 3 3 3 2" xfId="17097" xr:uid="{00000000-0005-0000-0000-0000B81A0000}"/>
    <cellStyle name="20% - Accent4 2 3 3 3 3 2 2" xfId="37577" xr:uid="{00000000-0005-0000-0000-0000B91A0000}"/>
    <cellStyle name="20% - Accent4 2 3 3 3 3 3" xfId="27337" xr:uid="{00000000-0005-0000-0000-0000BA1A0000}"/>
    <cellStyle name="20% - Accent4 2 3 3 3 4" xfId="11977" xr:uid="{00000000-0005-0000-0000-0000BB1A0000}"/>
    <cellStyle name="20% - Accent4 2 3 3 3 4 2" xfId="32457" xr:uid="{00000000-0005-0000-0000-0000BC1A0000}"/>
    <cellStyle name="20% - Accent4 2 3 3 3 5" xfId="22217" xr:uid="{00000000-0005-0000-0000-0000BD1A0000}"/>
    <cellStyle name="20% - Accent4 2 3 3 4" xfId="3017" xr:uid="{00000000-0005-0000-0000-0000BE1A0000}"/>
    <cellStyle name="20% - Accent4 2 3 3 4 2" xfId="8137" xr:uid="{00000000-0005-0000-0000-0000BF1A0000}"/>
    <cellStyle name="20% - Accent4 2 3 3 4 2 2" xfId="18377" xr:uid="{00000000-0005-0000-0000-0000C01A0000}"/>
    <cellStyle name="20% - Accent4 2 3 3 4 2 2 2" xfId="38857" xr:uid="{00000000-0005-0000-0000-0000C11A0000}"/>
    <cellStyle name="20% - Accent4 2 3 3 4 2 3" xfId="28617" xr:uid="{00000000-0005-0000-0000-0000C21A0000}"/>
    <cellStyle name="20% - Accent4 2 3 3 4 3" xfId="13257" xr:uid="{00000000-0005-0000-0000-0000C31A0000}"/>
    <cellStyle name="20% - Accent4 2 3 3 4 3 2" xfId="33737" xr:uid="{00000000-0005-0000-0000-0000C41A0000}"/>
    <cellStyle name="20% - Accent4 2 3 3 4 4" xfId="23497" xr:uid="{00000000-0005-0000-0000-0000C51A0000}"/>
    <cellStyle name="20% - Accent4 2 3 3 5" xfId="5577" xr:uid="{00000000-0005-0000-0000-0000C61A0000}"/>
    <cellStyle name="20% - Accent4 2 3 3 5 2" xfId="15817" xr:uid="{00000000-0005-0000-0000-0000C71A0000}"/>
    <cellStyle name="20% - Accent4 2 3 3 5 2 2" xfId="36297" xr:uid="{00000000-0005-0000-0000-0000C81A0000}"/>
    <cellStyle name="20% - Accent4 2 3 3 5 3" xfId="26057" xr:uid="{00000000-0005-0000-0000-0000C91A0000}"/>
    <cellStyle name="20% - Accent4 2 3 3 6" xfId="10697" xr:uid="{00000000-0005-0000-0000-0000CA1A0000}"/>
    <cellStyle name="20% - Accent4 2 3 3 6 2" xfId="31177" xr:uid="{00000000-0005-0000-0000-0000CB1A0000}"/>
    <cellStyle name="20% - Accent4 2 3 3 7" xfId="20937" xr:uid="{00000000-0005-0000-0000-0000CC1A0000}"/>
    <cellStyle name="20% - Accent4 2 3 4" xfId="777" xr:uid="{00000000-0005-0000-0000-0000CD1A0000}"/>
    <cellStyle name="20% - Accent4 2 3 4 2" xfId="2057" xr:uid="{00000000-0005-0000-0000-0000CE1A0000}"/>
    <cellStyle name="20% - Accent4 2 3 4 2 2" xfId="4617" xr:uid="{00000000-0005-0000-0000-0000CF1A0000}"/>
    <cellStyle name="20% - Accent4 2 3 4 2 2 2" xfId="9737" xr:uid="{00000000-0005-0000-0000-0000D01A0000}"/>
    <cellStyle name="20% - Accent4 2 3 4 2 2 2 2" xfId="19977" xr:uid="{00000000-0005-0000-0000-0000D11A0000}"/>
    <cellStyle name="20% - Accent4 2 3 4 2 2 2 2 2" xfId="40457" xr:uid="{00000000-0005-0000-0000-0000D21A0000}"/>
    <cellStyle name="20% - Accent4 2 3 4 2 2 2 3" xfId="30217" xr:uid="{00000000-0005-0000-0000-0000D31A0000}"/>
    <cellStyle name="20% - Accent4 2 3 4 2 2 3" xfId="14857" xr:uid="{00000000-0005-0000-0000-0000D41A0000}"/>
    <cellStyle name="20% - Accent4 2 3 4 2 2 3 2" xfId="35337" xr:uid="{00000000-0005-0000-0000-0000D51A0000}"/>
    <cellStyle name="20% - Accent4 2 3 4 2 2 4" xfId="25097" xr:uid="{00000000-0005-0000-0000-0000D61A0000}"/>
    <cellStyle name="20% - Accent4 2 3 4 2 3" xfId="7177" xr:uid="{00000000-0005-0000-0000-0000D71A0000}"/>
    <cellStyle name="20% - Accent4 2 3 4 2 3 2" xfId="17417" xr:uid="{00000000-0005-0000-0000-0000D81A0000}"/>
    <cellStyle name="20% - Accent4 2 3 4 2 3 2 2" xfId="37897" xr:uid="{00000000-0005-0000-0000-0000D91A0000}"/>
    <cellStyle name="20% - Accent4 2 3 4 2 3 3" xfId="27657" xr:uid="{00000000-0005-0000-0000-0000DA1A0000}"/>
    <cellStyle name="20% - Accent4 2 3 4 2 4" xfId="12297" xr:uid="{00000000-0005-0000-0000-0000DB1A0000}"/>
    <cellStyle name="20% - Accent4 2 3 4 2 4 2" xfId="32777" xr:uid="{00000000-0005-0000-0000-0000DC1A0000}"/>
    <cellStyle name="20% - Accent4 2 3 4 2 5" xfId="22537" xr:uid="{00000000-0005-0000-0000-0000DD1A0000}"/>
    <cellStyle name="20% - Accent4 2 3 4 3" xfId="3337" xr:uid="{00000000-0005-0000-0000-0000DE1A0000}"/>
    <cellStyle name="20% - Accent4 2 3 4 3 2" xfId="8457" xr:uid="{00000000-0005-0000-0000-0000DF1A0000}"/>
    <cellStyle name="20% - Accent4 2 3 4 3 2 2" xfId="18697" xr:uid="{00000000-0005-0000-0000-0000E01A0000}"/>
    <cellStyle name="20% - Accent4 2 3 4 3 2 2 2" xfId="39177" xr:uid="{00000000-0005-0000-0000-0000E11A0000}"/>
    <cellStyle name="20% - Accent4 2 3 4 3 2 3" xfId="28937" xr:uid="{00000000-0005-0000-0000-0000E21A0000}"/>
    <cellStyle name="20% - Accent4 2 3 4 3 3" xfId="13577" xr:uid="{00000000-0005-0000-0000-0000E31A0000}"/>
    <cellStyle name="20% - Accent4 2 3 4 3 3 2" xfId="34057" xr:uid="{00000000-0005-0000-0000-0000E41A0000}"/>
    <cellStyle name="20% - Accent4 2 3 4 3 4" xfId="23817" xr:uid="{00000000-0005-0000-0000-0000E51A0000}"/>
    <cellStyle name="20% - Accent4 2 3 4 4" xfId="5897" xr:uid="{00000000-0005-0000-0000-0000E61A0000}"/>
    <cellStyle name="20% - Accent4 2 3 4 4 2" xfId="16137" xr:uid="{00000000-0005-0000-0000-0000E71A0000}"/>
    <cellStyle name="20% - Accent4 2 3 4 4 2 2" xfId="36617" xr:uid="{00000000-0005-0000-0000-0000E81A0000}"/>
    <cellStyle name="20% - Accent4 2 3 4 4 3" xfId="26377" xr:uid="{00000000-0005-0000-0000-0000E91A0000}"/>
    <cellStyle name="20% - Accent4 2 3 4 5" xfId="11017" xr:uid="{00000000-0005-0000-0000-0000EA1A0000}"/>
    <cellStyle name="20% - Accent4 2 3 4 5 2" xfId="31497" xr:uid="{00000000-0005-0000-0000-0000EB1A0000}"/>
    <cellStyle name="20% - Accent4 2 3 4 6" xfId="21257" xr:uid="{00000000-0005-0000-0000-0000EC1A0000}"/>
    <cellStyle name="20% - Accent4 2 3 5" xfId="1417" xr:uid="{00000000-0005-0000-0000-0000ED1A0000}"/>
    <cellStyle name="20% - Accent4 2 3 5 2" xfId="3977" xr:uid="{00000000-0005-0000-0000-0000EE1A0000}"/>
    <cellStyle name="20% - Accent4 2 3 5 2 2" xfId="9097" xr:uid="{00000000-0005-0000-0000-0000EF1A0000}"/>
    <cellStyle name="20% - Accent4 2 3 5 2 2 2" xfId="19337" xr:uid="{00000000-0005-0000-0000-0000F01A0000}"/>
    <cellStyle name="20% - Accent4 2 3 5 2 2 2 2" xfId="39817" xr:uid="{00000000-0005-0000-0000-0000F11A0000}"/>
    <cellStyle name="20% - Accent4 2 3 5 2 2 3" xfId="29577" xr:uid="{00000000-0005-0000-0000-0000F21A0000}"/>
    <cellStyle name="20% - Accent4 2 3 5 2 3" xfId="14217" xr:uid="{00000000-0005-0000-0000-0000F31A0000}"/>
    <cellStyle name="20% - Accent4 2 3 5 2 3 2" xfId="34697" xr:uid="{00000000-0005-0000-0000-0000F41A0000}"/>
    <cellStyle name="20% - Accent4 2 3 5 2 4" xfId="24457" xr:uid="{00000000-0005-0000-0000-0000F51A0000}"/>
    <cellStyle name="20% - Accent4 2 3 5 3" xfId="6537" xr:uid="{00000000-0005-0000-0000-0000F61A0000}"/>
    <cellStyle name="20% - Accent4 2 3 5 3 2" xfId="16777" xr:uid="{00000000-0005-0000-0000-0000F71A0000}"/>
    <cellStyle name="20% - Accent4 2 3 5 3 2 2" xfId="37257" xr:uid="{00000000-0005-0000-0000-0000F81A0000}"/>
    <cellStyle name="20% - Accent4 2 3 5 3 3" xfId="27017" xr:uid="{00000000-0005-0000-0000-0000F91A0000}"/>
    <cellStyle name="20% - Accent4 2 3 5 4" xfId="11657" xr:uid="{00000000-0005-0000-0000-0000FA1A0000}"/>
    <cellStyle name="20% - Accent4 2 3 5 4 2" xfId="32137" xr:uid="{00000000-0005-0000-0000-0000FB1A0000}"/>
    <cellStyle name="20% - Accent4 2 3 5 5" xfId="21897" xr:uid="{00000000-0005-0000-0000-0000FC1A0000}"/>
    <cellStyle name="20% - Accent4 2 3 6" xfId="2697" xr:uid="{00000000-0005-0000-0000-0000FD1A0000}"/>
    <cellStyle name="20% - Accent4 2 3 6 2" xfId="7817" xr:uid="{00000000-0005-0000-0000-0000FE1A0000}"/>
    <cellStyle name="20% - Accent4 2 3 6 2 2" xfId="18057" xr:uid="{00000000-0005-0000-0000-0000FF1A0000}"/>
    <cellStyle name="20% - Accent4 2 3 6 2 2 2" xfId="38537" xr:uid="{00000000-0005-0000-0000-0000001B0000}"/>
    <cellStyle name="20% - Accent4 2 3 6 2 3" xfId="28297" xr:uid="{00000000-0005-0000-0000-0000011B0000}"/>
    <cellStyle name="20% - Accent4 2 3 6 3" xfId="12937" xr:uid="{00000000-0005-0000-0000-0000021B0000}"/>
    <cellStyle name="20% - Accent4 2 3 6 3 2" xfId="33417" xr:uid="{00000000-0005-0000-0000-0000031B0000}"/>
    <cellStyle name="20% - Accent4 2 3 6 4" xfId="23177" xr:uid="{00000000-0005-0000-0000-0000041B0000}"/>
    <cellStyle name="20% - Accent4 2 3 7" xfId="5257" xr:uid="{00000000-0005-0000-0000-0000051B0000}"/>
    <cellStyle name="20% - Accent4 2 3 7 2" xfId="15497" xr:uid="{00000000-0005-0000-0000-0000061B0000}"/>
    <cellStyle name="20% - Accent4 2 3 7 2 2" xfId="35977" xr:uid="{00000000-0005-0000-0000-0000071B0000}"/>
    <cellStyle name="20% - Accent4 2 3 7 3" xfId="25737" xr:uid="{00000000-0005-0000-0000-0000081B0000}"/>
    <cellStyle name="20% - Accent4 2 3 8" xfId="10377" xr:uid="{00000000-0005-0000-0000-0000091B0000}"/>
    <cellStyle name="20% - Accent4 2 3 8 2" xfId="30857" xr:uid="{00000000-0005-0000-0000-00000A1B0000}"/>
    <cellStyle name="20% - Accent4 2 3 9" xfId="20617" xr:uid="{00000000-0005-0000-0000-00000B1B0000}"/>
    <cellStyle name="20% - Accent4 2 4" xfId="217" xr:uid="{00000000-0005-0000-0000-00000C1B0000}"/>
    <cellStyle name="20% - Accent4 2 4 2" xfId="537" xr:uid="{00000000-0005-0000-0000-00000D1B0000}"/>
    <cellStyle name="20% - Accent4 2 4 2 2" xfId="1177" xr:uid="{00000000-0005-0000-0000-00000E1B0000}"/>
    <cellStyle name="20% - Accent4 2 4 2 2 2" xfId="2457" xr:uid="{00000000-0005-0000-0000-00000F1B0000}"/>
    <cellStyle name="20% - Accent4 2 4 2 2 2 2" xfId="5017" xr:uid="{00000000-0005-0000-0000-0000101B0000}"/>
    <cellStyle name="20% - Accent4 2 4 2 2 2 2 2" xfId="10137" xr:uid="{00000000-0005-0000-0000-0000111B0000}"/>
    <cellStyle name="20% - Accent4 2 4 2 2 2 2 2 2" xfId="20377" xr:uid="{00000000-0005-0000-0000-0000121B0000}"/>
    <cellStyle name="20% - Accent4 2 4 2 2 2 2 2 2 2" xfId="40857" xr:uid="{00000000-0005-0000-0000-0000131B0000}"/>
    <cellStyle name="20% - Accent4 2 4 2 2 2 2 2 3" xfId="30617" xr:uid="{00000000-0005-0000-0000-0000141B0000}"/>
    <cellStyle name="20% - Accent4 2 4 2 2 2 2 3" xfId="15257" xr:uid="{00000000-0005-0000-0000-0000151B0000}"/>
    <cellStyle name="20% - Accent4 2 4 2 2 2 2 3 2" xfId="35737" xr:uid="{00000000-0005-0000-0000-0000161B0000}"/>
    <cellStyle name="20% - Accent4 2 4 2 2 2 2 4" xfId="25497" xr:uid="{00000000-0005-0000-0000-0000171B0000}"/>
    <cellStyle name="20% - Accent4 2 4 2 2 2 3" xfId="7577" xr:uid="{00000000-0005-0000-0000-0000181B0000}"/>
    <cellStyle name="20% - Accent4 2 4 2 2 2 3 2" xfId="17817" xr:uid="{00000000-0005-0000-0000-0000191B0000}"/>
    <cellStyle name="20% - Accent4 2 4 2 2 2 3 2 2" xfId="38297" xr:uid="{00000000-0005-0000-0000-00001A1B0000}"/>
    <cellStyle name="20% - Accent4 2 4 2 2 2 3 3" xfId="28057" xr:uid="{00000000-0005-0000-0000-00001B1B0000}"/>
    <cellStyle name="20% - Accent4 2 4 2 2 2 4" xfId="12697" xr:uid="{00000000-0005-0000-0000-00001C1B0000}"/>
    <cellStyle name="20% - Accent4 2 4 2 2 2 4 2" xfId="33177" xr:uid="{00000000-0005-0000-0000-00001D1B0000}"/>
    <cellStyle name="20% - Accent4 2 4 2 2 2 5" xfId="22937" xr:uid="{00000000-0005-0000-0000-00001E1B0000}"/>
    <cellStyle name="20% - Accent4 2 4 2 2 3" xfId="3737" xr:uid="{00000000-0005-0000-0000-00001F1B0000}"/>
    <cellStyle name="20% - Accent4 2 4 2 2 3 2" xfId="8857" xr:uid="{00000000-0005-0000-0000-0000201B0000}"/>
    <cellStyle name="20% - Accent4 2 4 2 2 3 2 2" xfId="19097" xr:uid="{00000000-0005-0000-0000-0000211B0000}"/>
    <cellStyle name="20% - Accent4 2 4 2 2 3 2 2 2" xfId="39577" xr:uid="{00000000-0005-0000-0000-0000221B0000}"/>
    <cellStyle name="20% - Accent4 2 4 2 2 3 2 3" xfId="29337" xr:uid="{00000000-0005-0000-0000-0000231B0000}"/>
    <cellStyle name="20% - Accent4 2 4 2 2 3 3" xfId="13977" xr:uid="{00000000-0005-0000-0000-0000241B0000}"/>
    <cellStyle name="20% - Accent4 2 4 2 2 3 3 2" xfId="34457" xr:uid="{00000000-0005-0000-0000-0000251B0000}"/>
    <cellStyle name="20% - Accent4 2 4 2 2 3 4" xfId="24217" xr:uid="{00000000-0005-0000-0000-0000261B0000}"/>
    <cellStyle name="20% - Accent4 2 4 2 2 4" xfId="6297" xr:uid="{00000000-0005-0000-0000-0000271B0000}"/>
    <cellStyle name="20% - Accent4 2 4 2 2 4 2" xfId="16537" xr:uid="{00000000-0005-0000-0000-0000281B0000}"/>
    <cellStyle name="20% - Accent4 2 4 2 2 4 2 2" xfId="37017" xr:uid="{00000000-0005-0000-0000-0000291B0000}"/>
    <cellStyle name="20% - Accent4 2 4 2 2 4 3" xfId="26777" xr:uid="{00000000-0005-0000-0000-00002A1B0000}"/>
    <cellStyle name="20% - Accent4 2 4 2 2 5" xfId="11417" xr:uid="{00000000-0005-0000-0000-00002B1B0000}"/>
    <cellStyle name="20% - Accent4 2 4 2 2 5 2" xfId="31897" xr:uid="{00000000-0005-0000-0000-00002C1B0000}"/>
    <cellStyle name="20% - Accent4 2 4 2 2 6" xfId="21657" xr:uid="{00000000-0005-0000-0000-00002D1B0000}"/>
    <cellStyle name="20% - Accent4 2 4 2 3" xfId="1817" xr:uid="{00000000-0005-0000-0000-00002E1B0000}"/>
    <cellStyle name="20% - Accent4 2 4 2 3 2" xfId="4377" xr:uid="{00000000-0005-0000-0000-00002F1B0000}"/>
    <cellStyle name="20% - Accent4 2 4 2 3 2 2" xfId="9497" xr:uid="{00000000-0005-0000-0000-0000301B0000}"/>
    <cellStyle name="20% - Accent4 2 4 2 3 2 2 2" xfId="19737" xr:uid="{00000000-0005-0000-0000-0000311B0000}"/>
    <cellStyle name="20% - Accent4 2 4 2 3 2 2 2 2" xfId="40217" xr:uid="{00000000-0005-0000-0000-0000321B0000}"/>
    <cellStyle name="20% - Accent4 2 4 2 3 2 2 3" xfId="29977" xr:uid="{00000000-0005-0000-0000-0000331B0000}"/>
    <cellStyle name="20% - Accent4 2 4 2 3 2 3" xfId="14617" xr:uid="{00000000-0005-0000-0000-0000341B0000}"/>
    <cellStyle name="20% - Accent4 2 4 2 3 2 3 2" xfId="35097" xr:uid="{00000000-0005-0000-0000-0000351B0000}"/>
    <cellStyle name="20% - Accent4 2 4 2 3 2 4" xfId="24857" xr:uid="{00000000-0005-0000-0000-0000361B0000}"/>
    <cellStyle name="20% - Accent4 2 4 2 3 3" xfId="6937" xr:uid="{00000000-0005-0000-0000-0000371B0000}"/>
    <cellStyle name="20% - Accent4 2 4 2 3 3 2" xfId="17177" xr:uid="{00000000-0005-0000-0000-0000381B0000}"/>
    <cellStyle name="20% - Accent4 2 4 2 3 3 2 2" xfId="37657" xr:uid="{00000000-0005-0000-0000-0000391B0000}"/>
    <cellStyle name="20% - Accent4 2 4 2 3 3 3" xfId="27417" xr:uid="{00000000-0005-0000-0000-00003A1B0000}"/>
    <cellStyle name="20% - Accent4 2 4 2 3 4" xfId="12057" xr:uid="{00000000-0005-0000-0000-00003B1B0000}"/>
    <cellStyle name="20% - Accent4 2 4 2 3 4 2" xfId="32537" xr:uid="{00000000-0005-0000-0000-00003C1B0000}"/>
    <cellStyle name="20% - Accent4 2 4 2 3 5" xfId="22297" xr:uid="{00000000-0005-0000-0000-00003D1B0000}"/>
    <cellStyle name="20% - Accent4 2 4 2 4" xfId="3097" xr:uid="{00000000-0005-0000-0000-00003E1B0000}"/>
    <cellStyle name="20% - Accent4 2 4 2 4 2" xfId="8217" xr:uid="{00000000-0005-0000-0000-00003F1B0000}"/>
    <cellStyle name="20% - Accent4 2 4 2 4 2 2" xfId="18457" xr:uid="{00000000-0005-0000-0000-0000401B0000}"/>
    <cellStyle name="20% - Accent4 2 4 2 4 2 2 2" xfId="38937" xr:uid="{00000000-0005-0000-0000-0000411B0000}"/>
    <cellStyle name="20% - Accent4 2 4 2 4 2 3" xfId="28697" xr:uid="{00000000-0005-0000-0000-0000421B0000}"/>
    <cellStyle name="20% - Accent4 2 4 2 4 3" xfId="13337" xr:uid="{00000000-0005-0000-0000-0000431B0000}"/>
    <cellStyle name="20% - Accent4 2 4 2 4 3 2" xfId="33817" xr:uid="{00000000-0005-0000-0000-0000441B0000}"/>
    <cellStyle name="20% - Accent4 2 4 2 4 4" xfId="23577" xr:uid="{00000000-0005-0000-0000-0000451B0000}"/>
    <cellStyle name="20% - Accent4 2 4 2 5" xfId="5657" xr:uid="{00000000-0005-0000-0000-0000461B0000}"/>
    <cellStyle name="20% - Accent4 2 4 2 5 2" xfId="15897" xr:uid="{00000000-0005-0000-0000-0000471B0000}"/>
    <cellStyle name="20% - Accent4 2 4 2 5 2 2" xfId="36377" xr:uid="{00000000-0005-0000-0000-0000481B0000}"/>
    <cellStyle name="20% - Accent4 2 4 2 5 3" xfId="26137" xr:uid="{00000000-0005-0000-0000-0000491B0000}"/>
    <cellStyle name="20% - Accent4 2 4 2 6" xfId="10777" xr:uid="{00000000-0005-0000-0000-00004A1B0000}"/>
    <cellStyle name="20% - Accent4 2 4 2 6 2" xfId="31257" xr:uid="{00000000-0005-0000-0000-00004B1B0000}"/>
    <cellStyle name="20% - Accent4 2 4 2 7" xfId="21017" xr:uid="{00000000-0005-0000-0000-00004C1B0000}"/>
    <cellStyle name="20% - Accent4 2 4 3" xfId="857" xr:uid="{00000000-0005-0000-0000-00004D1B0000}"/>
    <cellStyle name="20% - Accent4 2 4 3 2" xfId="2137" xr:uid="{00000000-0005-0000-0000-00004E1B0000}"/>
    <cellStyle name="20% - Accent4 2 4 3 2 2" xfId="4697" xr:uid="{00000000-0005-0000-0000-00004F1B0000}"/>
    <cellStyle name="20% - Accent4 2 4 3 2 2 2" xfId="9817" xr:uid="{00000000-0005-0000-0000-0000501B0000}"/>
    <cellStyle name="20% - Accent4 2 4 3 2 2 2 2" xfId="20057" xr:uid="{00000000-0005-0000-0000-0000511B0000}"/>
    <cellStyle name="20% - Accent4 2 4 3 2 2 2 2 2" xfId="40537" xr:uid="{00000000-0005-0000-0000-0000521B0000}"/>
    <cellStyle name="20% - Accent4 2 4 3 2 2 2 3" xfId="30297" xr:uid="{00000000-0005-0000-0000-0000531B0000}"/>
    <cellStyle name="20% - Accent4 2 4 3 2 2 3" xfId="14937" xr:uid="{00000000-0005-0000-0000-0000541B0000}"/>
    <cellStyle name="20% - Accent4 2 4 3 2 2 3 2" xfId="35417" xr:uid="{00000000-0005-0000-0000-0000551B0000}"/>
    <cellStyle name="20% - Accent4 2 4 3 2 2 4" xfId="25177" xr:uid="{00000000-0005-0000-0000-0000561B0000}"/>
    <cellStyle name="20% - Accent4 2 4 3 2 3" xfId="7257" xr:uid="{00000000-0005-0000-0000-0000571B0000}"/>
    <cellStyle name="20% - Accent4 2 4 3 2 3 2" xfId="17497" xr:uid="{00000000-0005-0000-0000-0000581B0000}"/>
    <cellStyle name="20% - Accent4 2 4 3 2 3 2 2" xfId="37977" xr:uid="{00000000-0005-0000-0000-0000591B0000}"/>
    <cellStyle name="20% - Accent4 2 4 3 2 3 3" xfId="27737" xr:uid="{00000000-0005-0000-0000-00005A1B0000}"/>
    <cellStyle name="20% - Accent4 2 4 3 2 4" xfId="12377" xr:uid="{00000000-0005-0000-0000-00005B1B0000}"/>
    <cellStyle name="20% - Accent4 2 4 3 2 4 2" xfId="32857" xr:uid="{00000000-0005-0000-0000-00005C1B0000}"/>
    <cellStyle name="20% - Accent4 2 4 3 2 5" xfId="22617" xr:uid="{00000000-0005-0000-0000-00005D1B0000}"/>
    <cellStyle name="20% - Accent4 2 4 3 3" xfId="3417" xr:uid="{00000000-0005-0000-0000-00005E1B0000}"/>
    <cellStyle name="20% - Accent4 2 4 3 3 2" xfId="8537" xr:uid="{00000000-0005-0000-0000-00005F1B0000}"/>
    <cellStyle name="20% - Accent4 2 4 3 3 2 2" xfId="18777" xr:uid="{00000000-0005-0000-0000-0000601B0000}"/>
    <cellStyle name="20% - Accent4 2 4 3 3 2 2 2" xfId="39257" xr:uid="{00000000-0005-0000-0000-0000611B0000}"/>
    <cellStyle name="20% - Accent4 2 4 3 3 2 3" xfId="29017" xr:uid="{00000000-0005-0000-0000-0000621B0000}"/>
    <cellStyle name="20% - Accent4 2 4 3 3 3" xfId="13657" xr:uid="{00000000-0005-0000-0000-0000631B0000}"/>
    <cellStyle name="20% - Accent4 2 4 3 3 3 2" xfId="34137" xr:uid="{00000000-0005-0000-0000-0000641B0000}"/>
    <cellStyle name="20% - Accent4 2 4 3 3 4" xfId="23897" xr:uid="{00000000-0005-0000-0000-0000651B0000}"/>
    <cellStyle name="20% - Accent4 2 4 3 4" xfId="5977" xr:uid="{00000000-0005-0000-0000-0000661B0000}"/>
    <cellStyle name="20% - Accent4 2 4 3 4 2" xfId="16217" xr:uid="{00000000-0005-0000-0000-0000671B0000}"/>
    <cellStyle name="20% - Accent4 2 4 3 4 2 2" xfId="36697" xr:uid="{00000000-0005-0000-0000-0000681B0000}"/>
    <cellStyle name="20% - Accent4 2 4 3 4 3" xfId="26457" xr:uid="{00000000-0005-0000-0000-0000691B0000}"/>
    <cellStyle name="20% - Accent4 2 4 3 5" xfId="11097" xr:uid="{00000000-0005-0000-0000-00006A1B0000}"/>
    <cellStyle name="20% - Accent4 2 4 3 5 2" xfId="31577" xr:uid="{00000000-0005-0000-0000-00006B1B0000}"/>
    <cellStyle name="20% - Accent4 2 4 3 6" xfId="21337" xr:uid="{00000000-0005-0000-0000-00006C1B0000}"/>
    <cellStyle name="20% - Accent4 2 4 4" xfId="1497" xr:uid="{00000000-0005-0000-0000-00006D1B0000}"/>
    <cellStyle name="20% - Accent4 2 4 4 2" xfId="4057" xr:uid="{00000000-0005-0000-0000-00006E1B0000}"/>
    <cellStyle name="20% - Accent4 2 4 4 2 2" xfId="9177" xr:uid="{00000000-0005-0000-0000-00006F1B0000}"/>
    <cellStyle name="20% - Accent4 2 4 4 2 2 2" xfId="19417" xr:uid="{00000000-0005-0000-0000-0000701B0000}"/>
    <cellStyle name="20% - Accent4 2 4 4 2 2 2 2" xfId="39897" xr:uid="{00000000-0005-0000-0000-0000711B0000}"/>
    <cellStyle name="20% - Accent4 2 4 4 2 2 3" xfId="29657" xr:uid="{00000000-0005-0000-0000-0000721B0000}"/>
    <cellStyle name="20% - Accent4 2 4 4 2 3" xfId="14297" xr:uid="{00000000-0005-0000-0000-0000731B0000}"/>
    <cellStyle name="20% - Accent4 2 4 4 2 3 2" xfId="34777" xr:uid="{00000000-0005-0000-0000-0000741B0000}"/>
    <cellStyle name="20% - Accent4 2 4 4 2 4" xfId="24537" xr:uid="{00000000-0005-0000-0000-0000751B0000}"/>
    <cellStyle name="20% - Accent4 2 4 4 3" xfId="6617" xr:uid="{00000000-0005-0000-0000-0000761B0000}"/>
    <cellStyle name="20% - Accent4 2 4 4 3 2" xfId="16857" xr:uid="{00000000-0005-0000-0000-0000771B0000}"/>
    <cellStyle name="20% - Accent4 2 4 4 3 2 2" xfId="37337" xr:uid="{00000000-0005-0000-0000-0000781B0000}"/>
    <cellStyle name="20% - Accent4 2 4 4 3 3" xfId="27097" xr:uid="{00000000-0005-0000-0000-0000791B0000}"/>
    <cellStyle name="20% - Accent4 2 4 4 4" xfId="11737" xr:uid="{00000000-0005-0000-0000-00007A1B0000}"/>
    <cellStyle name="20% - Accent4 2 4 4 4 2" xfId="32217" xr:uid="{00000000-0005-0000-0000-00007B1B0000}"/>
    <cellStyle name="20% - Accent4 2 4 4 5" xfId="21977" xr:uid="{00000000-0005-0000-0000-00007C1B0000}"/>
    <cellStyle name="20% - Accent4 2 4 5" xfId="2777" xr:uid="{00000000-0005-0000-0000-00007D1B0000}"/>
    <cellStyle name="20% - Accent4 2 4 5 2" xfId="7897" xr:uid="{00000000-0005-0000-0000-00007E1B0000}"/>
    <cellStyle name="20% - Accent4 2 4 5 2 2" xfId="18137" xr:uid="{00000000-0005-0000-0000-00007F1B0000}"/>
    <cellStyle name="20% - Accent4 2 4 5 2 2 2" xfId="38617" xr:uid="{00000000-0005-0000-0000-0000801B0000}"/>
    <cellStyle name="20% - Accent4 2 4 5 2 3" xfId="28377" xr:uid="{00000000-0005-0000-0000-0000811B0000}"/>
    <cellStyle name="20% - Accent4 2 4 5 3" xfId="13017" xr:uid="{00000000-0005-0000-0000-0000821B0000}"/>
    <cellStyle name="20% - Accent4 2 4 5 3 2" xfId="33497" xr:uid="{00000000-0005-0000-0000-0000831B0000}"/>
    <cellStyle name="20% - Accent4 2 4 5 4" xfId="23257" xr:uid="{00000000-0005-0000-0000-0000841B0000}"/>
    <cellStyle name="20% - Accent4 2 4 6" xfId="5337" xr:uid="{00000000-0005-0000-0000-0000851B0000}"/>
    <cellStyle name="20% - Accent4 2 4 6 2" xfId="15577" xr:uid="{00000000-0005-0000-0000-0000861B0000}"/>
    <cellStyle name="20% - Accent4 2 4 6 2 2" xfId="36057" xr:uid="{00000000-0005-0000-0000-0000871B0000}"/>
    <cellStyle name="20% - Accent4 2 4 6 3" xfId="25817" xr:uid="{00000000-0005-0000-0000-0000881B0000}"/>
    <cellStyle name="20% - Accent4 2 4 7" xfId="10457" xr:uid="{00000000-0005-0000-0000-0000891B0000}"/>
    <cellStyle name="20% - Accent4 2 4 7 2" xfId="30937" xr:uid="{00000000-0005-0000-0000-00008A1B0000}"/>
    <cellStyle name="20% - Accent4 2 4 8" xfId="20697" xr:uid="{00000000-0005-0000-0000-00008B1B0000}"/>
    <cellStyle name="20% - Accent4 2 5" xfId="377" xr:uid="{00000000-0005-0000-0000-00008C1B0000}"/>
    <cellStyle name="20% - Accent4 2 5 2" xfId="1017" xr:uid="{00000000-0005-0000-0000-00008D1B0000}"/>
    <cellStyle name="20% - Accent4 2 5 2 2" xfId="2297" xr:uid="{00000000-0005-0000-0000-00008E1B0000}"/>
    <cellStyle name="20% - Accent4 2 5 2 2 2" xfId="4857" xr:uid="{00000000-0005-0000-0000-00008F1B0000}"/>
    <cellStyle name="20% - Accent4 2 5 2 2 2 2" xfId="9977" xr:uid="{00000000-0005-0000-0000-0000901B0000}"/>
    <cellStyle name="20% - Accent4 2 5 2 2 2 2 2" xfId="20217" xr:uid="{00000000-0005-0000-0000-0000911B0000}"/>
    <cellStyle name="20% - Accent4 2 5 2 2 2 2 2 2" xfId="40697" xr:uid="{00000000-0005-0000-0000-0000921B0000}"/>
    <cellStyle name="20% - Accent4 2 5 2 2 2 2 3" xfId="30457" xr:uid="{00000000-0005-0000-0000-0000931B0000}"/>
    <cellStyle name="20% - Accent4 2 5 2 2 2 3" xfId="15097" xr:uid="{00000000-0005-0000-0000-0000941B0000}"/>
    <cellStyle name="20% - Accent4 2 5 2 2 2 3 2" xfId="35577" xr:uid="{00000000-0005-0000-0000-0000951B0000}"/>
    <cellStyle name="20% - Accent4 2 5 2 2 2 4" xfId="25337" xr:uid="{00000000-0005-0000-0000-0000961B0000}"/>
    <cellStyle name="20% - Accent4 2 5 2 2 3" xfId="7417" xr:uid="{00000000-0005-0000-0000-0000971B0000}"/>
    <cellStyle name="20% - Accent4 2 5 2 2 3 2" xfId="17657" xr:uid="{00000000-0005-0000-0000-0000981B0000}"/>
    <cellStyle name="20% - Accent4 2 5 2 2 3 2 2" xfId="38137" xr:uid="{00000000-0005-0000-0000-0000991B0000}"/>
    <cellStyle name="20% - Accent4 2 5 2 2 3 3" xfId="27897" xr:uid="{00000000-0005-0000-0000-00009A1B0000}"/>
    <cellStyle name="20% - Accent4 2 5 2 2 4" xfId="12537" xr:uid="{00000000-0005-0000-0000-00009B1B0000}"/>
    <cellStyle name="20% - Accent4 2 5 2 2 4 2" xfId="33017" xr:uid="{00000000-0005-0000-0000-00009C1B0000}"/>
    <cellStyle name="20% - Accent4 2 5 2 2 5" xfId="22777" xr:uid="{00000000-0005-0000-0000-00009D1B0000}"/>
    <cellStyle name="20% - Accent4 2 5 2 3" xfId="3577" xr:uid="{00000000-0005-0000-0000-00009E1B0000}"/>
    <cellStyle name="20% - Accent4 2 5 2 3 2" xfId="8697" xr:uid="{00000000-0005-0000-0000-00009F1B0000}"/>
    <cellStyle name="20% - Accent4 2 5 2 3 2 2" xfId="18937" xr:uid="{00000000-0005-0000-0000-0000A01B0000}"/>
    <cellStyle name="20% - Accent4 2 5 2 3 2 2 2" xfId="39417" xr:uid="{00000000-0005-0000-0000-0000A11B0000}"/>
    <cellStyle name="20% - Accent4 2 5 2 3 2 3" xfId="29177" xr:uid="{00000000-0005-0000-0000-0000A21B0000}"/>
    <cellStyle name="20% - Accent4 2 5 2 3 3" xfId="13817" xr:uid="{00000000-0005-0000-0000-0000A31B0000}"/>
    <cellStyle name="20% - Accent4 2 5 2 3 3 2" xfId="34297" xr:uid="{00000000-0005-0000-0000-0000A41B0000}"/>
    <cellStyle name="20% - Accent4 2 5 2 3 4" xfId="24057" xr:uid="{00000000-0005-0000-0000-0000A51B0000}"/>
    <cellStyle name="20% - Accent4 2 5 2 4" xfId="6137" xr:uid="{00000000-0005-0000-0000-0000A61B0000}"/>
    <cellStyle name="20% - Accent4 2 5 2 4 2" xfId="16377" xr:uid="{00000000-0005-0000-0000-0000A71B0000}"/>
    <cellStyle name="20% - Accent4 2 5 2 4 2 2" xfId="36857" xr:uid="{00000000-0005-0000-0000-0000A81B0000}"/>
    <cellStyle name="20% - Accent4 2 5 2 4 3" xfId="26617" xr:uid="{00000000-0005-0000-0000-0000A91B0000}"/>
    <cellStyle name="20% - Accent4 2 5 2 5" xfId="11257" xr:uid="{00000000-0005-0000-0000-0000AA1B0000}"/>
    <cellStyle name="20% - Accent4 2 5 2 5 2" xfId="31737" xr:uid="{00000000-0005-0000-0000-0000AB1B0000}"/>
    <cellStyle name="20% - Accent4 2 5 2 6" xfId="21497" xr:uid="{00000000-0005-0000-0000-0000AC1B0000}"/>
    <cellStyle name="20% - Accent4 2 5 3" xfId="1657" xr:uid="{00000000-0005-0000-0000-0000AD1B0000}"/>
    <cellStyle name="20% - Accent4 2 5 3 2" xfId="4217" xr:uid="{00000000-0005-0000-0000-0000AE1B0000}"/>
    <cellStyle name="20% - Accent4 2 5 3 2 2" xfId="9337" xr:uid="{00000000-0005-0000-0000-0000AF1B0000}"/>
    <cellStyle name="20% - Accent4 2 5 3 2 2 2" xfId="19577" xr:uid="{00000000-0005-0000-0000-0000B01B0000}"/>
    <cellStyle name="20% - Accent4 2 5 3 2 2 2 2" xfId="40057" xr:uid="{00000000-0005-0000-0000-0000B11B0000}"/>
    <cellStyle name="20% - Accent4 2 5 3 2 2 3" xfId="29817" xr:uid="{00000000-0005-0000-0000-0000B21B0000}"/>
    <cellStyle name="20% - Accent4 2 5 3 2 3" xfId="14457" xr:uid="{00000000-0005-0000-0000-0000B31B0000}"/>
    <cellStyle name="20% - Accent4 2 5 3 2 3 2" xfId="34937" xr:uid="{00000000-0005-0000-0000-0000B41B0000}"/>
    <cellStyle name="20% - Accent4 2 5 3 2 4" xfId="24697" xr:uid="{00000000-0005-0000-0000-0000B51B0000}"/>
    <cellStyle name="20% - Accent4 2 5 3 3" xfId="6777" xr:uid="{00000000-0005-0000-0000-0000B61B0000}"/>
    <cellStyle name="20% - Accent4 2 5 3 3 2" xfId="17017" xr:uid="{00000000-0005-0000-0000-0000B71B0000}"/>
    <cellStyle name="20% - Accent4 2 5 3 3 2 2" xfId="37497" xr:uid="{00000000-0005-0000-0000-0000B81B0000}"/>
    <cellStyle name="20% - Accent4 2 5 3 3 3" xfId="27257" xr:uid="{00000000-0005-0000-0000-0000B91B0000}"/>
    <cellStyle name="20% - Accent4 2 5 3 4" xfId="11897" xr:uid="{00000000-0005-0000-0000-0000BA1B0000}"/>
    <cellStyle name="20% - Accent4 2 5 3 4 2" xfId="32377" xr:uid="{00000000-0005-0000-0000-0000BB1B0000}"/>
    <cellStyle name="20% - Accent4 2 5 3 5" xfId="22137" xr:uid="{00000000-0005-0000-0000-0000BC1B0000}"/>
    <cellStyle name="20% - Accent4 2 5 4" xfId="2937" xr:uid="{00000000-0005-0000-0000-0000BD1B0000}"/>
    <cellStyle name="20% - Accent4 2 5 4 2" xfId="8057" xr:uid="{00000000-0005-0000-0000-0000BE1B0000}"/>
    <cellStyle name="20% - Accent4 2 5 4 2 2" xfId="18297" xr:uid="{00000000-0005-0000-0000-0000BF1B0000}"/>
    <cellStyle name="20% - Accent4 2 5 4 2 2 2" xfId="38777" xr:uid="{00000000-0005-0000-0000-0000C01B0000}"/>
    <cellStyle name="20% - Accent4 2 5 4 2 3" xfId="28537" xr:uid="{00000000-0005-0000-0000-0000C11B0000}"/>
    <cellStyle name="20% - Accent4 2 5 4 3" xfId="13177" xr:uid="{00000000-0005-0000-0000-0000C21B0000}"/>
    <cellStyle name="20% - Accent4 2 5 4 3 2" xfId="33657" xr:uid="{00000000-0005-0000-0000-0000C31B0000}"/>
    <cellStyle name="20% - Accent4 2 5 4 4" xfId="23417" xr:uid="{00000000-0005-0000-0000-0000C41B0000}"/>
    <cellStyle name="20% - Accent4 2 5 5" xfId="5497" xr:uid="{00000000-0005-0000-0000-0000C51B0000}"/>
    <cellStyle name="20% - Accent4 2 5 5 2" xfId="15737" xr:uid="{00000000-0005-0000-0000-0000C61B0000}"/>
    <cellStyle name="20% - Accent4 2 5 5 2 2" xfId="36217" xr:uid="{00000000-0005-0000-0000-0000C71B0000}"/>
    <cellStyle name="20% - Accent4 2 5 5 3" xfId="25977" xr:uid="{00000000-0005-0000-0000-0000C81B0000}"/>
    <cellStyle name="20% - Accent4 2 5 6" xfId="10617" xr:uid="{00000000-0005-0000-0000-0000C91B0000}"/>
    <cellStyle name="20% - Accent4 2 5 6 2" xfId="31097" xr:uid="{00000000-0005-0000-0000-0000CA1B0000}"/>
    <cellStyle name="20% - Accent4 2 5 7" xfId="20857" xr:uid="{00000000-0005-0000-0000-0000CB1B0000}"/>
    <cellStyle name="20% - Accent4 2 6" xfId="697" xr:uid="{00000000-0005-0000-0000-0000CC1B0000}"/>
    <cellStyle name="20% - Accent4 2 6 2" xfId="1977" xr:uid="{00000000-0005-0000-0000-0000CD1B0000}"/>
    <cellStyle name="20% - Accent4 2 6 2 2" xfId="4537" xr:uid="{00000000-0005-0000-0000-0000CE1B0000}"/>
    <cellStyle name="20% - Accent4 2 6 2 2 2" xfId="9657" xr:uid="{00000000-0005-0000-0000-0000CF1B0000}"/>
    <cellStyle name="20% - Accent4 2 6 2 2 2 2" xfId="19897" xr:uid="{00000000-0005-0000-0000-0000D01B0000}"/>
    <cellStyle name="20% - Accent4 2 6 2 2 2 2 2" xfId="40377" xr:uid="{00000000-0005-0000-0000-0000D11B0000}"/>
    <cellStyle name="20% - Accent4 2 6 2 2 2 3" xfId="30137" xr:uid="{00000000-0005-0000-0000-0000D21B0000}"/>
    <cellStyle name="20% - Accent4 2 6 2 2 3" xfId="14777" xr:uid="{00000000-0005-0000-0000-0000D31B0000}"/>
    <cellStyle name="20% - Accent4 2 6 2 2 3 2" xfId="35257" xr:uid="{00000000-0005-0000-0000-0000D41B0000}"/>
    <cellStyle name="20% - Accent4 2 6 2 2 4" xfId="25017" xr:uid="{00000000-0005-0000-0000-0000D51B0000}"/>
    <cellStyle name="20% - Accent4 2 6 2 3" xfId="7097" xr:uid="{00000000-0005-0000-0000-0000D61B0000}"/>
    <cellStyle name="20% - Accent4 2 6 2 3 2" xfId="17337" xr:uid="{00000000-0005-0000-0000-0000D71B0000}"/>
    <cellStyle name="20% - Accent4 2 6 2 3 2 2" xfId="37817" xr:uid="{00000000-0005-0000-0000-0000D81B0000}"/>
    <cellStyle name="20% - Accent4 2 6 2 3 3" xfId="27577" xr:uid="{00000000-0005-0000-0000-0000D91B0000}"/>
    <cellStyle name="20% - Accent4 2 6 2 4" xfId="12217" xr:uid="{00000000-0005-0000-0000-0000DA1B0000}"/>
    <cellStyle name="20% - Accent4 2 6 2 4 2" xfId="32697" xr:uid="{00000000-0005-0000-0000-0000DB1B0000}"/>
    <cellStyle name="20% - Accent4 2 6 2 5" xfId="22457" xr:uid="{00000000-0005-0000-0000-0000DC1B0000}"/>
    <cellStyle name="20% - Accent4 2 6 3" xfId="3257" xr:uid="{00000000-0005-0000-0000-0000DD1B0000}"/>
    <cellStyle name="20% - Accent4 2 6 3 2" xfId="8377" xr:uid="{00000000-0005-0000-0000-0000DE1B0000}"/>
    <cellStyle name="20% - Accent4 2 6 3 2 2" xfId="18617" xr:uid="{00000000-0005-0000-0000-0000DF1B0000}"/>
    <cellStyle name="20% - Accent4 2 6 3 2 2 2" xfId="39097" xr:uid="{00000000-0005-0000-0000-0000E01B0000}"/>
    <cellStyle name="20% - Accent4 2 6 3 2 3" xfId="28857" xr:uid="{00000000-0005-0000-0000-0000E11B0000}"/>
    <cellStyle name="20% - Accent4 2 6 3 3" xfId="13497" xr:uid="{00000000-0005-0000-0000-0000E21B0000}"/>
    <cellStyle name="20% - Accent4 2 6 3 3 2" xfId="33977" xr:uid="{00000000-0005-0000-0000-0000E31B0000}"/>
    <cellStyle name="20% - Accent4 2 6 3 4" xfId="23737" xr:uid="{00000000-0005-0000-0000-0000E41B0000}"/>
    <cellStyle name="20% - Accent4 2 6 4" xfId="5817" xr:uid="{00000000-0005-0000-0000-0000E51B0000}"/>
    <cellStyle name="20% - Accent4 2 6 4 2" xfId="16057" xr:uid="{00000000-0005-0000-0000-0000E61B0000}"/>
    <cellStyle name="20% - Accent4 2 6 4 2 2" xfId="36537" xr:uid="{00000000-0005-0000-0000-0000E71B0000}"/>
    <cellStyle name="20% - Accent4 2 6 4 3" xfId="26297" xr:uid="{00000000-0005-0000-0000-0000E81B0000}"/>
    <cellStyle name="20% - Accent4 2 6 5" xfId="10937" xr:uid="{00000000-0005-0000-0000-0000E91B0000}"/>
    <cellStyle name="20% - Accent4 2 6 5 2" xfId="31417" xr:uid="{00000000-0005-0000-0000-0000EA1B0000}"/>
    <cellStyle name="20% - Accent4 2 6 6" xfId="21177" xr:uid="{00000000-0005-0000-0000-0000EB1B0000}"/>
    <cellStyle name="20% - Accent4 2 7" xfId="1337" xr:uid="{00000000-0005-0000-0000-0000EC1B0000}"/>
    <cellStyle name="20% - Accent4 2 7 2" xfId="3897" xr:uid="{00000000-0005-0000-0000-0000ED1B0000}"/>
    <cellStyle name="20% - Accent4 2 7 2 2" xfId="9017" xr:uid="{00000000-0005-0000-0000-0000EE1B0000}"/>
    <cellStyle name="20% - Accent4 2 7 2 2 2" xfId="19257" xr:uid="{00000000-0005-0000-0000-0000EF1B0000}"/>
    <cellStyle name="20% - Accent4 2 7 2 2 2 2" xfId="39737" xr:uid="{00000000-0005-0000-0000-0000F01B0000}"/>
    <cellStyle name="20% - Accent4 2 7 2 2 3" xfId="29497" xr:uid="{00000000-0005-0000-0000-0000F11B0000}"/>
    <cellStyle name="20% - Accent4 2 7 2 3" xfId="14137" xr:uid="{00000000-0005-0000-0000-0000F21B0000}"/>
    <cellStyle name="20% - Accent4 2 7 2 3 2" xfId="34617" xr:uid="{00000000-0005-0000-0000-0000F31B0000}"/>
    <cellStyle name="20% - Accent4 2 7 2 4" xfId="24377" xr:uid="{00000000-0005-0000-0000-0000F41B0000}"/>
    <cellStyle name="20% - Accent4 2 7 3" xfId="6457" xr:uid="{00000000-0005-0000-0000-0000F51B0000}"/>
    <cellStyle name="20% - Accent4 2 7 3 2" xfId="16697" xr:uid="{00000000-0005-0000-0000-0000F61B0000}"/>
    <cellStyle name="20% - Accent4 2 7 3 2 2" xfId="37177" xr:uid="{00000000-0005-0000-0000-0000F71B0000}"/>
    <cellStyle name="20% - Accent4 2 7 3 3" xfId="26937" xr:uid="{00000000-0005-0000-0000-0000F81B0000}"/>
    <cellStyle name="20% - Accent4 2 7 4" xfId="11577" xr:uid="{00000000-0005-0000-0000-0000F91B0000}"/>
    <cellStyle name="20% - Accent4 2 7 4 2" xfId="32057" xr:uid="{00000000-0005-0000-0000-0000FA1B0000}"/>
    <cellStyle name="20% - Accent4 2 7 5" xfId="21817" xr:uid="{00000000-0005-0000-0000-0000FB1B0000}"/>
    <cellStyle name="20% - Accent4 2 8" xfId="2617" xr:uid="{00000000-0005-0000-0000-0000FC1B0000}"/>
    <cellStyle name="20% - Accent4 2 8 2" xfId="7737" xr:uid="{00000000-0005-0000-0000-0000FD1B0000}"/>
    <cellStyle name="20% - Accent4 2 8 2 2" xfId="17977" xr:uid="{00000000-0005-0000-0000-0000FE1B0000}"/>
    <cellStyle name="20% - Accent4 2 8 2 2 2" xfId="38457" xr:uid="{00000000-0005-0000-0000-0000FF1B0000}"/>
    <cellStyle name="20% - Accent4 2 8 2 3" xfId="28217" xr:uid="{00000000-0005-0000-0000-0000001C0000}"/>
    <cellStyle name="20% - Accent4 2 8 3" xfId="12857" xr:uid="{00000000-0005-0000-0000-0000011C0000}"/>
    <cellStyle name="20% - Accent4 2 8 3 2" xfId="33337" xr:uid="{00000000-0005-0000-0000-0000021C0000}"/>
    <cellStyle name="20% - Accent4 2 8 4" xfId="23097" xr:uid="{00000000-0005-0000-0000-0000031C0000}"/>
    <cellStyle name="20% - Accent4 2 9" xfId="5177" xr:uid="{00000000-0005-0000-0000-0000041C0000}"/>
    <cellStyle name="20% - Accent4 2 9 2" xfId="15417" xr:uid="{00000000-0005-0000-0000-0000051C0000}"/>
    <cellStyle name="20% - Accent4 2 9 2 2" xfId="35897" xr:uid="{00000000-0005-0000-0000-0000061C0000}"/>
    <cellStyle name="20% - Accent4 2 9 3" xfId="25657" xr:uid="{00000000-0005-0000-0000-0000071C0000}"/>
    <cellStyle name="20% - Accent4 3" xfId="77" xr:uid="{00000000-0005-0000-0000-0000081C0000}"/>
    <cellStyle name="20% - Accent4 3 10" xfId="20557" xr:uid="{00000000-0005-0000-0000-0000091C0000}"/>
    <cellStyle name="20% - Accent4 3 2" xfId="157" xr:uid="{00000000-0005-0000-0000-00000A1C0000}"/>
    <cellStyle name="20% - Accent4 3 2 2" xfId="317" xr:uid="{00000000-0005-0000-0000-00000B1C0000}"/>
    <cellStyle name="20% - Accent4 3 2 2 2" xfId="637" xr:uid="{00000000-0005-0000-0000-00000C1C0000}"/>
    <cellStyle name="20% - Accent4 3 2 2 2 2" xfId="1277" xr:uid="{00000000-0005-0000-0000-00000D1C0000}"/>
    <cellStyle name="20% - Accent4 3 2 2 2 2 2" xfId="2557" xr:uid="{00000000-0005-0000-0000-00000E1C0000}"/>
    <cellStyle name="20% - Accent4 3 2 2 2 2 2 2" xfId="5117" xr:uid="{00000000-0005-0000-0000-00000F1C0000}"/>
    <cellStyle name="20% - Accent4 3 2 2 2 2 2 2 2" xfId="10237" xr:uid="{00000000-0005-0000-0000-0000101C0000}"/>
    <cellStyle name="20% - Accent4 3 2 2 2 2 2 2 2 2" xfId="20477" xr:uid="{00000000-0005-0000-0000-0000111C0000}"/>
    <cellStyle name="20% - Accent4 3 2 2 2 2 2 2 2 2 2" xfId="40957" xr:uid="{00000000-0005-0000-0000-0000121C0000}"/>
    <cellStyle name="20% - Accent4 3 2 2 2 2 2 2 2 3" xfId="30717" xr:uid="{00000000-0005-0000-0000-0000131C0000}"/>
    <cellStyle name="20% - Accent4 3 2 2 2 2 2 2 3" xfId="15357" xr:uid="{00000000-0005-0000-0000-0000141C0000}"/>
    <cellStyle name="20% - Accent4 3 2 2 2 2 2 2 3 2" xfId="35837" xr:uid="{00000000-0005-0000-0000-0000151C0000}"/>
    <cellStyle name="20% - Accent4 3 2 2 2 2 2 2 4" xfId="25597" xr:uid="{00000000-0005-0000-0000-0000161C0000}"/>
    <cellStyle name="20% - Accent4 3 2 2 2 2 2 3" xfId="7677" xr:uid="{00000000-0005-0000-0000-0000171C0000}"/>
    <cellStyle name="20% - Accent4 3 2 2 2 2 2 3 2" xfId="17917" xr:uid="{00000000-0005-0000-0000-0000181C0000}"/>
    <cellStyle name="20% - Accent4 3 2 2 2 2 2 3 2 2" xfId="38397" xr:uid="{00000000-0005-0000-0000-0000191C0000}"/>
    <cellStyle name="20% - Accent4 3 2 2 2 2 2 3 3" xfId="28157" xr:uid="{00000000-0005-0000-0000-00001A1C0000}"/>
    <cellStyle name="20% - Accent4 3 2 2 2 2 2 4" xfId="12797" xr:uid="{00000000-0005-0000-0000-00001B1C0000}"/>
    <cellStyle name="20% - Accent4 3 2 2 2 2 2 4 2" xfId="33277" xr:uid="{00000000-0005-0000-0000-00001C1C0000}"/>
    <cellStyle name="20% - Accent4 3 2 2 2 2 2 5" xfId="23037" xr:uid="{00000000-0005-0000-0000-00001D1C0000}"/>
    <cellStyle name="20% - Accent4 3 2 2 2 2 3" xfId="3837" xr:uid="{00000000-0005-0000-0000-00001E1C0000}"/>
    <cellStyle name="20% - Accent4 3 2 2 2 2 3 2" xfId="8957" xr:uid="{00000000-0005-0000-0000-00001F1C0000}"/>
    <cellStyle name="20% - Accent4 3 2 2 2 2 3 2 2" xfId="19197" xr:uid="{00000000-0005-0000-0000-0000201C0000}"/>
    <cellStyle name="20% - Accent4 3 2 2 2 2 3 2 2 2" xfId="39677" xr:uid="{00000000-0005-0000-0000-0000211C0000}"/>
    <cellStyle name="20% - Accent4 3 2 2 2 2 3 2 3" xfId="29437" xr:uid="{00000000-0005-0000-0000-0000221C0000}"/>
    <cellStyle name="20% - Accent4 3 2 2 2 2 3 3" xfId="14077" xr:uid="{00000000-0005-0000-0000-0000231C0000}"/>
    <cellStyle name="20% - Accent4 3 2 2 2 2 3 3 2" xfId="34557" xr:uid="{00000000-0005-0000-0000-0000241C0000}"/>
    <cellStyle name="20% - Accent4 3 2 2 2 2 3 4" xfId="24317" xr:uid="{00000000-0005-0000-0000-0000251C0000}"/>
    <cellStyle name="20% - Accent4 3 2 2 2 2 4" xfId="6397" xr:uid="{00000000-0005-0000-0000-0000261C0000}"/>
    <cellStyle name="20% - Accent4 3 2 2 2 2 4 2" xfId="16637" xr:uid="{00000000-0005-0000-0000-0000271C0000}"/>
    <cellStyle name="20% - Accent4 3 2 2 2 2 4 2 2" xfId="37117" xr:uid="{00000000-0005-0000-0000-0000281C0000}"/>
    <cellStyle name="20% - Accent4 3 2 2 2 2 4 3" xfId="26877" xr:uid="{00000000-0005-0000-0000-0000291C0000}"/>
    <cellStyle name="20% - Accent4 3 2 2 2 2 5" xfId="11517" xr:uid="{00000000-0005-0000-0000-00002A1C0000}"/>
    <cellStyle name="20% - Accent4 3 2 2 2 2 5 2" xfId="31997" xr:uid="{00000000-0005-0000-0000-00002B1C0000}"/>
    <cellStyle name="20% - Accent4 3 2 2 2 2 6" xfId="21757" xr:uid="{00000000-0005-0000-0000-00002C1C0000}"/>
    <cellStyle name="20% - Accent4 3 2 2 2 3" xfId="1917" xr:uid="{00000000-0005-0000-0000-00002D1C0000}"/>
    <cellStyle name="20% - Accent4 3 2 2 2 3 2" xfId="4477" xr:uid="{00000000-0005-0000-0000-00002E1C0000}"/>
    <cellStyle name="20% - Accent4 3 2 2 2 3 2 2" xfId="9597" xr:uid="{00000000-0005-0000-0000-00002F1C0000}"/>
    <cellStyle name="20% - Accent4 3 2 2 2 3 2 2 2" xfId="19837" xr:uid="{00000000-0005-0000-0000-0000301C0000}"/>
    <cellStyle name="20% - Accent4 3 2 2 2 3 2 2 2 2" xfId="40317" xr:uid="{00000000-0005-0000-0000-0000311C0000}"/>
    <cellStyle name="20% - Accent4 3 2 2 2 3 2 2 3" xfId="30077" xr:uid="{00000000-0005-0000-0000-0000321C0000}"/>
    <cellStyle name="20% - Accent4 3 2 2 2 3 2 3" xfId="14717" xr:uid="{00000000-0005-0000-0000-0000331C0000}"/>
    <cellStyle name="20% - Accent4 3 2 2 2 3 2 3 2" xfId="35197" xr:uid="{00000000-0005-0000-0000-0000341C0000}"/>
    <cellStyle name="20% - Accent4 3 2 2 2 3 2 4" xfId="24957" xr:uid="{00000000-0005-0000-0000-0000351C0000}"/>
    <cellStyle name="20% - Accent4 3 2 2 2 3 3" xfId="7037" xr:uid="{00000000-0005-0000-0000-0000361C0000}"/>
    <cellStyle name="20% - Accent4 3 2 2 2 3 3 2" xfId="17277" xr:uid="{00000000-0005-0000-0000-0000371C0000}"/>
    <cellStyle name="20% - Accent4 3 2 2 2 3 3 2 2" xfId="37757" xr:uid="{00000000-0005-0000-0000-0000381C0000}"/>
    <cellStyle name="20% - Accent4 3 2 2 2 3 3 3" xfId="27517" xr:uid="{00000000-0005-0000-0000-0000391C0000}"/>
    <cellStyle name="20% - Accent4 3 2 2 2 3 4" xfId="12157" xr:uid="{00000000-0005-0000-0000-00003A1C0000}"/>
    <cellStyle name="20% - Accent4 3 2 2 2 3 4 2" xfId="32637" xr:uid="{00000000-0005-0000-0000-00003B1C0000}"/>
    <cellStyle name="20% - Accent4 3 2 2 2 3 5" xfId="22397" xr:uid="{00000000-0005-0000-0000-00003C1C0000}"/>
    <cellStyle name="20% - Accent4 3 2 2 2 4" xfId="3197" xr:uid="{00000000-0005-0000-0000-00003D1C0000}"/>
    <cellStyle name="20% - Accent4 3 2 2 2 4 2" xfId="8317" xr:uid="{00000000-0005-0000-0000-00003E1C0000}"/>
    <cellStyle name="20% - Accent4 3 2 2 2 4 2 2" xfId="18557" xr:uid="{00000000-0005-0000-0000-00003F1C0000}"/>
    <cellStyle name="20% - Accent4 3 2 2 2 4 2 2 2" xfId="39037" xr:uid="{00000000-0005-0000-0000-0000401C0000}"/>
    <cellStyle name="20% - Accent4 3 2 2 2 4 2 3" xfId="28797" xr:uid="{00000000-0005-0000-0000-0000411C0000}"/>
    <cellStyle name="20% - Accent4 3 2 2 2 4 3" xfId="13437" xr:uid="{00000000-0005-0000-0000-0000421C0000}"/>
    <cellStyle name="20% - Accent4 3 2 2 2 4 3 2" xfId="33917" xr:uid="{00000000-0005-0000-0000-0000431C0000}"/>
    <cellStyle name="20% - Accent4 3 2 2 2 4 4" xfId="23677" xr:uid="{00000000-0005-0000-0000-0000441C0000}"/>
    <cellStyle name="20% - Accent4 3 2 2 2 5" xfId="5757" xr:uid="{00000000-0005-0000-0000-0000451C0000}"/>
    <cellStyle name="20% - Accent4 3 2 2 2 5 2" xfId="15997" xr:uid="{00000000-0005-0000-0000-0000461C0000}"/>
    <cellStyle name="20% - Accent4 3 2 2 2 5 2 2" xfId="36477" xr:uid="{00000000-0005-0000-0000-0000471C0000}"/>
    <cellStyle name="20% - Accent4 3 2 2 2 5 3" xfId="26237" xr:uid="{00000000-0005-0000-0000-0000481C0000}"/>
    <cellStyle name="20% - Accent4 3 2 2 2 6" xfId="10877" xr:uid="{00000000-0005-0000-0000-0000491C0000}"/>
    <cellStyle name="20% - Accent4 3 2 2 2 6 2" xfId="31357" xr:uid="{00000000-0005-0000-0000-00004A1C0000}"/>
    <cellStyle name="20% - Accent4 3 2 2 2 7" xfId="21117" xr:uid="{00000000-0005-0000-0000-00004B1C0000}"/>
    <cellStyle name="20% - Accent4 3 2 2 3" xfId="957" xr:uid="{00000000-0005-0000-0000-00004C1C0000}"/>
    <cellStyle name="20% - Accent4 3 2 2 3 2" xfId="2237" xr:uid="{00000000-0005-0000-0000-00004D1C0000}"/>
    <cellStyle name="20% - Accent4 3 2 2 3 2 2" xfId="4797" xr:uid="{00000000-0005-0000-0000-00004E1C0000}"/>
    <cellStyle name="20% - Accent4 3 2 2 3 2 2 2" xfId="9917" xr:uid="{00000000-0005-0000-0000-00004F1C0000}"/>
    <cellStyle name="20% - Accent4 3 2 2 3 2 2 2 2" xfId="20157" xr:uid="{00000000-0005-0000-0000-0000501C0000}"/>
    <cellStyle name="20% - Accent4 3 2 2 3 2 2 2 2 2" xfId="40637" xr:uid="{00000000-0005-0000-0000-0000511C0000}"/>
    <cellStyle name="20% - Accent4 3 2 2 3 2 2 2 3" xfId="30397" xr:uid="{00000000-0005-0000-0000-0000521C0000}"/>
    <cellStyle name="20% - Accent4 3 2 2 3 2 2 3" xfId="15037" xr:uid="{00000000-0005-0000-0000-0000531C0000}"/>
    <cellStyle name="20% - Accent4 3 2 2 3 2 2 3 2" xfId="35517" xr:uid="{00000000-0005-0000-0000-0000541C0000}"/>
    <cellStyle name="20% - Accent4 3 2 2 3 2 2 4" xfId="25277" xr:uid="{00000000-0005-0000-0000-0000551C0000}"/>
    <cellStyle name="20% - Accent4 3 2 2 3 2 3" xfId="7357" xr:uid="{00000000-0005-0000-0000-0000561C0000}"/>
    <cellStyle name="20% - Accent4 3 2 2 3 2 3 2" xfId="17597" xr:uid="{00000000-0005-0000-0000-0000571C0000}"/>
    <cellStyle name="20% - Accent4 3 2 2 3 2 3 2 2" xfId="38077" xr:uid="{00000000-0005-0000-0000-0000581C0000}"/>
    <cellStyle name="20% - Accent4 3 2 2 3 2 3 3" xfId="27837" xr:uid="{00000000-0005-0000-0000-0000591C0000}"/>
    <cellStyle name="20% - Accent4 3 2 2 3 2 4" xfId="12477" xr:uid="{00000000-0005-0000-0000-00005A1C0000}"/>
    <cellStyle name="20% - Accent4 3 2 2 3 2 4 2" xfId="32957" xr:uid="{00000000-0005-0000-0000-00005B1C0000}"/>
    <cellStyle name="20% - Accent4 3 2 2 3 2 5" xfId="22717" xr:uid="{00000000-0005-0000-0000-00005C1C0000}"/>
    <cellStyle name="20% - Accent4 3 2 2 3 3" xfId="3517" xr:uid="{00000000-0005-0000-0000-00005D1C0000}"/>
    <cellStyle name="20% - Accent4 3 2 2 3 3 2" xfId="8637" xr:uid="{00000000-0005-0000-0000-00005E1C0000}"/>
    <cellStyle name="20% - Accent4 3 2 2 3 3 2 2" xfId="18877" xr:uid="{00000000-0005-0000-0000-00005F1C0000}"/>
    <cellStyle name="20% - Accent4 3 2 2 3 3 2 2 2" xfId="39357" xr:uid="{00000000-0005-0000-0000-0000601C0000}"/>
    <cellStyle name="20% - Accent4 3 2 2 3 3 2 3" xfId="29117" xr:uid="{00000000-0005-0000-0000-0000611C0000}"/>
    <cellStyle name="20% - Accent4 3 2 2 3 3 3" xfId="13757" xr:uid="{00000000-0005-0000-0000-0000621C0000}"/>
    <cellStyle name="20% - Accent4 3 2 2 3 3 3 2" xfId="34237" xr:uid="{00000000-0005-0000-0000-0000631C0000}"/>
    <cellStyle name="20% - Accent4 3 2 2 3 3 4" xfId="23997" xr:uid="{00000000-0005-0000-0000-0000641C0000}"/>
    <cellStyle name="20% - Accent4 3 2 2 3 4" xfId="6077" xr:uid="{00000000-0005-0000-0000-0000651C0000}"/>
    <cellStyle name="20% - Accent4 3 2 2 3 4 2" xfId="16317" xr:uid="{00000000-0005-0000-0000-0000661C0000}"/>
    <cellStyle name="20% - Accent4 3 2 2 3 4 2 2" xfId="36797" xr:uid="{00000000-0005-0000-0000-0000671C0000}"/>
    <cellStyle name="20% - Accent4 3 2 2 3 4 3" xfId="26557" xr:uid="{00000000-0005-0000-0000-0000681C0000}"/>
    <cellStyle name="20% - Accent4 3 2 2 3 5" xfId="11197" xr:uid="{00000000-0005-0000-0000-0000691C0000}"/>
    <cellStyle name="20% - Accent4 3 2 2 3 5 2" xfId="31677" xr:uid="{00000000-0005-0000-0000-00006A1C0000}"/>
    <cellStyle name="20% - Accent4 3 2 2 3 6" xfId="21437" xr:uid="{00000000-0005-0000-0000-00006B1C0000}"/>
    <cellStyle name="20% - Accent4 3 2 2 4" xfId="1597" xr:uid="{00000000-0005-0000-0000-00006C1C0000}"/>
    <cellStyle name="20% - Accent4 3 2 2 4 2" xfId="4157" xr:uid="{00000000-0005-0000-0000-00006D1C0000}"/>
    <cellStyle name="20% - Accent4 3 2 2 4 2 2" xfId="9277" xr:uid="{00000000-0005-0000-0000-00006E1C0000}"/>
    <cellStyle name="20% - Accent4 3 2 2 4 2 2 2" xfId="19517" xr:uid="{00000000-0005-0000-0000-00006F1C0000}"/>
    <cellStyle name="20% - Accent4 3 2 2 4 2 2 2 2" xfId="39997" xr:uid="{00000000-0005-0000-0000-0000701C0000}"/>
    <cellStyle name="20% - Accent4 3 2 2 4 2 2 3" xfId="29757" xr:uid="{00000000-0005-0000-0000-0000711C0000}"/>
    <cellStyle name="20% - Accent4 3 2 2 4 2 3" xfId="14397" xr:uid="{00000000-0005-0000-0000-0000721C0000}"/>
    <cellStyle name="20% - Accent4 3 2 2 4 2 3 2" xfId="34877" xr:uid="{00000000-0005-0000-0000-0000731C0000}"/>
    <cellStyle name="20% - Accent4 3 2 2 4 2 4" xfId="24637" xr:uid="{00000000-0005-0000-0000-0000741C0000}"/>
    <cellStyle name="20% - Accent4 3 2 2 4 3" xfId="6717" xr:uid="{00000000-0005-0000-0000-0000751C0000}"/>
    <cellStyle name="20% - Accent4 3 2 2 4 3 2" xfId="16957" xr:uid="{00000000-0005-0000-0000-0000761C0000}"/>
    <cellStyle name="20% - Accent4 3 2 2 4 3 2 2" xfId="37437" xr:uid="{00000000-0005-0000-0000-0000771C0000}"/>
    <cellStyle name="20% - Accent4 3 2 2 4 3 3" xfId="27197" xr:uid="{00000000-0005-0000-0000-0000781C0000}"/>
    <cellStyle name="20% - Accent4 3 2 2 4 4" xfId="11837" xr:uid="{00000000-0005-0000-0000-0000791C0000}"/>
    <cellStyle name="20% - Accent4 3 2 2 4 4 2" xfId="32317" xr:uid="{00000000-0005-0000-0000-00007A1C0000}"/>
    <cellStyle name="20% - Accent4 3 2 2 4 5" xfId="22077" xr:uid="{00000000-0005-0000-0000-00007B1C0000}"/>
    <cellStyle name="20% - Accent4 3 2 2 5" xfId="2877" xr:uid="{00000000-0005-0000-0000-00007C1C0000}"/>
    <cellStyle name="20% - Accent4 3 2 2 5 2" xfId="7997" xr:uid="{00000000-0005-0000-0000-00007D1C0000}"/>
    <cellStyle name="20% - Accent4 3 2 2 5 2 2" xfId="18237" xr:uid="{00000000-0005-0000-0000-00007E1C0000}"/>
    <cellStyle name="20% - Accent4 3 2 2 5 2 2 2" xfId="38717" xr:uid="{00000000-0005-0000-0000-00007F1C0000}"/>
    <cellStyle name="20% - Accent4 3 2 2 5 2 3" xfId="28477" xr:uid="{00000000-0005-0000-0000-0000801C0000}"/>
    <cellStyle name="20% - Accent4 3 2 2 5 3" xfId="13117" xr:uid="{00000000-0005-0000-0000-0000811C0000}"/>
    <cellStyle name="20% - Accent4 3 2 2 5 3 2" xfId="33597" xr:uid="{00000000-0005-0000-0000-0000821C0000}"/>
    <cellStyle name="20% - Accent4 3 2 2 5 4" xfId="23357" xr:uid="{00000000-0005-0000-0000-0000831C0000}"/>
    <cellStyle name="20% - Accent4 3 2 2 6" xfId="5437" xr:uid="{00000000-0005-0000-0000-0000841C0000}"/>
    <cellStyle name="20% - Accent4 3 2 2 6 2" xfId="15677" xr:uid="{00000000-0005-0000-0000-0000851C0000}"/>
    <cellStyle name="20% - Accent4 3 2 2 6 2 2" xfId="36157" xr:uid="{00000000-0005-0000-0000-0000861C0000}"/>
    <cellStyle name="20% - Accent4 3 2 2 6 3" xfId="25917" xr:uid="{00000000-0005-0000-0000-0000871C0000}"/>
    <cellStyle name="20% - Accent4 3 2 2 7" xfId="10557" xr:uid="{00000000-0005-0000-0000-0000881C0000}"/>
    <cellStyle name="20% - Accent4 3 2 2 7 2" xfId="31037" xr:uid="{00000000-0005-0000-0000-0000891C0000}"/>
    <cellStyle name="20% - Accent4 3 2 2 8" xfId="20797" xr:uid="{00000000-0005-0000-0000-00008A1C0000}"/>
    <cellStyle name="20% - Accent4 3 2 3" xfId="477" xr:uid="{00000000-0005-0000-0000-00008B1C0000}"/>
    <cellStyle name="20% - Accent4 3 2 3 2" xfId="1117" xr:uid="{00000000-0005-0000-0000-00008C1C0000}"/>
    <cellStyle name="20% - Accent4 3 2 3 2 2" xfId="2397" xr:uid="{00000000-0005-0000-0000-00008D1C0000}"/>
    <cellStyle name="20% - Accent4 3 2 3 2 2 2" xfId="4957" xr:uid="{00000000-0005-0000-0000-00008E1C0000}"/>
    <cellStyle name="20% - Accent4 3 2 3 2 2 2 2" xfId="10077" xr:uid="{00000000-0005-0000-0000-00008F1C0000}"/>
    <cellStyle name="20% - Accent4 3 2 3 2 2 2 2 2" xfId="20317" xr:uid="{00000000-0005-0000-0000-0000901C0000}"/>
    <cellStyle name="20% - Accent4 3 2 3 2 2 2 2 2 2" xfId="40797" xr:uid="{00000000-0005-0000-0000-0000911C0000}"/>
    <cellStyle name="20% - Accent4 3 2 3 2 2 2 2 3" xfId="30557" xr:uid="{00000000-0005-0000-0000-0000921C0000}"/>
    <cellStyle name="20% - Accent4 3 2 3 2 2 2 3" xfId="15197" xr:uid="{00000000-0005-0000-0000-0000931C0000}"/>
    <cellStyle name="20% - Accent4 3 2 3 2 2 2 3 2" xfId="35677" xr:uid="{00000000-0005-0000-0000-0000941C0000}"/>
    <cellStyle name="20% - Accent4 3 2 3 2 2 2 4" xfId="25437" xr:uid="{00000000-0005-0000-0000-0000951C0000}"/>
    <cellStyle name="20% - Accent4 3 2 3 2 2 3" xfId="7517" xr:uid="{00000000-0005-0000-0000-0000961C0000}"/>
    <cellStyle name="20% - Accent4 3 2 3 2 2 3 2" xfId="17757" xr:uid="{00000000-0005-0000-0000-0000971C0000}"/>
    <cellStyle name="20% - Accent4 3 2 3 2 2 3 2 2" xfId="38237" xr:uid="{00000000-0005-0000-0000-0000981C0000}"/>
    <cellStyle name="20% - Accent4 3 2 3 2 2 3 3" xfId="27997" xr:uid="{00000000-0005-0000-0000-0000991C0000}"/>
    <cellStyle name="20% - Accent4 3 2 3 2 2 4" xfId="12637" xr:uid="{00000000-0005-0000-0000-00009A1C0000}"/>
    <cellStyle name="20% - Accent4 3 2 3 2 2 4 2" xfId="33117" xr:uid="{00000000-0005-0000-0000-00009B1C0000}"/>
    <cellStyle name="20% - Accent4 3 2 3 2 2 5" xfId="22877" xr:uid="{00000000-0005-0000-0000-00009C1C0000}"/>
    <cellStyle name="20% - Accent4 3 2 3 2 3" xfId="3677" xr:uid="{00000000-0005-0000-0000-00009D1C0000}"/>
    <cellStyle name="20% - Accent4 3 2 3 2 3 2" xfId="8797" xr:uid="{00000000-0005-0000-0000-00009E1C0000}"/>
    <cellStyle name="20% - Accent4 3 2 3 2 3 2 2" xfId="19037" xr:uid="{00000000-0005-0000-0000-00009F1C0000}"/>
    <cellStyle name="20% - Accent4 3 2 3 2 3 2 2 2" xfId="39517" xr:uid="{00000000-0005-0000-0000-0000A01C0000}"/>
    <cellStyle name="20% - Accent4 3 2 3 2 3 2 3" xfId="29277" xr:uid="{00000000-0005-0000-0000-0000A11C0000}"/>
    <cellStyle name="20% - Accent4 3 2 3 2 3 3" xfId="13917" xr:uid="{00000000-0005-0000-0000-0000A21C0000}"/>
    <cellStyle name="20% - Accent4 3 2 3 2 3 3 2" xfId="34397" xr:uid="{00000000-0005-0000-0000-0000A31C0000}"/>
    <cellStyle name="20% - Accent4 3 2 3 2 3 4" xfId="24157" xr:uid="{00000000-0005-0000-0000-0000A41C0000}"/>
    <cellStyle name="20% - Accent4 3 2 3 2 4" xfId="6237" xr:uid="{00000000-0005-0000-0000-0000A51C0000}"/>
    <cellStyle name="20% - Accent4 3 2 3 2 4 2" xfId="16477" xr:uid="{00000000-0005-0000-0000-0000A61C0000}"/>
    <cellStyle name="20% - Accent4 3 2 3 2 4 2 2" xfId="36957" xr:uid="{00000000-0005-0000-0000-0000A71C0000}"/>
    <cellStyle name="20% - Accent4 3 2 3 2 4 3" xfId="26717" xr:uid="{00000000-0005-0000-0000-0000A81C0000}"/>
    <cellStyle name="20% - Accent4 3 2 3 2 5" xfId="11357" xr:uid="{00000000-0005-0000-0000-0000A91C0000}"/>
    <cellStyle name="20% - Accent4 3 2 3 2 5 2" xfId="31837" xr:uid="{00000000-0005-0000-0000-0000AA1C0000}"/>
    <cellStyle name="20% - Accent4 3 2 3 2 6" xfId="21597" xr:uid="{00000000-0005-0000-0000-0000AB1C0000}"/>
    <cellStyle name="20% - Accent4 3 2 3 3" xfId="1757" xr:uid="{00000000-0005-0000-0000-0000AC1C0000}"/>
    <cellStyle name="20% - Accent4 3 2 3 3 2" xfId="4317" xr:uid="{00000000-0005-0000-0000-0000AD1C0000}"/>
    <cellStyle name="20% - Accent4 3 2 3 3 2 2" xfId="9437" xr:uid="{00000000-0005-0000-0000-0000AE1C0000}"/>
    <cellStyle name="20% - Accent4 3 2 3 3 2 2 2" xfId="19677" xr:uid="{00000000-0005-0000-0000-0000AF1C0000}"/>
    <cellStyle name="20% - Accent4 3 2 3 3 2 2 2 2" xfId="40157" xr:uid="{00000000-0005-0000-0000-0000B01C0000}"/>
    <cellStyle name="20% - Accent4 3 2 3 3 2 2 3" xfId="29917" xr:uid="{00000000-0005-0000-0000-0000B11C0000}"/>
    <cellStyle name="20% - Accent4 3 2 3 3 2 3" xfId="14557" xr:uid="{00000000-0005-0000-0000-0000B21C0000}"/>
    <cellStyle name="20% - Accent4 3 2 3 3 2 3 2" xfId="35037" xr:uid="{00000000-0005-0000-0000-0000B31C0000}"/>
    <cellStyle name="20% - Accent4 3 2 3 3 2 4" xfId="24797" xr:uid="{00000000-0005-0000-0000-0000B41C0000}"/>
    <cellStyle name="20% - Accent4 3 2 3 3 3" xfId="6877" xr:uid="{00000000-0005-0000-0000-0000B51C0000}"/>
    <cellStyle name="20% - Accent4 3 2 3 3 3 2" xfId="17117" xr:uid="{00000000-0005-0000-0000-0000B61C0000}"/>
    <cellStyle name="20% - Accent4 3 2 3 3 3 2 2" xfId="37597" xr:uid="{00000000-0005-0000-0000-0000B71C0000}"/>
    <cellStyle name="20% - Accent4 3 2 3 3 3 3" xfId="27357" xr:uid="{00000000-0005-0000-0000-0000B81C0000}"/>
    <cellStyle name="20% - Accent4 3 2 3 3 4" xfId="11997" xr:uid="{00000000-0005-0000-0000-0000B91C0000}"/>
    <cellStyle name="20% - Accent4 3 2 3 3 4 2" xfId="32477" xr:uid="{00000000-0005-0000-0000-0000BA1C0000}"/>
    <cellStyle name="20% - Accent4 3 2 3 3 5" xfId="22237" xr:uid="{00000000-0005-0000-0000-0000BB1C0000}"/>
    <cellStyle name="20% - Accent4 3 2 3 4" xfId="3037" xr:uid="{00000000-0005-0000-0000-0000BC1C0000}"/>
    <cellStyle name="20% - Accent4 3 2 3 4 2" xfId="8157" xr:uid="{00000000-0005-0000-0000-0000BD1C0000}"/>
    <cellStyle name="20% - Accent4 3 2 3 4 2 2" xfId="18397" xr:uid="{00000000-0005-0000-0000-0000BE1C0000}"/>
    <cellStyle name="20% - Accent4 3 2 3 4 2 2 2" xfId="38877" xr:uid="{00000000-0005-0000-0000-0000BF1C0000}"/>
    <cellStyle name="20% - Accent4 3 2 3 4 2 3" xfId="28637" xr:uid="{00000000-0005-0000-0000-0000C01C0000}"/>
    <cellStyle name="20% - Accent4 3 2 3 4 3" xfId="13277" xr:uid="{00000000-0005-0000-0000-0000C11C0000}"/>
    <cellStyle name="20% - Accent4 3 2 3 4 3 2" xfId="33757" xr:uid="{00000000-0005-0000-0000-0000C21C0000}"/>
    <cellStyle name="20% - Accent4 3 2 3 4 4" xfId="23517" xr:uid="{00000000-0005-0000-0000-0000C31C0000}"/>
    <cellStyle name="20% - Accent4 3 2 3 5" xfId="5597" xr:uid="{00000000-0005-0000-0000-0000C41C0000}"/>
    <cellStyle name="20% - Accent4 3 2 3 5 2" xfId="15837" xr:uid="{00000000-0005-0000-0000-0000C51C0000}"/>
    <cellStyle name="20% - Accent4 3 2 3 5 2 2" xfId="36317" xr:uid="{00000000-0005-0000-0000-0000C61C0000}"/>
    <cellStyle name="20% - Accent4 3 2 3 5 3" xfId="26077" xr:uid="{00000000-0005-0000-0000-0000C71C0000}"/>
    <cellStyle name="20% - Accent4 3 2 3 6" xfId="10717" xr:uid="{00000000-0005-0000-0000-0000C81C0000}"/>
    <cellStyle name="20% - Accent4 3 2 3 6 2" xfId="31197" xr:uid="{00000000-0005-0000-0000-0000C91C0000}"/>
    <cellStyle name="20% - Accent4 3 2 3 7" xfId="20957" xr:uid="{00000000-0005-0000-0000-0000CA1C0000}"/>
    <cellStyle name="20% - Accent4 3 2 4" xfId="797" xr:uid="{00000000-0005-0000-0000-0000CB1C0000}"/>
    <cellStyle name="20% - Accent4 3 2 4 2" xfId="2077" xr:uid="{00000000-0005-0000-0000-0000CC1C0000}"/>
    <cellStyle name="20% - Accent4 3 2 4 2 2" xfId="4637" xr:uid="{00000000-0005-0000-0000-0000CD1C0000}"/>
    <cellStyle name="20% - Accent4 3 2 4 2 2 2" xfId="9757" xr:uid="{00000000-0005-0000-0000-0000CE1C0000}"/>
    <cellStyle name="20% - Accent4 3 2 4 2 2 2 2" xfId="19997" xr:uid="{00000000-0005-0000-0000-0000CF1C0000}"/>
    <cellStyle name="20% - Accent4 3 2 4 2 2 2 2 2" xfId="40477" xr:uid="{00000000-0005-0000-0000-0000D01C0000}"/>
    <cellStyle name="20% - Accent4 3 2 4 2 2 2 3" xfId="30237" xr:uid="{00000000-0005-0000-0000-0000D11C0000}"/>
    <cellStyle name="20% - Accent4 3 2 4 2 2 3" xfId="14877" xr:uid="{00000000-0005-0000-0000-0000D21C0000}"/>
    <cellStyle name="20% - Accent4 3 2 4 2 2 3 2" xfId="35357" xr:uid="{00000000-0005-0000-0000-0000D31C0000}"/>
    <cellStyle name="20% - Accent4 3 2 4 2 2 4" xfId="25117" xr:uid="{00000000-0005-0000-0000-0000D41C0000}"/>
    <cellStyle name="20% - Accent4 3 2 4 2 3" xfId="7197" xr:uid="{00000000-0005-0000-0000-0000D51C0000}"/>
    <cellStyle name="20% - Accent4 3 2 4 2 3 2" xfId="17437" xr:uid="{00000000-0005-0000-0000-0000D61C0000}"/>
    <cellStyle name="20% - Accent4 3 2 4 2 3 2 2" xfId="37917" xr:uid="{00000000-0005-0000-0000-0000D71C0000}"/>
    <cellStyle name="20% - Accent4 3 2 4 2 3 3" xfId="27677" xr:uid="{00000000-0005-0000-0000-0000D81C0000}"/>
    <cellStyle name="20% - Accent4 3 2 4 2 4" xfId="12317" xr:uid="{00000000-0005-0000-0000-0000D91C0000}"/>
    <cellStyle name="20% - Accent4 3 2 4 2 4 2" xfId="32797" xr:uid="{00000000-0005-0000-0000-0000DA1C0000}"/>
    <cellStyle name="20% - Accent4 3 2 4 2 5" xfId="22557" xr:uid="{00000000-0005-0000-0000-0000DB1C0000}"/>
    <cellStyle name="20% - Accent4 3 2 4 3" xfId="3357" xr:uid="{00000000-0005-0000-0000-0000DC1C0000}"/>
    <cellStyle name="20% - Accent4 3 2 4 3 2" xfId="8477" xr:uid="{00000000-0005-0000-0000-0000DD1C0000}"/>
    <cellStyle name="20% - Accent4 3 2 4 3 2 2" xfId="18717" xr:uid="{00000000-0005-0000-0000-0000DE1C0000}"/>
    <cellStyle name="20% - Accent4 3 2 4 3 2 2 2" xfId="39197" xr:uid="{00000000-0005-0000-0000-0000DF1C0000}"/>
    <cellStyle name="20% - Accent4 3 2 4 3 2 3" xfId="28957" xr:uid="{00000000-0005-0000-0000-0000E01C0000}"/>
    <cellStyle name="20% - Accent4 3 2 4 3 3" xfId="13597" xr:uid="{00000000-0005-0000-0000-0000E11C0000}"/>
    <cellStyle name="20% - Accent4 3 2 4 3 3 2" xfId="34077" xr:uid="{00000000-0005-0000-0000-0000E21C0000}"/>
    <cellStyle name="20% - Accent4 3 2 4 3 4" xfId="23837" xr:uid="{00000000-0005-0000-0000-0000E31C0000}"/>
    <cellStyle name="20% - Accent4 3 2 4 4" xfId="5917" xr:uid="{00000000-0005-0000-0000-0000E41C0000}"/>
    <cellStyle name="20% - Accent4 3 2 4 4 2" xfId="16157" xr:uid="{00000000-0005-0000-0000-0000E51C0000}"/>
    <cellStyle name="20% - Accent4 3 2 4 4 2 2" xfId="36637" xr:uid="{00000000-0005-0000-0000-0000E61C0000}"/>
    <cellStyle name="20% - Accent4 3 2 4 4 3" xfId="26397" xr:uid="{00000000-0005-0000-0000-0000E71C0000}"/>
    <cellStyle name="20% - Accent4 3 2 4 5" xfId="11037" xr:uid="{00000000-0005-0000-0000-0000E81C0000}"/>
    <cellStyle name="20% - Accent4 3 2 4 5 2" xfId="31517" xr:uid="{00000000-0005-0000-0000-0000E91C0000}"/>
    <cellStyle name="20% - Accent4 3 2 4 6" xfId="21277" xr:uid="{00000000-0005-0000-0000-0000EA1C0000}"/>
    <cellStyle name="20% - Accent4 3 2 5" xfId="1437" xr:uid="{00000000-0005-0000-0000-0000EB1C0000}"/>
    <cellStyle name="20% - Accent4 3 2 5 2" xfId="3997" xr:uid="{00000000-0005-0000-0000-0000EC1C0000}"/>
    <cellStyle name="20% - Accent4 3 2 5 2 2" xfId="9117" xr:uid="{00000000-0005-0000-0000-0000ED1C0000}"/>
    <cellStyle name="20% - Accent4 3 2 5 2 2 2" xfId="19357" xr:uid="{00000000-0005-0000-0000-0000EE1C0000}"/>
    <cellStyle name="20% - Accent4 3 2 5 2 2 2 2" xfId="39837" xr:uid="{00000000-0005-0000-0000-0000EF1C0000}"/>
    <cellStyle name="20% - Accent4 3 2 5 2 2 3" xfId="29597" xr:uid="{00000000-0005-0000-0000-0000F01C0000}"/>
    <cellStyle name="20% - Accent4 3 2 5 2 3" xfId="14237" xr:uid="{00000000-0005-0000-0000-0000F11C0000}"/>
    <cellStyle name="20% - Accent4 3 2 5 2 3 2" xfId="34717" xr:uid="{00000000-0005-0000-0000-0000F21C0000}"/>
    <cellStyle name="20% - Accent4 3 2 5 2 4" xfId="24477" xr:uid="{00000000-0005-0000-0000-0000F31C0000}"/>
    <cellStyle name="20% - Accent4 3 2 5 3" xfId="6557" xr:uid="{00000000-0005-0000-0000-0000F41C0000}"/>
    <cellStyle name="20% - Accent4 3 2 5 3 2" xfId="16797" xr:uid="{00000000-0005-0000-0000-0000F51C0000}"/>
    <cellStyle name="20% - Accent4 3 2 5 3 2 2" xfId="37277" xr:uid="{00000000-0005-0000-0000-0000F61C0000}"/>
    <cellStyle name="20% - Accent4 3 2 5 3 3" xfId="27037" xr:uid="{00000000-0005-0000-0000-0000F71C0000}"/>
    <cellStyle name="20% - Accent4 3 2 5 4" xfId="11677" xr:uid="{00000000-0005-0000-0000-0000F81C0000}"/>
    <cellStyle name="20% - Accent4 3 2 5 4 2" xfId="32157" xr:uid="{00000000-0005-0000-0000-0000F91C0000}"/>
    <cellStyle name="20% - Accent4 3 2 5 5" xfId="21917" xr:uid="{00000000-0005-0000-0000-0000FA1C0000}"/>
    <cellStyle name="20% - Accent4 3 2 6" xfId="2717" xr:uid="{00000000-0005-0000-0000-0000FB1C0000}"/>
    <cellStyle name="20% - Accent4 3 2 6 2" xfId="7837" xr:uid="{00000000-0005-0000-0000-0000FC1C0000}"/>
    <cellStyle name="20% - Accent4 3 2 6 2 2" xfId="18077" xr:uid="{00000000-0005-0000-0000-0000FD1C0000}"/>
    <cellStyle name="20% - Accent4 3 2 6 2 2 2" xfId="38557" xr:uid="{00000000-0005-0000-0000-0000FE1C0000}"/>
    <cellStyle name="20% - Accent4 3 2 6 2 3" xfId="28317" xr:uid="{00000000-0005-0000-0000-0000FF1C0000}"/>
    <cellStyle name="20% - Accent4 3 2 6 3" xfId="12957" xr:uid="{00000000-0005-0000-0000-0000001D0000}"/>
    <cellStyle name="20% - Accent4 3 2 6 3 2" xfId="33437" xr:uid="{00000000-0005-0000-0000-0000011D0000}"/>
    <cellStyle name="20% - Accent4 3 2 6 4" xfId="23197" xr:uid="{00000000-0005-0000-0000-0000021D0000}"/>
    <cellStyle name="20% - Accent4 3 2 7" xfId="5277" xr:uid="{00000000-0005-0000-0000-0000031D0000}"/>
    <cellStyle name="20% - Accent4 3 2 7 2" xfId="15517" xr:uid="{00000000-0005-0000-0000-0000041D0000}"/>
    <cellStyle name="20% - Accent4 3 2 7 2 2" xfId="35997" xr:uid="{00000000-0005-0000-0000-0000051D0000}"/>
    <cellStyle name="20% - Accent4 3 2 7 3" xfId="25757" xr:uid="{00000000-0005-0000-0000-0000061D0000}"/>
    <cellStyle name="20% - Accent4 3 2 8" xfId="10397" xr:uid="{00000000-0005-0000-0000-0000071D0000}"/>
    <cellStyle name="20% - Accent4 3 2 8 2" xfId="30877" xr:uid="{00000000-0005-0000-0000-0000081D0000}"/>
    <cellStyle name="20% - Accent4 3 2 9" xfId="20637" xr:uid="{00000000-0005-0000-0000-0000091D0000}"/>
    <cellStyle name="20% - Accent4 3 3" xfId="237" xr:uid="{00000000-0005-0000-0000-00000A1D0000}"/>
    <cellStyle name="20% - Accent4 3 3 2" xfId="557" xr:uid="{00000000-0005-0000-0000-00000B1D0000}"/>
    <cellStyle name="20% - Accent4 3 3 2 2" xfId="1197" xr:uid="{00000000-0005-0000-0000-00000C1D0000}"/>
    <cellStyle name="20% - Accent4 3 3 2 2 2" xfId="2477" xr:uid="{00000000-0005-0000-0000-00000D1D0000}"/>
    <cellStyle name="20% - Accent4 3 3 2 2 2 2" xfId="5037" xr:uid="{00000000-0005-0000-0000-00000E1D0000}"/>
    <cellStyle name="20% - Accent4 3 3 2 2 2 2 2" xfId="10157" xr:uid="{00000000-0005-0000-0000-00000F1D0000}"/>
    <cellStyle name="20% - Accent4 3 3 2 2 2 2 2 2" xfId="20397" xr:uid="{00000000-0005-0000-0000-0000101D0000}"/>
    <cellStyle name="20% - Accent4 3 3 2 2 2 2 2 2 2" xfId="40877" xr:uid="{00000000-0005-0000-0000-0000111D0000}"/>
    <cellStyle name="20% - Accent4 3 3 2 2 2 2 2 3" xfId="30637" xr:uid="{00000000-0005-0000-0000-0000121D0000}"/>
    <cellStyle name="20% - Accent4 3 3 2 2 2 2 3" xfId="15277" xr:uid="{00000000-0005-0000-0000-0000131D0000}"/>
    <cellStyle name="20% - Accent4 3 3 2 2 2 2 3 2" xfId="35757" xr:uid="{00000000-0005-0000-0000-0000141D0000}"/>
    <cellStyle name="20% - Accent4 3 3 2 2 2 2 4" xfId="25517" xr:uid="{00000000-0005-0000-0000-0000151D0000}"/>
    <cellStyle name="20% - Accent4 3 3 2 2 2 3" xfId="7597" xr:uid="{00000000-0005-0000-0000-0000161D0000}"/>
    <cellStyle name="20% - Accent4 3 3 2 2 2 3 2" xfId="17837" xr:uid="{00000000-0005-0000-0000-0000171D0000}"/>
    <cellStyle name="20% - Accent4 3 3 2 2 2 3 2 2" xfId="38317" xr:uid="{00000000-0005-0000-0000-0000181D0000}"/>
    <cellStyle name="20% - Accent4 3 3 2 2 2 3 3" xfId="28077" xr:uid="{00000000-0005-0000-0000-0000191D0000}"/>
    <cellStyle name="20% - Accent4 3 3 2 2 2 4" xfId="12717" xr:uid="{00000000-0005-0000-0000-00001A1D0000}"/>
    <cellStyle name="20% - Accent4 3 3 2 2 2 4 2" xfId="33197" xr:uid="{00000000-0005-0000-0000-00001B1D0000}"/>
    <cellStyle name="20% - Accent4 3 3 2 2 2 5" xfId="22957" xr:uid="{00000000-0005-0000-0000-00001C1D0000}"/>
    <cellStyle name="20% - Accent4 3 3 2 2 3" xfId="3757" xr:uid="{00000000-0005-0000-0000-00001D1D0000}"/>
    <cellStyle name="20% - Accent4 3 3 2 2 3 2" xfId="8877" xr:uid="{00000000-0005-0000-0000-00001E1D0000}"/>
    <cellStyle name="20% - Accent4 3 3 2 2 3 2 2" xfId="19117" xr:uid="{00000000-0005-0000-0000-00001F1D0000}"/>
    <cellStyle name="20% - Accent4 3 3 2 2 3 2 2 2" xfId="39597" xr:uid="{00000000-0005-0000-0000-0000201D0000}"/>
    <cellStyle name="20% - Accent4 3 3 2 2 3 2 3" xfId="29357" xr:uid="{00000000-0005-0000-0000-0000211D0000}"/>
    <cellStyle name="20% - Accent4 3 3 2 2 3 3" xfId="13997" xr:uid="{00000000-0005-0000-0000-0000221D0000}"/>
    <cellStyle name="20% - Accent4 3 3 2 2 3 3 2" xfId="34477" xr:uid="{00000000-0005-0000-0000-0000231D0000}"/>
    <cellStyle name="20% - Accent4 3 3 2 2 3 4" xfId="24237" xr:uid="{00000000-0005-0000-0000-0000241D0000}"/>
    <cellStyle name="20% - Accent4 3 3 2 2 4" xfId="6317" xr:uid="{00000000-0005-0000-0000-0000251D0000}"/>
    <cellStyle name="20% - Accent4 3 3 2 2 4 2" xfId="16557" xr:uid="{00000000-0005-0000-0000-0000261D0000}"/>
    <cellStyle name="20% - Accent4 3 3 2 2 4 2 2" xfId="37037" xr:uid="{00000000-0005-0000-0000-0000271D0000}"/>
    <cellStyle name="20% - Accent4 3 3 2 2 4 3" xfId="26797" xr:uid="{00000000-0005-0000-0000-0000281D0000}"/>
    <cellStyle name="20% - Accent4 3 3 2 2 5" xfId="11437" xr:uid="{00000000-0005-0000-0000-0000291D0000}"/>
    <cellStyle name="20% - Accent4 3 3 2 2 5 2" xfId="31917" xr:uid="{00000000-0005-0000-0000-00002A1D0000}"/>
    <cellStyle name="20% - Accent4 3 3 2 2 6" xfId="21677" xr:uid="{00000000-0005-0000-0000-00002B1D0000}"/>
    <cellStyle name="20% - Accent4 3 3 2 3" xfId="1837" xr:uid="{00000000-0005-0000-0000-00002C1D0000}"/>
    <cellStyle name="20% - Accent4 3 3 2 3 2" xfId="4397" xr:uid="{00000000-0005-0000-0000-00002D1D0000}"/>
    <cellStyle name="20% - Accent4 3 3 2 3 2 2" xfId="9517" xr:uid="{00000000-0005-0000-0000-00002E1D0000}"/>
    <cellStyle name="20% - Accent4 3 3 2 3 2 2 2" xfId="19757" xr:uid="{00000000-0005-0000-0000-00002F1D0000}"/>
    <cellStyle name="20% - Accent4 3 3 2 3 2 2 2 2" xfId="40237" xr:uid="{00000000-0005-0000-0000-0000301D0000}"/>
    <cellStyle name="20% - Accent4 3 3 2 3 2 2 3" xfId="29997" xr:uid="{00000000-0005-0000-0000-0000311D0000}"/>
    <cellStyle name="20% - Accent4 3 3 2 3 2 3" xfId="14637" xr:uid="{00000000-0005-0000-0000-0000321D0000}"/>
    <cellStyle name="20% - Accent4 3 3 2 3 2 3 2" xfId="35117" xr:uid="{00000000-0005-0000-0000-0000331D0000}"/>
    <cellStyle name="20% - Accent4 3 3 2 3 2 4" xfId="24877" xr:uid="{00000000-0005-0000-0000-0000341D0000}"/>
    <cellStyle name="20% - Accent4 3 3 2 3 3" xfId="6957" xr:uid="{00000000-0005-0000-0000-0000351D0000}"/>
    <cellStyle name="20% - Accent4 3 3 2 3 3 2" xfId="17197" xr:uid="{00000000-0005-0000-0000-0000361D0000}"/>
    <cellStyle name="20% - Accent4 3 3 2 3 3 2 2" xfId="37677" xr:uid="{00000000-0005-0000-0000-0000371D0000}"/>
    <cellStyle name="20% - Accent4 3 3 2 3 3 3" xfId="27437" xr:uid="{00000000-0005-0000-0000-0000381D0000}"/>
    <cellStyle name="20% - Accent4 3 3 2 3 4" xfId="12077" xr:uid="{00000000-0005-0000-0000-0000391D0000}"/>
    <cellStyle name="20% - Accent4 3 3 2 3 4 2" xfId="32557" xr:uid="{00000000-0005-0000-0000-00003A1D0000}"/>
    <cellStyle name="20% - Accent4 3 3 2 3 5" xfId="22317" xr:uid="{00000000-0005-0000-0000-00003B1D0000}"/>
    <cellStyle name="20% - Accent4 3 3 2 4" xfId="3117" xr:uid="{00000000-0005-0000-0000-00003C1D0000}"/>
    <cellStyle name="20% - Accent4 3 3 2 4 2" xfId="8237" xr:uid="{00000000-0005-0000-0000-00003D1D0000}"/>
    <cellStyle name="20% - Accent4 3 3 2 4 2 2" xfId="18477" xr:uid="{00000000-0005-0000-0000-00003E1D0000}"/>
    <cellStyle name="20% - Accent4 3 3 2 4 2 2 2" xfId="38957" xr:uid="{00000000-0005-0000-0000-00003F1D0000}"/>
    <cellStyle name="20% - Accent4 3 3 2 4 2 3" xfId="28717" xr:uid="{00000000-0005-0000-0000-0000401D0000}"/>
    <cellStyle name="20% - Accent4 3 3 2 4 3" xfId="13357" xr:uid="{00000000-0005-0000-0000-0000411D0000}"/>
    <cellStyle name="20% - Accent4 3 3 2 4 3 2" xfId="33837" xr:uid="{00000000-0005-0000-0000-0000421D0000}"/>
    <cellStyle name="20% - Accent4 3 3 2 4 4" xfId="23597" xr:uid="{00000000-0005-0000-0000-0000431D0000}"/>
    <cellStyle name="20% - Accent4 3 3 2 5" xfId="5677" xr:uid="{00000000-0005-0000-0000-0000441D0000}"/>
    <cellStyle name="20% - Accent4 3 3 2 5 2" xfId="15917" xr:uid="{00000000-0005-0000-0000-0000451D0000}"/>
    <cellStyle name="20% - Accent4 3 3 2 5 2 2" xfId="36397" xr:uid="{00000000-0005-0000-0000-0000461D0000}"/>
    <cellStyle name="20% - Accent4 3 3 2 5 3" xfId="26157" xr:uid="{00000000-0005-0000-0000-0000471D0000}"/>
    <cellStyle name="20% - Accent4 3 3 2 6" xfId="10797" xr:uid="{00000000-0005-0000-0000-0000481D0000}"/>
    <cellStyle name="20% - Accent4 3 3 2 6 2" xfId="31277" xr:uid="{00000000-0005-0000-0000-0000491D0000}"/>
    <cellStyle name="20% - Accent4 3 3 2 7" xfId="21037" xr:uid="{00000000-0005-0000-0000-00004A1D0000}"/>
    <cellStyle name="20% - Accent4 3 3 3" xfId="877" xr:uid="{00000000-0005-0000-0000-00004B1D0000}"/>
    <cellStyle name="20% - Accent4 3 3 3 2" xfId="2157" xr:uid="{00000000-0005-0000-0000-00004C1D0000}"/>
    <cellStyle name="20% - Accent4 3 3 3 2 2" xfId="4717" xr:uid="{00000000-0005-0000-0000-00004D1D0000}"/>
    <cellStyle name="20% - Accent4 3 3 3 2 2 2" xfId="9837" xr:uid="{00000000-0005-0000-0000-00004E1D0000}"/>
    <cellStyle name="20% - Accent4 3 3 3 2 2 2 2" xfId="20077" xr:uid="{00000000-0005-0000-0000-00004F1D0000}"/>
    <cellStyle name="20% - Accent4 3 3 3 2 2 2 2 2" xfId="40557" xr:uid="{00000000-0005-0000-0000-0000501D0000}"/>
    <cellStyle name="20% - Accent4 3 3 3 2 2 2 3" xfId="30317" xr:uid="{00000000-0005-0000-0000-0000511D0000}"/>
    <cellStyle name="20% - Accent4 3 3 3 2 2 3" xfId="14957" xr:uid="{00000000-0005-0000-0000-0000521D0000}"/>
    <cellStyle name="20% - Accent4 3 3 3 2 2 3 2" xfId="35437" xr:uid="{00000000-0005-0000-0000-0000531D0000}"/>
    <cellStyle name="20% - Accent4 3 3 3 2 2 4" xfId="25197" xr:uid="{00000000-0005-0000-0000-0000541D0000}"/>
    <cellStyle name="20% - Accent4 3 3 3 2 3" xfId="7277" xr:uid="{00000000-0005-0000-0000-0000551D0000}"/>
    <cellStyle name="20% - Accent4 3 3 3 2 3 2" xfId="17517" xr:uid="{00000000-0005-0000-0000-0000561D0000}"/>
    <cellStyle name="20% - Accent4 3 3 3 2 3 2 2" xfId="37997" xr:uid="{00000000-0005-0000-0000-0000571D0000}"/>
    <cellStyle name="20% - Accent4 3 3 3 2 3 3" xfId="27757" xr:uid="{00000000-0005-0000-0000-0000581D0000}"/>
    <cellStyle name="20% - Accent4 3 3 3 2 4" xfId="12397" xr:uid="{00000000-0005-0000-0000-0000591D0000}"/>
    <cellStyle name="20% - Accent4 3 3 3 2 4 2" xfId="32877" xr:uid="{00000000-0005-0000-0000-00005A1D0000}"/>
    <cellStyle name="20% - Accent4 3 3 3 2 5" xfId="22637" xr:uid="{00000000-0005-0000-0000-00005B1D0000}"/>
    <cellStyle name="20% - Accent4 3 3 3 3" xfId="3437" xr:uid="{00000000-0005-0000-0000-00005C1D0000}"/>
    <cellStyle name="20% - Accent4 3 3 3 3 2" xfId="8557" xr:uid="{00000000-0005-0000-0000-00005D1D0000}"/>
    <cellStyle name="20% - Accent4 3 3 3 3 2 2" xfId="18797" xr:uid="{00000000-0005-0000-0000-00005E1D0000}"/>
    <cellStyle name="20% - Accent4 3 3 3 3 2 2 2" xfId="39277" xr:uid="{00000000-0005-0000-0000-00005F1D0000}"/>
    <cellStyle name="20% - Accent4 3 3 3 3 2 3" xfId="29037" xr:uid="{00000000-0005-0000-0000-0000601D0000}"/>
    <cellStyle name="20% - Accent4 3 3 3 3 3" xfId="13677" xr:uid="{00000000-0005-0000-0000-0000611D0000}"/>
    <cellStyle name="20% - Accent4 3 3 3 3 3 2" xfId="34157" xr:uid="{00000000-0005-0000-0000-0000621D0000}"/>
    <cellStyle name="20% - Accent4 3 3 3 3 4" xfId="23917" xr:uid="{00000000-0005-0000-0000-0000631D0000}"/>
    <cellStyle name="20% - Accent4 3 3 3 4" xfId="5997" xr:uid="{00000000-0005-0000-0000-0000641D0000}"/>
    <cellStyle name="20% - Accent4 3 3 3 4 2" xfId="16237" xr:uid="{00000000-0005-0000-0000-0000651D0000}"/>
    <cellStyle name="20% - Accent4 3 3 3 4 2 2" xfId="36717" xr:uid="{00000000-0005-0000-0000-0000661D0000}"/>
    <cellStyle name="20% - Accent4 3 3 3 4 3" xfId="26477" xr:uid="{00000000-0005-0000-0000-0000671D0000}"/>
    <cellStyle name="20% - Accent4 3 3 3 5" xfId="11117" xr:uid="{00000000-0005-0000-0000-0000681D0000}"/>
    <cellStyle name="20% - Accent4 3 3 3 5 2" xfId="31597" xr:uid="{00000000-0005-0000-0000-0000691D0000}"/>
    <cellStyle name="20% - Accent4 3 3 3 6" xfId="21357" xr:uid="{00000000-0005-0000-0000-00006A1D0000}"/>
    <cellStyle name="20% - Accent4 3 3 4" xfId="1517" xr:uid="{00000000-0005-0000-0000-00006B1D0000}"/>
    <cellStyle name="20% - Accent4 3 3 4 2" xfId="4077" xr:uid="{00000000-0005-0000-0000-00006C1D0000}"/>
    <cellStyle name="20% - Accent4 3 3 4 2 2" xfId="9197" xr:uid="{00000000-0005-0000-0000-00006D1D0000}"/>
    <cellStyle name="20% - Accent4 3 3 4 2 2 2" xfId="19437" xr:uid="{00000000-0005-0000-0000-00006E1D0000}"/>
    <cellStyle name="20% - Accent4 3 3 4 2 2 2 2" xfId="39917" xr:uid="{00000000-0005-0000-0000-00006F1D0000}"/>
    <cellStyle name="20% - Accent4 3 3 4 2 2 3" xfId="29677" xr:uid="{00000000-0005-0000-0000-0000701D0000}"/>
    <cellStyle name="20% - Accent4 3 3 4 2 3" xfId="14317" xr:uid="{00000000-0005-0000-0000-0000711D0000}"/>
    <cellStyle name="20% - Accent4 3 3 4 2 3 2" xfId="34797" xr:uid="{00000000-0005-0000-0000-0000721D0000}"/>
    <cellStyle name="20% - Accent4 3 3 4 2 4" xfId="24557" xr:uid="{00000000-0005-0000-0000-0000731D0000}"/>
    <cellStyle name="20% - Accent4 3 3 4 3" xfId="6637" xr:uid="{00000000-0005-0000-0000-0000741D0000}"/>
    <cellStyle name="20% - Accent4 3 3 4 3 2" xfId="16877" xr:uid="{00000000-0005-0000-0000-0000751D0000}"/>
    <cellStyle name="20% - Accent4 3 3 4 3 2 2" xfId="37357" xr:uid="{00000000-0005-0000-0000-0000761D0000}"/>
    <cellStyle name="20% - Accent4 3 3 4 3 3" xfId="27117" xr:uid="{00000000-0005-0000-0000-0000771D0000}"/>
    <cellStyle name="20% - Accent4 3 3 4 4" xfId="11757" xr:uid="{00000000-0005-0000-0000-0000781D0000}"/>
    <cellStyle name="20% - Accent4 3 3 4 4 2" xfId="32237" xr:uid="{00000000-0005-0000-0000-0000791D0000}"/>
    <cellStyle name="20% - Accent4 3 3 4 5" xfId="21997" xr:uid="{00000000-0005-0000-0000-00007A1D0000}"/>
    <cellStyle name="20% - Accent4 3 3 5" xfId="2797" xr:uid="{00000000-0005-0000-0000-00007B1D0000}"/>
    <cellStyle name="20% - Accent4 3 3 5 2" xfId="7917" xr:uid="{00000000-0005-0000-0000-00007C1D0000}"/>
    <cellStyle name="20% - Accent4 3 3 5 2 2" xfId="18157" xr:uid="{00000000-0005-0000-0000-00007D1D0000}"/>
    <cellStyle name="20% - Accent4 3 3 5 2 2 2" xfId="38637" xr:uid="{00000000-0005-0000-0000-00007E1D0000}"/>
    <cellStyle name="20% - Accent4 3 3 5 2 3" xfId="28397" xr:uid="{00000000-0005-0000-0000-00007F1D0000}"/>
    <cellStyle name="20% - Accent4 3 3 5 3" xfId="13037" xr:uid="{00000000-0005-0000-0000-0000801D0000}"/>
    <cellStyle name="20% - Accent4 3 3 5 3 2" xfId="33517" xr:uid="{00000000-0005-0000-0000-0000811D0000}"/>
    <cellStyle name="20% - Accent4 3 3 5 4" xfId="23277" xr:uid="{00000000-0005-0000-0000-0000821D0000}"/>
    <cellStyle name="20% - Accent4 3 3 6" xfId="5357" xr:uid="{00000000-0005-0000-0000-0000831D0000}"/>
    <cellStyle name="20% - Accent4 3 3 6 2" xfId="15597" xr:uid="{00000000-0005-0000-0000-0000841D0000}"/>
    <cellStyle name="20% - Accent4 3 3 6 2 2" xfId="36077" xr:uid="{00000000-0005-0000-0000-0000851D0000}"/>
    <cellStyle name="20% - Accent4 3 3 6 3" xfId="25837" xr:uid="{00000000-0005-0000-0000-0000861D0000}"/>
    <cellStyle name="20% - Accent4 3 3 7" xfId="10477" xr:uid="{00000000-0005-0000-0000-0000871D0000}"/>
    <cellStyle name="20% - Accent4 3 3 7 2" xfId="30957" xr:uid="{00000000-0005-0000-0000-0000881D0000}"/>
    <cellStyle name="20% - Accent4 3 3 8" xfId="20717" xr:uid="{00000000-0005-0000-0000-0000891D0000}"/>
    <cellStyle name="20% - Accent4 3 4" xfId="397" xr:uid="{00000000-0005-0000-0000-00008A1D0000}"/>
    <cellStyle name="20% - Accent4 3 4 2" xfId="1037" xr:uid="{00000000-0005-0000-0000-00008B1D0000}"/>
    <cellStyle name="20% - Accent4 3 4 2 2" xfId="2317" xr:uid="{00000000-0005-0000-0000-00008C1D0000}"/>
    <cellStyle name="20% - Accent4 3 4 2 2 2" xfId="4877" xr:uid="{00000000-0005-0000-0000-00008D1D0000}"/>
    <cellStyle name="20% - Accent4 3 4 2 2 2 2" xfId="9997" xr:uid="{00000000-0005-0000-0000-00008E1D0000}"/>
    <cellStyle name="20% - Accent4 3 4 2 2 2 2 2" xfId="20237" xr:uid="{00000000-0005-0000-0000-00008F1D0000}"/>
    <cellStyle name="20% - Accent4 3 4 2 2 2 2 2 2" xfId="40717" xr:uid="{00000000-0005-0000-0000-0000901D0000}"/>
    <cellStyle name="20% - Accent4 3 4 2 2 2 2 3" xfId="30477" xr:uid="{00000000-0005-0000-0000-0000911D0000}"/>
    <cellStyle name="20% - Accent4 3 4 2 2 2 3" xfId="15117" xr:uid="{00000000-0005-0000-0000-0000921D0000}"/>
    <cellStyle name="20% - Accent4 3 4 2 2 2 3 2" xfId="35597" xr:uid="{00000000-0005-0000-0000-0000931D0000}"/>
    <cellStyle name="20% - Accent4 3 4 2 2 2 4" xfId="25357" xr:uid="{00000000-0005-0000-0000-0000941D0000}"/>
    <cellStyle name="20% - Accent4 3 4 2 2 3" xfId="7437" xr:uid="{00000000-0005-0000-0000-0000951D0000}"/>
    <cellStyle name="20% - Accent4 3 4 2 2 3 2" xfId="17677" xr:uid="{00000000-0005-0000-0000-0000961D0000}"/>
    <cellStyle name="20% - Accent4 3 4 2 2 3 2 2" xfId="38157" xr:uid="{00000000-0005-0000-0000-0000971D0000}"/>
    <cellStyle name="20% - Accent4 3 4 2 2 3 3" xfId="27917" xr:uid="{00000000-0005-0000-0000-0000981D0000}"/>
    <cellStyle name="20% - Accent4 3 4 2 2 4" xfId="12557" xr:uid="{00000000-0005-0000-0000-0000991D0000}"/>
    <cellStyle name="20% - Accent4 3 4 2 2 4 2" xfId="33037" xr:uid="{00000000-0005-0000-0000-00009A1D0000}"/>
    <cellStyle name="20% - Accent4 3 4 2 2 5" xfId="22797" xr:uid="{00000000-0005-0000-0000-00009B1D0000}"/>
    <cellStyle name="20% - Accent4 3 4 2 3" xfId="3597" xr:uid="{00000000-0005-0000-0000-00009C1D0000}"/>
    <cellStyle name="20% - Accent4 3 4 2 3 2" xfId="8717" xr:uid="{00000000-0005-0000-0000-00009D1D0000}"/>
    <cellStyle name="20% - Accent4 3 4 2 3 2 2" xfId="18957" xr:uid="{00000000-0005-0000-0000-00009E1D0000}"/>
    <cellStyle name="20% - Accent4 3 4 2 3 2 2 2" xfId="39437" xr:uid="{00000000-0005-0000-0000-00009F1D0000}"/>
    <cellStyle name="20% - Accent4 3 4 2 3 2 3" xfId="29197" xr:uid="{00000000-0005-0000-0000-0000A01D0000}"/>
    <cellStyle name="20% - Accent4 3 4 2 3 3" xfId="13837" xr:uid="{00000000-0005-0000-0000-0000A11D0000}"/>
    <cellStyle name="20% - Accent4 3 4 2 3 3 2" xfId="34317" xr:uid="{00000000-0005-0000-0000-0000A21D0000}"/>
    <cellStyle name="20% - Accent4 3 4 2 3 4" xfId="24077" xr:uid="{00000000-0005-0000-0000-0000A31D0000}"/>
    <cellStyle name="20% - Accent4 3 4 2 4" xfId="6157" xr:uid="{00000000-0005-0000-0000-0000A41D0000}"/>
    <cellStyle name="20% - Accent4 3 4 2 4 2" xfId="16397" xr:uid="{00000000-0005-0000-0000-0000A51D0000}"/>
    <cellStyle name="20% - Accent4 3 4 2 4 2 2" xfId="36877" xr:uid="{00000000-0005-0000-0000-0000A61D0000}"/>
    <cellStyle name="20% - Accent4 3 4 2 4 3" xfId="26637" xr:uid="{00000000-0005-0000-0000-0000A71D0000}"/>
    <cellStyle name="20% - Accent4 3 4 2 5" xfId="11277" xr:uid="{00000000-0005-0000-0000-0000A81D0000}"/>
    <cellStyle name="20% - Accent4 3 4 2 5 2" xfId="31757" xr:uid="{00000000-0005-0000-0000-0000A91D0000}"/>
    <cellStyle name="20% - Accent4 3 4 2 6" xfId="21517" xr:uid="{00000000-0005-0000-0000-0000AA1D0000}"/>
    <cellStyle name="20% - Accent4 3 4 3" xfId="1677" xr:uid="{00000000-0005-0000-0000-0000AB1D0000}"/>
    <cellStyle name="20% - Accent4 3 4 3 2" xfId="4237" xr:uid="{00000000-0005-0000-0000-0000AC1D0000}"/>
    <cellStyle name="20% - Accent4 3 4 3 2 2" xfId="9357" xr:uid="{00000000-0005-0000-0000-0000AD1D0000}"/>
    <cellStyle name="20% - Accent4 3 4 3 2 2 2" xfId="19597" xr:uid="{00000000-0005-0000-0000-0000AE1D0000}"/>
    <cellStyle name="20% - Accent4 3 4 3 2 2 2 2" xfId="40077" xr:uid="{00000000-0005-0000-0000-0000AF1D0000}"/>
    <cellStyle name="20% - Accent4 3 4 3 2 2 3" xfId="29837" xr:uid="{00000000-0005-0000-0000-0000B01D0000}"/>
    <cellStyle name="20% - Accent4 3 4 3 2 3" xfId="14477" xr:uid="{00000000-0005-0000-0000-0000B11D0000}"/>
    <cellStyle name="20% - Accent4 3 4 3 2 3 2" xfId="34957" xr:uid="{00000000-0005-0000-0000-0000B21D0000}"/>
    <cellStyle name="20% - Accent4 3 4 3 2 4" xfId="24717" xr:uid="{00000000-0005-0000-0000-0000B31D0000}"/>
    <cellStyle name="20% - Accent4 3 4 3 3" xfId="6797" xr:uid="{00000000-0005-0000-0000-0000B41D0000}"/>
    <cellStyle name="20% - Accent4 3 4 3 3 2" xfId="17037" xr:uid="{00000000-0005-0000-0000-0000B51D0000}"/>
    <cellStyle name="20% - Accent4 3 4 3 3 2 2" xfId="37517" xr:uid="{00000000-0005-0000-0000-0000B61D0000}"/>
    <cellStyle name="20% - Accent4 3 4 3 3 3" xfId="27277" xr:uid="{00000000-0005-0000-0000-0000B71D0000}"/>
    <cellStyle name="20% - Accent4 3 4 3 4" xfId="11917" xr:uid="{00000000-0005-0000-0000-0000B81D0000}"/>
    <cellStyle name="20% - Accent4 3 4 3 4 2" xfId="32397" xr:uid="{00000000-0005-0000-0000-0000B91D0000}"/>
    <cellStyle name="20% - Accent4 3 4 3 5" xfId="22157" xr:uid="{00000000-0005-0000-0000-0000BA1D0000}"/>
    <cellStyle name="20% - Accent4 3 4 4" xfId="2957" xr:uid="{00000000-0005-0000-0000-0000BB1D0000}"/>
    <cellStyle name="20% - Accent4 3 4 4 2" xfId="8077" xr:uid="{00000000-0005-0000-0000-0000BC1D0000}"/>
    <cellStyle name="20% - Accent4 3 4 4 2 2" xfId="18317" xr:uid="{00000000-0005-0000-0000-0000BD1D0000}"/>
    <cellStyle name="20% - Accent4 3 4 4 2 2 2" xfId="38797" xr:uid="{00000000-0005-0000-0000-0000BE1D0000}"/>
    <cellStyle name="20% - Accent4 3 4 4 2 3" xfId="28557" xr:uid="{00000000-0005-0000-0000-0000BF1D0000}"/>
    <cellStyle name="20% - Accent4 3 4 4 3" xfId="13197" xr:uid="{00000000-0005-0000-0000-0000C01D0000}"/>
    <cellStyle name="20% - Accent4 3 4 4 3 2" xfId="33677" xr:uid="{00000000-0005-0000-0000-0000C11D0000}"/>
    <cellStyle name="20% - Accent4 3 4 4 4" xfId="23437" xr:uid="{00000000-0005-0000-0000-0000C21D0000}"/>
    <cellStyle name="20% - Accent4 3 4 5" xfId="5517" xr:uid="{00000000-0005-0000-0000-0000C31D0000}"/>
    <cellStyle name="20% - Accent4 3 4 5 2" xfId="15757" xr:uid="{00000000-0005-0000-0000-0000C41D0000}"/>
    <cellStyle name="20% - Accent4 3 4 5 2 2" xfId="36237" xr:uid="{00000000-0005-0000-0000-0000C51D0000}"/>
    <cellStyle name="20% - Accent4 3 4 5 3" xfId="25997" xr:uid="{00000000-0005-0000-0000-0000C61D0000}"/>
    <cellStyle name="20% - Accent4 3 4 6" xfId="10637" xr:uid="{00000000-0005-0000-0000-0000C71D0000}"/>
    <cellStyle name="20% - Accent4 3 4 6 2" xfId="31117" xr:uid="{00000000-0005-0000-0000-0000C81D0000}"/>
    <cellStyle name="20% - Accent4 3 4 7" xfId="20877" xr:uid="{00000000-0005-0000-0000-0000C91D0000}"/>
    <cellStyle name="20% - Accent4 3 5" xfId="717" xr:uid="{00000000-0005-0000-0000-0000CA1D0000}"/>
    <cellStyle name="20% - Accent4 3 5 2" xfId="1997" xr:uid="{00000000-0005-0000-0000-0000CB1D0000}"/>
    <cellStyle name="20% - Accent4 3 5 2 2" xfId="4557" xr:uid="{00000000-0005-0000-0000-0000CC1D0000}"/>
    <cellStyle name="20% - Accent4 3 5 2 2 2" xfId="9677" xr:uid="{00000000-0005-0000-0000-0000CD1D0000}"/>
    <cellStyle name="20% - Accent4 3 5 2 2 2 2" xfId="19917" xr:uid="{00000000-0005-0000-0000-0000CE1D0000}"/>
    <cellStyle name="20% - Accent4 3 5 2 2 2 2 2" xfId="40397" xr:uid="{00000000-0005-0000-0000-0000CF1D0000}"/>
    <cellStyle name="20% - Accent4 3 5 2 2 2 3" xfId="30157" xr:uid="{00000000-0005-0000-0000-0000D01D0000}"/>
    <cellStyle name="20% - Accent4 3 5 2 2 3" xfId="14797" xr:uid="{00000000-0005-0000-0000-0000D11D0000}"/>
    <cellStyle name="20% - Accent4 3 5 2 2 3 2" xfId="35277" xr:uid="{00000000-0005-0000-0000-0000D21D0000}"/>
    <cellStyle name="20% - Accent4 3 5 2 2 4" xfId="25037" xr:uid="{00000000-0005-0000-0000-0000D31D0000}"/>
    <cellStyle name="20% - Accent4 3 5 2 3" xfId="7117" xr:uid="{00000000-0005-0000-0000-0000D41D0000}"/>
    <cellStyle name="20% - Accent4 3 5 2 3 2" xfId="17357" xr:uid="{00000000-0005-0000-0000-0000D51D0000}"/>
    <cellStyle name="20% - Accent4 3 5 2 3 2 2" xfId="37837" xr:uid="{00000000-0005-0000-0000-0000D61D0000}"/>
    <cellStyle name="20% - Accent4 3 5 2 3 3" xfId="27597" xr:uid="{00000000-0005-0000-0000-0000D71D0000}"/>
    <cellStyle name="20% - Accent4 3 5 2 4" xfId="12237" xr:uid="{00000000-0005-0000-0000-0000D81D0000}"/>
    <cellStyle name="20% - Accent4 3 5 2 4 2" xfId="32717" xr:uid="{00000000-0005-0000-0000-0000D91D0000}"/>
    <cellStyle name="20% - Accent4 3 5 2 5" xfId="22477" xr:uid="{00000000-0005-0000-0000-0000DA1D0000}"/>
    <cellStyle name="20% - Accent4 3 5 3" xfId="3277" xr:uid="{00000000-0005-0000-0000-0000DB1D0000}"/>
    <cellStyle name="20% - Accent4 3 5 3 2" xfId="8397" xr:uid="{00000000-0005-0000-0000-0000DC1D0000}"/>
    <cellStyle name="20% - Accent4 3 5 3 2 2" xfId="18637" xr:uid="{00000000-0005-0000-0000-0000DD1D0000}"/>
    <cellStyle name="20% - Accent4 3 5 3 2 2 2" xfId="39117" xr:uid="{00000000-0005-0000-0000-0000DE1D0000}"/>
    <cellStyle name="20% - Accent4 3 5 3 2 3" xfId="28877" xr:uid="{00000000-0005-0000-0000-0000DF1D0000}"/>
    <cellStyle name="20% - Accent4 3 5 3 3" xfId="13517" xr:uid="{00000000-0005-0000-0000-0000E01D0000}"/>
    <cellStyle name="20% - Accent4 3 5 3 3 2" xfId="33997" xr:uid="{00000000-0005-0000-0000-0000E11D0000}"/>
    <cellStyle name="20% - Accent4 3 5 3 4" xfId="23757" xr:uid="{00000000-0005-0000-0000-0000E21D0000}"/>
    <cellStyle name="20% - Accent4 3 5 4" xfId="5837" xr:uid="{00000000-0005-0000-0000-0000E31D0000}"/>
    <cellStyle name="20% - Accent4 3 5 4 2" xfId="16077" xr:uid="{00000000-0005-0000-0000-0000E41D0000}"/>
    <cellStyle name="20% - Accent4 3 5 4 2 2" xfId="36557" xr:uid="{00000000-0005-0000-0000-0000E51D0000}"/>
    <cellStyle name="20% - Accent4 3 5 4 3" xfId="26317" xr:uid="{00000000-0005-0000-0000-0000E61D0000}"/>
    <cellStyle name="20% - Accent4 3 5 5" xfId="10957" xr:uid="{00000000-0005-0000-0000-0000E71D0000}"/>
    <cellStyle name="20% - Accent4 3 5 5 2" xfId="31437" xr:uid="{00000000-0005-0000-0000-0000E81D0000}"/>
    <cellStyle name="20% - Accent4 3 5 6" xfId="21197" xr:uid="{00000000-0005-0000-0000-0000E91D0000}"/>
    <cellStyle name="20% - Accent4 3 6" xfId="1357" xr:uid="{00000000-0005-0000-0000-0000EA1D0000}"/>
    <cellStyle name="20% - Accent4 3 6 2" xfId="3917" xr:uid="{00000000-0005-0000-0000-0000EB1D0000}"/>
    <cellStyle name="20% - Accent4 3 6 2 2" xfId="9037" xr:uid="{00000000-0005-0000-0000-0000EC1D0000}"/>
    <cellStyle name="20% - Accent4 3 6 2 2 2" xfId="19277" xr:uid="{00000000-0005-0000-0000-0000ED1D0000}"/>
    <cellStyle name="20% - Accent4 3 6 2 2 2 2" xfId="39757" xr:uid="{00000000-0005-0000-0000-0000EE1D0000}"/>
    <cellStyle name="20% - Accent4 3 6 2 2 3" xfId="29517" xr:uid="{00000000-0005-0000-0000-0000EF1D0000}"/>
    <cellStyle name="20% - Accent4 3 6 2 3" xfId="14157" xr:uid="{00000000-0005-0000-0000-0000F01D0000}"/>
    <cellStyle name="20% - Accent4 3 6 2 3 2" xfId="34637" xr:uid="{00000000-0005-0000-0000-0000F11D0000}"/>
    <cellStyle name="20% - Accent4 3 6 2 4" xfId="24397" xr:uid="{00000000-0005-0000-0000-0000F21D0000}"/>
    <cellStyle name="20% - Accent4 3 6 3" xfId="6477" xr:uid="{00000000-0005-0000-0000-0000F31D0000}"/>
    <cellStyle name="20% - Accent4 3 6 3 2" xfId="16717" xr:uid="{00000000-0005-0000-0000-0000F41D0000}"/>
    <cellStyle name="20% - Accent4 3 6 3 2 2" xfId="37197" xr:uid="{00000000-0005-0000-0000-0000F51D0000}"/>
    <cellStyle name="20% - Accent4 3 6 3 3" xfId="26957" xr:uid="{00000000-0005-0000-0000-0000F61D0000}"/>
    <cellStyle name="20% - Accent4 3 6 4" xfId="11597" xr:uid="{00000000-0005-0000-0000-0000F71D0000}"/>
    <cellStyle name="20% - Accent4 3 6 4 2" xfId="32077" xr:uid="{00000000-0005-0000-0000-0000F81D0000}"/>
    <cellStyle name="20% - Accent4 3 6 5" xfId="21837" xr:uid="{00000000-0005-0000-0000-0000F91D0000}"/>
    <cellStyle name="20% - Accent4 3 7" xfId="2637" xr:uid="{00000000-0005-0000-0000-0000FA1D0000}"/>
    <cellStyle name="20% - Accent4 3 7 2" xfId="7757" xr:uid="{00000000-0005-0000-0000-0000FB1D0000}"/>
    <cellStyle name="20% - Accent4 3 7 2 2" xfId="17997" xr:uid="{00000000-0005-0000-0000-0000FC1D0000}"/>
    <cellStyle name="20% - Accent4 3 7 2 2 2" xfId="38477" xr:uid="{00000000-0005-0000-0000-0000FD1D0000}"/>
    <cellStyle name="20% - Accent4 3 7 2 3" xfId="28237" xr:uid="{00000000-0005-0000-0000-0000FE1D0000}"/>
    <cellStyle name="20% - Accent4 3 7 3" xfId="12877" xr:uid="{00000000-0005-0000-0000-0000FF1D0000}"/>
    <cellStyle name="20% - Accent4 3 7 3 2" xfId="33357" xr:uid="{00000000-0005-0000-0000-0000001E0000}"/>
    <cellStyle name="20% - Accent4 3 7 4" xfId="23117" xr:uid="{00000000-0005-0000-0000-0000011E0000}"/>
    <cellStyle name="20% - Accent4 3 8" xfId="5197" xr:uid="{00000000-0005-0000-0000-0000021E0000}"/>
    <cellStyle name="20% - Accent4 3 8 2" xfId="15437" xr:uid="{00000000-0005-0000-0000-0000031E0000}"/>
    <cellStyle name="20% - Accent4 3 8 2 2" xfId="35917" xr:uid="{00000000-0005-0000-0000-0000041E0000}"/>
    <cellStyle name="20% - Accent4 3 8 3" xfId="25677" xr:uid="{00000000-0005-0000-0000-0000051E0000}"/>
    <cellStyle name="20% - Accent4 3 9" xfId="10317" xr:uid="{00000000-0005-0000-0000-0000061E0000}"/>
    <cellStyle name="20% - Accent4 3 9 2" xfId="30797" xr:uid="{00000000-0005-0000-0000-0000071E0000}"/>
    <cellStyle name="20% - Accent4 4" xfId="117" xr:uid="{00000000-0005-0000-0000-0000081E0000}"/>
    <cellStyle name="20% - Accent4 4 2" xfId="277" xr:uid="{00000000-0005-0000-0000-0000091E0000}"/>
    <cellStyle name="20% - Accent4 4 2 2" xfId="597" xr:uid="{00000000-0005-0000-0000-00000A1E0000}"/>
    <cellStyle name="20% - Accent4 4 2 2 2" xfId="1237" xr:uid="{00000000-0005-0000-0000-00000B1E0000}"/>
    <cellStyle name="20% - Accent4 4 2 2 2 2" xfId="2517" xr:uid="{00000000-0005-0000-0000-00000C1E0000}"/>
    <cellStyle name="20% - Accent4 4 2 2 2 2 2" xfId="5077" xr:uid="{00000000-0005-0000-0000-00000D1E0000}"/>
    <cellStyle name="20% - Accent4 4 2 2 2 2 2 2" xfId="10197" xr:uid="{00000000-0005-0000-0000-00000E1E0000}"/>
    <cellStyle name="20% - Accent4 4 2 2 2 2 2 2 2" xfId="20437" xr:uid="{00000000-0005-0000-0000-00000F1E0000}"/>
    <cellStyle name="20% - Accent4 4 2 2 2 2 2 2 2 2" xfId="40917" xr:uid="{00000000-0005-0000-0000-0000101E0000}"/>
    <cellStyle name="20% - Accent4 4 2 2 2 2 2 2 3" xfId="30677" xr:uid="{00000000-0005-0000-0000-0000111E0000}"/>
    <cellStyle name="20% - Accent4 4 2 2 2 2 2 3" xfId="15317" xr:uid="{00000000-0005-0000-0000-0000121E0000}"/>
    <cellStyle name="20% - Accent4 4 2 2 2 2 2 3 2" xfId="35797" xr:uid="{00000000-0005-0000-0000-0000131E0000}"/>
    <cellStyle name="20% - Accent4 4 2 2 2 2 2 4" xfId="25557" xr:uid="{00000000-0005-0000-0000-0000141E0000}"/>
    <cellStyle name="20% - Accent4 4 2 2 2 2 3" xfId="7637" xr:uid="{00000000-0005-0000-0000-0000151E0000}"/>
    <cellStyle name="20% - Accent4 4 2 2 2 2 3 2" xfId="17877" xr:uid="{00000000-0005-0000-0000-0000161E0000}"/>
    <cellStyle name="20% - Accent4 4 2 2 2 2 3 2 2" xfId="38357" xr:uid="{00000000-0005-0000-0000-0000171E0000}"/>
    <cellStyle name="20% - Accent4 4 2 2 2 2 3 3" xfId="28117" xr:uid="{00000000-0005-0000-0000-0000181E0000}"/>
    <cellStyle name="20% - Accent4 4 2 2 2 2 4" xfId="12757" xr:uid="{00000000-0005-0000-0000-0000191E0000}"/>
    <cellStyle name="20% - Accent4 4 2 2 2 2 4 2" xfId="33237" xr:uid="{00000000-0005-0000-0000-00001A1E0000}"/>
    <cellStyle name="20% - Accent4 4 2 2 2 2 5" xfId="22997" xr:uid="{00000000-0005-0000-0000-00001B1E0000}"/>
    <cellStyle name="20% - Accent4 4 2 2 2 3" xfId="3797" xr:uid="{00000000-0005-0000-0000-00001C1E0000}"/>
    <cellStyle name="20% - Accent4 4 2 2 2 3 2" xfId="8917" xr:uid="{00000000-0005-0000-0000-00001D1E0000}"/>
    <cellStyle name="20% - Accent4 4 2 2 2 3 2 2" xfId="19157" xr:uid="{00000000-0005-0000-0000-00001E1E0000}"/>
    <cellStyle name="20% - Accent4 4 2 2 2 3 2 2 2" xfId="39637" xr:uid="{00000000-0005-0000-0000-00001F1E0000}"/>
    <cellStyle name="20% - Accent4 4 2 2 2 3 2 3" xfId="29397" xr:uid="{00000000-0005-0000-0000-0000201E0000}"/>
    <cellStyle name="20% - Accent4 4 2 2 2 3 3" xfId="14037" xr:uid="{00000000-0005-0000-0000-0000211E0000}"/>
    <cellStyle name="20% - Accent4 4 2 2 2 3 3 2" xfId="34517" xr:uid="{00000000-0005-0000-0000-0000221E0000}"/>
    <cellStyle name="20% - Accent4 4 2 2 2 3 4" xfId="24277" xr:uid="{00000000-0005-0000-0000-0000231E0000}"/>
    <cellStyle name="20% - Accent4 4 2 2 2 4" xfId="6357" xr:uid="{00000000-0005-0000-0000-0000241E0000}"/>
    <cellStyle name="20% - Accent4 4 2 2 2 4 2" xfId="16597" xr:uid="{00000000-0005-0000-0000-0000251E0000}"/>
    <cellStyle name="20% - Accent4 4 2 2 2 4 2 2" xfId="37077" xr:uid="{00000000-0005-0000-0000-0000261E0000}"/>
    <cellStyle name="20% - Accent4 4 2 2 2 4 3" xfId="26837" xr:uid="{00000000-0005-0000-0000-0000271E0000}"/>
    <cellStyle name="20% - Accent4 4 2 2 2 5" xfId="11477" xr:uid="{00000000-0005-0000-0000-0000281E0000}"/>
    <cellStyle name="20% - Accent4 4 2 2 2 5 2" xfId="31957" xr:uid="{00000000-0005-0000-0000-0000291E0000}"/>
    <cellStyle name="20% - Accent4 4 2 2 2 6" xfId="21717" xr:uid="{00000000-0005-0000-0000-00002A1E0000}"/>
    <cellStyle name="20% - Accent4 4 2 2 3" xfId="1877" xr:uid="{00000000-0005-0000-0000-00002B1E0000}"/>
    <cellStyle name="20% - Accent4 4 2 2 3 2" xfId="4437" xr:uid="{00000000-0005-0000-0000-00002C1E0000}"/>
    <cellStyle name="20% - Accent4 4 2 2 3 2 2" xfId="9557" xr:uid="{00000000-0005-0000-0000-00002D1E0000}"/>
    <cellStyle name="20% - Accent4 4 2 2 3 2 2 2" xfId="19797" xr:uid="{00000000-0005-0000-0000-00002E1E0000}"/>
    <cellStyle name="20% - Accent4 4 2 2 3 2 2 2 2" xfId="40277" xr:uid="{00000000-0005-0000-0000-00002F1E0000}"/>
    <cellStyle name="20% - Accent4 4 2 2 3 2 2 3" xfId="30037" xr:uid="{00000000-0005-0000-0000-0000301E0000}"/>
    <cellStyle name="20% - Accent4 4 2 2 3 2 3" xfId="14677" xr:uid="{00000000-0005-0000-0000-0000311E0000}"/>
    <cellStyle name="20% - Accent4 4 2 2 3 2 3 2" xfId="35157" xr:uid="{00000000-0005-0000-0000-0000321E0000}"/>
    <cellStyle name="20% - Accent4 4 2 2 3 2 4" xfId="24917" xr:uid="{00000000-0005-0000-0000-0000331E0000}"/>
    <cellStyle name="20% - Accent4 4 2 2 3 3" xfId="6997" xr:uid="{00000000-0005-0000-0000-0000341E0000}"/>
    <cellStyle name="20% - Accent4 4 2 2 3 3 2" xfId="17237" xr:uid="{00000000-0005-0000-0000-0000351E0000}"/>
    <cellStyle name="20% - Accent4 4 2 2 3 3 2 2" xfId="37717" xr:uid="{00000000-0005-0000-0000-0000361E0000}"/>
    <cellStyle name="20% - Accent4 4 2 2 3 3 3" xfId="27477" xr:uid="{00000000-0005-0000-0000-0000371E0000}"/>
    <cellStyle name="20% - Accent4 4 2 2 3 4" xfId="12117" xr:uid="{00000000-0005-0000-0000-0000381E0000}"/>
    <cellStyle name="20% - Accent4 4 2 2 3 4 2" xfId="32597" xr:uid="{00000000-0005-0000-0000-0000391E0000}"/>
    <cellStyle name="20% - Accent4 4 2 2 3 5" xfId="22357" xr:uid="{00000000-0005-0000-0000-00003A1E0000}"/>
    <cellStyle name="20% - Accent4 4 2 2 4" xfId="3157" xr:uid="{00000000-0005-0000-0000-00003B1E0000}"/>
    <cellStyle name="20% - Accent4 4 2 2 4 2" xfId="8277" xr:uid="{00000000-0005-0000-0000-00003C1E0000}"/>
    <cellStyle name="20% - Accent4 4 2 2 4 2 2" xfId="18517" xr:uid="{00000000-0005-0000-0000-00003D1E0000}"/>
    <cellStyle name="20% - Accent4 4 2 2 4 2 2 2" xfId="38997" xr:uid="{00000000-0005-0000-0000-00003E1E0000}"/>
    <cellStyle name="20% - Accent4 4 2 2 4 2 3" xfId="28757" xr:uid="{00000000-0005-0000-0000-00003F1E0000}"/>
    <cellStyle name="20% - Accent4 4 2 2 4 3" xfId="13397" xr:uid="{00000000-0005-0000-0000-0000401E0000}"/>
    <cellStyle name="20% - Accent4 4 2 2 4 3 2" xfId="33877" xr:uid="{00000000-0005-0000-0000-0000411E0000}"/>
    <cellStyle name="20% - Accent4 4 2 2 4 4" xfId="23637" xr:uid="{00000000-0005-0000-0000-0000421E0000}"/>
    <cellStyle name="20% - Accent4 4 2 2 5" xfId="5717" xr:uid="{00000000-0005-0000-0000-0000431E0000}"/>
    <cellStyle name="20% - Accent4 4 2 2 5 2" xfId="15957" xr:uid="{00000000-0005-0000-0000-0000441E0000}"/>
    <cellStyle name="20% - Accent4 4 2 2 5 2 2" xfId="36437" xr:uid="{00000000-0005-0000-0000-0000451E0000}"/>
    <cellStyle name="20% - Accent4 4 2 2 5 3" xfId="26197" xr:uid="{00000000-0005-0000-0000-0000461E0000}"/>
    <cellStyle name="20% - Accent4 4 2 2 6" xfId="10837" xr:uid="{00000000-0005-0000-0000-0000471E0000}"/>
    <cellStyle name="20% - Accent4 4 2 2 6 2" xfId="31317" xr:uid="{00000000-0005-0000-0000-0000481E0000}"/>
    <cellStyle name="20% - Accent4 4 2 2 7" xfId="21077" xr:uid="{00000000-0005-0000-0000-0000491E0000}"/>
    <cellStyle name="20% - Accent4 4 2 3" xfId="917" xr:uid="{00000000-0005-0000-0000-00004A1E0000}"/>
    <cellStyle name="20% - Accent4 4 2 3 2" xfId="2197" xr:uid="{00000000-0005-0000-0000-00004B1E0000}"/>
    <cellStyle name="20% - Accent4 4 2 3 2 2" xfId="4757" xr:uid="{00000000-0005-0000-0000-00004C1E0000}"/>
    <cellStyle name="20% - Accent4 4 2 3 2 2 2" xfId="9877" xr:uid="{00000000-0005-0000-0000-00004D1E0000}"/>
    <cellStyle name="20% - Accent4 4 2 3 2 2 2 2" xfId="20117" xr:uid="{00000000-0005-0000-0000-00004E1E0000}"/>
    <cellStyle name="20% - Accent4 4 2 3 2 2 2 2 2" xfId="40597" xr:uid="{00000000-0005-0000-0000-00004F1E0000}"/>
    <cellStyle name="20% - Accent4 4 2 3 2 2 2 3" xfId="30357" xr:uid="{00000000-0005-0000-0000-0000501E0000}"/>
    <cellStyle name="20% - Accent4 4 2 3 2 2 3" xfId="14997" xr:uid="{00000000-0005-0000-0000-0000511E0000}"/>
    <cellStyle name="20% - Accent4 4 2 3 2 2 3 2" xfId="35477" xr:uid="{00000000-0005-0000-0000-0000521E0000}"/>
    <cellStyle name="20% - Accent4 4 2 3 2 2 4" xfId="25237" xr:uid="{00000000-0005-0000-0000-0000531E0000}"/>
    <cellStyle name="20% - Accent4 4 2 3 2 3" xfId="7317" xr:uid="{00000000-0005-0000-0000-0000541E0000}"/>
    <cellStyle name="20% - Accent4 4 2 3 2 3 2" xfId="17557" xr:uid="{00000000-0005-0000-0000-0000551E0000}"/>
    <cellStyle name="20% - Accent4 4 2 3 2 3 2 2" xfId="38037" xr:uid="{00000000-0005-0000-0000-0000561E0000}"/>
    <cellStyle name="20% - Accent4 4 2 3 2 3 3" xfId="27797" xr:uid="{00000000-0005-0000-0000-0000571E0000}"/>
    <cellStyle name="20% - Accent4 4 2 3 2 4" xfId="12437" xr:uid="{00000000-0005-0000-0000-0000581E0000}"/>
    <cellStyle name="20% - Accent4 4 2 3 2 4 2" xfId="32917" xr:uid="{00000000-0005-0000-0000-0000591E0000}"/>
    <cellStyle name="20% - Accent4 4 2 3 2 5" xfId="22677" xr:uid="{00000000-0005-0000-0000-00005A1E0000}"/>
    <cellStyle name="20% - Accent4 4 2 3 3" xfId="3477" xr:uid="{00000000-0005-0000-0000-00005B1E0000}"/>
    <cellStyle name="20% - Accent4 4 2 3 3 2" xfId="8597" xr:uid="{00000000-0005-0000-0000-00005C1E0000}"/>
    <cellStyle name="20% - Accent4 4 2 3 3 2 2" xfId="18837" xr:uid="{00000000-0005-0000-0000-00005D1E0000}"/>
    <cellStyle name="20% - Accent4 4 2 3 3 2 2 2" xfId="39317" xr:uid="{00000000-0005-0000-0000-00005E1E0000}"/>
    <cellStyle name="20% - Accent4 4 2 3 3 2 3" xfId="29077" xr:uid="{00000000-0005-0000-0000-00005F1E0000}"/>
    <cellStyle name="20% - Accent4 4 2 3 3 3" xfId="13717" xr:uid="{00000000-0005-0000-0000-0000601E0000}"/>
    <cellStyle name="20% - Accent4 4 2 3 3 3 2" xfId="34197" xr:uid="{00000000-0005-0000-0000-0000611E0000}"/>
    <cellStyle name="20% - Accent4 4 2 3 3 4" xfId="23957" xr:uid="{00000000-0005-0000-0000-0000621E0000}"/>
    <cellStyle name="20% - Accent4 4 2 3 4" xfId="6037" xr:uid="{00000000-0005-0000-0000-0000631E0000}"/>
    <cellStyle name="20% - Accent4 4 2 3 4 2" xfId="16277" xr:uid="{00000000-0005-0000-0000-0000641E0000}"/>
    <cellStyle name="20% - Accent4 4 2 3 4 2 2" xfId="36757" xr:uid="{00000000-0005-0000-0000-0000651E0000}"/>
    <cellStyle name="20% - Accent4 4 2 3 4 3" xfId="26517" xr:uid="{00000000-0005-0000-0000-0000661E0000}"/>
    <cellStyle name="20% - Accent4 4 2 3 5" xfId="11157" xr:uid="{00000000-0005-0000-0000-0000671E0000}"/>
    <cellStyle name="20% - Accent4 4 2 3 5 2" xfId="31637" xr:uid="{00000000-0005-0000-0000-0000681E0000}"/>
    <cellStyle name="20% - Accent4 4 2 3 6" xfId="21397" xr:uid="{00000000-0005-0000-0000-0000691E0000}"/>
    <cellStyle name="20% - Accent4 4 2 4" xfId="1557" xr:uid="{00000000-0005-0000-0000-00006A1E0000}"/>
    <cellStyle name="20% - Accent4 4 2 4 2" xfId="4117" xr:uid="{00000000-0005-0000-0000-00006B1E0000}"/>
    <cellStyle name="20% - Accent4 4 2 4 2 2" xfId="9237" xr:uid="{00000000-0005-0000-0000-00006C1E0000}"/>
    <cellStyle name="20% - Accent4 4 2 4 2 2 2" xfId="19477" xr:uid="{00000000-0005-0000-0000-00006D1E0000}"/>
    <cellStyle name="20% - Accent4 4 2 4 2 2 2 2" xfId="39957" xr:uid="{00000000-0005-0000-0000-00006E1E0000}"/>
    <cellStyle name="20% - Accent4 4 2 4 2 2 3" xfId="29717" xr:uid="{00000000-0005-0000-0000-00006F1E0000}"/>
    <cellStyle name="20% - Accent4 4 2 4 2 3" xfId="14357" xr:uid="{00000000-0005-0000-0000-0000701E0000}"/>
    <cellStyle name="20% - Accent4 4 2 4 2 3 2" xfId="34837" xr:uid="{00000000-0005-0000-0000-0000711E0000}"/>
    <cellStyle name="20% - Accent4 4 2 4 2 4" xfId="24597" xr:uid="{00000000-0005-0000-0000-0000721E0000}"/>
    <cellStyle name="20% - Accent4 4 2 4 3" xfId="6677" xr:uid="{00000000-0005-0000-0000-0000731E0000}"/>
    <cellStyle name="20% - Accent4 4 2 4 3 2" xfId="16917" xr:uid="{00000000-0005-0000-0000-0000741E0000}"/>
    <cellStyle name="20% - Accent4 4 2 4 3 2 2" xfId="37397" xr:uid="{00000000-0005-0000-0000-0000751E0000}"/>
    <cellStyle name="20% - Accent4 4 2 4 3 3" xfId="27157" xr:uid="{00000000-0005-0000-0000-0000761E0000}"/>
    <cellStyle name="20% - Accent4 4 2 4 4" xfId="11797" xr:uid="{00000000-0005-0000-0000-0000771E0000}"/>
    <cellStyle name="20% - Accent4 4 2 4 4 2" xfId="32277" xr:uid="{00000000-0005-0000-0000-0000781E0000}"/>
    <cellStyle name="20% - Accent4 4 2 4 5" xfId="22037" xr:uid="{00000000-0005-0000-0000-0000791E0000}"/>
    <cellStyle name="20% - Accent4 4 2 5" xfId="2837" xr:uid="{00000000-0005-0000-0000-00007A1E0000}"/>
    <cellStyle name="20% - Accent4 4 2 5 2" xfId="7957" xr:uid="{00000000-0005-0000-0000-00007B1E0000}"/>
    <cellStyle name="20% - Accent4 4 2 5 2 2" xfId="18197" xr:uid="{00000000-0005-0000-0000-00007C1E0000}"/>
    <cellStyle name="20% - Accent4 4 2 5 2 2 2" xfId="38677" xr:uid="{00000000-0005-0000-0000-00007D1E0000}"/>
    <cellStyle name="20% - Accent4 4 2 5 2 3" xfId="28437" xr:uid="{00000000-0005-0000-0000-00007E1E0000}"/>
    <cellStyle name="20% - Accent4 4 2 5 3" xfId="13077" xr:uid="{00000000-0005-0000-0000-00007F1E0000}"/>
    <cellStyle name="20% - Accent4 4 2 5 3 2" xfId="33557" xr:uid="{00000000-0005-0000-0000-0000801E0000}"/>
    <cellStyle name="20% - Accent4 4 2 5 4" xfId="23317" xr:uid="{00000000-0005-0000-0000-0000811E0000}"/>
    <cellStyle name="20% - Accent4 4 2 6" xfId="5397" xr:uid="{00000000-0005-0000-0000-0000821E0000}"/>
    <cellStyle name="20% - Accent4 4 2 6 2" xfId="15637" xr:uid="{00000000-0005-0000-0000-0000831E0000}"/>
    <cellStyle name="20% - Accent4 4 2 6 2 2" xfId="36117" xr:uid="{00000000-0005-0000-0000-0000841E0000}"/>
    <cellStyle name="20% - Accent4 4 2 6 3" xfId="25877" xr:uid="{00000000-0005-0000-0000-0000851E0000}"/>
    <cellStyle name="20% - Accent4 4 2 7" xfId="10517" xr:uid="{00000000-0005-0000-0000-0000861E0000}"/>
    <cellStyle name="20% - Accent4 4 2 7 2" xfId="30997" xr:uid="{00000000-0005-0000-0000-0000871E0000}"/>
    <cellStyle name="20% - Accent4 4 2 8" xfId="20757" xr:uid="{00000000-0005-0000-0000-0000881E0000}"/>
    <cellStyle name="20% - Accent4 4 3" xfId="437" xr:uid="{00000000-0005-0000-0000-0000891E0000}"/>
    <cellStyle name="20% - Accent4 4 3 2" xfId="1077" xr:uid="{00000000-0005-0000-0000-00008A1E0000}"/>
    <cellStyle name="20% - Accent4 4 3 2 2" xfId="2357" xr:uid="{00000000-0005-0000-0000-00008B1E0000}"/>
    <cellStyle name="20% - Accent4 4 3 2 2 2" xfId="4917" xr:uid="{00000000-0005-0000-0000-00008C1E0000}"/>
    <cellStyle name="20% - Accent4 4 3 2 2 2 2" xfId="10037" xr:uid="{00000000-0005-0000-0000-00008D1E0000}"/>
    <cellStyle name="20% - Accent4 4 3 2 2 2 2 2" xfId="20277" xr:uid="{00000000-0005-0000-0000-00008E1E0000}"/>
    <cellStyle name="20% - Accent4 4 3 2 2 2 2 2 2" xfId="40757" xr:uid="{00000000-0005-0000-0000-00008F1E0000}"/>
    <cellStyle name="20% - Accent4 4 3 2 2 2 2 3" xfId="30517" xr:uid="{00000000-0005-0000-0000-0000901E0000}"/>
    <cellStyle name="20% - Accent4 4 3 2 2 2 3" xfId="15157" xr:uid="{00000000-0005-0000-0000-0000911E0000}"/>
    <cellStyle name="20% - Accent4 4 3 2 2 2 3 2" xfId="35637" xr:uid="{00000000-0005-0000-0000-0000921E0000}"/>
    <cellStyle name="20% - Accent4 4 3 2 2 2 4" xfId="25397" xr:uid="{00000000-0005-0000-0000-0000931E0000}"/>
    <cellStyle name="20% - Accent4 4 3 2 2 3" xfId="7477" xr:uid="{00000000-0005-0000-0000-0000941E0000}"/>
    <cellStyle name="20% - Accent4 4 3 2 2 3 2" xfId="17717" xr:uid="{00000000-0005-0000-0000-0000951E0000}"/>
    <cellStyle name="20% - Accent4 4 3 2 2 3 2 2" xfId="38197" xr:uid="{00000000-0005-0000-0000-0000961E0000}"/>
    <cellStyle name="20% - Accent4 4 3 2 2 3 3" xfId="27957" xr:uid="{00000000-0005-0000-0000-0000971E0000}"/>
    <cellStyle name="20% - Accent4 4 3 2 2 4" xfId="12597" xr:uid="{00000000-0005-0000-0000-0000981E0000}"/>
    <cellStyle name="20% - Accent4 4 3 2 2 4 2" xfId="33077" xr:uid="{00000000-0005-0000-0000-0000991E0000}"/>
    <cellStyle name="20% - Accent4 4 3 2 2 5" xfId="22837" xr:uid="{00000000-0005-0000-0000-00009A1E0000}"/>
    <cellStyle name="20% - Accent4 4 3 2 3" xfId="3637" xr:uid="{00000000-0005-0000-0000-00009B1E0000}"/>
    <cellStyle name="20% - Accent4 4 3 2 3 2" xfId="8757" xr:uid="{00000000-0005-0000-0000-00009C1E0000}"/>
    <cellStyle name="20% - Accent4 4 3 2 3 2 2" xfId="18997" xr:uid="{00000000-0005-0000-0000-00009D1E0000}"/>
    <cellStyle name="20% - Accent4 4 3 2 3 2 2 2" xfId="39477" xr:uid="{00000000-0005-0000-0000-00009E1E0000}"/>
    <cellStyle name="20% - Accent4 4 3 2 3 2 3" xfId="29237" xr:uid="{00000000-0005-0000-0000-00009F1E0000}"/>
    <cellStyle name="20% - Accent4 4 3 2 3 3" xfId="13877" xr:uid="{00000000-0005-0000-0000-0000A01E0000}"/>
    <cellStyle name="20% - Accent4 4 3 2 3 3 2" xfId="34357" xr:uid="{00000000-0005-0000-0000-0000A11E0000}"/>
    <cellStyle name="20% - Accent4 4 3 2 3 4" xfId="24117" xr:uid="{00000000-0005-0000-0000-0000A21E0000}"/>
    <cellStyle name="20% - Accent4 4 3 2 4" xfId="6197" xr:uid="{00000000-0005-0000-0000-0000A31E0000}"/>
    <cellStyle name="20% - Accent4 4 3 2 4 2" xfId="16437" xr:uid="{00000000-0005-0000-0000-0000A41E0000}"/>
    <cellStyle name="20% - Accent4 4 3 2 4 2 2" xfId="36917" xr:uid="{00000000-0005-0000-0000-0000A51E0000}"/>
    <cellStyle name="20% - Accent4 4 3 2 4 3" xfId="26677" xr:uid="{00000000-0005-0000-0000-0000A61E0000}"/>
    <cellStyle name="20% - Accent4 4 3 2 5" xfId="11317" xr:uid="{00000000-0005-0000-0000-0000A71E0000}"/>
    <cellStyle name="20% - Accent4 4 3 2 5 2" xfId="31797" xr:uid="{00000000-0005-0000-0000-0000A81E0000}"/>
    <cellStyle name="20% - Accent4 4 3 2 6" xfId="21557" xr:uid="{00000000-0005-0000-0000-0000A91E0000}"/>
    <cellStyle name="20% - Accent4 4 3 3" xfId="1717" xr:uid="{00000000-0005-0000-0000-0000AA1E0000}"/>
    <cellStyle name="20% - Accent4 4 3 3 2" xfId="4277" xr:uid="{00000000-0005-0000-0000-0000AB1E0000}"/>
    <cellStyle name="20% - Accent4 4 3 3 2 2" xfId="9397" xr:uid="{00000000-0005-0000-0000-0000AC1E0000}"/>
    <cellStyle name="20% - Accent4 4 3 3 2 2 2" xfId="19637" xr:uid="{00000000-0005-0000-0000-0000AD1E0000}"/>
    <cellStyle name="20% - Accent4 4 3 3 2 2 2 2" xfId="40117" xr:uid="{00000000-0005-0000-0000-0000AE1E0000}"/>
    <cellStyle name="20% - Accent4 4 3 3 2 2 3" xfId="29877" xr:uid="{00000000-0005-0000-0000-0000AF1E0000}"/>
    <cellStyle name="20% - Accent4 4 3 3 2 3" xfId="14517" xr:uid="{00000000-0005-0000-0000-0000B01E0000}"/>
    <cellStyle name="20% - Accent4 4 3 3 2 3 2" xfId="34997" xr:uid="{00000000-0005-0000-0000-0000B11E0000}"/>
    <cellStyle name="20% - Accent4 4 3 3 2 4" xfId="24757" xr:uid="{00000000-0005-0000-0000-0000B21E0000}"/>
    <cellStyle name="20% - Accent4 4 3 3 3" xfId="6837" xr:uid="{00000000-0005-0000-0000-0000B31E0000}"/>
    <cellStyle name="20% - Accent4 4 3 3 3 2" xfId="17077" xr:uid="{00000000-0005-0000-0000-0000B41E0000}"/>
    <cellStyle name="20% - Accent4 4 3 3 3 2 2" xfId="37557" xr:uid="{00000000-0005-0000-0000-0000B51E0000}"/>
    <cellStyle name="20% - Accent4 4 3 3 3 3" xfId="27317" xr:uid="{00000000-0005-0000-0000-0000B61E0000}"/>
    <cellStyle name="20% - Accent4 4 3 3 4" xfId="11957" xr:uid="{00000000-0005-0000-0000-0000B71E0000}"/>
    <cellStyle name="20% - Accent4 4 3 3 4 2" xfId="32437" xr:uid="{00000000-0005-0000-0000-0000B81E0000}"/>
    <cellStyle name="20% - Accent4 4 3 3 5" xfId="22197" xr:uid="{00000000-0005-0000-0000-0000B91E0000}"/>
    <cellStyle name="20% - Accent4 4 3 4" xfId="2997" xr:uid="{00000000-0005-0000-0000-0000BA1E0000}"/>
    <cellStyle name="20% - Accent4 4 3 4 2" xfId="8117" xr:uid="{00000000-0005-0000-0000-0000BB1E0000}"/>
    <cellStyle name="20% - Accent4 4 3 4 2 2" xfId="18357" xr:uid="{00000000-0005-0000-0000-0000BC1E0000}"/>
    <cellStyle name="20% - Accent4 4 3 4 2 2 2" xfId="38837" xr:uid="{00000000-0005-0000-0000-0000BD1E0000}"/>
    <cellStyle name="20% - Accent4 4 3 4 2 3" xfId="28597" xr:uid="{00000000-0005-0000-0000-0000BE1E0000}"/>
    <cellStyle name="20% - Accent4 4 3 4 3" xfId="13237" xr:uid="{00000000-0005-0000-0000-0000BF1E0000}"/>
    <cellStyle name="20% - Accent4 4 3 4 3 2" xfId="33717" xr:uid="{00000000-0005-0000-0000-0000C01E0000}"/>
    <cellStyle name="20% - Accent4 4 3 4 4" xfId="23477" xr:uid="{00000000-0005-0000-0000-0000C11E0000}"/>
    <cellStyle name="20% - Accent4 4 3 5" xfId="5557" xr:uid="{00000000-0005-0000-0000-0000C21E0000}"/>
    <cellStyle name="20% - Accent4 4 3 5 2" xfId="15797" xr:uid="{00000000-0005-0000-0000-0000C31E0000}"/>
    <cellStyle name="20% - Accent4 4 3 5 2 2" xfId="36277" xr:uid="{00000000-0005-0000-0000-0000C41E0000}"/>
    <cellStyle name="20% - Accent4 4 3 5 3" xfId="26037" xr:uid="{00000000-0005-0000-0000-0000C51E0000}"/>
    <cellStyle name="20% - Accent4 4 3 6" xfId="10677" xr:uid="{00000000-0005-0000-0000-0000C61E0000}"/>
    <cellStyle name="20% - Accent4 4 3 6 2" xfId="31157" xr:uid="{00000000-0005-0000-0000-0000C71E0000}"/>
    <cellStyle name="20% - Accent4 4 3 7" xfId="20917" xr:uid="{00000000-0005-0000-0000-0000C81E0000}"/>
    <cellStyle name="20% - Accent4 4 4" xfId="757" xr:uid="{00000000-0005-0000-0000-0000C91E0000}"/>
    <cellStyle name="20% - Accent4 4 4 2" xfId="2037" xr:uid="{00000000-0005-0000-0000-0000CA1E0000}"/>
    <cellStyle name="20% - Accent4 4 4 2 2" xfId="4597" xr:uid="{00000000-0005-0000-0000-0000CB1E0000}"/>
    <cellStyle name="20% - Accent4 4 4 2 2 2" xfId="9717" xr:uid="{00000000-0005-0000-0000-0000CC1E0000}"/>
    <cellStyle name="20% - Accent4 4 4 2 2 2 2" xfId="19957" xr:uid="{00000000-0005-0000-0000-0000CD1E0000}"/>
    <cellStyle name="20% - Accent4 4 4 2 2 2 2 2" xfId="40437" xr:uid="{00000000-0005-0000-0000-0000CE1E0000}"/>
    <cellStyle name="20% - Accent4 4 4 2 2 2 3" xfId="30197" xr:uid="{00000000-0005-0000-0000-0000CF1E0000}"/>
    <cellStyle name="20% - Accent4 4 4 2 2 3" xfId="14837" xr:uid="{00000000-0005-0000-0000-0000D01E0000}"/>
    <cellStyle name="20% - Accent4 4 4 2 2 3 2" xfId="35317" xr:uid="{00000000-0005-0000-0000-0000D11E0000}"/>
    <cellStyle name="20% - Accent4 4 4 2 2 4" xfId="25077" xr:uid="{00000000-0005-0000-0000-0000D21E0000}"/>
    <cellStyle name="20% - Accent4 4 4 2 3" xfId="7157" xr:uid="{00000000-0005-0000-0000-0000D31E0000}"/>
    <cellStyle name="20% - Accent4 4 4 2 3 2" xfId="17397" xr:uid="{00000000-0005-0000-0000-0000D41E0000}"/>
    <cellStyle name="20% - Accent4 4 4 2 3 2 2" xfId="37877" xr:uid="{00000000-0005-0000-0000-0000D51E0000}"/>
    <cellStyle name="20% - Accent4 4 4 2 3 3" xfId="27637" xr:uid="{00000000-0005-0000-0000-0000D61E0000}"/>
    <cellStyle name="20% - Accent4 4 4 2 4" xfId="12277" xr:uid="{00000000-0005-0000-0000-0000D71E0000}"/>
    <cellStyle name="20% - Accent4 4 4 2 4 2" xfId="32757" xr:uid="{00000000-0005-0000-0000-0000D81E0000}"/>
    <cellStyle name="20% - Accent4 4 4 2 5" xfId="22517" xr:uid="{00000000-0005-0000-0000-0000D91E0000}"/>
    <cellStyle name="20% - Accent4 4 4 3" xfId="3317" xr:uid="{00000000-0005-0000-0000-0000DA1E0000}"/>
    <cellStyle name="20% - Accent4 4 4 3 2" xfId="8437" xr:uid="{00000000-0005-0000-0000-0000DB1E0000}"/>
    <cellStyle name="20% - Accent4 4 4 3 2 2" xfId="18677" xr:uid="{00000000-0005-0000-0000-0000DC1E0000}"/>
    <cellStyle name="20% - Accent4 4 4 3 2 2 2" xfId="39157" xr:uid="{00000000-0005-0000-0000-0000DD1E0000}"/>
    <cellStyle name="20% - Accent4 4 4 3 2 3" xfId="28917" xr:uid="{00000000-0005-0000-0000-0000DE1E0000}"/>
    <cellStyle name="20% - Accent4 4 4 3 3" xfId="13557" xr:uid="{00000000-0005-0000-0000-0000DF1E0000}"/>
    <cellStyle name="20% - Accent4 4 4 3 3 2" xfId="34037" xr:uid="{00000000-0005-0000-0000-0000E01E0000}"/>
    <cellStyle name="20% - Accent4 4 4 3 4" xfId="23797" xr:uid="{00000000-0005-0000-0000-0000E11E0000}"/>
    <cellStyle name="20% - Accent4 4 4 4" xfId="5877" xr:uid="{00000000-0005-0000-0000-0000E21E0000}"/>
    <cellStyle name="20% - Accent4 4 4 4 2" xfId="16117" xr:uid="{00000000-0005-0000-0000-0000E31E0000}"/>
    <cellStyle name="20% - Accent4 4 4 4 2 2" xfId="36597" xr:uid="{00000000-0005-0000-0000-0000E41E0000}"/>
    <cellStyle name="20% - Accent4 4 4 4 3" xfId="26357" xr:uid="{00000000-0005-0000-0000-0000E51E0000}"/>
    <cellStyle name="20% - Accent4 4 4 5" xfId="10997" xr:uid="{00000000-0005-0000-0000-0000E61E0000}"/>
    <cellStyle name="20% - Accent4 4 4 5 2" xfId="31477" xr:uid="{00000000-0005-0000-0000-0000E71E0000}"/>
    <cellStyle name="20% - Accent4 4 4 6" xfId="21237" xr:uid="{00000000-0005-0000-0000-0000E81E0000}"/>
    <cellStyle name="20% - Accent4 4 5" xfId="1397" xr:uid="{00000000-0005-0000-0000-0000E91E0000}"/>
    <cellStyle name="20% - Accent4 4 5 2" xfId="3957" xr:uid="{00000000-0005-0000-0000-0000EA1E0000}"/>
    <cellStyle name="20% - Accent4 4 5 2 2" xfId="9077" xr:uid="{00000000-0005-0000-0000-0000EB1E0000}"/>
    <cellStyle name="20% - Accent4 4 5 2 2 2" xfId="19317" xr:uid="{00000000-0005-0000-0000-0000EC1E0000}"/>
    <cellStyle name="20% - Accent4 4 5 2 2 2 2" xfId="39797" xr:uid="{00000000-0005-0000-0000-0000ED1E0000}"/>
    <cellStyle name="20% - Accent4 4 5 2 2 3" xfId="29557" xr:uid="{00000000-0005-0000-0000-0000EE1E0000}"/>
    <cellStyle name="20% - Accent4 4 5 2 3" xfId="14197" xr:uid="{00000000-0005-0000-0000-0000EF1E0000}"/>
    <cellStyle name="20% - Accent4 4 5 2 3 2" xfId="34677" xr:uid="{00000000-0005-0000-0000-0000F01E0000}"/>
    <cellStyle name="20% - Accent4 4 5 2 4" xfId="24437" xr:uid="{00000000-0005-0000-0000-0000F11E0000}"/>
    <cellStyle name="20% - Accent4 4 5 3" xfId="6517" xr:uid="{00000000-0005-0000-0000-0000F21E0000}"/>
    <cellStyle name="20% - Accent4 4 5 3 2" xfId="16757" xr:uid="{00000000-0005-0000-0000-0000F31E0000}"/>
    <cellStyle name="20% - Accent4 4 5 3 2 2" xfId="37237" xr:uid="{00000000-0005-0000-0000-0000F41E0000}"/>
    <cellStyle name="20% - Accent4 4 5 3 3" xfId="26997" xr:uid="{00000000-0005-0000-0000-0000F51E0000}"/>
    <cellStyle name="20% - Accent4 4 5 4" xfId="11637" xr:uid="{00000000-0005-0000-0000-0000F61E0000}"/>
    <cellStyle name="20% - Accent4 4 5 4 2" xfId="32117" xr:uid="{00000000-0005-0000-0000-0000F71E0000}"/>
    <cellStyle name="20% - Accent4 4 5 5" xfId="21877" xr:uid="{00000000-0005-0000-0000-0000F81E0000}"/>
    <cellStyle name="20% - Accent4 4 6" xfId="2677" xr:uid="{00000000-0005-0000-0000-0000F91E0000}"/>
    <cellStyle name="20% - Accent4 4 6 2" xfId="7797" xr:uid="{00000000-0005-0000-0000-0000FA1E0000}"/>
    <cellStyle name="20% - Accent4 4 6 2 2" xfId="18037" xr:uid="{00000000-0005-0000-0000-0000FB1E0000}"/>
    <cellStyle name="20% - Accent4 4 6 2 2 2" xfId="38517" xr:uid="{00000000-0005-0000-0000-0000FC1E0000}"/>
    <cellStyle name="20% - Accent4 4 6 2 3" xfId="28277" xr:uid="{00000000-0005-0000-0000-0000FD1E0000}"/>
    <cellStyle name="20% - Accent4 4 6 3" xfId="12917" xr:uid="{00000000-0005-0000-0000-0000FE1E0000}"/>
    <cellStyle name="20% - Accent4 4 6 3 2" xfId="33397" xr:uid="{00000000-0005-0000-0000-0000FF1E0000}"/>
    <cellStyle name="20% - Accent4 4 6 4" xfId="23157" xr:uid="{00000000-0005-0000-0000-0000001F0000}"/>
    <cellStyle name="20% - Accent4 4 7" xfId="5237" xr:uid="{00000000-0005-0000-0000-0000011F0000}"/>
    <cellStyle name="20% - Accent4 4 7 2" xfId="15477" xr:uid="{00000000-0005-0000-0000-0000021F0000}"/>
    <cellStyle name="20% - Accent4 4 7 2 2" xfId="35957" xr:uid="{00000000-0005-0000-0000-0000031F0000}"/>
    <cellStyle name="20% - Accent4 4 7 3" xfId="25717" xr:uid="{00000000-0005-0000-0000-0000041F0000}"/>
    <cellStyle name="20% - Accent4 4 8" xfId="10357" xr:uid="{00000000-0005-0000-0000-0000051F0000}"/>
    <cellStyle name="20% - Accent4 4 8 2" xfId="30837" xr:uid="{00000000-0005-0000-0000-0000061F0000}"/>
    <cellStyle name="20% - Accent4 4 9" xfId="20597" xr:uid="{00000000-0005-0000-0000-0000071F0000}"/>
    <cellStyle name="20% - Accent4 5" xfId="197" xr:uid="{00000000-0005-0000-0000-0000081F0000}"/>
    <cellStyle name="20% - Accent4 5 2" xfId="517" xr:uid="{00000000-0005-0000-0000-0000091F0000}"/>
    <cellStyle name="20% - Accent4 5 2 2" xfId="1157" xr:uid="{00000000-0005-0000-0000-00000A1F0000}"/>
    <cellStyle name="20% - Accent4 5 2 2 2" xfId="2437" xr:uid="{00000000-0005-0000-0000-00000B1F0000}"/>
    <cellStyle name="20% - Accent4 5 2 2 2 2" xfId="4997" xr:uid="{00000000-0005-0000-0000-00000C1F0000}"/>
    <cellStyle name="20% - Accent4 5 2 2 2 2 2" xfId="10117" xr:uid="{00000000-0005-0000-0000-00000D1F0000}"/>
    <cellStyle name="20% - Accent4 5 2 2 2 2 2 2" xfId="20357" xr:uid="{00000000-0005-0000-0000-00000E1F0000}"/>
    <cellStyle name="20% - Accent4 5 2 2 2 2 2 2 2" xfId="40837" xr:uid="{00000000-0005-0000-0000-00000F1F0000}"/>
    <cellStyle name="20% - Accent4 5 2 2 2 2 2 3" xfId="30597" xr:uid="{00000000-0005-0000-0000-0000101F0000}"/>
    <cellStyle name="20% - Accent4 5 2 2 2 2 3" xfId="15237" xr:uid="{00000000-0005-0000-0000-0000111F0000}"/>
    <cellStyle name="20% - Accent4 5 2 2 2 2 3 2" xfId="35717" xr:uid="{00000000-0005-0000-0000-0000121F0000}"/>
    <cellStyle name="20% - Accent4 5 2 2 2 2 4" xfId="25477" xr:uid="{00000000-0005-0000-0000-0000131F0000}"/>
    <cellStyle name="20% - Accent4 5 2 2 2 3" xfId="7557" xr:uid="{00000000-0005-0000-0000-0000141F0000}"/>
    <cellStyle name="20% - Accent4 5 2 2 2 3 2" xfId="17797" xr:uid="{00000000-0005-0000-0000-0000151F0000}"/>
    <cellStyle name="20% - Accent4 5 2 2 2 3 2 2" xfId="38277" xr:uid="{00000000-0005-0000-0000-0000161F0000}"/>
    <cellStyle name="20% - Accent4 5 2 2 2 3 3" xfId="28037" xr:uid="{00000000-0005-0000-0000-0000171F0000}"/>
    <cellStyle name="20% - Accent4 5 2 2 2 4" xfId="12677" xr:uid="{00000000-0005-0000-0000-0000181F0000}"/>
    <cellStyle name="20% - Accent4 5 2 2 2 4 2" xfId="33157" xr:uid="{00000000-0005-0000-0000-0000191F0000}"/>
    <cellStyle name="20% - Accent4 5 2 2 2 5" xfId="22917" xr:uid="{00000000-0005-0000-0000-00001A1F0000}"/>
    <cellStyle name="20% - Accent4 5 2 2 3" xfId="3717" xr:uid="{00000000-0005-0000-0000-00001B1F0000}"/>
    <cellStyle name="20% - Accent4 5 2 2 3 2" xfId="8837" xr:uid="{00000000-0005-0000-0000-00001C1F0000}"/>
    <cellStyle name="20% - Accent4 5 2 2 3 2 2" xfId="19077" xr:uid="{00000000-0005-0000-0000-00001D1F0000}"/>
    <cellStyle name="20% - Accent4 5 2 2 3 2 2 2" xfId="39557" xr:uid="{00000000-0005-0000-0000-00001E1F0000}"/>
    <cellStyle name="20% - Accent4 5 2 2 3 2 3" xfId="29317" xr:uid="{00000000-0005-0000-0000-00001F1F0000}"/>
    <cellStyle name="20% - Accent4 5 2 2 3 3" xfId="13957" xr:uid="{00000000-0005-0000-0000-0000201F0000}"/>
    <cellStyle name="20% - Accent4 5 2 2 3 3 2" xfId="34437" xr:uid="{00000000-0005-0000-0000-0000211F0000}"/>
    <cellStyle name="20% - Accent4 5 2 2 3 4" xfId="24197" xr:uid="{00000000-0005-0000-0000-0000221F0000}"/>
    <cellStyle name="20% - Accent4 5 2 2 4" xfId="6277" xr:uid="{00000000-0005-0000-0000-0000231F0000}"/>
    <cellStyle name="20% - Accent4 5 2 2 4 2" xfId="16517" xr:uid="{00000000-0005-0000-0000-0000241F0000}"/>
    <cellStyle name="20% - Accent4 5 2 2 4 2 2" xfId="36997" xr:uid="{00000000-0005-0000-0000-0000251F0000}"/>
    <cellStyle name="20% - Accent4 5 2 2 4 3" xfId="26757" xr:uid="{00000000-0005-0000-0000-0000261F0000}"/>
    <cellStyle name="20% - Accent4 5 2 2 5" xfId="11397" xr:uid="{00000000-0005-0000-0000-0000271F0000}"/>
    <cellStyle name="20% - Accent4 5 2 2 5 2" xfId="31877" xr:uid="{00000000-0005-0000-0000-0000281F0000}"/>
    <cellStyle name="20% - Accent4 5 2 2 6" xfId="21637" xr:uid="{00000000-0005-0000-0000-0000291F0000}"/>
    <cellStyle name="20% - Accent4 5 2 3" xfId="1797" xr:uid="{00000000-0005-0000-0000-00002A1F0000}"/>
    <cellStyle name="20% - Accent4 5 2 3 2" xfId="4357" xr:uid="{00000000-0005-0000-0000-00002B1F0000}"/>
    <cellStyle name="20% - Accent4 5 2 3 2 2" xfId="9477" xr:uid="{00000000-0005-0000-0000-00002C1F0000}"/>
    <cellStyle name="20% - Accent4 5 2 3 2 2 2" xfId="19717" xr:uid="{00000000-0005-0000-0000-00002D1F0000}"/>
    <cellStyle name="20% - Accent4 5 2 3 2 2 2 2" xfId="40197" xr:uid="{00000000-0005-0000-0000-00002E1F0000}"/>
    <cellStyle name="20% - Accent4 5 2 3 2 2 3" xfId="29957" xr:uid="{00000000-0005-0000-0000-00002F1F0000}"/>
    <cellStyle name="20% - Accent4 5 2 3 2 3" xfId="14597" xr:uid="{00000000-0005-0000-0000-0000301F0000}"/>
    <cellStyle name="20% - Accent4 5 2 3 2 3 2" xfId="35077" xr:uid="{00000000-0005-0000-0000-0000311F0000}"/>
    <cellStyle name="20% - Accent4 5 2 3 2 4" xfId="24837" xr:uid="{00000000-0005-0000-0000-0000321F0000}"/>
    <cellStyle name="20% - Accent4 5 2 3 3" xfId="6917" xr:uid="{00000000-0005-0000-0000-0000331F0000}"/>
    <cellStyle name="20% - Accent4 5 2 3 3 2" xfId="17157" xr:uid="{00000000-0005-0000-0000-0000341F0000}"/>
    <cellStyle name="20% - Accent4 5 2 3 3 2 2" xfId="37637" xr:uid="{00000000-0005-0000-0000-0000351F0000}"/>
    <cellStyle name="20% - Accent4 5 2 3 3 3" xfId="27397" xr:uid="{00000000-0005-0000-0000-0000361F0000}"/>
    <cellStyle name="20% - Accent4 5 2 3 4" xfId="12037" xr:uid="{00000000-0005-0000-0000-0000371F0000}"/>
    <cellStyle name="20% - Accent4 5 2 3 4 2" xfId="32517" xr:uid="{00000000-0005-0000-0000-0000381F0000}"/>
    <cellStyle name="20% - Accent4 5 2 3 5" xfId="22277" xr:uid="{00000000-0005-0000-0000-0000391F0000}"/>
    <cellStyle name="20% - Accent4 5 2 4" xfId="3077" xr:uid="{00000000-0005-0000-0000-00003A1F0000}"/>
    <cellStyle name="20% - Accent4 5 2 4 2" xfId="8197" xr:uid="{00000000-0005-0000-0000-00003B1F0000}"/>
    <cellStyle name="20% - Accent4 5 2 4 2 2" xfId="18437" xr:uid="{00000000-0005-0000-0000-00003C1F0000}"/>
    <cellStyle name="20% - Accent4 5 2 4 2 2 2" xfId="38917" xr:uid="{00000000-0005-0000-0000-00003D1F0000}"/>
    <cellStyle name="20% - Accent4 5 2 4 2 3" xfId="28677" xr:uid="{00000000-0005-0000-0000-00003E1F0000}"/>
    <cellStyle name="20% - Accent4 5 2 4 3" xfId="13317" xr:uid="{00000000-0005-0000-0000-00003F1F0000}"/>
    <cellStyle name="20% - Accent4 5 2 4 3 2" xfId="33797" xr:uid="{00000000-0005-0000-0000-0000401F0000}"/>
    <cellStyle name="20% - Accent4 5 2 4 4" xfId="23557" xr:uid="{00000000-0005-0000-0000-0000411F0000}"/>
    <cellStyle name="20% - Accent4 5 2 5" xfId="5637" xr:uid="{00000000-0005-0000-0000-0000421F0000}"/>
    <cellStyle name="20% - Accent4 5 2 5 2" xfId="15877" xr:uid="{00000000-0005-0000-0000-0000431F0000}"/>
    <cellStyle name="20% - Accent4 5 2 5 2 2" xfId="36357" xr:uid="{00000000-0005-0000-0000-0000441F0000}"/>
    <cellStyle name="20% - Accent4 5 2 5 3" xfId="26117" xr:uid="{00000000-0005-0000-0000-0000451F0000}"/>
    <cellStyle name="20% - Accent4 5 2 6" xfId="10757" xr:uid="{00000000-0005-0000-0000-0000461F0000}"/>
    <cellStyle name="20% - Accent4 5 2 6 2" xfId="31237" xr:uid="{00000000-0005-0000-0000-0000471F0000}"/>
    <cellStyle name="20% - Accent4 5 2 7" xfId="20997" xr:uid="{00000000-0005-0000-0000-0000481F0000}"/>
    <cellStyle name="20% - Accent4 5 3" xfId="837" xr:uid="{00000000-0005-0000-0000-0000491F0000}"/>
    <cellStyle name="20% - Accent4 5 3 2" xfId="2117" xr:uid="{00000000-0005-0000-0000-00004A1F0000}"/>
    <cellStyle name="20% - Accent4 5 3 2 2" xfId="4677" xr:uid="{00000000-0005-0000-0000-00004B1F0000}"/>
    <cellStyle name="20% - Accent4 5 3 2 2 2" xfId="9797" xr:uid="{00000000-0005-0000-0000-00004C1F0000}"/>
    <cellStyle name="20% - Accent4 5 3 2 2 2 2" xfId="20037" xr:uid="{00000000-0005-0000-0000-00004D1F0000}"/>
    <cellStyle name="20% - Accent4 5 3 2 2 2 2 2" xfId="40517" xr:uid="{00000000-0005-0000-0000-00004E1F0000}"/>
    <cellStyle name="20% - Accent4 5 3 2 2 2 3" xfId="30277" xr:uid="{00000000-0005-0000-0000-00004F1F0000}"/>
    <cellStyle name="20% - Accent4 5 3 2 2 3" xfId="14917" xr:uid="{00000000-0005-0000-0000-0000501F0000}"/>
    <cellStyle name="20% - Accent4 5 3 2 2 3 2" xfId="35397" xr:uid="{00000000-0005-0000-0000-0000511F0000}"/>
    <cellStyle name="20% - Accent4 5 3 2 2 4" xfId="25157" xr:uid="{00000000-0005-0000-0000-0000521F0000}"/>
    <cellStyle name="20% - Accent4 5 3 2 3" xfId="7237" xr:uid="{00000000-0005-0000-0000-0000531F0000}"/>
    <cellStyle name="20% - Accent4 5 3 2 3 2" xfId="17477" xr:uid="{00000000-0005-0000-0000-0000541F0000}"/>
    <cellStyle name="20% - Accent4 5 3 2 3 2 2" xfId="37957" xr:uid="{00000000-0005-0000-0000-0000551F0000}"/>
    <cellStyle name="20% - Accent4 5 3 2 3 3" xfId="27717" xr:uid="{00000000-0005-0000-0000-0000561F0000}"/>
    <cellStyle name="20% - Accent4 5 3 2 4" xfId="12357" xr:uid="{00000000-0005-0000-0000-0000571F0000}"/>
    <cellStyle name="20% - Accent4 5 3 2 4 2" xfId="32837" xr:uid="{00000000-0005-0000-0000-0000581F0000}"/>
    <cellStyle name="20% - Accent4 5 3 2 5" xfId="22597" xr:uid="{00000000-0005-0000-0000-0000591F0000}"/>
    <cellStyle name="20% - Accent4 5 3 3" xfId="3397" xr:uid="{00000000-0005-0000-0000-00005A1F0000}"/>
    <cellStyle name="20% - Accent4 5 3 3 2" xfId="8517" xr:uid="{00000000-0005-0000-0000-00005B1F0000}"/>
    <cellStyle name="20% - Accent4 5 3 3 2 2" xfId="18757" xr:uid="{00000000-0005-0000-0000-00005C1F0000}"/>
    <cellStyle name="20% - Accent4 5 3 3 2 2 2" xfId="39237" xr:uid="{00000000-0005-0000-0000-00005D1F0000}"/>
    <cellStyle name="20% - Accent4 5 3 3 2 3" xfId="28997" xr:uid="{00000000-0005-0000-0000-00005E1F0000}"/>
    <cellStyle name="20% - Accent4 5 3 3 3" xfId="13637" xr:uid="{00000000-0005-0000-0000-00005F1F0000}"/>
    <cellStyle name="20% - Accent4 5 3 3 3 2" xfId="34117" xr:uid="{00000000-0005-0000-0000-0000601F0000}"/>
    <cellStyle name="20% - Accent4 5 3 3 4" xfId="23877" xr:uid="{00000000-0005-0000-0000-0000611F0000}"/>
    <cellStyle name="20% - Accent4 5 3 4" xfId="5957" xr:uid="{00000000-0005-0000-0000-0000621F0000}"/>
    <cellStyle name="20% - Accent4 5 3 4 2" xfId="16197" xr:uid="{00000000-0005-0000-0000-0000631F0000}"/>
    <cellStyle name="20% - Accent4 5 3 4 2 2" xfId="36677" xr:uid="{00000000-0005-0000-0000-0000641F0000}"/>
    <cellStyle name="20% - Accent4 5 3 4 3" xfId="26437" xr:uid="{00000000-0005-0000-0000-0000651F0000}"/>
    <cellStyle name="20% - Accent4 5 3 5" xfId="11077" xr:uid="{00000000-0005-0000-0000-0000661F0000}"/>
    <cellStyle name="20% - Accent4 5 3 5 2" xfId="31557" xr:uid="{00000000-0005-0000-0000-0000671F0000}"/>
    <cellStyle name="20% - Accent4 5 3 6" xfId="21317" xr:uid="{00000000-0005-0000-0000-0000681F0000}"/>
    <cellStyle name="20% - Accent4 5 4" xfId="1477" xr:uid="{00000000-0005-0000-0000-0000691F0000}"/>
    <cellStyle name="20% - Accent4 5 4 2" xfId="4037" xr:uid="{00000000-0005-0000-0000-00006A1F0000}"/>
    <cellStyle name="20% - Accent4 5 4 2 2" xfId="9157" xr:uid="{00000000-0005-0000-0000-00006B1F0000}"/>
    <cellStyle name="20% - Accent4 5 4 2 2 2" xfId="19397" xr:uid="{00000000-0005-0000-0000-00006C1F0000}"/>
    <cellStyle name="20% - Accent4 5 4 2 2 2 2" xfId="39877" xr:uid="{00000000-0005-0000-0000-00006D1F0000}"/>
    <cellStyle name="20% - Accent4 5 4 2 2 3" xfId="29637" xr:uid="{00000000-0005-0000-0000-00006E1F0000}"/>
    <cellStyle name="20% - Accent4 5 4 2 3" xfId="14277" xr:uid="{00000000-0005-0000-0000-00006F1F0000}"/>
    <cellStyle name="20% - Accent4 5 4 2 3 2" xfId="34757" xr:uid="{00000000-0005-0000-0000-0000701F0000}"/>
    <cellStyle name="20% - Accent4 5 4 2 4" xfId="24517" xr:uid="{00000000-0005-0000-0000-0000711F0000}"/>
    <cellStyle name="20% - Accent4 5 4 3" xfId="6597" xr:uid="{00000000-0005-0000-0000-0000721F0000}"/>
    <cellStyle name="20% - Accent4 5 4 3 2" xfId="16837" xr:uid="{00000000-0005-0000-0000-0000731F0000}"/>
    <cellStyle name="20% - Accent4 5 4 3 2 2" xfId="37317" xr:uid="{00000000-0005-0000-0000-0000741F0000}"/>
    <cellStyle name="20% - Accent4 5 4 3 3" xfId="27077" xr:uid="{00000000-0005-0000-0000-0000751F0000}"/>
    <cellStyle name="20% - Accent4 5 4 4" xfId="11717" xr:uid="{00000000-0005-0000-0000-0000761F0000}"/>
    <cellStyle name="20% - Accent4 5 4 4 2" xfId="32197" xr:uid="{00000000-0005-0000-0000-0000771F0000}"/>
    <cellStyle name="20% - Accent4 5 4 5" xfId="21957" xr:uid="{00000000-0005-0000-0000-0000781F0000}"/>
    <cellStyle name="20% - Accent4 5 5" xfId="2757" xr:uid="{00000000-0005-0000-0000-0000791F0000}"/>
    <cellStyle name="20% - Accent4 5 5 2" xfId="7877" xr:uid="{00000000-0005-0000-0000-00007A1F0000}"/>
    <cellStyle name="20% - Accent4 5 5 2 2" xfId="18117" xr:uid="{00000000-0005-0000-0000-00007B1F0000}"/>
    <cellStyle name="20% - Accent4 5 5 2 2 2" xfId="38597" xr:uid="{00000000-0005-0000-0000-00007C1F0000}"/>
    <cellStyle name="20% - Accent4 5 5 2 3" xfId="28357" xr:uid="{00000000-0005-0000-0000-00007D1F0000}"/>
    <cellStyle name="20% - Accent4 5 5 3" xfId="12997" xr:uid="{00000000-0005-0000-0000-00007E1F0000}"/>
    <cellStyle name="20% - Accent4 5 5 3 2" xfId="33477" xr:uid="{00000000-0005-0000-0000-00007F1F0000}"/>
    <cellStyle name="20% - Accent4 5 5 4" xfId="23237" xr:uid="{00000000-0005-0000-0000-0000801F0000}"/>
    <cellStyle name="20% - Accent4 5 6" xfId="5317" xr:uid="{00000000-0005-0000-0000-0000811F0000}"/>
    <cellStyle name="20% - Accent4 5 6 2" xfId="15557" xr:uid="{00000000-0005-0000-0000-0000821F0000}"/>
    <cellStyle name="20% - Accent4 5 6 2 2" xfId="36037" xr:uid="{00000000-0005-0000-0000-0000831F0000}"/>
    <cellStyle name="20% - Accent4 5 6 3" xfId="25797" xr:uid="{00000000-0005-0000-0000-0000841F0000}"/>
    <cellStyle name="20% - Accent4 5 7" xfId="10437" xr:uid="{00000000-0005-0000-0000-0000851F0000}"/>
    <cellStyle name="20% - Accent4 5 7 2" xfId="30917" xr:uid="{00000000-0005-0000-0000-0000861F0000}"/>
    <cellStyle name="20% - Accent4 5 8" xfId="20677" xr:uid="{00000000-0005-0000-0000-0000871F0000}"/>
    <cellStyle name="20% - Accent4 6" xfId="357" xr:uid="{00000000-0005-0000-0000-0000881F0000}"/>
    <cellStyle name="20% - Accent4 6 2" xfId="997" xr:uid="{00000000-0005-0000-0000-0000891F0000}"/>
    <cellStyle name="20% - Accent4 6 2 2" xfId="2277" xr:uid="{00000000-0005-0000-0000-00008A1F0000}"/>
    <cellStyle name="20% - Accent4 6 2 2 2" xfId="4837" xr:uid="{00000000-0005-0000-0000-00008B1F0000}"/>
    <cellStyle name="20% - Accent4 6 2 2 2 2" xfId="9957" xr:uid="{00000000-0005-0000-0000-00008C1F0000}"/>
    <cellStyle name="20% - Accent4 6 2 2 2 2 2" xfId="20197" xr:uid="{00000000-0005-0000-0000-00008D1F0000}"/>
    <cellStyle name="20% - Accent4 6 2 2 2 2 2 2" xfId="40677" xr:uid="{00000000-0005-0000-0000-00008E1F0000}"/>
    <cellStyle name="20% - Accent4 6 2 2 2 2 3" xfId="30437" xr:uid="{00000000-0005-0000-0000-00008F1F0000}"/>
    <cellStyle name="20% - Accent4 6 2 2 2 3" xfId="15077" xr:uid="{00000000-0005-0000-0000-0000901F0000}"/>
    <cellStyle name="20% - Accent4 6 2 2 2 3 2" xfId="35557" xr:uid="{00000000-0005-0000-0000-0000911F0000}"/>
    <cellStyle name="20% - Accent4 6 2 2 2 4" xfId="25317" xr:uid="{00000000-0005-0000-0000-0000921F0000}"/>
    <cellStyle name="20% - Accent4 6 2 2 3" xfId="7397" xr:uid="{00000000-0005-0000-0000-0000931F0000}"/>
    <cellStyle name="20% - Accent4 6 2 2 3 2" xfId="17637" xr:uid="{00000000-0005-0000-0000-0000941F0000}"/>
    <cellStyle name="20% - Accent4 6 2 2 3 2 2" xfId="38117" xr:uid="{00000000-0005-0000-0000-0000951F0000}"/>
    <cellStyle name="20% - Accent4 6 2 2 3 3" xfId="27877" xr:uid="{00000000-0005-0000-0000-0000961F0000}"/>
    <cellStyle name="20% - Accent4 6 2 2 4" xfId="12517" xr:uid="{00000000-0005-0000-0000-0000971F0000}"/>
    <cellStyle name="20% - Accent4 6 2 2 4 2" xfId="32997" xr:uid="{00000000-0005-0000-0000-0000981F0000}"/>
    <cellStyle name="20% - Accent4 6 2 2 5" xfId="22757" xr:uid="{00000000-0005-0000-0000-0000991F0000}"/>
    <cellStyle name="20% - Accent4 6 2 3" xfId="3557" xr:uid="{00000000-0005-0000-0000-00009A1F0000}"/>
    <cellStyle name="20% - Accent4 6 2 3 2" xfId="8677" xr:uid="{00000000-0005-0000-0000-00009B1F0000}"/>
    <cellStyle name="20% - Accent4 6 2 3 2 2" xfId="18917" xr:uid="{00000000-0005-0000-0000-00009C1F0000}"/>
    <cellStyle name="20% - Accent4 6 2 3 2 2 2" xfId="39397" xr:uid="{00000000-0005-0000-0000-00009D1F0000}"/>
    <cellStyle name="20% - Accent4 6 2 3 2 3" xfId="29157" xr:uid="{00000000-0005-0000-0000-00009E1F0000}"/>
    <cellStyle name="20% - Accent4 6 2 3 3" xfId="13797" xr:uid="{00000000-0005-0000-0000-00009F1F0000}"/>
    <cellStyle name="20% - Accent4 6 2 3 3 2" xfId="34277" xr:uid="{00000000-0005-0000-0000-0000A01F0000}"/>
    <cellStyle name="20% - Accent4 6 2 3 4" xfId="24037" xr:uid="{00000000-0005-0000-0000-0000A11F0000}"/>
    <cellStyle name="20% - Accent4 6 2 4" xfId="6117" xr:uid="{00000000-0005-0000-0000-0000A21F0000}"/>
    <cellStyle name="20% - Accent4 6 2 4 2" xfId="16357" xr:uid="{00000000-0005-0000-0000-0000A31F0000}"/>
    <cellStyle name="20% - Accent4 6 2 4 2 2" xfId="36837" xr:uid="{00000000-0005-0000-0000-0000A41F0000}"/>
    <cellStyle name="20% - Accent4 6 2 4 3" xfId="26597" xr:uid="{00000000-0005-0000-0000-0000A51F0000}"/>
    <cellStyle name="20% - Accent4 6 2 5" xfId="11237" xr:uid="{00000000-0005-0000-0000-0000A61F0000}"/>
    <cellStyle name="20% - Accent4 6 2 5 2" xfId="31717" xr:uid="{00000000-0005-0000-0000-0000A71F0000}"/>
    <cellStyle name="20% - Accent4 6 2 6" xfId="21477" xr:uid="{00000000-0005-0000-0000-0000A81F0000}"/>
    <cellStyle name="20% - Accent4 6 3" xfId="1637" xr:uid="{00000000-0005-0000-0000-0000A91F0000}"/>
    <cellStyle name="20% - Accent4 6 3 2" xfId="4197" xr:uid="{00000000-0005-0000-0000-0000AA1F0000}"/>
    <cellStyle name="20% - Accent4 6 3 2 2" xfId="9317" xr:uid="{00000000-0005-0000-0000-0000AB1F0000}"/>
    <cellStyle name="20% - Accent4 6 3 2 2 2" xfId="19557" xr:uid="{00000000-0005-0000-0000-0000AC1F0000}"/>
    <cellStyle name="20% - Accent4 6 3 2 2 2 2" xfId="40037" xr:uid="{00000000-0005-0000-0000-0000AD1F0000}"/>
    <cellStyle name="20% - Accent4 6 3 2 2 3" xfId="29797" xr:uid="{00000000-0005-0000-0000-0000AE1F0000}"/>
    <cellStyle name="20% - Accent4 6 3 2 3" xfId="14437" xr:uid="{00000000-0005-0000-0000-0000AF1F0000}"/>
    <cellStyle name="20% - Accent4 6 3 2 3 2" xfId="34917" xr:uid="{00000000-0005-0000-0000-0000B01F0000}"/>
    <cellStyle name="20% - Accent4 6 3 2 4" xfId="24677" xr:uid="{00000000-0005-0000-0000-0000B11F0000}"/>
    <cellStyle name="20% - Accent4 6 3 3" xfId="6757" xr:uid="{00000000-0005-0000-0000-0000B21F0000}"/>
    <cellStyle name="20% - Accent4 6 3 3 2" xfId="16997" xr:uid="{00000000-0005-0000-0000-0000B31F0000}"/>
    <cellStyle name="20% - Accent4 6 3 3 2 2" xfId="37477" xr:uid="{00000000-0005-0000-0000-0000B41F0000}"/>
    <cellStyle name="20% - Accent4 6 3 3 3" xfId="27237" xr:uid="{00000000-0005-0000-0000-0000B51F0000}"/>
    <cellStyle name="20% - Accent4 6 3 4" xfId="11877" xr:uid="{00000000-0005-0000-0000-0000B61F0000}"/>
    <cellStyle name="20% - Accent4 6 3 4 2" xfId="32357" xr:uid="{00000000-0005-0000-0000-0000B71F0000}"/>
    <cellStyle name="20% - Accent4 6 3 5" xfId="22117" xr:uid="{00000000-0005-0000-0000-0000B81F0000}"/>
    <cellStyle name="20% - Accent4 6 4" xfId="2917" xr:uid="{00000000-0005-0000-0000-0000B91F0000}"/>
    <cellStyle name="20% - Accent4 6 4 2" xfId="8037" xr:uid="{00000000-0005-0000-0000-0000BA1F0000}"/>
    <cellStyle name="20% - Accent4 6 4 2 2" xfId="18277" xr:uid="{00000000-0005-0000-0000-0000BB1F0000}"/>
    <cellStyle name="20% - Accent4 6 4 2 2 2" xfId="38757" xr:uid="{00000000-0005-0000-0000-0000BC1F0000}"/>
    <cellStyle name="20% - Accent4 6 4 2 3" xfId="28517" xr:uid="{00000000-0005-0000-0000-0000BD1F0000}"/>
    <cellStyle name="20% - Accent4 6 4 3" xfId="13157" xr:uid="{00000000-0005-0000-0000-0000BE1F0000}"/>
    <cellStyle name="20% - Accent4 6 4 3 2" xfId="33637" xr:uid="{00000000-0005-0000-0000-0000BF1F0000}"/>
    <cellStyle name="20% - Accent4 6 4 4" xfId="23397" xr:uid="{00000000-0005-0000-0000-0000C01F0000}"/>
    <cellStyle name="20% - Accent4 6 5" xfId="5477" xr:uid="{00000000-0005-0000-0000-0000C11F0000}"/>
    <cellStyle name="20% - Accent4 6 5 2" xfId="15717" xr:uid="{00000000-0005-0000-0000-0000C21F0000}"/>
    <cellStyle name="20% - Accent4 6 5 2 2" xfId="36197" xr:uid="{00000000-0005-0000-0000-0000C31F0000}"/>
    <cellStyle name="20% - Accent4 6 5 3" xfId="25957" xr:uid="{00000000-0005-0000-0000-0000C41F0000}"/>
    <cellStyle name="20% - Accent4 6 6" xfId="10597" xr:uid="{00000000-0005-0000-0000-0000C51F0000}"/>
    <cellStyle name="20% - Accent4 6 6 2" xfId="31077" xr:uid="{00000000-0005-0000-0000-0000C61F0000}"/>
    <cellStyle name="20% - Accent4 6 7" xfId="20837" xr:uid="{00000000-0005-0000-0000-0000C71F0000}"/>
    <cellStyle name="20% - Accent4 7" xfId="677" xr:uid="{00000000-0005-0000-0000-0000C81F0000}"/>
    <cellStyle name="20% - Accent4 7 2" xfId="1957" xr:uid="{00000000-0005-0000-0000-0000C91F0000}"/>
    <cellStyle name="20% - Accent4 7 2 2" xfId="4517" xr:uid="{00000000-0005-0000-0000-0000CA1F0000}"/>
    <cellStyle name="20% - Accent4 7 2 2 2" xfId="9637" xr:uid="{00000000-0005-0000-0000-0000CB1F0000}"/>
    <cellStyle name="20% - Accent4 7 2 2 2 2" xfId="19877" xr:uid="{00000000-0005-0000-0000-0000CC1F0000}"/>
    <cellStyle name="20% - Accent4 7 2 2 2 2 2" xfId="40357" xr:uid="{00000000-0005-0000-0000-0000CD1F0000}"/>
    <cellStyle name="20% - Accent4 7 2 2 2 3" xfId="30117" xr:uid="{00000000-0005-0000-0000-0000CE1F0000}"/>
    <cellStyle name="20% - Accent4 7 2 2 3" xfId="14757" xr:uid="{00000000-0005-0000-0000-0000CF1F0000}"/>
    <cellStyle name="20% - Accent4 7 2 2 3 2" xfId="35237" xr:uid="{00000000-0005-0000-0000-0000D01F0000}"/>
    <cellStyle name="20% - Accent4 7 2 2 4" xfId="24997" xr:uid="{00000000-0005-0000-0000-0000D11F0000}"/>
    <cellStyle name="20% - Accent4 7 2 3" xfId="7077" xr:uid="{00000000-0005-0000-0000-0000D21F0000}"/>
    <cellStyle name="20% - Accent4 7 2 3 2" xfId="17317" xr:uid="{00000000-0005-0000-0000-0000D31F0000}"/>
    <cellStyle name="20% - Accent4 7 2 3 2 2" xfId="37797" xr:uid="{00000000-0005-0000-0000-0000D41F0000}"/>
    <cellStyle name="20% - Accent4 7 2 3 3" xfId="27557" xr:uid="{00000000-0005-0000-0000-0000D51F0000}"/>
    <cellStyle name="20% - Accent4 7 2 4" xfId="12197" xr:uid="{00000000-0005-0000-0000-0000D61F0000}"/>
    <cellStyle name="20% - Accent4 7 2 4 2" xfId="32677" xr:uid="{00000000-0005-0000-0000-0000D71F0000}"/>
    <cellStyle name="20% - Accent4 7 2 5" xfId="22437" xr:uid="{00000000-0005-0000-0000-0000D81F0000}"/>
    <cellStyle name="20% - Accent4 7 3" xfId="3237" xr:uid="{00000000-0005-0000-0000-0000D91F0000}"/>
    <cellStyle name="20% - Accent4 7 3 2" xfId="8357" xr:uid="{00000000-0005-0000-0000-0000DA1F0000}"/>
    <cellStyle name="20% - Accent4 7 3 2 2" xfId="18597" xr:uid="{00000000-0005-0000-0000-0000DB1F0000}"/>
    <cellStyle name="20% - Accent4 7 3 2 2 2" xfId="39077" xr:uid="{00000000-0005-0000-0000-0000DC1F0000}"/>
    <cellStyle name="20% - Accent4 7 3 2 3" xfId="28837" xr:uid="{00000000-0005-0000-0000-0000DD1F0000}"/>
    <cellStyle name="20% - Accent4 7 3 3" xfId="13477" xr:uid="{00000000-0005-0000-0000-0000DE1F0000}"/>
    <cellStyle name="20% - Accent4 7 3 3 2" xfId="33957" xr:uid="{00000000-0005-0000-0000-0000DF1F0000}"/>
    <cellStyle name="20% - Accent4 7 3 4" xfId="23717" xr:uid="{00000000-0005-0000-0000-0000E01F0000}"/>
    <cellStyle name="20% - Accent4 7 4" xfId="5797" xr:uid="{00000000-0005-0000-0000-0000E11F0000}"/>
    <cellStyle name="20% - Accent4 7 4 2" xfId="16037" xr:uid="{00000000-0005-0000-0000-0000E21F0000}"/>
    <cellStyle name="20% - Accent4 7 4 2 2" xfId="36517" xr:uid="{00000000-0005-0000-0000-0000E31F0000}"/>
    <cellStyle name="20% - Accent4 7 4 3" xfId="26277" xr:uid="{00000000-0005-0000-0000-0000E41F0000}"/>
    <cellStyle name="20% - Accent4 7 5" xfId="10917" xr:uid="{00000000-0005-0000-0000-0000E51F0000}"/>
    <cellStyle name="20% - Accent4 7 5 2" xfId="31397" xr:uid="{00000000-0005-0000-0000-0000E61F0000}"/>
    <cellStyle name="20% - Accent4 7 6" xfId="21157" xr:uid="{00000000-0005-0000-0000-0000E71F0000}"/>
    <cellStyle name="20% - Accent4 8" xfId="1317" xr:uid="{00000000-0005-0000-0000-0000E81F0000}"/>
    <cellStyle name="20% - Accent4 8 2" xfId="3877" xr:uid="{00000000-0005-0000-0000-0000E91F0000}"/>
    <cellStyle name="20% - Accent4 8 2 2" xfId="8997" xr:uid="{00000000-0005-0000-0000-0000EA1F0000}"/>
    <cellStyle name="20% - Accent4 8 2 2 2" xfId="19237" xr:uid="{00000000-0005-0000-0000-0000EB1F0000}"/>
    <cellStyle name="20% - Accent4 8 2 2 2 2" xfId="39717" xr:uid="{00000000-0005-0000-0000-0000EC1F0000}"/>
    <cellStyle name="20% - Accent4 8 2 2 3" xfId="29477" xr:uid="{00000000-0005-0000-0000-0000ED1F0000}"/>
    <cellStyle name="20% - Accent4 8 2 3" xfId="14117" xr:uid="{00000000-0005-0000-0000-0000EE1F0000}"/>
    <cellStyle name="20% - Accent4 8 2 3 2" xfId="34597" xr:uid="{00000000-0005-0000-0000-0000EF1F0000}"/>
    <cellStyle name="20% - Accent4 8 2 4" xfId="24357" xr:uid="{00000000-0005-0000-0000-0000F01F0000}"/>
    <cellStyle name="20% - Accent4 8 3" xfId="6437" xr:uid="{00000000-0005-0000-0000-0000F11F0000}"/>
    <cellStyle name="20% - Accent4 8 3 2" xfId="16677" xr:uid="{00000000-0005-0000-0000-0000F21F0000}"/>
    <cellStyle name="20% - Accent4 8 3 2 2" xfId="37157" xr:uid="{00000000-0005-0000-0000-0000F31F0000}"/>
    <cellStyle name="20% - Accent4 8 3 3" xfId="26917" xr:uid="{00000000-0005-0000-0000-0000F41F0000}"/>
    <cellStyle name="20% - Accent4 8 4" xfId="11557" xr:uid="{00000000-0005-0000-0000-0000F51F0000}"/>
    <cellStyle name="20% - Accent4 8 4 2" xfId="32037" xr:uid="{00000000-0005-0000-0000-0000F61F0000}"/>
    <cellStyle name="20% - Accent4 8 5" xfId="21797" xr:uid="{00000000-0005-0000-0000-0000F71F0000}"/>
    <cellStyle name="20% - Accent4 9" xfId="2597" xr:uid="{00000000-0005-0000-0000-0000F81F0000}"/>
    <cellStyle name="20% - Accent4 9 2" xfId="7717" xr:uid="{00000000-0005-0000-0000-0000F91F0000}"/>
    <cellStyle name="20% - Accent4 9 2 2" xfId="17957" xr:uid="{00000000-0005-0000-0000-0000FA1F0000}"/>
    <cellStyle name="20% - Accent4 9 2 2 2" xfId="38437" xr:uid="{00000000-0005-0000-0000-0000FB1F0000}"/>
    <cellStyle name="20% - Accent4 9 2 3" xfId="28197" xr:uid="{00000000-0005-0000-0000-0000FC1F0000}"/>
    <cellStyle name="20% - Accent4 9 3" xfId="12837" xr:uid="{00000000-0005-0000-0000-0000FD1F0000}"/>
    <cellStyle name="20% - Accent4 9 3 2" xfId="33317" xr:uid="{00000000-0005-0000-0000-0000FE1F0000}"/>
    <cellStyle name="20% - Accent4 9 4" xfId="23077" xr:uid="{00000000-0005-0000-0000-0000FF1F0000}"/>
    <cellStyle name="20% - Accent5 10" xfId="5160" xr:uid="{00000000-0005-0000-0000-000000200000}"/>
    <cellStyle name="20% - Accent5 10 2" xfId="15400" xr:uid="{00000000-0005-0000-0000-000001200000}"/>
    <cellStyle name="20% - Accent5 10 2 2" xfId="35880" xr:uid="{00000000-0005-0000-0000-000002200000}"/>
    <cellStyle name="20% - Accent5 10 3" xfId="25640" xr:uid="{00000000-0005-0000-0000-000003200000}"/>
    <cellStyle name="20% - Accent5 11" xfId="10280" xr:uid="{00000000-0005-0000-0000-000004200000}"/>
    <cellStyle name="20% - Accent5 11 2" xfId="30760" xr:uid="{00000000-0005-0000-0000-000005200000}"/>
    <cellStyle name="20% - Accent5 12" xfId="20520" xr:uid="{00000000-0005-0000-0000-000006200000}"/>
    <cellStyle name="20% - Accent5 13" xfId="39" xr:uid="{00000000-0005-0000-0000-000007200000}"/>
    <cellStyle name="20% - Accent5 2" xfId="60" xr:uid="{00000000-0005-0000-0000-000008200000}"/>
    <cellStyle name="20% - Accent5 2 10" xfId="10300" xr:uid="{00000000-0005-0000-0000-000009200000}"/>
    <cellStyle name="20% - Accent5 2 10 2" xfId="30780" xr:uid="{00000000-0005-0000-0000-00000A200000}"/>
    <cellStyle name="20% - Accent5 2 11" xfId="20540" xr:uid="{00000000-0005-0000-0000-00000B200000}"/>
    <cellStyle name="20% - Accent5 2 2" xfId="100" xr:uid="{00000000-0005-0000-0000-00000C200000}"/>
    <cellStyle name="20% - Accent5 2 2 10" xfId="20580" xr:uid="{00000000-0005-0000-0000-00000D200000}"/>
    <cellStyle name="20% - Accent5 2 2 2" xfId="180" xr:uid="{00000000-0005-0000-0000-00000E200000}"/>
    <cellStyle name="20% - Accent5 2 2 2 2" xfId="340" xr:uid="{00000000-0005-0000-0000-00000F200000}"/>
    <cellStyle name="20% - Accent5 2 2 2 2 2" xfId="660" xr:uid="{00000000-0005-0000-0000-000010200000}"/>
    <cellStyle name="20% - Accent5 2 2 2 2 2 2" xfId="1300" xr:uid="{00000000-0005-0000-0000-000011200000}"/>
    <cellStyle name="20% - Accent5 2 2 2 2 2 2 2" xfId="2580" xr:uid="{00000000-0005-0000-0000-000012200000}"/>
    <cellStyle name="20% - Accent5 2 2 2 2 2 2 2 2" xfId="5140" xr:uid="{00000000-0005-0000-0000-000013200000}"/>
    <cellStyle name="20% - Accent5 2 2 2 2 2 2 2 2 2" xfId="10260" xr:uid="{00000000-0005-0000-0000-000014200000}"/>
    <cellStyle name="20% - Accent5 2 2 2 2 2 2 2 2 2 2" xfId="20500" xr:uid="{00000000-0005-0000-0000-000015200000}"/>
    <cellStyle name="20% - Accent5 2 2 2 2 2 2 2 2 2 2 2" xfId="40980" xr:uid="{00000000-0005-0000-0000-000016200000}"/>
    <cellStyle name="20% - Accent5 2 2 2 2 2 2 2 2 2 3" xfId="30740" xr:uid="{00000000-0005-0000-0000-000017200000}"/>
    <cellStyle name="20% - Accent5 2 2 2 2 2 2 2 2 3" xfId="15380" xr:uid="{00000000-0005-0000-0000-000018200000}"/>
    <cellStyle name="20% - Accent5 2 2 2 2 2 2 2 2 3 2" xfId="35860" xr:uid="{00000000-0005-0000-0000-000019200000}"/>
    <cellStyle name="20% - Accent5 2 2 2 2 2 2 2 2 4" xfId="25620" xr:uid="{00000000-0005-0000-0000-00001A200000}"/>
    <cellStyle name="20% - Accent5 2 2 2 2 2 2 2 3" xfId="7700" xr:uid="{00000000-0005-0000-0000-00001B200000}"/>
    <cellStyle name="20% - Accent5 2 2 2 2 2 2 2 3 2" xfId="17940" xr:uid="{00000000-0005-0000-0000-00001C200000}"/>
    <cellStyle name="20% - Accent5 2 2 2 2 2 2 2 3 2 2" xfId="38420" xr:uid="{00000000-0005-0000-0000-00001D200000}"/>
    <cellStyle name="20% - Accent5 2 2 2 2 2 2 2 3 3" xfId="28180" xr:uid="{00000000-0005-0000-0000-00001E200000}"/>
    <cellStyle name="20% - Accent5 2 2 2 2 2 2 2 4" xfId="12820" xr:uid="{00000000-0005-0000-0000-00001F200000}"/>
    <cellStyle name="20% - Accent5 2 2 2 2 2 2 2 4 2" xfId="33300" xr:uid="{00000000-0005-0000-0000-000020200000}"/>
    <cellStyle name="20% - Accent5 2 2 2 2 2 2 2 5" xfId="23060" xr:uid="{00000000-0005-0000-0000-000021200000}"/>
    <cellStyle name="20% - Accent5 2 2 2 2 2 2 3" xfId="3860" xr:uid="{00000000-0005-0000-0000-000022200000}"/>
    <cellStyle name="20% - Accent5 2 2 2 2 2 2 3 2" xfId="8980" xr:uid="{00000000-0005-0000-0000-000023200000}"/>
    <cellStyle name="20% - Accent5 2 2 2 2 2 2 3 2 2" xfId="19220" xr:uid="{00000000-0005-0000-0000-000024200000}"/>
    <cellStyle name="20% - Accent5 2 2 2 2 2 2 3 2 2 2" xfId="39700" xr:uid="{00000000-0005-0000-0000-000025200000}"/>
    <cellStyle name="20% - Accent5 2 2 2 2 2 2 3 2 3" xfId="29460" xr:uid="{00000000-0005-0000-0000-000026200000}"/>
    <cellStyle name="20% - Accent5 2 2 2 2 2 2 3 3" xfId="14100" xr:uid="{00000000-0005-0000-0000-000027200000}"/>
    <cellStyle name="20% - Accent5 2 2 2 2 2 2 3 3 2" xfId="34580" xr:uid="{00000000-0005-0000-0000-000028200000}"/>
    <cellStyle name="20% - Accent5 2 2 2 2 2 2 3 4" xfId="24340" xr:uid="{00000000-0005-0000-0000-000029200000}"/>
    <cellStyle name="20% - Accent5 2 2 2 2 2 2 4" xfId="6420" xr:uid="{00000000-0005-0000-0000-00002A200000}"/>
    <cellStyle name="20% - Accent5 2 2 2 2 2 2 4 2" xfId="16660" xr:uid="{00000000-0005-0000-0000-00002B200000}"/>
    <cellStyle name="20% - Accent5 2 2 2 2 2 2 4 2 2" xfId="37140" xr:uid="{00000000-0005-0000-0000-00002C200000}"/>
    <cellStyle name="20% - Accent5 2 2 2 2 2 2 4 3" xfId="26900" xr:uid="{00000000-0005-0000-0000-00002D200000}"/>
    <cellStyle name="20% - Accent5 2 2 2 2 2 2 5" xfId="11540" xr:uid="{00000000-0005-0000-0000-00002E200000}"/>
    <cellStyle name="20% - Accent5 2 2 2 2 2 2 5 2" xfId="32020" xr:uid="{00000000-0005-0000-0000-00002F200000}"/>
    <cellStyle name="20% - Accent5 2 2 2 2 2 2 6" xfId="21780" xr:uid="{00000000-0005-0000-0000-000030200000}"/>
    <cellStyle name="20% - Accent5 2 2 2 2 2 3" xfId="1940" xr:uid="{00000000-0005-0000-0000-000031200000}"/>
    <cellStyle name="20% - Accent5 2 2 2 2 2 3 2" xfId="4500" xr:uid="{00000000-0005-0000-0000-000032200000}"/>
    <cellStyle name="20% - Accent5 2 2 2 2 2 3 2 2" xfId="9620" xr:uid="{00000000-0005-0000-0000-000033200000}"/>
    <cellStyle name="20% - Accent5 2 2 2 2 2 3 2 2 2" xfId="19860" xr:uid="{00000000-0005-0000-0000-000034200000}"/>
    <cellStyle name="20% - Accent5 2 2 2 2 2 3 2 2 2 2" xfId="40340" xr:uid="{00000000-0005-0000-0000-000035200000}"/>
    <cellStyle name="20% - Accent5 2 2 2 2 2 3 2 2 3" xfId="30100" xr:uid="{00000000-0005-0000-0000-000036200000}"/>
    <cellStyle name="20% - Accent5 2 2 2 2 2 3 2 3" xfId="14740" xr:uid="{00000000-0005-0000-0000-000037200000}"/>
    <cellStyle name="20% - Accent5 2 2 2 2 2 3 2 3 2" xfId="35220" xr:uid="{00000000-0005-0000-0000-000038200000}"/>
    <cellStyle name="20% - Accent5 2 2 2 2 2 3 2 4" xfId="24980" xr:uid="{00000000-0005-0000-0000-000039200000}"/>
    <cellStyle name="20% - Accent5 2 2 2 2 2 3 3" xfId="7060" xr:uid="{00000000-0005-0000-0000-00003A200000}"/>
    <cellStyle name="20% - Accent5 2 2 2 2 2 3 3 2" xfId="17300" xr:uid="{00000000-0005-0000-0000-00003B200000}"/>
    <cellStyle name="20% - Accent5 2 2 2 2 2 3 3 2 2" xfId="37780" xr:uid="{00000000-0005-0000-0000-00003C200000}"/>
    <cellStyle name="20% - Accent5 2 2 2 2 2 3 3 3" xfId="27540" xr:uid="{00000000-0005-0000-0000-00003D200000}"/>
    <cellStyle name="20% - Accent5 2 2 2 2 2 3 4" xfId="12180" xr:uid="{00000000-0005-0000-0000-00003E200000}"/>
    <cellStyle name="20% - Accent5 2 2 2 2 2 3 4 2" xfId="32660" xr:uid="{00000000-0005-0000-0000-00003F200000}"/>
    <cellStyle name="20% - Accent5 2 2 2 2 2 3 5" xfId="22420" xr:uid="{00000000-0005-0000-0000-000040200000}"/>
    <cellStyle name="20% - Accent5 2 2 2 2 2 4" xfId="3220" xr:uid="{00000000-0005-0000-0000-000041200000}"/>
    <cellStyle name="20% - Accent5 2 2 2 2 2 4 2" xfId="8340" xr:uid="{00000000-0005-0000-0000-000042200000}"/>
    <cellStyle name="20% - Accent5 2 2 2 2 2 4 2 2" xfId="18580" xr:uid="{00000000-0005-0000-0000-000043200000}"/>
    <cellStyle name="20% - Accent5 2 2 2 2 2 4 2 2 2" xfId="39060" xr:uid="{00000000-0005-0000-0000-000044200000}"/>
    <cellStyle name="20% - Accent5 2 2 2 2 2 4 2 3" xfId="28820" xr:uid="{00000000-0005-0000-0000-000045200000}"/>
    <cellStyle name="20% - Accent5 2 2 2 2 2 4 3" xfId="13460" xr:uid="{00000000-0005-0000-0000-000046200000}"/>
    <cellStyle name="20% - Accent5 2 2 2 2 2 4 3 2" xfId="33940" xr:uid="{00000000-0005-0000-0000-000047200000}"/>
    <cellStyle name="20% - Accent5 2 2 2 2 2 4 4" xfId="23700" xr:uid="{00000000-0005-0000-0000-000048200000}"/>
    <cellStyle name="20% - Accent5 2 2 2 2 2 5" xfId="5780" xr:uid="{00000000-0005-0000-0000-000049200000}"/>
    <cellStyle name="20% - Accent5 2 2 2 2 2 5 2" xfId="16020" xr:uid="{00000000-0005-0000-0000-00004A200000}"/>
    <cellStyle name="20% - Accent5 2 2 2 2 2 5 2 2" xfId="36500" xr:uid="{00000000-0005-0000-0000-00004B200000}"/>
    <cellStyle name="20% - Accent5 2 2 2 2 2 5 3" xfId="26260" xr:uid="{00000000-0005-0000-0000-00004C200000}"/>
    <cellStyle name="20% - Accent5 2 2 2 2 2 6" xfId="10900" xr:uid="{00000000-0005-0000-0000-00004D200000}"/>
    <cellStyle name="20% - Accent5 2 2 2 2 2 6 2" xfId="31380" xr:uid="{00000000-0005-0000-0000-00004E200000}"/>
    <cellStyle name="20% - Accent5 2 2 2 2 2 7" xfId="21140" xr:uid="{00000000-0005-0000-0000-00004F200000}"/>
    <cellStyle name="20% - Accent5 2 2 2 2 3" xfId="980" xr:uid="{00000000-0005-0000-0000-000050200000}"/>
    <cellStyle name="20% - Accent5 2 2 2 2 3 2" xfId="2260" xr:uid="{00000000-0005-0000-0000-000051200000}"/>
    <cellStyle name="20% - Accent5 2 2 2 2 3 2 2" xfId="4820" xr:uid="{00000000-0005-0000-0000-000052200000}"/>
    <cellStyle name="20% - Accent5 2 2 2 2 3 2 2 2" xfId="9940" xr:uid="{00000000-0005-0000-0000-000053200000}"/>
    <cellStyle name="20% - Accent5 2 2 2 2 3 2 2 2 2" xfId="20180" xr:uid="{00000000-0005-0000-0000-000054200000}"/>
    <cellStyle name="20% - Accent5 2 2 2 2 3 2 2 2 2 2" xfId="40660" xr:uid="{00000000-0005-0000-0000-000055200000}"/>
    <cellStyle name="20% - Accent5 2 2 2 2 3 2 2 2 3" xfId="30420" xr:uid="{00000000-0005-0000-0000-000056200000}"/>
    <cellStyle name="20% - Accent5 2 2 2 2 3 2 2 3" xfId="15060" xr:uid="{00000000-0005-0000-0000-000057200000}"/>
    <cellStyle name="20% - Accent5 2 2 2 2 3 2 2 3 2" xfId="35540" xr:uid="{00000000-0005-0000-0000-000058200000}"/>
    <cellStyle name="20% - Accent5 2 2 2 2 3 2 2 4" xfId="25300" xr:uid="{00000000-0005-0000-0000-000059200000}"/>
    <cellStyle name="20% - Accent5 2 2 2 2 3 2 3" xfId="7380" xr:uid="{00000000-0005-0000-0000-00005A200000}"/>
    <cellStyle name="20% - Accent5 2 2 2 2 3 2 3 2" xfId="17620" xr:uid="{00000000-0005-0000-0000-00005B200000}"/>
    <cellStyle name="20% - Accent5 2 2 2 2 3 2 3 2 2" xfId="38100" xr:uid="{00000000-0005-0000-0000-00005C200000}"/>
    <cellStyle name="20% - Accent5 2 2 2 2 3 2 3 3" xfId="27860" xr:uid="{00000000-0005-0000-0000-00005D200000}"/>
    <cellStyle name="20% - Accent5 2 2 2 2 3 2 4" xfId="12500" xr:uid="{00000000-0005-0000-0000-00005E200000}"/>
    <cellStyle name="20% - Accent5 2 2 2 2 3 2 4 2" xfId="32980" xr:uid="{00000000-0005-0000-0000-00005F200000}"/>
    <cellStyle name="20% - Accent5 2 2 2 2 3 2 5" xfId="22740" xr:uid="{00000000-0005-0000-0000-000060200000}"/>
    <cellStyle name="20% - Accent5 2 2 2 2 3 3" xfId="3540" xr:uid="{00000000-0005-0000-0000-000061200000}"/>
    <cellStyle name="20% - Accent5 2 2 2 2 3 3 2" xfId="8660" xr:uid="{00000000-0005-0000-0000-000062200000}"/>
    <cellStyle name="20% - Accent5 2 2 2 2 3 3 2 2" xfId="18900" xr:uid="{00000000-0005-0000-0000-000063200000}"/>
    <cellStyle name="20% - Accent5 2 2 2 2 3 3 2 2 2" xfId="39380" xr:uid="{00000000-0005-0000-0000-000064200000}"/>
    <cellStyle name="20% - Accent5 2 2 2 2 3 3 2 3" xfId="29140" xr:uid="{00000000-0005-0000-0000-000065200000}"/>
    <cellStyle name="20% - Accent5 2 2 2 2 3 3 3" xfId="13780" xr:uid="{00000000-0005-0000-0000-000066200000}"/>
    <cellStyle name="20% - Accent5 2 2 2 2 3 3 3 2" xfId="34260" xr:uid="{00000000-0005-0000-0000-000067200000}"/>
    <cellStyle name="20% - Accent5 2 2 2 2 3 3 4" xfId="24020" xr:uid="{00000000-0005-0000-0000-000068200000}"/>
    <cellStyle name="20% - Accent5 2 2 2 2 3 4" xfId="6100" xr:uid="{00000000-0005-0000-0000-000069200000}"/>
    <cellStyle name="20% - Accent5 2 2 2 2 3 4 2" xfId="16340" xr:uid="{00000000-0005-0000-0000-00006A200000}"/>
    <cellStyle name="20% - Accent5 2 2 2 2 3 4 2 2" xfId="36820" xr:uid="{00000000-0005-0000-0000-00006B200000}"/>
    <cellStyle name="20% - Accent5 2 2 2 2 3 4 3" xfId="26580" xr:uid="{00000000-0005-0000-0000-00006C200000}"/>
    <cellStyle name="20% - Accent5 2 2 2 2 3 5" xfId="11220" xr:uid="{00000000-0005-0000-0000-00006D200000}"/>
    <cellStyle name="20% - Accent5 2 2 2 2 3 5 2" xfId="31700" xr:uid="{00000000-0005-0000-0000-00006E200000}"/>
    <cellStyle name="20% - Accent5 2 2 2 2 3 6" xfId="21460" xr:uid="{00000000-0005-0000-0000-00006F200000}"/>
    <cellStyle name="20% - Accent5 2 2 2 2 4" xfId="1620" xr:uid="{00000000-0005-0000-0000-000070200000}"/>
    <cellStyle name="20% - Accent5 2 2 2 2 4 2" xfId="4180" xr:uid="{00000000-0005-0000-0000-000071200000}"/>
    <cellStyle name="20% - Accent5 2 2 2 2 4 2 2" xfId="9300" xr:uid="{00000000-0005-0000-0000-000072200000}"/>
    <cellStyle name="20% - Accent5 2 2 2 2 4 2 2 2" xfId="19540" xr:uid="{00000000-0005-0000-0000-000073200000}"/>
    <cellStyle name="20% - Accent5 2 2 2 2 4 2 2 2 2" xfId="40020" xr:uid="{00000000-0005-0000-0000-000074200000}"/>
    <cellStyle name="20% - Accent5 2 2 2 2 4 2 2 3" xfId="29780" xr:uid="{00000000-0005-0000-0000-000075200000}"/>
    <cellStyle name="20% - Accent5 2 2 2 2 4 2 3" xfId="14420" xr:uid="{00000000-0005-0000-0000-000076200000}"/>
    <cellStyle name="20% - Accent5 2 2 2 2 4 2 3 2" xfId="34900" xr:uid="{00000000-0005-0000-0000-000077200000}"/>
    <cellStyle name="20% - Accent5 2 2 2 2 4 2 4" xfId="24660" xr:uid="{00000000-0005-0000-0000-000078200000}"/>
    <cellStyle name="20% - Accent5 2 2 2 2 4 3" xfId="6740" xr:uid="{00000000-0005-0000-0000-000079200000}"/>
    <cellStyle name="20% - Accent5 2 2 2 2 4 3 2" xfId="16980" xr:uid="{00000000-0005-0000-0000-00007A200000}"/>
    <cellStyle name="20% - Accent5 2 2 2 2 4 3 2 2" xfId="37460" xr:uid="{00000000-0005-0000-0000-00007B200000}"/>
    <cellStyle name="20% - Accent5 2 2 2 2 4 3 3" xfId="27220" xr:uid="{00000000-0005-0000-0000-00007C200000}"/>
    <cellStyle name="20% - Accent5 2 2 2 2 4 4" xfId="11860" xr:uid="{00000000-0005-0000-0000-00007D200000}"/>
    <cellStyle name="20% - Accent5 2 2 2 2 4 4 2" xfId="32340" xr:uid="{00000000-0005-0000-0000-00007E200000}"/>
    <cellStyle name="20% - Accent5 2 2 2 2 4 5" xfId="22100" xr:uid="{00000000-0005-0000-0000-00007F200000}"/>
    <cellStyle name="20% - Accent5 2 2 2 2 5" xfId="2900" xr:uid="{00000000-0005-0000-0000-000080200000}"/>
    <cellStyle name="20% - Accent5 2 2 2 2 5 2" xfId="8020" xr:uid="{00000000-0005-0000-0000-000081200000}"/>
    <cellStyle name="20% - Accent5 2 2 2 2 5 2 2" xfId="18260" xr:uid="{00000000-0005-0000-0000-000082200000}"/>
    <cellStyle name="20% - Accent5 2 2 2 2 5 2 2 2" xfId="38740" xr:uid="{00000000-0005-0000-0000-000083200000}"/>
    <cellStyle name="20% - Accent5 2 2 2 2 5 2 3" xfId="28500" xr:uid="{00000000-0005-0000-0000-000084200000}"/>
    <cellStyle name="20% - Accent5 2 2 2 2 5 3" xfId="13140" xr:uid="{00000000-0005-0000-0000-000085200000}"/>
    <cellStyle name="20% - Accent5 2 2 2 2 5 3 2" xfId="33620" xr:uid="{00000000-0005-0000-0000-000086200000}"/>
    <cellStyle name="20% - Accent5 2 2 2 2 5 4" xfId="23380" xr:uid="{00000000-0005-0000-0000-000087200000}"/>
    <cellStyle name="20% - Accent5 2 2 2 2 6" xfId="5460" xr:uid="{00000000-0005-0000-0000-000088200000}"/>
    <cellStyle name="20% - Accent5 2 2 2 2 6 2" xfId="15700" xr:uid="{00000000-0005-0000-0000-000089200000}"/>
    <cellStyle name="20% - Accent5 2 2 2 2 6 2 2" xfId="36180" xr:uid="{00000000-0005-0000-0000-00008A200000}"/>
    <cellStyle name="20% - Accent5 2 2 2 2 6 3" xfId="25940" xr:uid="{00000000-0005-0000-0000-00008B200000}"/>
    <cellStyle name="20% - Accent5 2 2 2 2 7" xfId="10580" xr:uid="{00000000-0005-0000-0000-00008C200000}"/>
    <cellStyle name="20% - Accent5 2 2 2 2 7 2" xfId="31060" xr:uid="{00000000-0005-0000-0000-00008D200000}"/>
    <cellStyle name="20% - Accent5 2 2 2 2 8" xfId="20820" xr:uid="{00000000-0005-0000-0000-00008E200000}"/>
    <cellStyle name="20% - Accent5 2 2 2 3" xfId="500" xr:uid="{00000000-0005-0000-0000-00008F200000}"/>
    <cellStyle name="20% - Accent5 2 2 2 3 2" xfId="1140" xr:uid="{00000000-0005-0000-0000-000090200000}"/>
    <cellStyle name="20% - Accent5 2 2 2 3 2 2" xfId="2420" xr:uid="{00000000-0005-0000-0000-000091200000}"/>
    <cellStyle name="20% - Accent5 2 2 2 3 2 2 2" xfId="4980" xr:uid="{00000000-0005-0000-0000-000092200000}"/>
    <cellStyle name="20% - Accent5 2 2 2 3 2 2 2 2" xfId="10100" xr:uid="{00000000-0005-0000-0000-000093200000}"/>
    <cellStyle name="20% - Accent5 2 2 2 3 2 2 2 2 2" xfId="20340" xr:uid="{00000000-0005-0000-0000-000094200000}"/>
    <cellStyle name="20% - Accent5 2 2 2 3 2 2 2 2 2 2" xfId="40820" xr:uid="{00000000-0005-0000-0000-000095200000}"/>
    <cellStyle name="20% - Accent5 2 2 2 3 2 2 2 2 3" xfId="30580" xr:uid="{00000000-0005-0000-0000-000096200000}"/>
    <cellStyle name="20% - Accent5 2 2 2 3 2 2 2 3" xfId="15220" xr:uid="{00000000-0005-0000-0000-000097200000}"/>
    <cellStyle name="20% - Accent5 2 2 2 3 2 2 2 3 2" xfId="35700" xr:uid="{00000000-0005-0000-0000-000098200000}"/>
    <cellStyle name="20% - Accent5 2 2 2 3 2 2 2 4" xfId="25460" xr:uid="{00000000-0005-0000-0000-000099200000}"/>
    <cellStyle name="20% - Accent5 2 2 2 3 2 2 3" xfId="7540" xr:uid="{00000000-0005-0000-0000-00009A200000}"/>
    <cellStyle name="20% - Accent5 2 2 2 3 2 2 3 2" xfId="17780" xr:uid="{00000000-0005-0000-0000-00009B200000}"/>
    <cellStyle name="20% - Accent5 2 2 2 3 2 2 3 2 2" xfId="38260" xr:uid="{00000000-0005-0000-0000-00009C200000}"/>
    <cellStyle name="20% - Accent5 2 2 2 3 2 2 3 3" xfId="28020" xr:uid="{00000000-0005-0000-0000-00009D200000}"/>
    <cellStyle name="20% - Accent5 2 2 2 3 2 2 4" xfId="12660" xr:uid="{00000000-0005-0000-0000-00009E200000}"/>
    <cellStyle name="20% - Accent5 2 2 2 3 2 2 4 2" xfId="33140" xr:uid="{00000000-0005-0000-0000-00009F200000}"/>
    <cellStyle name="20% - Accent5 2 2 2 3 2 2 5" xfId="22900" xr:uid="{00000000-0005-0000-0000-0000A0200000}"/>
    <cellStyle name="20% - Accent5 2 2 2 3 2 3" xfId="3700" xr:uid="{00000000-0005-0000-0000-0000A1200000}"/>
    <cellStyle name="20% - Accent5 2 2 2 3 2 3 2" xfId="8820" xr:uid="{00000000-0005-0000-0000-0000A2200000}"/>
    <cellStyle name="20% - Accent5 2 2 2 3 2 3 2 2" xfId="19060" xr:uid="{00000000-0005-0000-0000-0000A3200000}"/>
    <cellStyle name="20% - Accent5 2 2 2 3 2 3 2 2 2" xfId="39540" xr:uid="{00000000-0005-0000-0000-0000A4200000}"/>
    <cellStyle name="20% - Accent5 2 2 2 3 2 3 2 3" xfId="29300" xr:uid="{00000000-0005-0000-0000-0000A5200000}"/>
    <cellStyle name="20% - Accent5 2 2 2 3 2 3 3" xfId="13940" xr:uid="{00000000-0005-0000-0000-0000A6200000}"/>
    <cellStyle name="20% - Accent5 2 2 2 3 2 3 3 2" xfId="34420" xr:uid="{00000000-0005-0000-0000-0000A7200000}"/>
    <cellStyle name="20% - Accent5 2 2 2 3 2 3 4" xfId="24180" xr:uid="{00000000-0005-0000-0000-0000A8200000}"/>
    <cellStyle name="20% - Accent5 2 2 2 3 2 4" xfId="6260" xr:uid="{00000000-0005-0000-0000-0000A9200000}"/>
    <cellStyle name="20% - Accent5 2 2 2 3 2 4 2" xfId="16500" xr:uid="{00000000-0005-0000-0000-0000AA200000}"/>
    <cellStyle name="20% - Accent5 2 2 2 3 2 4 2 2" xfId="36980" xr:uid="{00000000-0005-0000-0000-0000AB200000}"/>
    <cellStyle name="20% - Accent5 2 2 2 3 2 4 3" xfId="26740" xr:uid="{00000000-0005-0000-0000-0000AC200000}"/>
    <cellStyle name="20% - Accent5 2 2 2 3 2 5" xfId="11380" xr:uid="{00000000-0005-0000-0000-0000AD200000}"/>
    <cellStyle name="20% - Accent5 2 2 2 3 2 5 2" xfId="31860" xr:uid="{00000000-0005-0000-0000-0000AE200000}"/>
    <cellStyle name="20% - Accent5 2 2 2 3 2 6" xfId="21620" xr:uid="{00000000-0005-0000-0000-0000AF200000}"/>
    <cellStyle name="20% - Accent5 2 2 2 3 3" xfId="1780" xr:uid="{00000000-0005-0000-0000-0000B0200000}"/>
    <cellStyle name="20% - Accent5 2 2 2 3 3 2" xfId="4340" xr:uid="{00000000-0005-0000-0000-0000B1200000}"/>
    <cellStyle name="20% - Accent5 2 2 2 3 3 2 2" xfId="9460" xr:uid="{00000000-0005-0000-0000-0000B2200000}"/>
    <cellStyle name="20% - Accent5 2 2 2 3 3 2 2 2" xfId="19700" xr:uid="{00000000-0005-0000-0000-0000B3200000}"/>
    <cellStyle name="20% - Accent5 2 2 2 3 3 2 2 2 2" xfId="40180" xr:uid="{00000000-0005-0000-0000-0000B4200000}"/>
    <cellStyle name="20% - Accent5 2 2 2 3 3 2 2 3" xfId="29940" xr:uid="{00000000-0005-0000-0000-0000B5200000}"/>
    <cellStyle name="20% - Accent5 2 2 2 3 3 2 3" xfId="14580" xr:uid="{00000000-0005-0000-0000-0000B6200000}"/>
    <cellStyle name="20% - Accent5 2 2 2 3 3 2 3 2" xfId="35060" xr:uid="{00000000-0005-0000-0000-0000B7200000}"/>
    <cellStyle name="20% - Accent5 2 2 2 3 3 2 4" xfId="24820" xr:uid="{00000000-0005-0000-0000-0000B8200000}"/>
    <cellStyle name="20% - Accent5 2 2 2 3 3 3" xfId="6900" xr:uid="{00000000-0005-0000-0000-0000B9200000}"/>
    <cellStyle name="20% - Accent5 2 2 2 3 3 3 2" xfId="17140" xr:uid="{00000000-0005-0000-0000-0000BA200000}"/>
    <cellStyle name="20% - Accent5 2 2 2 3 3 3 2 2" xfId="37620" xr:uid="{00000000-0005-0000-0000-0000BB200000}"/>
    <cellStyle name="20% - Accent5 2 2 2 3 3 3 3" xfId="27380" xr:uid="{00000000-0005-0000-0000-0000BC200000}"/>
    <cellStyle name="20% - Accent5 2 2 2 3 3 4" xfId="12020" xr:uid="{00000000-0005-0000-0000-0000BD200000}"/>
    <cellStyle name="20% - Accent5 2 2 2 3 3 4 2" xfId="32500" xr:uid="{00000000-0005-0000-0000-0000BE200000}"/>
    <cellStyle name="20% - Accent5 2 2 2 3 3 5" xfId="22260" xr:uid="{00000000-0005-0000-0000-0000BF200000}"/>
    <cellStyle name="20% - Accent5 2 2 2 3 4" xfId="3060" xr:uid="{00000000-0005-0000-0000-0000C0200000}"/>
    <cellStyle name="20% - Accent5 2 2 2 3 4 2" xfId="8180" xr:uid="{00000000-0005-0000-0000-0000C1200000}"/>
    <cellStyle name="20% - Accent5 2 2 2 3 4 2 2" xfId="18420" xr:uid="{00000000-0005-0000-0000-0000C2200000}"/>
    <cellStyle name="20% - Accent5 2 2 2 3 4 2 2 2" xfId="38900" xr:uid="{00000000-0005-0000-0000-0000C3200000}"/>
    <cellStyle name="20% - Accent5 2 2 2 3 4 2 3" xfId="28660" xr:uid="{00000000-0005-0000-0000-0000C4200000}"/>
    <cellStyle name="20% - Accent5 2 2 2 3 4 3" xfId="13300" xr:uid="{00000000-0005-0000-0000-0000C5200000}"/>
    <cellStyle name="20% - Accent5 2 2 2 3 4 3 2" xfId="33780" xr:uid="{00000000-0005-0000-0000-0000C6200000}"/>
    <cellStyle name="20% - Accent5 2 2 2 3 4 4" xfId="23540" xr:uid="{00000000-0005-0000-0000-0000C7200000}"/>
    <cellStyle name="20% - Accent5 2 2 2 3 5" xfId="5620" xr:uid="{00000000-0005-0000-0000-0000C8200000}"/>
    <cellStyle name="20% - Accent5 2 2 2 3 5 2" xfId="15860" xr:uid="{00000000-0005-0000-0000-0000C9200000}"/>
    <cellStyle name="20% - Accent5 2 2 2 3 5 2 2" xfId="36340" xr:uid="{00000000-0005-0000-0000-0000CA200000}"/>
    <cellStyle name="20% - Accent5 2 2 2 3 5 3" xfId="26100" xr:uid="{00000000-0005-0000-0000-0000CB200000}"/>
    <cellStyle name="20% - Accent5 2 2 2 3 6" xfId="10740" xr:uid="{00000000-0005-0000-0000-0000CC200000}"/>
    <cellStyle name="20% - Accent5 2 2 2 3 6 2" xfId="31220" xr:uid="{00000000-0005-0000-0000-0000CD200000}"/>
    <cellStyle name="20% - Accent5 2 2 2 3 7" xfId="20980" xr:uid="{00000000-0005-0000-0000-0000CE200000}"/>
    <cellStyle name="20% - Accent5 2 2 2 4" xfId="820" xr:uid="{00000000-0005-0000-0000-0000CF200000}"/>
    <cellStyle name="20% - Accent5 2 2 2 4 2" xfId="2100" xr:uid="{00000000-0005-0000-0000-0000D0200000}"/>
    <cellStyle name="20% - Accent5 2 2 2 4 2 2" xfId="4660" xr:uid="{00000000-0005-0000-0000-0000D1200000}"/>
    <cellStyle name="20% - Accent5 2 2 2 4 2 2 2" xfId="9780" xr:uid="{00000000-0005-0000-0000-0000D2200000}"/>
    <cellStyle name="20% - Accent5 2 2 2 4 2 2 2 2" xfId="20020" xr:uid="{00000000-0005-0000-0000-0000D3200000}"/>
    <cellStyle name="20% - Accent5 2 2 2 4 2 2 2 2 2" xfId="40500" xr:uid="{00000000-0005-0000-0000-0000D4200000}"/>
    <cellStyle name="20% - Accent5 2 2 2 4 2 2 2 3" xfId="30260" xr:uid="{00000000-0005-0000-0000-0000D5200000}"/>
    <cellStyle name="20% - Accent5 2 2 2 4 2 2 3" xfId="14900" xr:uid="{00000000-0005-0000-0000-0000D6200000}"/>
    <cellStyle name="20% - Accent5 2 2 2 4 2 2 3 2" xfId="35380" xr:uid="{00000000-0005-0000-0000-0000D7200000}"/>
    <cellStyle name="20% - Accent5 2 2 2 4 2 2 4" xfId="25140" xr:uid="{00000000-0005-0000-0000-0000D8200000}"/>
    <cellStyle name="20% - Accent5 2 2 2 4 2 3" xfId="7220" xr:uid="{00000000-0005-0000-0000-0000D9200000}"/>
    <cellStyle name="20% - Accent5 2 2 2 4 2 3 2" xfId="17460" xr:uid="{00000000-0005-0000-0000-0000DA200000}"/>
    <cellStyle name="20% - Accent5 2 2 2 4 2 3 2 2" xfId="37940" xr:uid="{00000000-0005-0000-0000-0000DB200000}"/>
    <cellStyle name="20% - Accent5 2 2 2 4 2 3 3" xfId="27700" xr:uid="{00000000-0005-0000-0000-0000DC200000}"/>
    <cellStyle name="20% - Accent5 2 2 2 4 2 4" xfId="12340" xr:uid="{00000000-0005-0000-0000-0000DD200000}"/>
    <cellStyle name="20% - Accent5 2 2 2 4 2 4 2" xfId="32820" xr:uid="{00000000-0005-0000-0000-0000DE200000}"/>
    <cellStyle name="20% - Accent5 2 2 2 4 2 5" xfId="22580" xr:uid="{00000000-0005-0000-0000-0000DF200000}"/>
    <cellStyle name="20% - Accent5 2 2 2 4 3" xfId="3380" xr:uid="{00000000-0005-0000-0000-0000E0200000}"/>
    <cellStyle name="20% - Accent5 2 2 2 4 3 2" xfId="8500" xr:uid="{00000000-0005-0000-0000-0000E1200000}"/>
    <cellStyle name="20% - Accent5 2 2 2 4 3 2 2" xfId="18740" xr:uid="{00000000-0005-0000-0000-0000E2200000}"/>
    <cellStyle name="20% - Accent5 2 2 2 4 3 2 2 2" xfId="39220" xr:uid="{00000000-0005-0000-0000-0000E3200000}"/>
    <cellStyle name="20% - Accent5 2 2 2 4 3 2 3" xfId="28980" xr:uid="{00000000-0005-0000-0000-0000E4200000}"/>
    <cellStyle name="20% - Accent5 2 2 2 4 3 3" xfId="13620" xr:uid="{00000000-0005-0000-0000-0000E5200000}"/>
    <cellStyle name="20% - Accent5 2 2 2 4 3 3 2" xfId="34100" xr:uid="{00000000-0005-0000-0000-0000E6200000}"/>
    <cellStyle name="20% - Accent5 2 2 2 4 3 4" xfId="23860" xr:uid="{00000000-0005-0000-0000-0000E7200000}"/>
    <cellStyle name="20% - Accent5 2 2 2 4 4" xfId="5940" xr:uid="{00000000-0005-0000-0000-0000E8200000}"/>
    <cellStyle name="20% - Accent5 2 2 2 4 4 2" xfId="16180" xr:uid="{00000000-0005-0000-0000-0000E9200000}"/>
    <cellStyle name="20% - Accent5 2 2 2 4 4 2 2" xfId="36660" xr:uid="{00000000-0005-0000-0000-0000EA200000}"/>
    <cellStyle name="20% - Accent5 2 2 2 4 4 3" xfId="26420" xr:uid="{00000000-0005-0000-0000-0000EB200000}"/>
    <cellStyle name="20% - Accent5 2 2 2 4 5" xfId="11060" xr:uid="{00000000-0005-0000-0000-0000EC200000}"/>
    <cellStyle name="20% - Accent5 2 2 2 4 5 2" xfId="31540" xr:uid="{00000000-0005-0000-0000-0000ED200000}"/>
    <cellStyle name="20% - Accent5 2 2 2 4 6" xfId="21300" xr:uid="{00000000-0005-0000-0000-0000EE200000}"/>
    <cellStyle name="20% - Accent5 2 2 2 5" xfId="1460" xr:uid="{00000000-0005-0000-0000-0000EF200000}"/>
    <cellStyle name="20% - Accent5 2 2 2 5 2" xfId="4020" xr:uid="{00000000-0005-0000-0000-0000F0200000}"/>
    <cellStyle name="20% - Accent5 2 2 2 5 2 2" xfId="9140" xr:uid="{00000000-0005-0000-0000-0000F1200000}"/>
    <cellStyle name="20% - Accent5 2 2 2 5 2 2 2" xfId="19380" xr:uid="{00000000-0005-0000-0000-0000F2200000}"/>
    <cellStyle name="20% - Accent5 2 2 2 5 2 2 2 2" xfId="39860" xr:uid="{00000000-0005-0000-0000-0000F3200000}"/>
    <cellStyle name="20% - Accent5 2 2 2 5 2 2 3" xfId="29620" xr:uid="{00000000-0005-0000-0000-0000F4200000}"/>
    <cellStyle name="20% - Accent5 2 2 2 5 2 3" xfId="14260" xr:uid="{00000000-0005-0000-0000-0000F5200000}"/>
    <cellStyle name="20% - Accent5 2 2 2 5 2 3 2" xfId="34740" xr:uid="{00000000-0005-0000-0000-0000F6200000}"/>
    <cellStyle name="20% - Accent5 2 2 2 5 2 4" xfId="24500" xr:uid="{00000000-0005-0000-0000-0000F7200000}"/>
    <cellStyle name="20% - Accent5 2 2 2 5 3" xfId="6580" xr:uid="{00000000-0005-0000-0000-0000F8200000}"/>
    <cellStyle name="20% - Accent5 2 2 2 5 3 2" xfId="16820" xr:uid="{00000000-0005-0000-0000-0000F9200000}"/>
    <cellStyle name="20% - Accent5 2 2 2 5 3 2 2" xfId="37300" xr:uid="{00000000-0005-0000-0000-0000FA200000}"/>
    <cellStyle name="20% - Accent5 2 2 2 5 3 3" xfId="27060" xr:uid="{00000000-0005-0000-0000-0000FB200000}"/>
    <cellStyle name="20% - Accent5 2 2 2 5 4" xfId="11700" xr:uid="{00000000-0005-0000-0000-0000FC200000}"/>
    <cellStyle name="20% - Accent5 2 2 2 5 4 2" xfId="32180" xr:uid="{00000000-0005-0000-0000-0000FD200000}"/>
    <cellStyle name="20% - Accent5 2 2 2 5 5" xfId="21940" xr:uid="{00000000-0005-0000-0000-0000FE200000}"/>
    <cellStyle name="20% - Accent5 2 2 2 6" xfId="2740" xr:uid="{00000000-0005-0000-0000-0000FF200000}"/>
    <cellStyle name="20% - Accent5 2 2 2 6 2" xfId="7860" xr:uid="{00000000-0005-0000-0000-000000210000}"/>
    <cellStyle name="20% - Accent5 2 2 2 6 2 2" xfId="18100" xr:uid="{00000000-0005-0000-0000-000001210000}"/>
    <cellStyle name="20% - Accent5 2 2 2 6 2 2 2" xfId="38580" xr:uid="{00000000-0005-0000-0000-000002210000}"/>
    <cellStyle name="20% - Accent5 2 2 2 6 2 3" xfId="28340" xr:uid="{00000000-0005-0000-0000-000003210000}"/>
    <cellStyle name="20% - Accent5 2 2 2 6 3" xfId="12980" xr:uid="{00000000-0005-0000-0000-000004210000}"/>
    <cellStyle name="20% - Accent5 2 2 2 6 3 2" xfId="33460" xr:uid="{00000000-0005-0000-0000-000005210000}"/>
    <cellStyle name="20% - Accent5 2 2 2 6 4" xfId="23220" xr:uid="{00000000-0005-0000-0000-000006210000}"/>
    <cellStyle name="20% - Accent5 2 2 2 7" xfId="5300" xr:uid="{00000000-0005-0000-0000-000007210000}"/>
    <cellStyle name="20% - Accent5 2 2 2 7 2" xfId="15540" xr:uid="{00000000-0005-0000-0000-000008210000}"/>
    <cellStyle name="20% - Accent5 2 2 2 7 2 2" xfId="36020" xr:uid="{00000000-0005-0000-0000-000009210000}"/>
    <cellStyle name="20% - Accent5 2 2 2 7 3" xfId="25780" xr:uid="{00000000-0005-0000-0000-00000A210000}"/>
    <cellStyle name="20% - Accent5 2 2 2 8" xfId="10420" xr:uid="{00000000-0005-0000-0000-00000B210000}"/>
    <cellStyle name="20% - Accent5 2 2 2 8 2" xfId="30900" xr:uid="{00000000-0005-0000-0000-00000C210000}"/>
    <cellStyle name="20% - Accent5 2 2 2 9" xfId="20660" xr:uid="{00000000-0005-0000-0000-00000D210000}"/>
    <cellStyle name="20% - Accent5 2 2 3" xfId="260" xr:uid="{00000000-0005-0000-0000-00000E210000}"/>
    <cellStyle name="20% - Accent5 2 2 3 2" xfId="580" xr:uid="{00000000-0005-0000-0000-00000F210000}"/>
    <cellStyle name="20% - Accent5 2 2 3 2 2" xfId="1220" xr:uid="{00000000-0005-0000-0000-000010210000}"/>
    <cellStyle name="20% - Accent5 2 2 3 2 2 2" xfId="2500" xr:uid="{00000000-0005-0000-0000-000011210000}"/>
    <cellStyle name="20% - Accent5 2 2 3 2 2 2 2" xfId="5060" xr:uid="{00000000-0005-0000-0000-000012210000}"/>
    <cellStyle name="20% - Accent5 2 2 3 2 2 2 2 2" xfId="10180" xr:uid="{00000000-0005-0000-0000-000013210000}"/>
    <cellStyle name="20% - Accent5 2 2 3 2 2 2 2 2 2" xfId="20420" xr:uid="{00000000-0005-0000-0000-000014210000}"/>
    <cellStyle name="20% - Accent5 2 2 3 2 2 2 2 2 2 2" xfId="40900" xr:uid="{00000000-0005-0000-0000-000015210000}"/>
    <cellStyle name="20% - Accent5 2 2 3 2 2 2 2 2 3" xfId="30660" xr:uid="{00000000-0005-0000-0000-000016210000}"/>
    <cellStyle name="20% - Accent5 2 2 3 2 2 2 2 3" xfId="15300" xr:uid="{00000000-0005-0000-0000-000017210000}"/>
    <cellStyle name="20% - Accent5 2 2 3 2 2 2 2 3 2" xfId="35780" xr:uid="{00000000-0005-0000-0000-000018210000}"/>
    <cellStyle name="20% - Accent5 2 2 3 2 2 2 2 4" xfId="25540" xr:uid="{00000000-0005-0000-0000-000019210000}"/>
    <cellStyle name="20% - Accent5 2 2 3 2 2 2 3" xfId="7620" xr:uid="{00000000-0005-0000-0000-00001A210000}"/>
    <cellStyle name="20% - Accent5 2 2 3 2 2 2 3 2" xfId="17860" xr:uid="{00000000-0005-0000-0000-00001B210000}"/>
    <cellStyle name="20% - Accent5 2 2 3 2 2 2 3 2 2" xfId="38340" xr:uid="{00000000-0005-0000-0000-00001C210000}"/>
    <cellStyle name="20% - Accent5 2 2 3 2 2 2 3 3" xfId="28100" xr:uid="{00000000-0005-0000-0000-00001D210000}"/>
    <cellStyle name="20% - Accent5 2 2 3 2 2 2 4" xfId="12740" xr:uid="{00000000-0005-0000-0000-00001E210000}"/>
    <cellStyle name="20% - Accent5 2 2 3 2 2 2 4 2" xfId="33220" xr:uid="{00000000-0005-0000-0000-00001F210000}"/>
    <cellStyle name="20% - Accent5 2 2 3 2 2 2 5" xfId="22980" xr:uid="{00000000-0005-0000-0000-000020210000}"/>
    <cellStyle name="20% - Accent5 2 2 3 2 2 3" xfId="3780" xr:uid="{00000000-0005-0000-0000-000021210000}"/>
    <cellStyle name="20% - Accent5 2 2 3 2 2 3 2" xfId="8900" xr:uid="{00000000-0005-0000-0000-000022210000}"/>
    <cellStyle name="20% - Accent5 2 2 3 2 2 3 2 2" xfId="19140" xr:uid="{00000000-0005-0000-0000-000023210000}"/>
    <cellStyle name="20% - Accent5 2 2 3 2 2 3 2 2 2" xfId="39620" xr:uid="{00000000-0005-0000-0000-000024210000}"/>
    <cellStyle name="20% - Accent5 2 2 3 2 2 3 2 3" xfId="29380" xr:uid="{00000000-0005-0000-0000-000025210000}"/>
    <cellStyle name="20% - Accent5 2 2 3 2 2 3 3" xfId="14020" xr:uid="{00000000-0005-0000-0000-000026210000}"/>
    <cellStyle name="20% - Accent5 2 2 3 2 2 3 3 2" xfId="34500" xr:uid="{00000000-0005-0000-0000-000027210000}"/>
    <cellStyle name="20% - Accent5 2 2 3 2 2 3 4" xfId="24260" xr:uid="{00000000-0005-0000-0000-000028210000}"/>
    <cellStyle name="20% - Accent5 2 2 3 2 2 4" xfId="6340" xr:uid="{00000000-0005-0000-0000-000029210000}"/>
    <cellStyle name="20% - Accent5 2 2 3 2 2 4 2" xfId="16580" xr:uid="{00000000-0005-0000-0000-00002A210000}"/>
    <cellStyle name="20% - Accent5 2 2 3 2 2 4 2 2" xfId="37060" xr:uid="{00000000-0005-0000-0000-00002B210000}"/>
    <cellStyle name="20% - Accent5 2 2 3 2 2 4 3" xfId="26820" xr:uid="{00000000-0005-0000-0000-00002C210000}"/>
    <cellStyle name="20% - Accent5 2 2 3 2 2 5" xfId="11460" xr:uid="{00000000-0005-0000-0000-00002D210000}"/>
    <cellStyle name="20% - Accent5 2 2 3 2 2 5 2" xfId="31940" xr:uid="{00000000-0005-0000-0000-00002E210000}"/>
    <cellStyle name="20% - Accent5 2 2 3 2 2 6" xfId="21700" xr:uid="{00000000-0005-0000-0000-00002F210000}"/>
    <cellStyle name="20% - Accent5 2 2 3 2 3" xfId="1860" xr:uid="{00000000-0005-0000-0000-000030210000}"/>
    <cellStyle name="20% - Accent5 2 2 3 2 3 2" xfId="4420" xr:uid="{00000000-0005-0000-0000-000031210000}"/>
    <cellStyle name="20% - Accent5 2 2 3 2 3 2 2" xfId="9540" xr:uid="{00000000-0005-0000-0000-000032210000}"/>
    <cellStyle name="20% - Accent5 2 2 3 2 3 2 2 2" xfId="19780" xr:uid="{00000000-0005-0000-0000-000033210000}"/>
    <cellStyle name="20% - Accent5 2 2 3 2 3 2 2 2 2" xfId="40260" xr:uid="{00000000-0005-0000-0000-000034210000}"/>
    <cellStyle name="20% - Accent5 2 2 3 2 3 2 2 3" xfId="30020" xr:uid="{00000000-0005-0000-0000-000035210000}"/>
    <cellStyle name="20% - Accent5 2 2 3 2 3 2 3" xfId="14660" xr:uid="{00000000-0005-0000-0000-000036210000}"/>
    <cellStyle name="20% - Accent5 2 2 3 2 3 2 3 2" xfId="35140" xr:uid="{00000000-0005-0000-0000-000037210000}"/>
    <cellStyle name="20% - Accent5 2 2 3 2 3 2 4" xfId="24900" xr:uid="{00000000-0005-0000-0000-000038210000}"/>
    <cellStyle name="20% - Accent5 2 2 3 2 3 3" xfId="6980" xr:uid="{00000000-0005-0000-0000-000039210000}"/>
    <cellStyle name="20% - Accent5 2 2 3 2 3 3 2" xfId="17220" xr:uid="{00000000-0005-0000-0000-00003A210000}"/>
    <cellStyle name="20% - Accent5 2 2 3 2 3 3 2 2" xfId="37700" xr:uid="{00000000-0005-0000-0000-00003B210000}"/>
    <cellStyle name="20% - Accent5 2 2 3 2 3 3 3" xfId="27460" xr:uid="{00000000-0005-0000-0000-00003C210000}"/>
    <cellStyle name="20% - Accent5 2 2 3 2 3 4" xfId="12100" xr:uid="{00000000-0005-0000-0000-00003D210000}"/>
    <cellStyle name="20% - Accent5 2 2 3 2 3 4 2" xfId="32580" xr:uid="{00000000-0005-0000-0000-00003E210000}"/>
    <cellStyle name="20% - Accent5 2 2 3 2 3 5" xfId="22340" xr:uid="{00000000-0005-0000-0000-00003F210000}"/>
    <cellStyle name="20% - Accent5 2 2 3 2 4" xfId="3140" xr:uid="{00000000-0005-0000-0000-000040210000}"/>
    <cellStyle name="20% - Accent5 2 2 3 2 4 2" xfId="8260" xr:uid="{00000000-0005-0000-0000-000041210000}"/>
    <cellStyle name="20% - Accent5 2 2 3 2 4 2 2" xfId="18500" xr:uid="{00000000-0005-0000-0000-000042210000}"/>
    <cellStyle name="20% - Accent5 2 2 3 2 4 2 2 2" xfId="38980" xr:uid="{00000000-0005-0000-0000-000043210000}"/>
    <cellStyle name="20% - Accent5 2 2 3 2 4 2 3" xfId="28740" xr:uid="{00000000-0005-0000-0000-000044210000}"/>
    <cellStyle name="20% - Accent5 2 2 3 2 4 3" xfId="13380" xr:uid="{00000000-0005-0000-0000-000045210000}"/>
    <cellStyle name="20% - Accent5 2 2 3 2 4 3 2" xfId="33860" xr:uid="{00000000-0005-0000-0000-000046210000}"/>
    <cellStyle name="20% - Accent5 2 2 3 2 4 4" xfId="23620" xr:uid="{00000000-0005-0000-0000-000047210000}"/>
    <cellStyle name="20% - Accent5 2 2 3 2 5" xfId="5700" xr:uid="{00000000-0005-0000-0000-000048210000}"/>
    <cellStyle name="20% - Accent5 2 2 3 2 5 2" xfId="15940" xr:uid="{00000000-0005-0000-0000-000049210000}"/>
    <cellStyle name="20% - Accent5 2 2 3 2 5 2 2" xfId="36420" xr:uid="{00000000-0005-0000-0000-00004A210000}"/>
    <cellStyle name="20% - Accent5 2 2 3 2 5 3" xfId="26180" xr:uid="{00000000-0005-0000-0000-00004B210000}"/>
    <cellStyle name="20% - Accent5 2 2 3 2 6" xfId="10820" xr:uid="{00000000-0005-0000-0000-00004C210000}"/>
    <cellStyle name="20% - Accent5 2 2 3 2 6 2" xfId="31300" xr:uid="{00000000-0005-0000-0000-00004D210000}"/>
    <cellStyle name="20% - Accent5 2 2 3 2 7" xfId="21060" xr:uid="{00000000-0005-0000-0000-00004E210000}"/>
    <cellStyle name="20% - Accent5 2 2 3 3" xfId="900" xr:uid="{00000000-0005-0000-0000-00004F210000}"/>
    <cellStyle name="20% - Accent5 2 2 3 3 2" xfId="2180" xr:uid="{00000000-0005-0000-0000-000050210000}"/>
    <cellStyle name="20% - Accent5 2 2 3 3 2 2" xfId="4740" xr:uid="{00000000-0005-0000-0000-000051210000}"/>
    <cellStyle name="20% - Accent5 2 2 3 3 2 2 2" xfId="9860" xr:uid="{00000000-0005-0000-0000-000052210000}"/>
    <cellStyle name="20% - Accent5 2 2 3 3 2 2 2 2" xfId="20100" xr:uid="{00000000-0005-0000-0000-000053210000}"/>
    <cellStyle name="20% - Accent5 2 2 3 3 2 2 2 2 2" xfId="40580" xr:uid="{00000000-0005-0000-0000-000054210000}"/>
    <cellStyle name="20% - Accent5 2 2 3 3 2 2 2 3" xfId="30340" xr:uid="{00000000-0005-0000-0000-000055210000}"/>
    <cellStyle name="20% - Accent5 2 2 3 3 2 2 3" xfId="14980" xr:uid="{00000000-0005-0000-0000-000056210000}"/>
    <cellStyle name="20% - Accent5 2 2 3 3 2 2 3 2" xfId="35460" xr:uid="{00000000-0005-0000-0000-000057210000}"/>
    <cellStyle name="20% - Accent5 2 2 3 3 2 2 4" xfId="25220" xr:uid="{00000000-0005-0000-0000-000058210000}"/>
    <cellStyle name="20% - Accent5 2 2 3 3 2 3" xfId="7300" xr:uid="{00000000-0005-0000-0000-000059210000}"/>
    <cellStyle name="20% - Accent5 2 2 3 3 2 3 2" xfId="17540" xr:uid="{00000000-0005-0000-0000-00005A210000}"/>
    <cellStyle name="20% - Accent5 2 2 3 3 2 3 2 2" xfId="38020" xr:uid="{00000000-0005-0000-0000-00005B210000}"/>
    <cellStyle name="20% - Accent5 2 2 3 3 2 3 3" xfId="27780" xr:uid="{00000000-0005-0000-0000-00005C210000}"/>
    <cellStyle name="20% - Accent5 2 2 3 3 2 4" xfId="12420" xr:uid="{00000000-0005-0000-0000-00005D210000}"/>
    <cellStyle name="20% - Accent5 2 2 3 3 2 4 2" xfId="32900" xr:uid="{00000000-0005-0000-0000-00005E210000}"/>
    <cellStyle name="20% - Accent5 2 2 3 3 2 5" xfId="22660" xr:uid="{00000000-0005-0000-0000-00005F210000}"/>
    <cellStyle name="20% - Accent5 2 2 3 3 3" xfId="3460" xr:uid="{00000000-0005-0000-0000-000060210000}"/>
    <cellStyle name="20% - Accent5 2 2 3 3 3 2" xfId="8580" xr:uid="{00000000-0005-0000-0000-000061210000}"/>
    <cellStyle name="20% - Accent5 2 2 3 3 3 2 2" xfId="18820" xr:uid="{00000000-0005-0000-0000-000062210000}"/>
    <cellStyle name="20% - Accent5 2 2 3 3 3 2 2 2" xfId="39300" xr:uid="{00000000-0005-0000-0000-000063210000}"/>
    <cellStyle name="20% - Accent5 2 2 3 3 3 2 3" xfId="29060" xr:uid="{00000000-0005-0000-0000-000064210000}"/>
    <cellStyle name="20% - Accent5 2 2 3 3 3 3" xfId="13700" xr:uid="{00000000-0005-0000-0000-000065210000}"/>
    <cellStyle name="20% - Accent5 2 2 3 3 3 3 2" xfId="34180" xr:uid="{00000000-0005-0000-0000-000066210000}"/>
    <cellStyle name="20% - Accent5 2 2 3 3 3 4" xfId="23940" xr:uid="{00000000-0005-0000-0000-000067210000}"/>
    <cellStyle name="20% - Accent5 2 2 3 3 4" xfId="6020" xr:uid="{00000000-0005-0000-0000-000068210000}"/>
    <cellStyle name="20% - Accent5 2 2 3 3 4 2" xfId="16260" xr:uid="{00000000-0005-0000-0000-000069210000}"/>
    <cellStyle name="20% - Accent5 2 2 3 3 4 2 2" xfId="36740" xr:uid="{00000000-0005-0000-0000-00006A210000}"/>
    <cellStyle name="20% - Accent5 2 2 3 3 4 3" xfId="26500" xr:uid="{00000000-0005-0000-0000-00006B210000}"/>
    <cellStyle name="20% - Accent5 2 2 3 3 5" xfId="11140" xr:uid="{00000000-0005-0000-0000-00006C210000}"/>
    <cellStyle name="20% - Accent5 2 2 3 3 5 2" xfId="31620" xr:uid="{00000000-0005-0000-0000-00006D210000}"/>
    <cellStyle name="20% - Accent5 2 2 3 3 6" xfId="21380" xr:uid="{00000000-0005-0000-0000-00006E210000}"/>
    <cellStyle name="20% - Accent5 2 2 3 4" xfId="1540" xr:uid="{00000000-0005-0000-0000-00006F210000}"/>
    <cellStyle name="20% - Accent5 2 2 3 4 2" xfId="4100" xr:uid="{00000000-0005-0000-0000-000070210000}"/>
    <cellStyle name="20% - Accent5 2 2 3 4 2 2" xfId="9220" xr:uid="{00000000-0005-0000-0000-000071210000}"/>
    <cellStyle name="20% - Accent5 2 2 3 4 2 2 2" xfId="19460" xr:uid="{00000000-0005-0000-0000-000072210000}"/>
    <cellStyle name="20% - Accent5 2 2 3 4 2 2 2 2" xfId="39940" xr:uid="{00000000-0005-0000-0000-000073210000}"/>
    <cellStyle name="20% - Accent5 2 2 3 4 2 2 3" xfId="29700" xr:uid="{00000000-0005-0000-0000-000074210000}"/>
    <cellStyle name="20% - Accent5 2 2 3 4 2 3" xfId="14340" xr:uid="{00000000-0005-0000-0000-000075210000}"/>
    <cellStyle name="20% - Accent5 2 2 3 4 2 3 2" xfId="34820" xr:uid="{00000000-0005-0000-0000-000076210000}"/>
    <cellStyle name="20% - Accent5 2 2 3 4 2 4" xfId="24580" xr:uid="{00000000-0005-0000-0000-000077210000}"/>
    <cellStyle name="20% - Accent5 2 2 3 4 3" xfId="6660" xr:uid="{00000000-0005-0000-0000-000078210000}"/>
    <cellStyle name="20% - Accent5 2 2 3 4 3 2" xfId="16900" xr:uid="{00000000-0005-0000-0000-000079210000}"/>
    <cellStyle name="20% - Accent5 2 2 3 4 3 2 2" xfId="37380" xr:uid="{00000000-0005-0000-0000-00007A210000}"/>
    <cellStyle name="20% - Accent5 2 2 3 4 3 3" xfId="27140" xr:uid="{00000000-0005-0000-0000-00007B210000}"/>
    <cellStyle name="20% - Accent5 2 2 3 4 4" xfId="11780" xr:uid="{00000000-0005-0000-0000-00007C210000}"/>
    <cellStyle name="20% - Accent5 2 2 3 4 4 2" xfId="32260" xr:uid="{00000000-0005-0000-0000-00007D210000}"/>
    <cellStyle name="20% - Accent5 2 2 3 4 5" xfId="22020" xr:uid="{00000000-0005-0000-0000-00007E210000}"/>
    <cellStyle name="20% - Accent5 2 2 3 5" xfId="2820" xr:uid="{00000000-0005-0000-0000-00007F210000}"/>
    <cellStyle name="20% - Accent5 2 2 3 5 2" xfId="7940" xr:uid="{00000000-0005-0000-0000-000080210000}"/>
    <cellStyle name="20% - Accent5 2 2 3 5 2 2" xfId="18180" xr:uid="{00000000-0005-0000-0000-000081210000}"/>
    <cellStyle name="20% - Accent5 2 2 3 5 2 2 2" xfId="38660" xr:uid="{00000000-0005-0000-0000-000082210000}"/>
    <cellStyle name="20% - Accent5 2 2 3 5 2 3" xfId="28420" xr:uid="{00000000-0005-0000-0000-000083210000}"/>
    <cellStyle name="20% - Accent5 2 2 3 5 3" xfId="13060" xr:uid="{00000000-0005-0000-0000-000084210000}"/>
    <cellStyle name="20% - Accent5 2 2 3 5 3 2" xfId="33540" xr:uid="{00000000-0005-0000-0000-000085210000}"/>
    <cellStyle name="20% - Accent5 2 2 3 5 4" xfId="23300" xr:uid="{00000000-0005-0000-0000-000086210000}"/>
    <cellStyle name="20% - Accent5 2 2 3 6" xfId="5380" xr:uid="{00000000-0005-0000-0000-000087210000}"/>
    <cellStyle name="20% - Accent5 2 2 3 6 2" xfId="15620" xr:uid="{00000000-0005-0000-0000-000088210000}"/>
    <cellStyle name="20% - Accent5 2 2 3 6 2 2" xfId="36100" xr:uid="{00000000-0005-0000-0000-000089210000}"/>
    <cellStyle name="20% - Accent5 2 2 3 6 3" xfId="25860" xr:uid="{00000000-0005-0000-0000-00008A210000}"/>
    <cellStyle name="20% - Accent5 2 2 3 7" xfId="10500" xr:uid="{00000000-0005-0000-0000-00008B210000}"/>
    <cellStyle name="20% - Accent5 2 2 3 7 2" xfId="30980" xr:uid="{00000000-0005-0000-0000-00008C210000}"/>
    <cellStyle name="20% - Accent5 2 2 3 8" xfId="20740" xr:uid="{00000000-0005-0000-0000-00008D210000}"/>
    <cellStyle name="20% - Accent5 2 2 4" xfId="420" xr:uid="{00000000-0005-0000-0000-00008E210000}"/>
    <cellStyle name="20% - Accent5 2 2 4 2" xfId="1060" xr:uid="{00000000-0005-0000-0000-00008F210000}"/>
    <cellStyle name="20% - Accent5 2 2 4 2 2" xfId="2340" xr:uid="{00000000-0005-0000-0000-000090210000}"/>
    <cellStyle name="20% - Accent5 2 2 4 2 2 2" xfId="4900" xr:uid="{00000000-0005-0000-0000-000091210000}"/>
    <cellStyle name="20% - Accent5 2 2 4 2 2 2 2" xfId="10020" xr:uid="{00000000-0005-0000-0000-000092210000}"/>
    <cellStyle name="20% - Accent5 2 2 4 2 2 2 2 2" xfId="20260" xr:uid="{00000000-0005-0000-0000-000093210000}"/>
    <cellStyle name="20% - Accent5 2 2 4 2 2 2 2 2 2" xfId="40740" xr:uid="{00000000-0005-0000-0000-000094210000}"/>
    <cellStyle name="20% - Accent5 2 2 4 2 2 2 2 3" xfId="30500" xr:uid="{00000000-0005-0000-0000-000095210000}"/>
    <cellStyle name="20% - Accent5 2 2 4 2 2 2 3" xfId="15140" xr:uid="{00000000-0005-0000-0000-000096210000}"/>
    <cellStyle name="20% - Accent5 2 2 4 2 2 2 3 2" xfId="35620" xr:uid="{00000000-0005-0000-0000-000097210000}"/>
    <cellStyle name="20% - Accent5 2 2 4 2 2 2 4" xfId="25380" xr:uid="{00000000-0005-0000-0000-000098210000}"/>
    <cellStyle name="20% - Accent5 2 2 4 2 2 3" xfId="7460" xr:uid="{00000000-0005-0000-0000-000099210000}"/>
    <cellStyle name="20% - Accent5 2 2 4 2 2 3 2" xfId="17700" xr:uid="{00000000-0005-0000-0000-00009A210000}"/>
    <cellStyle name="20% - Accent5 2 2 4 2 2 3 2 2" xfId="38180" xr:uid="{00000000-0005-0000-0000-00009B210000}"/>
    <cellStyle name="20% - Accent5 2 2 4 2 2 3 3" xfId="27940" xr:uid="{00000000-0005-0000-0000-00009C210000}"/>
    <cellStyle name="20% - Accent5 2 2 4 2 2 4" xfId="12580" xr:uid="{00000000-0005-0000-0000-00009D210000}"/>
    <cellStyle name="20% - Accent5 2 2 4 2 2 4 2" xfId="33060" xr:uid="{00000000-0005-0000-0000-00009E210000}"/>
    <cellStyle name="20% - Accent5 2 2 4 2 2 5" xfId="22820" xr:uid="{00000000-0005-0000-0000-00009F210000}"/>
    <cellStyle name="20% - Accent5 2 2 4 2 3" xfId="3620" xr:uid="{00000000-0005-0000-0000-0000A0210000}"/>
    <cellStyle name="20% - Accent5 2 2 4 2 3 2" xfId="8740" xr:uid="{00000000-0005-0000-0000-0000A1210000}"/>
    <cellStyle name="20% - Accent5 2 2 4 2 3 2 2" xfId="18980" xr:uid="{00000000-0005-0000-0000-0000A2210000}"/>
    <cellStyle name="20% - Accent5 2 2 4 2 3 2 2 2" xfId="39460" xr:uid="{00000000-0005-0000-0000-0000A3210000}"/>
    <cellStyle name="20% - Accent5 2 2 4 2 3 2 3" xfId="29220" xr:uid="{00000000-0005-0000-0000-0000A4210000}"/>
    <cellStyle name="20% - Accent5 2 2 4 2 3 3" xfId="13860" xr:uid="{00000000-0005-0000-0000-0000A5210000}"/>
    <cellStyle name="20% - Accent5 2 2 4 2 3 3 2" xfId="34340" xr:uid="{00000000-0005-0000-0000-0000A6210000}"/>
    <cellStyle name="20% - Accent5 2 2 4 2 3 4" xfId="24100" xr:uid="{00000000-0005-0000-0000-0000A7210000}"/>
    <cellStyle name="20% - Accent5 2 2 4 2 4" xfId="6180" xr:uid="{00000000-0005-0000-0000-0000A8210000}"/>
    <cellStyle name="20% - Accent5 2 2 4 2 4 2" xfId="16420" xr:uid="{00000000-0005-0000-0000-0000A9210000}"/>
    <cellStyle name="20% - Accent5 2 2 4 2 4 2 2" xfId="36900" xr:uid="{00000000-0005-0000-0000-0000AA210000}"/>
    <cellStyle name="20% - Accent5 2 2 4 2 4 3" xfId="26660" xr:uid="{00000000-0005-0000-0000-0000AB210000}"/>
    <cellStyle name="20% - Accent5 2 2 4 2 5" xfId="11300" xr:uid="{00000000-0005-0000-0000-0000AC210000}"/>
    <cellStyle name="20% - Accent5 2 2 4 2 5 2" xfId="31780" xr:uid="{00000000-0005-0000-0000-0000AD210000}"/>
    <cellStyle name="20% - Accent5 2 2 4 2 6" xfId="21540" xr:uid="{00000000-0005-0000-0000-0000AE210000}"/>
    <cellStyle name="20% - Accent5 2 2 4 3" xfId="1700" xr:uid="{00000000-0005-0000-0000-0000AF210000}"/>
    <cellStyle name="20% - Accent5 2 2 4 3 2" xfId="4260" xr:uid="{00000000-0005-0000-0000-0000B0210000}"/>
    <cellStyle name="20% - Accent5 2 2 4 3 2 2" xfId="9380" xr:uid="{00000000-0005-0000-0000-0000B1210000}"/>
    <cellStyle name="20% - Accent5 2 2 4 3 2 2 2" xfId="19620" xr:uid="{00000000-0005-0000-0000-0000B2210000}"/>
    <cellStyle name="20% - Accent5 2 2 4 3 2 2 2 2" xfId="40100" xr:uid="{00000000-0005-0000-0000-0000B3210000}"/>
    <cellStyle name="20% - Accent5 2 2 4 3 2 2 3" xfId="29860" xr:uid="{00000000-0005-0000-0000-0000B4210000}"/>
    <cellStyle name="20% - Accent5 2 2 4 3 2 3" xfId="14500" xr:uid="{00000000-0005-0000-0000-0000B5210000}"/>
    <cellStyle name="20% - Accent5 2 2 4 3 2 3 2" xfId="34980" xr:uid="{00000000-0005-0000-0000-0000B6210000}"/>
    <cellStyle name="20% - Accent5 2 2 4 3 2 4" xfId="24740" xr:uid="{00000000-0005-0000-0000-0000B7210000}"/>
    <cellStyle name="20% - Accent5 2 2 4 3 3" xfId="6820" xr:uid="{00000000-0005-0000-0000-0000B8210000}"/>
    <cellStyle name="20% - Accent5 2 2 4 3 3 2" xfId="17060" xr:uid="{00000000-0005-0000-0000-0000B9210000}"/>
    <cellStyle name="20% - Accent5 2 2 4 3 3 2 2" xfId="37540" xr:uid="{00000000-0005-0000-0000-0000BA210000}"/>
    <cellStyle name="20% - Accent5 2 2 4 3 3 3" xfId="27300" xr:uid="{00000000-0005-0000-0000-0000BB210000}"/>
    <cellStyle name="20% - Accent5 2 2 4 3 4" xfId="11940" xr:uid="{00000000-0005-0000-0000-0000BC210000}"/>
    <cellStyle name="20% - Accent5 2 2 4 3 4 2" xfId="32420" xr:uid="{00000000-0005-0000-0000-0000BD210000}"/>
    <cellStyle name="20% - Accent5 2 2 4 3 5" xfId="22180" xr:uid="{00000000-0005-0000-0000-0000BE210000}"/>
    <cellStyle name="20% - Accent5 2 2 4 4" xfId="2980" xr:uid="{00000000-0005-0000-0000-0000BF210000}"/>
    <cellStyle name="20% - Accent5 2 2 4 4 2" xfId="8100" xr:uid="{00000000-0005-0000-0000-0000C0210000}"/>
    <cellStyle name="20% - Accent5 2 2 4 4 2 2" xfId="18340" xr:uid="{00000000-0005-0000-0000-0000C1210000}"/>
    <cellStyle name="20% - Accent5 2 2 4 4 2 2 2" xfId="38820" xr:uid="{00000000-0005-0000-0000-0000C2210000}"/>
    <cellStyle name="20% - Accent5 2 2 4 4 2 3" xfId="28580" xr:uid="{00000000-0005-0000-0000-0000C3210000}"/>
    <cellStyle name="20% - Accent5 2 2 4 4 3" xfId="13220" xr:uid="{00000000-0005-0000-0000-0000C4210000}"/>
    <cellStyle name="20% - Accent5 2 2 4 4 3 2" xfId="33700" xr:uid="{00000000-0005-0000-0000-0000C5210000}"/>
    <cellStyle name="20% - Accent5 2 2 4 4 4" xfId="23460" xr:uid="{00000000-0005-0000-0000-0000C6210000}"/>
    <cellStyle name="20% - Accent5 2 2 4 5" xfId="5540" xr:uid="{00000000-0005-0000-0000-0000C7210000}"/>
    <cellStyle name="20% - Accent5 2 2 4 5 2" xfId="15780" xr:uid="{00000000-0005-0000-0000-0000C8210000}"/>
    <cellStyle name="20% - Accent5 2 2 4 5 2 2" xfId="36260" xr:uid="{00000000-0005-0000-0000-0000C9210000}"/>
    <cellStyle name="20% - Accent5 2 2 4 5 3" xfId="26020" xr:uid="{00000000-0005-0000-0000-0000CA210000}"/>
    <cellStyle name="20% - Accent5 2 2 4 6" xfId="10660" xr:uid="{00000000-0005-0000-0000-0000CB210000}"/>
    <cellStyle name="20% - Accent5 2 2 4 6 2" xfId="31140" xr:uid="{00000000-0005-0000-0000-0000CC210000}"/>
    <cellStyle name="20% - Accent5 2 2 4 7" xfId="20900" xr:uid="{00000000-0005-0000-0000-0000CD210000}"/>
    <cellStyle name="20% - Accent5 2 2 5" xfId="740" xr:uid="{00000000-0005-0000-0000-0000CE210000}"/>
    <cellStyle name="20% - Accent5 2 2 5 2" xfId="2020" xr:uid="{00000000-0005-0000-0000-0000CF210000}"/>
    <cellStyle name="20% - Accent5 2 2 5 2 2" xfId="4580" xr:uid="{00000000-0005-0000-0000-0000D0210000}"/>
    <cellStyle name="20% - Accent5 2 2 5 2 2 2" xfId="9700" xr:uid="{00000000-0005-0000-0000-0000D1210000}"/>
    <cellStyle name="20% - Accent5 2 2 5 2 2 2 2" xfId="19940" xr:uid="{00000000-0005-0000-0000-0000D2210000}"/>
    <cellStyle name="20% - Accent5 2 2 5 2 2 2 2 2" xfId="40420" xr:uid="{00000000-0005-0000-0000-0000D3210000}"/>
    <cellStyle name="20% - Accent5 2 2 5 2 2 2 3" xfId="30180" xr:uid="{00000000-0005-0000-0000-0000D4210000}"/>
    <cellStyle name="20% - Accent5 2 2 5 2 2 3" xfId="14820" xr:uid="{00000000-0005-0000-0000-0000D5210000}"/>
    <cellStyle name="20% - Accent5 2 2 5 2 2 3 2" xfId="35300" xr:uid="{00000000-0005-0000-0000-0000D6210000}"/>
    <cellStyle name="20% - Accent5 2 2 5 2 2 4" xfId="25060" xr:uid="{00000000-0005-0000-0000-0000D7210000}"/>
    <cellStyle name="20% - Accent5 2 2 5 2 3" xfId="7140" xr:uid="{00000000-0005-0000-0000-0000D8210000}"/>
    <cellStyle name="20% - Accent5 2 2 5 2 3 2" xfId="17380" xr:uid="{00000000-0005-0000-0000-0000D9210000}"/>
    <cellStyle name="20% - Accent5 2 2 5 2 3 2 2" xfId="37860" xr:uid="{00000000-0005-0000-0000-0000DA210000}"/>
    <cellStyle name="20% - Accent5 2 2 5 2 3 3" xfId="27620" xr:uid="{00000000-0005-0000-0000-0000DB210000}"/>
    <cellStyle name="20% - Accent5 2 2 5 2 4" xfId="12260" xr:uid="{00000000-0005-0000-0000-0000DC210000}"/>
    <cellStyle name="20% - Accent5 2 2 5 2 4 2" xfId="32740" xr:uid="{00000000-0005-0000-0000-0000DD210000}"/>
    <cellStyle name="20% - Accent5 2 2 5 2 5" xfId="22500" xr:uid="{00000000-0005-0000-0000-0000DE210000}"/>
    <cellStyle name="20% - Accent5 2 2 5 3" xfId="3300" xr:uid="{00000000-0005-0000-0000-0000DF210000}"/>
    <cellStyle name="20% - Accent5 2 2 5 3 2" xfId="8420" xr:uid="{00000000-0005-0000-0000-0000E0210000}"/>
    <cellStyle name="20% - Accent5 2 2 5 3 2 2" xfId="18660" xr:uid="{00000000-0005-0000-0000-0000E1210000}"/>
    <cellStyle name="20% - Accent5 2 2 5 3 2 2 2" xfId="39140" xr:uid="{00000000-0005-0000-0000-0000E2210000}"/>
    <cellStyle name="20% - Accent5 2 2 5 3 2 3" xfId="28900" xr:uid="{00000000-0005-0000-0000-0000E3210000}"/>
    <cellStyle name="20% - Accent5 2 2 5 3 3" xfId="13540" xr:uid="{00000000-0005-0000-0000-0000E4210000}"/>
    <cellStyle name="20% - Accent5 2 2 5 3 3 2" xfId="34020" xr:uid="{00000000-0005-0000-0000-0000E5210000}"/>
    <cellStyle name="20% - Accent5 2 2 5 3 4" xfId="23780" xr:uid="{00000000-0005-0000-0000-0000E6210000}"/>
    <cellStyle name="20% - Accent5 2 2 5 4" xfId="5860" xr:uid="{00000000-0005-0000-0000-0000E7210000}"/>
    <cellStyle name="20% - Accent5 2 2 5 4 2" xfId="16100" xr:uid="{00000000-0005-0000-0000-0000E8210000}"/>
    <cellStyle name="20% - Accent5 2 2 5 4 2 2" xfId="36580" xr:uid="{00000000-0005-0000-0000-0000E9210000}"/>
    <cellStyle name="20% - Accent5 2 2 5 4 3" xfId="26340" xr:uid="{00000000-0005-0000-0000-0000EA210000}"/>
    <cellStyle name="20% - Accent5 2 2 5 5" xfId="10980" xr:uid="{00000000-0005-0000-0000-0000EB210000}"/>
    <cellStyle name="20% - Accent5 2 2 5 5 2" xfId="31460" xr:uid="{00000000-0005-0000-0000-0000EC210000}"/>
    <cellStyle name="20% - Accent5 2 2 5 6" xfId="21220" xr:uid="{00000000-0005-0000-0000-0000ED210000}"/>
    <cellStyle name="20% - Accent5 2 2 6" xfId="1380" xr:uid="{00000000-0005-0000-0000-0000EE210000}"/>
    <cellStyle name="20% - Accent5 2 2 6 2" xfId="3940" xr:uid="{00000000-0005-0000-0000-0000EF210000}"/>
    <cellStyle name="20% - Accent5 2 2 6 2 2" xfId="9060" xr:uid="{00000000-0005-0000-0000-0000F0210000}"/>
    <cellStyle name="20% - Accent5 2 2 6 2 2 2" xfId="19300" xr:uid="{00000000-0005-0000-0000-0000F1210000}"/>
    <cellStyle name="20% - Accent5 2 2 6 2 2 2 2" xfId="39780" xr:uid="{00000000-0005-0000-0000-0000F2210000}"/>
    <cellStyle name="20% - Accent5 2 2 6 2 2 3" xfId="29540" xr:uid="{00000000-0005-0000-0000-0000F3210000}"/>
    <cellStyle name="20% - Accent5 2 2 6 2 3" xfId="14180" xr:uid="{00000000-0005-0000-0000-0000F4210000}"/>
    <cellStyle name="20% - Accent5 2 2 6 2 3 2" xfId="34660" xr:uid="{00000000-0005-0000-0000-0000F5210000}"/>
    <cellStyle name="20% - Accent5 2 2 6 2 4" xfId="24420" xr:uid="{00000000-0005-0000-0000-0000F6210000}"/>
    <cellStyle name="20% - Accent5 2 2 6 3" xfId="6500" xr:uid="{00000000-0005-0000-0000-0000F7210000}"/>
    <cellStyle name="20% - Accent5 2 2 6 3 2" xfId="16740" xr:uid="{00000000-0005-0000-0000-0000F8210000}"/>
    <cellStyle name="20% - Accent5 2 2 6 3 2 2" xfId="37220" xr:uid="{00000000-0005-0000-0000-0000F9210000}"/>
    <cellStyle name="20% - Accent5 2 2 6 3 3" xfId="26980" xr:uid="{00000000-0005-0000-0000-0000FA210000}"/>
    <cellStyle name="20% - Accent5 2 2 6 4" xfId="11620" xr:uid="{00000000-0005-0000-0000-0000FB210000}"/>
    <cellStyle name="20% - Accent5 2 2 6 4 2" xfId="32100" xr:uid="{00000000-0005-0000-0000-0000FC210000}"/>
    <cellStyle name="20% - Accent5 2 2 6 5" xfId="21860" xr:uid="{00000000-0005-0000-0000-0000FD210000}"/>
    <cellStyle name="20% - Accent5 2 2 7" xfId="2660" xr:uid="{00000000-0005-0000-0000-0000FE210000}"/>
    <cellStyle name="20% - Accent5 2 2 7 2" xfId="7780" xr:uid="{00000000-0005-0000-0000-0000FF210000}"/>
    <cellStyle name="20% - Accent5 2 2 7 2 2" xfId="18020" xr:uid="{00000000-0005-0000-0000-000000220000}"/>
    <cellStyle name="20% - Accent5 2 2 7 2 2 2" xfId="38500" xr:uid="{00000000-0005-0000-0000-000001220000}"/>
    <cellStyle name="20% - Accent5 2 2 7 2 3" xfId="28260" xr:uid="{00000000-0005-0000-0000-000002220000}"/>
    <cellStyle name="20% - Accent5 2 2 7 3" xfId="12900" xr:uid="{00000000-0005-0000-0000-000003220000}"/>
    <cellStyle name="20% - Accent5 2 2 7 3 2" xfId="33380" xr:uid="{00000000-0005-0000-0000-000004220000}"/>
    <cellStyle name="20% - Accent5 2 2 7 4" xfId="23140" xr:uid="{00000000-0005-0000-0000-000005220000}"/>
    <cellStyle name="20% - Accent5 2 2 8" xfId="5220" xr:uid="{00000000-0005-0000-0000-000006220000}"/>
    <cellStyle name="20% - Accent5 2 2 8 2" xfId="15460" xr:uid="{00000000-0005-0000-0000-000007220000}"/>
    <cellStyle name="20% - Accent5 2 2 8 2 2" xfId="35940" xr:uid="{00000000-0005-0000-0000-000008220000}"/>
    <cellStyle name="20% - Accent5 2 2 8 3" xfId="25700" xr:uid="{00000000-0005-0000-0000-000009220000}"/>
    <cellStyle name="20% - Accent5 2 2 9" xfId="10340" xr:uid="{00000000-0005-0000-0000-00000A220000}"/>
    <cellStyle name="20% - Accent5 2 2 9 2" xfId="30820" xr:uid="{00000000-0005-0000-0000-00000B220000}"/>
    <cellStyle name="20% - Accent5 2 3" xfId="140" xr:uid="{00000000-0005-0000-0000-00000C220000}"/>
    <cellStyle name="20% - Accent5 2 3 2" xfId="300" xr:uid="{00000000-0005-0000-0000-00000D220000}"/>
    <cellStyle name="20% - Accent5 2 3 2 2" xfId="620" xr:uid="{00000000-0005-0000-0000-00000E220000}"/>
    <cellStyle name="20% - Accent5 2 3 2 2 2" xfId="1260" xr:uid="{00000000-0005-0000-0000-00000F220000}"/>
    <cellStyle name="20% - Accent5 2 3 2 2 2 2" xfId="2540" xr:uid="{00000000-0005-0000-0000-000010220000}"/>
    <cellStyle name="20% - Accent5 2 3 2 2 2 2 2" xfId="5100" xr:uid="{00000000-0005-0000-0000-000011220000}"/>
    <cellStyle name="20% - Accent5 2 3 2 2 2 2 2 2" xfId="10220" xr:uid="{00000000-0005-0000-0000-000012220000}"/>
    <cellStyle name="20% - Accent5 2 3 2 2 2 2 2 2 2" xfId="20460" xr:uid="{00000000-0005-0000-0000-000013220000}"/>
    <cellStyle name="20% - Accent5 2 3 2 2 2 2 2 2 2 2" xfId="40940" xr:uid="{00000000-0005-0000-0000-000014220000}"/>
    <cellStyle name="20% - Accent5 2 3 2 2 2 2 2 2 3" xfId="30700" xr:uid="{00000000-0005-0000-0000-000015220000}"/>
    <cellStyle name="20% - Accent5 2 3 2 2 2 2 2 3" xfId="15340" xr:uid="{00000000-0005-0000-0000-000016220000}"/>
    <cellStyle name="20% - Accent5 2 3 2 2 2 2 2 3 2" xfId="35820" xr:uid="{00000000-0005-0000-0000-000017220000}"/>
    <cellStyle name="20% - Accent5 2 3 2 2 2 2 2 4" xfId="25580" xr:uid="{00000000-0005-0000-0000-000018220000}"/>
    <cellStyle name="20% - Accent5 2 3 2 2 2 2 3" xfId="7660" xr:uid="{00000000-0005-0000-0000-000019220000}"/>
    <cellStyle name="20% - Accent5 2 3 2 2 2 2 3 2" xfId="17900" xr:uid="{00000000-0005-0000-0000-00001A220000}"/>
    <cellStyle name="20% - Accent5 2 3 2 2 2 2 3 2 2" xfId="38380" xr:uid="{00000000-0005-0000-0000-00001B220000}"/>
    <cellStyle name="20% - Accent5 2 3 2 2 2 2 3 3" xfId="28140" xr:uid="{00000000-0005-0000-0000-00001C220000}"/>
    <cellStyle name="20% - Accent5 2 3 2 2 2 2 4" xfId="12780" xr:uid="{00000000-0005-0000-0000-00001D220000}"/>
    <cellStyle name="20% - Accent5 2 3 2 2 2 2 4 2" xfId="33260" xr:uid="{00000000-0005-0000-0000-00001E220000}"/>
    <cellStyle name="20% - Accent5 2 3 2 2 2 2 5" xfId="23020" xr:uid="{00000000-0005-0000-0000-00001F220000}"/>
    <cellStyle name="20% - Accent5 2 3 2 2 2 3" xfId="3820" xr:uid="{00000000-0005-0000-0000-000020220000}"/>
    <cellStyle name="20% - Accent5 2 3 2 2 2 3 2" xfId="8940" xr:uid="{00000000-0005-0000-0000-000021220000}"/>
    <cellStyle name="20% - Accent5 2 3 2 2 2 3 2 2" xfId="19180" xr:uid="{00000000-0005-0000-0000-000022220000}"/>
    <cellStyle name="20% - Accent5 2 3 2 2 2 3 2 2 2" xfId="39660" xr:uid="{00000000-0005-0000-0000-000023220000}"/>
    <cellStyle name="20% - Accent5 2 3 2 2 2 3 2 3" xfId="29420" xr:uid="{00000000-0005-0000-0000-000024220000}"/>
    <cellStyle name="20% - Accent5 2 3 2 2 2 3 3" xfId="14060" xr:uid="{00000000-0005-0000-0000-000025220000}"/>
    <cellStyle name="20% - Accent5 2 3 2 2 2 3 3 2" xfId="34540" xr:uid="{00000000-0005-0000-0000-000026220000}"/>
    <cellStyle name="20% - Accent5 2 3 2 2 2 3 4" xfId="24300" xr:uid="{00000000-0005-0000-0000-000027220000}"/>
    <cellStyle name="20% - Accent5 2 3 2 2 2 4" xfId="6380" xr:uid="{00000000-0005-0000-0000-000028220000}"/>
    <cellStyle name="20% - Accent5 2 3 2 2 2 4 2" xfId="16620" xr:uid="{00000000-0005-0000-0000-000029220000}"/>
    <cellStyle name="20% - Accent5 2 3 2 2 2 4 2 2" xfId="37100" xr:uid="{00000000-0005-0000-0000-00002A220000}"/>
    <cellStyle name="20% - Accent5 2 3 2 2 2 4 3" xfId="26860" xr:uid="{00000000-0005-0000-0000-00002B220000}"/>
    <cellStyle name="20% - Accent5 2 3 2 2 2 5" xfId="11500" xr:uid="{00000000-0005-0000-0000-00002C220000}"/>
    <cellStyle name="20% - Accent5 2 3 2 2 2 5 2" xfId="31980" xr:uid="{00000000-0005-0000-0000-00002D220000}"/>
    <cellStyle name="20% - Accent5 2 3 2 2 2 6" xfId="21740" xr:uid="{00000000-0005-0000-0000-00002E220000}"/>
    <cellStyle name="20% - Accent5 2 3 2 2 3" xfId="1900" xr:uid="{00000000-0005-0000-0000-00002F220000}"/>
    <cellStyle name="20% - Accent5 2 3 2 2 3 2" xfId="4460" xr:uid="{00000000-0005-0000-0000-000030220000}"/>
    <cellStyle name="20% - Accent5 2 3 2 2 3 2 2" xfId="9580" xr:uid="{00000000-0005-0000-0000-000031220000}"/>
    <cellStyle name="20% - Accent5 2 3 2 2 3 2 2 2" xfId="19820" xr:uid="{00000000-0005-0000-0000-000032220000}"/>
    <cellStyle name="20% - Accent5 2 3 2 2 3 2 2 2 2" xfId="40300" xr:uid="{00000000-0005-0000-0000-000033220000}"/>
    <cellStyle name="20% - Accent5 2 3 2 2 3 2 2 3" xfId="30060" xr:uid="{00000000-0005-0000-0000-000034220000}"/>
    <cellStyle name="20% - Accent5 2 3 2 2 3 2 3" xfId="14700" xr:uid="{00000000-0005-0000-0000-000035220000}"/>
    <cellStyle name="20% - Accent5 2 3 2 2 3 2 3 2" xfId="35180" xr:uid="{00000000-0005-0000-0000-000036220000}"/>
    <cellStyle name="20% - Accent5 2 3 2 2 3 2 4" xfId="24940" xr:uid="{00000000-0005-0000-0000-000037220000}"/>
    <cellStyle name="20% - Accent5 2 3 2 2 3 3" xfId="7020" xr:uid="{00000000-0005-0000-0000-000038220000}"/>
    <cellStyle name="20% - Accent5 2 3 2 2 3 3 2" xfId="17260" xr:uid="{00000000-0005-0000-0000-000039220000}"/>
    <cellStyle name="20% - Accent5 2 3 2 2 3 3 2 2" xfId="37740" xr:uid="{00000000-0005-0000-0000-00003A220000}"/>
    <cellStyle name="20% - Accent5 2 3 2 2 3 3 3" xfId="27500" xr:uid="{00000000-0005-0000-0000-00003B220000}"/>
    <cellStyle name="20% - Accent5 2 3 2 2 3 4" xfId="12140" xr:uid="{00000000-0005-0000-0000-00003C220000}"/>
    <cellStyle name="20% - Accent5 2 3 2 2 3 4 2" xfId="32620" xr:uid="{00000000-0005-0000-0000-00003D220000}"/>
    <cellStyle name="20% - Accent5 2 3 2 2 3 5" xfId="22380" xr:uid="{00000000-0005-0000-0000-00003E220000}"/>
    <cellStyle name="20% - Accent5 2 3 2 2 4" xfId="3180" xr:uid="{00000000-0005-0000-0000-00003F220000}"/>
    <cellStyle name="20% - Accent5 2 3 2 2 4 2" xfId="8300" xr:uid="{00000000-0005-0000-0000-000040220000}"/>
    <cellStyle name="20% - Accent5 2 3 2 2 4 2 2" xfId="18540" xr:uid="{00000000-0005-0000-0000-000041220000}"/>
    <cellStyle name="20% - Accent5 2 3 2 2 4 2 2 2" xfId="39020" xr:uid="{00000000-0005-0000-0000-000042220000}"/>
    <cellStyle name="20% - Accent5 2 3 2 2 4 2 3" xfId="28780" xr:uid="{00000000-0005-0000-0000-000043220000}"/>
    <cellStyle name="20% - Accent5 2 3 2 2 4 3" xfId="13420" xr:uid="{00000000-0005-0000-0000-000044220000}"/>
    <cellStyle name="20% - Accent5 2 3 2 2 4 3 2" xfId="33900" xr:uid="{00000000-0005-0000-0000-000045220000}"/>
    <cellStyle name="20% - Accent5 2 3 2 2 4 4" xfId="23660" xr:uid="{00000000-0005-0000-0000-000046220000}"/>
    <cellStyle name="20% - Accent5 2 3 2 2 5" xfId="5740" xr:uid="{00000000-0005-0000-0000-000047220000}"/>
    <cellStyle name="20% - Accent5 2 3 2 2 5 2" xfId="15980" xr:uid="{00000000-0005-0000-0000-000048220000}"/>
    <cellStyle name="20% - Accent5 2 3 2 2 5 2 2" xfId="36460" xr:uid="{00000000-0005-0000-0000-000049220000}"/>
    <cellStyle name="20% - Accent5 2 3 2 2 5 3" xfId="26220" xr:uid="{00000000-0005-0000-0000-00004A220000}"/>
    <cellStyle name="20% - Accent5 2 3 2 2 6" xfId="10860" xr:uid="{00000000-0005-0000-0000-00004B220000}"/>
    <cellStyle name="20% - Accent5 2 3 2 2 6 2" xfId="31340" xr:uid="{00000000-0005-0000-0000-00004C220000}"/>
    <cellStyle name="20% - Accent5 2 3 2 2 7" xfId="21100" xr:uid="{00000000-0005-0000-0000-00004D220000}"/>
    <cellStyle name="20% - Accent5 2 3 2 3" xfId="940" xr:uid="{00000000-0005-0000-0000-00004E220000}"/>
    <cellStyle name="20% - Accent5 2 3 2 3 2" xfId="2220" xr:uid="{00000000-0005-0000-0000-00004F220000}"/>
    <cellStyle name="20% - Accent5 2 3 2 3 2 2" xfId="4780" xr:uid="{00000000-0005-0000-0000-000050220000}"/>
    <cellStyle name="20% - Accent5 2 3 2 3 2 2 2" xfId="9900" xr:uid="{00000000-0005-0000-0000-000051220000}"/>
    <cellStyle name="20% - Accent5 2 3 2 3 2 2 2 2" xfId="20140" xr:uid="{00000000-0005-0000-0000-000052220000}"/>
    <cellStyle name="20% - Accent5 2 3 2 3 2 2 2 2 2" xfId="40620" xr:uid="{00000000-0005-0000-0000-000053220000}"/>
    <cellStyle name="20% - Accent5 2 3 2 3 2 2 2 3" xfId="30380" xr:uid="{00000000-0005-0000-0000-000054220000}"/>
    <cellStyle name="20% - Accent5 2 3 2 3 2 2 3" xfId="15020" xr:uid="{00000000-0005-0000-0000-000055220000}"/>
    <cellStyle name="20% - Accent5 2 3 2 3 2 2 3 2" xfId="35500" xr:uid="{00000000-0005-0000-0000-000056220000}"/>
    <cellStyle name="20% - Accent5 2 3 2 3 2 2 4" xfId="25260" xr:uid="{00000000-0005-0000-0000-000057220000}"/>
    <cellStyle name="20% - Accent5 2 3 2 3 2 3" xfId="7340" xr:uid="{00000000-0005-0000-0000-000058220000}"/>
    <cellStyle name="20% - Accent5 2 3 2 3 2 3 2" xfId="17580" xr:uid="{00000000-0005-0000-0000-000059220000}"/>
    <cellStyle name="20% - Accent5 2 3 2 3 2 3 2 2" xfId="38060" xr:uid="{00000000-0005-0000-0000-00005A220000}"/>
    <cellStyle name="20% - Accent5 2 3 2 3 2 3 3" xfId="27820" xr:uid="{00000000-0005-0000-0000-00005B220000}"/>
    <cellStyle name="20% - Accent5 2 3 2 3 2 4" xfId="12460" xr:uid="{00000000-0005-0000-0000-00005C220000}"/>
    <cellStyle name="20% - Accent5 2 3 2 3 2 4 2" xfId="32940" xr:uid="{00000000-0005-0000-0000-00005D220000}"/>
    <cellStyle name="20% - Accent5 2 3 2 3 2 5" xfId="22700" xr:uid="{00000000-0005-0000-0000-00005E220000}"/>
    <cellStyle name="20% - Accent5 2 3 2 3 3" xfId="3500" xr:uid="{00000000-0005-0000-0000-00005F220000}"/>
    <cellStyle name="20% - Accent5 2 3 2 3 3 2" xfId="8620" xr:uid="{00000000-0005-0000-0000-000060220000}"/>
    <cellStyle name="20% - Accent5 2 3 2 3 3 2 2" xfId="18860" xr:uid="{00000000-0005-0000-0000-000061220000}"/>
    <cellStyle name="20% - Accent5 2 3 2 3 3 2 2 2" xfId="39340" xr:uid="{00000000-0005-0000-0000-000062220000}"/>
    <cellStyle name="20% - Accent5 2 3 2 3 3 2 3" xfId="29100" xr:uid="{00000000-0005-0000-0000-000063220000}"/>
    <cellStyle name="20% - Accent5 2 3 2 3 3 3" xfId="13740" xr:uid="{00000000-0005-0000-0000-000064220000}"/>
    <cellStyle name="20% - Accent5 2 3 2 3 3 3 2" xfId="34220" xr:uid="{00000000-0005-0000-0000-000065220000}"/>
    <cellStyle name="20% - Accent5 2 3 2 3 3 4" xfId="23980" xr:uid="{00000000-0005-0000-0000-000066220000}"/>
    <cellStyle name="20% - Accent5 2 3 2 3 4" xfId="6060" xr:uid="{00000000-0005-0000-0000-000067220000}"/>
    <cellStyle name="20% - Accent5 2 3 2 3 4 2" xfId="16300" xr:uid="{00000000-0005-0000-0000-000068220000}"/>
    <cellStyle name="20% - Accent5 2 3 2 3 4 2 2" xfId="36780" xr:uid="{00000000-0005-0000-0000-000069220000}"/>
    <cellStyle name="20% - Accent5 2 3 2 3 4 3" xfId="26540" xr:uid="{00000000-0005-0000-0000-00006A220000}"/>
    <cellStyle name="20% - Accent5 2 3 2 3 5" xfId="11180" xr:uid="{00000000-0005-0000-0000-00006B220000}"/>
    <cellStyle name="20% - Accent5 2 3 2 3 5 2" xfId="31660" xr:uid="{00000000-0005-0000-0000-00006C220000}"/>
    <cellStyle name="20% - Accent5 2 3 2 3 6" xfId="21420" xr:uid="{00000000-0005-0000-0000-00006D220000}"/>
    <cellStyle name="20% - Accent5 2 3 2 4" xfId="1580" xr:uid="{00000000-0005-0000-0000-00006E220000}"/>
    <cellStyle name="20% - Accent5 2 3 2 4 2" xfId="4140" xr:uid="{00000000-0005-0000-0000-00006F220000}"/>
    <cellStyle name="20% - Accent5 2 3 2 4 2 2" xfId="9260" xr:uid="{00000000-0005-0000-0000-000070220000}"/>
    <cellStyle name="20% - Accent5 2 3 2 4 2 2 2" xfId="19500" xr:uid="{00000000-0005-0000-0000-000071220000}"/>
    <cellStyle name="20% - Accent5 2 3 2 4 2 2 2 2" xfId="39980" xr:uid="{00000000-0005-0000-0000-000072220000}"/>
    <cellStyle name="20% - Accent5 2 3 2 4 2 2 3" xfId="29740" xr:uid="{00000000-0005-0000-0000-000073220000}"/>
    <cellStyle name="20% - Accent5 2 3 2 4 2 3" xfId="14380" xr:uid="{00000000-0005-0000-0000-000074220000}"/>
    <cellStyle name="20% - Accent5 2 3 2 4 2 3 2" xfId="34860" xr:uid="{00000000-0005-0000-0000-000075220000}"/>
    <cellStyle name="20% - Accent5 2 3 2 4 2 4" xfId="24620" xr:uid="{00000000-0005-0000-0000-000076220000}"/>
    <cellStyle name="20% - Accent5 2 3 2 4 3" xfId="6700" xr:uid="{00000000-0005-0000-0000-000077220000}"/>
    <cellStyle name="20% - Accent5 2 3 2 4 3 2" xfId="16940" xr:uid="{00000000-0005-0000-0000-000078220000}"/>
    <cellStyle name="20% - Accent5 2 3 2 4 3 2 2" xfId="37420" xr:uid="{00000000-0005-0000-0000-000079220000}"/>
    <cellStyle name="20% - Accent5 2 3 2 4 3 3" xfId="27180" xr:uid="{00000000-0005-0000-0000-00007A220000}"/>
    <cellStyle name="20% - Accent5 2 3 2 4 4" xfId="11820" xr:uid="{00000000-0005-0000-0000-00007B220000}"/>
    <cellStyle name="20% - Accent5 2 3 2 4 4 2" xfId="32300" xr:uid="{00000000-0005-0000-0000-00007C220000}"/>
    <cellStyle name="20% - Accent5 2 3 2 4 5" xfId="22060" xr:uid="{00000000-0005-0000-0000-00007D220000}"/>
    <cellStyle name="20% - Accent5 2 3 2 5" xfId="2860" xr:uid="{00000000-0005-0000-0000-00007E220000}"/>
    <cellStyle name="20% - Accent5 2 3 2 5 2" xfId="7980" xr:uid="{00000000-0005-0000-0000-00007F220000}"/>
    <cellStyle name="20% - Accent5 2 3 2 5 2 2" xfId="18220" xr:uid="{00000000-0005-0000-0000-000080220000}"/>
    <cellStyle name="20% - Accent5 2 3 2 5 2 2 2" xfId="38700" xr:uid="{00000000-0005-0000-0000-000081220000}"/>
    <cellStyle name="20% - Accent5 2 3 2 5 2 3" xfId="28460" xr:uid="{00000000-0005-0000-0000-000082220000}"/>
    <cellStyle name="20% - Accent5 2 3 2 5 3" xfId="13100" xr:uid="{00000000-0005-0000-0000-000083220000}"/>
    <cellStyle name="20% - Accent5 2 3 2 5 3 2" xfId="33580" xr:uid="{00000000-0005-0000-0000-000084220000}"/>
    <cellStyle name="20% - Accent5 2 3 2 5 4" xfId="23340" xr:uid="{00000000-0005-0000-0000-000085220000}"/>
    <cellStyle name="20% - Accent5 2 3 2 6" xfId="5420" xr:uid="{00000000-0005-0000-0000-000086220000}"/>
    <cellStyle name="20% - Accent5 2 3 2 6 2" xfId="15660" xr:uid="{00000000-0005-0000-0000-000087220000}"/>
    <cellStyle name="20% - Accent5 2 3 2 6 2 2" xfId="36140" xr:uid="{00000000-0005-0000-0000-000088220000}"/>
    <cellStyle name="20% - Accent5 2 3 2 6 3" xfId="25900" xr:uid="{00000000-0005-0000-0000-000089220000}"/>
    <cellStyle name="20% - Accent5 2 3 2 7" xfId="10540" xr:uid="{00000000-0005-0000-0000-00008A220000}"/>
    <cellStyle name="20% - Accent5 2 3 2 7 2" xfId="31020" xr:uid="{00000000-0005-0000-0000-00008B220000}"/>
    <cellStyle name="20% - Accent5 2 3 2 8" xfId="20780" xr:uid="{00000000-0005-0000-0000-00008C220000}"/>
    <cellStyle name="20% - Accent5 2 3 3" xfId="460" xr:uid="{00000000-0005-0000-0000-00008D220000}"/>
    <cellStyle name="20% - Accent5 2 3 3 2" xfId="1100" xr:uid="{00000000-0005-0000-0000-00008E220000}"/>
    <cellStyle name="20% - Accent5 2 3 3 2 2" xfId="2380" xr:uid="{00000000-0005-0000-0000-00008F220000}"/>
    <cellStyle name="20% - Accent5 2 3 3 2 2 2" xfId="4940" xr:uid="{00000000-0005-0000-0000-000090220000}"/>
    <cellStyle name="20% - Accent5 2 3 3 2 2 2 2" xfId="10060" xr:uid="{00000000-0005-0000-0000-000091220000}"/>
    <cellStyle name="20% - Accent5 2 3 3 2 2 2 2 2" xfId="20300" xr:uid="{00000000-0005-0000-0000-000092220000}"/>
    <cellStyle name="20% - Accent5 2 3 3 2 2 2 2 2 2" xfId="40780" xr:uid="{00000000-0005-0000-0000-000093220000}"/>
    <cellStyle name="20% - Accent5 2 3 3 2 2 2 2 3" xfId="30540" xr:uid="{00000000-0005-0000-0000-000094220000}"/>
    <cellStyle name="20% - Accent5 2 3 3 2 2 2 3" xfId="15180" xr:uid="{00000000-0005-0000-0000-000095220000}"/>
    <cellStyle name="20% - Accent5 2 3 3 2 2 2 3 2" xfId="35660" xr:uid="{00000000-0005-0000-0000-000096220000}"/>
    <cellStyle name="20% - Accent5 2 3 3 2 2 2 4" xfId="25420" xr:uid="{00000000-0005-0000-0000-000097220000}"/>
    <cellStyle name="20% - Accent5 2 3 3 2 2 3" xfId="7500" xr:uid="{00000000-0005-0000-0000-000098220000}"/>
    <cellStyle name="20% - Accent5 2 3 3 2 2 3 2" xfId="17740" xr:uid="{00000000-0005-0000-0000-000099220000}"/>
    <cellStyle name="20% - Accent5 2 3 3 2 2 3 2 2" xfId="38220" xr:uid="{00000000-0005-0000-0000-00009A220000}"/>
    <cellStyle name="20% - Accent5 2 3 3 2 2 3 3" xfId="27980" xr:uid="{00000000-0005-0000-0000-00009B220000}"/>
    <cellStyle name="20% - Accent5 2 3 3 2 2 4" xfId="12620" xr:uid="{00000000-0005-0000-0000-00009C220000}"/>
    <cellStyle name="20% - Accent5 2 3 3 2 2 4 2" xfId="33100" xr:uid="{00000000-0005-0000-0000-00009D220000}"/>
    <cellStyle name="20% - Accent5 2 3 3 2 2 5" xfId="22860" xr:uid="{00000000-0005-0000-0000-00009E220000}"/>
    <cellStyle name="20% - Accent5 2 3 3 2 3" xfId="3660" xr:uid="{00000000-0005-0000-0000-00009F220000}"/>
    <cellStyle name="20% - Accent5 2 3 3 2 3 2" xfId="8780" xr:uid="{00000000-0005-0000-0000-0000A0220000}"/>
    <cellStyle name="20% - Accent5 2 3 3 2 3 2 2" xfId="19020" xr:uid="{00000000-0005-0000-0000-0000A1220000}"/>
    <cellStyle name="20% - Accent5 2 3 3 2 3 2 2 2" xfId="39500" xr:uid="{00000000-0005-0000-0000-0000A2220000}"/>
    <cellStyle name="20% - Accent5 2 3 3 2 3 2 3" xfId="29260" xr:uid="{00000000-0005-0000-0000-0000A3220000}"/>
    <cellStyle name="20% - Accent5 2 3 3 2 3 3" xfId="13900" xr:uid="{00000000-0005-0000-0000-0000A4220000}"/>
    <cellStyle name="20% - Accent5 2 3 3 2 3 3 2" xfId="34380" xr:uid="{00000000-0005-0000-0000-0000A5220000}"/>
    <cellStyle name="20% - Accent5 2 3 3 2 3 4" xfId="24140" xr:uid="{00000000-0005-0000-0000-0000A6220000}"/>
    <cellStyle name="20% - Accent5 2 3 3 2 4" xfId="6220" xr:uid="{00000000-0005-0000-0000-0000A7220000}"/>
    <cellStyle name="20% - Accent5 2 3 3 2 4 2" xfId="16460" xr:uid="{00000000-0005-0000-0000-0000A8220000}"/>
    <cellStyle name="20% - Accent5 2 3 3 2 4 2 2" xfId="36940" xr:uid="{00000000-0005-0000-0000-0000A9220000}"/>
    <cellStyle name="20% - Accent5 2 3 3 2 4 3" xfId="26700" xr:uid="{00000000-0005-0000-0000-0000AA220000}"/>
    <cellStyle name="20% - Accent5 2 3 3 2 5" xfId="11340" xr:uid="{00000000-0005-0000-0000-0000AB220000}"/>
    <cellStyle name="20% - Accent5 2 3 3 2 5 2" xfId="31820" xr:uid="{00000000-0005-0000-0000-0000AC220000}"/>
    <cellStyle name="20% - Accent5 2 3 3 2 6" xfId="21580" xr:uid="{00000000-0005-0000-0000-0000AD220000}"/>
    <cellStyle name="20% - Accent5 2 3 3 3" xfId="1740" xr:uid="{00000000-0005-0000-0000-0000AE220000}"/>
    <cellStyle name="20% - Accent5 2 3 3 3 2" xfId="4300" xr:uid="{00000000-0005-0000-0000-0000AF220000}"/>
    <cellStyle name="20% - Accent5 2 3 3 3 2 2" xfId="9420" xr:uid="{00000000-0005-0000-0000-0000B0220000}"/>
    <cellStyle name="20% - Accent5 2 3 3 3 2 2 2" xfId="19660" xr:uid="{00000000-0005-0000-0000-0000B1220000}"/>
    <cellStyle name="20% - Accent5 2 3 3 3 2 2 2 2" xfId="40140" xr:uid="{00000000-0005-0000-0000-0000B2220000}"/>
    <cellStyle name="20% - Accent5 2 3 3 3 2 2 3" xfId="29900" xr:uid="{00000000-0005-0000-0000-0000B3220000}"/>
    <cellStyle name="20% - Accent5 2 3 3 3 2 3" xfId="14540" xr:uid="{00000000-0005-0000-0000-0000B4220000}"/>
    <cellStyle name="20% - Accent5 2 3 3 3 2 3 2" xfId="35020" xr:uid="{00000000-0005-0000-0000-0000B5220000}"/>
    <cellStyle name="20% - Accent5 2 3 3 3 2 4" xfId="24780" xr:uid="{00000000-0005-0000-0000-0000B6220000}"/>
    <cellStyle name="20% - Accent5 2 3 3 3 3" xfId="6860" xr:uid="{00000000-0005-0000-0000-0000B7220000}"/>
    <cellStyle name="20% - Accent5 2 3 3 3 3 2" xfId="17100" xr:uid="{00000000-0005-0000-0000-0000B8220000}"/>
    <cellStyle name="20% - Accent5 2 3 3 3 3 2 2" xfId="37580" xr:uid="{00000000-0005-0000-0000-0000B9220000}"/>
    <cellStyle name="20% - Accent5 2 3 3 3 3 3" xfId="27340" xr:uid="{00000000-0005-0000-0000-0000BA220000}"/>
    <cellStyle name="20% - Accent5 2 3 3 3 4" xfId="11980" xr:uid="{00000000-0005-0000-0000-0000BB220000}"/>
    <cellStyle name="20% - Accent5 2 3 3 3 4 2" xfId="32460" xr:uid="{00000000-0005-0000-0000-0000BC220000}"/>
    <cellStyle name="20% - Accent5 2 3 3 3 5" xfId="22220" xr:uid="{00000000-0005-0000-0000-0000BD220000}"/>
    <cellStyle name="20% - Accent5 2 3 3 4" xfId="3020" xr:uid="{00000000-0005-0000-0000-0000BE220000}"/>
    <cellStyle name="20% - Accent5 2 3 3 4 2" xfId="8140" xr:uid="{00000000-0005-0000-0000-0000BF220000}"/>
    <cellStyle name="20% - Accent5 2 3 3 4 2 2" xfId="18380" xr:uid="{00000000-0005-0000-0000-0000C0220000}"/>
    <cellStyle name="20% - Accent5 2 3 3 4 2 2 2" xfId="38860" xr:uid="{00000000-0005-0000-0000-0000C1220000}"/>
    <cellStyle name="20% - Accent5 2 3 3 4 2 3" xfId="28620" xr:uid="{00000000-0005-0000-0000-0000C2220000}"/>
    <cellStyle name="20% - Accent5 2 3 3 4 3" xfId="13260" xr:uid="{00000000-0005-0000-0000-0000C3220000}"/>
    <cellStyle name="20% - Accent5 2 3 3 4 3 2" xfId="33740" xr:uid="{00000000-0005-0000-0000-0000C4220000}"/>
    <cellStyle name="20% - Accent5 2 3 3 4 4" xfId="23500" xr:uid="{00000000-0005-0000-0000-0000C5220000}"/>
    <cellStyle name="20% - Accent5 2 3 3 5" xfId="5580" xr:uid="{00000000-0005-0000-0000-0000C6220000}"/>
    <cellStyle name="20% - Accent5 2 3 3 5 2" xfId="15820" xr:uid="{00000000-0005-0000-0000-0000C7220000}"/>
    <cellStyle name="20% - Accent5 2 3 3 5 2 2" xfId="36300" xr:uid="{00000000-0005-0000-0000-0000C8220000}"/>
    <cellStyle name="20% - Accent5 2 3 3 5 3" xfId="26060" xr:uid="{00000000-0005-0000-0000-0000C9220000}"/>
    <cellStyle name="20% - Accent5 2 3 3 6" xfId="10700" xr:uid="{00000000-0005-0000-0000-0000CA220000}"/>
    <cellStyle name="20% - Accent5 2 3 3 6 2" xfId="31180" xr:uid="{00000000-0005-0000-0000-0000CB220000}"/>
    <cellStyle name="20% - Accent5 2 3 3 7" xfId="20940" xr:uid="{00000000-0005-0000-0000-0000CC220000}"/>
    <cellStyle name="20% - Accent5 2 3 4" xfId="780" xr:uid="{00000000-0005-0000-0000-0000CD220000}"/>
    <cellStyle name="20% - Accent5 2 3 4 2" xfId="2060" xr:uid="{00000000-0005-0000-0000-0000CE220000}"/>
    <cellStyle name="20% - Accent5 2 3 4 2 2" xfId="4620" xr:uid="{00000000-0005-0000-0000-0000CF220000}"/>
    <cellStyle name="20% - Accent5 2 3 4 2 2 2" xfId="9740" xr:uid="{00000000-0005-0000-0000-0000D0220000}"/>
    <cellStyle name="20% - Accent5 2 3 4 2 2 2 2" xfId="19980" xr:uid="{00000000-0005-0000-0000-0000D1220000}"/>
    <cellStyle name="20% - Accent5 2 3 4 2 2 2 2 2" xfId="40460" xr:uid="{00000000-0005-0000-0000-0000D2220000}"/>
    <cellStyle name="20% - Accent5 2 3 4 2 2 2 3" xfId="30220" xr:uid="{00000000-0005-0000-0000-0000D3220000}"/>
    <cellStyle name="20% - Accent5 2 3 4 2 2 3" xfId="14860" xr:uid="{00000000-0005-0000-0000-0000D4220000}"/>
    <cellStyle name="20% - Accent5 2 3 4 2 2 3 2" xfId="35340" xr:uid="{00000000-0005-0000-0000-0000D5220000}"/>
    <cellStyle name="20% - Accent5 2 3 4 2 2 4" xfId="25100" xr:uid="{00000000-0005-0000-0000-0000D6220000}"/>
    <cellStyle name="20% - Accent5 2 3 4 2 3" xfId="7180" xr:uid="{00000000-0005-0000-0000-0000D7220000}"/>
    <cellStyle name="20% - Accent5 2 3 4 2 3 2" xfId="17420" xr:uid="{00000000-0005-0000-0000-0000D8220000}"/>
    <cellStyle name="20% - Accent5 2 3 4 2 3 2 2" xfId="37900" xr:uid="{00000000-0005-0000-0000-0000D9220000}"/>
    <cellStyle name="20% - Accent5 2 3 4 2 3 3" xfId="27660" xr:uid="{00000000-0005-0000-0000-0000DA220000}"/>
    <cellStyle name="20% - Accent5 2 3 4 2 4" xfId="12300" xr:uid="{00000000-0005-0000-0000-0000DB220000}"/>
    <cellStyle name="20% - Accent5 2 3 4 2 4 2" xfId="32780" xr:uid="{00000000-0005-0000-0000-0000DC220000}"/>
    <cellStyle name="20% - Accent5 2 3 4 2 5" xfId="22540" xr:uid="{00000000-0005-0000-0000-0000DD220000}"/>
    <cellStyle name="20% - Accent5 2 3 4 3" xfId="3340" xr:uid="{00000000-0005-0000-0000-0000DE220000}"/>
    <cellStyle name="20% - Accent5 2 3 4 3 2" xfId="8460" xr:uid="{00000000-0005-0000-0000-0000DF220000}"/>
    <cellStyle name="20% - Accent5 2 3 4 3 2 2" xfId="18700" xr:uid="{00000000-0005-0000-0000-0000E0220000}"/>
    <cellStyle name="20% - Accent5 2 3 4 3 2 2 2" xfId="39180" xr:uid="{00000000-0005-0000-0000-0000E1220000}"/>
    <cellStyle name="20% - Accent5 2 3 4 3 2 3" xfId="28940" xr:uid="{00000000-0005-0000-0000-0000E2220000}"/>
    <cellStyle name="20% - Accent5 2 3 4 3 3" xfId="13580" xr:uid="{00000000-0005-0000-0000-0000E3220000}"/>
    <cellStyle name="20% - Accent5 2 3 4 3 3 2" xfId="34060" xr:uid="{00000000-0005-0000-0000-0000E4220000}"/>
    <cellStyle name="20% - Accent5 2 3 4 3 4" xfId="23820" xr:uid="{00000000-0005-0000-0000-0000E5220000}"/>
    <cellStyle name="20% - Accent5 2 3 4 4" xfId="5900" xr:uid="{00000000-0005-0000-0000-0000E6220000}"/>
    <cellStyle name="20% - Accent5 2 3 4 4 2" xfId="16140" xr:uid="{00000000-0005-0000-0000-0000E7220000}"/>
    <cellStyle name="20% - Accent5 2 3 4 4 2 2" xfId="36620" xr:uid="{00000000-0005-0000-0000-0000E8220000}"/>
    <cellStyle name="20% - Accent5 2 3 4 4 3" xfId="26380" xr:uid="{00000000-0005-0000-0000-0000E9220000}"/>
    <cellStyle name="20% - Accent5 2 3 4 5" xfId="11020" xr:uid="{00000000-0005-0000-0000-0000EA220000}"/>
    <cellStyle name="20% - Accent5 2 3 4 5 2" xfId="31500" xr:uid="{00000000-0005-0000-0000-0000EB220000}"/>
    <cellStyle name="20% - Accent5 2 3 4 6" xfId="21260" xr:uid="{00000000-0005-0000-0000-0000EC220000}"/>
    <cellStyle name="20% - Accent5 2 3 5" xfId="1420" xr:uid="{00000000-0005-0000-0000-0000ED220000}"/>
    <cellStyle name="20% - Accent5 2 3 5 2" xfId="3980" xr:uid="{00000000-0005-0000-0000-0000EE220000}"/>
    <cellStyle name="20% - Accent5 2 3 5 2 2" xfId="9100" xr:uid="{00000000-0005-0000-0000-0000EF220000}"/>
    <cellStyle name="20% - Accent5 2 3 5 2 2 2" xfId="19340" xr:uid="{00000000-0005-0000-0000-0000F0220000}"/>
    <cellStyle name="20% - Accent5 2 3 5 2 2 2 2" xfId="39820" xr:uid="{00000000-0005-0000-0000-0000F1220000}"/>
    <cellStyle name="20% - Accent5 2 3 5 2 2 3" xfId="29580" xr:uid="{00000000-0005-0000-0000-0000F2220000}"/>
    <cellStyle name="20% - Accent5 2 3 5 2 3" xfId="14220" xr:uid="{00000000-0005-0000-0000-0000F3220000}"/>
    <cellStyle name="20% - Accent5 2 3 5 2 3 2" xfId="34700" xr:uid="{00000000-0005-0000-0000-0000F4220000}"/>
    <cellStyle name="20% - Accent5 2 3 5 2 4" xfId="24460" xr:uid="{00000000-0005-0000-0000-0000F5220000}"/>
    <cellStyle name="20% - Accent5 2 3 5 3" xfId="6540" xr:uid="{00000000-0005-0000-0000-0000F6220000}"/>
    <cellStyle name="20% - Accent5 2 3 5 3 2" xfId="16780" xr:uid="{00000000-0005-0000-0000-0000F7220000}"/>
    <cellStyle name="20% - Accent5 2 3 5 3 2 2" xfId="37260" xr:uid="{00000000-0005-0000-0000-0000F8220000}"/>
    <cellStyle name="20% - Accent5 2 3 5 3 3" xfId="27020" xr:uid="{00000000-0005-0000-0000-0000F9220000}"/>
    <cellStyle name="20% - Accent5 2 3 5 4" xfId="11660" xr:uid="{00000000-0005-0000-0000-0000FA220000}"/>
    <cellStyle name="20% - Accent5 2 3 5 4 2" xfId="32140" xr:uid="{00000000-0005-0000-0000-0000FB220000}"/>
    <cellStyle name="20% - Accent5 2 3 5 5" xfId="21900" xr:uid="{00000000-0005-0000-0000-0000FC220000}"/>
    <cellStyle name="20% - Accent5 2 3 6" xfId="2700" xr:uid="{00000000-0005-0000-0000-0000FD220000}"/>
    <cellStyle name="20% - Accent5 2 3 6 2" xfId="7820" xr:uid="{00000000-0005-0000-0000-0000FE220000}"/>
    <cellStyle name="20% - Accent5 2 3 6 2 2" xfId="18060" xr:uid="{00000000-0005-0000-0000-0000FF220000}"/>
    <cellStyle name="20% - Accent5 2 3 6 2 2 2" xfId="38540" xr:uid="{00000000-0005-0000-0000-000000230000}"/>
    <cellStyle name="20% - Accent5 2 3 6 2 3" xfId="28300" xr:uid="{00000000-0005-0000-0000-000001230000}"/>
    <cellStyle name="20% - Accent5 2 3 6 3" xfId="12940" xr:uid="{00000000-0005-0000-0000-000002230000}"/>
    <cellStyle name="20% - Accent5 2 3 6 3 2" xfId="33420" xr:uid="{00000000-0005-0000-0000-000003230000}"/>
    <cellStyle name="20% - Accent5 2 3 6 4" xfId="23180" xr:uid="{00000000-0005-0000-0000-000004230000}"/>
    <cellStyle name="20% - Accent5 2 3 7" xfId="5260" xr:uid="{00000000-0005-0000-0000-000005230000}"/>
    <cellStyle name="20% - Accent5 2 3 7 2" xfId="15500" xr:uid="{00000000-0005-0000-0000-000006230000}"/>
    <cellStyle name="20% - Accent5 2 3 7 2 2" xfId="35980" xr:uid="{00000000-0005-0000-0000-000007230000}"/>
    <cellStyle name="20% - Accent5 2 3 7 3" xfId="25740" xr:uid="{00000000-0005-0000-0000-000008230000}"/>
    <cellStyle name="20% - Accent5 2 3 8" xfId="10380" xr:uid="{00000000-0005-0000-0000-000009230000}"/>
    <cellStyle name="20% - Accent5 2 3 8 2" xfId="30860" xr:uid="{00000000-0005-0000-0000-00000A230000}"/>
    <cellStyle name="20% - Accent5 2 3 9" xfId="20620" xr:uid="{00000000-0005-0000-0000-00000B230000}"/>
    <cellStyle name="20% - Accent5 2 4" xfId="220" xr:uid="{00000000-0005-0000-0000-00000C230000}"/>
    <cellStyle name="20% - Accent5 2 4 2" xfId="540" xr:uid="{00000000-0005-0000-0000-00000D230000}"/>
    <cellStyle name="20% - Accent5 2 4 2 2" xfId="1180" xr:uid="{00000000-0005-0000-0000-00000E230000}"/>
    <cellStyle name="20% - Accent5 2 4 2 2 2" xfId="2460" xr:uid="{00000000-0005-0000-0000-00000F230000}"/>
    <cellStyle name="20% - Accent5 2 4 2 2 2 2" xfId="5020" xr:uid="{00000000-0005-0000-0000-000010230000}"/>
    <cellStyle name="20% - Accent5 2 4 2 2 2 2 2" xfId="10140" xr:uid="{00000000-0005-0000-0000-000011230000}"/>
    <cellStyle name="20% - Accent5 2 4 2 2 2 2 2 2" xfId="20380" xr:uid="{00000000-0005-0000-0000-000012230000}"/>
    <cellStyle name="20% - Accent5 2 4 2 2 2 2 2 2 2" xfId="40860" xr:uid="{00000000-0005-0000-0000-000013230000}"/>
    <cellStyle name="20% - Accent5 2 4 2 2 2 2 2 3" xfId="30620" xr:uid="{00000000-0005-0000-0000-000014230000}"/>
    <cellStyle name="20% - Accent5 2 4 2 2 2 2 3" xfId="15260" xr:uid="{00000000-0005-0000-0000-000015230000}"/>
    <cellStyle name="20% - Accent5 2 4 2 2 2 2 3 2" xfId="35740" xr:uid="{00000000-0005-0000-0000-000016230000}"/>
    <cellStyle name="20% - Accent5 2 4 2 2 2 2 4" xfId="25500" xr:uid="{00000000-0005-0000-0000-000017230000}"/>
    <cellStyle name="20% - Accent5 2 4 2 2 2 3" xfId="7580" xr:uid="{00000000-0005-0000-0000-000018230000}"/>
    <cellStyle name="20% - Accent5 2 4 2 2 2 3 2" xfId="17820" xr:uid="{00000000-0005-0000-0000-000019230000}"/>
    <cellStyle name="20% - Accent5 2 4 2 2 2 3 2 2" xfId="38300" xr:uid="{00000000-0005-0000-0000-00001A230000}"/>
    <cellStyle name="20% - Accent5 2 4 2 2 2 3 3" xfId="28060" xr:uid="{00000000-0005-0000-0000-00001B230000}"/>
    <cellStyle name="20% - Accent5 2 4 2 2 2 4" xfId="12700" xr:uid="{00000000-0005-0000-0000-00001C230000}"/>
    <cellStyle name="20% - Accent5 2 4 2 2 2 4 2" xfId="33180" xr:uid="{00000000-0005-0000-0000-00001D230000}"/>
    <cellStyle name="20% - Accent5 2 4 2 2 2 5" xfId="22940" xr:uid="{00000000-0005-0000-0000-00001E230000}"/>
    <cellStyle name="20% - Accent5 2 4 2 2 3" xfId="3740" xr:uid="{00000000-0005-0000-0000-00001F230000}"/>
    <cellStyle name="20% - Accent5 2 4 2 2 3 2" xfId="8860" xr:uid="{00000000-0005-0000-0000-000020230000}"/>
    <cellStyle name="20% - Accent5 2 4 2 2 3 2 2" xfId="19100" xr:uid="{00000000-0005-0000-0000-000021230000}"/>
    <cellStyle name="20% - Accent5 2 4 2 2 3 2 2 2" xfId="39580" xr:uid="{00000000-0005-0000-0000-000022230000}"/>
    <cellStyle name="20% - Accent5 2 4 2 2 3 2 3" xfId="29340" xr:uid="{00000000-0005-0000-0000-000023230000}"/>
    <cellStyle name="20% - Accent5 2 4 2 2 3 3" xfId="13980" xr:uid="{00000000-0005-0000-0000-000024230000}"/>
    <cellStyle name="20% - Accent5 2 4 2 2 3 3 2" xfId="34460" xr:uid="{00000000-0005-0000-0000-000025230000}"/>
    <cellStyle name="20% - Accent5 2 4 2 2 3 4" xfId="24220" xr:uid="{00000000-0005-0000-0000-000026230000}"/>
    <cellStyle name="20% - Accent5 2 4 2 2 4" xfId="6300" xr:uid="{00000000-0005-0000-0000-000027230000}"/>
    <cellStyle name="20% - Accent5 2 4 2 2 4 2" xfId="16540" xr:uid="{00000000-0005-0000-0000-000028230000}"/>
    <cellStyle name="20% - Accent5 2 4 2 2 4 2 2" xfId="37020" xr:uid="{00000000-0005-0000-0000-000029230000}"/>
    <cellStyle name="20% - Accent5 2 4 2 2 4 3" xfId="26780" xr:uid="{00000000-0005-0000-0000-00002A230000}"/>
    <cellStyle name="20% - Accent5 2 4 2 2 5" xfId="11420" xr:uid="{00000000-0005-0000-0000-00002B230000}"/>
    <cellStyle name="20% - Accent5 2 4 2 2 5 2" xfId="31900" xr:uid="{00000000-0005-0000-0000-00002C230000}"/>
    <cellStyle name="20% - Accent5 2 4 2 2 6" xfId="21660" xr:uid="{00000000-0005-0000-0000-00002D230000}"/>
    <cellStyle name="20% - Accent5 2 4 2 3" xfId="1820" xr:uid="{00000000-0005-0000-0000-00002E230000}"/>
    <cellStyle name="20% - Accent5 2 4 2 3 2" xfId="4380" xr:uid="{00000000-0005-0000-0000-00002F230000}"/>
    <cellStyle name="20% - Accent5 2 4 2 3 2 2" xfId="9500" xr:uid="{00000000-0005-0000-0000-000030230000}"/>
    <cellStyle name="20% - Accent5 2 4 2 3 2 2 2" xfId="19740" xr:uid="{00000000-0005-0000-0000-000031230000}"/>
    <cellStyle name="20% - Accent5 2 4 2 3 2 2 2 2" xfId="40220" xr:uid="{00000000-0005-0000-0000-000032230000}"/>
    <cellStyle name="20% - Accent5 2 4 2 3 2 2 3" xfId="29980" xr:uid="{00000000-0005-0000-0000-000033230000}"/>
    <cellStyle name="20% - Accent5 2 4 2 3 2 3" xfId="14620" xr:uid="{00000000-0005-0000-0000-000034230000}"/>
    <cellStyle name="20% - Accent5 2 4 2 3 2 3 2" xfId="35100" xr:uid="{00000000-0005-0000-0000-000035230000}"/>
    <cellStyle name="20% - Accent5 2 4 2 3 2 4" xfId="24860" xr:uid="{00000000-0005-0000-0000-000036230000}"/>
    <cellStyle name="20% - Accent5 2 4 2 3 3" xfId="6940" xr:uid="{00000000-0005-0000-0000-000037230000}"/>
    <cellStyle name="20% - Accent5 2 4 2 3 3 2" xfId="17180" xr:uid="{00000000-0005-0000-0000-000038230000}"/>
    <cellStyle name="20% - Accent5 2 4 2 3 3 2 2" xfId="37660" xr:uid="{00000000-0005-0000-0000-000039230000}"/>
    <cellStyle name="20% - Accent5 2 4 2 3 3 3" xfId="27420" xr:uid="{00000000-0005-0000-0000-00003A230000}"/>
    <cellStyle name="20% - Accent5 2 4 2 3 4" xfId="12060" xr:uid="{00000000-0005-0000-0000-00003B230000}"/>
    <cellStyle name="20% - Accent5 2 4 2 3 4 2" xfId="32540" xr:uid="{00000000-0005-0000-0000-00003C230000}"/>
    <cellStyle name="20% - Accent5 2 4 2 3 5" xfId="22300" xr:uid="{00000000-0005-0000-0000-00003D230000}"/>
    <cellStyle name="20% - Accent5 2 4 2 4" xfId="3100" xr:uid="{00000000-0005-0000-0000-00003E230000}"/>
    <cellStyle name="20% - Accent5 2 4 2 4 2" xfId="8220" xr:uid="{00000000-0005-0000-0000-00003F230000}"/>
    <cellStyle name="20% - Accent5 2 4 2 4 2 2" xfId="18460" xr:uid="{00000000-0005-0000-0000-000040230000}"/>
    <cellStyle name="20% - Accent5 2 4 2 4 2 2 2" xfId="38940" xr:uid="{00000000-0005-0000-0000-000041230000}"/>
    <cellStyle name="20% - Accent5 2 4 2 4 2 3" xfId="28700" xr:uid="{00000000-0005-0000-0000-000042230000}"/>
    <cellStyle name="20% - Accent5 2 4 2 4 3" xfId="13340" xr:uid="{00000000-0005-0000-0000-000043230000}"/>
    <cellStyle name="20% - Accent5 2 4 2 4 3 2" xfId="33820" xr:uid="{00000000-0005-0000-0000-000044230000}"/>
    <cellStyle name="20% - Accent5 2 4 2 4 4" xfId="23580" xr:uid="{00000000-0005-0000-0000-000045230000}"/>
    <cellStyle name="20% - Accent5 2 4 2 5" xfId="5660" xr:uid="{00000000-0005-0000-0000-000046230000}"/>
    <cellStyle name="20% - Accent5 2 4 2 5 2" xfId="15900" xr:uid="{00000000-0005-0000-0000-000047230000}"/>
    <cellStyle name="20% - Accent5 2 4 2 5 2 2" xfId="36380" xr:uid="{00000000-0005-0000-0000-000048230000}"/>
    <cellStyle name="20% - Accent5 2 4 2 5 3" xfId="26140" xr:uid="{00000000-0005-0000-0000-000049230000}"/>
    <cellStyle name="20% - Accent5 2 4 2 6" xfId="10780" xr:uid="{00000000-0005-0000-0000-00004A230000}"/>
    <cellStyle name="20% - Accent5 2 4 2 6 2" xfId="31260" xr:uid="{00000000-0005-0000-0000-00004B230000}"/>
    <cellStyle name="20% - Accent5 2 4 2 7" xfId="21020" xr:uid="{00000000-0005-0000-0000-00004C230000}"/>
    <cellStyle name="20% - Accent5 2 4 3" xfId="860" xr:uid="{00000000-0005-0000-0000-00004D230000}"/>
    <cellStyle name="20% - Accent5 2 4 3 2" xfId="2140" xr:uid="{00000000-0005-0000-0000-00004E230000}"/>
    <cellStyle name="20% - Accent5 2 4 3 2 2" xfId="4700" xr:uid="{00000000-0005-0000-0000-00004F230000}"/>
    <cellStyle name="20% - Accent5 2 4 3 2 2 2" xfId="9820" xr:uid="{00000000-0005-0000-0000-000050230000}"/>
    <cellStyle name="20% - Accent5 2 4 3 2 2 2 2" xfId="20060" xr:uid="{00000000-0005-0000-0000-000051230000}"/>
    <cellStyle name="20% - Accent5 2 4 3 2 2 2 2 2" xfId="40540" xr:uid="{00000000-0005-0000-0000-000052230000}"/>
    <cellStyle name="20% - Accent5 2 4 3 2 2 2 3" xfId="30300" xr:uid="{00000000-0005-0000-0000-000053230000}"/>
    <cellStyle name="20% - Accent5 2 4 3 2 2 3" xfId="14940" xr:uid="{00000000-0005-0000-0000-000054230000}"/>
    <cellStyle name="20% - Accent5 2 4 3 2 2 3 2" xfId="35420" xr:uid="{00000000-0005-0000-0000-000055230000}"/>
    <cellStyle name="20% - Accent5 2 4 3 2 2 4" xfId="25180" xr:uid="{00000000-0005-0000-0000-000056230000}"/>
    <cellStyle name="20% - Accent5 2 4 3 2 3" xfId="7260" xr:uid="{00000000-0005-0000-0000-000057230000}"/>
    <cellStyle name="20% - Accent5 2 4 3 2 3 2" xfId="17500" xr:uid="{00000000-0005-0000-0000-000058230000}"/>
    <cellStyle name="20% - Accent5 2 4 3 2 3 2 2" xfId="37980" xr:uid="{00000000-0005-0000-0000-000059230000}"/>
    <cellStyle name="20% - Accent5 2 4 3 2 3 3" xfId="27740" xr:uid="{00000000-0005-0000-0000-00005A230000}"/>
    <cellStyle name="20% - Accent5 2 4 3 2 4" xfId="12380" xr:uid="{00000000-0005-0000-0000-00005B230000}"/>
    <cellStyle name="20% - Accent5 2 4 3 2 4 2" xfId="32860" xr:uid="{00000000-0005-0000-0000-00005C230000}"/>
    <cellStyle name="20% - Accent5 2 4 3 2 5" xfId="22620" xr:uid="{00000000-0005-0000-0000-00005D230000}"/>
    <cellStyle name="20% - Accent5 2 4 3 3" xfId="3420" xr:uid="{00000000-0005-0000-0000-00005E230000}"/>
    <cellStyle name="20% - Accent5 2 4 3 3 2" xfId="8540" xr:uid="{00000000-0005-0000-0000-00005F230000}"/>
    <cellStyle name="20% - Accent5 2 4 3 3 2 2" xfId="18780" xr:uid="{00000000-0005-0000-0000-000060230000}"/>
    <cellStyle name="20% - Accent5 2 4 3 3 2 2 2" xfId="39260" xr:uid="{00000000-0005-0000-0000-000061230000}"/>
    <cellStyle name="20% - Accent5 2 4 3 3 2 3" xfId="29020" xr:uid="{00000000-0005-0000-0000-000062230000}"/>
    <cellStyle name="20% - Accent5 2 4 3 3 3" xfId="13660" xr:uid="{00000000-0005-0000-0000-000063230000}"/>
    <cellStyle name="20% - Accent5 2 4 3 3 3 2" xfId="34140" xr:uid="{00000000-0005-0000-0000-000064230000}"/>
    <cellStyle name="20% - Accent5 2 4 3 3 4" xfId="23900" xr:uid="{00000000-0005-0000-0000-000065230000}"/>
    <cellStyle name="20% - Accent5 2 4 3 4" xfId="5980" xr:uid="{00000000-0005-0000-0000-000066230000}"/>
    <cellStyle name="20% - Accent5 2 4 3 4 2" xfId="16220" xr:uid="{00000000-0005-0000-0000-000067230000}"/>
    <cellStyle name="20% - Accent5 2 4 3 4 2 2" xfId="36700" xr:uid="{00000000-0005-0000-0000-000068230000}"/>
    <cellStyle name="20% - Accent5 2 4 3 4 3" xfId="26460" xr:uid="{00000000-0005-0000-0000-000069230000}"/>
    <cellStyle name="20% - Accent5 2 4 3 5" xfId="11100" xr:uid="{00000000-0005-0000-0000-00006A230000}"/>
    <cellStyle name="20% - Accent5 2 4 3 5 2" xfId="31580" xr:uid="{00000000-0005-0000-0000-00006B230000}"/>
    <cellStyle name="20% - Accent5 2 4 3 6" xfId="21340" xr:uid="{00000000-0005-0000-0000-00006C230000}"/>
    <cellStyle name="20% - Accent5 2 4 4" xfId="1500" xr:uid="{00000000-0005-0000-0000-00006D230000}"/>
    <cellStyle name="20% - Accent5 2 4 4 2" xfId="4060" xr:uid="{00000000-0005-0000-0000-00006E230000}"/>
    <cellStyle name="20% - Accent5 2 4 4 2 2" xfId="9180" xr:uid="{00000000-0005-0000-0000-00006F230000}"/>
    <cellStyle name="20% - Accent5 2 4 4 2 2 2" xfId="19420" xr:uid="{00000000-0005-0000-0000-000070230000}"/>
    <cellStyle name="20% - Accent5 2 4 4 2 2 2 2" xfId="39900" xr:uid="{00000000-0005-0000-0000-000071230000}"/>
    <cellStyle name="20% - Accent5 2 4 4 2 2 3" xfId="29660" xr:uid="{00000000-0005-0000-0000-000072230000}"/>
    <cellStyle name="20% - Accent5 2 4 4 2 3" xfId="14300" xr:uid="{00000000-0005-0000-0000-000073230000}"/>
    <cellStyle name="20% - Accent5 2 4 4 2 3 2" xfId="34780" xr:uid="{00000000-0005-0000-0000-000074230000}"/>
    <cellStyle name="20% - Accent5 2 4 4 2 4" xfId="24540" xr:uid="{00000000-0005-0000-0000-000075230000}"/>
    <cellStyle name="20% - Accent5 2 4 4 3" xfId="6620" xr:uid="{00000000-0005-0000-0000-000076230000}"/>
    <cellStyle name="20% - Accent5 2 4 4 3 2" xfId="16860" xr:uid="{00000000-0005-0000-0000-000077230000}"/>
    <cellStyle name="20% - Accent5 2 4 4 3 2 2" xfId="37340" xr:uid="{00000000-0005-0000-0000-000078230000}"/>
    <cellStyle name="20% - Accent5 2 4 4 3 3" xfId="27100" xr:uid="{00000000-0005-0000-0000-000079230000}"/>
    <cellStyle name="20% - Accent5 2 4 4 4" xfId="11740" xr:uid="{00000000-0005-0000-0000-00007A230000}"/>
    <cellStyle name="20% - Accent5 2 4 4 4 2" xfId="32220" xr:uid="{00000000-0005-0000-0000-00007B230000}"/>
    <cellStyle name="20% - Accent5 2 4 4 5" xfId="21980" xr:uid="{00000000-0005-0000-0000-00007C230000}"/>
    <cellStyle name="20% - Accent5 2 4 5" xfId="2780" xr:uid="{00000000-0005-0000-0000-00007D230000}"/>
    <cellStyle name="20% - Accent5 2 4 5 2" xfId="7900" xr:uid="{00000000-0005-0000-0000-00007E230000}"/>
    <cellStyle name="20% - Accent5 2 4 5 2 2" xfId="18140" xr:uid="{00000000-0005-0000-0000-00007F230000}"/>
    <cellStyle name="20% - Accent5 2 4 5 2 2 2" xfId="38620" xr:uid="{00000000-0005-0000-0000-000080230000}"/>
    <cellStyle name="20% - Accent5 2 4 5 2 3" xfId="28380" xr:uid="{00000000-0005-0000-0000-000081230000}"/>
    <cellStyle name="20% - Accent5 2 4 5 3" xfId="13020" xr:uid="{00000000-0005-0000-0000-000082230000}"/>
    <cellStyle name="20% - Accent5 2 4 5 3 2" xfId="33500" xr:uid="{00000000-0005-0000-0000-000083230000}"/>
    <cellStyle name="20% - Accent5 2 4 5 4" xfId="23260" xr:uid="{00000000-0005-0000-0000-000084230000}"/>
    <cellStyle name="20% - Accent5 2 4 6" xfId="5340" xr:uid="{00000000-0005-0000-0000-000085230000}"/>
    <cellStyle name="20% - Accent5 2 4 6 2" xfId="15580" xr:uid="{00000000-0005-0000-0000-000086230000}"/>
    <cellStyle name="20% - Accent5 2 4 6 2 2" xfId="36060" xr:uid="{00000000-0005-0000-0000-000087230000}"/>
    <cellStyle name="20% - Accent5 2 4 6 3" xfId="25820" xr:uid="{00000000-0005-0000-0000-000088230000}"/>
    <cellStyle name="20% - Accent5 2 4 7" xfId="10460" xr:uid="{00000000-0005-0000-0000-000089230000}"/>
    <cellStyle name="20% - Accent5 2 4 7 2" xfId="30940" xr:uid="{00000000-0005-0000-0000-00008A230000}"/>
    <cellStyle name="20% - Accent5 2 4 8" xfId="20700" xr:uid="{00000000-0005-0000-0000-00008B230000}"/>
    <cellStyle name="20% - Accent5 2 5" xfId="380" xr:uid="{00000000-0005-0000-0000-00008C230000}"/>
    <cellStyle name="20% - Accent5 2 5 2" xfId="1020" xr:uid="{00000000-0005-0000-0000-00008D230000}"/>
    <cellStyle name="20% - Accent5 2 5 2 2" xfId="2300" xr:uid="{00000000-0005-0000-0000-00008E230000}"/>
    <cellStyle name="20% - Accent5 2 5 2 2 2" xfId="4860" xr:uid="{00000000-0005-0000-0000-00008F230000}"/>
    <cellStyle name="20% - Accent5 2 5 2 2 2 2" xfId="9980" xr:uid="{00000000-0005-0000-0000-000090230000}"/>
    <cellStyle name="20% - Accent5 2 5 2 2 2 2 2" xfId="20220" xr:uid="{00000000-0005-0000-0000-000091230000}"/>
    <cellStyle name="20% - Accent5 2 5 2 2 2 2 2 2" xfId="40700" xr:uid="{00000000-0005-0000-0000-000092230000}"/>
    <cellStyle name="20% - Accent5 2 5 2 2 2 2 3" xfId="30460" xr:uid="{00000000-0005-0000-0000-000093230000}"/>
    <cellStyle name="20% - Accent5 2 5 2 2 2 3" xfId="15100" xr:uid="{00000000-0005-0000-0000-000094230000}"/>
    <cellStyle name="20% - Accent5 2 5 2 2 2 3 2" xfId="35580" xr:uid="{00000000-0005-0000-0000-000095230000}"/>
    <cellStyle name="20% - Accent5 2 5 2 2 2 4" xfId="25340" xr:uid="{00000000-0005-0000-0000-000096230000}"/>
    <cellStyle name="20% - Accent5 2 5 2 2 3" xfId="7420" xr:uid="{00000000-0005-0000-0000-000097230000}"/>
    <cellStyle name="20% - Accent5 2 5 2 2 3 2" xfId="17660" xr:uid="{00000000-0005-0000-0000-000098230000}"/>
    <cellStyle name="20% - Accent5 2 5 2 2 3 2 2" xfId="38140" xr:uid="{00000000-0005-0000-0000-000099230000}"/>
    <cellStyle name="20% - Accent5 2 5 2 2 3 3" xfId="27900" xr:uid="{00000000-0005-0000-0000-00009A230000}"/>
    <cellStyle name="20% - Accent5 2 5 2 2 4" xfId="12540" xr:uid="{00000000-0005-0000-0000-00009B230000}"/>
    <cellStyle name="20% - Accent5 2 5 2 2 4 2" xfId="33020" xr:uid="{00000000-0005-0000-0000-00009C230000}"/>
    <cellStyle name="20% - Accent5 2 5 2 2 5" xfId="22780" xr:uid="{00000000-0005-0000-0000-00009D230000}"/>
    <cellStyle name="20% - Accent5 2 5 2 3" xfId="3580" xr:uid="{00000000-0005-0000-0000-00009E230000}"/>
    <cellStyle name="20% - Accent5 2 5 2 3 2" xfId="8700" xr:uid="{00000000-0005-0000-0000-00009F230000}"/>
    <cellStyle name="20% - Accent5 2 5 2 3 2 2" xfId="18940" xr:uid="{00000000-0005-0000-0000-0000A0230000}"/>
    <cellStyle name="20% - Accent5 2 5 2 3 2 2 2" xfId="39420" xr:uid="{00000000-0005-0000-0000-0000A1230000}"/>
    <cellStyle name="20% - Accent5 2 5 2 3 2 3" xfId="29180" xr:uid="{00000000-0005-0000-0000-0000A2230000}"/>
    <cellStyle name="20% - Accent5 2 5 2 3 3" xfId="13820" xr:uid="{00000000-0005-0000-0000-0000A3230000}"/>
    <cellStyle name="20% - Accent5 2 5 2 3 3 2" xfId="34300" xr:uid="{00000000-0005-0000-0000-0000A4230000}"/>
    <cellStyle name="20% - Accent5 2 5 2 3 4" xfId="24060" xr:uid="{00000000-0005-0000-0000-0000A5230000}"/>
    <cellStyle name="20% - Accent5 2 5 2 4" xfId="6140" xr:uid="{00000000-0005-0000-0000-0000A6230000}"/>
    <cellStyle name="20% - Accent5 2 5 2 4 2" xfId="16380" xr:uid="{00000000-0005-0000-0000-0000A7230000}"/>
    <cellStyle name="20% - Accent5 2 5 2 4 2 2" xfId="36860" xr:uid="{00000000-0005-0000-0000-0000A8230000}"/>
    <cellStyle name="20% - Accent5 2 5 2 4 3" xfId="26620" xr:uid="{00000000-0005-0000-0000-0000A9230000}"/>
    <cellStyle name="20% - Accent5 2 5 2 5" xfId="11260" xr:uid="{00000000-0005-0000-0000-0000AA230000}"/>
    <cellStyle name="20% - Accent5 2 5 2 5 2" xfId="31740" xr:uid="{00000000-0005-0000-0000-0000AB230000}"/>
    <cellStyle name="20% - Accent5 2 5 2 6" xfId="21500" xr:uid="{00000000-0005-0000-0000-0000AC230000}"/>
    <cellStyle name="20% - Accent5 2 5 3" xfId="1660" xr:uid="{00000000-0005-0000-0000-0000AD230000}"/>
    <cellStyle name="20% - Accent5 2 5 3 2" xfId="4220" xr:uid="{00000000-0005-0000-0000-0000AE230000}"/>
    <cellStyle name="20% - Accent5 2 5 3 2 2" xfId="9340" xr:uid="{00000000-0005-0000-0000-0000AF230000}"/>
    <cellStyle name="20% - Accent5 2 5 3 2 2 2" xfId="19580" xr:uid="{00000000-0005-0000-0000-0000B0230000}"/>
    <cellStyle name="20% - Accent5 2 5 3 2 2 2 2" xfId="40060" xr:uid="{00000000-0005-0000-0000-0000B1230000}"/>
    <cellStyle name="20% - Accent5 2 5 3 2 2 3" xfId="29820" xr:uid="{00000000-0005-0000-0000-0000B2230000}"/>
    <cellStyle name="20% - Accent5 2 5 3 2 3" xfId="14460" xr:uid="{00000000-0005-0000-0000-0000B3230000}"/>
    <cellStyle name="20% - Accent5 2 5 3 2 3 2" xfId="34940" xr:uid="{00000000-0005-0000-0000-0000B4230000}"/>
    <cellStyle name="20% - Accent5 2 5 3 2 4" xfId="24700" xr:uid="{00000000-0005-0000-0000-0000B5230000}"/>
    <cellStyle name="20% - Accent5 2 5 3 3" xfId="6780" xr:uid="{00000000-0005-0000-0000-0000B6230000}"/>
    <cellStyle name="20% - Accent5 2 5 3 3 2" xfId="17020" xr:uid="{00000000-0005-0000-0000-0000B7230000}"/>
    <cellStyle name="20% - Accent5 2 5 3 3 2 2" xfId="37500" xr:uid="{00000000-0005-0000-0000-0000B8230000}"/>
    <cellStyle name="20% - Accent5 2 5 3 3 3" xfId="27260" xr:uid="{00000000-0005-0000-0000-0000B9230000}"/>
    <cellStyle name="20% - Accent5 2 5 3 4" xfId="11900" xr:uid="{00000000-0005-0000-0000-0000BA230000}"/>
    <cellStyle name="20% - Accent5 2 5 3 4 2" xfId="32380" xr:uid="{00000000-0005-0000-0000-0000BB230000}"/>
    <cellStyle name="20% - Accent5 2 5 3 5" xfId="22140" xr:uid="{00000000-0005-0000-0000-0000BC230000}"/>
    <cellStyle name="20% - Accent5 2 5 4" xfId="2940" xr:uid="{00000000-0005-0000-0000-0000BD230000}"/>
    <cellStyle name="20% - Accent5 2 5 4 2" xfId="8060" xr:uid="{00000000-0005-0000-0000-0000BE230000}"/>
    <cellStyle name="20% - Accent5 2 5 4 2 2" xfId="18300" xr:uid="{00000000-0005-0000-0000-0000BF230000}"/>
    <cellStyle name="20% - Accent5 2 5 4 2 2 2" xfId="38780" xr:uid="{00000000-0005-0000-0000-0000C0230000}"/>
    <cellStyle name="20% - Accent5 2 5 4 2 3" xfId="28540" xr:uid="{00000000-0005-0000-0000-0000C1230000}"/>
    <cellStyle name="20% - Accent5 2 5 4 3" xfId="13180" xr:uid="{00000000-0005-0000-0000-0000C2230000}"/>
    <cellStyle name="20% - Accent5 2 5 4 3 2" xfId="33660" xr:uid="{00000000-0005-0000-0000-0000C3230000}"/>
    <cellStyle name="20% - Accent5 2 5 4 4" xfId="23420" xr:uid="{00000000-0005-0000-0000-0000C4230000}"/>
    <cellStyle name="20% - Accent5 2 5 5" xfId="5500" xr:uid="{00000000-0005-0000-0000-0000C5230000}"/>
    <cellStyle name="20% - Accent5 2 5 5 2" xfId="15740" xr:uid="{00000000-0005-0000-0000-0000C6230000}"/>
    <cellStyle name="20% - Accent5 2 5 5 2 2" xfId="36220" xr:uid="{00000000-0005-0000-0000-0000C7230000}"/>
    <cellStyle name="20% - Accent5 2 5 5 3" xfId="25980" xr:uid="{00000000-0005-0000-0000-0000C8230000}"/>
    <cellStyle name="20% - Accent5 2 5 6" xfId="10620" xr:uid="{00000000-0005-0000-0000-0000C9230000}"/>
    <cellStyle name="20% - Accent5 2 5 6 2" xfId="31100" xr:uid="{00000000-0005-0000-0000-0000CA230000}"/>
    <cellStyle name="20% - Accent5 2 5 7" xfId="20860" xr:uid="{00000000-0005-0000-0000-0000CB230000}"/>
    <cellStyle name="20% - Accent5 2 6" xfId="700" xr:uid="{00000000-0005-0000-0000-0000CC230000}"/>
    <cellStyle name="20% - Accent5 2 6 2" xfId="1980" xr:uid="{00000000-0005-0000-0000-0000CD230000}"/>
    <cellStyle name="20% - Accent5 2 6 2 2" xfId="4540" xr:uid="{00000000-0005-0000-0000-0000CE230000}"/>
    <cellStyle name="20% - Accent5 2 6 2 2 2" xfId="9660" xr:uid="{00000000-0005-0000-0000-0000CF230000}"/>
    <cellStyle name="20% - Accent5 2 6 2 2 2 2" xfId="19900" xr:uid="{00000000-0005-0000-0000-0000D0230000}"/>
    <cellStyle name="20% - Accent5 2 6 2 2 2 2 2" xfId="40380" xr:uid="{00000000-0005-0000-0000-0000D1230000}"/>
    <cellStyle name="20% - Accent5 2 6 2 2 2 3" xfId="30140" xr:uid="{00000000-0005-0000-0000-0000D2230000}"/>
    <cellStyle name="20% - Accent5 2 6 2 2 3" xfId="14780" xr:uid="{00000000-0005-0000-0000-0000D3230000}"/>
    <cellStyle name="20% - Accent5 2 6 2 2 3 2" xfId="35260" xr:uid="{00000000-0005-0000-0000-0000D4230000}"/>
    <cellStyle name="20% - Accent5 2 6 2 2 4" xfId="25020" xr:uid="{00000000-0005-0000-0000-0000D5230000}"/>
    <cellStyle name="20% - Accent5 2 6 2 3" xfId="7100" xr:uid="{00000000-0005-0000-0000-0000D6230000}"/>
    <cellStyle name="20% - Accent5 2 6 2 3 2" xfId="17340" xr:uid="{00000000-0005-0000-0000-0000D7230000}"/>
    <cellStyle name="20% - Accent5 2 6 2 3 2 2" xfId="37820" xr:uid="{00000000-0005-0000-0000-0000D8230000}"/>
    <cellStyle name="20% - Accent5 2 6 2 3 3" xfId="27580" xr:uid="{00000000-0005-0000-0000-0000D9230000}"/>
    <cellStyle name="20% - Accent5 2 6 2 4" xfId="12220" xr:uid="{00000000-0005-0000-0000-0000DA230000}"/>
    <cellStyle name="20% - Accent5 2 6 2 4 2" xfId="32700" xr:uid="{00000000-0005-0000-0000-0000DB230000}"/>
    <cellStyle name="20% - Accent5 2 6 2 5" xfId="22460" xr:uid="{00000000-0005-0000-0000-0000DC230000}"/>
    <cellStyle name="20% - Accent5 2 6 3" xfId="3260" xr:uid="{00000000-0005-0000-0000-0000DD230000}"/>
    <cellStyle name="20% - Accent5 2 6 3 2" xfId="8380" xr:uid="{00000000-0005-0000-0000-0000DE230000}"/>
    <cellStyle name="20% - Accent5 2 6 3 2 2" xfId="18620" xr:uid="{00000000-0005-0000-0000-0000DF230000}"/>
    <cellStyle name="20% - Accent5 2 6 3 2 2 2" xfId="39100" xr:uid="{00000000-0005-0000-0000-0000E0230000}"/>
    <cellStyle name="20% - Accent5 2 6 3 2 3" xfId="28860" xr:uid="{00000000-0005-0000-0000-0000E1230000}"/>
    <cellStyle name="20% - Accent5 2 6 3 3" xfId="13500" xr:uid="{00000000-0005-0000-0000-0000E2230000}"/>
    <cellStyle name="20% - Accent5 2 6 3 3 2" xfId="33980" xr:uid="{00000000-0005-0000-0000-0000E3230000}"/>
    <cellStyle name="20% - Accent5 2 6 3 4" xfId="23740" xr:uid="{00000000-0005-0000-0000-0000E4230000}"/>
    <cellStyle name="20% - Accent5 2 6 4" xfId="5820" xr:uid="{00000000-0005-0000-0000-0000E5230000}"/>
    <cellStyle name="20% - Accent5 2 6 4 2" xfId="16060" xr:uid="{00000000-0005-0000-0000-0000E6230000}"/>
    <cellStyle name="20% - Accent5 2 6 4 2 2" xfId="36540" xr:uid="{00000000-0005-0000-0000-0000E7230000}"/>
    <cellStyle name="20% - Accent5 2 6 4 3" xfId="26300" xr:uid="{00000000-0005-0000-0000-0000E8230000}"/>
    <cellStyle name="20% - Accent5 2 6 5" xfId="10940" xr:uid="{00000000-0005-0000-0000-0000E9230000}"/>
    <cellStyle name="20% - Accent5 2 6 5 2" xfId="31420" xr:uid="{00000000-0005-0000-0000-0000EA230000}"/>
    <cellStyle name="20% - Accent5 2 6 6" xfId="21180" xr:uid="{00000000-0005-0000-0000-0000EB230000}"/>
    <cellStyle name="20% - Accent5 2 7" xfId="1340" xr:uid="{00000000-0005-0000-0000-0000EC230000}"/>
    <cellStyle name="20% - Accent5 2 7 2" xfId="3900" xr:uid="{00000000-0005-0000-0000-0000ED230000}"/>
    <cellStyle name="20% - Accent5 2 7 2 2" xfId="9020" xr:uid="{00000000-0005-0000-0000-0000EE230000}"/>
    <cellStyle name="20% - Accent5 2 7 2 2 2" xfId="19260" xr:uid="{00000000-0005-0000-0000-0000EF230000}"/>
    <cellStyle name="20% - Accent5 2 7 2 2 2 2" xfId="39740" xr:uid="{00000000-0005-0000-0000-0000F0230000}"/>
    <cellStyle name="20% - Accent5 2 7 2 2 3" xfId="29500" xr:uid="{00000000-0005-0000-0000-0000F1230000}"/>
    <cellStyle name="20% - Accent5 2 7 2 3" xfId="14140" xr:uid="{00000000-0005-0000-0000-0000F2230000}"/>
    <cellStyle name="20% - Accent5 2 7 2 3 2" xfId="34620" xr:uid="{00000000-0005-0000-0000-0000F3230000}"/>
    <cellStyle name="20% - Accent5 2 7 2 4" xfId="24380" xr:uid="{00000000-0005-0000-0000-0000F4230000}"/>
    <cellStyle name="20% - Accent5 2 7 3" xfId="6460" xr:uid="{00000000-0005-0000-0000-0000F5230000}"/>
    <cellStyle name="20% - Accent5 2 7 3 2" xfId="16700" xr:uid="{00000000-0005-0000-0000-0000F6230000}"/>
    <cellStyle name="20% - Accent5 2 7 3 2 2" xfId="37180" xr:uid="{00000000-0005-0000-0000-0000F7230000}"/>
    <cellStyle name="20% - Accent5 2 7 3 3" xfId="26940" xr:uid="{00000000-0005-0000-0000-0000F8230000}"/>
    <cellStyle name="20% - Accent5 2 7 4" xfId="11580" xr:uid="{00000000-0005-0000-0000-0000F9230000}"/>
    <cellStyle name="20% - Accent5 2 7 4 2" xfId="32060" xr:uid="{00000000-0005-0000-0000-0000FA230000}"/>
    <cellStyle name="20% - Accent5 2 7 5" xfId="21820" xr:uid="{00000000-0005-0000-0000-0000FB230000}"/>
    <cellStyle name="20% - Accent5 2 8" xfId="2620" xr:uid="{00000000-0005-0000-0000-0000FC230000}"/>
    <cellStyle name="20% - Accent5 2 8 2" xfId="7740" xr:uid="{00000000-0005-0000-0000-0000FD230000}"/>
    <cellStyle name="20% - Accent5 2 8 2 2" xfId="17980" xr:uid="{00000000-0005-0000-0000-0000FE230000}"/>
    <cellStyle name="20% - Accent5 2 8 2 2 2" xfId="38460" xr:uid="{00000000-0005-0000-0000-0000FF230000}"/>
    <cellStyle name="20% - Accent5 2 8 2 3" xfId="28220" xr:uid="{00000000-0005-0000-0000-000000240000}"/>
    <cellStyle name="20% - Accent5 2 8 3" xfId="12860" xr:uid="{00000000-0005-0000-0000-000001240000}"/>
    <cellStyle name="20% - Accent5 2 8 3 2" xfId="33340" xr:uid="{00000000-0005-0000-0000-000002240000}"/>
    <cellStyle name="20% - Accent5 2 8 4" xfId="23100" xr:uid="{00000000-0005-0000-0000-000003240000}"/>
    <cellStyle name="20% - Accent5 2 9" xfId="5180" xr:uid="{00000000-0005-0000-0000-000004240000}"/>
    <cellStyle name="20% - Accent5 2 9 2" xfId="15420" xr:uid="{00000000-0005-0000-0000-000005240000}"/>
    <cellStyle name="20% - Accent5 2 9 2 2" xfId="35900" xr:uid="{00000000-0005-0000-0000-000006240000}"/>
    <cellStyle name="20% - Accent5 2 9 3" xfId="25660" xr:uid="{00000000-0005-0000-0000-000007240000}"/>
    <cellStyle name="20% - Accent5 3" xfId="80" xr:uid="{00000000-0005-0000-0000-000008240000}"/>
    <cellStyle name="20% - Accent5 3 10" xfId="20560" xr:uid="{00000000-0005-0000-0000-000009240000}"/>
    <cellStyle name="20% - Accent5 3 2" xfId="160" xr:uid="{00000000-0005-0000-0000-00000A240000}"/>
    <cellStyle name="20% - Accent5 3 2 2" xfId="320" xr:uid="{00000000-0005-0000-0000-00000B240000}"/>
    <cellStyle name="20% - Accent5 3 2 2 2" xfId="640" xr:uid="{00000000-0005-0000-0000-00000C240000}"/>
    <cellStyle name="20% - Accent5 3 2 2 2 2" xfId="1280" xr:uid="{00000000-0005-0000-0000-00000D240000}"/>
    <cellStyle name="20% - Accent5 3 2 2 2 2 2" xfId="2560" xr:uid="{00000000-0005-0000-0000-00000E240000}"/>
    <cellStyle name="20% - Accent5 3 2 2 2 2 2 2" xfId="5120" xr:uid="{00000000-0005-0000-0000-00000F240000}"/>
    <cellStyle name="20% - Accent5 3 2 2 2 2 2 2 2" xfId="10240" xr:uid="{00000000-0005-0000-0000-000010240000}"/>
    <cellStyle name="20% - Accent5 3 2 2 2 2 2 2 2 2" xfId="20480" xr:uid="{00000000-0005-0000-0000-000011240000}"/>
    <cellStyle name="20% - Accent5 3 2 2 2 2 2 2 2 2 2" xfId="40960" xr:uid="{00000000-0005-0000-0000-000012240000}"/>
    <cellStyle name="20% - Accent5 3 2 2 2 2 2 2 2 3" xfId="30720" xr:uid="{00000000-0005-0000-0000-000013240000}"/>
    <cellStyle name="20% - Accent5 3 2 2 2 2 2 2 3" xfId="15360" xr:uid="{00000000-0005-0000-0000-000014240000}"/>
    <cellStyle name="20% - Accent5 3 2 2 2 2 2 2 3 2" xfId="35840" xr:uid="{00000000-0005-0000-0000-000015240000}"/>
    <cellStyle name="20% - Accent5 3 2 2 2 2 2 2 4" xfId="25600" xr:uid="{00000000-0005-0000-0000-000016240000}"/>
    <cellStyle name="20% - Accent5 3 2 2 2 2 2 3" xfId="7680" xr:uid="{00000000-0005-0000-0000-000017240000}"/>
    <cellStyle name="20% - Accent5 3 2 2 2 2 2 3 2" xfId="17920" xr:uid="{00000000-0005-0000-0000-000018240000}"/>
    <cellStyle name="20% - Accent5 3 2 2 2 2 2 3 2 2" xfId="38400" xr:uid="{00000000-0005-0000-0000-000019240000}"/>
    <cellStyle name="20% - Accent5 3 2 2 2 2 2 3 3" xfId="28160" xr:uid="{00000000-0005-0000-0000-00001A240000}"/>
    <cellStyle name="20% - Accent5 3 2 2 2 2 2 4" xfId="12800" xr:uid="{00000000-0005-0000-0000-00001B240000}"/>
    <cellStyle name="20% - Accent5 3 2 2 2 2 2 4 2" xfId="33280" xr:uid="{00000000-0005-0000-0000-00001C240000}"/>
    <cellStyle name="20% - Accent5 3 2 2 2 2 2 5" xfId="23040" xr:uid="{00000000-0005-0000-0000-00001D240000}"/>
    <cellStyle name="20% - Accent5 3 2 2 2 2 3" xfId="3840" xr:uid="{00000000-0005-0000-0000-00001E240000}"/>
    <cellStyle name="20% - Accent5 3 2 2 2 2 3 2" xfId="8960" xr:uid="{00000000-0005-0000-0000-00001F240000}"/>
    <cellStyle name="20% - Accent5 3 2 2 2 2 3 2 2" xfId="19200" xr:uid="{00000000-0005-0000-0000-000020240000}"/>
    <cellStyle name="20% - Accent5 3 2 2 2 2 3 2 2 2" xfId="39680" xr:uid="{00000000-0005-0000-0000-000021240000}"/>
    <cellStyle name="20% - Accent5 3 2 2 2 2 3 2 3" xfId="29440" xr:uid="{00000000-0005-0000-0000-000022240000}"/>
    <cellStyle name="20% - Accent5 3 2 2 2 2 3 3" xfId="14080" xr:uid="{00000000-0005-0000-0000-000023240000}"/>
    <cellStyle name="20% - Accent5 3 2 2 2 2 3 3 2" xfId="34560" xr:uid="{00000000-0005-0000-0000-000024240000}"/>
    <cellStyle name="20% - Accent5 3 2 2 2 2 3 4" xfId="24320" xr:uid="{00000000-0005-0000-0000-000025240000}"/>
    <cellStyle name="20% - Accent5 3 2 2 2 2 4" xfId="6400" xr:uid="{00000000-0005-0000-0000-000026240000}"/>
    <cellStyle name="20% - Accent5 3 2 2 2 2 4 2" xfId="16640" xr:uid="{00000000-0005-0000-0000-000027240000}"/>
    <cellStyle name="20% - Accent5 3 2 2 2 2 4 2 2" xfId="37120" xr:uid="{00000000-0005-0000-0000-000028240000}"/>
    <cellStyle name="20% - Accent5 3 2 2 2 2 4 3" xfId="26880" xr:uid="{00000000-0005-0000-0000-000029240000}"/>
    <cellStyle name="20% - Accent5 3 2 2 2 2 5" xfId="11520" xr:uid="{00000000-0005-0000-0000-00002A240000}"/>
    <cellStyle name="20% - Accent5 3 2 2 2 2 5 2" xfId="32000" xr:uid="{00000000-0005-0000-0000-00002B240000}"/>
    <cellStyle name="20% - Accent5 3 2 2 2 2 6" xfId="21760" xr:uid="{00000000-0005-0000-0000-00002C240000}"/>
    <cellStyle name="20% - Accent5 3 2 2 2 3" xfId="1920" xr:uid="{00000000-0005-0000-0000-00002D240000}"/>
    <cellStyle name="20% - Accent5 3 2 2 2 3 2" xfId="4480" xr:uid="{00000000-0005-0000-0000-00002E240000}"/>
    <cellStyle name="20% - Accent5 3 2 2 2 3 2 2" xfId="9600" xr:uid="{00000000-0005-0000-0000-00002F240000}"/>
    <cellStyle name="20% - Accent5 3 2 2 2 3 2 2 2" xfId="19840" xr:uid="{00000000-0005-0000-0000-000030240000}"/>
    <cellStyle name="20% - Accent5 3 2 2 2 3 2 2 2 2" xfId="40320" xr:uid="{00000000-0005-0000-0000-000031240000}"/>
    <cellStyle name="20% - Accent5 3 2 2 2 3 2 2 3" xfId="30080" xr:uid="{00000000-0005-0000-0000-000032240000}"/>
    <cellStyle name="20% - Accent5 3 2 2 2 3 2 3" xfId="14720" xr:uid="{00000000-0005-0000-0000-000033240000}"/>
    <cellStyle name="20% - Accent5 3 2 2 2 3 2 3 2" xfId="35200" xr:uid="{00000000-0005-0000-0000-000034240000}"/>
    <cellStyle name="20% - Accent5 3 2 2 2 3 2 4" xfId="24960" xr:uid="{00000000-0005-0000-0000-000035240000}"/>
    <cellStyle name="20% - Accent5 3 2 2 2 3 3" xfId="7040" xr:uid="{00000000-0005-0000-0000-000036240000}"/>
    <cellStyle name="20% - Accent5 3 2 2 2 3 3 2" xfId="17280" xr:uid="{00000000-0005-0000-0000-000037240000}"/>
    <cellStyle name="20% - Accent5 3 2 2 2 3 3 2 2" xfId="37760" xr:uid="{00000000-0005-0000-0000-000038240000}"/>
    <cellStyle name="20% - Accent5 3 2 2 2 3 3 3" xfId="27520" xr:uid="{00000000-0005-0000-0000-000039240000}"/>
    <cellStyle name="20% - Accent5 3 2 2 2 3 4" xfId="12160" xr:uid="{00000000-0005-0000-0000-00003A240000}"/>
    <cellStyle name="20% - Accent5 3 2 2 2 3 4 2" xfId="32640" xr:uid="{00000000-0005-0000-0000-00003B240000}"/>
    <cellStyle name="20% - Accent5 3 2 2 2 3 5" xfId="22400" xr:uid="{00000000-0005-0000-0000-00003C240000}"/>
    <cellStyle name="20% - Accent5 3 2 2 2 4" xfId="3200" xr:uid="{00000000-0005-0000-0000-00003D240000}"/>
    <cellStyle name="20% - Accent5 3 2 2 2 4 2" xfId="8320" xr:uid="{00000000-0005-0000-0000-00003E240000}"/>
    <cellStyle name="20% - Accent5 3 2 2 2 4 2 2" xfId="18560" xr:uid="{00000000-0005-0000-0000-00003F240000}"/>
    <cellStyle name="20% - Accent5 3 2 2 2 4 2 2 2" xfId="39040" xr:uid="{00000000-0005-0000-0000-000040240000}"/>
    <cellStyle name="20% - Accent5 3 2 2 2 4 2 3" xfId="28800" xr:uid="{00000000-0005-0000-0000-000041240000}"/>
    <cellStyle name="20% - Accent5 3 2 2 2 4 3" xfId="13440" xr:uid="{00000000-0005-0000-0000-000042240000}"/>
    <cellStyle name="20% - Accent5 3 2 2 2 4 3 2" xfId="33920" xr:uid="{00000000-0005-0000-0000-000043240000}"/>
    <cellStyle name="20% - Accent5 3 2 2 2 4 4" xfId="23680" xr:uid="{00000000-0005-0000-0000-000044240000}"/>
    <cellStyle name="20% - Accent5 3 2 2 2 5" xfId="5760" xr:uid="{00000000-0005-0000-0000-000045240000}"/>
    <cellStyle name="20% - Accent5 3 2 2 2 5 2" xfId="16000" xr:uid="{00000000-0005-0000-0000-000046240000}"/>
    <cellStyle name="20% - Accent5 3 2 2 2 5 2 2" xfId="36480" xr:uid="{00000000-0005-0000-0000-000047240000}"/>
    <cellStyle name="20% - Accent5 3 2 2 2 5 3" xfId="26240" xr:uid="{00000000-0005-0000-0000-000048240000}"/>
    <cellStyle name="20% - Accent5 3 2 2 2 6" xfId="10880" xr:uid="{00000000-0005-0000-0000-000049240000}"/>
    <cellStyle name="20% - Accent5 3 2 2 2 6 2" xfId="31360" xr:uid="{00000000-0005-0000-0000-00004A240000}"/>
    <cellStyle name="20% - Accent5 3 2 2 2 7" xfId="21120" xr:uid="{00000000-0005-0000-0000-00004B240000}"/>
    <cellStyle name="20% - Accent5 3 2 2 3" xfId="960" xr:uid="{00000000-0005-0000-0000-00004C240000}"/>
    <cellStyle name="20% - Accent5 3 2 2 3 2" xfId="2240" xr:uid="{00000000-0005-0000-0000-00004D240000}"/>
    <cellStyle name="20% - Accent5 3 2 2 3 2 2" xfId="4800" xr:uid="{00000000-0005-0000-0000-00004E240000}"/>
    <cellStyle name="20% - Accent5 3 2 2 3 2 2 2" xfId="9920" xr:uid="{00000000-0005-0000-0000-00004F240000}"/>
    <cellStyle name="20% - Accent5 3 2 2 3 2 2 2 2" xfId="20160" xr:uid="{00000000-0005-0000-0000-000050240000}"/>
    <cellStyle name="20% - Accent5 3 2 2 3 2 2 2 2 2" xfId="40640" xr:uid="{00000000-0005-0000-0000-000051240000}"/>
    <cellStyle name="20% - Accent5 3 2 2 3 2 2 2 3" xfId="30400" xr:uid="{00000000-0005-0000-0000-000052240000}"/>
    <cellStyle name="20% - Accent5 3 2 2 3 2 2 3" xfId="15040" xr:uid="{00000000-0005-0000-0000-000053240000}"/>
    <cellStyle name="20% - Accent5 3 2 2 3 2 2 3 2" xfId="35520" xr:uid="{00000000-0005-0000-0000-000054240000}"/>
    <cellStyle name="20% - Accent5 3 2 2 3 2 2 4" xfId="25280" xr:uid="{00000000-0005-0000-0000-000055240000}"/>
    <cellStyle name="20% - Accent5 3 2 2 3 2 3" xfId="7360" xr:uid="{00000000-0005-0000-0000-000056240000}"/>
    <cellStyle name="20% - Accent5 3 2 2 3 2 3 2" xfId="17600" xr:uid="{00000000-0005-0000-0000-000057240000}"/>
    <cellStyle name="20% - Accent5 3 2 2 3 2 3 2 2" xfId="38080" xr:uid="{00000000-0005-0000-0000-000058240000}"/>
    <cellStyle name="20% - Accent5 3 2 2 3 2 3 3" xfId="27840" xr:uid="{00000000-0005-0000-0000-000059240000}"/>
    <cellStyle name="20% - Accent5 3 2 2 3 2 4" xfId="12480" xr:uid="{00000000-0005-0000-0000-00005A240000}"/>
    <cellStyle name="20% - Accent5 3 2 2 3 2 4 2" xfId="32960" xr:uid="{00000000-0005-0000-0000-00005B240000}"/>
    <cellStyle name="20% - Accent5 3 2 2 3 2 5" xfId="22720" xr:uid="{00000000-0005-0000-0000-00005C240000}"/>
    <cellStyle name="20% - Accent5 3 2 2 3 3" xfId="3520" xr:uid="{00000000-0005-0000-0000-00005D240000}"/>
    <cellStyle name="20% - Accent5 3 2 2 3 3 2" xfId="8640" xr:uid="{00000000-0005-0000-0000-00005E240000}"/>
    <cellStyle name="20% - Accent5 3 2 2 3 3 2 2" xfId="18880" xr:uid="{00000000-0005-0000-0000-00005F240000}"/>
    <cellStyle name="20% - Accent5 3 2 2 3 3 2 2 2" xfId="39360" xr:uid="{00000000-0005-0000-0000-000060240000}"/>
    <cellStyle name="20% - Accent5 3 2 2 3 3 2 3" xfId="29120" xr:uid="{00000000-0005-0000-0000-000061240000}"/>
    <cellStyle name="20% - Accent5 3 2 2 3 3 3" xfId="13760" xr:uid="{00000000-0005-0000-0000-000062240000}"/>
    <cellStyle name="20% - Accent5 3 2 2 3 3 3 2" xfId="34240" xr:uid="{00000000-0005-0000-0000-000063240000}"/>
    <cellStyle name="20% - Accent5 3 2 2 3 3 4" xfId="24000" xr:uid="{00000000-0005-0000-0000-000064240000}"/>
    <cellStyle name="20% - Accent5 3 2 2 3 4" xfId="6080" xr:uid="{00000000-0005-0000-0000-000065240000}"/>
    <cellStyle name="20% - Accent5 3 2 2 3 4 2" xfId="16320" xr:uid="{00000000-0005-0000-0000-000066240000}"/>
    <cellStyle name="20% - Accent5 3 2 2 3 4 2 2" xfId="36800" xr:uid="{00000000-0005-0000-0000-000067240000}"/>
    <cellStyle name="20% - Accent5 3 2 2 3 4 3" xfId="26560" xr:uid="{00000000-0005-0000-0000-000068240000}"/>
    <cellStyle name="20% - Accent5 3 2 2 3 5" xfId="11200" xr:uid="{00000000-0005-0000-0000-000069240000}"/>
    <cellStyle name="20% - Accent5 3 2 2 3 5 2" xfId="31680" xr:uid="{00000000-0005-0000-0000-00006A240000}"/>
    <cellStyle name="20% - Accent5 3 2 2 3 6" xfId="21440" xr:uid="{00000000-0005-0000-0000-00006B240000}"/>
    <cellStyle name="20% - Accent5 3 2 2 4" xfId="1600" xr:uid="{00000000-0005-0000-0000-00006C240000}"/>
    <cellStyle name="20% - Accent5 3 2 2 4 2" xfId="4160" xr:uid="{00000000-0005-0000-0000-00006D240000}"/>
    <cellStyle name="20% - Accent5 3 2 2 4 2 2" xfId="9280" xr:uid="{00000000-0005-0000-0000-00006E240000}"/>
    <cellStyle name="20% - Accent5 3 2 2 4 2 2 2" xfId="19520" xr:uid="{00000000-0005-0000-0000-00006F240000}"/>
    <cellStyle name="20% - Accent5 3 2 2 4 2 2 2 2" xfId="40000" xr:uid="{00000000-0005-0000-0000-000070240000}"/>
    <cellStyle name="20% - Accent5 3 2 2 4 2 2 3" xfId="29760" xr:uid="{00000000-0005-0000-0000-000071240000}"/>
    <cellStyle name="20% - Accent5 3 2 2 4 2 3" xfId="14400" xr:uid="{00000000-0005-0000-0000-000072240000}"/>
    <cellStyle name="20% - Accent5 3 2 2 4 2 3 2" xfId="34880" xr:uid="{00000000-0005-0000-0000-000073240000}"/>
    <cellStyle name="20% - Accent5 3 2 2 4 2 4" xfId="24640" xr:uid="{00000000-0005-0000-0000-000074240000}"/>
    <cellStyle name="20% - Accent5 3 2 2 4 3" xfId="6720" xr:uid="{00000000-0005-0000-0000-000075240000}"/>
    <cellStyle name="20% - Accent5 3 2 2 4 3 2" xfId="16960" xr:uid="{00000000-0005-0000-0000-000076240000}"/>
    <cellStyle name="20% - Accent5 3 2 2 4 3 2 2" xfId="37440" xr:uid="{00000000-0005-0000-0000-000077240000}"/>
    <cellStyle name="20% - Accent5 3 2 2 4 3 3" xfId="27200" xr:uid="{00000000-0005-0000-0000-000078240000}"/>
    <cellStyle name="20% - Accent5 3 2 2 4 4" xfId="11840" xr:uid="{00000000-0005-0000-0000-000079240000}"/>
    <cellStyle name="20% - Accent5 3 2 2 4 4 2" xfId="32320" xr:uid="{00000000-0005-0000-0000-00007A240000}"/>
    <cellStyle name="20% - Accent5 3 2 2 4 5" xfId="22080" xr:uid="{00000000-0005-0000-0000-00007B240000}"/>
    <cellStyle name="20% - Accent5 3 2 2 5" xfId="2880" xr:uid="{00000000-0005-0000-0000-00007C240000}"/>
    <cellStyle name="20% - Accent5 3 2 2 5 2" xfId="8000" xr:uid="{00000000-0005-0000-0000-00007D240000}"/>
    <cellStyle name="20% - Accent5 3 2 2 5 2 2" xfId="18240" xr:uid="{00000000-0005-0000-0000-00007E240000}"/>
    <cellStyle name="20% - Accent5 3 2 2 5 2 2 2" xfId="38720" xr:uid="{00000000-0005-0000-0000-00007F240000}"/>
    <cellStyle name="20% - Accent5 3 2 2 5 2 3" xfId="28480" xr:uid="{00000000-0005-0000-0000-000080240000}"/>
    <cellStyle name="20% - Accent5 3 2 2 5 3" xfId="13120" xr:uid="{00000000-0005-0000-0000-000081240000}"/>
    <cellStyle name="20% - Accent5 3 2 2 5 3 2" xfId="33600" xr:uid="{00000000-0005-0000-0000-000082240000}"/>
    <cellStyle name="20% - Accent5 3 2 2 5 4" xfId="23360" xr:uid="{00000000-0005-0000-0000-000083240000}"/>
    <cellStyle name="20% - Accent5 3 2 2 6" xfId="5440" xr:uid="{00000000-0005-0000-0000-000084240000}"/>
    <cellStyle name="20% - Accent5 3 2 2 6 2" xfId="15680" xr:uid="{00000000-0005-0000-0000-000085240000}"/>
    <cellStyle name="20% - Accent5 3 2 2 6 2 2" xfId="36160" xr:uid="{00000000-0005-0000-0000-000086240000}"/>
    <cellStyle name="20% - Accent5 3 2 2 6 3" xfId="25920" xr:uid="{00000000-0005-0000-0000-000087240000}"/>
    <cellStyle name="20% - Accent5 3 2 2 7" xfId="10560" xr:uid="{00000000-0005-0000-0000-000088240000}"/>
    <cellStyle name="20% - Accent5 3 2 2 7 2" xfId="31040" xr:uid="{00000000-0005-0000-0000-000089240000}"/>
    <cellStyle name="20% - Accent5 3 2 2 8" xfId="20800" xr:uid="{00000000-0005-0000-0000-00008A240000}"/>
    <cellStyle name="20% - Accent5 3 2 3" xfId="480" xr:uid="{00000000-0005-0000-0000-00008B240000}"/>
    <cellStyle name="20% - Accent5 3 2 3 2" xfId="1120" xr:uid="{00000000-0005-0000-0000-00008C240000}"/>
    <cellStyle name="20% - Accent5 3 2 3 2 2" xfId="2400" xr:uid="{00000000-0005-0000-0000-00008D240000}"/>
    <cellStyle name="20% - Accent5 3 2 3 2 2 2" xfId="4960" xr:uid="{00000000-0005-0000-0000-00008E240000}"/>
    <cellStyle name="20% - Accent5 3 2 3 2 2 2 2" xfId="10080" xr:uid="{00000000-0005-0000-0000-00008F240000}"/>
    <cellStyle name="20% - Accent5 3 2 3 2 2 2 2 2" xfId="20320" xr:uid="{00000000-0005-0000-0000-000090240000}"/>
    <cellStyle name="20% - Accent5 3 2 3 2 2 2 2 2 2" xfId="40800" xr:uid="{00000000-0005-0000-0000-000091240000}"/>
    <cellStyle name="20% - Accent5 3 2 3 2 2 2 2 3" xfId="30560" xr:uid="{00000000-0005-0000-0000-000092240000}"/>
    <cellStyle name="20% - Accent5 3 2 3 2 2 2 3" xfId="15200" xr:uid="{00000000-0005-0000-0000-000093240000}"/>
    <cellStyle name="20% - Accent5 3 2 3 2 2 2 3 2" xfId="35680" xr:uid="{00000000-0005-0000-0000-000094240000}"/>
    <cellStyle name="20% - Accent5 3 2 3 2 2 2 4" xfId="25440" xr:uid="{00000000-0005-0000-0000-000095240000}"/>
    <cellStyle name="20% - Accent5 3 2 3 2 2 3" xfId="7520" xr:uid="{00000000-0005-0000-0000-000096240000}"/>
    <cellStyle name="20% - Accent5 3 2 3 2 2 3 2" xfId="17760" xr:uid="{00000000-0005-0000-0000-000097240000}"/>
    <cellStyle name="20% - Accent5 3 2 3 2 2 3 2 2" xfId="38240" xr:uid="{00000000-0005-0000-0000-000098240000}"/>
    <cellStyle name="20% - Accent5 3 2 3 2 2 3 3" xfId="28000" xr:uid="{00000000-0005-0000-0000-000099240000}"/>
    <cellStyle name="20% - Accent5 3 2 3 2 2 4" xfId="12640" xr:uid="{00000000-0005-0000-0000-00009A240000}"/>
    <cellStyle name="20% - Accent5 3 2 3 2 2 4 2" xfId="33120" xr:uid="{00000000-0005-0000-0000-00009B240000}"/>
    <cellStyle name="20% - Accent5 3 2 3 2 2 5" xfId="22880" xr:uid="{00000000-0005-0000-0000-00009C240000}"/>
    <cellStyle name="20% - Accent5 3 2 3 2 3" xfId="3680" xr:uid="{00000000-0005-0000-0000-00009D240000}"/>
    <cellStyle name="20% - Accent5 3 2 3 2 3 2" xfId="8800" xr:uid="{00000000-0005-0000-0000-00009E240000}"/>
    <cellStyle name="20% - Accent5 3 2 3 2 3 2 2" xfId="19040" xr:uid="{00000000-0005-0000-0000-00009F240000}"/>
    <cellStyle name="20% - Accent5 3 2 3 2 3 2 2 2" xfId="39520" xr:uid="{00000000-0005-0000-0000-0000A0240000}"/>
    <cellStyle name="20% - Accent5 3 2 3 2 3 2 3" xfId="29280" xr:uid="{00000000-0005-0000-0000-0000A1240000}"/>
    <cellStyle name="20% - Accent5 3 2 3 2 3 3" xfId="13920" xr:uid="{00000000-0005-0000-0000-0000A2240000}"/>
    <cellStyle name="20% - Accent5 3 2 3 2 3 3 2" xfId="34400" xr:uid="{00000000-0005-0000-0000-0000A3240000}"/>
    <cellStyle name="20% - Accent5 3 2 3 2 3 4" xfId="24160" xr:uid="{00000000-0005-0000-0000-0000A4240000}"/>
    <cellStyle name="20% - Accent5 3 2 3 2 4" xfId="6240" xr:uid="{00000000-0005-0000-0000-0000A5240000}"/>
    <cellStyle name="20% - Accent5 3 2 3 2 4 2" xfId="16480" xr:uid="{00000000-0005-0000-0000-0000A6240000}"/>
    <cellStyle name="20% - Accent5 3 2 3 2 4 2 2" xfId="36960" xr:uid="{00000000-0005-0000-0000-0000A7240000}"/>
    <cellStyle name="20% - Accent5 3 2 3 2 4 3" xfId="26720" xr:uid="{00000000-0005-0000-0000-0000A8240000}"/>
    <cellStyle name="20% - Accent5 3 2 3 2 5" xfId="11360" xr:uid="{00000000-0005-0000-0000-0000A9240000}"/>
    <cellStyle name="20% - Accent5 3 2 3 2 5 2" xfId="31840" xr:uid="{00000000-0005-0000-0000-0000AA240000}"/>
    <cellStyle name="20% - Accent5 3 2 3 2 6" xfId="21600" xr:uid="{00000000-0005-0000-0000-0000AB240000}"/>
    <cellStyle name="20% - Accent5 3 2 3 3" xfId="1760" xr:uid="{00000000-0005-0000-0000-0000AC240000}"/>
    <cellStyle name="20% - Accent5 3 2 3 3 2" xfId="4320" xr:uid="{00000000-0005-0000-0000-0000AD240000}"/>
    <cellStyle name="20% - Accent5 3 2 3 3 2 2" xfId="9440" xr:uid="{00000000-0005-0000-0000-0000AE240000}"/>
    <cellStyle name="20% - Accent5 3 2 3 3 2 2 2" xfId="19680" xr:uid="{00000000-0005-0000-0000-0000AF240000}"/>
    <cellStyle name="20% - Accent5 3 2 3 3 2 2 2 2" xfId="40160" xr:uid="{00000000-0005-0000-0000-0000B0240000}"/>
    <cellStyle name="20% - Accent5 3 2 3 3 2 2 3" xfId="29920" xr:uid="{00000000-0005-0000-0000-0000B1240000}"/>
    <cellStyle name="20% - Accent5 3 2 3 3 2 3" xfId="14560" xr:uid="{00000000-0005-0000-0000-0000B2240000}"/>
    <cellStyle name="20% - Accent5 3 2 3 3 2 3 2" xfId="35040" xr:uid="{00000000-0005-0000-0000-0000B3240000}"/>
    <cellStyle name="20% - Accent5 3 2 3 3 2 4" xfId="24800" xr:uid="{00000000-0005-0000-0000-0000B4240000}"/>
    <cellStyle name="20% - Accent5 3 2 3 3 3" xfId="6880" xr:uid="{00000000-0005-0000-0000-0000B5240000}"/>
    <cellStyle name="20% - Accent5 3 2 3 3 3 2" xfId="17120" xr:uid="{00000000-0005-0000-0000-0000B6240000}"/>
    <cellStyle name="20% - Accent5 3 2 3 3 3 2 2" xfId="37600" xr:uid="{00000000-0005-0000-0000-0000B7240000}"/>
    <cellStyle name="20% - Accent5 3 2 3 3 3 3" xfId="27360" xr:uid="{00000000-0005-0000-0000-0000B8240000}"/>
    <cellStyle name="20% - Accent5 3 2 3 3 4" xfId="12000" xr:uid="{00000000-0005-0000-0000-0000B9240000}"/>
    <cellStyle name="20% - Accent5 3 2 3 3 4 2" xfId="32480" xr:uid="{00000000-0005-0000-0000-0000BA240000}"/>
    <cellStyle name="20% - Accent5 3 2 3 3 5" xfId="22240" xr:uid="{00000000-0005-0000-0000-0000BB240000}"/>
    <cellStyle name="20% - Accent5 3 2 3 4" xfId="3040" xr:uid="{00000000-0005-0000-0000-0000BC240000}"/>
    <cellStyle name="20% - Accent5 3 2 3 4 2" xfId="8160" xr:uid="{00000000-0005-0000-0000-0000BD240000}"/>
    <cellStyle name="20% - Accent5 3 2 3 4 2 2" xfId="18400" xr:uid="{00000000-0005-0000-0000-0000BE240000}"/>
    <cellStyle name="20% - Accent5 3 2 3 4 2 2 2" xfId="38880" xr:uid="{00000000-0005-0000-0000-0000BF240000}"/>
    <cellStyle name="20% - Accent5 3 2 3 4 2 3" xfId="28640" xr:uid="{00000000-0005-0000-0000-0000C0240000}"/>
    <cellStyle name="20% - Accent5 3 2 3 4 3" xfId="13280" xr:uid="{00000000-0005-0000-0000-0000C1240000}"/>
    <cellStyle name="20% - Accent5 3 2 3 4 3 2" xfId="33760" xr:uid="{00000000-0005-0000-0000-0000C2240000}"/>
    <cellStyle name="20% - Accent5 3 2 3 4 4" xfId="23520" xr:uid="{00000000-0005-0000-0000-0000C3240000}"/>
    <cellStyle name="20% - Accent5 3 2 3 5" xfId="5600" xr:uid="{00000000-0005-0000-0000-0000C4240000}"/>
    <cellStyle name="20% - Accent5 3 2 3 5 2" xfId="15840" xr:uid="{00000000-0005-0000-0000-0000C5240000}"/>
    <cellStyle name="20% - Accent5 3 2 3 5 2 2" xfId="36320" xr:uid="{00000000-0005-0000-0000-0000C6240000}"/>
    <cellStyle name="20% - Accent5 3 2 3 5 3" xfId="26080" xr:uid="{00000000-0005-0000-0000-0000C7240000}"/>
    <cellStyle name="20% - Accent5 3 2 3 6" xfId="10720" xr:uid="{00000000-0005-0000-0000-0000C8240000}"/>
    <cellStyle name="20% - Accent5 3 2 3 6 2" xfId="31200" xr:uid="{00000000-0005-0000-0000-0000C9240000}"/>
    <cellStyle name="20% - Accent5 3 2 3 7" xfId="20960" xr:uid="{00000000-0005-0000-0000-0000CA240000}"/>
    <cellStyle name="20% - Accent5 3 2 4" xfId="800" xr:uid="{00000000-0005-0000-0000-0000CB240000}"/>
    <cellStyle name="20% - Accent5 3 2 4 2" xfId="2080" xr:uid="{00000000-0005-0000-0000-0000CC240000}"/>
    <cellStyle name="20% - Accent5 3 2 4 2 2" xfId="4640" xr:uid="{00000000-0005-0000-0000-0000CD240000}"/>
    <cellStyle name="20% - Accent5 3 2 4 2 2 2" xfId="9760" xr:uid="{00000000-0005-0000-0000-0000CE240000}"/>
    <cellStyle name="20% - Accent5 3 2 4 2 2 2 2" xfId="20000" xr:uid="{00000000-0005-0000-0000-0000CF240000}"/>
    <cellStyle name="20% - Accent5 3 2 4 2 2 2 2 2" xfId="40480" xr:uid="{00000000-0005-0000-0000-0000D0240000}"/>
    <cellStyle name="20% - Accent5 3 2 4 2 2 2 3" xfId="30240" xr:uid="{00000000-0005-0000-0000-0000D1240000}"/>
    <cellStyle name="20% - Accent5 3 2 4 2 2 3" xfId="14880" xr:uid="{00000000-0005-0000-0000-0000D2240000}"/>
    <cellStyle name="20% - Accent5 3 2 4 2 2 3 2" xfId="35360" xr:uid="{00000000-0005-0000-0000-0000D3240000}"/>
    <cellStyle name="20% - Accent5 3 2 4 2 2 4" xfId="25120" xr:uid="{00000000-0005-0000-0000-0000D4240000}"/>
    <cellStyle name="20% - Accent5 3 2 4 2 3" xfId="7200" xr:uid="{00000000-0005-0000-0000-0000D5240000}"/>
    <cellStyle name="20% - Accent5 3 2 4 2 3 2" xfId="17440" xr:uid="{00000000-0005-0000-0000-0000D6240000}"/>
    <cellStyle name="20% - Accent5 3 2 4 2 3 2 2" xfId="37920" xr:uid="{00000000-0005-0000-0000-0000D7240000}"/>
    <cellStyle name="20% - Accent5 3 2 4 2 3 3" xfId="27680" xr:uid="{00000000-0005-0000-0000-0000D8240000}"/>
    <cellStyle name="20% - Accent5 3 2 4 2 4" xfId="12320" xr:uid="{00000000-0005-0000-0000-0000D9240000}"/>
    <cellStyle name="20% - Accent5 3 2 4 2 4 2" xfId="32800" xr:uid="{00000000-0005-0000-0000-0000DA240000}"/>
    <cellStyle name="20% - Accent5 3 2 4 2 5" xfId="22560" xr:uid="{00000000-0005-0000-0000-0000DB240000}"/>
    <cellStyle name="20% - Accent5 3 2 4 3" xfId="3360" xr:uid="{00000000-0005-0000-0000-0000DC240000}"/>
    <cellStyle name="20% - Accent5 3 2 4 3 2" xfId="8480" xr:uid="{00000000-0005-0000-0000-0000DD240000}"/>
    <cellStyle name="20% - Accent5 3 2 4 3 2 2" xfId="18720" xr:uid="{00000000-0005-0000-0000-0000DE240000}"/>
    <cellStyle name="20% - Accent5 3 2 4 3 2 2 2" xfId="39200" xr:uid="{00000000-0005-0000-0000-0000DF240000}"/>
    <cellStyle name="20% - Accent5 3 2 4 3 2 3" xfId="28960" xr:uid="{00000000-0005-0000-0000-0000E0240000}"/>
    <cellStyle name="20% - Accent5 3 2 4 3 3" xfId="13600" xr:uid="{00000000-0005-0000-0000-0000E1240000}"/>
    <cellStyle name="20% - Accent5 3 2 4 3 3 2" xfId="34080" xr:uid="{00000000-0005-0000-0000-0000E2240000}"/>
    <cellStyle name="20% - Accent5 3 2 4 3 4" xfId="23840" xr:uid="{00000000-0005-0000-0000-0000E3240000}"/>
    <cellStyle name="20% - Accent5 3 2 4 4" xfId="5920" xr:uid="{00000000-0005-0000-0000-0000E4240000}"/>
    <cellStyle name="20% - Accent5 3 2 4 4 2" xfId="16160" xr:uid="{00000000-0005-0000-0000-0000E5240000}"/>
    <cellStyle name="20% - Accent5 3 2 4 4 2 2" xfId="36640" xr:uid="{00000000-0005-0000-0000-0000E6240000}"/>
    <cellStyle name="20% - Accent5 3 2 4 4 3" xfId="26400" xr:uid="{00000000-0005-0000-0000-0000E7240000}"/>
    <cellStyle name="20% - Accent5 3 2 4 5" xfId="11040" xr:uid="{00000000-0005-0000-0000-0000E8240000}"/>
    <cellStyle name="20% - Accent5 3 2 4 5 2" xfId="31520" xr:uid="{00000000-0005-0000-0000-0000E9240000}"/>
    <cellStyle name="20% - Accent5 3 2 4 6" xfId="21280" xr:uid="{00000000-0005-0000-0000-0000EA240000}"/>
    <cellStyle name="20% - Accent5 3 2 5" xfId="1440" xr:uid="{00000000-0005-0000-0000-0000EB240000}"/>
    <cellStyle name="20% - Accent5 3 2 5 2" xfId="4000" xr:uid="{00000000-0005-0000-0000-0000EC240000}"/>
    <cellStyle name="20% - Accent5 3 2 5 2 2" xfId="9120" xr:uid="{00000000-0005-0000-0000-0000ED240000}"/>
    <cellStyle name="20% - Accent5 3 2 5 2 2 2" xfId="19360" xr:uid="{00000000-0005-0000-0000-0000EE240000}"/>
    <cellStyle name="20% - Accent5 3 2 5 2 2 2 2" xfId="39840" xr:uid="{00000000-0005-0000-0000-0000EF240000}"/>
    <cellStyle name="20% - Accent5 3 2 5 2 2 3" xfId="29600" xr:uid="{00000000-0005-0000-0000-0000F0240000}"/>
    <cellStyle name="20% - Accent5 3 2 5 2 3" xfId="14240" xr:uid="{00000000-0005-0000-0000-0000F1240000}"/>
    <cellStyle name="20% - Accent5 3 2 5 2 3 2" xfId="34720" xr:uid="{00000000-0005-0000-0000-0000F2240000}"/>
    <cellStyle name="20% - Accent5 3 2 5 2 4" xfId="24480" xr:uid="{00000000-0005-0000-0000-0000F3240000}"/>
    <cellStyle name="20% - Accent5 3 2 5 3" xfId="6560" xr:uid="{00000000-0005-0000-0000-0000F4240000}"/>
    <cellStyle name="20% - Accent5 3 2 5 3 2" xfId="16800" xr:uid="{00000000-0005-0000-0000-0000F5240000}"/>
    <cellStyle name="20% - Accent5 3 2 5 3 2 2" xfId="37280" xr:uid="{00000000-0005-0000-0000-0000F6240000}"/>
    <cellStyle name="20% - Accent5 3 2 5 3 3" xfId="27040" xr:uid="{00000000-0005-0000-0000-0000F7240000}"/>
    <cellStyle name="20% - Accent5 3 2 5 4" xfId="11680" xr:uid="{00000000-0005-0000-0000-0000F8240000}"/>
    <cellStyle name="20% - Accent5 3 2 5 4 2" xfId="32160" xr:uid="{00000000-0005-0000-0000-0000F9240000}"/>
    <cellStyle name="20% - Accent5 3 2 5 5" xfId="21920" xr:uid="{00000000-0005-0000-0000-0000FA240000}"/>
    <cellStyle name="20% - Accent5 3 2 6" xfId="2720" xr:uid="{00000000-0005-0000-0000-0000FB240000}"/>
    <cellStyle name="20% - Accent5 3 2 6 2" xfId="7840" xr:uid="{00000000-0005-0000-0000-0000FC240000}"/>
    <cellStyle name="20% - Accent5 3 2 6 2 2" xfId="18080" xr:uid="{00000000-0005-0000-0000-0000FD240000}"/>
    <cellStyle name="20% - Accent5 3 2 6 2 2 2" xfId="38560" xr:uid="{00000000-0005-0000-0000-0000FE240000}"/>
    <cellStyle name="20% - Accent5 3 2 6 2 3" xfId="28320" xr:uid="{00000000-0005-0000-0000-0000FF240000}"/>
    <cellStyle name="20% - Accent5 3 2 6 3" xfId="12960" xr:uid="{00000000-0005-0000-0000-000000250000}"/>
    <cellStyle name="20% - Accent5 3 2 6 3 2" xfId="33440" xr:uid="{00000000-0005-0000-0000-000001250000}"/>
    <cellStyle name="20% - Accent5 3 2 6 4" xfId="23200" xr:uid="{00000000-0005-0000-0000-000002250000}"/>
    <cellStyle name="20% - Accent5 3 2 7" xfId="5280" xr:uid="{00000000-0005-0000-0000-000003250000}"/>
    <cellStyle name="20% - Accent5 3 2 7 2" xfId="15520" xr:uid="{00000000-0005-0000-0000-000004250000}"/>
    <cellStyle name="20% - Accent5 3 2 7 2 2" xfId="36000" xr:uid="{00000000-0005-0000-0000-000005250000}"/>
    <cellStyle name="20% - Accent5 3 2 7 3" xfId="25760" xr:uid="{00000000-0005-0000-0000-000006250000}"/>
    <cellStyle name="20% - Accent5 3 2 8" xfId="10400" xr:uid="{00000000-0005-0000-0000-000007250000}"/>
    <cellStyle name="20% - Accent5 3 2 8 2" xfId="30880" xr:uid="{00000000-0005-0000-0000-000008250000}"/>
    <cellStyle name="20% - Accent5 3 2 9" xfId="20640" xr:uid="{00000000-0005-0000-0000-000009250000}"/>
    <cellStyle name="20% - Accent5 3 3" xfId="240" xr:uid="{00000000-0005-0000-0000-00000A250000}"/>
    <cellStyle name="20% - Accent5 3 3 2" xfId="560" xr:uid="{00000000-0005-0000-0000-00000B250000}"/>
    <cellStyle name="20% - Accent5 3 3 2 2" xfId="1200" xr:uid="{00000000-0005-0000-0000-00000C250000}"/>
    <cellStyle name="20% - Accent5 3 3 2 2 2" xfId="2480" xr:uid="{00000000-0005-0000-0000-00000D250000}"/>
    <cellStyle name="20% - Accent5 3 3 2 2 2 2" xfId="5040" xr:uid="{00000000-0005-0000-0000-00000E250000}"/>
    <cellStyle name="20% - Accent5 3 3 2 2 2 2 2" xfId="10160" xr:uid="{00000000-0005-0000-0000-00000F250000}"/>
    <cellStyle name="20% - Accent5 3 3 2 2 2 2 2 2" xfId="20400" xr:uid="{00000000-0005-0000-0000-000010250000}"/>
    <cellStyle name="20% - Accent5 3 3 2 2 2 2 2 2 2" xfId="40880" xr:uid="{00000000-0005-0000-0000-000011250000}"/>
    <cellStyle name="20% - Accent5 3 3 2 2 2 2 2 3" xfId="30640" xr:uid="{00000000-0005-0000-0000-000012250000}"/>
    <cellStyle name="20% - Accent5 3 3 2 2 2 2 3" xfId="15280" xr:uid="{00000000-0005-0000-0000-000013250000}"/>
    <cellStyle name="20% - Accent5 3 3 2 2 2 2 3 2" xfId="35760" xr:uid="{00000000-0005-0000-0000-000014250000}"/>
    <cellStyle name="20% - Accent5 3 3 2 2 2 2 4" xfId="25520" xr:uid="{00000000-0005-0000-0000-000015250000}"/>
    <cellStyle name="20% - Accent5 3 3 2 2 2 3" xfId="7600" xr:uid="{00000000-0005-0000-0000-000016250000}"/>
    <cellStyle name="20% - Accent5 3 3 2 2 2 3 2" xfId="17840" xr:uid="{00000000-0005-0000-0000-000017250000}"/>
    <cellStyle name="20% - Accent5 3 3 2 2 2 3 2 2" xfId="38320" xr:uid="{00000000-0005-0000-0000-000018250000}"/>
    <cellStyle name="20% - Accent5 3 3 2 2 2 3 3" xfId="28080" xr:uid="{00000000-0005-0000-0000-000019250000}"/>
    <cellStyle name="20% - Accent5 3 3 2 2 2 4" xfId="12720" xr:uid="{00000000-0005-0000-0000-00001A250000}"/>
    <cellStyle name="20% - Accent5 3 3 2 2 2 4 2" xfId="33200" xr:uid="{00000000-0005-0000-0000-00001B250000}"/>
    <cellStyle name="20% - Accent5 3 3 2 2 2 5" xfId="22960" xr:uid="{00000000-0005-0000-0000-00001C250000}"/>
    <cellStyle name="20% - Accent5 3 3 2 2 3" xfId="3760" xr:uid="{00000000-0005-0000-0000-00001D250000}"/>
    <cellStyle name="20% - Accent5 3 3 2 2 3 2" xfId="8880" xr:uid="{00000000-0005-0000-0000-00001E250000}"/>
    <cellStyle name="20% - Accent5 3 3 2 2 3 2 2" xfId="19120" xr:uid="{00000000-0005-0000-0000-00001F250000}"/>
    <cellStyle name="20% - Accent5 3 3 2 2 3 2 2 2" xfId="39600" xr:uid="{00000000-0005-0000-0000-000020250000}"/>
    <cellStyle name="20% - Accent5 3 3 2 2 3 2 3" xfId="29360" xr:uid="{00000000-0005-0000-0000-000021250000}"/>
    <cellStyle name="20% - Accent5 3 3 2 2 3 3" xfId="14000" xr:uid="{00000000-0005-0000-0000-000022250000}"/>
    <cellStyle name="20% - Accent5 3 3 2 2 3 3 2" xfId="34480" xr:uid="{00000000-0005-0000-0000-000023250000}"/>
    <cellStyle name="20% - Accent5 3 3 2 2 3 4" xfId="24240" xr:uid="{00000000-0005-0000-0000-000024250000}"/>
    <cellStyle name="20% - Accent5 3 3 2 2 4" xfId="6320" xr:uid="{00000000-0005-0000-0000-000025250000}"/>
    <cellStyle name="20% - Accent5 3 3 2 2 4 2" xfId="16560" xr:uid="{00000000-0005-0000-0000-000026250000}"/>
    <cellStyle name="20% - Accent5 3 3 2 2 4 2 2" xfId="37040" xr:uid="{00000000-0005-0000-0000-000027250000}"/>
    <cellStyle name="20% - Accent5 3 3 2 2 4 3" xfId="26800" xr:uid="{00000000-0005-0000-0000-000028250000}"/>
    <cellStyle name="20% - Accent5 3 3 2 2 5" xfId="11440" xr:uid="{00000000-0005-0000-0000-000029250000}"/>
    <cellStyle name="20% - Accent5 3 3 2 2 5 2" xfId="31920" xr:uid="{00000000-0005-0000-0000-00002A250000}"/>
    <cellStyle name="20% - Accent5 3 3 2 2 6" xfId="21680" xr:uid="{00000000-0005-0000-0000-00002B250000}"/>
    <cellStyle name="20% - Accent5 3 3 2 3" xfId="1840" xr:uid="{00000000-0005-0000-0000-00002C250000}"/>
    <cellStyle name="20% - Accent5 3 3 2 3 2" xfId="4400" xr:uid="{00000000-0005-0000-0000-00002D250000}"/>
    <cellStyle name="20% - Accent5 3 3 2 3 2 2" xfId="9520" xr:uid="{00000000-0005-0000-0000-00002E250000}"/>
    <cellStyle name="20% - Accent5 3 3 2 3 2 2 2" xfId="19760" xr:uid="{00000000-0005-0000-0000-00002F250000}"/>
    <cellStyle name="20% - Accent5 3 3 2 3 2 2 2 2" xfId="40240" xr:uid="{00000000-0005-0000-0000-000030250000}"/>
    <cellStyle name="20% - Accent5 3 3 2 3 2 2 3" xfId="30000" xr:uid="{00000000-0005-0000-0000-000031250000}"/>
    <cellStyle name="20% - Accent5 3 3 2 3 2 3" xfId="14640" xr:uid="{00000000-0005-0000-0000-000032250000}"/>
    <cellStyle name="20% - Accent5 3 3 2 3 2 3 2" xfId="35120" xr:uid="{00000000-0005-0000-0000-000033250000}"/>
    <cellStyle name="20% - Accent5 3 3 2 3 2 4" xfId="24880" xr:uid="{00000000-0005-0000-0000-000034250000}"/>
    <cellStyle name="20% - Accent5 3 3 2 3 3" xfId="6960" xr:uid="{00000000-0005-0000-0000-000035250000}"/>
    <cellStyle name="20% - Accent5 3 3 2 3 3 2" xfId="17200" xr:uid="{00000000-0005-0000-0000-000036250000}"/>
    <cellStyle name="20% - Accent5 3 3 2 3 3 2 2" xfId="37680" xr:uid="{00000000-0005-0000-0000-000037250000}"/>
    <cellStyle name="20% - Accent5 3 3 2 3 3 3" xfId="27440" xr:uid="{00000000-0005-0000-0000-000038250000}"/>
    <cellStyle name="20% - Accent5 3 3 2 3 4" xfId="12080" xr:uid="{00000000-0005-0000-0000-000039250000}"/>
    <cellStyle name="20% - Accent5 3 3 2 3 4 2" xfId="32560" xr:uid="{00000000-0005-0000-0000-00003A250000}"/>
    <cellStyle name="20% - Accent5 3 3 2 3 5" xfId="22320" xr:uid="{00000000-0005-0000-0000-00003B250000}"/>
    <cellStyle name="20% - Accent5 3 3 2 4" xfId="3120" xr:uid="{00000000-0005-0000-0000-00003C250000}"/>
    <cellStyle name="20% - Accent5 3 3 2 4 2" xfId="8240" xr:uid="{00000000-0005-0000-0000-00003D250000}"/>
    <cellStyle name="20% - Accent5 3 3 2 4 2 2" xfId="18480" xr:uid="{00000000-0005-0000-0000-00003E250000}"/>
    <cellStyle name="20% - Accent5 3 3 2 4 2 2 2" xfId="38960" xr:uid="{00000000-0005-0000-0000-00003F250000}"/>
    <cellStyle name="20% - Accent5 3 3 2 4 2 3" xfId="28720" xr:uid="{00000000-0005-0000-0000-000040250000}"/>
    <cellStyle name="20% - Accent5 3 3 2 4 3" xfId="13360" xr:uid="{00000000-0005-0000-0000-000041250000}"/>
    <cellStyle name="20% - Accent5 3 3 2 4 3 2" xfId="33840" xr:uid="{00000000-0005-0000-0000-000042250000}"/>
    <cellStyle name="20% - Accent5 3 3 2 4 4" xfId="23600" xr:uid="{00000000-0005-0000-0000-000043250000}"/>
    <cellStyle name="20% - Accent5 3 3 2 5" xfId="5680" xr:uid="{00000000-0005-0000-0000-000044250000}"/>
    <cellStyle name="20% - Accent5 3 3 2 5 2" xfId="15920" xr:uid="{00000000-0005-0000-0000-000045250000}"/>
    <cellStyle name="20% - Accent5 3 3 2 5 2 2" xfId="36400" xr:uid="{00000000-0005-0000-0000-000046250000}"/>
    <cellStyle name="20% - Accent5 3 3 2 5 3" xfId="26160" xr:uid="{00000000-0005-0000-0000-000047250000}"/>
    <cellStyle name="20% - Accent5 3 3 2 6" xfId="10800" xr:uid="{00000000-0005-0000-0000-000048250000}"/>
    <cellStyle name="20% - Accent5 3 3 2 6 2" xfId="31280" xr:uid="{00000000-0005-0000-0000-000049250000}"/>
    <cellStyle name="20% - Accent5 3 3 2 7" xfId="21040" xr:uid="{00000000-0005-0000-0000-00004A250000}"/>
    <cellStyle name="20% - Accent5 3 3 3" xfId="880" xr:uid="{00000000-0005-0000-0000-00004B250000}"/>
    <cellStyle name="20% - Accent5 3 3 3 2" xfId="2160" xr:uid="{00000000-0005-0000-0000-00004C250000}"/>
    <cellStyle name="20% - Accent5 3 3 3 2 2" xfId="4720" xr:uid="{00000000-0005-0000-0000-00004D250000}"/>
    <cellStyle name="20% - Accent5 3 3 3 2 2 2" xfId="9840" xr:uid="{00000000-0005-0000-0000-00004E250000}"/>
    <cellStyle name="20% - Accent5 3 3 3 2 2 2 2" xfId="20080" xr:uid="{00000000-0005-0000-0000-00004F250000}"/>
    <cellStyle name="20% - Accent5 3 3 3 2 2 2 2 2" xfId="40560" xr:uid="{00000000-0005-0000-0000-000050250000}"/>
    <cellStyle name="20% - Accent5 3 3 3 2 2 2 3" xfId="30320" xr:uid="{00000000-0005-0000-0000-000051250000}"/>
    <cellStyle name="20% - Accent5 3 3 3 2 2 3" xfId="14960" xr:uid="{00000000-0005-0000-0000-000052250000}"/>
    <cellStyle name="20% - Accent5 3 3 3 2 2 3 2" xfId="35440" xr:uid="{00000000-0005-0000-0000-000053250000}"/>
    <cellStyle name="20% - Accent5 3 3 3 2 2 4" xfId="25200" xr:uid="{00000000-0005-0000-0000-000054250000}"/>
    <cellStyle name="20% - Accent5 3 3 3 2 3" xfId="7280" xr:uid="{00000000-0005-0000-0000-000055250000}"/>
    <cellStyle name="20% - Accent5 3 3 3 2 3 2" xfId="17520" xr:uid="{00000000-0005-0000-0000-000056250000}"/>
    <cellStyle name="20% - Accent5 3 3 3 2 3 2 2" xfId="38000" xr:uid="{00000000-0005-0000-0000-000057250000}"/>
    <cellStyle name="20% - Accent5 3 3 3 2 3 3" xfId="27760" xr:uid="{00000000-0005-0000-0000-000058250000}"/>
    <cellStyle name="20% - Accent5 3 3 3 2 4" xfId="12400" xr:uid="{00000000-0005-0000-0000-000059250000}"/>
    <cellStyle name="20% - Accent5 3 3 3 2 4 2" xfId="32880" xr:uid="{00000000-0005-0000-0000-00005A250000}"/>
    <cellStyle name="20% - Accent5 3 3 3 2 5" xfId="22640" xr:uid="{00000000-0005-0000-0000-00005B250000}"/>
    <cellStyle name="20% - Accent5 3 3 3 3" xfId="3440" xr:uid="{00000000-0005-0000-0000-00005C250000}"/>
    <cellStyle name="20% - Accent5 3 3 3 3 2" xfId="8560" xr:uid="{00000000-0005-0000-0000-00005D250000}"/>
    <cellStyle name="20% - Accent5 3 3 3 3 2 2" xfId="18800" xr:uid="{00000000-0005-0000-0000-00005E250000}"/>
    <cellStyle name="20% - Accent5 3 3 3 3 2 2 2" xfId="39280" xr:uid="{00000000-0005-0000-0000-00005F250000}"/>
    <cellStyle name="20% - Accent5 3 3 3 3 2 3" xfId="29040" xr:uid="{00000000-0005-0000-0000-000060250000}"/>
    <cellStyle name="20% - Accent5 3 3 3 3 3" xfId="13680" xr:uid="{00000000-0005-0000-0000-000061250000}"/>
    <cellStyle name="20% - Accent5 3 3 3 3 3 2" xfId="34160" xr:uid="{00000000-0005-0000-0000-000062250000}"/>
    <cellStyle name="20% - Accent5 3 3 3 3 4" xfId="23920" xr:uid="{00000000-0005-0000-0000-000063250000}"/>
    <cellStyle name="20% - Accent5 3 3 3 4" xfId="6000" xr:uid="{00000000-0005-0000-0000-000064250000}"/>
    <cellStyle name="20% - Accent5 3 3 3 4 2" xfId="16240" xr:uid="{00000000-0005-0000-0000-000065250000}"/>
    <cellStyle name="20% - Accent5 3 3 3 4 2 2" xfId="36720" xr:uid="{00000000-0005-0000-0000-000066250000}"/>
    <cellStyle name="20% - Accent5 3 3 3 4 3" xfId="26480" xr:uid="{00000000-0005-0000-0000-000067250000}"/>
    <cellStyle name="20% - Accent5 3 3 3 5" xfId="11120" xr:uid="{00000000-0005-0000-0000-000068250000}"/>
    <cellStyle name="20% - Accent5 3 3 3 5 2" xfId="31600" xr:uid="{00000000-0005-0000-0000-000069250000}"/>
    <cellStyle name="20% - Accent5 3 3 3 6" xfId="21360" xr:uid="{00000000-0005-0000-0000-00006A250000}"/>
    <cellStyle name="20% - Accent5 3 3 4" xfId="1520" xr:uid="{00000000-0005-0000-0000-00006B250000}"/>
    <cellStyle name="20% - Accent5 3 3 4 2" xfId="4080" xr:uid="{00000000-0005-0000-0000-00006C250000}"/>
    <cellStyle name="20% - Accent5 3 3 4 2 2" xfId="9200" xr:uid="{00000000-0005-0000-0000-00006D250000}"/>
    <cellStyle name="20% - Accent5 3 3 4 2 2 2" xfId="19440" xr:uid="{00000000-0005-0000-0000-00006E250000}"/>
    <cellStyle name="20% - Accent5 3 3 4 2 2 2 2" xfId="39920" xr:uid="{00000000-0005-0000-0000-00006F250000}"/>
    <cellStyle name="20% - Accent5 3 3 4 2 2 3" xfId="29680" xr:uid="{00000000-0005-0000-0000-000070250000}"/>
    <cellStyle name="20% - Accent5 3 3 4 2 3" xfId="14320" xr:uid="{00000000-0005-0000-0000-000071250000}"/>
    <cellStyle name="20% - Accent5 3 3 4 2 3 2" xfId="34800" xr:uid="{00000000-0005-0000-0000-000072250000}"/>
    <cellStyle name="20% - Accent5 3 3 4 2 4" xfId="24560" xr:uid="{00000000-0005-0000-0000-000073250000}"/>
    <cellStyle name="20% - Accent5 3 3 4 3" xfId="6640" xr:uid="{00000000-0005-0000-0000-000074250000}"/>
    <cellStyle name="20% - Accent5 3 3 4 3 2" xfId="16880" xr:uid="{00000000-0005-0000-0000-000075250000}"/>
    <cellStyle name="20% - Accent5 3 3 4 3 2 2" xfId="37360" xr:uid="{00000000-0005-0000-0000-000076250000}"/>
    <cellStyle name="20% - Accent5 3 3 4 3 3" xfId="27120" xr:uid="{00000000-0005-0000-0000-000077250000}"/>
    <cellStyle name="20% - Accent5 3 3 4 4" xfId="11760" xr:uid="{00000000-0005-0000-0000-000078250000}"/>
    <cellStyle name="20% - Accent5 3 3 4 4 2" xfId="32240" xr:uid="{00000000-0005-0000-0000-000079250000}"/>
    <cellStyle name="20% - Accent5 3 3 4 5" xfId="22000" xr:uid="{00000000-0005-0000-0000-00007A250000}"/>
    <cellStyle name="20% - Accent5 3 3 5" xfId="2800" xr:uid="{00000000-0005-0000-0000-00007B250000}"/>
    <cellStyle name="20% - Accent5 3 3 5 2" xfId="7920" xr:uid="{00000000-0005-0000-0000-00007C250000}"/>
    <cellStyle name="20% - Accent5 3 3 5 2 2" xfId="18160" xr:uid="{00000000-0005-0000-0000-00007D250000}"/>
    <cellStyle name="20% - Accent5 3 3 5 2 2 2" xfId="38640" xr:uid="{00000000-0005-0000-0000-00007E250000}"/>
    <cellStyle name="20% - Accent5 3 3 5 2 3" xfId="28400" xr:uid="{00000000-0005-0000-0000-00007F250000}"/>
    <cellStyle name="20% - Accent5 3 3 5 3" xfId="13040" xr:uid="{00000000-0005-0000-0000-000080250000}"/>
    <cellStyle name="20% - Accent5 3 3 5 3 2" xfId="33520" xr:uid="{00000000-0005-0000-0000-000081250000}"/>
    <cellStyle name="20% - Accent5 3 3 5 4" xfId="23280" xr:uid="{00000000-0005-0000-0000-000082250000}"/>
    <cellStyle name="20% - Accent5 3 3 6" xfId="5360" xr:uid="{00000000-0005-0000-0000-000083250000}"/>
    <cellStyle name="20% - Accent5 3 3 6 2" xfId="15600" xr:uid="{00000000-0005-0000-0000-000084250000}"/>
    <cellStyle name="20% - Accent5 3 3 6 2 2" xfId="36080" xr:uid="{00000000-0005-0000-0000-000085250000}"/>
    <cellStyle name="20% - Accent5 3 3 6 3" xfId="25840" xr:uid="{00000000-0005-0000-0000-000086250000}"/>
    <cellStyle name="20% - Accent5 3 3 7" xfId="10480" xr:uid="{00000000-0005-0000-0000-000087250000}"/>
    <cellStyle name="20% - Accent5 3 3 7 2" xfId="30960" xr:uid="{00000000-0005-0000-0000-000088250000}"/>
    <cellStyle name="20% - Accent5 3 3 8" xfId="20720" xr:uid="{00000000-0005-0000-0000-000089250000}"/>
    <cellStyle name="20% - Accent5 3 4" xfId="400" xr:uid="{00000000-0005-0000-0000-00008A250000}"/>
    <cellStyle name="20% - Accent5 3 4 2" xfId="1040" xr:uid="{00000000-0005-0000-0000-00008B250000}"/>
    <cellStyle name="20% - Accent5 3 4 2 2" xfId="2320" xr:uid="{00000000-0005-0000-0000-00008C250000}"/>
    <cellStyle name="20% - Accent5 3 4 2 2 2" xfId="4880" xr:uid="{00000000-0005-0000-0000-00008D250000}"/>
    <cellStyle name="20% - Accent5 3 4 2 2 2 2" xfId="10000" xr:uid="{00000000-0005-0000-0000-00008E250000}"/>
    <cellStyle name="20% - Accent5 3 4 2 2 2 2 2" xfId="20240" xr:uid="{00000000-0005-0000-0000-00008F250000}"/>
    <cellStyle name="20% - Accent5 3 4 2 2 2 2 2 2" xfId="40720" xr:uid="{00000000-0005-0000-0000-000090250000}"/>
    <cellStyle name="20% - Accent5 3 4 2 2 2 2 3" xfId="30480" xr:uid="{00000000-0005-0000-0000-000091250000}"/>
    <cellStyle name="20% - Accent5 3 4 2 2 2 3" xfId="15120" xr:uid="{00000000-0005-0000-0000-000092250000}"/>
    <cellStyle name="20% - Accent5 3 4 2 2 2 3 2" xfId="35600" xr:uid="{00000000-0005-0000-0000-000093250000}"/>
    <cellStyle name="20% - Accent5 3 4 2 2 2 4" xfId="25360" xr:uid="{00000000-0005-0000-0000-000094250000}"/>
    <cellStyle name="20% - Accent5 3 4 2 2 3" xfId="7440" xr:uid="{00000000-0005-0000-0000-000095250000}"/>
    <cellStyle name="20% - Accent5 3 4 2 2 3 2" xfId="17680" xr:uid="{00000000-0005-0000-0000-000096250000}"/>
    <cellStyle name="20% - Accent5 3 4 2 2 3 2 2" xfId="38160" xr:uid="{00000000-0005-0000-0000-000097250000}"/>
    <cellStyle name="20% - Accent5 3 4 2 2 3 3" xfId="27920" xr:uid="{00000000-0005-0000-0000-000098250000}"/>
    <cellStyle name="20% - Accent5 3 4 2 2 4" xfId="12560" xr:uid="{00000000-0005-0000-0000-000099250000}"/>
    <cellStyle name="20% - Accent5 3 4 2 2 4 2" xfId="33040" xr:uid="{00000000-0005-0000-0000-00009A250000}"/>
    <cellStyle name="20% - Accent5 3 4 2 2 5" xfId="22800" xr:uid="{00000000-0005-0000-0000-00009B250000}"/>
    <cellStyle name="20% - Accent5 3 4 2 3" xfId="3600" xr:uid="{00000000-0005-0000-0000-00009C250000}"/>
    <cellStyle name="20% - Accent5 3 4 2 3 2" xfId="8720" xr:uid="{00000000-0005-0000-0000-00009D250000}"/>
    <cellStyle name="20% - Accent5 3 4 2 3 2 2" xfId="18960" xr:uid="{00000000-0005-0000-0000-00009E250000}"/>
    <cellStyle name="20% - Accent5 3 4 2 3 2 2 2" xfId="39440" xr:uid="{00000000-0005-0000-0000-00009F250000}"/>
    <cellStyle name="20% - Accent5 3 4 2 3 2 3" xfId="29200" xr:uid="{00000000-0005-0000-0000-0000A0250000}"/>
    <cellStyle name="20% - Accent5 3 4 2 3 3" xfId="13840" xr:uid="{00000000-0005-0000-0000-0000A1250000}"/>
    <cellStyle name="20% - Accent5 3 4 2 3 3 2" xfId="34320" xr:uid="{00000000-0005-0000-0000-0000A2250000}"/>
    <cellStyle name="20% - Accent5 3 4 2 3 4" xfId="24080" xr:uid="{00000000-0005-0000-0000-0000A3250000}"/>
    <cellStyle name="20% - Accent5 3 4 2 4" xfId="6160" xr:uid="{00000000-0005-0000-0000-0000A4250000}"/>
    <cellStyle name="20% - Accent5 3 4 2 4 2" xfId="16400" xr:uid="{00000000-0005-0000-0000-0000A5250000}"/>
    <cellStyle name="20% - Accent5 3 4 2 4 2 2" xfId="36880" xr:uid="{00000000-0005-0000-0000-0000A6250000}"/>
    <cellStyle name="20% - Accent5 3 4 2 4 3" xfId="26640" xr:uid="{00000000-0005-0000-0000-0000A7250000}"/>
    <cellStyle name="20% - Accent5 3 4 2 5" xfId="11280" xr:uid="{00000000-0005-0000-0000-0000A8250000}"/>
    <cellStyle name="20% - Accent5 3 4 2 5 2" xfId="31760" xr:uid="{00000000-0005-0000-0000-0000A9250000}"/>
    <cellStyle name="20% - Accent5 3 4 2 6" xfId="21520" xr:uid="{00000000-0005-0000-0000-0000AA250000}"/>
    <cellStyle name="20% - Accent5 3 4 3" xfId="1680" xr:uid="{00000000-0005-0000-0000-0000AB250000}"/>
    <cellStyle name="20% - Accent5 3 4 3 2" xfId="4240" xr:uid="{00000000-0005-0000-0000-0000AC250000}"/>
    <cellStyle name="20% - Accent5 3 4 3 2 2" xfId="9360" xr:uid="{00000000-0005-0000-0000-0000AD250000}"/>
    <cellStyle name="20% - Accent5 3 4 3 2 2 2" xfId="19600" xr:uid="{00000000-0005-0000-0000-0000AE250000}"/>
    <cellStyle name="20% - Accent5 3 4 3 2 2 2 2" xfId="40080" xr:uid="{00000000-0005-0000-0000-0000AF250000}"/>
    <cellStyle name="20% - Accent5 3 4 3 2 2 3" xfId="29840" xr:uid="{00000000-0005-0000-0000-0000B0250000}"/>
    <cellStyle name="20% - Accent5 3 4 3 2 3" xfId="14480" xr:uid="{00000000-0005-0000-0000-0000B1250000}"/>
    <cellStyle name="20% - Accent5 3 4 3 2 3 2" xfId="34960" xr:uid="{00000000-0005-0000-0000-0000B2250000}"/>
    <cellStyle name="20% - Accent5 3 4 3 2 4" xfId="24720" xr:uid="{00000000-0005-0000-0000-0000B3250000}"/>
    <cellStyle name="20% - Accent5 3 4 3 3" xfId="6800" xr:uid="{00000000-0005-0000-0000-0000B4250000}"/>
    <cellStyle name="20% - Accent5 3 4 3 3 2" xfId="17040" xr:uid="{00000000-0005-0000-0000-0000B5250000}"/>
    <cellStyle name="20% - Accent5 3 4 3 3 2 2" xfId="37520" xr:uid="{00000000-0005-0000-0000-0000B6250000}"/>
    <cellStyle name="20% - Accent5 3 4 3 3 3" xfId="27280" xr:uid="{00000000-0005-0000-0000-0000B7250000}"/>
    <cellStyle name="20% - Accent5 3 4 3 4" xfId="11920" xr:uid="{00000000-0005-0000-0000-0000B8250000}"/>
    <cellStyle name="20% - Accent5 3 4 3 4 2" xfId="32400" xr:uid="{00000000-0005-0000-0000-0000B9250000}"/>
    <cellStyle name="20% - Accent5 3 4 3 5" xfId="22160" xr:uid="{00000000-0005-0000-0000-0000BA250000}"/>
    <cellStyle name="20% - Accent5 3 4 4" xfId="2960" xr:uid="{00000000-0005-0000-0000-0000BB250000}"/>
    <cellStyle name="20% - Accent5 3 4 4 2" xfId="8080" xr:uid="{00000000-0005-0000-0000-0000BC250000}"/>
    <cellStyle name="20% - Accent5 3 4 4 2 2" xfId="18320" xr:uid="{00000000-0005-0000-0000-0000BD250000}"/>
    <cellStyle name="20% - Accent5 3 4 4 2 2 2" xfId="38800" xr:uid="{00000000-0005-0000-0000-0000BE250000}"/>
    <cellStyle name="20% - Accent5 3 4 4 2 3" xfId="28560" xr:uid="{00000000-0005-0000-0000-0000BF250000}"/>
    <cellStyle name="20% - Accent5 3 4 4 3" xfId="13200" xr:uid="{00000000-0005-0000-0000-0000C0250000}"/>
    <cellStyle name="20% - Accent5 3 4 4 3 2" xfId="33680" xr:uid="{00000000-0005-0000-0000-0000C1250000}"/>
    <cellStyle name="20% - Accent5 3 4 4 4" xfId="23440" xr:uid="{00000000-0005-0000-0000-0000C2250000}"/>
    <cellStyle name="20% - Accent5 3 4 5" xfId="5520" xr:uid="{00000000-0005-0000-0000-0000C3250000}"/>
    <cellStyle name="20% - Accent5 3 4 5 2" xfId="15760" xr:uid="{00000000-0005-0000-0000-0000C4250000}"/>
    <cellStyle name="20% - Accent5 3 4 5 2 2" xfId="36240" xr:uid="{00000000-0005-0000-0000-0000C5250000}"/>
    <cellStyle name="20% - Accent5 3 4 5 3" xfId="26000" xr:uid="{00000000-0005-0000-0000-0000C6250000}"/>
    <cellStyle name="20% - Accent5 3 4 6" xfId="10640" xr:uid="{00000000-0005-0000-0000-0000C7250000}"/>
    <cellStyle name="20% - Accent5 3 4 6 2" xfId="31120" xr:uid="{00000000-0005-0000-0000-0000C8250000}"/>
    <cellStyle name="20% - Accent5 3 4 7" xfId="20880" xr:uid="{00000000-0005-0000-0000-0000C9250000}"/>
    <cellStyle name="20% - Accent5 3 5" xfId="720" xr:uid="{00000000-0005-0000-0000-0000CA250000}"/>
    <cellStyle name="20% - Accent5 3 5 2" xfId="2000" xr:uid="{00000000-0005-0000-0000-0000CB250000}"/>
    <cellStyle name="20% - Accent5 3 5 2 2" xfId="4560" xr:uid="{00000000-0005-0000-0000-0000CC250000}"/>
    <cellStyle name="20% - Accent5 3 5 2 2 2" xfId="9680" xr:uid="{00000000-0005-0000-0000-0000CD250000}"/>
    <cellStyle name="20% - Accent5 3 5 2 2 2 2" xfId="19920" xr:uid="{00000000-0005-0000-0000-0000CE250000}"/>
    <cellStyle name="20% - Accent5 3 5 2 2 2 2 2" xfId="40400" xr:uid="{00000000-0005-0000-0000-0000CF250000}"/>
    <cellStyle name="20% - Accent5 3 5 2 2 2 3" xfId="30160" xr:uid="{00000000-0005-0000-0000-0000D0250000}"/>
    <cellStyle name="20% - Accent5 3 5 2 2 3" xfId="14800" xr:uid="{00000000-0005-0000-0000-0000D1250000}"/>
    <cellStyle name="20% - Accent5 3 5 2 2 3 2" xfId="35280" xr:uid="{00000000-0005-0000-0000-0000D2250000}"/>
    <cellStyle name="20% - Accent5 3 5 2 2 4" xfId="25040" xr:uid="{00000000-0005-0000-0000-0000D3250000}"/>
    <cellStyle name="20% - Accent5 3 5 2 3" xfId="7120" xr:uid="{00000000-0005-0000-0000-0000D4250000}"/>
    <cellStyle name="20% - Accent5 3 5 2 3 2" xfId="17360" xr:uid="{00000000-0005-0000-0000-0000D5250000}"/>
    <cellStyle name="20% - Accent5 3 5 2 3 2 2" xfId="37840" xr:uid="{00000000-0005-0000-0000-0000D6250000}"/>
    <cellStyle name="20% - Accent5 3 5 2 3 3" xfId="27600" xr:uid="{00000000-0005-0000-0000-0000D7250000}"/>
    <cellStyle name="20% - Accent5 3 5 2 4" xfId="12240" xr:uid="{00000000-0005-0000-0000-0000D8250000}"/>
    <cellStyle name="20% - Accent5 3 5 2 4 2" xfId="32720" xr:uid="{00000000-0005-0000-0000-0000D9250000}"/>
    <cellStyle name="20% - Accent5 3 5 2 5" xfId="22480" xr:uid="{00000000-0005-0000-0000-0000DA250000}"/>
    <cellStyle name="20% - Accent5 3 5 3" xfId="3280" xr:uid="{00000000-0005-0000-0000-0000DB250000}"/>
    <cellStyle name="20% - Accent5 3 5 3 2" xfId="8400" xr:uid="{00000000-0005-0000-0000-0000DC250000}"/>
    <cellStyle name="20% - Accent5 3 5 3 2 2" xfId="18640" xr:uid="{00000000-0005-0000-0000-0000DD250000}"/>
    <cellStyle name="20% - Accent5 3 5 3 2 2 2" xfId="39120" xr:uid="{00000000-0005-0000-0000-0000DE250000}"/>
    <cellStyle name="20% - Accent5 3 5 3 2 3" xfId="28880" xr:uid="{00000000-0005-0000-0000-0000DF250000}"/>
    <cellStyle name="20% - Accent5 3 5 3 3" xfId="13520" xr:uid="{00000000-0005-0000-0000-0000E0250000}"/>
    <cellStyle name="20% - Accent5 3 5 3 3 2" xfId="34000" xr:uid="{00000000-0005-0000-0000-0000E1250000}"/>
    <cellStyle name="20% - Accent5 3 5 3 4" xfId="23760" xr:uid="{00000000-0005-0000-0000-0000E2250000}"/>
    <cellStyle name="20% - Accent5 3 5 4" xfId="5840" xr:uid="{00000000-0005-0000-0000-0000E3250000}"/>
    <cellStyle name="20% - Accent5 3 5 4 2" xfId="16080" xr:uid="{00000000-0005-0000-0000-0000E4250000}"/>
    <cellStyle name="20% - Accent5 3 5 4 2 2" xfId="36560" xr:uid="{00000000-0005-0000-0000-0000E5250000}"/>
    <cellStyle name="20% - Accent5 3 5 4 3" xfId="26320" xr:uid="{00000000-0005-0000-0000-0000E6250000}"/>
    <cellStyle name="20% - Accent5 3 5 5" xfId="10960" xr:uid="{00000000-0005-0000-0000-0000E7250000}"/>
    <cellStyle name="20% - Accent5 3 5 5 2" xfId="31440" xr:uid="{00000000-0005-0000-0000-0000E8250000}"/>
    <cellStyle name="20% - Accent5 3 5 6" xfId="21200" xr:uid="{00000000-0005-0000-0000-0000E9250000}"/>
    <cellStyle name="20% - Accent5 3 6" xfId="1360" xr:uid="{00000000-0005-0000-0000-0000EA250000}"/>
    <cellStyle name="20% - Accent5 3 6 2" xfId="3920" xr:uid="{00000000-0005-0000-0000-0000EB250000}"/>
    <cellStyle name="20% - Accent5 3 6 2 2" xfId="9040" xr:uid="{00000000-0005-0000-0000-0000EC250000}"/>
    <cellStyle name="20% - Accent5 3 6 2 2 2" xfId="19280" xr:uid="{00000000-0005-0000-0000-0000ED250000}"/>
    <cellStyle name="20% - Accent5 3 6 2 2 2 2" xfId="39760" xr:uid="{00000000-0005-0000-0000-0000EE250000}"/>
    <cellStyle name="20% - Accent5 3 6 2 2 3" xfId="29520" xr:uid="{00000000-0005-0000-0000-0000EF250000}"/>
    <cellStyle name="20% - Accent5 3 6 2 3" xfId="14160" xr:uid="{00000000-0005-0000-0000-0000F0250000}"/>
    <cellStyle name="20% - Accent5 3 6 2 3 2" xfId="34640" xr:uid="{00000000-0005-0000-0000-0000F1250000}"/>
    <cellStyle name="20% - Accent5 3 6 2 4" xfId="24400" xr:uid="{00000000-0005-0000-0000-0000F2250000}"/>
    <cellStyle name="20% - Accent5 3 6 3" xfId="6480" xr:uid="{00000000-0005-0000-0000-0000F3250000}"/>
    <cellStyle name="20% - Accent5 3 6 3 2" xfId="16720" xr:uid="{00000000-0005-0000-0000-0000F4250000}"/>
    <cellStyle name="20% - Accent5 3 6 3 2 2" xfId="37200" xr:uid="{00000000-0005-0000-0000-0000F5250000}"/>
    <cellStyle name="20% - Accent5 3 6 3 3" xfId="26960" xr:uid="{00000000-0005-0000-0000-0000F6250000}"/>
    <cellStyle name="20% - Accent5 3 6 4" xfId="11600" xr:uid="{00000000-0005-0000-0000-0000F7250000}"/>
    <cellStyle name="20% - Accent5 3 6 4 2" xfId="32080" xr:uid="{00000000-0005-0000-0000-0000F8250000}"/>
    <cellStyle name="20% - Accent5 3 6 5" xfId="21840" xr:uid="{00000000-0005-0000-0000-0000F9250000}"/>
    <cellStyle name="20% - Accent5 3 7" xfId="2640" xr:uid="{00000000-0005-0000-0000-0000FA250000}"/>
    <cellStyle name="20% - Accent5 3 7 2" xfId="7760" xr:uid="{00000000-0005-0000-0000-0000FB250000}"/>
    <cellStyle name="20% - Accent5 3 7 2 2" xfId="18000" xr:uid="{00000000-0005-0000-0000-0000FC250000}"/>
    <cellStyle name="20% - Accent5 3 7 2 2 2" xfId="38480" xr:uid="{00000000-0005-0000-0000-0000FD250000}"/>
    <cellStyle name="20% - Accent5 3 7 2 3" xfId="28240" xr:uid="{00000000-0005-0000-0000-0000FE250000}"/>
    <cellStyle name="20% - Accent5 3 7 3" xfId="12880" xr:uid="{00000000-0005-0000-0000-0000FF250000}"/>
    <cellStyle name="20% - Accent5 3 7 3 2" xfId="33360" xr:uid="{00000000-0005-0000-0000-000000260000}"/>
    <cellStyle name="20% - Accent5 3 7 4" xfId="23120" xr:uid="{00000000-0005-0000-0000-000001260000}"/>
    <cellStyle name="20% - Accent5 3 8" xfId="5200" xr:uid="{00000000-0005-0000-0000-000002260000}"/>
    <cellStyle name="20% - Accent5 3 8 2" xfId="15440" xr:uid="{00000000-0005-0000-0000-000003260000}"/>
    <cellStyle name="20% - Accent5 3 8 2 2" xfId="35920" xr:uid="{00000000-0005-0000-0000-000004260000}"/>
    <cellStyle name="20% - Accent5 3 8 3" xfId="25680" xr:uid="{00000000-0005-0000-0000-000005260000}"/>
    <cellStyle name="20% - Accent5 3 9" xfId="10320" xr:uid="{00000000-0005-0000-0000-000006260000}"/>
    <cellStyle name="20% - Accent5 3 9 2" xfId="30800" xr:uid="{00000000-0005-0000-0000-000007260000}"/>
    <cellStyle name="20% - Accent5 4" xfId="120" xr:uid="{00000000-0005-0000-0000-000008260000}"/>
    <cellStyle name="20% - Accent5 4 2" xfId="280" xr:uid="{00000000-0005-0000-0000-000009260000}"/>
    <cellStyle name="20% - Accent5 4 2 2" xfId="600" xr:uid="{00000000-0005-0000-0000-00000A260000}"/>
    <cellStyle name="20% - Accent5 4 2 2 2" xfId="1240" xr:uid="{00000000-0005-0000-0000-00000B260000}"/>
    <cellStyle name="20% - Accent5 4 2 2 2 2" xfId="2520" xr:uid="{00000000-0005-0000-0000-00000C260000}"/>
    <cellStyle name="20% - Accent5 4 2 2 2 2 2" xfId="5080" xr:uid="{00000000-0005-0000-0000-00000D260000}"/>
    <cellStyle name="20% - Accent5 4 2 2 2 2 2 2" xfId="10200" xr:uid="{00000000-0005-0000-0000-00000E260000}"/>
    <cellStyle name="20% - Accent5 4 2 2 2 2 2 2 2" xfId="20440" xr:uid="{00000000-0005-0000-0000-00000F260000}"/>
    <cellStyle name="20% - Accent5 4 2 2 2 2 2 2 2 2" xfId="40920" xr:uid="{00000000-0005-0000-0000-000010260000}"/>
    <cellStyle name="20% - Accent5 4 2 2 2 2 2 2 3" xfId="30680" xr:uid="{00000000-0005-0000-0000-000011260000}"/>
    <cellStyle name="20% - Accent5 4 2 2 2 2 2 3" xfId="15320" xr:uid="{00000000-0005-0000-0000-000012260000}"/>
    <cellStyle name="20% - Accent5 4 2 2 2 2 2 3 2" xfId="35800" xr:uid="{00000000-0005-0000-0000-000013260000}"/>
    <cellStyle name="20% - Accent5 4 2 2 2 2 2 4" xfId="25560" xr:uid="{00000000-0005-0000-0000-000014260000}"/>
    <cellStyle name="20% - Accent5 4 2 2 2 2 3" xfId="7640" xr:uid="{00000000-0005-0000-0000-000015260000}"/>
    <cellStyle name="20% - Accent5 4 2 2 2 2 3 2" xfId="17880" xr:uid="{00000000-0005-0000-0000-000016260000}"/>
    <cellStyle name="20% - Accent5 4 2 2 2 2 3 2 2" xfId="38360" xr:uid="{00000000-0005-0000-0000-000017260000}"/>
    <cellStyle name="20% - Accent5 4 2 2 2 2 3 3" xfId="28120" xr:uid="{00000000-0005-0000-0000-000018260000}"/>
    <cellStyle name="20% - Accent5 4 2 2 2 2 4" xfId="12760" xr:uid="{00000000-0005-0000-0000-000019260000}"/>
    <cellStyle name="20% - Accent5 4 2 2 2 2 4 2" xfId="33240" xr:uid="{00000000-0005-0000-0000-00001A260000}"/>
    <cellStyle name="20% - Accent5 4 2 2 2 2 5" xfId="23000" xr:uid="{00000000-0005-0000-0000-00001B260000}"/>
    <cellStyle name="20% - Accent5 4 2 2 2 3" xfId="3800" xr:uid="{00000000-0005-0000-0000-00001C260000}"/>
    <cellStyle name="20% - Accent5 4 2 2 2 3 2" xfId="8920" xr:uid="{00000000-0005-0000-0000-00001D260000}"/>
    <cellStyle name="20% - Accent5 4 2 2 2 3 2 2" xfId="19160" xr:uid="{00000000-0005-0000-0000-00001E260000}"/>
    <cellStyle name="20% - Accent5 4 2 2 2 3 2 2 2" xfId="39640" xr:uid="{00000000-0005-0000-0000-00001F260000}"/>
    <cellStyle name="20% - Accent5 4 2 2 2 3 2 3" xfId="29400" xr:uid="{00000000-0005-0000-0000-000020260000}"/>
    <cellStyle name="20% - Accent5 4 2 2 2 3 3" xfId="14040" xr:uid="{00000000-0005-0000-0000-000021260000}"/>
    <cellStyle name="20% - Accent5 4 2 2 2 3 3 2" xfId="34520" xr:uid="{00000000-0005-0000-0000-000022260000}"/>
    <cellStyle name="20% - Accent5 4 2 2 2 3 4" xfId="24280" xr:uid="{00000000-0005-0000-0000-000023260000}"/>
    <cellStyle name="20% - Accent5 4 2 2 2 4" xfId="6360" xr:uid="{00000000-0005-0000-0000-000024260000}"/>
    <cellStyle name="20% - Accent5 4 2 2 2 4 2" xfId="16600" xr:uid="{00000000-0005-0000-0000-000025260000}"/>
    <cellStyle name="20% - Accent5 4 2 2 2 4 2 2" xfId="37080" xr:uid="{00000000-0005-0000-0000-000026260000}"/>
    <cellStyle name="20% - Accent5 4 2 2 2 4 3" xfId="26840" xr:uid="{00000000-0005-0000-0000-000027260000}"/>
    <cellStyle name="20% - Accent5 4 2 2 2 5" xfId="11480" xr:uid="{00000000-0005-0000-0000-000028260000}"/>
    <cellStyle name="20% - Accent5 4 2 2 2 5 2" xfId="31960" xr:uid="{00000000-0005-0000-0000-000029260000}"/>
    <cellStyle name="20% - Accent5 4 2 2 2 6" xfId="21720" xr:uid="{00000000-0005-0000-0000-00002A260000}"/>
    <cellStyle name="20% - Accent5 4 2 2 3" xfId="1880" xr:uid="{00000000-0005-0000-0000-00002B260000}"/>
    <cellStyle name="20% - Accent5 4 2 2 3 2" xfId="4440" xr:uid="{00000000-0005-0000-0000-00002C260000}"/>
    <cellStyle name="20% - Accent5 4 2 2 3 2 2" xfId="9560" xr:uid="{00000000-0005-0000-0000-00002D260000}"/>
    <cellStyle name="20% - Accent5 4 2 2 3 2 2 2" xfId="19800" xr:uid="{00000000-0005-0000-0000-00002E260000}"/>
    <cellStyle name="20% - Accent5 4 2 2 3 2 2 2 2" xfId="40280" xr:uid="{00000000-0005-0000-0000-00002F260000}"/>
    <cellStyle name="20% - Accent5 4 2 2 3 2 2 3" xfId="30040" xr:uid="{00000000-0005-0000-0000-000030260000}"/>
    <cellStyle name="20% - Accent5 4 2 2 3 2 3" xfId="14680" xr:uid="{00000000-0005-0000-0000-000031260000}"/>
    <cellStyle name="20% - Accent5 4 2 2 3 2 3 2" xfId="35160" xr:uid="{00000000-0005-0000-0000-000032260000}"/>
    <cellStyle name="20% - Accent5 4 2 2 3 2 4" xfId="24920" xr:uid="{00000000-0005-0000-0000-000033260000}"/>
    <cellStyle name="20% - Accent5 4 2 2 3 3" xfId="7000" xr:uid="{00000000-0005-0000-0000-000034260000}"/>
    <cellStyle name="20% - Accent5 4 2 2 3 3 2" xfId="17240" xr:uid="{00000000-0005-0000-0000-000035260000}"/>
    <cellStyle name="20% - Accent5 4 2 2 3 3 2 2" xfId="37720" xr:uid="{00000000-0005-0000-0000-000036260000}"/>
    <cellStyle name="20% - Accent5 4 2 2 3 3 3" xfId="27480" xr:uid="{00000000-0005-0000-0000-000037260000}"/>
    <cellStyle name="20% - Accent5 4 2 2 3 4" xfId="12120" xr:uid="{00000000-0005-0000-0000-000038260000}"/>
    <cellStyle name="20% - Accent5 4 2 2 3 4 2" xfId="32600" xr:uid="{00000000-0005-0000-0000-000039260000}"/>
    <cellStyle name="20% - Accent5 4 2 2 3 5" xfId="22360" xr:uid="{00000000-0005-0000-0000-00003A260000}"/>
    <cellStyle name="20% - Accent5 4 2 2 4" xfId="3160" xr:uid="{00000000-0005-0000-0000-00003B260000}"/>
    <cellStyle name="20% - Accent5 4 2 2 4 2" xfId="8280" xr:uid="{00000000-0005-0000-0000-00003C260000}"/>
    <cellStyle name="20% - Accent5 4 2 2 4 2 2" xfId="18520" xr:uid="{00000000-0005-0000-0000-00003D260000}"/>
    <cellStyle name="20% - Accent5 4 2 2 4 2 2 2" xfId="39000" xr:uid="{00000000-0005-0000-0000-00003E260000}"/>
    <cellStyle name="20% - Accent5 4 2 2 4 2 3" xfId="28760" xr:uid="{00000000-0005-0000-0000-00003F260000}"/>
    <cellStyle name="20% - Accent5 4 2 2 4 3" xfId="13400" xr:uid="{00000000-0005-0000-0000-000040260000}"/>
    <cellStyle name="20% - Accent5 4 2 2 4 3 2" xfId="33880" xr:uid="{00000000-0005-0000-0000-000041260000}"/>
    <cellStyle name="20% - Accent5 4 2 2 4 4" xfId="23640" xr:uid="{00000000-0005-0000-0000-000042260000}"/>
    <cellStyle name="20% - Accent5 4 2 2 5" xfId="5720" xr:uid="{00000000-0005-0000-0000-000043260000}"/>
    <cellStyle name="20% - Accent5 4 2 2 5 2" xfId="15960" xr:uid="{00000000-0005-0000-0000-000044260000}"/>
    <cellStyle name="20% - Accent5 4 2 2 5 2 2" xfId="36440" xr:uid="{00000000-0005-0000-0000-000045260000}"/>
    <cellStyle name="20% - Accent5 4 2 2 5 3" xfId="26200" xr:uid="{00000000-0005-0000-0000-000046260000}"/>
    <cellStyle name="20% - Accent5 4 2 2 6" xfId="10840" xr:uid="{00000000-0005-0000-0000-000047260000}"/>
    <cellStyle name="20% - Accent5 4 2 2 6 2" xfId="31320" xr:uid="{00000000-0005-0000-0000-000048260000}"/>
    <cellStyle name="20% - Accent5 4 2 2 7" xfId="21080" xr:uid="{00000000-0005-0000-0000-000049260000}"/>
    <cellStyle name="20% - Accent5 4 2 3" xfId="920" xr:uid="{00000000-0005-0000-0000-00004A260000}"/>
    <cellStyle name="20% - Accent5 4 2 3 2" xfId="2200" xr:uid="{00000000-0005-0000-0000-00004B260000}"/>
    <cellStyle name="20% - Accent5 4 2 3 2 2" xfId="4760" xr:uid="{00000000-0005-0000-0000-00004C260000}"/>
    <cellStyle name="20% - Accent5 4 2 3 2 2 2" xfId="9880" xr:uid="{00000000-0005-0000-0000-00004D260000}"/>
    <cellStyle name="20% - Accent5 4 2 3 2 2 2 2" xfId="20120" xr:uid="{00000000-0005-0000-0000-00004E260000}"/>
    <cellStyle name="20% - Accent5 4 2 3 2 2 2 2 2" xfId="40600" xr:uid="{00000000-0005-0000-0000-00004F260000}"/>
    <cellStyle name="20% - Accent5 4 2 3 2 2 2 3" xfId="30360" xr:uid="{00000000-0005-0000-0000-000050260000}"/>
    <cellStyle name="20% - Accent5 4 2 3 2 2 3" xfId="15000" xr:uid="{00000000-0005-0000-0000-000051260000}"/>
    <cellStyle name="20% - Accent5 4 2 3 2 2 3 2" xfId="35480" xr:uid="{00000000-0005-0000-0000-000052260000}"/>
    <cellStyle name="20% - Accent5 4 2 3 2 2 4" xfId="25240" xr:uid="{00000000-0005-0000-0000-000053260000}"/>
    <cellStyle name="20% - Accent5 4 2 3 2 3" xfId="7320" xr:uid="{00000000-0005-0000-0000-000054260000}"/>
    <cellStyle name="20% - Accent5 4 2 3 2 3 2" xfId="17560" xr:uid="{00000000-0005-0000-0000-000055260000}"/>
    <cellStyle name="20% - Accent5 4 2 3 2 3 2 2" xfId="38040" xr:uid="{00000000-0005-0000-0000-000056260000}"/>
    <cellStyle name="20% - Accent5 4 2 3 2 3 3" xfId="27800" xr:uid="{00000000-0005-0000-0000-000057260000}"/>
    <cellStyle name="20% - Accent5 4 2 3 2 4" xfId="12440" xr:uid="{00000000-0005-0000-0000-000058260000}"/>
    <cellStyle name="20% - Accent5 4 2 3 2 4 2" xfId="32920" xr:uid="{00000000-0005-0000-0000-000059260000}"/>
    <cellStyle name="20% - Accent5 4 2 3 2 5" xfId="22680" xr:uid="{00000000-0005-0000-0000-00005A260000}"/>
    <cellStyle name="20% - Accent5 4 2 3 3" xfId="3480" xr:uid="{00000000-0005-0000-0000-00005B260000}"/>
    <cellStyle name="20% - Accent5 4 2 3 3 2" xfId="8600" xr:uid="{00000000-0005-0000-0000-00005C260000}"/>
    <cellStyle name="20% - Accent5 4 2 3 3 2 2" xfId="18840" xr:uid="{00000000-0005-0000-0000-00005D260000}"/>
    <cellStyle name="20% - Accent5 4 2 3 3 2 2 2" xfId="39320" xr:uid="{00000000-0005-0000-0000-00005E260000}"/>
    <cellStyle name="20% - Accent5 4 2 3 3 2 3" xfId="29080" xr:uid="{00000000-0005-0000-0000-00005F260000}"/>
    <cellStyle name="20% - Accent5 4 2 3 3 3" xfId="13720" xr:uid="{00000000-0005-0000-0000-000060260000}"/>
    <cellStyle name="20% - Accent5 4 2 3 3 3 2" xfId="34200" xr:uid="{00000000-0005-0000-0000-000061260000}"/>
    <cellStyle name="20% - Accent5 4 2 3 3 4" xfId="23960" xr:uid="{00000000-0005-0000-0000-000062260000}"/>
    <cellStyle name="20% - Accent5 4 2 3 4" xfId="6040" xr:uid="{00000000-0005-0000-0000-000063260000}"/>
    <cellStyle name="20% - Accent5 4 2 3 4 2" xfId="16280" xr:uid="{00000000-0005-0000-0000-000064260000}"/>
    <cellStyle name="20% - Accent5 4 2 3 4 2 2" xfId="36760" xr:uid="{00000000-0005-0000-0000-000065260000}"/>
    <cellStyle name="20% - Accent5 4 2 3 4 3" xfId="26520" xr:uid="{00000000-0005-0000-0000-000066260000}"/>
    <cellStyle name="20% - Accent5 4 2 3 5" xfId="11160" xr:uid="{00000000-0005-0000-0000-000067260000}"/>
    <cellStyle name="20% - Accent5 4 2 3 5 2" xfId="31640" xr:uid="{00000000-0005-0000-0000-000068260000}"/>
    <cellStyle name="20% - Accent5 4 2 3 6" xfId="21400" xr:uid="{00000000-0005-0000-0000-000069260000}"/>
    <cellStyle name="20% - Accent5 4 2 4" xfId="1560" xr:uid="{00000000-0005-0000-0000-00006A260000}"/>
    <cellStyle name="20% - Accent5 4 2 4 2" xfId="4120" xr:uid="{00000000-0005-0000-0000-00006B260000}"/>
    <cellStyle name="20% - Accent5 4 2 4 2 2" xfId="9240" xr:uid="{00000000-0005-0000-0000-00006C260000}"/>
    <cellStyle name="20% - Accent5 4 2 4 2 2 2" xfId="19480" xr:uid="{00000000-0005-0000-0000-00006D260000}"/>
    <cellStyle name="20% - Accent5 4 2 4 2 2 2 2" xfId="39960" xr:uid="{00000000-0005-0000-0000-00006E260000}"/>
    <cellStyle name="20% - Accent5 4 2 4 2 2 3" xfId="29720" xr:uid="{00000000-0005-0000-0000-00006F260000}"/>
    <cellStyle name="20% - Accent5 4 2 4 2 3" xfId="14360" xr:uid="{00000000-0005-0000-0000-000070260000}"/>
    <cellStyle name="20% - Accent5 4 2 4 2 3 2" xfId="34840" xr:uid="{00000000-0005-0000-0000-000071260000}"/>
    <cellStyle name="20% - Accent5 4 2 4 2 4" xfId="24600" xr:uid="{00000000-0005-0000-0000-000072260000}"/>
    <cellStyle name="20% - Accent5 4 2 4 3" xfId="6680" xr:uid="{00000000-0005-0000-0000-000073260000}"/>
    <cellStyle name="20% - Accent5 4 2 4 3 2" xfId="16920" xr:uid="{00000000-0005-0000-0000-000074260000}"/>
    <cellStyle name="20% - Accent5 4 2 4 3 2 2" xfId="37400" xr:uid="{00000000-0005-0000-0000-000075260000}"/>
    <cellStyle name="20% - Accent5 4 2 4 3 3" xfId="27160" xr:uid="{00000000-0005-0000-0000-000076260000}"/>
    <cellStyle name="20% - Accent5 4 2 4 4" xfId="11800" xr:uid="{00000000-0005-0000-0000-000077260000}"/>
    <cellStyle name="20% - Accent5 4 2 4 4 2" xfId="32280" xr:uid="{00000000-0005-0000-0000-000078260000}"/>
    <cellStyle name="20% - Accent5 4 2 4 5" xfId="22040" xr:uid="{00000000-0005-0000-0000-000079260000}"/>
    <cellStyle name="20% - Accent5 4 2 5" xfId="2840" xr:uid="{00000000-0005-0000-0000-00007A260000}"/>
    <cellStyle name="20% - Accent5 4 2 5 2" xfId="7960" xr:uid="{00000000-0005-0000-0000-00007B260000}"/>
    <cellStyle name="20% - Accent5 4 2 5 2 2" xfId="18200" xr:uid="{00000000-0005-0000-0000-00007C260000}"/>
    <cellStyle name="20% - Accent5 4 2 5 2 2 2" xfId="38680" xr:uid="{00000000-0005-0000-0000-00007D260000}"/>
    <cellStyle name="20% - Accent5 4 2 5 2 3" xfId="28440" xr:uid="{00000000-0005-0000-0000-00007E260000}"/>
    <cellStyle name="20% - Accent5 4 2 5 3" xfId="13080" xr:uid="{00000000-0005-0000-0000-00007F260000}"/>
    <cellStyle name="20% - Accent5 4 2 5 3 2" xfId="33560" xr:uid="{00000000-0005-0000-0000-000080260000}"/>
    <cellStyle name="20% - Accent5 4 2 5 4" xfId="23320" xr:uid="{00000000-0005-0000-0000-000081260000}"/>
    <cellStyle name="20% - Accent5 4 2 6" xfId="5400" xr:uid="{00000000-0005-0000-0000-000082260000}"/>
    <cellStyle name="20% - Accent5 4 2 6 2" xfId="15640" xr:uid="{00000000-0005-0000-0000-000083260000}"/>
    <cellStyle name="20% - Accent5 4 2 6 2 2" xfId="36120" xr:uid="{00000000-0005-0000-0000-000084260000}"/>
    <cellStyle name="20% - Accent5 4 2 6 3" xfId="25880" xr:uid="{00000000-0005-0000-0000-000085260000}"/>
    <cellStyle name="20% - Accent5 4 2 7" xfId="10520" xr:uid="{00000000-0005-0000-0000-000086260000}"/>
    <cellStyle name="20% - Accent5 4 2 7 2" xfId="31000" xr:uid="{00000000-0005-0000-0000-000087260000}"/>
    <cellStyle name="20% - Accent5 4 2 8" xfId="20760" xr:uid="{00000000-0005-0000-0000-000088260000}"/>
    <cellStyle name="20% - Accent5 4 3" xfId="440" xr:uid="{00000000-0005-0000-0000-000089260000}"/>
    <cellStyle name="20% - Accent5 4 3 2" xfId="1080" xr:uid="{00000000-0005-0000-0000-00008A260000}"/>
    <cellStyle name="20% - Accent5 4 3 2 2" xfId="2360" xr:uid="{00000000-0005-0000-0000-00008B260000}"/>
    <cellStyle name="20% - Accent5 4 3 2 2 2" xfId="4920" xr:uid="{00000000-0005-0000-0000-00008C260000}"/>
    <cellStyle name="20% - Accent5 4 3 2 2 2 2" xfId="10040" xr:uid="{00000000-0005-0000-0000-00008D260000}"/>
    <cellStyle name="20% - Accent5 4 3 2 2 2 2 2" xfId="20280" xr:uid="{00000000-0005-0000-0000-00008E260000}"/>
    <cellStyle name="20% - Accent5 4 3 2 2 2 2 2 2" xfId="40760" xr:uid="{00000000-0005-0000-0000-00008F260000}"/>
    <cellStyle name="20% - Accent5 4 3 2 2 2 2 3" xfId="30520" xr:uid="{00000000-0005-0000-0000-000090260000}"/>
    <cellStyle name="20% - Accent5 4 3 2 2 2 3" xfId="15160" xr:uid="{00000000-0005-0000-0000-000091260000}"/>
    <cellStyle name="20% - Accent5 4 3 2 2 2 3 2" xfId="35640" xr:uid="{00000000-0005-0000-0000-000092260000}"/>
    <cellStyle name="20% - Accent5 4 3 2 2 2 4" xfId="25400" xr:uid="{00000000-0005-0000-0000-000093260000}"/>
    <cellStyle name="20% - Accent5 4 3 2 2 3" xfId="7480" xr:uid="{00000000-0005-0000-0000-000094260000}"/>
    <cellStyle name="20% - Accent5 4 3 2 2 3 2" xfId="17720" xr:uid="{00000000-0005-0000-0000-000095260000}"/>
    <cellStyle name="20% - Accent5 4 3 2 2 3 2 2" xfId="38200" xr:uid="{00000000-0005-0000-0000-000096260000}"/>
    <cellStyle name="20% - Accent5 4 3 2 2 3 3" xfId="27960" xr:uid="{00000000-0005-0000-0000-000097260000}"/>
    <cellStyle name="20% - Accent5 4 3 2 2 4" xfId="12600" xr:uid="{00000000-0005-0000-0000-000098260000}"/>
    <cellStyle name="20% - Accent5 4 3 2 2 4 2" xfId="33080" xr:uid="{00000000-0005-0000-0000-000099260000}"/>
    <cellStyle name="20% - Accent5 4 3 2 2 5" xfId="22840" xr:uid="{00000000-0005-0000-0000-00009A260000}"/>
    <cellStyle name="20% - Accent5 4 3 2 3" xfId="3640" xr:uid="{00000000-0005-0000-0000-00009B260000}"/>
    <cellStyle name="20% - Accent5 4 3 2 3 2" xfId="8760" xr:uid="{00000000-0005-0000-0000-00009C260000}"/>
    <cellStyle name="20% - Accent5 4 3 2 3 2 2" xfId="19000" xr:uid="{00000000-0005-0000-0000-00009D260000}"/>
    <cellStyle name="20% - Accent5 4 3 2 3 2 2 2" xfId="39480" xr:uid="{00000000-0005-0000-0000-00009E260000}"/>
    <cellStyle name="20% - Accent5 4 3 2 3 2 3" xfId="29240" xr:uid="{00000000-0005-0000-0000-00009F260000}"/>
    <cellStyle name="20% - Accent5 4 3 2 3 3" xfId="13880" xr:uid="{00000000-0005-0000-0000-0000A0260000}"/>
    <cellStyle name="20% - Accent5 4 3 2 3 3 2" xfId="34360" xr:uid="{00000000-0005-0000-0000-0000A1260000}"/>
    <cellStyle name="20% - Accent5 4 3 2 3 4" xfId="24120" xr:uid="{00000000-0005-0000-0000-0000A2260000}"/>
    <cellStyle name="20% - Accent5 4 3 2 4" xfId="6200" xr:uid="{00000000-0005-0000-0000-0000A3260000}"/>
    <cellStyle name="20% - Accent5 4 3 2 4 2" xfId="16440" xr:uid="{00000000-0005-0000-0000-0000A4260000}"/>
    <cellStyle name="20% - Accent5 4 3 2 4 2 2" xfId="36920" xr:uid="{00000000-0005-0000-0000-0000A5260000}"/>
    <cellStyle name="20% - Accent5 4 3 2 4 3" xfId="26680" xr:uid="{00000000-0005-0000-0000-0000A6260000}"/>
    <cellStyle name="20% - Accent5 4 3 2 5" xfId="11320" xr:uid="{00000000-0005-0000-0000-0000A7260000}"/>
    <cellStyle name="20% - Accent5 4 3 2 5 2" xfId="31800" xr:uid="{00000000-0005-0000-0000-0000A8260000}"/>
    <cellStyle name="20% - Accent5 4 3 2 6" xfId="21560" xr:uid="{00000000-0005-0000-0000-0000A9260000}"/>
    <cellStyle name="20% - Accent5 4 3 3" xfId="1720" xr:uid="{00000000-0005-0000-0000-0000AA260000}"/>
    <cellStyle name="20% - Accent5 4 3 3 2" xfId="4280" xr:uid="{00000000-0005-0000-0000-0000AB260000}"/>
    <cellStyle name="20% - Accent5 4 3 3 2 2" xfId="9400" xr:uid="{00000000-0005-0000-0000-0000AC260000}"/>
    <cellStyle name="20% - Accent5 4 3 3 2 2 2" xfId="19640" xr:uid="{00000000-0005-0000-0000-0000AD260000}"/>
    <cellStyle name="20% - Accent5 4 3 3 2 2 2 2" xfId="40120" xr:uid="{00000000-0005-0000-0000-0000AE260000}"/>
    <cellStyle name="20% - Accent5 4 3 3 2 2 3" xfId="29880" xr:uid="{00000000-0005-0000-0000-0000AF260000}"/>
    <cellStyle name="20% - Accent5 4 3 3 2 3" xfId="14520" xr:uid="{00000000-0005-0000-0000-0000B0260000}"/>
    <cellStyle name="20% - Accent5 4 3 3 2 3 2" xfId="35000" xr:uid="{00000000-0005-0000-0000-0000B1260000}"/>
    <cellStyle name="20% - Accent5 4 3 3 2 4" xfId="24760" xr:uid="{00000000-0005-0000-0000-0000B2260000}"/>
    <cellStyle name="20% - Accent5 4 3 3 3" xfId="6840" xr:uid="{00000000-0005-0000-0000-0000B3260000}"/>
    <cellStyle name="20% - Accent5 4 3 3 3 2" xfId="17080" xr:uid="{00000000-0005-0000-0000-0000B4260000}"/>
    <cellStyle name="20% - Accent5 4 3 3 3 2 2" xfId="37560" xr:uid="{00000000-0005-0000-0000-0000B5260000}"/>
    <cellStyle name="20% - Accent5 4 3 3 3 3" xfId="27320" xr:uid="{00000000-0005-0000-0000-0000B6260000}"/>
    <cellStyle name="20% - Accent5 4 3 3 4" xfId="11960" xr:uid="{00000000-0005-0000-0000-0000B7260000}"/>
    <cellStyle name="20% - Accent5 4 3 3 4 2" xfId="32440" xr:uid="{00000000-0005-0000-0000-0000B8260000}"/>
    <cellStyle name="20% - Accent5 4 3 3 5" xfId="22200" xr:uid="{00000000-0005-0000-0000-0000B9260000}"/>
    <cellStyle name="20% - Accent5 4 3 4" xfId="3000" xr:uid="{00000000-0005-0000-0000-0000BA260000}"/>
    <cellStyle name="20% - Accent5 4 3 4 2" xfId="8120" xr:uid="{00000000-0005-0000-0000-0000BB260000}"/>
    <cellStyle name="20% - Accent5 4 3 4 2 2" xfId="18360" xr:uid="{00000000-0005-0000-0000-0000BC260000}"/>
    <cellStyle name="20% - Accent5 4 3 4 2 2 2" xfId="38840" xr:uid="{00000000-0005-0000-0000-0000BD260000}"/>
    <cellStyle name="20% - Accent5 4 3 4 2 3" xfId="28600" xr:uid="{00000000-0005-0000-0000-0000BE260000}"/>
    <cellStyle name="20% - Accent5 4 3 4 3" xfId="13240" xr:uid="{00000000-0005-0000-0000-0000BF260000}"/>
    <cellStyle name="20% - Accent5 4 3 4 3 2" xfId="33720" xr:uid="{00000000-0005-0000-0000-0000C0260000}"/>
    <cellStyle name="20% - Accent5 4 3 4 4" xfId="23480" xr:uid="{00000000-0005-0000-0000-0000C1260000}"/>
    <cellStyle name="20% - Accent5 4 3 5" xfId="5560" xr:uid="{00000000-0005-0000-0000-0000C2260000}"/>
    <cellStyle name="20% - Accent5 4 3 5 2" xfId="15800" xr:uid="{00000000-0005-0000-0000-0000C3260000}"/>
    <cellStyle name="20% - Accent5 4 3 5 2 2" xfId="36280" xr:uid="{00000000-0005-0000-0000-0000C4260000}"/>
    <cellStyle name="20% - Accent5 4 3 5 3" xfId="26040" xr:uid="{00000000-0005-0000-0000-0000C5260000}"/>
    <cellStyle name="20% - Accent5 4 3 6" xfId="10680" xr:uid="{00000000-0005-0000-0000-0000C6260000}"/>
    <cellStyle name="20% - Accent5 4 3 6 2" xfId="31160" xr:uid="{00000000-0005-0000-0000-0000C7260000}"/>
    <cellStyle name="20% - Accent5 4 3 7" xfId="20920" xr:uid="{00000000-0005-0000-0000-0000C8260000}"/>
    <cellStyle name="20% - Accent5 4 4" xfId="760" xr:uid="{00000000-0005-0000-0000-0000C9260000}"/>
    <cellStyle name="20% - Accent5 4 4 2" xfId="2040" xr:uid="{00000000-0005-0000-0000-0000CA260000}"/>
    <cellStyle name="20% - Accent5 4 4 2 2" xfId="4600" xr:uid="{00000000-0005-0000-0000-0000CB260000}"/>
    <cellStyle name="20% - Accent5 4 4 2 2 2" xfId="9720" xr:uid="{00000000-0005-0000-0000-0000CC260000}"/>
    <cellStyle name="20% - Accent5 4 4 2 2 2 2" xfId="19960" xr:uid="{00000000-0005-0000-0000-0000CD260000}"/>
    <cellStyle name="20% - Accent5 4 4 2 2 2 2 2" xfId="40440" xr:uid="{00000000-0005-0000-0000-0000CE260000}"/>
    <cellStyle name="20% - Accent5 4 4 2 2 2 3" xfId="30200" xr:uid="{00000000-0005-0000-0000-0000CF260000}"/>
    <cellStyle name="20% - Accent5 4 4 2 2 3" xfId="14840" xr:uid="{00000000-0005-0000-0000-0000D0260000}"/>
    <cellStyle name="20% - Accent5 4 4 2 2 3 2" xfId="35320" xr:uid="{00000000-0005-0000-0000-0000D1260000}"/>
    <cellStyle name="20% - Accent5 4 4 2 2 4" xfId="25080" xr:uid="{00000000-0005-0000-0000-0000D2260000}"/>
    <cellStyle name="20% - Accent5 4 4 2 3" xfId="7160" xr:uid="{00000000-0005-0000-0000-0000D3260000}"/>
    <cellStyle name="20% - Accent5 4 4 2 3 2" xfId="17400" xr:uid="{00000000-0005-0000-0000-0000D4260000}"/>
    <cellStyle name="20% - Accent5 4 4 2 3 2 2" xfId="37880" xr:uid="{00000000-0005-0000-0000-0000D5260000}"/>
    <cellStyle name="20% - Accent5 4 4 2 3 3" xfId="27640" xr:uid="{00000000-0005-0000-0000-0000D6260000}"/>
    <cellStyle name="20% - Accent5 4 4 2 4" xfId="12280" xr:uid="{00000000-0005-0000-0000-0000D7260000}"/>
    <cellStyle name="20% - Accent5 4 4 2 4 2" xfId="32760" xr:uid="{00000000-0005-0000-0000-0000D8260000}"/>
    <cellStyle name="20% - Accent5 4 4 2 5" xfId="22520" xr:uid="{00000000-0005-0000-0000-0000D9260000}"/>
    <cellStyle name="20% - Accent5 4 4 3" xfId="3320" xr:uid="{00000000-0005-0000-0000-0000DA260000}"/>
    <cellStyle name="20% - Accent5 4 4 3 2" xfId="8440" xr:uid="{00000000-0005-0000-0000-0000DB260000}"/>
    <cellStyle name="20% - Accent5 4 4 3 2 2" xfId="18680" xr:uid="{00000000-0005-0000-0000-0000DC260000}"/>
    <cellStyle name="20% - Accent5 4 4 3 2 2 2" xfId="39160" xr:uid="{00000000-0005-0000-0000-0000DD260000}"/>
    <cellStyle name="20% - Accent5 4 4 3 2 3" xfId="28920" xr:uid="{00000000-0005-0000-0000-0000DE260000}"/>
    <cellStyle name="20% - Accent5 4 4 3 3" xfId="13560" xr:uid="{00000000-0005-0000-0000-0000DF260000}"/>
    <cellStyle name="20% - Accent5 4 4 3 3 2" xfId="34040" xr:uid="{00000000-0005-0000-0000-0000E0260000}"/>
    <cellStyle name="20% - Accent5 4 4 3 4" xfId="23800" xr:uid="{00000000-0005-0000-0000-0000E1260000}"/>
    <cellStyle name="20% - Accent5 4 4 4" xfId="5880" xr:uid="{00000000-0005-0000-0000-0000E2260000}"/>
    <cellStyle name="20% - Accent5 4 4 4 2" xfId="16120" xr:uid="{00000000-0005-0000-0000-0000E3260000}"/>
    <cellStyle name="20% - Accent5 4 4 4 2 2" xfId="36600" xr:uid="{00000000-0005-0000-0000-0000E4260000}"/>
    <cellStyle name="20% - Accent5 4 4 4 3" xfId="26360" xr:uid="{00000000-0005-0000-0000-0000E5260000}"/>
    <cellStyle name="20% - Accent5 4 4 5" xfId="11000" xr:uid="{00000000-0005-0000-0000-0000E6260000}"/>
    <cellStyle name="20% - Accent5 4 4 5 2" xfId="31480" xr:uid="{00000000-0005-0000-0000-0000E7260000}"/>
    <cellStyle name="20% - Accent5 4 4 6" xfId="21240" xr:uid="{00000000-0005-0000-0000-0000E8260000}"/>
    <cellStyle name="20% - Accent5 4 5" xfId="1400" xr:uid="{00000000-0005-0000-0000-0000E9260000}"/>
    <cellStyle name="20% - Accent5 4 5 2" xfId="3960" xr:uid="{00000000-0005-0000-0000-0000EA260000}"/>
    <cellStyle name="20% - Accent5 4 5 2 2" xfId="9080" xr:uid="{00000000-0005-0000-0000-0000EB260000}"/>
    <cellStyle name="20% - Accent5 4 5 2 2 2" xfId="19320" xr:uid="{00000000-0005-0000-0000-0000EC260000}"/>
    <cellStyle name="20% - Accent5 4 5 2 2 2 2" xfId="39800" xr:uid="{00000000-0005-0000-0000-0000ED260000}"/>
    <cellStyle name="20% - Accent5 4 5 2 2 3" xfId="29560" xr:uid="{00000000-0005-0000-0000-0000EE260000}"/>
    <cellStyle name="20% - Accent5 4 5 2 3" xfId="14200" xr:uid="{00000000-0005-0000-0000-0000EF260000}"/>
    <cellStyle name="20% - Accent5 4 5 2 3 2" xfId="34680" xr:uid="{00000000-0005-0000-0000-0000F0260000}"/>
    <cellStyle name="20% - Accent5 4 5 2 4" xfId="24440" xr:uid="{00000000-0005-0000-0000-0000F1260000}"/>
    <cellStyle name="20% - Accent5 4 5 3" xfId="6520" xr:uid="{00000000-0005-0000-0000-0000F2260000}"/>
    <cellStyle name="20% - Accent5 4 5 3 2" xfId="16760" xr:uid="{00000000-0005-0000-0000-0000F3260000}"/>
    <cellStyle name="20% - Accent5 4 5 3 2 2" xfId="37240" xr:uid="{00000000-0005-0000-0000-0000F4260000}"/>
    <cellStyle name="20% - Accent5 4 5 3 3" xfId="27000" xr:uid="{00000000-0005-0000-0000-0000F5260000}"/>
    <cellStyle name="20% - Accent5 4 5 4" xfId="11640" xr:uid="{00000000-0005-0000-0000-0000F6260000}"/>
    <cellStyle name="20% - Accent5 4 5 4 2" xfId="32120" xr:uid="{00000000-0005-0000-0000-0000F7260000}"/>
    <cellStyle name="20% - Accent5 4 5 5" xfId="21880" xr:uid="{00000000-0005-0000-0000-0000F8260000}"/>
    <cellStyle name="20% - Accent5 4 6" xfId="2680" xr:uid="{00000000-0005-0000-0000-0000F9260000}"/>
    <cellStyle name="20% - Accent5 4 6 2" xfId="7800" xr:uid="{00000000-0005-0000-0000-0000FA260000}"/>
    <cellStyle name="20% - Accent5 4 6 2 2" xfId="18040" xr:uid="{00000000-0005-0000-0000-0000FB260000}"/>
    <cellStyle name="20% - Accent5 4 6 2 2 2" xfId="38520" xr:uid="{00000000-0005-0000-0000-0000FC260000}"/>
    <cellStyle name="20% - Accent5 4 6 2 3" xfId="28280" xr:uid="{00000000-0005-0000-0000-0000FD260000}"/>
    <cellStyle name="20% - Accent5 4 6 3" xfId="12920" xr:uid="{00000000-0005-0000-0000-0000FE260000}"/>
    <cellStyle name="20% - Accent5 4 6 3 2" xfId="33400" xr:uid="{00000000-0005-0000-0000-0000FF260000}"/>
    <cellStyle name="20% - Accent5 4 6 4" xfId="23160" xr:uid="{00000000-0005-0000-0000-000000270000}"/>
    <cellStyle name="20% - Accent5 4 7" xfId="5240" xr:uid="{00000000-0005-0000-0000-000001270000}"/>
    <cellStyle name="20% - Accent5 4 7 2" xfId="15480" xr:uid="{00000000-0005-0000-0000-000002270000}"/>
    <cellStyle name="20% - Accent5 4 7 2 2" xfId="35960" xr:uid="{00000000-0005-0000-0000-000003270000}"/>
    <cellStyle name="20% - Accent5 4 7 3" xfId="25720" xr:uid="{00000000-0005-0000-0000-000004270000}"/>
    <cellStyle name="20% - Accent5 4 8" xfId="10360" xr:uid="{00000000-0005-0000-0000-000005270000}"/>
    <cellStyle name="20% - Accent5 4 8 2" xfId="30840" xr:uid="{00000000-0005-0000-0000-000006270000}"/>
    <cellStyle name="20% - Accent5 4 9" xfId="20600" xr:uid="{00000000-0005-0000-0000-000007270000}"/>
    <cellStyle name="20% - Accent5 5" xfId="200" xr:uid="{00000000-0005-0000-0000-000008270000}"/>
    <cellStyle name="20% - Accent5 5 2" xfId="520" xr:uid="{00000000-0005-0000-0000-000009270000}"/>
    <cellStyle name="20% - Accent5 5 2 2" xfId="1160" xr:uid="{00000000-0005-0000-0000-00000A270000}"/>
    <cellStyle name="20% - Accent5 5 2 2 2" xfId="2440" xr:uid="{00000000-0005-0000-0000-00000B270000}"/>
    <cellStyle name="20% - Accent5 5 2 2 2 2" xfId="5000" xr:uid="{00000000-0005-0000-0000-00000C270000}"/>
    <cellStyle name="20% - Accent5 5 2 2 2 2 2" xfId="10120" xr:uid="{00000000-0005-0000-0000-00000D270000}"/>
    <cellStyle name="20% - Accent5 5 2 2 2 2 2 2" xfId="20360" xr:uid="{00000000-0005-0000-0000-00000E270000}"/>
    <cellStyle name="20% - Accent5 5 2 2 2 2 2 2 2" xfId="40840" xr:uid="{00000000-0005-0000-0000-00000F270000}"/>
    <cellStyle name="20% - Accent5 5 2 2 2 2 2 3" xfId="30600" xr:uid="{00000000-0005-0000-0000-000010270000}"/>
    <cellStyle name="20% - Accent5 5 2 2 2 2 3" xfId="15240" xr:uid="{00000000-0005-0000-0000-000011270000}"/>
    <cellStyle name="20% - Accent5 5 2 2 2 2 3 2" xfId="35720" xr:uid="{00000000-0005-0000-0000-000012270000}"/>
    <cellStyle name="20% - Accent5 5 2 2 2 2 4" xfId="25480" xr:uid="{00000000-0005-0000-0000-000013270000}"/>
    <cellStyle name="20% - Accent5 5 2 2 2 3" xfId="7560" xr:uid="{00000000-0005-0000-0000-000014270000}"/>
    <cellStyle name="20% - Accent5 5 2 2 2 3 2" xfId="17800" xr:uid="{00000000-0005-0000-0000-000015270000}"/>
    <cellStyle name="20% - Accent5 5 2 2 2 3 2 2" xfId="38280" xr:uid="{00000000-0005-0000-0000-000016270000}"/>
    <cellStyle name="20% - Accent5 5 2 2 2 3 3" xfId="28040" xr:uid="{00000000-0005-0000-0000-000017270000}"/>
    <cellStyle name="20% - Accent5 5 2 2 2 4" xfId="12680" xr:uid="{00000000-0005-0000-0000-000018270000}"/>
    <cellStyle name="20% - Accent5 5 2 2 2 4 2" xfId="33160" xr:uid="{00000000-0005-0000-0000-000019270000}"/>
    <cellStyle name="20% - Accent5 5 2 2 2 5" xfId="22920" xr:uid="{00000000-0005-0000-0000-00001A270000}"/>
    <cellStyle name="20% - Accent5 5 2 2 3" xfId="3720" xr:uid="{00000000-0005-0000-0000-00001B270000}"/>
    <cellStyle name="20% - Accent5 5 2 2 3 2" xfId="8840" xr:uid="{00000000-0005-0000-0000-00001C270000}"/>
    <cellStyle name="20% - Accent5 5 2 2 3 2 2" xfId="19080" xr:uid="{00000000-0005-0000-0000-00001D270000}"/>
    <cellStyle name="20% - Accent5 5 2 2 3 2 2 2" xfId="39560" xr:uid="{00000000-0005-0000-0000-00001E270000}"/>
    <cellStyle name="20% - Accent5 5 2 2 3 2 3" xfId="29320" xr:uid="{00000000-0005-0000-0000-00001F270000}"/>
    <cellStyle name="20% - Accent5 5 2 2 3 3" xfId="13960" xr:uid="{00000000-0005-0000-0000-000020270000}"/>
    <cellStyle name="20% - Accent5 5 2 2 3 3 2" xfId="34440" xr:uid="{00000000-0005-0000-0000-000021270000}"/>
    <cellStyle name="20% - Accent5 5 2 2 3 4" xfId="24200" xr:uid="{00000000-0005-0000-0000-000022270000}"/>
    <cellStyle name="20% - Accent5 5 2 2 4" xfId="6280" xr:uid="{00000000-0005-0000-0000-000023270000}"/>
    <cellStyle name="20% - Accent5 5 2 2 4 2" xfId="16520" xr:uid="{00000000-0005-0000-0000-000024270000}"/>
    <cellStyle name="20% - Accent5 5 2 2 4 2 2" xfId="37000" xr:uid="{00000000-0005-0000-0000-000025270000}"/>
    <cellStyle name="20% - Accent5 5 2 2 4 3" xfId="26760" xr:uid="{00000000-0005-0000-0000-000026270000}"/>
    <cellStyle name="20% - Accent5 5 2 2 5" xfId="11400" xr:uid="{00000000-0005-0000-0000-000027270000}"/>
    <cellStyle name="20% - Accent5 5 2 2 5 2" xfId="31880" xr:uid="{00000000-0005-0000-0000-000028270000}"/>
    <cellStyle name="20% - Accent5 5 2 2 6" xfId="21640" xr:uid="{00000000-0005-0000-0000-000029270000}"/>
    <cellStyle name="20% - Accent5 5 2 3" xfId="1800" xr:uid="{00000000-0005-0000-0000-00002A270000}"/>
    <cellStyle name="20% - Accent5 5 2 3 2" xfId="4360" xr:uid="{00000000-0005-0000-0000-00002B270000}"/>
    <cellStyle name="20% - Accent5 5 2 3 2 2" xfId="9480" xr:uid="{00000000-0005-0000-0000-00002C270000}"/>
    <cellStyle name="20% - Accent5 5 2 3 2 2 2" xfId="19720" xr:uid="{00000000-0005-0000-0000-00002D270000}"/>
    <cellStyle name="20% - Accent5 5 2 3 2 2 2 2" xfId="40200" xr:uid="{00000000-0005-0000-0000-00002E270000}"/>
    <cellStyle name="20% - Accent5 5 2 3 2 2 3" xfId="29960" xr:uid="{00000000-0005-0000-0000-00002F270000}"/>
    <cellStyle name="20% - Accent5 5 2 3 2 3" xfId="14600" xr:uid="{00000000-0005-0000-0000-000030270000}"/>
    <cellStyle name="20% - Accent5 5 2 3 2 3 2" xfId="35080" xr:uid="{00000000-0005-0000-0000-000031270000}"/>
    <cellStyle name="20% - Accent5 5 2 3 2 4" xfId="24840" xr:uid="{00000000-0005-0000-0000-000032270000}"/>
    <cellStyle name="20% - Accent5 5 2 3 3" xfId="6920" xr:uid="{00000000-0005-0000-0000-000033270000}"/>
    <cellStyle name="20% - Accent5 5 2 3 3 2" xfId="17160" xr:uid="{00000000-0005-0000-0000-000034270000}"/>
    <cellStyle name="20% - Accent5 5 2 3 3 2 2" xfId="37640" xr:uid="{00000000-0005-0000-0000-000035270000}"/>
    <cellStyle name="20% - Accent5 5 2 3 3 3" xfId="27400" xr:uid="{00000000-0005-0000-0000-000036270000}"/>
    <cellStyle name="20% - Accent5 5 2 3 4" xfId="12040" xr:uid="{00000000-0005-0000-0000-000037270000}"/>
    <cellStyle name="20% - Accent5 5 2 3 4 2" xfId="32520" xr:uid="{00000000-0005-0000-0000-000038270000}"/>
    <cellStyle name="20% - Accent5 5 2 3 5" xfId="22280" xr:uid="{00000000-0005-0000-0000-000039270000}"/>
    <cellStyle name="20% - Accent5 5 2 4" xfId="3080" xr:uid="{00000000-0005-0000-0000-00003A270000}"/>
    <cellStyle name="20% - Accent5 5 2 4 2" xfId="8200" xr:uid="{00000000-0005-0000-0000-00003B270000}"/>
    <cellStyle name="20% - Accent5 5 2 4 2 2" xfId="18440" xr:uid="{00000000-0005-0000-0000-00003C270000}"/>
    <cellStyle name="20% - Accent5 5 2 4 2 2 2" xfId="38920" xr:uid="{00000000-0005-0000-0000-00003D270000}"/>
    <cellStyle name="20% - Accent5 5 2 4 2 3" xfId="28680" xr:uid="{00000000-0005-0000-0000-00003E270000}"/>
    <cellStyle name="20% - Accent5 5 2 4 3" xfId="13320" xr:uid="{00000000-0005-0000-0000-00003F270000}"/>
    <cellStyle name="20% - Accent5 5 2 4 3 2" xfId="33800" xr:uid="{00000000-0005-0000-0000-000040270000}"/>
    <cellStyle name="20% - Accent5 5 2 4 4" xfId="23560" xr:uid="{00000000-0005-0000-0000-000041270000}"/>
    <cellStyle name="20% - Accent5 5 2 5" xfId="5640" xr:uid="{00000000-0005-0000-0000-000042270000}"/>
    <cellStyle name="20% - Accent5 5 2 5 2" xfId="15880" xr:uid="{00000000-0005-0000-0000-000043270000}"/>
    <cellStyle name="20% - Accent5 5 2 5 2 2" xfId="36360" xr:uid="{00000000-0005-0000-0000-000044270000}"/>
    <cellStyle name="20% - Accent5 5 2 5 3" xfId="26120" xr:uid="{00000000-0005-0000-0000-000045270000}"/>
    <cellStyle name="20% - Accent5 5 2 6" xfId="10760" xr:uid="{00000000-0005-0000-0000-000046270000}"/>
    <cellStyle name="20% - Accent5 5 2 6 2" xfId="31240" xr:uid="{00000000-0005-0000-0000-000047270000}"/>
    <cellStyle name="20% - Accent5 5 2 7" xfId="21000" xr:uid="{00000000-0005-0000-0000-000048270000}"/>
    <cellStyle name="20% - Accent5 5 3" xfId="840" xr:uid="{00000000-0005-0000-0000-000049270000}"/>
    <cellStyle name="20% - Accent5 5 3 2" xfId="2120" xr:uid="{00000000-0005-0000-0000-00004A270000}"/>
    <cellStyle name="20% - Accent5 5 3 2 2" xfId="4680" xr:uid="{00000000-0005-0000-0000-00004B270000}"/>
    <cellStyle name="20% - Accent5 5 3 2 2 2" xfId="9800" xr:uid="{00000000-0005-0000-0000-00004C270000}"/>
    <cellStyle name="20% - Accent5 5 3 2 2 2 2" xfId="20040" xr:uid="{00000000-0005-0000-0000-00004D270000}"/>
    <cellStyle name="20% - Accent5 5 3 2 2 2 2 2" xfId="40520" xr:uid="{00000000-0005-0000-0000-00004E270000}"/>
    <cellStyle name="20% - Accent5 5 3 2 2 2 3" xfId="30280" xr:uid="{00000000-0005-0000-0000-00004F270000}"/>
    <cellStyle name="20% - Accent5 5 3 2 2 3" xfId="14920" xr:uid="{00000000-0005-0000-0000-000050270000}"/>
    <cellStyle name="20% - Accent5 5 3 2 2 3 2" xfId="35400" xr:uid="{00000000-0005-0000-0000-000051270000}"/>
    <cellStyle name="20% - Accent5 5 3 2 2 4" xfId="25160" xr:uid="{00000000-0005-0000-0000-000052270000}"/>
    <cellStyle name="20% - Accent5 5 3 2 3" xfId="7240" xr:uid="{00000000-0005-0000-0000-000053270000}"/>
    <cellStyle name="20% - Accent5 5 3 2 3 2" xfId="17480" xr:uid="{00000000-0005-0000-0000-000054270000}"/>
    <cellStyle name="20% - Accent5 5 3 2 3 2 2" xfId="37960" xr:uid="{00000000-0005-0000-0000-000055270000}"/>
    <cellStyle name="20% - Accent5 5 3 2 3 3" xfId="27720" xr:uid="{00000000-0005-0000-0000-000056270000}"/>
    <cellStyle name="20% - Accent5 5 3 2 4" xfId="12360" xr:uid="{00000000-0005-0000-0000-000057270000}"/>
    <cellStyle name="20% - Accent5 5 3 2 4 2" xfId="32840" xr:uid="{00000000-0005-0000-0000-000058270000}"/>
    <cellStyle name="20% - Accent5 5 3 2 5" xfId="22600" xr:uid="{00000000-0005-0000-0000-000059270000}"/>
    <cellStyle name="20% - Accent5 5 3 3" xfId="3400" xr:uid="{00000000-0005-0000-0000-00005A270000}"/>
    <cellStyle name="20% - Accent5 5 3 3 2" xfId="8520" xr:uid="{00000000-0005-0000-0000-00005B270000}"/>
    <cellStyle name="20% - Accent5 5 3 3 2 2" xfId="18760" xr:uid="{00000000-0005-0000-0000-00005C270000}"/>
    <cellStyle name="20% - Accent5 5 3 3 2 2 2" xfId="39240" xr:uid="{00000000-0005-0000-0000-00005D270000}"/>
    <cellStyle name="20% - Accent5 5 3 3 2 3" xfId="29000" xr:uid="{00000000-0005-0000-0000-00005E270000}"/>
    <cellStyle name="20% - Accent5 5 3 3 3" xfId="13640" xr:uid="{00000000-0005-0000-0000-00005F270000}"/>
    <cellStyle name="20% - Accent5 5 3 3 3 2" xfId="34120" xr:uid="{00000000-0005-0000-0000-000060270000}"/>
    <cellStyle name="20% - Accent5 5 3 3 4" xfId="23880" xr:uid="{00000000-0005-0000-0000-000061270000}"/>
    <cellStyle name="20% - Accent5 5 3 4" xfId="5960" xr:uid="{00000000-0005-0000-0000-000062270000}"/>
    <cellStyle name="20% - Accent5 5 3 4 2" xfId="16200" xr:uid="{00000000-0005-0000-0000-000063270000}"/>
    <cellStyle name="20% - Accent5 5 3 4 2 2" xfId="36680" xr:uid="{00000000-0005-0000-0000-000064270000}"/>
    <cellStyle name="20% - Accent5 5 3 4 3" xfId="26440" xr:uid="{00000000-0005-0000-0000-000065270000}"/>
    <cellStyle name="20% - Accent5 5 3 5" xfId="11080" xr:uid="{00000000-0005-0000-0000-000066270000}"/>
    <cellStyle name="20% - Accent5 5 3 5 2" xfId="31560" xr:uid="{00000000-0005-0000-0000-000067270000}"/>
    <cellStyle name="20% - Accent5 5 3 6" xfId="21320" xr:uid="{00000000-0005-0000-0000-000068270000}"/>
    <cellStyle name="20% - Accent5 5 4" xfId="1480" xr:uid="{00000000-0005-0000-0000-000069270000}"/>
    <cellStyle name="20% - Accent5 5 4 2" xfId="4040" xr:uid="{00000000-0005-0000-0000-00006A270000}"/>
    <cellStyle name="20% - Accent5 5 4 2 2" xfId="9160" xr:uid="{00000000-0005-0000-0000-00006B270000}"/>
    <cellStyle name="20% - Accent5 5 4 2 2 2" xfId="19400" xr:uid="{00000000-0005-0000-0000-00006C270000}"/>
    <cellStyle name="20% - Accent5 5 4 2 2 2 2" xfId="39880" xr:uid="{00000000-0005-0000-0000-00006D270000}"/>
    <cellStyle name="20% - Accent5 5 4 2 2 3" xfId="29640" xr:uid="{00000000-0005-0000-0000-00006E270000}"/>
    <cellStyle name="20% - Accent5 5 4 2 3" xfId="14280" xr:uid="{00000000-0005-0000-0000-00006F270000}"/>
    <cellStyle name="20% - Accent5 5 4 2 3 2" xfId="34760" xr:uid="{00000000-0005-0000-0000-000070270000}"/>
    <cellStyle name="20% - Accent5 5 4 2 4" xfId="24520" xr:uid="{00000000-0005-0000-0000-000071270000}"/>
    <cellStyle name="20% - Accent5 5 4 3" xfId="6600" xr:uid="{00000000-0005-0000-0000-000072270000}"/>
    <cellStyle name="20% - Accent5 5 4 3 2" xfId="16840" xr:uid="{00000000-0005-0000-0000-000073270000}"/>
    <cellStyle name="20% - Accent5 5 4 3 2 2" xfId="37320" xr:uid="{00000000-0005-0000-0000-000074270000}"/>
    <cellStyle name="20% - Accent5 5 4 3 3" xfId="27080" xr:uid="{00000000-0005-0000-0000-000075270000}"/>
    <cellStyle name="20% - Accent5 5 4 4" xfId="11720" xr:uid="{00000000-0005-0000-0000-000076270000}"/>
    <cellStyle name="20% - Accent5 5 4 4 2" xfId="32200" xr:uid="{00000000-0005-0000-0000-000077270000}"/>
    <cellStyle name="20% - Accent5 5 4 5" xfId="21960" xr:uid="{00000000-0005-0000-0000-000078270000}"/>
    <cellStyle name="20% - Accent5 5 5" xfId="2760" xr:uid="{00000000-0005-0000-0000-000079270000}"/>
    <cellStyle name="20% - Accent5 5 5 2" xfId="7880" xr:uid="{00000000-0005-0000-0000-00007A270000}"/>
    <cellStyle name="20% - Accent5 5 5 2 2" xfId="18120" xr:uid="{00000000-0005-0000-0000-00007B270000}"/>
    <cellStyle name="20% - Accent5 5 5 2 2 2" xfId="38600" xr:uid="{00000000-0005-0000-0000-00007C270000}"/>
    <cellStyle name="20% - Accent5 5 5 2 3" xfId="28360" xr:uid="{00000000-0005-0000-0000-00007D270000}"/>
    <cellStyle name="20% - Accent5 5 5 3" xfId="13000" xr:uid="{00000000-0005-0000-0000-00007E270000}"/>
    <cellStyle name="20% - Accent5 5 5 3 2" xfId="33480" xr:uid="{00000000-0005-0000-0000-00007F270000}"/>
    <cellStyle name="20% - Accent5 5 5 4" xfId="23240" xr:uid="{00000000-0005-0000-0000-000080270000}"/>
    <cellStyle name="20% - Accent5 5 6" xfId="5320" xr:uid="{00000000-0005-0000-0000-000081270000}"/>
    <cellStyle name="20% - Accent5 5 6 2" xfId="15560" xr:uid="{00000000-0005-0000-0000-000082270000}"/>
    <cellStyle name="20% - Accent5 5 6 2 2" xfId="36040" xr:uid="{00000000-0005-0000-0000-000083270000}"/>
    <cellStyle name="20% - Accent5 5 6 3" xfId="25800" xr:uid="{00000000-0005-0000-0000-000084270000}"/>
    <cellStyle name="20% - Accent5 5 7" xfId="10440" xr:uid="{00000000-0005-0000-0000-000085270000}"/>
    <cellStyle name="20% - Accent5 5 7 2" xfId="30920" xr:uid="{00000000-0005-0000-0000-000086270000}"/>
    <cellStyle name="20% - Accent5 5 8" xfId="20680" xr:uid="{00000000-0005-0000-0000-000087270000}"/>
    <cellStyle name="20% - Accent5 6" xfId="360" xr:uid="{00000000-0005-0000-0000-000088270000}"/>
    <cellStyle name="20% - Accent5 6 2" xfId="1000" xr:uid="{00000000-0005-0000-0000-000089270000}"/>
    <cellStyle name="20% - Accent5 6 2 2" xfId="2280" xr:uid="{00000000-0005-0000-0000-00008A270000}"/>
    <cellStyle name="20% - Accent5 6 2 2 2" xfId="4840" xr:uid="{00000000-0005-0000-0000-00008B270000}"/>
    <cellStyle name="20% - Accent5 6 2 2 2 2" xfId="9960" xr:uid="{00000000-0005-0000-0000-00008C270000}"/>
    <cellStyle name="20% - Accent5 6 2 2 2 2 2" xfId="20200" xr:uid="{00000000-0005-0000-0000-00008D270000}"/>
    <cellStyle name="20% - Accent5 6 2 2 2 2 2 2" xfId="40680" xr:uid="{00000000-0005-0000-0000-00008E270000}"/>
    <cellStyle name="20% - Accent5 6 2 2 2 2 3" xfId="30440" xr:uid="{00000000-0005-0000-0000-00008F270000}"/>
    <cellStyle name="20% - Accent5 6 2 2 2 3" xfId="15080" xr:uid="{00000000-0005-0000-0000-000090270000}"/>
    <cellStyle name="20% - Accent5 6 2 2 2 3 2" xfId="35560" xr:uid="{00000000-0005-0000-0000-000091270000}"/>
    <cellStyle name="20% - Accent5 6 2 2 2 4" xfId="25320" xr:uid="{00000000-0005-0000-0000-000092270000}"/>
    <cellStyle name="20% - Accent5 6 2 2 3" xfId="7400" xr:uid="{00000000-0005-0000-0000-000093270000}"/>
    <cellStyle name="20% - Accent5 6 2 2 3 2" xfId="17640" xr:uid="{00000000-0005-0000-0000-000094270000}"/>
    <cellStyle name="20% - Accent5 6 2 2 3 2 2" xfId="38120" xr:uid="{00000000-0005-0000-0000-000095270000}"/>
    <cellStyle name="20% - Accent5 6 2 2 3 3" xfId="27880" xr:uid="{00000000-0005-0000-0000-000096270000}"/>
    <cellStyle name="20% - Accent5 6 2 2 4" xfId="12520" xr:uid="{00000000-0005-0000-0000-000097270000}"/>
    <cellStyle name="20% - Accent5 6 2 2 4 2" xfId="33000" xr:uid="{00000000-0005-0000-0000-000098270000}"/>
    <cellStyle name="20% - Accent5 6 2 2 5" xfId="22760" xr:uid="{00000000-0005-0000-0000-000099270000}"/>
    <cellStyle name="20% - Accent5 6 2 3" xfId="3560" xr:uid="{00000000-0005-0000-0000-00009A270000}"/>
    <cellStyle name="20% - Accent5 6 2 3 2" xfId="8680" xr:uid="{00000000-0005-0000-0000-00009B270000}"/>
    <cellStyle name="20% - Accent5 6 2 3 2 2" xfId="18920" xr:uid="{00000000-0005-0000-0000-00009C270000}"/>
    <cellStyle name="20% - Accent5 6 2 3 2 2 2" xfId="39400" xr:uid="{00000000-0005-0000-0000-00009D270000}"/>
    <cellStyle name="20% - Accent5 6 2 3 2 3" xfId="29160" xr:uid="{00000000-0005-0000-0000-00009E270000}"/>
    <cellStyle name="20% - Accent5 6 2 3 3" xfId="13800" xr:uid="{00000000-0005-0000-0000-00009F270000}"/>
    <cellStyle name="20% - Accent5 6 2 3 3 2" xfId="34280" xr:uid="{00000000-0005-0000-0000-0000A0270000}"/>
    <cellStyle name="20% - Accent5 6 2 3 4" xfId="24040" xr:uid="{00000000-0005-0000-0000-0000A1270000}"/>
    <cellStyle name="20% - Accent5 6 2 4" xfId="6120" xr:uid="{00000000-0005-0000-0000-0000A2270000}"/>
    <cellStyle name="20% - Accent5 6 2 4 2" xfId="16360" xr:uid="{00000000-0005-0000-0000-0000A3270000}"/>
    <cellStyle name="20% - Accent5 6 2 4 2 2" xfId="36840" xr:uid="{00000000-0005-0000-0000-0000A4270000}"/>
    <cellStyle name="20% - Accent5 6 2 4 3" xfId="26600" xr:uid="{00000000-0005-0000-0000-0000A5270000}"/>
    <cellStyle name="20% - Accent5 6 2 5" xfId="11240" xr:uid="{00000000-0005-0000-0000-0000A6270000}"/>
    <cellStyle name="20% - Accent5 6 2 5 2" xfId="31720" xr:uid="{00000000-0005-0000-0000-0000A7270000}"/>
    <cellStyle name="20% - Accent5 6 2 6" xfId="21480" xr:uid="{00000000-0005-0000-0000-0000A8270000}"/>
    <cellStyle name="20% - Accent5 6 3" xfId="1640" xr:uid="{00000000-0005-0000-0000-0000A9270000}"/>
    <cellStyle name="20% - Accent5 6 3 2" xfId="4200" xr:uid="{00000000-0005-0000-0000-0000AA270000}"/>
    <cellStyle name="20% - Accent5 6 3 2 2" xfId="9320" xr:uid="{00000000-0005-0000-0000-0000AB270000}"/>
    <cellStyle name="20% - Accent5 6 3 2 2 2" xfId="19560" xr:uid="{00000000-0005-0000-0000-0000AC270000}"/>
    <cellStyle name="20% - Accent5 6 3 2 2 2 2" xfId="40040" xr:uid="{00000000-0005-0000-0000-0000AD270000}"/>
    <cellStyle name="20% - Accent5 6 3 2 2 3" xfId="29800" xr:uid="{00000000-0005-0000-0000-0000AE270000}"/>
    <cellStyle name="20% - Accent5 6 3 2 3" xfId="14440" xr:uid="{00000000-0005-0000-0000-0000AF270000}"/>
    <cellStyle name="20% - Accent5 6 3 2 3 2" xfId="34920" xr:uid="{00000000-0005-0000-0000-0000B0270000}"/>
    <cellStyle name="20% - Accent5 6 3 2 4" xfId="24680" xr:uid="{00000000-0005-0000-0000-0000B1270000}"/>
    <cellStyle name="20% - Accent5 6 3 3" xfId="6760" xr:uid="{00000000-0005-0000-0000-0000B2270000}"/>
    <cellStyle name="20% - Accent5 6 3 3 2" xfId="17000" xr:uid="{00000000-0005-0000-0000-0000B3270000}"/>
    <cellStyle name="20% - Accent5 6 3 3 2 2" xfId="37480" xr:uid="{00000000-0005-0000-0000-0000B4270000}"/>
    <cellStyle name="20% - Accent5 6 3 3 3" xfId="27240" xr:uid="{00000000-0005-0000-0000-0000B5270000}"/>
    <cellStyle name="20% - Accent5 6 3 4" xfId="11880" xr:uid="{00000000-0005-0000-0000-0000B6270000}"/>
    <cellStyle name="20% - Accent5 6 3 4 2" xfId="32360" xr:uid="{00000000-0005-0000-0000-0000B7270000}"/>
    <cellStyle name="20% - Accent5 6 3 5" xfId="22120" xr:uid="{00000000-0005-0000-0000-0000B8270000}"/>
    <cellStyle name="20% - Accent5 6 4" xfId="2920" xr:uid="{00000000-0005-0000-0000-0000B9270000}"/>
    <cellStyle name="20% - Accent5 6 4 2" xfId="8040" xr:uid="{00000000-0005-0000-0000-0000BA270000}"/>
    <cellStyle name="20% - Accent5 6 4 2 2" xfId="18280" xr:uid="{00000000-0005-0000-0000-0000BB270000}"/>
    <cellStyle name="20% - Accent5 6 4 2 2 2" xfId="38760" xr:uid="{00000000-0005-0000-0000-0000BC270000}"/>
    <cellStyle name="20% - Accent5 6 4 2 3" xfId="28520" xr:uid="{00000000-0005-0000-0000-0000BD270000}"/>
    <cellStyle name="20% - Accent5 6 4 3" xfId="13160" xr:uid="{00000000-0005-0000-0000-0000BE270000}"/>
    <cellStyle name="20% - Accent5 6 4 3 2" xfId="33640" xr:uid="{00000000-0005-0000-0000-0000BF270000}"/>
    <cellStyle name="20% - Accent5 6 4 4" xfId="23400" xr:uid="{00000000-0005-0000-0000-0000C0270000}"/>
    <cellStyle name="20% - Accent5 6 5" xfId="5480" xr:uid="{00000000-0005-0000-0000-0000C1270000}"/>
    <cellStyle name="20% - Accent5 6 5 2" xfId="15720" xr:uid="{00000000-0005-0000-0000-0000C2270000}"/>
    <cellStyle name="20% - Accent5 6 5 2 2" xfId="36200" xr:uid="{00000000-0005-0000-0000-0000C3270000}"/>
    <cellStyle name="20% - Accent5 6 5 3" xfId="25960" xr:uid="{00000000-0005-0000-0000-0000C4270000}"/>
    <cellStyle name="20% - Accent5 6 6" xfId="10600" xr:uid="{00000000-0005-0000-0000-0000C5270000}"/>
    <cellStyle name="20% - Accent5 6 6 2" xfId="31080" xr:uid="{00000000-0005-0000-0000-0000C6270000}"/>
    <cellStyle name="20% - Accent5 6 7" xfId="20840" xr:uid="{00000000-0005-0000-0000-0000C7270000}"/>
    <cellStyle name="20% - Accent5 7" xfId="680" xr:uid="{00000000-0005-0000-0000-0000C8270000}"/>
    <cellStyle name="20% - Accent5 7 2" xfId="1960" xr:uid="{00000000-0005-0000-0000-0000C9270000}"/>
    <cellStyle name="20% - Accent5 7 2 2" xfId="4520" xr:uid="{00000000-0005-0000-0000-0000CA270000}"/>
    <cellStyle name="20% - Accent5 7 2 2 2" xfId="9640" xr:uid="{00000000-0005-0000-0000-0000CB270000}"/>
    <cellStyle name="20% - Accent5 7 2 2 2 2" xfId="19880" xr:uid="{00000000-0005-0000-0000-0000CC270000}"/>
    <cellStyle name="20% - Accent5 7 2 2 2 2 2" xfId="40360" xr:uid="{00000000-0005-0000-0000-0000CD270000}"/>
    <cellStyle name="20% - Accent5 7 2 2 2 3" xfId="30120" xr:uid="{00000000-0005-0000-0000-0000CE270000}"/>
    <cellStyle name="20% - Accent5 7 2 2 3" xfId="14760" xr:uid="{00000000-0005-0000-0000-0000CF270000}"/>
    <cellStyle name="20% - Accent5 7 2 2 3 2" xfId="35240" xr:uid="{00000000-0005-0000-0000-0000D0270000}"/>
    <cellStyle name="20% - Accent5 7 2 2 4" xfId="25000" xr:uid="{00000000-0005-0000-0000-0000D1270000}"/>
    <cellStyle name="20% - Accent5 7 2 3" xfId="7080" xr:uid="{00000000-0005-0000-0000-0000D2270000}"/>
    <cellStyle name="20% - Accent5 7 2 3 2" xfId="17320" xr:uid="{00000000-0005-0000-0000-0000D3270000}"/>
    <cellStyle name="20% - Accent5 7 2 3 2 2" xfId="37800" xr:uid="{00000000-0005-0000-0000-0000D4270000}"/>
    <cellStyle name="20% - Accent5 7 2 3 3" xfId="27560" xr:uid="{00000000-0005-0000-0000-0000D5270000}"/>
    <cellStyle name="20% - Accent5 7 2 4" xfId="12200" xr:uid="{00000000-0005-0000-0000-0000D6270000}"/>
    <cellStyle name="20% - Accent5 7 2 4 2" xfId="32680" xr:uid="{00000000-0005-0000-0000-0000D7270000}"/>
    <cellStyle name="20% - Accent5 7 2 5" xfId="22440" xr:uid="{00000000-0005-0000-0000-0000D8270000}"/>
    <cellStyle name="20% - Accent5 7 3" xfId="3240" xr:uid="{00000000-0005-0000-0000-0000D9270000}"/>
    <cellStyle name="20% - Accent5 7 3 2" xfId="8360" xr:uid="{00000000-0005-0000-0000-0000DA270000}"/>
    <cellStyle name="20% - Accent5 7 3 2 2" xfId="18600" xr:uid="{00000000-0005-0000-0000-0000DB270000}"/>
    <cellStyle name="20% - Accent5 7 3 2 2 2" xfId="39080" xr:uid="{00000000-0005-0000-0000-0000DC270000}"/>
    <cellStyle name="20% - Accent5 7 3 2 3" xfId="28840" xr:uid="{00000000-0005-0000-0000-0000DD270000}"/>
    <cellStyle name="20% - Accent5 7 3 3" xfId="13480" xr:uid="{00000000-0005-0000-0000-0000DE270000}"/>
    <cellStyle name="20% - Accent5 7 3 3 2" xfId="33960" xr:uid="{00000000-0005-0000-0000-0000DF270000}"/>
    <cellStyle name="20% - Accent5 7 3 4" xfId="23720" xr:uid="{00000000-0005-0000-0000-0000E0270000}"/>
    <cellStyle name="20% - Accent5 7 4" xfId="5800" xr:uid="{00000000-0005-0000-0000-0000E1270000}"/>
    <cellStyle name="20% - Accent5 7 4 2" xfId="16040" xr:uid="{00000000-0005-0000-0000-0000E2270000}"/>
    <cellStyle name="20% - Accent5 7 4 2 2" xfId="36520" xr:uid="{00000000-0005-0000-0000-0000E3270000}"/>
    <cellStyle name="20% - Accent5 7 4 3" xfId="26280" xr:uid="{00000000-0005-0000-0000-0000E4270000}"/>
    <cellStyle name="20% - Accent5 7 5" xfId="10920" xr:uid="{00000000-0005-0000-0000-0000E5270000}"/>
    <cellStyle name="20% - Accent5 7 5 2" xfId="31400" xr:uid="{00000000-0005-0000-0000-0000E6270000}"/>
    <cellStyle name="20% - Accent5 7 6" xfId="21160" xr:uid="{00000000-0005-0000-0000-0000E7270000}"/>
    <cellStyle name="20% - Accent5 8" xfId="1320" xr:uid="{00000000-0005-0000-0000-0000E8270000}"/>
    <cellStyle name="20% - Accent5 8 2" xfId="3880" xr:uid="{00000000-0005-0000-0000-0000E9270000}"/>
    <cellStyle name="20% - Accent5 8 2 2" xfId="9000" xr:uid="{00000000-0005-0000-0000-0000EA270000}"/>
    <cellStyle name="20% - Accent5 8 2 2 2" xfId="19240" xr:uid="{00000000-0005-0000-0000-0000EB270000}"/>
    <cellStyle name="20% - Accent5 8 2 2 2 2" xfId="39720" xr:uid="{00000000-0005-0000-0000-0000EC270000}"/>
    <cellStyle name="20% - Accent5 8 2 2 3" xfId="29480" xr:uid="{00000000-0005-0000-0000-0000ED270000}"/>
    <cellStyle name="20% - Accent5 8 2 3" xfId="14120" xr:uid="{00000000-0005-0000-0000-0000EE270000}"/>
    <cellStyle name="20% - Accent5 8 2 3 2" xfId="34600" xr:uid="{00000000-0005-0000-0000-0000EF270000}"/>
    <cellStyle name="20% - Accent5 8 2 4" xfId="24360" xr:uid="{00000000-0005-0000-0000-0000F0270000}"/>
    <cellStyle name="20% - Accent5 8 3" xfId="6440" xr:uid="{00000000-0005-0000-0000-0000F1270000}"/>
    <cellStyle name="20% - Accent5 8 3 2" xfId="16680" xr:uid="{00000000-0005-0000-0000-0000F2270000}"/>
    <cellStyle name="20% - Accent5 8 3 2 2" xfId="37160" xr:uid="{00000000-0005-0000-0000-0000F3270000}"/>
    <cellStyle name="20% - Accent5 8 3 3" xfId="26920" xr:uid="{00000000-0005-0000-0000-0000F4270000}"/>
    <cellStyle name="20% - Accent5 8 4" xfId="11560" xr:uid="{00000000-0005-0000-0000-0000F5270000}"/>
    <cellStyle name="20% - Accent5 8 4 2" xfId="32040" xr:uid="{00000000-0005-0000-0000-0000F6270000}"/>
    <cellStyle name="20% - Accent5 8 5" xfId="21800" xr:uid="{00000000-0005-0000-0000-0000F7270000}"/>
    <cellStyle name="20% - Accent5 9" xfId="2600" xr:uid="{00000000-0005-0000-0000-0000F8270000}"/>
    <cellStyle name="20% - Accent5 9 2" xfId="7720" xr:uid="{00000000-0005-0000-0000-0000F9270000}"/>
    <cellStyle name="20% - Accent5 9 2 2" xfId="17960" xr:uid="{00000000-0005-0000-0000-0000FA270000}"/>
    <cellStyle name="20% - Accent5 9 2 2 2" xfId="38440" xr:uid="{00000000-0005-0000-0000-0000FB270000}"/>
    <cellStyle name="20% - Accent5 9 2 3" xfId="28200" xr:uid="{00000000-0005-0000-0000-0000FC270000}"/>
    <cellStyle name="20% - Accent5 9 3" xfId="12840" xr:uid="{00000000-0005-0000-0000-0000FD270000}"/>
    <cellStyle name="20% - Accent5 9 3 2" xfId="33320" xr:uid="{00000000-0005-0000-0000-0000FE270000}"/>
    <cellStyle name="20% - Accent5 9 4" xfId="23080" xr:uid="{00000000-0005-0000-0000-0000FF270000}"/>
    <cellStyle name="20% - Accent6 10" xfId="5163" xr:uid="{00000000-0005-0000-0000-000000280000}"/>
    <cellStyle name="20% - Accent6 10 2" xfId="15403" xr:uid="{00000000-0005-0000-0000-000001280000}"/>
    <cellStyle name="20% - Accent6 10 2 2" xfId="35883" xr:uid="{00000000-0005-0000-0000-000002280000}"/>
    <cellStyle name="20% - Accent6 10 3" xfId="25643" xr:uid="{00000000-0005-0000-0000-000003280000}"/>
    <cellStyle name="20% - Accent6 11" xfId="10283" xr:uid="{00000000-0005-0000-0000-000004280000}"/>
    <cellStyle name="20% - Accent6 11 2" xfId="30763" xr:uid="{00000000-0005-0000-0000-000005280000}"/>
    <cellStyle name="20% - Accent6 12" xfId="20523" xr:uid="{00000000-0005-0000-0000-000006280000}"/>
    <cellStyle name="20% - Accent6 13" xfId="43" xr:uid="{00000000-0005-0000-0000-000007280000}"/>
    <cellStyle name="20% - Accent6 2" xfId="63" xr:uid="{00000000-0005-0000-0000-000008280000}"/>
    <cellStyle name="20% - Accent6 2 10" xfId="10303" xr:uid="{00000000-0005-0000-0000-000009280000}"/>
    <cellStyle name="20% - Accent6 2 10 2" xfId="30783" xr:uid="{00000000-0005-0000-0000-00000A280000}"/>
    <cellStyle name="20% - Accent6 2 11" xfId="20543" xr:uid="{00000000-0005-0000-0000-00000B280000}"/>
    <cellStyle name="20% - Accent6 2 2" xfId="103" xr:uid="{00000000-0005-0000-0000-00000C280000}"/>
    <cellStyle name="20% - Accent6 2 2 10" xfId="20583" xr:uid="{00000000-0005-0000-0000-00000D280000}"/>
    <cellStyle name="20% - Accent6 2 2 2" xfId="183" xr:uid="{00000000-0005-0000-0000-00000E280000}"/>
    <cellStyle name="20% - Accent6 2 2 2 2" xfId="343" xr:uid="{00000000-0005-0000-0000-00000F280000}"/>
    <cellStyle name="20% - Accent6 2 2 2 2 2" xfId="663" xr:uid="{00000000-0005-0000-0000-000010280000}"/>
    <cellStyle name="20% - Accent6 2 2 2 2 2 2" xfId="1303" xr:uid="{00000000-0005-0000-0000-000011280000}"/>
    <cellStyle name="20% - Accent6 2 2 2 2 2 2 2" xfId="2583" xr:uid="{00000000-0005-0000-0000-000012280000}"/>
    <cellStyle name="20% - Accent6 2 2 2 2 2 2 2 2" xfId="5143" xr:uid="{00000000-0005-0000-0000-000013280000}"/>
    <cellStyle name="20% - Accent6 2 2 2 2 2 2 2 2 2" xfId="10263" xr:uid="{00000000-0005-0000-0000-000014280000}"/>
    <cellStyle name="20% - Accent6 2 2 2 2 2 2 2 2 2 2" xfId="20503" xr:uid="{00000000-0005-0000-0000-000015280000}"/>
    <cellStyle name="20% - Accent6 2 2 2 2 2 2 2 2 2 2 2" xfId="40983" xr:uid="{00000000-0005-0000-0000-000016280000}"/>
    <cellStyle name="20% - Accent6 2 2 2 2 2 2 2 2 2 3" xfId="30743" xr:uid="{00000000-0005-0000-0000-000017280000}"/>
    <cellStyle name="20% - Accent6 2 2 2 2 2 2 2 2 3" xfId="15383" xr:uid="{00000000-0005-0000-0000-000018280000}"/>
    <cellStyle name="20% - Accent6 2 2 2 2 2 2 2 2 3 2" xfId="35863" xr:uid="{00000000-0005-0000-0000-000019280000}"/>
    <cellStyle name="20% - Accent6 2 2 2 2 2 2 2 2 4" xfId="25623" xr:uid="{00000000-0005-0000-0000-00001A280000}"/>
    <cellStyle name="20% - Accent6 2 2 2 2 2 2 2 3" xfId="7703" xr:uid="{00000000-0005-0000-0000-00001B280000}"/>
    <cellStyle name="20% - Accent6 2 2 2 2 2 2 2 3 2" xfId="17943" xr:uid="{00000000-0005-0000-0000-00001C280000}"/>
    <cellStyle name="20% - Accent6 2 2 2 2 2 2 2 3 2 2" xfId="38423" xr:uid="{00000000-0005-0000-0000-00001D280000}"/>
    <cellStyle name="20% - Accent6 2 2 2 2 2 2 2 3 3" xfId="28183" xr:uid="{00000000-0005-0000-0000-00001E280000}"/>
    <cellStyle name="20% - Accent6 2 2 2 2 2 2 2 4" xfId="12823" xr:uid="{00000000-0005-0000-0000-00001F280000}"/>
    <cellStyle name="20% - Accent6 2 2 2 2 2 2 2 4 2" xfId="33303" xr:uid="{00000000-0005-0000-0000-000020280000}"/>
    <cellStyle name="20% - Accent6 2 2 2 2 2 2 2 5" xfId="23063" xr:uid="{00000000-0005-0000-0000-000021280000}"/>
    <cellStyle name="20% - Accent6 2 2 2 2 2 2 3" xfId="3863" xr:uid="{00000000-0005-0000-0000-000022280000}"/>
    <cellStyle name="20% - Accent6 2 2 2 2 2 2 3 2" xfId="8983" xr:uid="{00000000-0005-0000-0000-000023280000}"/>
    <cellStyle name="20% - Accent6 2 2 2 2 2 2 3 2 2" xfId="19223" xr:uid="{00000000-0005-0000-0000-000024280000}"/>
    <cellStyle name="20% - Accent6 2 2 2 2 2 2 3 2 2 2" xfId="39703" xr:uid="{00000000-0005-0000-0000-000025280000}"/>
    <cellStyle name="20% - Accent6 2 2 2 2 2 2 3 2 3" xfId="29463" xr:uid="{00000000-0005-0000-0000-000026280000}"/>
    <cellStyle name="20% - Accent6 2 2 2 2 2 2 3 3" xfId="14103" xr:uid="{00000000-0005-0000-0000-000027280000}"/>
    <cellStyle name="20% - Accent6 2 2 2 2 2 2 3 3 2" xfId="34583" xr:uid="{00000000-0005-0000-0000-000028280000}"/>
    <cellStyle name="20% - Accent6 2 2 2 2 2 2 3 4" xfId="24343" xr:uid="{00000000-0005-0000-0000-000029280000}"/>
    <cellStyle name="20% - Accent6 2 2 2 2 2 2 4" xfId="6423" xr:uid="{00000000-0005-0000-0000-00002A280000}"/>
    <cellStyle name="20% - Accent6 2 2 2 2 2 2 4 2" xfId="16663" xr:uid="{00000000-0005-0000-0000-00002B280000}"/>
    <cellStyle name="20% - Accent6 2 2 2 2 2 2 4 2 2" xfId="37143" xr:uid="{00000000-0005-0000-0000-00002C280000}"/>
    <cellStyle name="20% - Accent6 2 2 2 2 2 2 4 3" xfId="26903" xr:uid="{00000000-0005-0000-0000-00002D280000}"/>
    <cellStyle name="20% - Accent6 2 2 2 2 2 2 5" xfId="11543" xr:uid="{00000000-0005-0000-0000-00002E280000}"/>
    <cellStyle name="20% - Accent6 2 2 2 2 2 2 5 2" xfId="32023" xr:uid="{00000000-0005-0000-0000-00002F280000}"/>
    <cellStyle name="20% - Accent6 2 2 2 2 2 2 6" xfId="21783" xr:uid="{00000000-0005-0000-0000-000030280000}"/>
    <cellStyle name="20% - Accent6 2 2 2 2 2 3" xfId="1943" xr:uid="{00000000-0005-0000-0000-000031280000}"/>
    <cellStyle name="20% - Accent6 2 2 2 2 2 3 2" xfId="4503" xr:uid="{00000000-0005-0000-0000-000032280000}"/>
    <cellStyle name="20% - Accent6 2 2 2 2 2 3 2 2" xfId="9623" xr:uid="{00000000-0005-0000-0000-000033280000}"/>
    <cellStyle name="20% - Accent6 2 2 2 2 2 3 2 2 2" xfId="19863" xr:uid="{00000000-0005-0000-0000-000034280000}"/>
    <cellStyle name="20% - Accent6 2 2 2 2 2 3 2 2 2 2" xfId="40343" xr:uid="{00000000-0005-0000-0000-000035280000}"/>
    <cellStyle name="20% - Accent6 2 2 2 2 2 3 2 2 3" xfId="30103" xr:uid="{00000000-0005-0000-0000-000036280000}"/>
    <cellStyle name="20% - Accent6 2 2 2 2 2 3 2 3" xfId="14743" xr:uid="{00000000-0005-0000-0000-000037280000}"/>
    <cellStyle name="20% - Accent6 2 2 2 2 2 3 2 3 2" xfId="35223" xr:uid="{00000000-0005-0000-0000-000038280000}"/>
    <cellStyle name="20% - Accent6 2 2 2 2 2 3 2 4" xfId="24983" xr:uid="{00000000-0005-0000-0000-000039280000}"/>
    <cellStyle name="20% - Accent6 2 2 2 2 2 3 3" xfId="7063" xr:uid="{00000000-0005-0000-0000-00003A280000}"/>
    <cellStyle name="20% - Accent6 2 2 2 2 2 3 3 2" xfId="17303" xr:uid="{00000000-0005-0000-0000-00003B280000}"/>
    <cellStyle name="20% - Accent6 2 2 2 2 2 3 3 2 2" xfId="37783" xr:uid="{00000000-0005-0000-0000-00003C280000}"/>
    <cellStyle name="20% - Accent6 2 2 2 2 2 3 3 3" xfId="27543" xr:uid="{00000000-0005-0000-0000-00003D280000}"/>
    <cellStyle name="20% - Accent6 2 2 2 2 2 3 4" xfId="12183" xr:uid="{00000000-0005-0000-0000-00003E280000}"/>
    <cellStyle name="20% - Accent6 2 2 2 2 2 3 4 2" xfId="32663" xr:uid="{00000000-0005-0000-0000-00003F280000}"/>
    <cellStyle name="20% - Accent6 2 2 2 2 2 3 5" xfId="22423" xr:uid="{00000000-0005-0000-0000-000040280000}"/>
    <cellStyle name="20% - Accent6 2 2 2 2 2 4" xfId="3223" xr:uid="{00000000-0005-0000-0000-000041280000}"/>
    <cellStyle name="20% - Accent6 2 2 2 2 2 4 2" xfId="8343" xr:uid="{00000000-0005-0000-0000-000042280000}"/>
    <cellStyle name="20% - Accent6 2 2 2 2 2 4 2 2" xfId="18583" xr:uid="{00000000-0005-0000-0000-000043280000}"/>
    <cellStyle name="20% - Accent6 2 2 2 2 2 4 2 2 2" xfId="39063" xr:uid="{00000000-0005-0000-0000-000044280000}"/>
    <cellStyle name="20% - Accent6 2 2 2 2 2 4 2 3" xfId="28823" xr:uid="{00000000-0005-0000-0000-000045280000}"/>
    <cellStyle name="20% - Accent6 2 2 2 2 2 4 3" xfId="13463" xr:uid="{00000000-0005-0000-0000-000046280000}"/>
    <cellStyle name="20% - Accent6 2 2 2 2 2 4 3 2" xfId="33943" xr:uid="{00000000-0005-0000-0000-000047280000}"/>
    <cellStyle name="20% - Accent6 2 2 2 2 2 4 4" xfId="23703" xr:uid="{00000000-0005-0000-0000-000048280000}"/>
    <cellStyle name="20% - Accent6 2 2 2 2 2 5" xfId="5783" xr:uid="{00000000-0005-0000-0000-000049280000}"/>
    <cellStyle name="20% - Accent6 2 2 2 2 2 5 2" xfId="16023" xr:uid="{00000000-0005-0000-0000-00004A280000}"/>
    <cellStyle name="20% - Accent6 2 2 2 2 2 5 2 2" xfId="36503" xr:uid="{00000000-0005-0000-0000-00004B280000}"/>
    <cellStyle name="20% - Accent6 2 2 2 2 2 5 3" xfId="26263" xr:uid="{00000000-0005-0000-0000-00004C280000}"/>
    <cellStyle name="20% - Accent6 2 2 2 2 2 6" xfId="10903" xr:uid="{00000000-0005-0000-0000-00004D280000}"/>
    <cellStyle name="20% - Accent6 2 2 2 2 2 6 2" xfId="31383" xr:uid="{00000000-0005-0000-0000-00004E280000}"/>
    <cellStyle name="20% - Accent6 2 2 2 2 2 7" xfId="21143" xr:uid="{00000000-0005-0000-0000-00004F280000}"/>
    <cellStyle name="20% - Accent6 2 2 2 2 3" xfId="983" xr:uid="{00000000-0005-0000-0000-000050280000}"/>
    <cellStyle name="20% - Accent6 2 2 2 2 3 2" xfId="2263" xr:uid="{00000000-0005-0000-0000-000051280000}"/>
    <cellStyle name="20% - Accent6 2 2 2 2 3 2 2" xfId="4823" xr:uid="{00000000-0005-0000-0000-000052280000}"/>
    <cellStyle name="20% - Accent6 2 2 2 2 3 2 2 2" xfId="9943" xr:uid="{00000000-0005-0000-0000-000053280000}"/>
    <cellStyle name="20% - Accent6 2 2 2 2 3 2 2 2 2" xfId="20183" xr:uid="{00000000-0005-0000-0000-000054280000}"/>
    <cellStyle name="20% - Accent6 2 2 2 2 3 2 2 2 2 2" xfId="40663" xr:uid="{00000000-0005-0000-0000-000055280000}"/>
    <cellStyle name="20% - Accent6 2 2 2 2 3 2 2 2 3" xfId="30423" xr:uid="{00000000-0005-0000-0000-000056280000}"/>
    <cellStyle name="20% - Accent6 2 2 2 2 3 2 2 3" xfId="15063" xr:uid="{00000000-0005-0000-0000-000057280000}"/>
    <cellStyle name="20% - Accent6 2 2 2 2 3 2 2 3 2" xfId="35543" xr:uid="{00000000-0005-0000-0000-000058280000}"/>
    <cellStyle name="20% - Accent6 2 2 2 2 3 2 2 4" xfId="25303" xr:uid="{00000000-0005-0000-0000-000059280000}"/>
    <cellStyle name="20% - Accent6 2 2 2 2 3 2 3" xfId="7383" xr:uid="{00000000-0005-0000-0000-00005A280000}"/>
    <cellStyle name="20% - Accent6 2 2 2 2 3 2 3 2" xfId="17623" xr:uid="{00000000-0005-0000-0000-00005B280000}"/>
    <cellStyle name="20% - Accent6 2 2 2 2 3 2 3 2 2" xfId="38103" xr:uid="{00000000-0005-0000-0000-00005C280000}"/>
    <cellStyle name="20% - Accent6 2 2 2 2 3 2 3 3" xfId="27863" xr:uid="{00000000-0005-0000-0000-00005D280000}"/>
    <cellStyle name="20% - Accent6 2 2 2 2 3 2 4" xfId="12503" xr:uid="{00000000-0005-0000-0000-00005E280000}"/>
    <cellStyle name="20% - Accent6 2 2 2 2 3 2 4 2" xfId="32983" xr:uid="{00000000-0005-0000-0000-00005F280000}"/>
    <cellStyle name="20% - Accent6 2 2 2 2 3 2 5" xfId="22743" xr:uid="{00000000-0005-0000-0000-000060280000}"/>
    <cellStyle name="20% - Accent6 2 2 2 2 3 3" xfId="3543" xr:uid="{00000000-0005-0000-0000-000061280000}"/>
    <cellStyle name="20% - Accent6 2 2 2 2 3 3 2" xfId="8663" xr:uid="{00000000-0005-0000-0000-000062280000}"/>
    <cellStyle name="20% - Accent6 2 2 2 2 3 3 2 2" xfId="18903" xr:uid="{00000000-0005-0000-0000-000063280000}"/>
    <cellStyle name="20% - Accent6 2 2 2 2 3 3 2 2 2" xfId="39383" xr:uid="{00000000-0005-0000-0000-000064280000}"/>
    <cellStyle name="20% - Accent6 2 2 2 2 3 3 2 3" xfId="29143" xr:uid="{00000000-0005-0000-0000-000065280000}"/>
    <cellStyle name="20% - Accent6 2 2 2 2 3 3 3" xfId="13783" xr:uid="{00000000-0005-0000-0000-000066280000}"/>
    <cellStyle name="20% - Accent6 2 2 2 2 3 3 3 2" xfId="34263" xr:uid="{00000000-0005-0000-0000-000067280000}"/>
    <cellStyle name="20% - Accent6 2 2 2 2 3 3 4" xfId="24023" xr:uid="{00000000-0005-0000-0000-000068280000}"/>
    <cellStyle name="20% - Accent6 2 2 2 2 3 4" xfId="6103" xr:uid="{00000000-0005-0000-0000-000069280000}"/>
    <cellStyle name="20% - Accent6 2 2 2 2 3 4 2" xfId="16343" xr:uid="{00000000-0005-0000-0000-00006A280000}"/>
    <cellStyle name="20% - Accent6 2 2 2 2 3 4 2 2" xfId="36823" xr:uid="{00000000-0005-0000-0000-00006B280000}"/>
    <cellStyle name="20% - Accent6 2 2 2 2 3 4 3" xfId="26583" xr:uid="{00000000-0005-0000-0000-00006C280000}"/>
    <cellStyle name="20% - Accent6 2 2 2 2 3 5" xfId="11223" xr:uid="{00000000-0005-0000-0000-00006D280000}"/>
    <cellStyle name="20% - Accent6 2 2 2 2 3 5 2" xfId="31703" xr:uid="{00000000-0005-0000-0000-00006E280000}"/>
    <cellStyle name="20% - Accent6 2 2 2 2 3 6" xfId="21463" xr:uid="{00000000-0005-0000-0000-00006F280000}"/>
    <cellStyle name="20% - Accent6 2 2 2 2 4" xfId="1623" xr:uid="{00000000-0005-0000-0000-000070280000}"/>
    <cellStyle name="20% - Accent6 2 2 2 2 4 2" xfId="4183" xr:uid="{00000000-0005-0000-0000-000071280000}"/>
    <cellStyle name="20% - Accent6 2 2 2 2 4 2 2" xfId="9303" xr:uid="{00000000-0005-0000-0000-000072280000}"/>
    <cellStyle name="20% - Accent6 2 2 2 2 4 2 2 2" xfId="19543" xr:uid="{00000000-0005-0000-0000-000073280000}"/>
    <cellStyle name="20% - Accent6 2 2 2 2 4 2 2 2 2" xfId="40023" xr:uid="{00000000-0005-0000-0000-000074280000}"/>
    <cellStyle name="20% - Accent6 2 2 2 2 4 2 2 3" xfId="29783" xr:uid="{00000000-0005-0000-0000-000075280000}"/>
    <cellStyle name="20% - Accent6 2 2 2 2 4 2 3" xfId="14423" xr:uid="{00000000-0005-0000-0000-000076280000}"/>
    <cellStyle name="20% - Accent6 2 2 2 2 4 2 3 2" xfId="34903" xr:uid="{00000000-0005-0000-0000-000077280000}"/>
    <cellStyle name="20% - Accent6 2 2 2 2 4 2 4" xfId="24663" xr:uid="{00000000-0005-0000-0000-000078280000}"/>
    <cellStyle name="20% - Accent6 2 2 2 2 4 3" xfId="6743" xr:uid="{00000000-0005-0000-0000-000079280000}"/>
    <cellStyle name="20% - Accent6 2 2 2 2 4 3 2" xfId="16983" xr:uid="{00000000-0005-0000-0000-00007A280000}"/>
    <cellStyle name="20% - Accent6 2 2 2 2 4 3 2 2" xfId="37463" xr:uid="{00000000-0005-0000-0000-00007B280000}"/>
    <cellStyle name="20% - Accent6 2 2 2 2 4 3 3" xfId="27223" xr:uid="{00000000-0005-0000-0000-00007C280000}"/>
    <cellStyle name="20% - Accent6 2 2 2 2 4 4" xfId="11863" xr:uid="{00000000-0005-0000-0000-00007D280000}"/>
    <cellStyle name="20% - Accent6 2 2 2 2 4 4 2" xfId="32343" xr:uid="{00000000-0005-0000-0000-00007E280000}"/>
    <cellStyle name="20% - Accent6 2 2 2 2 4 5" xfId="22103" xr:uid="{00000000-0005-0000-0000-00007F280000}"/>
    <cellStyle name="20% - Accent6 2 2 2 2 5" xfId="2903" xr:uid="{00000000-0005-0000-0000-000080280000}"/>
    <cellStyle name="20% - Accent6 2 2 2 2 5 2" xfId="8023" xr:uid="{00000000-0005-0000-0000-000081280000}"/>
    <cellStyle name="20% - Accent6 2 2 2 2 5 2 2" xfId="18263" xr:uid="{00000000-0005-0000-0000-000082280000}"/>
    <cellStyle name="20% - Accent6 2 2 2 2 5 2 2 2" xfId="38743" xr:uid="{00000000-0005-0000-0000-000083280000}"/>
    <cellStyle name="20% - Accent6 2 2 2 2 5 2 3" xfId="28503" xr:uid="{00000000-0005-0000-0000-000084280000}"/>
    <cellStyle name="20% - Accent6 2 2 2 2 5 3" xfId="13143" xr:uid="{00000000-0005-0000-0000-000085280000}"/>
    <cellStyle name="20% - Accent6 2 2 2 2 5 3 2" xfId="33623" xr:uid="{00000000-0005-0000-0000-000086280000}"/>
    <cellStyle name="20% - Accent6 2 2 2 2 5 4" xfId="23383" xr:uid="{00000000-0005-0000-0000-000087280000}"/>
    <cellStyle name="20% - Accent6 2 2 2 2 6" xfId="5463" xr:uid="{00000000-0005-0000-0000-000088280000}"/>
    <cellStyle name="20% - Accent6 2 2 2 2 6 2" xfId="15703" xr:uid="{00000000-0005-0000-0000-000089280000}"/>
    <cellStyle name="20% - Accent6 2 2 2 2 6 2 2" xfId="36183" xr:uid="{00000000-0005-0000-0000-00008A280000}"/>
    <cellStyle name="20% - Accent6 2 2 2 2 6 3" xfId="25943" xr:uid="{00000000-0005-0000-0000-00008B280000}"/>
    <cellStyle name="20% - Accent6 2 2 2 2 7" xfId="10583" xr:uid="{00000000-0005-0000-0000-00008C280000}"/>
    <cellStyle name="20% - Accent6 2 2 2 2 7 2" xfId="31063" xr:uid="{00000000-0005-0000-0000-00008D280000}"/>
    <cellStyle name="20% - Accent6 2 2 2 2 8" xfId="20823" xr:uid="{00000000-0005-0000-0000-00008E280000}"/>
    <cellStyle name="20% - Accent6 2 2 2 3" xfId="503" xr:uid="{00000000-0005-0000-0000-00008F280000}"/>
    <cellStyle name="20% - Accent6 2 2 2 3 2" xfId="1143" xr:uid="{00000000-0005-0000-0000-000090280000}"/>
    <cellStyle name="20% - Accent6 2 2 2 3 2 2" xfId="2423" xr:uid="{00000000-0005-0000-0000-000091280000}"/>
    <cellStyle name="20% - Accent6 2 2 2 3 2 2 2" xfId="4983" xr:uid="{00000000-0005-0000-0000-000092280000}"/>
    <cellStyle name="20% - Accent6 2 2 2 3 2 2 2 2" xfId="10103" xr:uid="{00000000-0005-0000-0000-000093280000}"/>
    <cellStyle name="20% - Accent6 2 2 2 3 2 2 2 2 2" xfId="20343" xr:uid="{00000000-0005-0000-0000-000094280000}"/>
    <cellStyle name="20% - Accent6 2 2 2 3 2 2 2 2 2 2" xfId="40823" xr:uid="{00000000-0005-0000-0000-000095280000}"/>
    <cellStyle name="20% - Accent6 2 2 2 3 2 2 2 2 3" xfId="30583" xr:uid="{00000000-0005-0000-0000-000096280000}"/>
    <cellStyle name="20% - Accent6 2 2 2 3 2 2 2 3" xfId="15223" xr:uid="{00000000-0005-0000-0000-000097280000}"/>
    <cellStyle name="20% - Accent6 2 2 2 3 2 2 2 3 2" xfId="35703" xr:uid="{00000000-0005-0000-0000-000098280000}"/>
    <cellStyle name="20% - Accent6 2 2 2 3 2 2 2 4" xfId="25463" xr:uid="{00000000-0005-0000-0000-000099280000}"/>
    <cellStyle name="20% - Accent6 2 2 2 3 2 2 3" xfId="7543" xr:uid="{00000000-0005-0000-0000-00009A280000}"/>
    <cellStyle name="20% - Accent6 2 2 2 3 2 2 3 2" xfId="17783" xr:uid="{00000000-0005-0000-0000-00009B280000}"/>
    <cellStyle name="20% - Accent6 2 2 2 3 2 2 3 2 2" xfId="38263" xr:uid="{00000000-0005-0000-0000-00009C280000}"/>
    <cellStyle name="20% - Accent6 2 2 2 3 2 2 3 3" xfId="28023" xr:uid="{00000000-0005-0000-0000-00009D280000}"/>
    <cellStyle name="20% - Accent6 2 2 2 3 2 2 4" xfId="12663" xr:uid="{00000000-0005-0000-0000-00009E280000}"/>
    <cellStyle name="20% - Accent6 2 2 2 3 2 2 4 2" xfId="33143" xr:uid="{00000000-0005-0000-0000-00009F280000}"/>
    <cellStyle name="20% - Accent6 2 2 2 3 2 2 5" xfId="22903" xr:uid="{00000000-0005-0000-0000-0000A0280000}"/>
    <cellStyle name="20% - Accent6 2 2 2 3 2 3" xfId="3703" xr:uid="{00000000-0005-0000-0000-0000A1280000}"/>
    <cellStyle name="20% - Accent6 2 2 2 3 2 3 2" xfId="8823" xr:uid="{00000000-0005-0000-0000-0000A2280000}"/>
    <cellStyle name="20% - Accent6 2 2 2 3 2 3 2 2" xfId="19063" xr:uid="{00000000-0005-0000-0000-0000A3280000}"/>
    <cellStyle name="20% - Accent6 2 2 2 3 2 3 2 2 2" xfId="39543" xr:uid="{00000000-0005-0000-0000-0000A4280000}"/>
    <cellStyle name="20% - Accent6 2 2 2 3 2 3 2 3" xfId="29303" xr:uid="{00000000-0005-0000-0000-0000A5280000}"/>
    <cellStyle name="20% - Accent6 2 2 2 3 2 3 3" xfId="13943" xr:uid="{00000000-0005-0000-0000-0000A6280000}"/>
    <cellStyle name="20% - Accent6 2 2 2 3 2 3 3 2" xfId="34423" xr:uid="{00000000-0005-0000-0000-0000A7280000}"/>
    <cellStyle name="20% - Accent6 2 2 2 3 2 3 4" xfId="24183" xr:uid="{00000000-0005-0000-0000-0000A8280000}"/>
    <cellStyle name="20% - Accent6 2 2 2 3 2 4" xfId="6263" xr:uid="{00000000-0005-0000-0000-0000A9280000}"/>
    <cellStyle name="20% - Accent6 2 2 2 3 2 4 2" xfId="16503" xr:uid="{00000000-0005-0000-0000-0000AA280000}"/>
    <cellStyle name="20% - Accent6 2 2 2 3 2 4 2 2" xfId="36983" xr:uid="{00000000-0005-0000-0000-0000AB280000}"/>
    <cellStyle name="20% - Accent6 2 2 2 3 2 4 3" xfId="26743" xr:uid="{00000000-0005-0000-0000-0000AC280000}"/>
    <cellStyle name="20% - Accent6 2 2 2 3 2 5" xfId="11383" xr:uid="{00000000-0005-0000-0000-0000AD280000}"/>
    <cellStyle name="20% - Accent6 2 2 2 3 2 5 2" xfId="31863" xr:uid="{00000000-0005-0000-0000-0000AE280000}"/>
    <cellStyle name="20% - Accent6 2 2 2 3 2 6" xfId="21623" xr:uid="{00000000-0005-0000-0000-0000AF280000}"/>
    <cellStyle name="20% - Accent6 2 2 2 3 3" xfId="1783" xr:uid="{00000000-0005-0000-0000-0000B0280000}"/>
    <cellStyle name="20% - Accent6 2 2 2 3 3 2" xfId="4343" xr:uid="{00000000-0005-0000-0000-0000B1280000}"/>
    <cellStyle name="20% - Accent6 2 2 2 3 3 2 2" xfId="9463" xr:uid="{00000000-0005-0000-0000-0000B2280000}"/>
    <cellStyle name="20% - Accent6 2 2 2 3 3 2 2 2" xfId="19703" xr:uid="{00000000-0005-0000-0000-0000B3280000}"/>
    <cellStyle name="20% - Accent6 2 2 2 3 3 2 2 2 2" xfId="40183" xr:uid="{00000000-0005-0000-0000-0000B4280000}"/>
    <cellStyle name="20% - Accent6 2 2 2 3 3 2 2 3" xfId="29943" xr:uid="{00000000-0005-0000-0000-0000B5280000}"/>
    <cellStyle name="20% - Accent6 2 2 2 3 3 2 3" xfId="14583" xr:uid="{00000000-0005-0000-0000-0000B6280000}"/>
    <cellStyle name="20% - Accent6 2 2 2 3 3 2 3 2" xfId="35063" xr:uid="{00000000-0005-0000-0000-0000B7280000}"/>
    <cellStyle name="20% - Accent6 2 2 2 3 3 2 4" xfId="24823" xr:uid="{00000000-0005-0000-0000-0000B8280000}"/>
    <cellStyle name="20% - Accent6 2 2 2 3 3 3" xfId="6903" xr:uid="{00000000-0005-0000-0000-0000B9280000}"/>
    <cellStyle name="20% - Accent6 2 2 2 3 3 3 2" xfId="17143" xr:uid="{00000000-0005-0000-0000-0000BA280000}"/>
    <cellStyle name="20% - Accent6 2 2 2 3 3 3 2 2" xfId="37623" xr:uid="{00000000-0005-0000-0000-0000BB280000}"/>
    <cellStyle name="20% - Accent6 2 2 2 3 3 3 3" xfId="27383" xr:uid="{00000000-0005-0000-0000-0000BC280000}"/>
    <cellStyle name="20% - Accent6 2 2 2 3 3 4" xfId="12023" xr:uid="{00000000-0005-0000-0000-0000BD280000}"/>
    <cellStyle name="20% - Accent6 2 2 2 3 3 4 2" xfId="32503" xr:uid="{00000000-0005-0000-0000-0000BE280000}"/>
    <cellStyle name="20% - Accent6 2 2 2 3 3 5" xfId="22263" xr:uid="{00000000-0005-0000-0000-0000BF280000}"/>
    <cellStyle name="20% - Accent6 2 2 2 3 4" xfId="3063" xr:uid="{00000000-0005-0000-0000-0000C0280000}"/>
    <cellStyle name="20% - Accent6 2 2 2 3 4 2" xfId="8183" xr:uid="{00000000-0005-0000-0000-0000C1280000}"/>
    <cellStyle name="20% - Accent6 2 2 2 3 4 2 2" xfId="18423" xr:uid="{00000000-0005-0000-0000-0000C2280000}"/>
    <cellStyle name="20% - Accent6 2 2 2 3 4 2 2 2" xfId="38903" xr:uid="{00000000-0005-0000-0000-0000C3280000}"/>
    <cellStyle name="20% - Accent6 2 2 2 3 4 2 3" xfId="28663" xr:uid="{00000000-0005-0000-0000-0000C4280000}"/>
    <cellStyle name="20% - Accent6 2 2 2 3 4 3" xfId="13303" xr:uid="{00000000-0005-0000-0000-0000C5280000}"/>
    <cellStyle name="20% - Accent6 2 2 2 3 4 3 2" xfId="33783" xr:uid="{00000000-0005-0000-0000-0000C6280000}"/>
    <cellStyle name="20% - Accent6 2 2 2 3 4 4" xfId="23543" xr:uid="{00000000-0005-0000-0000-0000C7280000}"/>
    <cellStyle name="20% - Accent6 2 2 2 3 5" xfId="5623" xr:uid="{00000000-0005-0000-0000-0000C8280000}"/>
    <cellStyle name="20% - Accent6 2 2 2 3 5 2" xfId="15863" xr:uid="{00000000-0005-0000-0000-0000C9280000}"/>
    <cellStyle name="20% - Accent6 2 2 2 3 5 2 2" xfId="36343" xr:uid="{00000000-0005-0000-0000-0000CA280000}"/>
    <cellStyle name="20% - Accent6 2 2 2 3 5 3" xfId="26103" xr:uid="{00000000-0005-0000-0000-0000CB280000}"/>
    <cellStyle name="20% - Accent6 2 2 2 3 6" xfId="10743" xr:uid="{00000000-0005-0000-0000-0000CC280000}"/>
    <cellStyle name="20% - Accent6 2 2 2 3 6 2" xfId="31223" xr:uid="{00000000-0005-0000-0000-0000CD280000}"/>
    <cellStyle name="20% - Accent6 2 2 2 3 7" xfId="20983" xr:uid="{00000000-0005-0000-0000-0000CE280000}"/>
    <cellStyle name="20% - Accent6 2 2 2 4" xfId="823" xr:uid="{00000000-0005-0000-0000-0000CF280000}"/>
    <cellStyle name="20% - Accent6 2 2 2 4 2" xfId="2103" xr:uid="{00000000-0005-0000-0000-0000D0280000}"/>
    <cellStyle name="20% - Accent6 2 2 2 4 2 2" xfId="4663" xr:uid="{00000000-0005-0000-0000-0000D1280000}"/>
    <cellStyle name="20% - Accent6 2 2 2 4 2 2 2" xfId="9783" xr:uid="{00000000-0005-0000-0000-0000D2280000}"/>
    <cellStyle name="20% - Accent6 2 2 2 4 2 2 2 2" xfId="20023" xr:uid="{00000000-0005-0000-0000-0000D3280000}"/>
    <cellStyle name="20% - Accent6 2 2 2 4 2 2 2 2 2" xfId="40503" xr:uid="{00000000-0005-0000-0000-0000D4280000}"/>
    <cellStyle name="20% - Accent6 2 2 2 4 2 2 2 3" xfId="30263" xr:uid="{00000000-0005-0000-0000-0000D5280000}"/>
    <cellStyle name="20% - Accent6 2 2 2 4 2 2 3" xfId="14903" xr:uid="{00000000-0005-0000-0000-0000D6280000}"/>
    <cellStyle name="20% - Accent6 2 2 2 4 2 2 3 2" xfId="35383" xr:uid="{00000000-0005-0000-0000-0000D7280000}"/>
    <cellStyle name="20% - Accent6 2 2 2 4 2 2 4" xfId="25143" xr:uid="{00000000-0005-0000-0000-0000D8280000}"/>
    <cellStyle name="20% - Accent6 2 2 2 4 2 3" xfId="7223" xr:uid="{00000000-0005-0000-0000-0000D9280000}"/>
    <cellStyle name="20% - Accent6 2 2 2 4 2 3 2" xfId="17463" xr:uid="{00000000-0005-0000-0000-0000DA280000}"/>
    <cellStyle name="20% - Accent6 2 2 2 4 2 3 2 2" xfId="37943" xr:uid="{00000000-0005-0000-0000-0000DB280000}"/>
    <cellStyle name="20% - Accent6 2 2 2 4 2 3 3" xfId="27703" xr:uid="{00000000-0005-0000-0000-0000DC280000}"/>
    <cellStyle name="20% - Accent6 2 2 2 4 2 4" xfId="12343" xr:uid="{00000000-0005-0000-0000-0000DD280000}"/>
    <cellStyle name="20% - Accent6 2 2 2 4 2 4 2" xfId="32823" xr:uid="{00000000-0005-0000-0000-0000DE280000}"/>
    <cellStyle name="20% - Accent6 2 2 2 4 2 5" xfId="22583" xr:uid="{00000000-0005-0000-0000-0000DF280000}"/>
    <cellStyle name="20% - Accent6 2 2 2 4 3" xfId="3383" xr:uid="{00000000-0005-0000-0000-0000E0280000}"/>
    <cellStyle name="20% - Accent6 2 2 2 4 3 2" xfId="8503" xr:uid="{00000000-0005-0000-0000-0000E1280000}"/>
    <cellStyle name="20% - Accent6 2 2 2 4 3 2 2" xfId="18743" xr:uid="{00000000-0005-0000-0000-0000E2280000}"/>
    <cellStyle name="20% - Accent6 2 2 2 4 3 2 2 2" xfId="39223" xr:uid="{00000000-0005-0000-0000-0000E3280000}"/>
    <cellStyle name="20% - Accent6 2 2 2 4 3 2 3" xfId="28983" xr:uid="{00000000-0005-0000-0000-0000E4280000}"/>
    <cellStyle name="20% - Accent6 2 2 2 4 3 3" xfId="13623" xr:uid="{00000000-0005-0000-0000-0000E5280000}"/>
    <cellStyle name="20% - Accent6 2 2 2 4 3 3 2" xfId="34103" xr:uid="{00000000-0005-0000-0000-0000E6280000}"/>
    <cellStyle name="20% - Accent6 2 2 2 4 3 4" xfId="23863" xr:uid="{00000000-0005-0000-0000-0000E7280000}"/>
    <cellStyle name="20% - Accent6 2 2 2 4 4" xfId="5943" xr:uid="{00000000-0005-0000-0000-0000E8280000}"/>
    <cellStyle name="20% - Accent6 2 2 2 4 4 2" xfId="16183" xr:uid="{00000000-0005-0000-0000-0000E9280000}"/>
    <cellStyle name="20% - Accent6 2 2 2 4 4 2 2" xfId="36663" xr:uid="{00000000-0005-0000-0000-0000EA280000}"/>
    <cellStyle name="20% - Accent6 2 2 2 4 4 3" xfId="26423" xr:uid="{00000000-0005-0000-0000-0000EB280000}"/>
    <cellStyle name="20% - Accent6 2 2 2 4 5" xfId="11063" xr:uid="{00000000-0005-0000-0000-0000EC280000}"/>
    <cellStyle name="20% - Accent6 2 2 2 4 5 2" xfId="31543" xr:uid="{00000000-0005-0000-0000-0000ED280000}"/>
    <cellStyle name="20% - Accent6 2 2 2 4 6" xfId="21303" xr:uid="{00000000-0005-0000-0000-0000EE280000}"/>
    <cellStyle name="20% - Accent6 2 2 2 5" xfId="1463" xr:uid="{00000000-0005-0000-0000-0000EF280000}"/>
    <cellStyle name="20% - Accent6 2 2 2 5 2" xfId="4023" xr:uid="{00000000-0005-0000-0000-0000F0280000}"/>
    <cellStyle name="20% - Accent6 2 2 2 5 2 2" xfId="9143" xr:uid="{00000000-0005-0000-0000-0000F1280000}"/>
    <cellStyle name="20% - Accent6 2 2 2 5 2 2 2" xfId="19383" xr:uid="{00000000-0005-0000-0000-0000F2280000}"/>
    <cellStyle name="20% - Accent6 2 2 2 5 2 2 2 2" xfId="39863" xr:uid="{00000000-0005-0000-0000-0000F3280000}"/>
    <cellStyle name="20% - Accent6 2 2 2 5 2 2 3" xfId="29623" xr:uid="{00000000-0005-0000-0000-0000F4280000}"/>
    <cellStyle name="20% - Accent6 2 2 2 5 2 3" xfId="14263" xr:uid="{00000000-0005-0000-0000-0000F5280000}"/>
    <cellStyle name="20% - Accent6 2 2 2 5 2 3 2" xfId="34743" xr:uid="{00000000-0005-0000-0000-0000F6280000}"/>
    <cellStyle name="20% - Accent6 2 2 2 5 2 4" xfId="24503" xr:uid="{00000000-0005-0000-0000-0000F7280000}"/>
    <cellStyle name="20% - Accent6 2 2 2 5 3" xfId="6583" xr:uid="{00000000-0005-0000-0000-0000F8280000}"/>
    <cellStyle name="20% - Accent6 2 2 2 5 3 2" xfId="16823" xr:uid="{00000000-0005-0000-0000-0000F9280000}"/>
    <cellStyle name="20% - Accent6 2 2 2 5 3 2 2" xfId="37303" xr:uid="{00000000-0005-0000-0000-0000FA280000}"/>
    <cellStyle name="20% - Accent6 2 2 2 5 3 3" xfId="27063" xr:uid="{00000000-0005-0000-0000-0000FB280000}"/>
    <cellStyle name="20% - Accent6 2 2 2 5 4" xfId="11703" xr:uid="{00000000-0005-0000-0000-0000FC280000}"/>
    <cellStyle name="20% - Accent6 2 2 2 5 4 2" xfId="32183" xr:uid="{00000000-0005-0000-0000-0000FD280000}"/>
    <cellStyle name="20% - Accent6 2 2 2 5 5" xfId="21943" xr:uid="{00000000-0005-0000-0000-0000FE280000}"/>
    <cellStyle name="20% - Accent6 2 2 2 6" xfId="2743" xr:uid="{00000000-0005-0000-0000-0000FF280000}"/>
    <cellStyle name="20% - Accent6 2 2 2 6 2" xfId="7863" xr:uid="{00000000-0005-0000-0000-000000290000}"/>
    <cellStyle name="20% - Accent6 2 2 2 6 2 2" xfId="18103" xr:uid="{00000000-0005-0000-0000-000001290000}"/>
    <cellStyle name="20% - Accent6 2 2 2 6 2 2 2" xfId="38583" xr:uid="{00000000-0005-0000-0000-000002290000}"/>
    <cellStyle name="20% - Accent6 2 2 2 6 2 3" xfId="28343" xr:uid="{00000000-0005-0000-0000-000003290000}"/>
    <cellStyle name="20% - Accent6 2 2 2 6 3" xfId="12983" xr:uid="{00000000-0005-0000-0000-000004290000}"/>
    <cellStyle name="20% - Accent6 2 2 2 6 3 2" xfId="33463" xr:uid="{00000000-0005-0000-0000-000005290000}"/>
    <cellStyle name="20% - Accent6 2 2 2 6 4" xfId="23223" xr:uid="{00000000-0005-0000-0000-000006290000}"/>
    <cellStyle name="20% - Accent6 2 2 2 7" xfId="5303" xr:uid="{00000000-0005-0000-0000-000007290000}"/>
    <cellStyle name="20% - Accent6 2 2 2 7 2" xfId="15543" xr:uid="{00000000-0005-0000-0000-000008290000}"/>
    <cellStyle name="20% - Accent6 2 2 2 7 2 2" xfId="36023" xr:uid="{00000000-0005-0000-0000-000009290000}"/>
    <cellStyle name="20% - Accent6 2 2 2 7 3" xfId="25783" xr:uid="{00000000-0005-0000-0000-00000A290000}"/>
    <cellStyle name="20% - Accent6 2 2 2 8" xfId="10423" xr:uid="{00000000-0005-0000-0000-00000B290000}"/>
    <cellStyle name="20% - Accent6 2 2 2 8 2" xfId="30903" xr:uid="{00000000-0005-0000-0000-00000C290000}"/>
    <cellStyle name="20% - Accent6 2 2 2 9" xfId="20663" xr:uid="{00000000-0005-0000-0000-00000D290000}"/>
    <cellStyle name="20% - Accent6 2 2 3" xfId="263" xr:uid="{00000000-0005-0000-0000-00000E290000}"/>
    <cellStyle name="20% - Accent6 2 2 3 2" xfId="583" xr:uid="{00000000-0005-0000-0000-00000F290000}"/>
    <cellStyle name="20% - Accent6 2 2 3 2 2" xfId="1223" xr:uid="{00000000-0005-0000-0000-000010290000}"/>
    <cellStyle name="20% - Accent6 2 2 3 2 2 2" xfId="2503" xr:uid="{00000000-0005-0000-0000-000011290000}"/>
    <cellStyle name="20% - Accent6 2 2 3 2 2 2 2" xfId="5063" xr:uid="{00000000-0005-0000-0000-000012290000}"/>
    <cellStyle name="20% - Accent6 2 2 3 2 2 2 2 2" xfId="10183" xr:uid="{00000000-0005-0000-0000-000013290000}"/>
    <cellStyle name="20% - Accent6 2 2 3 2 2 2 2 2 2" xfId="20423" xr:uid="{00000000-0005-0000-0000-000014290000}"/>
    <cellStyle name="20% - Accent6 2 2 3 2 2 2 2 2 2 2" xfId="40903" xr:uid="{00000000-0005-0000-0000-000015290000}"/>
    <cellStyle name="20% - Accent6 2 2 3 2 2 2 2 2 3" xfId="30663" xr:uid="{00000000-0005-0000-0000-000016290000}"/>
    <cellStyle name="20% - Accent6 2 2 3 2 2 2 2 3" xfId="15303" xr:uid="{00000000-0005-0000-0000-000017290000}"/>
    <cellStyle name="20% - Accent6 2 2 3 2 2 2 2 3 2" xfId="35783" xr:uid="{00000000-0005-0000-0000-000018290000}"/>
    <cellStyle name="20% - Accent6 2 2 3 2 2 2 2 4" xfId="25543" xr:uid="{00000000-0005-0000-0000-000019290000}"/>
    <cellStyle name="20% - Accent6 2 2 3 2 2 2 3" xfId="7623" xr:uid="{00000000-0005-0000-0000-00001A290000}"/>
    <cellStyle name="20% - Accent6 2 2 3 2 2 2 3 2" xfId="17863" xr:uid="{00000000-0005-0000-0000-00001B290000}"/>
    <cellStyle name="20% - Accent6 2 2 3 2 2 2 3 2 2" xfId="38343" xr:uid="{00000000-0005-0000-0000-00001C290000}"/>
    <cellStyle name="20% - Accent6 2 2 3 2 2 2 3 3" xfId="28103" xr:uid="{00000000-0005-0000-0000-00001D290000}"/>
    <cellStyle name="20% - Accent6 2 2 3 2 2 2 4" xfId="12743" xr:uid="{00000000-0005-0000-0000-00001E290000}"/>
    <cellStyle name="20% - Accent6 2 2 3 2 2 2 4 2" xfId="33223" xr:uid="{00000000-0005-0000-0000-00001F290000}"/>
    <cellStyle name="20% - Accent6 2 2 3 2 2 2 5" xfId="22983" xr:uid="{00000000-0005-0000-0000-000020290000}"/>
    <cellStyle name="20% - Accent6 2 2 3 2 2 3" xfId="3783" xr:uid="{00000000-0005-0000-0000-000021290000}"/>
    <cellStyle name="20% - Accent6 2 2 3 2 2 3 2" xfId="8903" xr:uid="{00000000-0005-0000-0000-000022290000}"/>
    <cellStyle name="20% - Accent6 2 2 3 2 2 3 2 2" xfId="19143" xr:uid="{00000000-0005-0000-0000-000023290000}"/>
    <cellStyle name="20% - Accent6 2 2 3 2 2 3 2 2 2" xfId="39623" xr:uid="{00000000-0005-0000-0000-000024290000}"/>
    <cellStyle name="20% - Accent6 2 2 3 2 2 3 2 3" xfId="29383" xr:uid="{00000000-0005-0000-0000-000025290000}"/>
    <cellStyle name="20% - Accent6 2 2 3 2 2 3 3" xfId="14023" xr:uid="{00000000-0005-0000-0000-000026290000}"/>
    <cellStyle name="20% - Accent6 2 2 3 2 2 3 3 2" xfId="34503" xr:uid="{00000000-0005-0000-0000-000027290000}"/>
    <cellStyle name="20% - Accent6 2 2 3 2 2 3 4" xfId="24263" xr:uid="{00000000-0005-0000-0000-000028290000}"/>
    <cellStyle name="20% - Accent6 2 2 3 2 2 4" xfId="6343" xr:uid="{00000000-0005-0000-0000-000029290000}"/>
    <cellStyle name="20% - Accent6 2 2 3 2 2 4 2" xfId="16583" xr:uid="{00000000-0005-0000-0000-00002A290000}"/>
    <cellStyle name="20% - Accent6 2 2 3 2 2 4 2 2" xfId="37063" xr:uid="{00000000-0005-0000-0000-00002B290000}"/>
    <cellStyle name="20% - Accent6 2 2 3 2 2 4 3" xfId="26823" xr:uid="{00000000-0005-0000-0000-00002C290000}"/>
    <cellStyle name="20% - Accent6 2 2 3 2 2 5" xfId="11463" xr:uid="{00000000-0005-0000-0000-00002D290000}"/>
    <cellStyle name="20% - Accent6 2 2 3 2 2 5 2" xfId="31943" xr:uid="{00000000-0005-0000-0000-00002E290000}"/>
    <cellStyle name="20% - Accent6 2 2 3 2 2 6" xfId="21703" xr:uid="{00000000-0005-0000-0000-00002F290000}"/>
    <cellStyle name="20% - Accent6 2 2 3 2 3" xfId="1863" xr:uid="{00000000-0005-0000-0000-000030290000}"/>
    <cellStyle name="20% - Accent6 2 2 3 2 3 2" xfId="4423" xr:uid="{00000000-0005-0000-0000-000031290000}"/>
    <cellStyle name="20% - Accent6 2 2 3 2 3 2 2" xfId="9543" xr:uid="{00000000-0005-0000-0000-000032290000}"/>
    <cellStyle name="20% - Accent6 2 2 3 2 3 2 2 2" xfId="19783" xr:uid="{00000000-0005-0000-0000-000033290000}"/>
    <cellStyle name="20% - Accent6 2 2 3 2 3 2 2 2 2" xfId="40263" xr:uid="{00000000-0005-0000-0000-000034290000}"/>
    <cellStyle name="20% - Accent6 2 2 3 2 3 2 2 3" xfId="30023" xr:uid="{00000000-0005-0000-0000-000035290000}"/>
    <cellStyle name="20% - Accent6 2 2 3 2 3 2 3" xfId="14663" xr:uid="{00000000-0005-0000-0000-000036290000}"/>
    <cellStyle name="20% - Accent6 2 2 3 2 3 2 3 2" xfId="35143" xr:uid="{00000000-0005-0000-0000-000037290000}"/>
    <cellStyle name="20% - Accent6 2 2 3 2 3 2 4" xfId="24903" xr:uid="{00000000-0005-0000-0000-000038290000}"/>
    <cellStyle name="20% - Accent6 2 2 3 2 3 3" xfId="6983" xr:uid="{00000000-0005-0000-0000-000039290000}"/>
    <cellStyle name="20% - Accent6 2 2 3 2 3 3 2" xfId="17223" xr:uid="{00000000-0005-0000-0000-00003A290000}"/>
    <cellStyle name="20% - Accent6 2 2 3 2 3 3 2 2" xfId="37703" xr:uid="{00000000-0005-0000-0000-00003B290000}"/>
    <cellStyle name="20% - Accent6 2 2 3 2 3 3 3" xfId="27463" xr:uid="{00000000-0005-0000-0000-00003C290000}"/>
    <cellStyle name="20% - Accent6 2 2 3 2 3 4" xfId="12103" xr:uid="{00000000-0005-0000-0000-00003D290000}"/>
    <cellStyle name="20% - Accent6 2 2 3 2 3 4 2" xfId="32583" xr:uid="{00000000-0005-0000-0000-00003E290000}"/>
    <cellStyle name="20% - Accent6 2 2 3 2 3 5" xfId="22343" xr:uid="{00000000-0005-0000-0000-00003F290000}"/>
    <cellStyle name="20% - Accent6 2 2 3 2 4" xfId="3143" xr:uid="{00000000-0005-0000-0000-000040290000}"/>
    <cellStyle name="20% - Accent6 2 2 3 2 4 2" xfId="8263" xr:uid="{00000000-0005-0000-0000-000041290000}"/>
    <cellStyle name="20% - Accent6 2 2 3 2 4 2 2" xfId="18503" xr:uid="{00000000-0005-0000-0000-000042290000}"/>
    <cellStyle name="20% - Accent6 2 2 3 2 4 2 2 2" xfId="38983" xr:uid="{00000000-0005-0000-0000-000043290000}"/>
    <cellStyle name="20% - Accent6 2 2 3 2 4 2 3" xfId="28743" xr:uid="{00000000-0005-0000-0000-000044290000}"/>
    <cellStyle name="20% - Accent6 2 2 3 2 4 3" xfId="13383" xr:uid="{00000000-0005-0000-0000-000045290000}"/>
    <cellStyle name="20% - Accent6 2 2 3 2 4 3 2" xfId="33863" xr:uid="{00000000-0005-0000-0000-000046290000}"/>
    <cellStyle name="20% - Accent6 2 2 3 2 4 4" xfId="23623" xr:uid="{00000000-0005-0000-0000-000047290000}"/>
    <cellStyle name="20% - Accent6 2 2 3 2 5" xfId="5703" xr:uid="{00000000-0005-0000-0000-000048290000}"/>
    <cellStyle name="20% - Accent6 2 2 3 2 5 2" xfId="15943" xr:uid="{00000000-0005-0000-0000-000049290000}"/>
    <cellStyle name="20% - Accent6 2 2 3 2 5 2 2" xfId="36423" xr:uid="{00000000-0005-0000-0000-00004A290000}"/>
    <cellStyle name="20% - Accent6 2 2 3 2 5 3" xfId="26183" xr:uid="{00000000-0005-0000-0000-00004B290000}"/>
    <cellStyle name="20% - Accent6 2 2 3 2 6" xfId="10823" xr:uid="{00000000-0005-0000-0000-00004C290000}"/>
    <cellStyle name="20% - Accent6 2 2 3 2 6 2" xfId="31303" xr:uid="{00000000-0005-0000-0000-00004D290000}"/>
    <cellStyle name="20% - Accent6 2 2 3 2 7" xfId="21063" xr:uid="{00000000-0005-0000-0000-00004E290000}"/>
    <cellStyle name="20% - Accent6 2 2 3 3" xfId="903" xr:uid="{00000000-0005-0000-0000-00004F290000}"/>
    <cellStyle name="20% - Accent6 2 2 3 3 2" xfId="2183" xr:uid="{00000000-0005-0000-0000-000050290000}"/>
    <cellStyle name="20% - Accent6 2 2 3 3 2 2" xfId="4743" xr:uid="{00000000-0005-0000-0000-000051290000}"/>
    <cellStyle name="20% - Accent6 2 2 3 3 2 2 2" xfId="9863" xr:uid="{00000000-0005-0000-0000-000052290000}"/>
    <cellStyle name="20% - Accent6 2 2 3 3 2 2 2 2" xfId="20103" xr:uid="{00000000-0005-0000-0000-000053290000}"/>
    <cellStyle name="20% - Accent6 2 2 3 3 2 2 2 2 2" xfId="40583" xr:uid="{00000000-0005-0000-0000-000054290000}"/>
    <cellStyle name="20% - Accent6 2 2 3 3 2 2 2 3" xfId="30343" xr:uid="{00000000-0005-0000-0000-000055290000}"/>
    <cellStyle name="20% - Accent6 2 2 3 3 2 2 3" xfId="14983" xr:uid="{00000000-0005-0000-0000-000056290000}"/>
    <cellStyle name="20% - Accent6 2 2 3 3 2 2 3 2" xfId="35463" xr:uid="{00000000-0005-0000-0000-000057290000}"/>
    <cellStyle name="20% - Accent6 2 2 3 3 2 2 4" xfId="25223" xr:uid="{00000000-0005-0000-0000-000058290000}"/>
    <cellStyle name="20% - Accent6 2 2 3 3 2 3" xfId="7303" xr:uid="{00000000-0005-0000-0000-000059290000}"/>
    <cellStyle name="20% - Accent6 2 2 3 3 2 3 2" xfId="17543" xr:uid="{00000000-0005-0000-0000-00005A290000}"/>
    <cellStyle name="20% - Accent6 2 2 3 3 2 3 2 2" xfId="38023" xr:uid="{00000000-0005-0000-0000-00005B290000}"/>
    <cellStyle name="20% - Accent6 2 2 3 3 2 3 3" xfId="27783" xr:uid="{00000000-0005-0000-0000-00005C290000}"/>
    <cellStyle name="20% - Accent6 2 2 3 3 2 4" xfId="12423" xr:uid="{00000000-0005-0000-0000-00005D290000}"/>
    <cellStyle name="20% - Accent6 2 2 3 3 2 4 2" xfId="32903" xr:uid="{00000000-0005-0000-0000-00005E290000}"/>
    <cellStyle name="20% - Accent6 2 2 3 3 2 5" xfId="22663" xr:uid="{00000000-0005-0000-0000-00005F290000}"/>
    <cellStyle name="20% - Accent6 2 2 3 3 3" xfId="3463" xr:uid="{00000000-0005-0000-0000-000060290000}"/>
    <cellStyle name="20% - Accent6 2 2 3 3 3 2" xfId="8583" xr:uid="{00000000-0005-0000-0000-000061290000}"/>
    <cellStyle name="20% - Accent6 2 2 3 3 3 2 2" xfId="18823" xr:uid="{00000000-0005-0000-0000-000062290000}"/>
    <cellStyle name="20% - Accent6 2 2 3 3 3 2 2 2" xfId="39303" xr:uid="{00000000-0005-0000-0000-000063290000}"/>
    <cellStyle name="20% - Accent6 2 2 3 3 3 2 3" xfId="29063" xr:uid="{00000000-0005-0000-0000-000064290000}"/>
    <cellStyle name="20% - Accent6 2 2 3 3 3 3" xfId="13703" xr:uid="{00000000-0005-0000-0000-000065290000}"/>
    <cellStyle name="20% - Accent6 2 2 3 3 3 3 2" xfId="34183" xr:uid="{00000000-0005-0000-0000-000066290000}"/>
    <cellStyle name="20% - Accent6 2 2 3 3 3 4" xfId="23943" xr:uid="{00000000-0005-0000-0000-000067290000}"/>
    <cellStyle name="20% - Accent6 2 2 3 3 4" xfId="6023" xr:uid="{00000000-0005-0000-0000-000068290000}"/>
    <cellStyle name="20% - Accent6 2 2 3 3 4 2" xfId="16263" xr:uid="{00000000-0005-0000-0000-000069290000}"/>
    <cellStyle name="20% - Accent6 2 2 3 3 4 2 2" xfId="36743" xr:uid="{00000000-0005-0000-0000-00006A290000}"/>
    <cellStyle name="20% - Accent6 2 2 3 3 4 3" xfId="26503" xr:uid="{00000000-0005-0000-0000-00006B290000}"/>
    <cellStyle name="20% - Accent6 2 2 3 3 5" xfId="11143" xr:uid="{00000000-0005-0000-0000-00006C290000}"/>
    <cellStyle name="20% - Accent6 2 2 3 3 5 2" xfId="31623" xr:uid="{00000000-0005-0000-0000-00006D290000}"/>
    <cellStyle name="20% - Accent6 2 2 3 3 6" xfId="21383" xr:uid="{00000000-0005-0000-0000-00006E290000}"/>
    <cellStyle name="20% - Accent6 2 2 3 4" xfId="1543" xr:uid="{00000000-0005-0000-0000-00006F290000}"/>
    <cellStyle name="20% - Accent6 2 2 3 4 2" xfId="4103" xr:uid="{00000000-0005-0000-0000-000070290000}"/>
    <cellStyle name="20% - Accent6 2 2 3 4 2 2" xfId="9223" xr:uid="{00000000-0005-0000-0000-000071290000}"/>
    <cellStyle name="20% - Accent6 2 2 3 4 2 2 2" xfId="19463" xr:uid="{00000000-0005-0000-0000-000072290000}"/>
    <cellStyle name="20% - Accent6 2 2 3 4 2 2 2 2" xfId="39943" xr:uid="{00000000-0005-0000-0000-000073290000}"/>
    <cellStyle name="20% - Accent6 2 2 3 4 2 2 3" xfId="29703" xr:uid="{00000000-0005-0000-0000-000074290000}"/>
    <cellStyle name="20% - Accent6 2 2 3 4 2 3" xfId="14343" xr:uid="{00000000-0005-0000-0000-000075290000}"/>
    <cellStyle name="20% - Accent6 2 2 3 4 2 3 2" xfId="34823" xr:uid="{00000000-0005-0000-0000-000076290000}"/>
    <cellStyle name="20% - Accent6 2 2 3 4 2 4" xfId="24583" xr:uid="{00000000-0005-0000-0000-000077290000}"/>
    <cellStyle name="20% - Accent6 2 2 3 4 3" xfId="6663" xr:uid="{00000000-0005-0000-0000-000078290000}"/>
    <cellStyle name="20% - Accent6 2 2 3 4 3 2" xfId="16903" xr:uid="{00000000-0005-0000-0000-000079290000}"/>
    <cellStyle name="20% - Accent6 2 2 3 4 3 2 2" xfId="37383" xr:uid="{00000000-0005-0000-0000-00007A290000}"/>
    <cellStyle name="20% - Accent6 2 2 3 4 3 3" xfId="27143" xr:uid="{00000000-0005-0000-0000-00007B290000}"/>
    <cellStyle name="20% - Accent6 2 2 3 4 4" xfId="11783" xr:uid="{00000000-0005-0000-0000-00007C290000}"/>
    <cellStyle name="20% - Accent6 2 2 3 4 4 2" xfId="32263" xr:uid="{00000000-0005-0000-0000-00007D290000}"/>
    <cellStyle name="20% - Accent6 2 2 3 4 5" xfId="22023" xr:uid="{00000000-0005-0000-0000-00007E290000}"/>
    <cellStyle name="20% - Accent6 2 2 3 5" xfId="2823" xr:uid="{00000000-0005-0000-0000-00007F290000}"/>
    <cellStyle name="20% - Accent6 2 2 3 5 2" xfId="7943" xr:uid="{00000000-0005-0000-0000-000080290000}"/>
    <cellStyle name="20% - Accent6 2 2 3 5 2 2" xfId="18183" xr:uid="{00000000-0005-0000-0000-000081290000}"/>
    <cellStyle name="20% - Accent6 2 2 3 5 2 2 2" xfId="38663" xr:uid="{00000000-0005-0000-0000-000082290000}"/>
    <cellStyle name="20% - Accent6 2 2 3 5 2 3" xfId="28423" xr:uid="{00000000-0005-0000-0000-000083290000}"/>
    <cellStyle name="20% - Accent6 2 2 3 5 3" xfId="13063" xr:uid="{00000000-0005-0000-0000-000084290000}"/>
    <cellStyle name="20% - Accent6 2 2 3 5 3 2" xfId="33543" xr:uid="{00000000-0005-0000-0000-000085290000}"/>
    <cellStyle name="20% - Accent6 2 2 3 5 4" xfId="23303" xr:uid="{00000000-0005-0000-0000-000086290000}"/>
    <cellStyle name="20% - Accent6 2 2 3 6" xfId="5383" xr:uid="{00000000-0005-0000-0000-000087290000}"/>
    <cellStyle name="20% - Accent6 2 2 3 6 2" xfId="15623" xr:uid="{00000000-0005-0000-0000-000088290000}"/>
    <cellStyle name="20% - Accent6 2 2 3 6 2 2" xfId="36103" xr:uid="{00000000-0005-0000-0000-000089290000}"/>
    <cellStyle name="20% - Accent6 2 2 3 6 3" xfId="25863" xr:uid="{00000000-0005-0000-0000-00008A290000}"/>
    <cellStyle name="20% - Accent6 2 2 3 7" xfId="10503" xr:uid="{00000000-0005-0000-0000-00008B290000}"/>
    <cellStyle name="20% - Accent6 2 2 3 7 2" xfId="30983" xr:uid="{00000000-0005-0000-0000-00008C290000}"/>
    <cellStyle name="20% - Accent6 2 2 3 8" xfId="20743" xr:uid="{00000000-0005-0000-0000-00008D290000}"/>
    <cellStyle name="20% - Accent6 2 2 4" xfId="423" xr:uid="{00000000-0005-0000-0000-00008E290000}"/>
    <cellStyle name="20% - Accent6 2 2 4 2" xfId="1063" xr:uid="{00000000-0005-0000-0000-00008F290000}"/>
    <cellStyle name="20% - Accent6 2 2 4 2 2" xfId="2343" xr:uid="{00000000-0005-0000-0000-000090290000}"/>
    <cellStyle name="20% - Accent6 2 2 4 2 2 2" xfId="4903" xr:uid="{00000000-0005-0000-0000-000091290000}"/>
    <cellStyle name="20% - Accent6 2 2 4 2 2 2 2" xfId="10023" xr:uid="{00000000-0005-0000-0000-000092290000}"/>
    <cellStyle name="20% - Accent6 2 2 4 2 2 2 2 2" xfId="20263" xr:uid="{00000000-0005-0000-0000-000093290000}"/>
    <cellStyle name="20% - Accent6 2 2 4 2 2 2 2 2 2" xfId="40743" xr:uid="{00000000-0005-0000-0000-000094290000}"/>
    <cellStyle name="20% - Accent6 2 2 4 2 2 2 2 3" xfId="30503" xr:uid="{00000000-0005-0000-0000-000095290000}"/>
    <cellStyle name="20% - Accent6 2 2 4 2 2 2 3" xfId="15143" xr:uid="{00000000-0005-0000-0000-000096290000}"/>
    <cellStyle name="20% - Accent6 2 2 4 2 2 2 3 2" xfId="35623" xr:uid="{00000000-0005-0000-0000-000097290000}"/>
    <cellStyle name="20% - Accent6 2 2 4 2 2 2 4" xfId="25383" xr:uid="{00000000-0005-0000-0000-000098290000}"/>
    <cellStyle name="20% - Accent6 2 2 4 2 2 3" xfId="7463" xr:uid="{00000000-0005-0000-0000-000099290000}"/>
    <cellStyle name="20% - Accent6 2 2 4 2 2 3 2" xfId="17703" xr:uid="{00000000-0005-0000-0000-00009A290000}"/>
    <cellStyle name="20% - Accent6 2 2 4 2 2 3 2 2" xfId="38183" xr:uid="{00000000-0005-0000-0000-00009B290000}"/>
    <cellStyle name="20% - Accent6 2 2 4 2 2 3 3" xfId="27943" xr:uid="{00000000-0005-0000-0000-00009C290000}"/>
    <cellStyle name="20% - Accent6 2 2 4 2 2 4" xfId="12583" xr:uid="{00000000-0005-0000-0000-00009D290000}"/>
    <cellStyle name="20% - Accent6 2 2 4 2 2 4 2" xfId="33063" xr:uid="{00000000-0005-0000-0000-00009E290000}"/>
    <cellStyle name="20% - Accent6 2 2 4 2 2 5" xfId="22823" xr:uid="{00000000-0005-0000-0000-00009F290000}"/>
    <cellStyle name="20% - Accent6 2 2 4 2 3" xfId="3623" xr:uid="{00000000-0005-0000-0000-0000A0290000}"/>
    <cellStyle name="20% - Accent6 2 2 4 2 3 2" xfId="8743" xr:uid="{00000000-0005-0000-0000-0000A1290000}"/>
    <cellStyle name="20% - Accent6 2 2 4 2 3 2 2" xfId="18983" xr:uid="{00000000-0005-0000-0000-0000A2290000}"/>
    <cellStyle name="20% - Accent6 2 2 4 2 3 2 2 2" xfId="39463" xr:uid="{00000000-0005-0000-0000-0000A3290000}"/>
    <cellStyle name="20% - Accent6 2 2 4 2 3 2 3" xfId="29223" xr:uid="{00000000-0005-0000-0000-0000A4290000}"/>
    <cellStyle name="20% - Accent6 2 2 4 2 3 3" xfId="13863" xr:uid="{00000000-0005-0000-0000-0000A5290000}"/>
    <cellStyle name="20% - Accent6 2 2 4 2 3 3 2" xfId="34343" xr:uid="{00000000-0005-0000-0000-0000A6290000}"/>
    <cellStyle name="20% - Accent6 2 2 4 2 3 4" xfId="24103" xr:uid="{00000000-0005-0000-0000-0000A7290000}"/>
    <cellStyle name="20% - Accent6 2 2 4 2 4" xfId="6183" xr:uid="{00000000-0005-0000-0000-0000A8290000}"/>
    <cellStyle name="20% - Accent6 2 2 4 2 4 2" xfId="16423" xr:uid="{00000000-0005-0000-0000-0000A9290000}"/>
    <cellStyle name="20% - Accent6 2 2 4 2 4 2 2" xfId="36903" xr:uid="{00000000-0005-0000-0000-0000AA290000}"/>
    <cellStyle name="20% - Accent6 2 2 4 2 4 3" xfId="26663" xr:uid="{00000000-0005-0000-0000-0000AB290000}"/>
    <cellStyle name="20% - Accent6 2 2 4 2 5" xfId="11303" xr:uid="{00000000-0005-0000-0000-0000AC290000}"/>
    <cellStyle name="20% - Accent6 2 2 4 2 5 2" xfId="31783" xr:uid="{00000000-0005-0000-0000-0000AD290000}"/>
    <cellStyle name="20% - Accent6 2 2 4 2 6" xfId="21543" xr:uid="{00000000-0005-0000-0000-0000AE290000}"/>
    <cellStyle name="20% - Accent6 2 2 4 3" xfId="1703" xr:uid="{00000000-0005-0000-0000-0000AF290000}"/>
    <cellStyle name="20% - Accent6 2 2 4 3 2" xfId="4263" xr:uid="{00000000-0005-0000-0000-0000B0290000}"/>
    <cellStyle name="20% - Accent6 2 2 4 3 2 2" xfId="9383" xr:uid="{00000000-0005-0000-0000-0000B1290000}"/>
    <cellStyle name="20% - Accent6 2 2 4 3 2 2 2" xfId="19623" xr:uid="{00000000-0005-0000-0000-0000B2290000}"/>
    <cellStyle name="20% - Accent6 2 2 4 3 2 2 2 2" xfId="40103" xr:uid="{00000000-0005-0000-0000-0000B3290000}"/>
    <cellStyle name="20% - Accent6 2 2 4 3 2 2 3" xfId="29863" xr:uid="{00000000-0005-0000-0000-0000B4290000}"/>
    <cellStyle name="20% - Accent6 2 2 4 3 2 3" xfId="14503" xr:uid="{00000000-0005-0000-0000-0000B5290000}"/>
    <cellStyle name="20% - Accent6 2 2 4 3 2 3 2" xfId="34983" xr:uid="{00000000-0005-0000-0000-0000B6290000}"/>
    <cellStyle name="20% - Accent6 2 2 4 3 2 4" xfId="24743" xr:uid="{00000000-0005-0000-0000-0000B7290000}"/>
    <cellStyle name="20% - Accent6 2 2 4 3 3" xfId="6823" xr:uid="{00000000-0005-0000-0000-0000B8290000}"/>
    <cellStyle name="20% - Accent6 2 2 4 3 3 2" xfId="17063" xr:uid="{00000000-0005-0000-0000-0000B9290000}"/>
    <cellStyle name="20% - Accent6 2 2 4 3 3 2 2" xfId="37543" xr:uid="{00000000-0005-0000-0000-0000BA290000}"/>
    <cellStyle name="20% - Accent6 2 2 4 3 3 3" xfId="27303" xr:uid="{00000000-0005-0000-0000-0000BB290000}"/>
    <cellStyle name="20% - Accent6 2 2 4 3 4" xfId="11943" xr:uid="{00000000-0005-0000-0000-0000BC290000}"/>
    <cellStyle name="20% - Accent6 2 2 4 3 4 2" xfId="32423" xr:uid="{00000000-0005-0000-0000-0000BD290000}"/>
    <cellStyle name="20% - Accent6 2 2 4 3 5" xfId="22183" xr:uid="{00000000-0005-0000-0000-0000BE290000}"/>
    <cellStyle name="20% - Accent6 2 2 4 4" xfId="2983" xr:uid="{00000000-0005-0000-0000-0000BF290000}"/>
    <cellStyle name="20% - Accent6 2 2 4 4 2" xfId="8103" xr:uid="{00000000-0005-0000-0000-0000C0290000}"/>
    <cellStyle name="20% - Accent6 2 2 4 4 2 2" xfId="18343" xr:uid="{00000000-0005-0000-0000-0000C1290000}"/>
    <cellStyle name="20% - Accent6 2 2 4 4 2 2 2" xfId="38823" xr:uid="{00000000-0005-0000-0000-0000C2290000}"/>
    <cellStyle name="20% - Accent6 2 2 4 4 2 3" xfId="28583" xr:uid="{00000000-0005-0000-0000-0000C3290000}"/>
    <cellStyle name="20% - Accent6 2 2 4 4 3" xfId="13223" xr:uid="{00000000-0005-0000-0000-0000C4290000}"/>
    <cellStyle name="20% - Accent6 2 2 4 4 3 2" xfId="33703" xr:uid="{00000000-0005-0000-0000-0000C5290000}"/>
    <cellStyle name="20% - Accent6 2 2 4 4 4" xfId="23463" xr:uid="{00000000-0005-0000-0000-0000C6290000}"/>
    <cellStyle name="20% - Accent6 2 2 4 5" xfId="5543" xr:uid="{00000000-0005-0000-0000-0000C7290000}"/>
    <cellStyle name="20% - Accent6 2 2 4 5 2" xfId="15783" xr:uid="{00000000-0005-0000-0000-0000C8290000}"/>
    <cellStyle name="20% - Accent6 2 2 4 5 2 2" xfId="36263" xr:uid="{00000000-0005-0000-0000-0000C9290000}"/>
    <cellStyle name="20% - Accent6 2 2 4 5 3" xfId="26023" xr:uid="{00000000-0005-0000-0000-0000CA290000}"/>
    <cellStyle name="20% - Accent6 2 2 4 6" xfId="10663" xr:uid="{00000000-0005-0000-0000-0000CB290000}"/>
    <cellStyle name="20% - Accent6 2 2 4 6 2" xfId="31143" xr:uid="{00000000-0005-0000-0000-0000CC290000}"/>
    <cellStyle name="20% - Accent6 2 2 4 7" xfId="20903" xr:uid="{00000000-0005-0000-0000-0000CD290000}"/>
    <cellStyle name="20% - Accent6 2 2 5" xfId="743" xr:uid="{00000000-0005-0000-0000-0000CE290000}"/>
    <cellStyle name="20% - Accent6 2 2 5 2" xfId="2023" xr:uid="{00000000-0005-0000-0000-0000CF290000}"/>
    <cellStyle name="20% - Accent6 2 2 5 2 2" xfId="4583" xr:uid="{00000000-0005-0000-0000-0000D0290000}"/>
    <cellStyle name="20% - Accent6 2 2 5 2 2 2" xfId="9703" xr:uid="{00000000-0005-0000-0000-0000D1290000}"/>
    <cellStyle name="20% - Accent6 2 2 5 2 2 2 2" xfId="19943" xr:uid="{00000000-0005-0000-0000-0000D2290000}"/>
    <cellStyle name="20% - Accent6 2 2 5 2 2 2 2 2" xfId="40423" xr:uid="{00000000-0005-0000-0000-0000D3290000}"/>
    <cellStyle name="20% - Accent6 2 2 5 2 2 2 3" xfId="30183" xr:uid="{00000000-0005-0000-0000-0000D4290000}"/>
    <cellStyle name="20% - Accent6 2 2 5 2 2 3" xfId="14823" xr:uid="{00000000-0005-0000-0000-0000D5290000}"/>
    <cellStyle name="20% - Accent6 2 2 5 2 2 3 2" xfId="35303" xr:uid="{00000000-0005-0000-0000-0000D6290000}"/>
    <cellStyle name="20% - Accent6 2 2 5 2 2 4" xfId="25063" xr:uid="{00000000-0005-0000-0000-0000D7290000}"/>
    <cellStyle name="20% - Accent6 2 2 5 2 3" xfId="7143" xr:uid="{00000000-0005-0000-0000-0000D8290000}"/>
    <cellStyle name="20% - Accent6 2 2 5 2 3 2" xfId="17383" xr:uid="{00000000-0005-0000-0000-0000D9290000}"/>
    <cellStyle name="20% - Accent6 2 2 5 2 3 2 2" xfId="37863" xr:uid="{00000000-0005-0000-0000-0000DA290000}"/>
    <cellStyle name="20% - Accent6 2 2 5 2 3 3" xfId="27623" xr:uid="{00000000-0005-0000-0000-0000DB290000}"/>
    <cellStyle name="20% - Accent6 2 2 5 2 4" xfId="12263" xr:uid="{00000000-0005-0000-0000-0000DC290000}"/>
    <cellStyle name="20% - Accent6 2 2 5 2 4 2" xfId="32743" xr:uid="{00000000-0005-0000-0000-0000DD290000}"/>
    <cellStyle name="20% - Accent6 2 2 5 2 5" xfId="22503" xr:uid="{00000000-0005-0000-0000-0000DE290000}"/>
    <cellStyle name="20% - Accent6 2 2 5 3" xfId="3303" xr:uid="{00000000-0005-0000-0000-0000DF290000}"/>
    <cellStyle name="20% - Accent6 2 2 5 3 2" xfId="8423" xr:uid="{00000000-0005-0000-0000-0000E0290000}"/>
    <cellStyle name="20% - Accent6 2 2 5 3 2 2" xfId="18663" xr:uid="{00000000-0005-0000-0000-0000E1290000}"/>
    <cellStyle name="20% - Accent6 2 2 5 3 2 2 2" xfId="39143" xr:uid="{00000000-0005-0000-0000-0000E2290000}"/>
    <cellStyle name="20% - Accent6 2 2 5 3 2 3" xfId="28903" xr:uid="{00000000-0005-0000-0000-0000E3290000}"/>
    <cellStyle name="20% - Accent6 2 2 5 3 3" xfId="13543" xr:uid="{00000000-0005-0000-0000-0000E4290000}"/>
    <cellStyle name="20% - Accent6 2 2 5 3 3 2" xfId="34023" xr:uid="{00000000-0005-0000-0000-0000E5290000}"/>
    <cellStyle name="20% - Accent6 2 2 5 3 4" xfId="23783" xr:uid="{00000000-0005-0000-0000-0000E6290000}"/>
    <cellStyle name="20% - Accent6 2 2 5 4" xfId="5863" xr:uid="{00000000-0005-0000-0000-0000E7290000}"/>
    <cellStyle name="20% - Accent6 2 2 5 4 2" xfId="16103" xr:uid="{00000000-0005-0000-0000-0000E8290000}"/>
    <cellStyle name="20% - Accent6 2 2 5 4 2 2" xfId="36583" xr:uid="{00000000-0005-0000-0000-0000E9290000}"/>
    <cellStyle name="20% - Accent6 2 2 5 4 3" xfId="26343" xr:uid="{00000000-0005-0000-0000-0000EA290000}"/>
    <cellStyle name="20% - Accent6 2 2 5 5" xfId="10983" xr:uid="{00000000-0005-0000-0000-0000EB290000}"/>
    <cellStyle name="20% - Accent6 2 2 5 5 2" xfId="31463" xr:uid="{00000000-0005-0000-0000-0000EC290000}"/>
    <cellStyle name="20% - Accent6 2 2 5 6" xfId="21223" xr:uid="{00000000-0005-0000-0000-0000ED290000}"/>
    <cellStyle name="20% - Accent6 2 2 6" xfId="1383" xr:uid="{00000000-0005-0000-0000-0000EE290000}"/>
    <cellStyle name="20% - Accent6 2 2 6 2" xfId="3943" xr:uid="{00000000-0005-0000-0000-0000EF290000}"/>
    <cellStyle name="20% - Accent6 2 2 6 2 2" xfId="9063" xr:uid="{00000000-0005-0000-0000-0000F0290000}"/>
    <cellStyle name="20% - Accent6 2 2 6 2 2 2" xfId="19303" xr:uid="{00000000-0005-0000-0000-0000F1290000}"/>
    <cellStyle name="20% - Accent6 2 2 6 2 2 2 2" xfId="39783" xr:uid="{00000000-0005-0000-0000-0000F2290000}"/>
    <cellStyle name="20% - Accent6 2 2 6 2 2 3" xfId="29543" xr:uid="{00000000-0005-0000-0000-0000F3290000}"/>
    <cellStyle name="20% - Accent6 2 2 6 2 3" xfId="14183" xr:uid="{00000000-0005-0000-0000-0000F4290000}"/>
    <cellStyle name="20% - Accent6 2 2 6 2 3 2" xfId="34663" xr:uid="{00000000-0005-0000-0000-0000F5290000}"/>
    <cellStyle name="20% - Accent6 2 2 6 2 4" xfId="24423" xr:uid="{00000000-0005-0000-0000-0000F6290000}"/>
    <cellStyle name="20% - Accent6 2 2 6 3" xfId="6503" xr:uid="{00000000-0005-0000-0000-0000F7290000}"/>
    <cellStyle name="20% - Accent6 2 2 6 3 2" xfId="16743" xr:uid="{00000000-0005-0000-0000-0000F8290000}"/>
    <cellStyle name="20% - Accent6 2 2 6 3 2 2" xfId="37223" xr:uid="{00000000-0005-0000-0000-0000F9290000}"/>
    <cellStyle name="20% - Accent6 2 2 6 3 3" xfId="26983" xr:uid="{00000000-0005-0000-0000-0000FA290000}"/>
    <cellStyle name="20% - Accent6 2 2 6 4" xfId="11623" xr:uid="{00000000-0005-0000-0000-0000FB290000}"/>
    <cellStyle name="20% - Accent6 2 2 6 4 2" xfId="32103" xr:uid="{00000000-0005-0000-0000-0000FC290000}"/>
    <cellStyle name="20% - Accent6 2 2 6 5" xfId="21863" xr:uid="{00000000-0005-0000-0000-0000FD290000}"/>
    <cellStyle name="20% - Accent6 2 2 7" xfId="2663" xr:uid="{00000000-0005-0000-0000-0000FE290000}"/>
    <cellStyle name="20% - Accent6 2 2 7 2" xfId="7783" xr:uid="{00000000-0005-0000-0000-0000FF290000}"/>
    <cellStyle name="20% - Accent6 2 2 7 2 2" xfId="18023" xr:uid="{00000000-0005-0000-0000-0000002A0000}"/>
    <cellStyle name="20% - Accent6 2 2 7 2 2 2" xfId="38503" xr:uid="{00000000-0005-0000-0000-0000012A0000}"/>
    <cellStyle name="20% - Accent6 2 2 7 2 3" xfId="28263" xr:uid="{00000000-0005-0000-0000-0000022A0000}"/>
    <cellStyle name="20% - Accent6 2 2 7 3" xfId="12903" xr:uid="{00000000-0005-0000-0000-0000032A0000}"/>
    <cellStyle name="20% - Accent6 2 2 7 3 2" xfId="33383" xr:uid="{00000000-0005-0000-0000-0000042A0000}"/>
    <cellStyle name="20% - Accent6 2 2 7 4" xfId="23143" xr:uid="{00000000-0005-0000-0000-0000052A0000}"/>
    <cellStyle name="20% - Accent6 2 2 8" xfId="5223" xr:uid="{00000000-0005-0000-0000-0000062A0000}"/>
    <cellStyle name="20% - Accent6 2 2 8 2" xfId="15463" xr:uid="{00000000-0005-0000-0000-0000072A0000}"/>
    <cellStyle name="20% - Accent6 2 2 8 2 2" xfId="35943" xr:uid="{00000000-0005-0000-0000-0000082A0000}"/>
    <cellStyle name="20% - Accent6 2 2 8 3" xfId="25703" xr:uid="{00000000-0005-0000-0000-0000092A0000}"/>
    <cellStyle name="20% - Accent6 2 2 9" xfId="10343" xr:uid="{00000000-0005-0000-0000-00000A2A0000}"/>
    <cellStyle name="20% - Accent6 2 2 9 2" xfId="30823" xr:uid="{00000000-0005-0000-0000-00000B2A0000}"/>
    <cellStyle name="20% - Accent6 2 3" xfId="143" xr:uid="{00000000-0005-0000-0000-00000C2A0000}"/>
    <cellStyle name="20% - Accent6 2 3 2" xfId="303" xr:uid="{00000000-0005-0000-0000-00000D2A0000}"/>
    <cellStyle name="20% - Accent6 2 3 2 2" xfId="623" xr:uid="{00000000-0005-0000-0000-00000E2A0000}"/>
    <cellStyle name="20% - Accent6 2 3 2 2 2" xfId="1263" xr:uid="{00000000-0005-0000-0000-00000F2A0000}"/>
    <cellStyle name="20% - Accent6 2 3 2 2 2 2" xfId="2543" xr:uid="{00000000-0005-0000-0000-0000102A0000}"/>
    <cellStyle name="20% - Accent6 2 3 2 2 2 2 2" xfId="5103" xr:uid="{00000000-0005-0000-0000-0000112A0000}"/>
    <cellStyle name="20% - Accent6 2 3 2 2 2 2 2 2" xfId="10223" xr:uid="{00000000-0005-0000-0000-0000122A0000}"/>
    <cellStyle name="20% - Accent6 2 3 2 2 2 2 2 2 2" xfId="20463" xr:uid="{00000000-0005-0000-0000-0000132A0000}"/>
    <cellStyle name="20% - Accent6 2 3 2 2 2 2 2 2 2 2" xfId="40943" xr:uid="{00000000-0005-0000-0000-0000142A0000}"/>
    <cellStyle name="20% - Accent6 2 3 2 2 2 2 2 2 3" xfId="30703" xr:uid="{00000000-0005-0000-0000-0000152A0000}"/>
    <cellStyle name="20% - Accent6 2 3 2 2 2 2 2 3" xfId="15343" xr:uid="{00000000-0005-0000-0000-0000162A0000}"/>
    <cellStyle name="20% - Accent6 2 3 2 2 2 2 2 3 2" xfId="35823" xr:uid="{00000000-0005-0000-0000-0000172A0000}"/>
    <cellStyle name="20% - Accent6 2 3 2 2 2 2 2 4" xfId="25583" xr:uid="{00000000-0005-0000-0000-0000182A0000}"/>
    <cellStyle name="20% - Accent6 2 3 2 2 2 2 3" xfId="7663" xr:uid="{00000000-0005-0000-0000-0000192A0000}"/>
    <cellStyle name="20% - Accent6 2 3 2 2 2 2 3 2" xfId="17903" xr:uid="{00000000-0005-0000-0000-00001A2A0000}"/>
    <cellStyle name="20% - Accent6 2 3 2 2 2 2 3 2 2" xfId="38383" xr:uid="{00000000-0005-0000-0000-00001B2A0000}"/>
    <cellStyle name="20% - Accent6 2 3 2 2 2 2 3 3" xfId="28143" xr:uid="{00000000-0005-0000-0000-00001C2A0000}"/>
    <cellStyle name="20% - Accent6 2 3 2 2 2 2 4" xfId="12783" xr:uid="{00000000-0005-0000-0000-00001D2A0000}"/>
    <cellStyle name="20% - Accent6 2 3 2 2 2 2 4 2" xfId="33263" xr:uid="{00000000-0005-0000-0000-00001E2A0000}"/>
    <cellStyle name="20% - Accent6 2 3 2 2 2 2 5" xfId="23023" xr:uid="{00000000-0005-0000-0000-00001F2A0000}"/>
    <cellStyle name="20% - Accent6 2 3 2 2 2 3" xfId="3823" xr:uid="{00000000-0005-0000-0000-0000202A0000}"/>
    <cellStyle name="20% - Accent6 2 3 2 2 2 3 2" xfId="8943" xr:uid="{00000000-0005-0000-0000-0000212A0000}"/>
    <cellStyle name="20% - Accent6 2 3 2 2 2 3 2 2" xfId="19183" xr:uid="{00000000-0005-0000-0000-0000222A0000}"/>
    <cellStyle name="20% - Accent6 2 3 2 2 2 3 2 2 2" xfId="39663" xr:uid="{00000000-0005-0000-0000-0000232A0000}"/>
    <cellStyle name="20% - Accent6 2 3 2 2 2 3 2 3" xfId="29423" xr:uid="{00000000-0005-0000-0000-0000242A0000}"/>
    <cellStyle name="20% - Accent6 2 3 2 2 2 3 3" xfId="14063" xr:uid="{00000000-0005-0000-0000-0000252A0000}"/>
    <cellStyle name="20% - Accent6 2 3 2 2 2 3 3 2" xfId="34543" xr:uid="{00000000-0005-0000-0000-0000262A0000}"/>
    <cellStyle name="20% - Accent6 2 3 2 2 2 3 4" xfId="24303" xr:uid="{00000000-0005-0000-0000-0000272A0000}"/>
    <cellStyle name="20% - Accent6 2 3 2 2 2 4" xfId="6383" xr:uid="{00000000-0005-0000-0000-0000282A0000}"/>
    <cellStyle name="20% - Accent6 2 3 2 2 2 4 2" xfId="16623" xr:uid="{00000000-0005-0000-0000-0000292A0000}"/>
    <cellStyle name="20% - Accent6 2 3 2 2 2 4 2 2" xfId="37103" xr:uid="{00000000-0005-0000-0000-00002A2A0000}"/>
    <cellStyle name="20% - Accent6 2 3 2 2 2 4 3" xfId="26863" xr:uid="{00000000-0005-0000-0000-00002B2A0000}"/>
    <cellStyle name="20% - Accent6 2 3 2 2 2 5" xfId="11503" xr:uid="{00000000-0005-0000-0000-00002C2A0000}"/>
    <cellStyle name="20% - Accent6 2 3 2 2 2 5 2" xfId="31983" xr:uid="{00000000-0005-0000-0000-00002D2A0000}"/>
    <cellStyle name="20% - Accent6 2 3 2 2 2 6" xfId="21743" xr:uid="{00000000-0005-0000-0000-00002E2A0000}"/>
    <cellStyle name="20% - Accent6 2 3 2 2 3" xfId="1903" xr:uid="{00000000-0005-0000-0000-00002F2A0000}"/>
    <cellStyle name="20% - Accent6 2 3 2 2 3 2" xfId="4463" xr:uid="{00000000-0005-0000-0000-0000302A0000}"/>
    <cellStyle name="20% - Accent6 2 3 2 2 3 2 2" xfId="9583" xr:uid="{00000000-0005-0000-0000-0000312A0000}"/>
    <cellStyle name="20% - Accent6 2 3 2 2 3 2 2 2" xfId="19823" xr:uid="{00000000-0005-0000-0000-0000322A0000}"/>
    <cellStyle name="20% - Accent6 2 3 2 2 3 2 2 2 2" xfId="40303" xr:uid="{00000000-0005-0000-0000-0000332A0000}"/>
    <cellStyle name="20% - Accent6 2 3 2 2 3 2 2 3" xfId="30063" xr:uid="{00000000-0005-0000-0000-0000342A0000}"/>
    <cellStyle name="20% - Accent6 2 3 2 2 3 2 3" xfId="14703" xr:uid="{00000000-0005-0000-0000-0000352A0000}"/>
    <cellStyle name="20% - Accent6 2 3 2 2 3 2 3 2" xfId="35183" xr:uid="{00000000-0005-0000-0000-0000362A0000}"/>
    <cellStyle name="20% - Accent6 2 3 2 2 3 2 4" xfId="24943" xr:uid="{00000000-0005-0000-0000-0000372A0000}"/>
    <cellStyle name="20% - Accent6 2 3 2 2 3 3" xfId="7023" xr:uid="{00000000-0005-0000-0000-0000382A0000}"/>
    <cellStyle name="20% - Accent6 2 3 2 2 3 3 2" xfId="17263" xr:uid="{00000000-0005-0000-0000-0000392A0000}"/>
    <cellStyle name="20% - Accent6 2 3 2 2 3 3 2 2" xfId="37743" xr:uid="{00000000-0005-0000-0000-00003A2A0000}"/>
    <cellStyle name="20% - Accent6 2 3 2 2 3 3 3" xfId="27503" xr:uid="{00000000-0005-0000-0000-00003B2A0000}"/>
    <cellStyle name="20% - Accent6 2 3 2 2 3 4" xfId="12143" xr:uid="{00000000-0005-0000-0000-00003C2A0000}"/>
    <cellStyle name="20% - Accent6 2 3 2 2 3 4 2" xfId="32623" xr:uid="{00000000-0005-0000-0000-00003D2A0000}"/>
    <cellStyle name="20% - Accent6 2 3 2 2 3 5" xfId="22383" xr:uid="{00000000-0005-0000-0000-00003E2A0000}"/>
    <cellStyle name="20% - Accent6 2 3 2 2 4" xfId="3183" xr:uid="{00000000-0005-0000-0000-00003F2A0000}"/>
    <cellStyle name="20% - Accent6 2 3 2 2 4 2" xfId="8303" xr:uid="{00000000-0005-0000-0000-0000402A0000}"/>
    <cellStyle name="20% - Accent6 2 3 2 2 4 2 2" xfId="18543" xr:uid="{00000000-0005-0000-0000-0000412A0000}"/>
    <cellStyle name="20% - Accent6 2 3 2 2 4 2 2 2" xfId="39023" xr:uid="{00000000-0005-0000-0000-0000422A0000}"/>
    <cellStyle name="20% - Accent6 2 3 2 2 4 2 3" xfId="28783" xr:uid="{00000000-0005-0000-0000-0000432A0000}"/>
    <cellStyle name="20% - Accent6 2 3 2 2 4 3" xfId="13423" xr:uid="{00000000-0005-0000-0000-0000442A0000}"/>
    <cellStyle name="20% - Accent6 2 3 2 2 4 3 2" xfId="33903" xr:uid="{00000000-0005-0000-0000-0000452A0000}"/>
    <cellStyle name="20% - Accent6 2 3 2 2 4 4" xfId="23663" xr:uid="{00000000-0005-0000-0000-0000462A0000}"/>
    <cellStyle name="20% - Accent6 2 3 2 2 5" xfId="5743" xr:uid="{00000000-0005-0000-0000-0000472A0000}"/>
    <cellStyle name="20% - Accent6 2 3 2 2 5 2" xfId="15983" xr:uid="{00000000-0005-0000-0000-0000482A0000}"/>
    <cellStyle name="20% - Accent6 2 3 2 2 5 2 2" xfId="36463" xr:uid="{00000000-0005-0000-0000-0000492A0000}"/>
    <cellStyle name="20% - Accent6 2 3 2 2 5 3" xfId="26223" xr:uid="{00000000-0005-0000-0000-00004A2A0000}"/>
    <cellStyle name="20% - Accent6 2 3 2 2 6" xfId="10863" xr:uid="{00000000-0005-0000-0000-00004B2A0000}"/>
    <cellStyle name="20% - Accent6 2 3 2 2 6 2" xfId="31343" xr:uid="{00000000-0005-0000-0000-00004C2A0000}"/>
    <cellStyle name="20% - Accent6 2 3 2 2 7" xfId="21103" xr:uid="{00000000-0005-0000-0000-00004D2A0000}"/>
    <cellStyle name="20% - Accent6 2 3 2 3" xfId="943" xr:uid="{00000000-0005-0000-0000-00004E2A0000}"/>
    <cellStyle name="20% - Accent6 2 3 2 3 2" xfId="2223" xr:uid="{00000000-0005-0000-0000-00004F2A0000}"/>
    <cellStyle name="20% - Accent6 2 3 2 3 2 2" xfId="4783" xr:uid="{00000000-0005-0000-0000-0000502A0000}"/>
    <cellStyle name="20% - Accent6 2 3 2 3 2 2 2" xfId="9903" xr:uid="{00000000-0005-0000-0000-0000512A0000}"/>
    <cellStyle name="20% - Accent6 2 3 2 3 2 2 2 2" xfId="20143" xr:uid="{00000000-0005-0000-0000-0000522A0000}"/>
    <cellStyle name="20% - Accent6 2 3 2 3 2 2 2 2 2" xfId="40623" xr:uid="{00000000-0005-0000-0000-0000532A0000}"/>
    <cellStyle name="20% - Accent6 2 3 2 3 2 2 2 3" xfId="30383" xr:uid="{00000000-0005-0000-0000-0000542A0000}"/>
    <cellStyle name="20% - Accent6 2 3 2 3 2 2 3" xfId="15023" xr:uid="{00000000-0005-0000-0000-0000552A0000}"/>
    <cellStyle name="20% - Accent6 2 3 2 3 2 2 3 2" xfId="35503" xr:uid="{00000000-0005-0000-0000-0000562A0000}"/>
    <cellStyle name="20% - Accent6 2 3 2 3 2 2 4" xfId="25263" xr:uid="{00000000-0005-0000-0000-0000572A0000}"/>
    <cellStyle name="20% - Accent6 2 3 2 3 2 3" xfId="7343" xr:uid="{00000000-0005-0000-0000-0000582A0000}"/>
    <cellStyle name="20% - Accent6 2 3 2 3 2 3 2" xfId="17583" xr:uid="{00000000-0005-0000-0000-0000592A0000}"/>
    <cellStyle name="20% - Accent6 2 3 2 3 2 3 2 2" xfId="38063" xr:uid="{00000000-0005-0000-0000-00005A2A0000}"/>
    <cellStyle name="20% - Accent6 2 3 2 3 2 3 3" xfId="27823" xr:uid="{00000000-0005-0000-0000-00005B2A0000}"/>
    <cellStyle name="20% - Accent6 2 3 2 3 2 4" xfId="12463" xr:uid="{00000000-0005-0000-0000-00005C2A0000}"/>
    <cellStyle name="20% - Accent6 2 3 2 3 2 4 2" xfId="32943" xr:uid="{00000000-0005-0000-0000-00005D2A0000}"/>
    <cellStyle name="20% - Accent6 2 3 2 3 2 5" xfId="22703" xr:uid="{00000000-0005-0000-0000-00005E2A0000}"/>
    <cellStyle name="20% - Accent6 2 3 2 3 3" xfId="3503" xr:uid="{00000000-0005-0000-0000-00005F2A0000}"/>
    <cellStyle name="20% - Accent6 2 3 2 3 3 2" xfId="8623" xr:uid="{00000000-0005-0000-0000-0000602A0000}"/>
    <cellStyle name="20% - Accent6 2 3 2 3 3 2 2" xfId="18863" xr:uid="{00000000-0005-0000-0000-0000612A0000}"/>
    <cellStyle name="20% - Accent6 2 3 2 3 3 2 2 2" xfId="39343" xr:uid="{00000000-0005-0000-0000-0000622A0000}"/>
    <cellStyle name="20% - Accent6 2 3 2 3 3 2 3" xfId="29103" xr:uid="{00000000-0005-0000-0000-0000632A0000}"/>
    <cellStyle name="20% - Accent6 2 3 2 3 3 3" xfId="13743" xr:uid="{00000000-0005-0000-0000-0000642A0000}"/>
    <cellStyle name="20% - Accent6 2 3 2 3 3 3 2" xfId="34223" xr:uid="{00000000-0005-0000-0000-0000652A0000}"/>
    <cellStyle name="20% - Accent6 2 3 2 3 3 4" xfId="23983" xr:uid="{00000000-0005-0000-0000-0000662A0000}"/>
    <cellStyle name="20% - Accent6 2 3 2 3 4" xfId="6063" xr:uid="{00000000-0005-0000-0000-0000672A0000}"/>
    <cellStyle name="20% - Accent6 2 3 2 3 4 2" xfId="16303" xr:uid="{00000000-0005-0000-0000-0000682A0000}"/>
    <cellStyle name="20% - Accent6 2 3 2 3 4 2 2" xfId="36783" xr:uid="{00000000-0005-0000-0000-0000692A0000}"/>
    <cellStyle name="20% - Accent6 2 3 2 3 4 3" xfId="26543" xr:uid="{00000000-0005-0000-0000-00006A2A0000}"/>
    <cellStyle name="20% - Accent6 2 3 2 3 5" xfId="11183" xr:uid="{00000000-0005-0000-0000-00006B2A0000}"/>
    <cellStyle name="20% - Accent6 2 3 2 3 5 2" xfId="31663" xr:uid="{00000000-0005-0000-0000-00006C2A0000}"/>
    <cellStyle name="20% - Accent6 2 3 2 3 6" xfId="21423" xr:uid="{00000000-0005-0000-0000-00006D2A0000}"/>
    <cellStyle name="20% - Accent6 2 3 2 4" xfId="1583" xr:uid="{00000000-0005-0000-0000-00006E2A0000}"/>
    <cellStyle name="20% - Accent6 2 3 2 4 2" xfId="4143" xr:uid="{00000000-0005-0000-0000-00006F2A0000}"/>
    <cellStyle name="20% - Accent6 2 3 2 4 2 2" xfId="9263" xr:uid="{00000000-0005-0000-0000-0000702A0000}"/>
    <cellStyle name="20% - Accent6 2 3 2 4 2 2 2" xfId="19503" xr:uid="{00000000-0005-0000-0000-0000712A0000}"/>
    <cellStyle name="20% - Accent6 2 3 2 4 2 2 2 2" xfId="39983" xr:uid="{00000000-0005-0000-0000-0000722A0000}"/>
    <cellStyle name="20% - Accent6 2 3 2 4 2 2 3" xfId="29743" xr:uid="{00000000-0005-0000-0000-0000732A0000}"/>
    <cellStyle name="20% - Accent6 2 3 2 4 2 3" xfId="14383" xr:uid="{00000000-0005-0000-0000-0000742A0000}"/>
    <cellStyle name="20% - Accent6 2 3 2 4 2 3 2" xfId="34863" xr:uid="{00000000-0005-0000-0000-0000752A0000}"/>
    <cellStyle name="20% - Accent6 2 3 2 4 2 4" xfId="24623" xr:uid="{00000000-0005-0000-0000-0000762A0000}"/>
    <cellStyle name="20% - Accent6 2 3 2 4 3" xfId="6703" xr:uid="{00000000-0005-0000-0000-0000772A0000}"/>
    <cellStyle name="20% - Accent6 2 3 2 4 3 2" xfId="16943" xr:uid="{00000000-0005-0000-0000-0000782A0000}"/>
    <cellStyle name="20% - Accent6 2 3 2 4 3 2 2" xfId="37423" xr:uid="{00000000-0005-0000-0000-0000792A0000}"/>
    <cellStyle name="20% - Accent6 2 3 2 4 3 3" xfId="27183" xr:uid="{00000000-0005-0000-0000-00007A2A0000}"/>
    <cellStyle name="20% - Accent6 2 3 2 4 4" xfId="11823" xr:uid="{00000000-0005-0000-0000-00007B2A0000}"/>
    <cellStyle name="20% - Accent6 2 3 2 4 4 2" xfId="32303" xr:uid="{00000000-0005-0000-0000-00007C2A0000}"/>
    <cellStyle name="20% - Accent6 2 3 2 4 5" xfId="22063" xr:uid="{00000000-0005-0000-0000-00007D2A0000}"/>
    <cellStyle name="20% - Accent6 2 3 2 5" xfId="2863" xr:uid="{00000000-0005-0000-0000-00007E2A0000}"/>
    <cellStyle name="20% - Accent6 2 3 2 5 2" xfId="7983" xr:uid="{00000000-0005-0000-0000-00007F2A0000}"/>
    <cellStyle name="20% - Accent6 2 3 2 5 2 2" xfId="18223" xr:uid="{00000000-0005-0000-0000-0000802A0000}"/>
    <cellStyle name="20% - Accent6 2 3 2 5 2 2 2" xfId="38703" xr:uid="{00000000-0005-0000-0000-0000812A0000}"/>
    <cellStyle name="20% - Accent6 2 3 2 5 2 3" xfId="28463" xr:uid="{00000000-0005-0000-0000-0000822A0000}"/>
    <cellStyle name="20% - Accent6 2 3 2 5 3" xfId="13103" xr:uid="{00000000-0005-0000-0000-0000832A0000}"/>
    <cellStyle name="20% - Accent6 2 3 2 5 3 2" xfId="33583" xr:uid="{00000000-0005-0000-0000-0000842A0000}"/>
    <cellStyle name="20% - Accent6 2 3 2 5 4" xfId="23343" xr:uid="{00000000-0005-0000-0000-0000852A0000}"/>
    <cellStyle name="20% - Accent6 2 3 2 6" xfId="5423" xr:uid="{00000000-0005-0000-0000-0000862A0000}"/>
    <cellStyle name="20% - Accent6 2 3 2 6 2" xfId="15663" xr:uid="{00000000-0005-0000-0000-0000872A0000}"/>
    <cellStyle name="20% - Accent6 2 3 2 6 2 2" xfId="36143" xr:uid="{00000000-0005-0000-0000-0000882A0000}"/>
    <cellStyle name="20% - Accent6 2 3 2 6 3" xfId="25903" xr:uid="{00000000-0005-0000-0000-0000892A0000}"/>
    <cellStyle name="20% - Accent6 2 3 2 7" xfId="10543" xr:uid="{00000000-0005-0000-0000-00008A2A0000}"/>
    <cellStyle name="20% - Accent6 2 3 2 7 2" xfId="31023" xr:uid="{00000000-0005-0000-0000-00008B2A0000}"/>
    <cellStyle name="20% - Accent6 2 3 2 8" xfId="20783" xr:uid="{00000000-0005-0000-0000-00008C2A0000}"/>
    <cellStyle name="20% - Accent6 2 3 3" xfId="463" xr:uid="{00000000-0005-0000-0000-00008D2A0000}"/>
    <cellStyle name="20% - Accent6 2 3 3 2" xfId="1103" xr:uid="{00000000-0005-0000-0000-00008E2A0000}"/>
    <cellStyle name="20% - Accent6 2 3 3 2 2" xfId="2383" xr:uid="{00000000-0005-0000-0000-00008F2A0000}"/>
    <cellStyle name="20% - Accent6 2 3 3 2 2 2" xfId="4943" xr:uid="{00000000-0005-0000-0000-0000902A0000}"/>
    <cellStyle name="20% - Accent6 2 3 3 2 2 2 2" xfId="10063" xr:uid="{00000000-0005-0000-0000-0000912A0000}"/>
    <cellStyle name="20% - Accent6 2 3 3 2 2 2 2 2" xfId="20303" xr:uid="{00000000-0005-0000-0000-0000922A0000}"/>
    <cellStyle name="20% - Accent6 2 3 3 2 2 2 2 2 2" xfId="40783" xr:uid="{00000000-0005-0000-0000-0000932A0000}"/>
    <cellStyle name="20% - Accent6 2 3 3 2 2 2 2 3" xfId="30543" xr:uid="{00000000-0005-0000-0000-0000942A0000}"/>
    <cellStyle name="20% - Accent6 2 3 3 2 2 2 3" xfId="15183" xr:uid="{00000000-0005-0000-0000-0000952A0000}"/>
    <cellStyle name="20% - Accent6 2 3 3 2 2 2 3 2" xfId="35663" xr:uid="{00000000-0005-0000-0000-0000962A0000}"/>
    <cellStyle name="20% - Accent6 2 3 3 2 2 2 4" xfId="25423" xr:uid="{00000000-0005-0000-0000-0000972A0000}"/>
    <cellStyle name="20% - Accent6 2 3 3 2 2 3" xfId="7503" xr:uid="{00000000-0005-0000-0000-0000982A0000}"/>
    <cellStyle name="20% - Accent6 2 3 3 2 2 3 2" xfId="17743" xr:uid="{00000000-0005-0000-0000-0000992A0000}"/>
    <cellStyle name="20% - Accent6 2 3 3 2 2 3 2 2" xfId="38223" xr:uid="{00000000-0005-0000-0000-00009A2A0000}"/>
    <cellStyle name="20% - Accent6 2 3 3 2 2 3 3" xfId="27983" xr:uid="{00000000-0005-0000-0000-00009B2A0000}"/>
    <cellStyle name="20% - Accent6 2 3 3 2 2 4" xfId="12623" xr:uid="{00000000-0005-0000-0000-00009C2A0000}"/>
    <cellStyle name="20% - Accent6 2 3 3 2 2 4 2" xfId="33103" xr:uid="{00000000-0005-0000-0000-00009D2A0000}"/>
    <cellStyle name="20% - Accent6 2 3 3 2 2 5" xfId="22863" xr:uid="{00000000-0005-0000-0000-00009E2A0000}"/>
    <cellStyle name="20% - Accent6 2 3 3 2 3" xfId="3663" xr:uid="{00000000-0005-0000-0000-00009F2A0000}"/>
    <cellStyle name="20% - Accent6 2 3 3 2 3 2" xfId="8783" xr:uid="{00000000-0005-0000-0000-0000A02A0000}"/>
    <cellStyle name="20% - Accent6 2 3 3 2 3 2 2" xfId="19023" xr:uid="{00000000-0005-0000-0000-0000A12A0000}"/>
    <cellStyle name="20% - Accent6 2 3 3 2 3 2 2 2" xfId="39503" xr:uid="{00000000-0005-0000-0000-0000A22A0000}"/>
    <cellStyle name="20% - Accent6 2 3 3 2 3 2 3" xfId="29263" xr:uid="{00000000-0005-0000-0000-0000A32A0000}"/>
    <cellStyle name="20% - Accent6 2 3 3 2 3 3" xfId="13903" xr:uid="{00000000-0005-0000-0000-0000A42A0000}"/>
    <cellStyle name="20% - Accent6 2 3 3 2 3 3 2" xfId="34383" xr:uid="{00000000-0005-0000-0000-0000A52A0000}"/>
    <cellStyle name="20% - Accent6 2 3 3 2 3 4" xfId="24143" xr:uid="{00000000-0005-0000-0000-0000A62A0000}"/>
    <cellStyle name="20% - Accent6 2 3 3 2 4" xfId="6223" xr:uid="{00000000-0005-0000-0000-0000A72A0000}"/>
    <cellStyle name="20% - Accent6 2 3 3 2 4 2" xfId="16463" xr:uid="{00000000-0005-0000-0000-0000A82A0000}"/>
    <cellStyle name="20% - Accent6 2 3 3 2 4 2 2" xfId="36943" xr:uid="{00000000-0005-0000-0000-0000A92A0000}"/>
    <cellStyle name="20% - Accent6 2 3 3 2 4 3" xfId="26703" xr:uid="{00000000-0005-0000-0000-0000AA2A0000}"/>
    <cellStyle name="20% - Accent6 2 3 3 2 5" xfId="11343" xr:uid="{00000000-0005-0000-0000-0000AB2A0000}"/>
    <cellStyle name="20% - Accent6 2 3 3 2 5 2" xfId="31823" xr:uid="{00000000-0005-0000-0000-0000AC2A0000}"/>
    <cellStyle name="20% - Accent6 2 3 3 2 6" xfId="21583" xr:uid="{00000000-0005-0000-0000-0000AD2A0000}"/>
    <cellStyle name="20% - Accent6 2 3 3 3" xfId="1743" xr:uid="{00000000-0005-0000-0000-0000AE2A0000}"/>
    <cellStyle name="20% - Accent6 2 3 3 3 2" xfId="4303" xr:uid="{00000000-0005-0000-0000-0000AF2A0000}"/>
    <cellStyle name="20% - Accent6 2 3 3 3 2 2" xfId="9423" xr:uid="{00000000-0005-0000-0000-0000B02A0000}"/>
    <cellStyle name="20% - Accent6 2 3 3 3 2 2 2" xfId="19663" xr:uid="{00000000-0005-0000-0000-0000B12A0000}"/>
    <cellStyle name="20% - Accent6 2 3 3 3 2 2 2 2" xfId="40143" xr:uid="{00000000-0005-0000-0000-0000B22A0000}"/>
    <cellStyle name="20% - Accent6 2 3 3 3 2 2 3" xfId="29903" xr:uid="{00000000-0005-0000-0000-0000B32A0000}"/>
    <cellStyle name="20% - Accent6 2 3 3 3 2 3" xfId="14543" xr:uid="{00000000-0005-0000-0000-0000B42A0000}"/>
    <cellStyle name="20% - Accent6 2 3 3 3 2 3 2" xfId="35023" xr:uid="{00000000-0005-0000-0000-0000B52A0000}"/>
    <cellStyle name="20% - Accent6 2 3 3 3 2 4" xfId="24783" xr:uid="{00000000-0005-0000-0000-0000B62A0000}"/>
    <cellStyle name="20% - Accent6 2 3 3 3 3" xfId="6863" xr:uid="{00000000-0005-0000-0000-0000B72A0000}"/>
    <cellStyle name="20% - Accent6 2 3 3 3 3 2" xfId="17103" xr:uid="{00000000-0005-0000-0000-0000B82A0000}"/>
    <cellStyle name="20% - Accent6 2 3 3 3 3 2 2" xfId="37583" xr:uid="{00000000-0005-0000-0000-0000B92A0000}"/>
    <cellStyle name="20% - Accent6 2 3 3 3 3 3" xfId="27343" xr:uid="{00000000-0005-0000-0000-0000BA2A0000}"/>
    <cellStyle name="20% - Accent6 2 3 3 3 4" xfId="11983" xr:uid="{00000000-0005-0000-0000-0000BB2A0000}"/>
    <cellStyle name="20% - Accent6 2 3 3 3 4 2" xfId="32463" xr:uid="{00000000-0005-0000-0000-0000BC2A0000}"/>
    <cellStyle name="20% - Accent6 2 3 3 3 5" xfId="22223" xr:uid="{00000000-0005-0000-0000-0000BD2A0000}"/>
    <cellStyle name="20% - Accent6 2 3 3 4" xfId="3023" xr:uid="{00000000-0005-0000-0000-0000BE2A0000}"/>
    <cellStyle name="20% - Accent6 2 3 3 4 2" xfId="8143" xr:uid="{00000000-0005-0000-0000-0000BF2A0000}"/>
    <cellStyle name="20% - Accent6 2 3 3 4 2 2" xfId="18383" xr:uid="{00000000-0005-0000-0000-0000C02A0000}"/>
    <cellStyle name="20% - Accent6 2 3 3 4 2 2 2" xfId="38863" xr:uid="{00000000-0005-0000-0000-0000C12A0000}"/>
    <cellStyle name="20% - Accent6 2 3 3 4 2 3" xfId="28623" xr:uid="{00000000-0005-0000-0000-0000C22A0000}"/>
    <cellStyle name="20% - Accent6 2 3 3 4 3" xfId="13263" xr:uid="{00000000-0005-0000-0000-0000C32A0000}"/>
    <cellStyle name="20% - Accent6 2 3 3 4 3 2" xfId="33743" xr:uid="{00000000-0005-0000-0000-0000C42A0000}"/>
    <cellStyle name="20% - Accent6 2 3 3 4 4" xfId="23503" xr:uid="{00000000-0005-0000-0000-0000C52A0000}"/>
    <cellStyle name="20% - Accent6 2 3 3 5" xfId="5583" xr:uid="{00000000-0005-0000-0000-0000C62A0000}"/>
    <cellStyle name="20% - Accent6 2 3 3 5 2" xfId="15823" xr:uid="{00000000-0005-0000-0000-0000C72A0000}"/>
    <cellStyle name="20% - Accent6 2 3 3 5 2 2" xfId="36303" xr:uid="{00000000-0005-0000-0000-0000C82A0000}"/>
    <cellStyle name="20% - Accent6 2 3 3 5 3" xfId="26063" xr:uid="{00000000-0005-0000-0000-0000C92A0000}"/>
    <cellStyle name="20% - Accent6 2 3 3 6" xfId="10703" xr:uid="{00000000-0005-0000-0000-0000CA2A0000}"/>
    <cellStyle name="20% - Accent6 2 3 3 6 2" xfId="31183" xr:uid="{00000000-0005-0000-0000-0000CB2A0000}"/>
    <cellStyle name="20% - Accent6 2 3 3 7" xfId="20943" xr:uid="{00000000-0005-0000-0000-0000CC2A0000}"/>
    <cellStyle name="20% - Accent6 2 3 4" xfId="783" xr:uid="{00000000-0005-0000-0000-0000CD2A0000}"/>
    <cellStyle name="20% - Accent6 2 3 4 2" xfId="2063" xr:uid="{00000000-0005-0000-0000-0000CE2A0000}"/>
    <cellStyle name="20% - Accent6 2 3 4 2 2" xfId="4623" xr:uid="{00000000-0005-0000-0000-0000CF2A0000}"/>
    <cellStyle name="20% - Accent6 2 3 4 2 2 2" xfId="9743" xr:uid="{00000000-0005-0000-0000-0000D02A0000}"/>
    <cellStyle name="20% - Accent6 2 3 4 2 2 2 2" xfId="19983" xr:uid="{00000000-0005-0000-0000-0000D12A0000}"/>
    <cellStyle name="20% - Accent6 2 3 4 2 2 2 2 2" xfId="40463" xr:uid="{00000000-0005-0000-0000-0000D22A0000}"/>
    <cellStyle name="20% - Accent6 2 3 4 2 2 2 3" xfId="30223" xr:uid="{00000000-0005-0000-0000-0000D32A0000}"/>
    <cellStyle name="20% - Accent6 2 3 4 2 2 3" xfId="14863" xr:uid="{00000000-0005-0000-0000-0000D42A0000}"/>
    <cellStyle name="20% - Accent6 2 3 4 2 2 3 2" xfId="35343" xr:uid="{00000000-0005-0000-0000-0000D52A0000}"/>
    <cellStyle name="20% - Accent6 2 3 4 2 2 4" xfId="25103" xr:uid="{00000000-0005-0000-0000-0000D62A0000}"/>
    <cellStyle name="20% - Accent6 2 3 4 2 3" xfId="7183" xr:uid="{00000000-0005-0000-0000-0000D72A0000}"/>
    <cellStyle name="20% - Accent6 2 3 4 2 3 2" xfId="17423" xr:uid="{00000000-0005-0000-0000-0000D82A0000}"/>
    <cellStyle name="20% - Accent6 2 3 4 2 3 2 2" xfId="37903" xr:uid="{00000000-0005-0000-0000-0000D92A0000}"/>
    <cellStyle name="20% - Accent6 2 3 4 2 3 3" xfId="27663" xr:uid="{00000000-0005-0000-0000-0000DA2A0000}"/>
    <cellStyle name="20% - Accent6 2 3 4 2 4" xfId="12303" xr:uid="{00000000-0005-0000-0000-0000DB2A0000}"/>
    <cellStyle name="20% - Accent6 2 3 4 2 4 2" xfId="32783" xr:uid="{00000000-0005-0000-0000-0000DC2A0000}"/>
    <cellStyle name="20% - Accent6 2 3 4 2 5" xfId="22543" xr:uid="{00000000-0005-0000-0000-0000DD2A0000}"/>
    <cellStyle name="20% - Accent6 2 3 4 3" xfId="3343" xr:uid="{00000000-0005-0000-0000-0000DE2A0000}"/>
    <cellStyle name="20% - Accent6 2 3 4 3 2" xfId="8463" xr:uid="{00000000-0005-0000-0000-0000DF2A0000}"/>
    <cellStyle name="20% - Accent6 2 3 4 3 2 2" xfId="18703" xr:uid="{00000000-0005-0000-0000-0000E02A0000}"/>
    <cellStyle name="20% - Accent6 2 3 4 3 2 2 2" xfId="39183" xr:uid="{00000000-0005-0000-0000-0000E12A0000}"/>
    <cellStyle name="20% - Accent6 2 3 4 3 2 3" xfId="28943" xr:uid="{00000000-0005-0000-0000-0000E22A0000}"/>
    <cellStyle name="20% - Accent6 2 3 4 3 3" xfId="13583" xr:uid="{00000000-0005-0000-0000-0000E32A0000}"/>
    <cellStyle name="20% - Accent6 2 3 4 3 3 2" xfId="34063" xr:uid="{00000000-0005-0000-0000-0000E42A0000}"/>
    <cellStyle name="20% - Accent6 2 3 4 3 4" xfId="23823" xr:uid="{00000000-0005-0000-0000-0000E52A0000}"/>
    <cellStyle name="20% - Accent6 2 3 4 4" xfId="5903" xr:uid="{00000000-0005-0000-0000-0000E62A0000}"/>
    <cellStyle name="20% - Accent6 2 3 4 4 2" xfId="16143" xr:uid="{00000000-0005-0000-0000-0000E72A0000}"/>
    <cellStyle name="20% - Accent6 2 3 4 4 2 2" xfId="36623" xr:uid="{00000000-0005-0000-0000-0000E82A0000}"/>
    <cellStyle name="20% - Accent6 2 3 4 4 3" xfId="26383" xr:uid="{00000000-0005-0000-0000-0000E92A0000}"/>
    <cellStyle name="20% - Accent6 2 3 4 5" xfId="11023" xr:uid="{00000000-0005-0000-0000-0000EA2A0000}"/>
    <cellStyle name="20% - Accent6 2 3 4 5 2" xfId="31503" xr:uid="{00000000-0005-0000-0000-0000EB2A0000}"/>
    <cellStyle name="20% - Accent6 2 3 4 6" xfId="21263" xr:uid="{00000000-0005-0000-0000-0000EC2A0000}"/>
    <cellStyle name="20% - Accent6 2 3 5" xfId="1423" xr:uid="{00000000-0005-0000-0000-0000ED2A0000}"/>
    <cellStyle name="20% - Accent6 2 3 5 2" xfId="3983" xr:uid="{00000000-0005-0000-0000-0000EE2A0000}"/>
    <cellStyle name="20% - Accent6 2 3 5 2 2" xfId="9103" xr:uid="{00000000-0005-0000-0000-0000EF2A0000}"/>
    <cellStyle name="20% - Accent6 2 3 5 2 2 2" xfId="19343" xr:uid="{00000000-0005-0000-0000-0000F02A0000}"/>
    <cellStyle name="20% - Accent6 2 3 5 2 2 2 2" xfId="39823" xr:uid="{00000000-0005-0000-0000-0000F12A0000}"/>
    <cellStyle name="20% - Accent6 2 3 5 2 2 3" xfId="29583" xr:uid="{00000000-0005-0000-0000-0000F22A0000}"/>
    <cellStyle name="20% - Accent6 2 3 5 2 3" xfId="14223" xr:uid="{00000000-0005-0000-0000-0000F32A0000}"/>
    <cellStyle name="20% - Accent6 2 3 5 2 3 2" xfId="34703" xr:uid="{00000000-0005-0000-0000-0000F42A0000}"/>
    <cellStyle name="20% - Accent6 2 3 5 2 4" xfId="24463" xr:uid="{00000000-0005-0000-0000-0000F52A0000}"/>
    <cellStyle name="20% - Accent6 2 3 5 3" xfId="6543" xr:uid="{00000000-0005-0000-0000-0000F62A0000}"/>
    <cellStyle name="20% - Accent6 2 3 5 3 2" xfId="16783" xr:uid="{00000000-0005-0000-0000-0000F72A0000}"/>
    <cellStyle name="20% - Accent6 2 3 5 3 2 2" xfId="37263" xr:uid="{00000000-0005-0000-0000-0000F82A0000}"/>
    <cellStyle name="20% - Accent6 2 3 5 3 3" xfId="27023" xr:uid="{00000000-0005-0000-0000-0000F92A0000}"/>
    <cellStyle name="20% - Accent6 2 3 5 4" xfId="11663" xr:uid="{00000000-0005-0000-0000-0000FA2A0000}"/>
    <cellStyle name="20% - Accent6 2 3 5 4 2" xfId="32143" xr:uid="{00000000-0005-0000-0000-0000FB2A0000}"/>
    <cellStyle name="20% - Accent6 2 3 5 5" xfId="21903" xr:uid="{00000000-0005-0000-0000-0000FC2A0000}"/>
    <cellStyle name="20% - Accent6 2 3 6" xfId="2703" xr:uid="{00000000-0005-0000-0000-0000FD2A0000}"/>
    <cellStyle name="20% - Accent6 2 3 6 2" xfId="7823" xr:uid="{00000000-0005-0000-0000-0000FE2A0000}"/>
    <cellStyle name="20% - Accent6 2 3 6 2 2" xfId="18063" xr:uid="{00000000-0005-0000-0000-0000FF2A0000}"/>
    <cellStyle name="20% - Accent6 2 3 6 2 2 2" xfId="38543" xr:uid="{00000000-0005-0000-0000-0000002B0000}"/>
    <cellStyle name="20% - Accent6 2 3 6 2 3" xfId="28303" xr:uid="{00000000-0005-0000-0000-0000012B0000}"/>
    <cellStyle name="20% - Accent6 2 3 6 3" xfId="12943" xr:uid="{00000000-0005-0000-0000-0000022B0000}"/>
    <cellStyle name="20% - Accent6 2 3 6 3 2" xfId="33423" xr:uid="{00000000-0005-0000-0000-0000032B0000}"/>
    <cellStyle name="20% - Accent6 2 3 6 4" xfId="23183" xr:uid="{00000000-0005-0000-0000-0000042B0000}"/>
    <cellStyle name="20% - Accent6 2 3 7" xfId="5263" xr:uid="{00000000-0005-0000-0000-0000052B0000}"/>
    <cellStyle name="20% - Accent6 2 3 7 2" xfId="15503" xr:uid="{00000000-0005-0000-0000-0000062B0000}"/>
    <cellStyle name="20% - Accent6 2 3 7 2 2" xfId="35983" xr:uid="{00000000-0005-0000-0000-0000072B0000}"/>
    <cellStyle name="20% - Accent6 2 3 7 3" xfId="25743" xr:uid="{00000000-0005-0000-0000-0000082B0000}"/>
    <cellStyle name="20% - Accent6 2 3 8" xfId="10383" xr:uid="{00000000-0005-0000-0000-0000092B0000}"/>
    <cellStyle name="20% - Accent6 2 3 8 2" xfId="30863" xr:uid="{00000000-0005-0000-0000-00000A2B0000}"/>
    <cellStyle name="20% - Accent6 2 3 9" xfId="20623" xr:uid="{00000000-0005-0000-0000-00000B2B0000}"/>
    <cellStyle name="20% - Accent6 2 4" xfId="223" xr:uid="{00000000-0005-0000-0000-00000C2B0000}"/>
    <cellStyle name="20% - Accent6 2 4 2" xfId="543" xr:uid="{00000000-0005-0000-0000-00000D2B0000}"/>
    <cellStyle name="20% - Accent6 2 4 2 2" xfId="1183" xr:uid="{00000000-0005-0000-0000-00000E2B0000}"/>
    <cellStyle name="20% - Accent6 2 4 2 2 2" xfId="2463" xr:uid="{00000000-0005-0000-0000-00000F2B0000}"/>
    <cellStyle name="20% - Accent6 2 4 2 2 2 2" xfId="5023" xr:uid="{00000000-0005-0000-0000-0000102B0000}"/>
    <cellStyle name="20% - Accent6 2 4 2 2 2 2 2" xfId="10143" xr:uid="{00000000-0005-0000-0000-0000112B0000}"/>
    <cellStyle name="20% - Accent6 2 4 2 2 2 2 2 2" xfId="20383" xr:uid="{00000000-0005-0000-0000-0000122B0000}"/>
    <cellStyle name="20% - Accent6 2 4 2 2 2 2 2 2 2" xfId="40863" xr:uid="{00000000-0005-0000-0000-0000132B0000}"/>
    <cellStyle name="20% - Accent6 2 4 2 2 2 2 2 3" xfId="30623" xr:uid="{00000000-0005-0000-0000-0000142B0000}"/>
    <cellStyle name="20% - Accent6 2 4 2 2 2 2 3" xfId="15263" xr:uid="{00000000-0005-0000-0000-0000152B0000}"/>
    <cellStyle name="20% - Accent6 2 4 2 2 2 2 3 2" xfId="35743" xr:uid="{00000000-0005-0000-0000-0000162B0000}"/>
    <cellStyle name="20% - Accent6 2 4 2 2 2 2 4" xfId="25503" xr:uid="{00000000-0005-0000-0000-0000172B0000}"/>
    <cellStyle name="20% - Accent6 2 4 2 2 2 3" xfId="7583" xr:uid="{00000000-0005-0000-0000-0000182B0000}"/>
    <cellStyle name="20% - Accent6 2 4 2 2 2 3 2" xfId="17823" xr:uid="{00000000-0005-0000-0000-0000192B0000}"/>
    <cellStyle name="20% - Accent6 2 4 2 2 2 3 2 2" xfId="38303" xr:uid="{00000000-0005-0000-0000-00001A2B0000}"/>
    <cellStyle name="20% - Accent6 2 4 2 2 2 3 3" xfId="28063" xr:uid="{00000000-0005-0000-0000-00001B2B0000}"/>
    <cellStyle name="20% - Accent6 2 4 2 2 2 4" xfId="12703" xr:uid="{00000000-0005-0000-0000-00001C2B0000}"/>
    <cellStyle name="20% - Accent6 2 4 2 2 2 4 2" xfId="33183" xr:uid="{00000000-0005-0000-0000-00001D2B0000}"/>
    <cellStyle name="20% - Accent6 2 4 2 2 2 5" xfId="22943" xr:uid="{00000000-0005-0000-0000-00001E2B0000}"/>
    <cellStyle name="20% - Accent6 2 4 2 2 3" xfId="3743" xr:uid="{00000000-0005-0000-0000-00001F2B0000}"/>
    <cellStyle name="20% - Accent6 2 4 2 2 3 2" xfId="8863" xr:uid="{00000000-0005-0000-0000-0000202B0000}"/>
    <cellStyle name="20% - Accent6 2 4 2 2 3 2 2" xfId="19103" xr:uid="{00000000-0005-0000-0000-0000212B0000}"/>
    <cellStyle name="20% - Accent6 2 4 2 2 3 2 2 2" xfId="39583" xr:uid="{00000000-0005-0000-0000-0000222B0000}"/>
    <cellStyle name="20% - Accent6 2 4 2 2 3 2 3" xfId="29343" xr:uid="{00000000-0005-0000-0000-0000232B0000}"/>
    <cellStyle name="20% - Accent6 2 4 2 2 3 3" xfId="13983" xr:uid="{00000000-0005-0000-0000-0000242B0000}"/>
    <cellStyle name="20% - Accent6 2 4 2 2 3 3 2" xfId="34463" xr:uid="{00000000-0005-0000-0000-0000252B0000}"/>
    <cellStyle name="20% - Accent6 2 4 2 2 3 4" xfId="24223" xr:uid="{00000000-0005-0000-0000-0000262B0000}"/>
    <cellStyle name="20% - Accent6 2 4 2 2 4" xfId="6303" xr:uid="{00000000-0005-0000-0000-0000272B0000}"/>
    <cellStyle name="20% - Accent6 2 4 2 2 4 2" xfId="16543" xr:uid="{00000000-0005-0000-0000-0000282B0000}"/>
    <cellStyle name="20% - Accent6 2 4 2 2 4 2 2" xfId="37023" xr:uid="{00000000-0005-0000-0000-0000292B0000}"/>
    <cellStyle name="20% - Accent6 2 4 2 2 4 3" xfId="26783" xr:uid="{00000000-0005-0000-0000-00002A2B0000}"/>
    <cellStyle name="20% - Accent6 2 4 2 2 5" xfId="11423" xr:uid="{00000000-0005-0000-0000-00002B2B0000}"/>
    <cellStyle name="20% - Accent6 2 4 2 2 5 2" xfId="31903" xr:uid="{00000000-0005-0000-0000-00002C2B0000}"/>
    <cellStyle name="20% - Accent6 2 4 2 2 6" xfId="21663" xr:uid="{00000000-0005-0000-0000-00002D2B0000}"/>
    <cellStyle name="20% - Accent6 2 4 2 3" xfId="1823" xr:uid="{00000000-0005-0000-0000-00002E2B0000}"/>
    <cellStyle name="20% - Accent6 2 4 2 3 2" xfId="4383" xr:uid="{00000000-0005-0000-0000-00002F2B0000}"/>
    <cellStyle name="20% - Accent6 2 4 2 3 2 2" xfId="9503" xr:uid="{00000000-0005-0000-0000-0000302B0000}"/>
    <cellStyle name="20% - Accent6 2 4 2 3 2 2 2" xfId="19743" xr:uid="{00000000-0005-0000-0000-0000312B0000}"/>
    <cellStyle name="20% - Accent6 2 4 2 3 2 2 2 2" xfId="40223" xr:uid="{00000000-0005-0000-0000-0000322B0000}"/>
    <cellStyle name="20% - Accent6 2 4 2 3 2 2 3" xfId="29983" xr:uid="{00000000-0005-0000-0000-0000332B0000}"/>
    <cellStyle name="20% - Accent6 2 4 2 3 2 3" xfId="14623" xr:uid="{00000000-0005-0000-0000-0000342B0000}"/>
    <cellStyle name="20% - Accent6 2 4 2 3 2 3 2" xfId="35103" xr:uid="{00000000-0005-0000-0000-0000352B0000}"/>
    <cellStyle name="20% - Accent6 2 4 2 3 2 4" xfId="24863" xr:uid="{00000000-0005-0000-0000-0000362B0000}"/>
    <cellStyle name="20% - Accent6 2 4 2 3 3" xfId="6943" xr:uid="{00000000-0005-0000-0000-0000372B0000}"/>
    <cellStyle name="20% - Accent6 2 4 2 3 3 2" xfId="17183" xr:uid="{00000000-0005-0000-0000-0000382B0000}"/>
    <cellStyle name="20% - Accent6 2 4 2 3 3 2 2" xfId="37663" xr:uid="{00000000-0005-0000-0000-0000392B0000}"/>
    <cellStyle name="20% - Accent6 2 4 2 3 3 3" xfId="27423" xr:uid="{00000000-0005-0000-0000-00003A2B0000}"/>
    <cellStyle name="20% - Accent6 2 4 2 3 4" xfId="12063" xr:uid="{00000000-0005-0000-0000-00003B2B0000}"/>
    <cellStyle name="20% - Accent6 2 4 2 3 4 2" xfId="32543" xr:uid="{00000000-0005-0000-0000-00003C2B0000}"/>
    <cellStyle name="20% - Accent6 2 4 2 3 5" xfId="22303" xr:uid="{00000000-0005-0000-0000-00003D2B0000}"/>
    <cellStyle name="20% - Accent6 2 4 2 4" xfId="3103" xr:uid="{00000000-0005-0000-0000-00003E2B0000}"/>
    <cellStyle name="20% - Accent6 2 4 2 4 2" xfId="8223" xr:uid="{00000000-0005-0000-0000-00003F2B0000}"/>
    <cellStyle name="20% - Accent6 2 4 2 4 2 2" xfId="18463" xr:uid="{00000000-0005-0000-0000-0000402B0000}"/>
    <cellStyle name="20% - Accent6 2 4 2 4 2 2 2" xfId="38943" xr:uid="{00000000-0005-0000-0000-0000412B0000}"/>
    <cellStyle name="20% - Accent6 2 4 2 4 2 3" xfId="28703" xr:uid="{00000000-0005-0000-0000-0000422B0000}"/>
    <cellStyle name="20% - Accent6 2 4 2 4 3" xfId="13343" xr:uid="{00000000-0005-0000-0000-0000432B0000}"/>
    <cellStyle name="20% - Accent6 2 4 2 4 3 2" xfId="33823" xr:uid="{00000000-0005-0000-0000-0000442B0000}"/>
    <cellStyle name="20% - Accent6 2 4 2 4 4" xfId="23583" xr:uid="{00000000-0005-0000-0000-0000452B0000}"/>
    <cellStyle name="20% - Accent6 2 4 2 5" xfId="5663" xr:uid="{00000000-0005-0000-0000-0000462B0000}"/>
    <cellStyle name="20% - Accent6 2 4 2 5 2" xfId="15903" xr:uid="{00000000-0005-0000-0000-0000472B0000}"/>
    <cellStyle name="20% - Accent6 2 4 2 5 2 2" xfId="36383" xr:uid="{00000000-0005-0000-0000-0000482B0000}"/>
    <cellStyle name="20% - Accent6 2 4 2 5 3" xfId="26143" xr:uid="{00000000-0005-0000-0000-0000492B0000}"/>
    <cellStyle name="20% - Accent6 2 4 2 6" xfId="10783" xr:uid="{00000000-0005-0000-0000-00004A2B0000}"/>
    <cellStyle name="20% - Accent6 2 4 2 6 2" xfId="31263" xr:uid="{00000000-0005-0000-0000-00004B2B0000}"/>
    <cellStyle name="20% - Accent6 2 4 2 7" xfId="21023" xr:uid="{00000000-0005-0000-0000-00004C2B0000}"/>
    <cellStyle name="20% - Accent6 2 4 3" xfId="863" xr:uid="{00000000-0005-0000-0000-00004D2B0000}"/>
    <cellStyle name="20% - Accent6 2 4 3 2" xfId="2143" xr:uid="{00000000-0005-0000-0000-00004E2B0000}"/>
    <cellStyle name="20% - Accent6 2 4 3 2 2" xfId="4703" xr:uid="{00000000-0005-0000-0000-00004F2B0000}"/>
    <cellStyle name="20% - Accent6 2 4 3 2 2 2" xfId="9823" xr:uid="{00000000-0005-0000-0000-0000502B0000}"/>
    <cellStyle name="20% - Accent6 2 4 3 2 2 2 2" xfId="20063" xr:uid="{00000000-0005-0000-0000-0000512B0000}"/>
    <cellStyle name="20% - Accent6 2 4 3 2 2 2 2 2" xfId="40543" xr:uid="{00000000-0005-0000-0000-0000522B0000}"/>
    <cellStyle name="20% - Accent6 2 4 3 2 2 2 3" xfId="30303" xr:uid="{00000000-0005-0000-0000-0000532B0000}"/>
    <cellStyle name="20% - Accent6 2 4 3 2 2 3" xfId="14943" xr:uid="{00000000-0005-0000-0000-0000542B0000}"/>
    <cellStyle name="20% - Accent6 2 4 3 2 2 3 2" xfId="35423" xr:uid="{00000000-0005-0000-0000-0000552B0000}"/>
    <cellStyle name="20% - Accent6 2 4 3 2 2 4" xfId="25183" xr:uid="{00000000-0005-0000-0000-0000562B0000}"/>
    <cellStyle name="20% - Accent6 2 4 3 2 3" xfId="7263" xr:uid="{00000000-0005-0000-0000-0000572B0000}"/>
    <cellStyle name="20% - Accent6 2 4 3 2 3 2" xfId="17503" xr:uid="{00000000-0005-0000-0000-0000582B0000}"/>
    <cellStyle name="20% - Accent6 2 4 3 2 3 2 2" xfId="37983" xr:uid="{00000000-0005-0000-0000-0000592B0000}"/>
    <cellStyle name="20% - Accent6 2 4 3 2 3 3" xfId="27743" xr:uid="{00000000-0005-0000-0000-00005A2B0000}"/>
    <cellStyle name="20% - Accent6 2 4 3 2 4" xfId="12383" xr:uid="{00000000-0005-0000-0000-00005B2B0000}"/>
    <cellStyle name="20% - Accent6 2 4 3 2 4 2" xfId="32863" xr:uid="{00000000-0005-0000-0000-00005C2B0000}"/>
    <cellStyle name="20% - Accent6 2 4 3 2 5" xfId="22623" xr:uid="{00000000-0005-0000-0000-00005D2B0000}"/>
    <cellStyle name="20% - Accent6 2 4 3 3" xfId="3423" xr:uid="{00000000-0005-0000-0000-00005E2B0000}"/>
    <cellStyle name="20% - Accent6 2 4 3 3 2" xfId="8543" xr:uid="{00000000-0005-0000-0000-00005F2B0000}"/>
    <cellStyle name="20% - Accent6 2 4 3 3 2 2" xfId="18783" xr:uid="{00000000-0005-0000-0000-0000602B0000}"/>
    <cellStyle name="20% - Accent6 2 4 3 3 2 2 2" xfId="39263" xr:uid="{00000000-0005-0000-0000-0000612B0000}"/>
    <cellStyle name="20% - Accent6 2 4 3 3 2 3" xfId="29023" xr:uid="{00000000-0005-0000-0000-0000622B0000}"/>
    <cellStyle name="20% - Accent6 2 4 3 3 3" xfId="13663" xr:uid="{00000000-0005-0000-0000-0000632B0000}"/>
    <cellStyle name="20% - Accent6 2 4 3 3 3 2" xfId="34143" xr:uid="{00000000-0005-0000-0000-0000642B0000}"/>
    <cellStyle name="20% - Accent6 2 4 3 3 4" xfId="23903" xr:uid="{00000000-0005-0000-0000-0000652B0000}"/>
    <cellStyle name="20% - Accent6 2 4 3 4" xfId="5983" xr:uid="{00000000-0005-0000-0000-0000662B0000}"/>
    <cellStyle name="20% - Accent6 2 4 3 4 2" xfId="16223" xr:uid="{00000000-0005-0000-0000-0000672B0000}"/>
    <cellStyle name="20% - Accent6 2 4 3 4 2 2" xfId="36703" xr:uid="{00000000-0005-0000-0000-0000682B0000}"/>
    <cellStyle name="20% - Accent6 2 4 3 4 3" xfId="26463" xr:uid="{00000000-0005-0000-0000-0000692B0000}"/>
    <cellStyle name="20% - Accent6 2 4 3 5" xfId="11103" xr:uid="{00000000-0005-0000-0000-00006A2B0000}"/>
    <cellStyle name="20% - Accent6 2 4 3 5 2" xfId="31583" xr:uid="{00000000-0005-0000-0000-00006B2B0000}"/>
    <cellStyle name="20% - Accent6 2 4 3 6" xfId="21343" xr:uid="{00000000-0005-0000-0000-00006C2B0000}"/>
    <cellStyle name="20% - Accent6 2 4 4" xfId="1503" xr:uid="{00000000-0005-0000-0000-00006D2B0000}"/>
    <cellStyle name="20% - Accent6 2 4 4 2" xfId="4063" xr:uid="{00000000-0005-0000-0000-00006E2B0000}"/>
    <cellStyle name="20% - Accent6 2 4 4 2 2" xfId="9183" xr:uid="{00000000-0005-0000-0000-00006F2B0000}"/>
    <cellStyle name="20% - Accent6 2 4 4 2 2 2" xfId="19423" xr:uid="{00000000-0005-0000-0000-0000702B0000}"/>
    <cellStyle name="20% - Accent6 2 4 4 2 2 2 2" xfId="39903" xr:uid="{00000000-0005-0000-0000-0000712B0000}"/>
    <cellStyle name="20% - Accent6 2 4 4 2 2 3" xfId="29663" xr:uid="{00000000-0005-0000-0000-0000722B0000}"/>
    <cellStyle name="20% - Accent6 2 4 4 2 3" xfId="14303" xr:uid="{00000000-0005-0000-0000-0000732B0000}"/>
    <cellStyle name="20% - Accent6 2 4 4 2 3 2" xfId="34783" xr:uid="{00000000-0005-0000-0000-0000742B0000}"/>
    <cellStyle name="20% - Accent6 2 4 4 2 4" xfId="24543" xr:uid="{00000000-0005-0000-0000-0000752B0000}"/>
    <cellStyle name="20% - Accent6 2 4 4 3" xfId="6623" xr:uid="{00000000-0005-0000-0000-0000762B0000}"/>
    <cellStyle name="20% - Accent6 2 4 4 3 2" xfId="16863" xr:uid="{00000000-0005-0000-0000-0000772B0000}"/>
    <cellStyle name="20% - Accent6 2 4 4 3 2 2" xfId="37343" xr:uid="{00000000-0005-0000-0000-0000782B0000}"/>
    <cellStyle name="20% - Accent6 2 4 4 3 3" xfId="27103" xr:uid="{00000000-0005-0000-0000-0000792B0000}"/>
    <cellStyle name="20% - Accent6 2 4 4 4" xfId="11743" xr:uid="{00000000-0005-0000-0000-00007A2B0000}"/>
    <cellStyle name="20% - Accent6 2 4 4 4 2" xfId="32223" xr:uid="{00000000-0005-0000-0000-00007B2B0000}"/>
    <cellStyle name="20% - Accent6 2 4 4 5" xfId="21983" xr:uid="{00000000-0005-0000-0000-00007C2B0000}"/>
    <cellStyle name="20% - Accent6 2 4 5" xfId="2783" xr:uid="{00000000-0005-0000-0000-00007D2B0000}"/>
    <cellStyle name="20% - Accent6 2 4 5 2" xfId="7903" xr:uid="{00000000-0005-0000-0000-00007E2B0000}"/>
    <cellStyle name="20% - Accent6 2 4 5 2 2" xfId="18143" xr:uid="{00000000-0005-0000-0000-00007F2B0000}"/>
    <cellStyle name="20% - Accent6 2 4 5 2 2 2" xfId="38623" xr:uid="{00000000-0005-0000-0000-0000802B0000}"/>
    <cellStyle name="20% - Accent6 2 4 5 2 3" xfId="28383" xr:uid="{00000000-0005-0000-0000-0000812B0000}"/>
    <cellStyle name="20% - Accent6 2 4 5 3" xfId="13023" xr:uid="{00000000-0005-0000-0000-0000822B0000}"/>
    <cellStyle name="20% - Accent6 2 4 5 3 2" xfId="33503" xr:uid="{00000000-0005-0000-0000-0000832B0000}"/>
    <cellStyle name="20% - Accent6 2 4 5 4" xfId="23263" xr:uid="{00000000-0005-0000-0000-0000842B0000}"/>
    <cellStyle name="20% - Accent6 2 4 6" xfId="5343" xr:uid="{00000000-0005-0000-0000-0000852B0000}"/>
    <cellStyle name="20% - Accent6 2 4 6 2" xfId="15583" xr:uid="{00000000-0005-0000-0000-0000862B0000}"/>
    <cellStyle name="20% - Accent6 2 4 6 2 2" xfId="36063" xr:uid="{00000000-0005-0000-0000-0000872B0000}"/>
    <cellStyle name="20% - Accent6 2 4 6 3" xfId="25823" xr:uid="{00000000-0005-0000-0000-0000882B0000}"/>
    <cellStyle name="20% - Accent6 2 4 7" xfId="10463" xr:uid="{00000000-0005-0000-0000-0000892B0000}"/>
    <cellStyle name="20% - Accent6 2 4 7 2" xfId="30943" xr:uid="{00000000-0005-0000-0000-00008A2B0000}"/>
    <cellStyle name="20% - Accent6 2 4 8" xfId="20703" xr:uid="{00000000-0005-0000-0000-00008B2B0000}"/>
    <cellStyle name="20% - Accent6 2 5" xfId="383" xr:uid="{00000000-0005-0000-0000-00008C2B0000}"/>
    <cellStyle name="20% - Accent6 2 5 2" xfId="1023" xr:uid="{00000000-0005-0000-0000-00008D2B0000}"/>
    <cellStyle name="20% - Accent6 2 5 2 2" xfId="2303" xr:uid="{00000000-0005-0000-0000-00008E2B0000}"/>
    <cellStyle name="20% - Accent6 2 5 2 2 2" xfId="4863" xr:uid="{00000000-0005-0000-0000-00008F2B0000}"/>
    <cellStyle name="20% - Accent6 2 5 2 2 2 2" xfId="9983" xr:uid="{00000000-0005-0000-0000-0000902B0000}"/>
    <cellStyle name="20% - Accent6 2 5 2 2 2 2 2" xfId="20223" xr:uid="{00000000-0005-0000-0000-0000912B0000}"/>
    <cellStyle name="20% - Accent6 2 5 2 2 2 2 2 2" xfId="40703" xr:uid="{00000000-0005-0000-0000-0000922B0000}"/>
    <cellStyle name="20% - Accent6 2 5 2 2 2 2 3" xfId="30463" xr:uid="{00000000-0005-0000-0000-0000932B0000}"/>
    <cellStyle name="20% - Accent6 2 5 2 2 2 3" xfId="15103" xr:uid="{00000000-0005-0000-0000-0000942B0000}"/>
    <cellStyle name="20% - Accent6 2 5 2 2 2 3 2" xfId="35583" xr:uid="{00000000-0005-0000-0000-0000952B0000}"/>
    <cellStyle name="20% - Accent6 2 5 2 2 2 4" xfId="25343" xr:uid="{00000000-0005-0000-0000-0000962B0000}"/>
    <cellStyle name="20% - Accent6 2 5 2 2 3" xfId="7423" xr:uid="{00000000-0005-0000-0000-0000972B0000}"/>
    <cellStyle name="20% - Accent6 2 5 2 2 3 2" xfId="17663" xr:uid="{00000000-0005-0000-0000-0000982B0000}"/>
    <cellStyle name="20% - Accent6 2 5 2 2 3 2 2" xfId="38143" xr:uid="{00000000-0005-0000-0000-0000992B0000}"/>
    <cellStyle name="20% - Accent6 2 5 2 2 3 3" xfId="27903" xr:uid="{00000000-0005-0000-0000-00009A2B0000}"/>
    <cellStyle name="20% - Accent6 2 5 2 2 4" xfId="12543" xr:uid="{00000000-0005-0000-0000-00009B2B0000}"/>
    <cellStyle name="20% - Accent6 2 5 2 2 4 2" xfId="33023" xr:uid="{00000000-0005-0000-0000-00009C2B0000}"/>
    <cellStyle name="20% - Accent6 2 5 2 2 5" xfId="22783" xr:uid="{00000000-0005-0000-0000-00009D2B0000}"/>
    <cellStyle name="20% - Accent6 2 5 2 3" xfId="3583" xr:uid="{00000000-0005-0000-0000-00009E2B0000}"/>
    <cellStyle name="20% - Accent6 2 5 2 3 2" xfId="8703" xr:uid="{00000000-0005-0000-0000-00009F2B0000}"/>
    <cellStyle name="20% - Accent6 2 5 2 3 2 2" xfId="18943" xr:uid="{00000000-0005-0000-0000-0000A02B0000}"/>
    <cellStyle name="20% - Accent6 2 5 2 3 2 2 2" xfId="39423" xr:uid="{00000000-0005-0000-0000-0000A12B0000}"/>
    <cellStyle name="20% - Accent6 2 5 2 3 2 3" xfId="29183" xr:uid="{00000000-0005-0000-0000-0000A22B0000}"/>
    <cellStyle name="20% - Accent6 2 5 2 3 3" xfId="13823" xr:uid="{00000000-0005-0000-0000-0000A32B0000}"/>
    <cellStyle name="20% - Accent6 2 5 2 3 3 2" xfId="34303" xr:uid="{00000000-0005-0000-0000-0000A42B0000}"/>
    <cellStyle name="20% - Accent6 2 5 2 3 4" xfId="24063" xr:uid="{00000000-0005-0000-0000-0000A52B0000}"/>
    <cellStyle name="20% - Accent6 2 5 2 4" xfId="6143" xr:uid="{00000000-0005-0000-0000-0000A62B0000}"/>
    <cellStyle name="20% - Accent6 2 5 2 4 2" xfId="16383" xr:uid="{00000000-0005-0000-0000-0000A72B0000}"/>
    <cellStyle name="20% - Accent6 2 5 2 4 2 2" xfId="36863" xr:uid="{00000000-0005-0000-0000-0000A82B0000}"/>
    <cellStyle name="20% - Accent6 2 5 2 4 3" xfId="26623" xr:uid="{00000000-0005-0000-0000-0000A92B0000}"/>
    <cellStyle name="20% - Accent6 2 5 2 5" xfId="11263" xr:uid="{00000000-0005-0000-0000-0000AA2B0000}"/>
    <cellStyle name="20% - Accent6 2 5 2 5 2" xfId="31743" xr:uid="{00000000-0005-0000-0000-0000AB2B0000}"/>
    <cellStyle name="20% - Accent6 2 5 2 6" xfId="21503" xr:uid="{00000000-0005-0000-0000-0000AC2B0000}"/>
    <cellStyle name="20% - Accent6 2 5 3" xfId="1663" xr:uid="{00000000-0005-0000-0000-0000AD2B0000}"/>
    <cellStyle name="20% - Accent6 2 5 3 2" xfId="4223" xr:uid="{00000000-0005-0000-0000-0000AE2B0000}"/>
    <cellStyle name="20% - Accent6 2 5 3 2 2" xfId="9343" xr:uid="{00000000-0005-0000-0000-0000AF2B0000}"/>
    <cellStyle name="20% - Accent6 2 5 3 2 2 2" xfId="19583" xr:uid="{00000000-0005-0000-0000-0000B02B0000}"/>
    <cellStyle name="20% - Accent6 2 5 3 2 2 2 2" xfId="40063" xr:uid="{00000000-0005-0000-0000-0000B12B0000}"/>
    <cellStyle name="20% - Accent6 2 5 3 2 2 3" xfId="29823" xr:uid="{00000000-0005-0000-0000-0000B22B0000}"/>
    <cellStyle name="20% - Accent6 2 5 3 2 3" xfId="14463" xr:uid="{00000000-0005-0000-0000-0000B32B0000}"/>
    <cellStyle name="20% - Accent6 2 5 3 2 3 2" xfId="34943" xr:uid="{00000000-0005-0000-0000-0000B42B0000}"/>
    <cellStyle name="20% - Accent6 2 5 3 2 4" xfId="24703" xr:uid="{00000000-0005-0000-0000-0000B52B0000}"/>
    <cellStyle name="20% - Accent6 2 5 3 3" xfId="6783" xr:uid="{00000000-0005-0000-0000-0000B62B0000}"/>
    <cellStyle name="20% - Accent6 2 5 3 3 2" xfId="17023" xr:uid="{00000000-0005-0000-0000-0000B72B0000}"/>
    <cellStyle name="20% - Accent6 2 5 3 3 2 2" xfId="37503" xr:uid="{00000000-0005-0000-0000-0000B82B0000}"/>
    <cellStyle name="20% - Accent6 2 5 3 3 3" xfId="27263" xr:uid="{00000000-0005-0000-0000-0000B92B0000}"/>
    <cellStyle name="20% - Accent6 2 5 3 4" xfId="11903" xr:uid="{00000000-0005-0000-0000-0000BA2B0000}"/>
    <cellStyle name="20% - Accent6 2 5 3 4 2" xfId="32383" xr:uid="{00000000-0005-0000-0000-0000BB2B0000}"/>
    <cellStyle name="20% - Accent6 2 5 3 5" xfId="22143" xr:uid="{00000000-0005-0000-0000-0000BC2B0000}"/>
    <cellStyle name="20% - Accent6 2 5 4" xfId="2943" xr:uid="{00000000-0005-0000-0000-0000BD2B0000}"/>
    <cellStyle name="20% - Accent6 2 5 4 2" xfId="8063" xr:uid="{00000000-0005-0000-0000-0000BE2B0000}"/>
    <cellStyle name="20% - Accent6 2 5 4 2 2" xfId="18303" xr:uid="{00000000-0005-0000-0000-0000BF2B0000}"/>
    <cellStyle name="20% - Accent6 2 5 4 2 2 2" xfId="38783" xr:uid="{00000000-0005-0000-0000-0000C02B0000}"/>
    <cellStyle name="20% - Accent6 2 5 4 2 3" xfId="28543" xr:uid="{00000000-0005-0000-0000-0000C12B0000}"/>
    <cellStyle name="20% - Accent6 2 5 4 3" xfId="13183" xr:uid="{00000000-0005-0000-0000-0000C22B0000}"/>
    <cellStyle name="20% - Accent6 2 5 4 3 2" xfId="33663" xr:uid="{00000000-0005-0000-0000-0000C32B0000}"/>
    <cellStyle name="20% - Accent6 2 5 4 4" xfId="23423" xr:uid="{00000000-0005-0000-0000-0000C42B0000}"/>
    <cellStyle name="20% - Accent6 2 5 5" xfId="5503" xr:uid="{00000000-0005-0000-0000-0000C52B0000}"/>
    <cellStyle name="20% - Accent6 2 5 5 2" xfId="15743" xr:uid="{00000000-0005-0000-0000-0000C62B0000}"/>
    <cellStyle name="20% - Accent6 2 5 5 2 2" xfId="36223" xr:uid="{00000000-0005-0000-0000-0000C72B0000}"/>
    <cellStyle name="20% - Accent6 2 5 5 3" xfId="25983" xr:uid="{00000000-0005-0000-0000-0000C82B0000}"/>
    <cellStyle name="20% - Accent6 2 5 6" xfId="10623" xr:uid="{00000000-0005-0000-0000-0000C92B0000}"/>
    <cellStyle name="20% - Accent6 2 5 6 2" xfId="31103" xr:uid="{00000000-0005-0000-0000-0000CA2B0000}"/>
    <cellStyle name="20% - Accent6 2 5 7" xfId="20863" xr:uid="{00000000-0005-0000-0000-0000CB2B0000}"/>
    <cellStyle name="20% - Accent6 2 6" xfId="703" xr:uid="{00000000-0005-0000-0000-0000CC2B0000}"/>
    <cellStyle name="20% - Accent6 2 6 2" xfId="1983" xr:uid="{00000000-0005-0000-0000-0000CD2B0000}"/>
    <cellStyle name="20% - Accent6 2 6 2 2" xfId="4543" xr:uid="{00000000-0005-0000-0000-0000CE2B0000}"/>
    <cellStyle name="20% - Accent6 2 6 2 2 2" xfId="9663" xr:uid="{00000000-0005-0000-0000-0000CF2B0000}"/>
    <cellStyle name="20% - Accent6 2 6 2 2 2 2" xfId="19903" xr:uid="{00000000-0005-0000-0000-0000D02B0000}"/>
    <cellStyle name="20% - Accent6 2 6 2 2 2 2 2" xfId="40383" xr:uid="{00000000-0005-0000-0000-0000D12B0000}"/>
    <cellStyle name="20% - Accent6 2 6 2 2 2 3" xfId="30143" xr:uid="{00000000-0005-0000-0000-0000D22B0000}"/>
    <cellStyle name="20% - Accent6 2 6 2 2 3" xfId="14783" xr:uid="{00000000-0005-0000-0000-0000D32B0000}"/>
    <cellStyle name="20% - Accent6 2 6 2 2 3 2" xfId="35263" xr:uid="{00000000-0005-0000-0000-0000D42B0000}"/>
    <cellStyle name="20% - Accent6 2 6 2 2 4" xfId="25023" xr:uid="{00000000-0005-0000-0000-0000D52B0000}"/>
    <cellStyle name="20% - Accent6 2 6 2 3" xfId="7103" xr:uid="{00000000-0005-0000-0000-0000D62B0000}"/>
    <cellStyle name="20% - Accent6 2 6 2 3 2" xfId="17343" xr:uid="{00000000-0005-0000-0000-0000D72B0000}"/>
    <cellStyle name="20% - Accent6 2 6 2 3 2 2" xfId="37823" xr:uid="{00000000-0005-0000-0000-0000D82B0000}"/>
    <cellStyle name="20% - Accent6 2 6 2 3 3" xfId="27583" xr:uid="{00000000-0005-0000-0000-0000D92B0000}"/>
    <cellStyle name="20% - Accent6 2 6 2 4" xfId="12223" xr:uid="{00000000-0005-0000-0000-0000DA2B0000}"/>
    <cellStyle name="20% - Accent6 2 6 2 4 2" xfId="32703" xr:uid="{00000000-0005-0000-0000-0000DB2B0000}"/>
    <cellStyle name="20% - Accent6 2 6 2 5" xfId="22463" xr:uid="{00000000-0005-0000-0000-0000DC2B0000}"/>
    <cellStyle name="20% - Accent6 2 6 3" xfId="3263" xr:uid="{00000000-0005-0000-0000-0000DD2B0000}"/>
    <cellStyle name="20% - Accent6 2 6 3 2" xfId="8383" xr:uid="{00000000-0005-0000-0000-0000DE2B0000}"/>
    <cellStyle name="20% - Accent6 2 6 3 2 2" xfId="18623" xr:uid="{00000000-0005-0000-0000-0000DF2B0000}"/>
    <cellStyle name="20% - Accent6 2 6 3 2 2 2" xfId="39103" xr:uid="{00000000-0005-0000-0000-0000E02B0000}"/>
    <cellStyle name="20% - Accent6 2 6 3 2 3" xfId="28863" xr:uid="{00000000-0005-0000-0000-0000E12B0000}"/>
    <cellStyle name="20% - Accent6 2 6 3 3" xfId="13503" xr:uid="{00000000-0005-0000-0000-0000E22B0000}"/>
    <cellStyle name="20% - Accent6 2 6 3 3 2" xfId="33983" xr:uid="{00000000-0005-0000-0000-0000E32B0000}"/>
    <cellStyle name="20% - Accent6 2 6 3 4" xfId="23743" xr:uid="{00000000-0005-0000-0000-0000E42B0000}"/>
    <cellStyle name="20% - Accent6 2 6 4" xfId="5823" xr:uid="{00000000-0005-0000-0000-0000E52B0000}"/>
    <cellStyle name="20% - Accent6 2 6 4 2" xfId="16063" xr:uid="{00000000-0005-0000-0000-0000E62B0000}"/>
    <cellStyle name="20% - Accent6 2 6 4 2 2" xfId="36543" xr:uid="{00000000-0005-0000-0000-0000E72B0000}"/>
    <cellStyle name="20% - Accent6 2 6 4 3" xfId="26303" xr:uid="{00000000-0005-0000-0000-0000E82B0000}"/>
    <cellStyle name="20% - Accent6 2 6 5" xfId="10943" xr:uid="{00000000-0005-0000-0000-0000E92B0000}"/>
    <cellStyle name="20% - Accent6 2 6 5 2" xfId="31423" xr:uid="{00000000-0005-0000-0000-0000EA2B0000}"/>
    <cellStyle name="20% - Accent6 2 6 6" xfId="21183" xr:uid="{00000000-0005-0000-0000-0000EB2B0000}"/>
    <cellStyle name="20% - Accent6 2 7" xfId="1343" xr:uid="{00000000-0005-0000-0000-0000EC2B0000}"/>
    <cellStyle name="20% - Accent6 2 7 2" xfId="3903" xr:uid="{00000000-0005-0000-0000-0000ED2B0000}"/>
    <cellStyle name="20% - Accent6 2 7 2 2" xfId="9023" xr:uid="{00000000-0005-0000-0000-0000EE2B0000}"/>
    <cellStyle name="20% - Accent6 2 7 2 2 2" xfId="19263" xr:uid="{00000000-0005-0000-0000-0000EF2B0000}"/>
    <cellStyle name="20% - Accent6 2 7 2 2 2 2" xfId="39743" xr:uid="{00000000-0005-0000-0000-0000F02B0000}"/>
    <cellStyle name="20% - Accent6 2 7 2 2 3" xfId="29503" xr:uid="{00000000-0005-0000-0000-0000F12B0000}"/>
    <cellStyle name="20% - Accent6 2 7 2 3" xfId="14143" xr:uid="{00000000-0005-0000-0000-0000F22B0000}"/>
    <cellStyle name="20% - Accent6 2 7 2 3 2" xfId="34623" xr:uid="{00000000-0005-0000-0000-0000F32B0000}"/>
    <cellStyle name="20% - Accent6 2 7 2 4" xfId="24383" xr:uid="{00000000-0005-0000-0000-0000F42B0000}"/>
    <cellStyle name="20% - Accent6 2 7 3" xfId="6463" xr:uid="{00000000-0005-0000-0000-0000F52B0000}"/>
    <cellStyle name="20% - Accent6 2 7 3 2" xfId="16703" xr:uid="{00000000-0005-0000-0000-0000F62B0000}"/>
    <cellStyle name="20% - Accent6 2 7 3 2 2" xfId="37183" xr:uid="{00000000-0005-0000-0000-0000F72B0000}"/>
    <cellStyle name="20% - Accent6 2 7 3 3" xfId="26943" xr:uid="{00000000-0005-0000-0000-0000F82B0000}"/>
    <cellStyle name="20% - Accent6 2 7 4" xfId="11583" xr:uid="{00000000-0005-0000-0000-0000F92B0000}"/>
    <cellStyle name="20% - Accent6 2 7 4 2" xfId="32063" xr:uid="{00000000-0005-0000-0000-0000FA2B0000}"/>
    <cellStyle name="20% - Accent6 2 7 5" xfId="21823" xr:uid="{00000000-0005-0000-0000-0000FB2B0000}"/>
    <cellStyle name="20% - Accent6 2 8" xfId="2623" xr:uid="{00000000-0005-0000-0000-0000FC2B0000}"/>
    <cellStyle name="20% - Accent6 2 8 2" xfId="7743" xr:uid="{00000000-0005-0000-0000-0000FD2B0000}"/>
    <cellStyle name="20% - Accent6 2 8 2 2" xfId="17983" xr:uid="{00000000-0005-0000-0000-0000FE2B0000}"/>
    <cellStyle name="20% - Accent6 2 8 2 2 2" xfId="38463" xr:uid="{00000000-0005-0000-0000-0000FF2B0000}"/>
    <cellStyle name="20% - Accent6 2 8 2 3" xfId="28223" xr:uid="{00000000-0005-0000-0000-0000002C0000}"/>
    <cellStyle name="20% - Accent6 2 8 3" xfId="12863" xr:uid="{00000000-0005-0000-0000-0000012C0000}"/>
    <cellStyle name="20% - Accent6 2 8 3 2" xfId="33343" xr:uid="{00000000-0005-0000-0000-0000022C0000}"/>
    <cellStyle name="20% - Accent6 2 8 4" xfId="23103" xr:uid="{00000000-0005-0000-0000-0000032C0000}"/>
    <cellStyle name="20% - Accent6 2 9" xfId="5183" xr:uid="{00000000-0005-0000-0000-0000042C0000}"/>
    <cellStyle name="20% - Accent6 2 9 2" xfId="15423" xr:uid="{00000000-0005-0000-0000-0000052C0000}"/>
    <cellStyle name="20% - Accent6 2 9 2 2" xfId="35903" xr:uid="{00000000-0005-0000-0000-0000062C0000}"/>
    <cellStyle name="20% - Accent6 2 9 3" xfId="25663" xr:uid="{00000000-0005-0000-0000-0000072C0000}"/>
    <cellStyle name="20% - Accent6 3" xfId="83" xr:uid="{00000000-0005-0000-0000-0000082C0000}"/>
    <cellStyle name="20% - Accent6 3 10" xfId="20563" xr:uid="{00000000-0005-0000-0000-0000092C0000}"/>
    <cellStyle name="20% - Accent6 3 2" xfId="163" xr:uid="{00000000-0005-0000-0000-00000A2C0000}"/>
    <cellStyle name="20% - Accent6 3 2 2" xfId="323" xr:uid="{00000000-0005-0000-0000-00000B2C0000}"/>
    <cellStyle name="20% - Accent6 3 2 2 2" xfId="643" xr:uid="{00000000-0005-0000-0000-00000C2C0000}"/>
    <cellStyle name="20% - Accent6 3 2 2 2 2" xfId="1283" xr:uid="{00000000-0005-0000-0000-00000D2C0000}"/>
    <cellStyle name="20% - Accent6 3 2 2 2 2 2" xfId="2563" xr:uid="{00000000-0005-0000-0000-00000E2C0000}"/>
    <cellStyle name="20% - Accent6 3 2 2 2 2 2 2" xfId="5123" xr:uid="{00000000-0005-0000-0000-00000F2C0000}"/>
    <cellStyle name="20% - Accent6 3 2 2 2 2 2 2 2" xfId="10243" xr:uid="{00000000-0005-0000-0000-0000102C0000}"/>
    <cellStyle name="20% - Accent6 3 2 2 2 2 2 2 2 2" xfId="20483" xr:uid="{00000000-0005-0000-0000-0000112C0000}"/>
    <cellStyle name="20% - Accent6 3 2 2 2 2 2 2 2 2 2" xfId="40963" xr:uid="{00000000-0005-0000-0000-0000122C0000}"/>
    <cellStyle name="20% - Accent6 3 2 2 2 2 2 2 2 3" xfId="30723" xr:uid="{00000000-0005-0000-0000-0000132C0000}"/>
    <cellStyle name="20% - Accent6 3 2 2 2 2 2 2 3" xfId="15363" xr:uid="{00000000-0005-0000-0000-0000142C0000}"/>
    <cellStyle name="20% - Accent6 3 2 2 2 2 2 2 3 2" xfId="35843" xr:uid="{00000000-0005-0000-0000-0000152C0000}"/>
    <cellStyle name="20% - Accent6 3 2 2 2 2 2 2 4" xfId="25603" xr:uid="{00000000-0005-0000-0000-0000162C0000}"/>
    <cellStyle name="20% - Accent6 3 2 2 2 2 2 3" xfId="7683" xr:uid="{00000000-0005-0000-0000-0000172C0000}"/>
    <cellStyle name="20% - Accent6 3 2 2 2 2 2 3 2" xfId="17923" xr:uid="{00000000-0005-0000-0000-0000182C0000}"/>
    <cellStyle name="20% - Accent6 3 2 2 2 2 2 3 2 2" xfId="38403" xr:uid="{00000000-0005-0000-0000-0000192C0000}"/>
    <cellStyle name="20% - Accent6 3 2 2 2 2 2 3 3" xfId="28163" xr:uid="{00000000-0005-0000-0000-00001A2C0000}"/>
    <cellStyle name="20% - Accent6 3 2 2 2 2 2 4" xfId="12803" xr:uid="{00000000-0005-0000-0000-00001B2C0000}"/>
    <cellStyle name="20% - Accent6 3 2 2 2 2 2 4 2" xfId="33283" xr:uid="{00000000-0005-0000-0000-00001C2C0000}"/>
    <cellStyle name="20% - Accent6 3 2 2 2 2 2 5" xfId="23043" xr:uid="{00000000-0005-0000-0000-00001D2C0000}"/>
    <cellStyle name="20% - Accent6 3 2 2 2 2 3" xfId="3843" xr:uid="{00000000-0005-0000-0000-00001E2C0000}"/>
    <cellStyle name="20% - Accent6 3 2 2 2 2 3 2" xfId="8963" xr:uid="{00000000-0005-0000-0000-00001F2C0000}"/>
    <cellStyle name="20% - Accent6 3 2 2 2 2 3 2 2" xfId="19203" xr:uid="{00000000-0005-0000-0000-0000202C0000}"/>
    <cellStyle name="20% - Accent6 3 2 2 2 2 3 2 2 2" xfId="39683" xr:uid="{00000000-0005-0000-0000-0000212C0000}"/>
    <cellStyle name="20% - Accent6 3 2 2 2 2 3 2 3" xfId="29443" xr:uid="{00000000-0005-0000-0000-0000222C0000}"/>
    <cellStyle name="20% - Accent6 3 2 2 2 2 3 3" xfId="14083" xr:uid="{00000000-0005-0000-0000-0000232C0000}"/>
    <cellStyle name="20% - Accent6 3 2 2 2 2 3 3 2" xfId="34563" xr:uid="{00000000-0005-0000-0000-0000242C0000}"/>
    <cellStyle name="20% - Accent6 3 2 2 2 2 3 4" xfId="24323" xr:uid="{00000000-0005-0000-0000-0000252C0000}"/>
    <cellStyle name="20% - Accent6 3 2 2 2 2 4" xfId="6403" xr:uid="{00000000-0005-0000-0000-0000262C0000}"/>
    <cellStyle name="20% - Accent6 3 2 2 2 2 4 2" xfId="16643" xr:uid="{00000000-0005-0000-0000-0000272C0000}"/>
    <cellStyle name="20% - Accent6 3 2 2 2 2 4 2 2" xfId="37123" xr:uid="{00000000-0005-0000-0000-0000282C0000}"/>
    <cellStyle name="20% - Accent6 3 2 2 2 2 4 3" xfId="26883" xr:uid="{00000000-0005-0000-0000-0000292C0000}"/>
    <cellStyle name="20% - Accent6 3 2 2 2 2 5" xfId="11523" xr:uid="{00000000-0005-0000-0000-00002A2C0000}"/>
    <cellStyle name="20% - Accent6 3 2 2 2 2 5 2" xfId="32003" xr:uid="{00000000-0005-0000-0000-00002B2C0000}"/>
    <cellStyle name="20% - Accent6 3 2 2 2 2 6" xfId="21763" xr:uid="{00000000-0005-0000-0000-00002C2C0000}"/>
    <cellStyle name="20% - Accent6 3 2 2 2 3" xfId="1923" xr:uid="{00000000-0005-0000-0000-00002D2C0000}"/>
    <cellStyle name="20% - Accent6 3 2 2 2 3 2" xfId="4483" xr:uid="{00000000-0005-0000-0000-00002E2C0000}"/>
    <cellStyle name="20% - Accent6 3 2 2 2 3 2 2" xfId="9603" xr:uid="{00000000-0005-0000-0000-00002F2C0000}"/>
    <cellStyle name="20% - Accent6 3 2 2 2 3 2 2 2" xfId="19843" xr:uid="{00000000-0005-0000-0000-0000302C0000}"/>
    <cellStyle name="20% - Accent6 3 2 2 2 3 2 2 2 2" xfId="40323" xr:uid="{00000000-0005-0000-0000-0000312C0000}"/>
    <cellStyle name="20% - Accent6 3 2 2 2 3 2 2 3" xfId="30083" xr:uid="{00000000-0005-0000-0000-0000322C0000}"/>
    <cellStyle name="20% - Accent6 3 2 2 2 3 2 3" xfId="14723" xr:uid="{00000000-0005-0000-0000-0000332C0000}"/>
    <cellStyle name="20% - Accent6 3 2 2 2 3 2 3 2" xfId="35203" xr:uid="{00000000-0005-0000-0000-0000342C0000}"/>
    <cellStyle name="20% - Accent6 3 2 2 2 3 2 4" xfId="24963" xr:uid="{00000000-0005-0000-0000-0000352C0000}"/>
    <cellStyle name="20% - Accent6 3 2 2 2 3 3" xfId="7043" xr:uid="{00000000-0005-0000-0000-0000362C0000}"/>
    <cellStyle name="20% - Accent6 3 2 2 2 3 3 2" xfId="17283" xr:uid="{00000000-0005-0000-0000-0000372C0000}"/>
    <cellStyle name="20% - Accent6 3 2 2 2 3 3 2 2" xfId="37763" xr:uid="{00000000-0005-0000-0000-0000382C0000}"/>
    <cellStyle name="20% - Accent6 3 2 2 2 3 3 3" xfId="27523" xr:uid="{00000000-0005-0000-0000-0000392C0000}"/>
    <cellStyle name="20% - Accent6 3 2 2 2 3 4" xfId="12163" xr:uid="{00000000-0005-0000-0000-00003A2C0000}"/>
    <cellStyle name="20% - Accent6 3 2 2 2 3 4 2" xfId="32643" xr:uid="{00000000-0005-0000-0000-00003B2C0000}"/>
    <cellStyle name="20% - Accent6 3 2 2 2 3 5" xfId="22403" xr:uid="{00000000-0005-0000-0000-00003C2C0000}"/>
    <cellStyle name="20% - Accent6 3 2 2 2 4" xfId="3203" xr:uid="{00000000-0005-0000-0000-00003D2C0000}"/>
    <cellStyle name="20% - Accent6 3 2 2 2 4 2" xfId="8323" xr:uid="{00000000-0005-0000-0000-00003E2C0000}"/>
    <cellStyle name="20% - Accent6 3 2 2 2 4 2 2" xfId="18563" xr:uid="{00000000-0005-0000-0000-00003F2C0000}"/>
    <cellStyle name="20% - Accent6 3 2 2 2 4 2 2 2" xfId="39043" xr:uid="{00000000-0005-0000-0000-0000402C0000}"/>
    <cellStyle name="20% - Accent6 3 2 2 2 4 2 3" xfId="28803" xr:uid="{00000000-0005-0000-0000-0000412C0000}"/>
    <cellStyle name="20% - Accent6 3 2 2 2 4 3" xfId="13443" xr:uid="{00000000-0005-0000-0000-0000422C0000}"/>
    <cellStyle name="20% - Accent6 3 2 2 2 4 3 2" xfId="33923" xr:uid="{00000000-0005-0000-0000-0000432C0000}"/>
    <cellStyle name="20% - Accent6 3 2 2 2 4 4" xfId="23683" xr:uid="{00000000-0005-0000-0000-0000442C0000}"/>
    <cellStyle name="20% - Accent6 3 2 2 2 5" xfId="5763" xr:uid="{00000000-0005-0000-0000-0000452C0000}"/>
    <cellStyle name="20% - Accent6 3 2 2 2 5 2" xfId="16003" xr:uid="{00000000-0005-0000-0000-0000462C0000}"/>
    <cellStyle name="20% - Accent6 3 2 2 2 5 2 2" xfId="36483" xr:uid="{00000000-0005-0000-0000-0000472C0000}"/>
    <cellStyle name="20% - Accent6 3 2 2 2 5 3" xfId="26243" xr:uid="{00000000-0005-0000-0000-0000482C0000}"/>
    <cellStyle name="20% - Accent6 3 2 2 2 6" xfId="10883" xr:uid="{00000000-0005-0000-0000-0000492C0000}"/>
    <cellStyle name="20% - Accent6 3 2 2 2 6 2" xfId="31363" xr:uid="{00000000-0005-0000-0000-00004A2C0000}"/>
    <cellStyle name="20% - Accent6 3 2 2 2 7" xfId="21123" xr:uid="{00000000-0005-0000-0000-00004B2C0000}"/>
    <cellStyle name="20% - Accent6 3 2 2 3" xfId="963" xr:uid="{00000000-0005-0000-0000-00004C2C0000}"/>
    <cellStyle name="20% - Accent6 3 2 2 3 2" xfId="2243" xr:uid="{00000000-0005-0000-0000-00004D2C0000}"/>
    <cellStyle name="20% - Accent6 3 2 2 3 2 2" xfId="4803" xr:uid="{00000000-0005-0000-0000-00004E2C0000}"/>
    <cellStyle name="20% - Accent6 3 2 2 3 2 2 2" xfId="9923" xr:uid="{00000000-0005-0000-0000-00004F2C0000}"/>
    <cellStyle name="20% - Accent6 3 2 2 3 2 2 2 2" xfId="20163" xr:uid="{00000000-0005-0000-0000-0000502C0000}"/>
    <cellStyle name="20% - Accent6 3 2 2 3 2 2 2 2 2" xfId="40643" xr:uid="{00000000-0005-0000-0000-0000512C0000}"/>
    <cellStyle name="20% - Accent6 3 2 2 3 2 2 2 3" xfId="30403" xr:uid="{00000000-0005-0000-0000-0000522C0000}"/>
    <cellStyle name="20% - Accent6 3 2 2 3 2 2 3" xfId="15043" xr:uid="{00000000-0005-0000-0000-0000532C0000}"/>
    <cellStyle name="20% - Accent6 3 2 2 3 2 2 3 2" xfId="35523" xr:uid="{00000000-0005-0000-0000-0000542C0000}"/>
    <cellStyle name="20% - Accent6 3 2 2 3 2 2 4" xfId="25283" xr:uid="{00000000-0005-0000-0000-0000552C0000}"/>
    <cellStyle name="20% - Accent6 3 2 2 3 2 3" xfId="7363" xr:uid="{00000000-0005-0000-0000-0000562C0000}"/>
    <cellStyle name="20% - Accent6 3 2 2 3 2 3 2" xfId="17603" xr:uid="{00000000-0005-0000-0000-0000572C0000}"/>
    <cellStyle name="20% - Accent6 3 2 2 3 2 3 2 2" xfId="38083" xr:uid="{00000000-0005-0000-0000-0000582C0000}"/>
    <cellStyle name="20% - Accent6 3 2 2 3 2 3 3" xfId="27843" xr:uid="{00000000-0005-0000-0000-0000592C0000}"/>
    <cellStyle name="20% - Accent6 3 2 2 3 2 4" xfId="12483" xr:uid="{00000000-0005-0000-0000-00005A2C0000}"/>
    <cellStyle name="20% - Accent6 3 2 2 3 2 4 2" xfId="32963" xr:uid="{00000000-0005-0000-0000-00005B2C0000}"/>
    <cellStyle name="20% - Accent6 3 2 2 3 2 5" xfId="22723" xr:uid="{00000000-0005-0000-0000-00005C2C0000}"/>
    <cellStyle name="20% - Accent6 3 2 2 3 3" xfId="3523" xr:uid="{00000000-0005-0000-0000-00005D2C0000}"/>
    <cellStyle name="20% - Accent6 3 2 2 3 3 2" xfId="8643" xr:uid="{00000000-0005-0000-0000-00005E2C0000}"/>
    <cellStyle name="20% - Accent6 3 2 2 3 3 2 2" xfId="18883" xr:uid="{00000000-0005-0000-0000-00005F2C0000}"/>
    <cellStyle name="20% - Accent6 3 2 2 3 3 2 2 2" xfId="39363" xr:uid="{00000000-0005-0000-0000-0000602C0000}"/>
    <cellStyle name="20% - Accent6 3 2 2 3 3 2 3" xfId="29123" xr:uid="{00000000-0005-0000-0000-0000612C0000}"/>
    <cellStyle name="20% - Accent6 3 2 2 3 3 3" xfId="13763" xr:uid="{00000000-0005-0000-0000-0000622C0000}"/>
    <cellStyle name="20% - Accent6 3 2 2 3 3 3 2" xfId="34243" xr:uid="{00000000-0005-0000-0000-0000632C0000}"/>
    <cellStyle name="20% - Accent6 3 2 2 3 3 4" xfId="24003" xr:uid="{00000000-0005-0000-0000-0000642C0000}"/>
    <cellStyle name="20% - Accent6 3 2 2 3 4" xfId="6083" xr:uid="{00000000-0005-0000-0000-0000652C0000}"/>
    <cellStyle name="20% - Accent6 3 2 2 3 4 2" xfId="16323" xr:uid="{00000000-0005-0000-0000-0000662C0000}"/>
    <cellStyle name="20% - Accent6 3 2 2 3 4 2 2" xfId="36803" xr:uid="{00000000-0005-0000-0000-0000672C0000}"/>
    <cellStyle name="20% - Accent6 3 2 2 3 4 3" xfId="26563" xr:uid="{00000000-0005-0000-0000-0000682C0000}"/>
    <cellStyle name="20% - Accent6 3 2 2 3 5" xfId="11203" xr:uid="{00000000-0005-0000-0000-0000692C0000}"/>
    <cellStyle name="20% - Accent6 3 2 2 3 5 2" xfId="31683" xr:uid="{00000000-0005-0000-0000-00006A2C0000}"/>
    <cellStyle name="20% - Accent6 3 2 2 3 6" xfId="21443" xr:uid="{00000000-0005-0000-0000-00006B2C0000}"/>
    <cellStyle name="20% - Accent6 3 2 2 4" xfId="1603" xr:uid="{00000000-0005-0000-0000-00006C2C0000}"/>
    <cellStyle name="20% - Accent6 3 2 2 4 2" xfId="4163" xr:uid="{00000000-0005-0000-0000-00006D2C0000}"/>
    <cellStyle name="20% - Accent6 3 2 2 4 2 2" xfId="9283" xr:uid="{00000000-0005-0000-0000-00006E2C0000}"/>
    <cellStyle name="20% - Accent6 3 2 2 4 2 2 2" xfId="19523" xr:uid="{00000000-0005-0000-0000-00006F2C0000}"/>
    <cellStyle name="20% - Accent6 3 2 2 4 2 2 2 2" xfId="40003" xr:uid="{00000000-0005-0000-0000-0000702C0000}"/>
    <cellStyle name="20% - Accent6 3 2 2 4 2 2 3" xfId="29763" xr:uid="{00000000-0005-0000-0000-0000712C0000}"/>
    <cellStyle name="20% - Accent6 3 2 2 4 2 3" xfId="14403" xr:uid="{00000000-0005-0000-0000-0000722C0000}"/>
    <cellStyle name="20% - Accent6 3 2 2 4 2 3 2" xfId="34883" xr:uid="{00000000-0005-0000-0000-0000732C0000}"/>
    <cellStyle name="20% - Accent6 3 2 2 4 2 4" xfId="24643" xr:uid="{00000000-0005-0000-0000-0000742C0000}"/>
    <cellStyle name="20% - Accent6 3 2 2 4 3" xfId="6723" xr:uid="{00000000-0005-0000-0000-0000752C0000}"/>
    <cellStyle name="20% - Accent6 3 2 2 4 3 2" xfId="16963" xr:uid="{00000000-0005-0000-0000-0000762C0000}"/>
    <cellStyle name="20% - Accent6 3 2 2 4 3 2 2" xfId="37443" xr:uid="{00000000-0005-0000-0000-0000772C0000}"/>
    <cellStyle name="20% - Accent6 3 2 2 4 3 3" xfId="27203" xr:uid="{00000000-0005-0000-0000-0000782C0000}"/>
    <cellStyle name="20% - Accent6 3 2 2 4 4" xfId="11843" xr:uid="{00000000-0005-0000-0000-0000792C0000}"/>
    <cellStyle name="20% - Accent6 3 2 2 4 4 2" xfId="32323" xr:uid="{00000000-0005-0000-0000-00007A2C0000}"/>
    <cellStyle name="20% - Accent6 3 2 2 4 5" xfId="22083" xr:uid="{00000000-0005-0000-0000-00007B2C0000}"/>
    <cellStyle name="20% - Accent6 3 2 2 5" xfId="2883" xr:uid="{00000000-0005-0000-0000-00007C2C0000}"/>
    <cellStyle name="20% - Accent6 3 2 2 5 2" xfId="8003" xr:uid="{00000000-0005-0000-0000-00007D2C0000}"/>
    <cellStyle name="20% - Accent6 3 2 2 5 2 2" xfId="18243" xr:uid="{00000000-0005-0000-0000-00007E2C0000}"/>
    <cellStyle name="20% - Accent6 3 2 2 5 2 2 2" xfId="38723" xr:uid="{00000000-0005-0000-0000-00007F2C0000}"/>
    <cellStyle name="20% - Accent6 3 2 2 5 2 3" xfId="28483" xr:uid="{00000000-0005-0000-0000-0000802C0000}"/>
    <cellStyle name="20% - Accent6 3 2 2 5 3" xfId="13123" xr:uid="{00000000-0005-0000-0000-0000812C0000}"/>
    <cellStyle name="20% - Accent6 3 2 2 5 3 2" xfId="33603" xr:uid="{00000000-0005-0000-0000-0000822C0000}"/>
    <cellStyle name="20% - Accent6 3 2 2 5 4" xfId="23363" xr:uid="{00000000-0005-0000-0000-0000832C0000}"/>
    <cellStyle name="20% - Accent6 3 2 2 6" xfId="5443" xr:uid="{00000000-0005-0000-0000-0000842C0000}"/>
    <cellStyle name="20% - Accent6 3 2 2 6 2" xfId="15683" xr:uid="{00000000-0005-0000-0000-0000852C0000}"/>
    <cellStyle name="20% - Accent6 3 2 2 6 2 2" xfId="36163" xr:uid="{00000000-0005-0000-0000-0000862C0000}"/>
    <cellStyle name="20% - Accent6 3 2 2 6 3" xfId="25923" xr:uid="{00000000-0005-0000-0000-0000872C0000}"/>
    <cellStyle name="20% - Accent6 3 2 2 7" xfId="10563" xr:uid="{00000000-0005-0000-0000-0000882C0000}"/>
    <cellStyle name="20% - Accent6 3 2 2 7 2" xfId="31043" xr:uid="{00000000-0005-0000-0000-0000892C0000}"/>
    <cellStyle name="20% - Accent6 3 2 2 8" xfId="20803" xr:uid="{00000000-0005-0000-0000-00008A2C0000}"/>
    <cellStyle name="20% - Accent6 3 2 3" xfId="483" xr:uid="{00000000-0005-0000-0000-00008B2C0000}"/>
    <cellStyle name="20% - Accent6 3 2 3 2" xfId="1123" xr:uid="{00000000-0005-0000-0000-00008C2C0000}"/>
    <cellStyle name="20% - Accent6 3 2 3 2 2" xfId="2403" xr:uid="{00000000-0005-0000-0000-00008D2C0000}"/>
    <cellStyle name="20% - Accent6 3 2 3 2 2 2" xfId="4963" xr:uid="{00000000-0005-0000-0000-00008E2C0000}"/>
    <cellStyle name="20% - Accent6 3 2 3 2 2 2 2" xfId="10083" xr:uid="{00000000-0005-0000-0000-00008F2C0000}"/>
    <cellStyle name="20% - Accent6 3 2 3 2 2 2 2 2" xfId="20323" xr:uid="{00000000-0005-0000-0000-0000902C0000}"/>
    <cellStyle name="20% - Accent6 3 2 3 2 2 2 2 2 2" xfId="40803" xr:uid="{00000000-0005-0000-0000-0000912C0000}"/>
    <cellStyle name="20% - Accent6 3 2 3 2 2 2 2 3" xfId="30563" xr:uid="{00000000-0005-0000-0000-0000922C0000}"/>
    <cellStyle name="20% - Accent6 3 2 3 2 2 2 3" xfId="15203" xr:uid="{00000000-0005-0000-0000-0000932C0000}"/>
    <cellStyle name="20% - Accent6 3 2 3 2 2 2 3 2" xfId="35683" xr:uid="{00000000-0005-0000-0000-0000942C0000}"/>
    <cellStyle name="20% - Accent6 3 2 3 2 2 2 4" xfId="25443" xr:uid="{00000000-0005-0000-0000-0000952C0000}"/>
    <cellStyle name="20% - Accent6 3 2 3 2 2 3" xfId="7523" xr:uid="{00000000-0005-0000-0000-0000962C0000}"/>
    <cellStyle name="20% - Accent6 3 2 3 2 2 3 2" xfId="17763" xr:uid="{00000000-0005-0000-0000-0000972C0000}"/>
    <cellStyle name="20% - Accent6 3 2 3 2 2 3 2 2" xfId="38243" xr:uid="{00000000-0005-0000-0000-0000982C0000}"/>
    <cellStyle name="20% - Accent6 3 2 3 2 2 3 3" xfId="28003" xr:uid="{00000000-0005-0000-0000-0000992C0000}"/>
    <cellStyle name="20% - Accent6 3 2 3 2 2 4" xfId="12643" xr:uid="{00000000-0005-0000-0000-00009A2C0000}"/>
    <cellStyle name="20% - Accent6 3 2 3 2 2 4 2" xfId="33123" xr:uid="{00000000-0005-0000-0000-00009B2C0000}"/>
    <cellStyle name="20% - Accent6 3 2 3 2 2 5" xfId="22883" xr:uid="{00000000-0005-0000-0000-00009C2C0000}"/>
    <cellStyle name="20% - Accent6 3 2 3 2 3" xfId="3683" xr:uid="{00000000-0005-0000-0000-00009D2C0000}"/>
    <cellStyle name="20% - Accent6 3 2 3 2 3 2" xfId="8803" xr:uid="{00000000-0005-0000-0000-00009E2C0000}"/>
    <cellStyle name="20% - Accent6 3 2 3 2 3 2 2" xfId="19043" xr:uid="{00000000-0005-0000-0000-00009F2C0000}"/>
    <cellStyle name="20% - Accent6 3 2 3 2 3 2 2 2" xfId="39523" xr:uid="{00000000-0005-0000-0000-0000A02C0000}"/>
    <cellStyle name="20% - Accent6 3 2 3 2 3 2 3" xfId="29283" xr:uid="{00000000-0005-0000-0000-0000A12C0000}"/>
    <cellStyle name="20% - Accent6 3 2 3 2 3 3" xfId="13923" xr:uid="{00000000-0005-0000-0000-0000A22C0000}"/>
    <cellStyle name="20% - Accent6 3 2 3 2 3 3 2" xfId="34403" xr:uid="{00000000-0005-0000-0000-0000A32C0000}"/>
    <cellStyle name="20% - Accent6 3 2 3 2 3 4" xfId="24163" xr:uid="{00000000-0005-0000-0000-0000A42C0000}"/>
    <cellStyle name="20% - Accent6 3 2 3 2 4" xfId="6243" xr:uid="{00000000-0005-0000-0000-0000A52C0000}"/>
    <cellStyle name="20% - Accent6 3 2 3 2 4 2" xfId="16483" xr:uid="{00000000-0005-0000-0000-0000A62C0000}"/>
    <cellStyle name="20% - Accent6 3 2 3 2 4 2 2" xfId="36963" xr:uid="{00000000-0005-0000-0000-0000A72C0000}"/>
    <cellStyle name="20% - Accent6 3 2 3 2 4 3" xfId="26723" xr:uid="{00000000-0005-0000-0000-0000A82C0000}"/>
    <cellStyle name="20% - Accent6 3 2 3 2 5" xfId="11363" xr:uid="{00000000-0005-0000-0000-0000A92C0000}"/>
    <cellStyle name="20% - Accent6 3 2 3 2 5 2" xfId="31843" xr:uid="{00000000-0005-0000-0000-0000AA2C0000}"/>
    <cellStyle name="20% - Accent6 3 2 3 2 6" xfId="21603" xr:uid="{00000000-0005-0000-0000-0000AB2C0000}"/>
    <cellStyle name="20% - Accent6 3 2 3 3" xfId="1763" xr:uid="{00000000-0005-0000-0000-0000AC2C0000}"/>
    <cellStyle name="20% - Accent6 3 2 3 3 2" xfId="4323" xr:uid="{00000000-0005-0000-0000-0000AD2C0000}"/>
    <cellStyle name="20% - Accent6 3 2 3 3 2 2" xfId="9443" xr:uid="{00000000-0005-0000-0000-0000AE2C0000}"/>
    <cellStyle name="20% - Accent6 3 2 3 3 2 2 2" xfId="19683" xr:uid="{00000000-0005-0000-0000-0000AF2C0000}"/>
    <cellStyle name="20% - Accent6 3 2 3 3 2 2 2 2" xfId="40163" xr:uid="{00000000-0005-0000-0000-0000B02C0000}"/>
    <cellStyle name="20% - Accent6 3 2 3 3 2 2 3" xfId="29923" xr:uid="{00000000-0005-0000-0000-0000B12C0000}"/>
    <cellStyle name="20% - Accent6 3 2 3 3 2 3" xfId="14563" xr:uid="{00000000-0005-0000-0000-0000B22C0000}"/>
    <cellStyle name="20% - Accent6 3 2 3 3 2 3 2" xfId="35043" xr:uid="{00000000-0005-0000-0000-0000B32C0000}"/>
    <cellStyle name="20% - Accent6 3 2 3 3 2 4" xfId="24803" xr:uid="{00000000-0005-0000-0000-0000B42C0000}"/>
    <cellStyle name="20% - Accent6 3 2 3 3 3" xfId="6883" xr:uid="{00000000-0005-0000-0000-0000B52C0000}"/>
    <cellStyle name="20% - Accent6 3 2 3 3 3 2" xfId="17123" xr:uid="{00000000-0005-0000-0000-0000B62C0000}"/>
    <cellStyle name="20% - Accent6 3 2 3 3 3 2 2" xfId="37603" xr:uid="{00000000-0005-0000-0000-0000B72C0000}"/>
    <cellStyle name="20% - Accent6 3 2 3 3 3 3" xfId="27363" xr:uid="{00000000-0005-0000-0000-0000B82C0000}"/>
    <cellStyle name="20% - Accent6 3 2 3 3 4" xfId="12003" xr:uid="{00000000-0005-0000-0000-0000B92C0000}"/>
    <cellStyle name="20% - Accent6 3 2 3 3 4 2" xfId="32483" xr:uid="{00000000-0005-0000-0000-0000BA2C0000}"/>
    <cellStyle name="20% - Accent6 3 2 3 3 5" xfId="22243" xr:uid="{00000000-0005-0000-0000-0000BB2C0000}"/>
    <cellStyle name="20% - Accent6 3 2 3 4" xfId="3043" xr:uid="{00000000-0005-0000-0000-0000BC2C0000}"/>
    <cellStyle name="20% - Accent6 3 2 3 4 2" xfId="8163" xr:uid="{00000000-0005-0000-0000-0000BD2C0000}"/>
    <cellStyle name="20% - Accent6 3 2 3 4 2 2" xfId="18403" xr:uid="{00000000-0005-0000-0000-0000BE2C0000}"/>
    <cellStyle name="20% - Accent6 3 2 3 4 2 2 2" xfId="38883" xr:uid="{00000000-0005-0000-0000-0000BF2C0000}"/>
    <cellStyle name="20% - Accent6 3 2 3 4 2 3" xfId="28643" xr:uid="{00000000-0005-0000-0000-0000C02C0000}"/>
    <cellStyle name="20% - Accent6 3 2 3 4 3" xfId="13283" xr:uid="{00000000-0005-0000-0000-0000C12C0000}"/>
    <cellStyle name="20% - Accent6 3 2 3 4 3 2" xfId="33763" xr:uid="{00000000-0005-0000-0000-0000C22C0000}"/>
    <cellStyle name="20% - Accent6 3 2 3 4 4" xfId="23523" xr:uid="{00000000-0005-0000-0000-0000C32C0000}"/>
    <cellStyle name="20% - Accent6 3 2 3 5" xfId="5603" xr:uid="{00000000-0005-0000-0000-0000C42C0000}"/>
    <cellStyle name="20% - Accent6 3 2 3 5 2" xfId="15843" xr:uid="{00000000-0005-0000-0000-0000C52C0000}"/>
    <cellStyle name="20% - Accent6 3 2 3 5 2 2" xfId="36323" xr:uid="{00000000-0005-0000-0000-0000C62C0000}"/>
    <cellStyle name="20% - Accent6 3 2 3 5 3" xfId="26083" xr:uid="{00000000-0005-0000-0000-0000C72C0000}"/>
    <cellStyle name="20% - Accent6 3 2 3 6" xfId="10723" xr:uid="{00000000-0005-0000-0000-0000C82C0000}"/>
    <cellStyle name="20% - Accent6 3 2 3 6 2" xfId="31203" xr:uid="{00000000-0005-0000-0000-0000C92C0000}"/>
    <cellStyle name="20% - Accent6 3 2 3 7" xfId="20963" xr:uid="{00000000-0005-0000-0000-0000CA2C0000}"/>
    <cellStyle name="20% - Accent6 3 2 4" xfId="803" xr:uid="{00000000-0005-0000-0000-0000CB2C0000}"/>
    <cellStyle name="20% - Accent6 3 2 4 2" xfId="2083" xr:uid="{00000000-0005-0000-0000-0000CC2C0000}"/>
    <cellStyle name="20% - Accent6 3 2 4 2 2" xfId="4643" xr:uid="{00000000-0005-0000-0000-0000CD2C0000}"/>
    <cellStyle name="20% - Accent6 3 2 4 2 2 2" xfId="9763" xr:uid="{00000000-0005-0000-0000-0000CE2C0000}"/>
    <cellStyle name="20% - Accent6 3 2 4 2 2 2 2" xfId="20003" xr:uid="{00000000-0005-0000-0000-0000CF2C0000}"/>
    <cellStyle name="20% - Accent6 3 2 4 2 2 2 2 2" xfId="40483" xr:uid="{00000000-0005-0000-0000-0000D02C0000}"/>
    <cellStyle name="20% - Accent6 3 2 4 2 2 2 3" xfId="30243" xr:uid="{00000000-0005-0000-0000-0000D12C0000}"/>
    <cellStyle name="20% - Accent6 3 2 4 2 2 3" xfId="14883" xr:uid="{00000000-0005-0000-0000-0000D22C0000}"/>
    <cellStyle name="20% - Accent6 3 2 4 2 2 3 2" xfId="35363" xr:uid="{00000000-0005-0000-0000-0000D32C0000}"/>
    <cellStyle name="20% - Accent6 3 2 4 2 2 4" xfId="25123" xr:uid="{00000000-0005-0000-0000-0000D42C0000}"/>
    <cellStyle name="20% - Accent6 3 2 4 2 3" xfId="7203" xr:uid="{00000000-0005-0000-0000-0000D52C0000}"/>
    <cellStyle name="20% - Accent6 3 2 4 2 3 2" xfId="17443" xr:uid="{00000000-0005-0000-0000-0000D62C0000}"/>
    <cellStyle name="20% - Accent6 3 2 4 2 3 2 2" xfId="37923" xr:uid="{00000000-0005-0000-0000-0000D72C0000}"/>
    <cellStyle name="20% - Accent6 3 2 4 2 3 3" xfId="27683" xr:uid="{00000000-0005-0000-0000-0000D82C0000}"/>
    <cellStyle name="20% - Accent6 3 2 4 2 4" xfId="12323" xr:uid="{00000000-0005-0000-0000-0000D92C0000}"/>
    <cellStyle name="20% - Accent6 3 2 4 2 4 2" xfId="32803" xr:uid="{00000000-0005-0000-0000-0000DA2C0000}"/>
    <cellStyle name="20% - Accent6 3 2 4 2 5" xfId="22563" xr:uid="{00000000-0005-0000-0000-0000DB2C0000}"/>
    <cellStyle name="20% - Accent6 3 2 4 3" xfId="3363" xr:uid="{00000000-0005-0000-0000-0000DC2C0000}"/>
    <cellStyle name="20% - Accent6 3 2 4 3 2" xfId="8483" xr:uid="{00000000-0005-0000-0000-0000DD2C0000}"/>
    <cellStyle name="20% - Accent6 3 2 4 3 2 2" xfId="18723" xr:uid="{00000000-0005-0000-0000-0000DE2C0000}"/>
    <cellStyle name="20% - Accent6 3 2 4 3 2 2 2" xfId="39203" xr:uid="{00000000-0005-0000-0000-0000DF2C0000}"/>
    <cellStyle name="20% - Accent6 3 2 4 3 2 3" xfId="28963" xr:uid="{00000000-0005-0000-0000-0000E02C0000}"/>
    <cellStyle name="20% - Accent6 3 2 4 3 3" xfId="13603" xr:uid="{00000000-0005-0000-0000-0000E12C0000}"/>
    <cellStyle name="20% - Accent6 3 2 4 3 3 2" xfId="34083" xr:uid="{00000000-0005-0000-0000-0000E22C0000}"/>
    <cellStyle name="20% - Accent6 3 2 4 3 4" xfId="23843" xr:uid="{00000000-0005-0000-0000-0000E32C0000}"/>
    <cellStyle name="20% - Accent6 3 2 4 4" xfId="5923" xr:uid="{00000000-0005-0000-0000-0000E42C0000}"/>
    <cellStyle name="20% - Accent6 3 2 4 4 2" xfId="16163" xr:uid="{00000000-0005-0000-0000-0000E52C0000}"/>
    <cellStyle name="20% - Accent6 3 2 4 4 2 2" xfId="36643" xr:uid="{00000000-0005-0000-0000-0000E62C0000}"/>
    <cellStyle name="20% - Accent6 3 2 4 4 3" xfId="26403" xr:uid="{00000000-0005-0000-0000-0000E72C0000}"/>
    <cellStyle name="20% - Accent6 3 2 4 5" xfId="11043" xr:uid="{00000000-0005-0000-0000-0000E82C0000}"/>
    <cellStyle name="20% - Accent6 3 2 4 5 2" xfId="31523" xr:uid="{00000000-0005-0000-0000-0000E92C0000}"/>
    <cellStyle name="20% - Accent6 3 2 4 6" xfId="21283" xr:uid="{00000000-0005-0000-0000-0000EA2C0000}"/>
    <cellStyle name="20% - Accent6 3 2 5" xfId="1443" xr:uid="{00000000-0005-0000-0000-0000EB2C0000}"/>
    <cellStyle name="20% - Accent6 3 2 5 2" xfId="4003" xr:uid="{00000000-0005-0000-0000-0000EC2C0000}"/>
    <cellStyle name="20% - Accent6 3 2 5 2 2" xfId="9123" xr:uid="{00000000-0005-0000-0000-0000ED2C0000}"/>
    <cellStyle name="20% - Accent6 3 2 5 2 2 2" xfId="19363" xr:uid="{00000000-0005-0000-0000-0000EE2C0000}"/>
    <cellStyle name="20% - Accent6 3 2 5 2 2 2 2" xfId="39843" xr:uid="{00000000-0005-0000-0000-0000EF2C0000}"/>
    <cellStyle name="20% - Accent6 3 2 5 2 2 3" xfId="29603" xr:uid="{00000000-0005-0000-0000-0000F02C0000}"/>
    <cellStyle name="20% - Accent6 3 2 5 2 3" xfId="14243" xr:uid="{00000000-0005-0000-0000-0000F12C0000}"/>
    <cellStyle name="20% - Accent6 3 2 5 2 3 2" xfId="34723" xr:uid="{00000000-0005-0000-0000-0000F22C0000}"/>
    <cellStyle name="20% - Accent6 3 2 5 2 4" xfId="24483" xr:uid="{00000000-0005-0000-0000-0000F32C0000}"/>
    <cellStyle name="20% - Accent6 3 2 5 3" xfId="6563" xr:uid="{00000000-0005-0000-0000-0000F42C0000}"/>
    <cellStyle name="20% - Accent6 3 2 5 3 2" xfId="16803" xr:uid="{00000000-0005-0000-0000-0000F52C0000}"/>
    <cellStyle name="20% - Accent6 3 2 5 3 2 2" xfId="37283" xr:uid="{00000000-0005-0000-0000-0000F62C0000}"/>
    <cellStyle name="20% - Accent6 3 2 5 3 3" xfId="27043" xr:uid="{00000000-0005-0000-0000-0000F72C0000}"/>
    <cellStyle name="20% - Accent6 3 2 5 4" xfId="11683" xr:uid="{00000000-0005-0000-0000-0000F82C0000}"/>
    <cellStyle name="20% - Accent6 3 2 5 4 2" xfId="32163" xr:uid="{00000000-0005-0000-0000-0000F92C0000}"/>
    <cellStyle name="20% - Accent6 3 2 5 5" xfId="21923" xr:uid="{00000000-0005-0000-0000-0000FA2C0000}"/>
    <cellStyle name="20% - Accent6 3 2 6" xfId="2723" xr:uid="{00000000-0005-0000-0000-0000FB2C0000}"/>
    <cellStyle name="20% - Accent6 3 2 6 2" xfId="7843" xr:uid="{00000000-0005-0000-0000-0000FC2C0000}"/>
    <cellStyle name="20% - Accent6 3 2 6 2 2" xfId="18083" xr:uid="{00000000-0005-0000-0000-0000FD2C0000}"/>
    <cellStyle name="20% - Accent6 3 2 6 2 2 2" xfId="38563" xr:uid="{00000000-0005-0000-0000-0000FE2C0000}"/>
    <cellStyle name="20% - Accent6 3 2 6 2 3" xfId="28323" xr:uid="{00000000-0005-0000-0000-0000FF2C0000}"/>
    <cellStyle name="20% - Accent6 3 2 6 3" xfId="12963" xr:uid="{00000000-0005-0000-0000-0000002D0000}"/>
    <cellStyle name="20% - Accent6 3 2 6 3 2" xfId="33443" xr:uid="{00000000-0005-0000-0000-0000012D0000}"/>
    <cellStyle name="20% - Accent6 3 2 6 4" xfId="23203" xr:uid="{00000000-0005-0000-0000-0000022D0000}"/>
    <cellStyle name="20% - Accent6 3 2 7" xfId="5283" xr:uid="{00000000-0005-0000-0000-0000032D0000}"/>
    <cellStyle name="20% - Accent6 3 2 7 2" xfId="15523" xr:uid="{00000000-0005-0000-0000-0000042D0000}"/>
    <cellStyle name="20% - Accent6 3 2 7 2 2" xfId="36003" xr:uid="{00000000-0005-0000-0000-0000052D0000}"/>
    <cellStyle name="20% - Accent6 3 2 7 3" xfId="25763" xr:uid="{00000000-0005-0000-0000-0000062D0000}"/>
    <cellStyle name="20% - Accent6 3 2 8" xfId="10403" xr:uid="{00000000-0005-0000-0000-0000072D0000}"/>
    <cellStyle name="20% - Accent6 3 2 8 2" xfId="30883" xr:uid="{00000000-0005-0000-0000-0000082D0000}"/>
    <cellStyle name="20% - Accent6 3 2 9" xfId="20643" xr:uid="{00000000-0005-0000-0000-0000092D0000}"/>
    <cellStyle name="20% - Accent6 3 3" xfId="243" xr:uid="{00000000-0005-0000-0000-00000A2D0000}"/>
    <cellStyle name="20% - Accent6 3 3 2" xfId="563" xr:uid="{00000000-0005-0000-0000-00000B2D0000}"/>
    <cellStyle name="20% - Accent6 3 3 2 2" xfId="1203" xr:uid="{00000000-0005-0000-0000-00000C2D0000}"/>
    <cellStyle name="20% - Accent6 3 3 2 2 2" xfId="2483" xr:uid="{00000000-0005-0000-0000-00000D2D0000}"/>
    <cellStyle name="20% - Accent6 3 3 2 2 2 2" xfId="5043" xr:uid="{00000000-0005-0000-0000-00000E2D0000}"/>
    <cellStyle name="20% - Accent6 3 3 2 2 2 2 2" xfId="10163" xr:uid="{00000000-0005-0000-0000-00000F2D0000}"/>
    <cellStyle name="20% - Accent6 3 3 2 2 2 2 2 2" xfId="20403" xr:uid="{00000000-0005-0000-0000-0000102D0000}"/>
    <cellStyle name="20% - Accent6 3 3 2 2 2 2 2 2 2" xfId="40883" xr:uid="{00000000-0005-0000-0000-0000112D0000}"/>
    <cellStyle name="20% - Accent6 3 3 2 2 2 2 2 3" xfId="30643" xr:uid="{00000000-0005-0000-0000-0000122D0000}"/>
    <cellStyle name="20% - Accent6 3 3 2 2 2 2 3" xfId="15283" xr:uid="{00000000-0005-0000-0000-0000132D0000}"/>
    <cellStyle name="20% - Accent6 3 3 2 2 2 2 3 2" xfId="35763" xr:uid="{00000000-0005-0000-0000-0000142D0000}"/>
    <cellStyle name="20% - Accent6 3 3 2 2 2 2 4" xfId="25523" xr:uid="{00000000-0005-0000-0000-0000152D0000}"/>
    <cellStyle name="20% - Accent6 3 3 2 2 2 3" xfId="7603" xr:uid="{00000000-0005-0000-0000-0000162D0000}"/>
    <cellStyle name="20% - Accent6 3 3 2 2 2 3 2" xfId="17843" xr:uid="{00000000-0005-0000-0000-0000172D0000}"/>
    <cellStyle name="20% - Accent6 3 3 2 2 2 3 2 2" xfId="38323" xr:uid="{00000000-0005-0000-0000-0000182D0000}"/>
    <cellStyle name="20% - Accent6 3 3 2 2 2 3 3" xfId="28083" xr:uid="{00000000-0005-0000-0000-0000192D0000}"/>
    <cellStyle name="20% - Accent6 3 3 2 2 2 4" xfId="12723" xr:uid="{00000000-0005-0000-0000-00001A2D0000}"/>
    <cellStyle name="20% - Accent6 3 3 2 2 2 4 2" xfId="33203" xr:uid="{00000000-0005-0000-0000-00001B2D0000}"/>
    <cellStyle name="20% - Accent6 3 3 2 2 2 5" xfId="22963" xr:uid="{00000000-0005-0000-0000-00001C2D0000}"/>
    <cellStyle name="20% - Accent6 3 3 2 2 3" xfId="3763" xr:uid="{00000000-0005-0000-0000-00001D2D0000}"/>
    <cellStyle name="20% - Accent6 3 3 2 2 3 2" xfId="8883" xr:uid="{00000000-0005-0000-0000-00001E2D0000}"/>
    <cellStyle name="20% - Accent6 3 3 2 2 3 2 2" xfId="19123" xr:uid="{00000000-0005-0000-0000-00001F2D0000}"/>
    <cellStyle name="20% - Accent6 3 3 2 2 3 2 2 2" xfId="39603" xr:uid="{00000000-0005-0000-0000-0000202D0000}"/>
    <cellStyle name="20% - Accent6 3 3 2 2 3 2 3" xfId="29363" xr:uid="{00000000-0005-0000-0000-0000212D0000}"/>
    <cellStyle name="20% - Accent6 3 3 2 2 3 3" xfId="14003" xr:uid="{00000000-0005-0000-0000-0000222D0000}"/>
    <cellStyle name="20% - Accent6 3 3 2 2 3 3 2" xfId="34483" xr:uid="{00000000-0005-0000-0000-0000232D0000}"/>
    <cellStyle name="20% - Accent6 3 3 2 2 3 4" xfId="24243" xr:uid="{00000000-0005-0000-0000-0000242D0000}"/>
    <cellStyle name="20% - Accent6 3 3 2 2 4" xfId="6323" xr:uid="{00000000-0005-0000-0000-0000252D0000}"/>
    <cellStyle name="20% - Accent6 3 3 2 2 4 2" xfId="16563" xr:uid="{00000000-0005-0000-0000-0000262D0000}"/>
    <cellStyle name="20% - Accent6 3 3 2 2 4 2 2" xfId="37043" xr:uid="{00000000-0005-0000-0000-0000272D0000}"/>
    <cellStyle name="20% - Accent6 3 3 2 2 4 3" xfId="26803" xr:uid="{00000000-0005-0000-0000-0000282D0000}"/>
    <cellStyle name="20% - Accent6 3 3 2 2 5" xfId="11443" xr:uid="{00000000-0005-0000-0000-0000292D0000}"/>
    <cellStyle name="20% - Accent6 3 3 2 2 5 2" xfId="31923" xr:uid="{00000000-0005-0000-0000-00002A2D0000}"/>
    <cellStyle name="20% - Accent6 3 3 2 2 6" xfId="21683" xr:uid="{00000000-0005-0000-0000-00002B2D0000}"/>
    <cellStyle name="20% - Accent6 3 3 2 3" xfId="1843" xr:uid="{00000000-0005-0000-0000-00002C2D0000}"/>
    <cellStyle name="20% - Accent6 3 3 2 3 2" xfId="4403" xr:uid="{00000000-0005-0000-0000-00002D2D0000}"/>
    <cellStyle name="20% - Accent6 3 3 2 3 2 2" xfId="9523" xr:uid="{00000000-0005-0000-0000-00002E2D0000}"/>
    <cellStyle name="20% - Accent6 3 3 2 3 2 2 2" xfId="19763" xr:uid="{00000000-0005-0000-0000-00002F2D0000}"/>
    <cellStyle name="20% - Accent6 3 3 2 3 2 2 2 2" xfId="40243" xr:uid="{00000000-0005-0000-0000-0000302D0000}"/>
    <cellStyle name="20% - Accent6 3 3 2 3 2 2 3" xfId="30003" xr:uid="{00000000-0005-0000-0000-0000312D0000}"/>
    <cellStyle name="20% - Accent6 3 3 2 3 2 3" xfId="14643" xr:uid="{00000000-0005-0000-0000-0000322D0000}"/>
    <cellStyle name="20% - Accent6 3 3 2 3 2 3 2" xfId="35123" xr:uid="{00000000-0005-0000-0000-0000332D0000}"/>
    <cellStyle name="20% - Accent6 3 3 2 3 2 4" xfId="24883" xr:uid="{00000000-0005-0000-0000-0000342D0000}"/>
    <cellStyle name="20% - Accent6 3 3 2 3 3" xfId="6963" xr:uid="{00000000-0005-0000-0000-0000352D0000}"/>
    <cellStyle name="20% - Accent6 3 3 2 3 3 2" xfId="17203" xr:uid="{00000000-0005-0000-0000-0000362D0000}"/>
    <cellStyle name="20% - Accent6 3 3 2 3 3 2 2" xfId="37683" xr:uid="{00000000-0005-0000-0000-0000372D0000}"/>
    <cellStyle name="20% - Accent6 3 3 2 3 3 3" xfId="27443" xr:uid="{00000000-0005-0000-0000-0000382D0000}"/>
    <cellStyle name="20% - Accent6 3 3 2 3 4" xfId="12083" xr:uid="{00000000-0005-0000-0000-0000392D0000}"/>
    <cellStyle name="20% - Accent6 3 3 2 3 4 2" xfId="32563" xr:uid="{00000000-0005-0000-0000-00003A2D0000}"/>
    <cellStyle name="20% - Accent6 3 3 2 3 5" xfId="22323" xr:uid="{00000000-0005-0000-0000-00003B2D0000}"/>
    <cellStyle name="20% - Accent6 3 3 2 4" xfId="3123" xr:uid="{00000000-0005-0000-0000-00003C2D0000}"/>
    <cellStyle name="20% - Accent6 3 3 2 4 2" xfId="8243" xr:uid="{00000000-0005-0000-0000-00003D2D0000}"/>
    <cellStyle name="20% - Accent6 3 3 2 4 2 2" xfId="18483" xr:uid="{00000000-0005-0000-0000-00003E2D0000}"/>
    <cellStyle name="20% - Accent6 3 3 2 4 2 2 2" xfId="38963" xr:uid="{00000000-0005-0000-0000-00003F2D0000}"/>
    <cellStyle name="20% - Accent6 3 3 2 4 2 3" xfId="28723" xr:uid="{00000000-0005-0000-0000-0000402D0000}"/>
    <cellStyle name="20% - Accent6 3 3 2 4 3" xfId="13363" xr:uid="{00000000-0005-0000-0000-0000412D0000}"/>
    <cellStyle name="20% - Accent6 3 3 2 4 3 2" xfId="33843" xr:uid="{00000000-0005-0000-0000-0000422D0000}"/>
    <cellStyle name="20% - Accent6 3 3 2 4 4" xfId="23603" xr:uid="{00000000-0005-0000-0000-0000432D0000}"/>
    <cellStyle name="20% - Accent6 3 3 2 5" xfId="5683" xr:uid="{00000000-0005-0000-0000-0000442D0000}"/>
    <cellStyle name="20% - Accent6 3 3 2 5 2" xfId="15923" xr:uid="{00000000-0005-0000-0000-0000452D0000}"/>
    <cellStyle name="20% - Accent6 3 3 2 5 2 2" xfId="36403" xr:uid="{00000000-0005-0000-0000-0000462D0000}"/>
    <cellStyle name="20% - Accent6 3 3 2 5 3" xfId="26163" xr:uid="{00000000-0005-0000-0000-0000472D0000}"/>
    <cellStyle name="20% - Accent6 3 3 2 6" xfId="10803" xr:uid="{00000000-0005-0000-0000-0000482D0000}"/>
    <cellStyle name="20% - Accent6 3 3 2 6 2" xfId="31283" xr:uid="{00000000-0005-0000-0000-0000492D0000}"/>
    <cellStyle name="20% - Accent6 3 3 2 7" xfId="21043" xr:uid="{00000000-0005-0000-0000-00004A2D0000}"/>
    <cellStyle name="20% - Accent6 3 3 3" xfId="883" xr:uid="{00000000-0005-0000-0000-00004B2D0000}"/>
    <cellStyle name="20% - Accent6 3 3 3 2" xfId="2163" xr:uid="{00000000-0005-0000-0000-00004C2D0000}"/>
    <cellStyle name="20% - Accent6 3 3 3 2 2" xfId="4723" xr:uid="{00000000-0005-0000-0000-00004D2D0000}"/>
    <cellStyle name="20% - Accent6 3 3 3 2 2 2" xfId="9843" xr:uid="{00000000-0005-0000-0000-00004E2D0000}"/>
    <cellStyle name="20% - Accent6 3 3 3 2 2 2 2" xfId="20083" xr:uid="{00000000-0005-0000-0000-00004F2D0000}"/>
    <cellStyle name="20% - Accent6 3 3 3 2 2 2 2 2" xfId="40563" xr:uid="{00000000-0005-0000-0000-0000502D0000}"/>
    <cellStyle name="20% - Accent6 3 3 3 2 2 2 3" xfId="30323" xr:uid="{00000000-0005-0000-0000-0000512D0000}"/>
    <cellStyle name="20% - Accent6 3 3 3 2 2 3" xfId="14963" xr:uid="{00000000-0005-0000-0000-0000522D0000}"/>
    <cellStyle name="20% - Accent6 3 3 3 2 2 3 2" xfId="35443" xr:uid="{00000000-0005-0000-0000-0000532D0000}"/>
    <cellStyle name="20% - Accent6 3 3 3 2 2 4" xfId="25203" xr:uid="{00000000-0005-0000-0000-0000542D0000}"/>
    <cellStyle name="20% - Accent6 3 3 3 2 3" xfId="7283" xr:uid="{00000000-0005-0000-0000-0000552D0000}"/>
    <cellStyle name="20% - Accent6 3 3 3 2 3 2" xfId="17523" xr:uid="{00000000-0005-0000-0000-0000562D0000}"/>
    <cellStyle name="20% - Accent6 3 3 3 2 3 2 2" xfId="38003" xr:uid="{00000000-0005-0000-0000-0000572D0000}"/>
    <cellStyle name="20% - Accent6 3 3 3 2 3 3" xfId="27763" xr:uid="{00000000-0005-0000-0000-0000582D0000}"/>
    <cellStyle name="20% - Accent6 3 3 3 2 4" xfId="12403" xr:uid="{00000000-0005-0000-0000-0000592D0000}"/>
    <cellStyle name="20% - Accent6 3 3 3 2 4 2" xfId="32883" xr:uid="{00000000-0005-0000-0000-00005A2D0000}"/>
    <cellStyle name="20% - Accent6 3 3 3 2 5" xfId="22643" xr:uid="{00000000-0005-0000-0000-00005B2D0000}"/>
    <cellStyle name="20% - Accent6 3 3 3 3" xfId="3443" xr:uid="{00000000-0005-0000-0000-00005C2D0000}"/>
    <cellStyle name="20% - Accent6 3 3 3 3 2" xfId="8563" xr:uid="{00000000-0005-0000-0000-00005D2D0000}"/>
    <cellStyle name="20% - Accent6 3 3 3 3 2 2" xfId="18803" xr:uid="{00000000-0005-0000-0000-00005E2D0000}"/>
    <cellStyle name="20% - Accent6 3 3 3 3 2 2 2" xfId="39283" xr:uid="{00000000-0005-0000-0000-00005F2D0000}"/>
    <cellStyle name="20% - Accent6 3 3 3 3 2 3" xfId="29043" xr:uid="{00000000-0005-0000-0000-0000602D0000}"/>
    <cellStyle name="20% - Accent6 3 3 3 3 3" xfId="13683" xr:uid="{00000000-0005-0000-0000-0000612D0000}"/>
    <cellStyle name="20% - Accent6 3 3 3 3 3 2" xfId="34163" xr:uid="{00000000-0005-0000-0000-0000622D0000}"/>
    <cellStyle name="20% - Accent6 3 3 3 3 4" xfId="23923" xr:uid="{00000000-0005-0000-0000-0000632D0000}"/>
    <cellStyle name="20% - Accent6 3 3 3 4" xfId="6003" xr:uid="{00000000-0005-0000-0000-0000642D0000}"/>
    <cellStyle name="20% - Accent6 3 3 3 4 2" xfId="16243" xr:uid="{00000000-0005-0000-0000-0000652D0000}"/>
    <cellStyle name="20% - Accent6 3 3 3 4 2 2" xfId="36723" xr:uid="{00000000-0005-0000-0000-0000662D0000}"/>
    <cellStyle name="20% - Accent6 3 3 3 4 3" xfId="26483" xr:uid="{00000000-0005-0000-0000-0000672D0000}"/>
    <cellStyle name="20% - Accent6 3 3 3 5" xfId="11123" xr:uid="{00000000-0005-0000-0000-0000682D0000}"/>
    <cellStyle name="20% - Accent6 3 3 3 5 2" xfId="31603" xr:uid="{00000000-0005-0000-0000-0000692D0000}"/>
    <cellStyle name="20% - Accent6 3 3 3 6" xfId="21363" xr:uid="{00000000-0005-0000-0000-00006A2D0000}"/>
    <cellStyle name="20% - Accent6 3 3 4" xfId="1523" xr:uid="{00000000-0005-0000-0000-00006B2D0000}"/>
    <cellStyle name="20% - Accent6 3 3 4 2" xfId="4083" xr:uid="{00000000-0005-0000-0000-00006C2D0000}"/>
    <cellStyle name="20% - Accent6 3 3 4 2 2" xfId="9203" xr:uid="{00000000-0005-0000-0000-00006D2D0000}"/>
    <cellStyle name="20% - Accent6 3 3 4 2 2 2" xfId="19443" xr:uid="{00000000-0005-0000-0000-00006E2D0000}"/>
    <cellStyle name="20% - Accent6 3 3 4 2 2 2 2" xfId="39923" xr:uid="{00000000-0005-0000-0000-00006F2D0000}"/>
    <cellStyle name="20% - Accent6 3 3 4 2 2 3" xfId="29683" xr:uid="{00000000-0005-0000-0000-0000702D0000}"/>
    <cellStyle name="20% - Accent6 3 3 4 2 3" xfId="14323" xr:uid="{00000000-0005-0000-0000-0000712D0000}"/>
    <cellStyle name="20% - Accent6 3 3 4 2 3 2" xfId="34803" xr:uid="{00000000-0005-0000-0000-0000722D0000}"/>
    <cellStyle name="20% - Accent6 3 3 4 2 4" xfId="24563" xr:uid="{00000000-0005-0000-0000-0000732D0000}"/>
    <cellStyle name="20% - Accent6 3 3 4 3" xfId="6643" xr:uid="{00000000-0005-0000-0000-0000742D0000}"/>
    <cellStyle name="20% - Accent6 3 3 4 3 2" xfId="16883" xr:uid="{00000000-0005-0000-0000-0000752D0000}"/>
    <cellStyle name="20% - Accent6 3 3 4 3 2 2" xfId="37363" xr:uid="{00000000-0005-0000-0000-0000762D0000}"/>
    <cellStyle name="20% - Accent6 3 3 4 3 3" xfId="27123" xr:uid="{00000000-0005-0000-0000-0000772D0000}"/>
    <cellStyle name="20% - Accent6 3 3 4 4" xfId="11763" xr:uid="{00000000-0005-0000-0000-0000782D0000}"/>
    <cellStyle name="20% - Accent6 3 3 4 4 2" xfId="32243" xr:uid="{00000000-0005-0000-0000-0000792D0000}"/>
    <cellStyle name="20% - Accent6 3 3 4 5" xfId="22003" xr:uid="{00000000-0005-0000-0000-00007A2D0000}"/>
    <cellStyle name="20% - Accent6 3 3 5" xfId="2803" xr:uid="{00000000-0005-0000-0000-00007B2D0000}"/>
    <cellStyle name="20% - Accent6 3 3 5 2" xfId="7923" xr:uid="{00000000-0005-0000-0000-00007C2D0000}"/>
    <cellStyle name="20% - Accent6 3 3 5 2 2" xfId="18163" xr:uid="{00000000-0005-0000-0000-00007D2D0000}"/>
    <cellStyle name="20% - Accent6 3 3 5 2 2 2" xfId="38643" xr:uid="{00000000-0005-0000-0000-00007E2D0000}"/>
    <cellStyle name="20% - Accent6 3 3 5 2 3" xfId="28403" xr:uid="{00000000-0005-0000-0000-00007F2D0000}"/>
    <cellStyle name="20% - Accent6 3 3 5 3" xfId="13043" xr:uid="{00000000-0005-0000-0000-0000802D0000}"/>
    <cellStyle name="20% - Accent6 3 3 5 3 2" xfId="33523" xr:uid="{00000000-0005-0000-0000-0000812D0000}"/>
    <cellStyle name="20% - Accent6 3 3 5 4" xfId="23283" xr:uid="{00000000-0005-0000-0000-0000822D0000}"/>
    <cellStyle name="20% - Accent6 3 3 6" xfId="5363" xr:uid="{00000000-0005-0000-0000-0000832D0000}"/>
    <cellStyle name="20% - Accent6 3 3 6 2" xfId="15603" xr:uid="{00000000-0005-0000-0000-0000842D0000}"/>
    <cellStyle name="20% - Accent6 3 3 6 2 2" xfId="36083" xr:uid="{00000000-0005-0000-0000-0000852D0000}"/>
    <cellStyle name="20% - Accent6 3 3 6 3" xfId="25843" xr:uid="{00000000-0005-0000-0000-0000862D0000}"/>
    <cellStyle name="20% - Accent6 3 3 7" xfId="10483" xr:uid="{00000000-0005-0000-0000-0000872D0000}"/>
    <cellStyle name="20% - Accent6 3 3 7 2" xfId="30963" xr:uid="{00000000-0005-0000-0000-0000882D0000}"/>
    <cellStyle name="20% - Accent6 3 3 8" xfId="20723" xr:uid="{00000000-0005-0000-0000-0000892D0000}"/>
    <cellStyle name="20% - Accent6 3 4" xfId="403" xr:uid="{00000000-0005-0000-0000-00008A2D0000}"/>
    <cellStyle name="20% - Accent6 3 4 2" xfId="1043" xr:uid="{00000000-0005-0000-0000-00008B2D0000}"/>
    <cellStyle name="20% - Accent6 3 4 2 2" xfId="2323" xr:uid="{00000000-0005-0000-0000-00008C2D0000}"/>
    <cellStyle name="20% - Accent6 3 4 2 2 2" xfId="4883" xr:uid="{00000000-0005-0000-0000-00008D2D0000}"/>
    <cellStyle name="20% - Accent6 3 4 2 2 2 2" xfId="10003" xr:uid="{00000000-0005-0000-0000-00008E2D0000}"/>
    <cellStyle name="20% - Accent6 3 4 2 2 2 2 2" xfId="20243" xr:uid="{00000000-0005-0000-0000-00008F2D0000}"/>
    <cellStyle name="20% - Accent6 3 4 2 2 2 2 2 2" xfId="40723" xr:uid="{00000000-0005-0000-0000-0000902D0000}"/>
    <cellStyle name="20% - Accent6 3 4 2 2 2 2 3" xfId="30483" xr:uid="{00000000-0005-0000-0000-0000912D0000}"/>
    <cellStyle name="20% - Accent6 3 4 2 2 2 3" xfId="15123" xr:uid="{00000000-0005-0000-0000-0000922D0000}"/>
    <cellStyle name="20% - Accent6 3 4 2 2 2 3 2" xfId="35603" xr:uid="{00000000-0005-0000-0000-0000932D0000}"/>
    <cellStyle name="20% - Accent6 3 4 2 2 2 4" xfId="25363" xr:uid="{00000000-0005-0000-0000-0000942D0000}"/>
    <cellStyle name="20% - Accent6 3 4 2 2 3" xfId="7443" xr:uid="{00000000-0005-0000-0000-0000952D0000}"/>
    <cellStyle name="20% - Accent6 3 4 2 2 3 2" xfId="17683" xr:uid="{00000000-0005-0000-0000-0000962D0000}"/>
    <cellStyle name="20% - Accent6 3 4 2 2 3 2 2" xfId="38163" xr:uid="{00000000-0005-0000-0000-0000972D0000}"/>
    <cellStyle name="20% - Accent6 3 4 2 2 3 3" xfId="27923" xr:uid="{00000000-0005-0000-0000-0000982D0000}"/>
    <cellStyle name="20% - Accent6 3 4 2 2 4" xfId="12563" xr:uid="{00000000-0005-0000-0000-0000992D0000}"/>
    <cellStyle name="20% - Accent6 3 4 2 2 4 2" xfId="33043" xr:uid="{00000000-0005-0000-0000-00009A2D0000}"/>
    <cellStyle name="20% - Accent6 3 4 2 2 5" xfId="22803" xr:uid="{00000000-0005-0000-0000-00009B2D0000}"/>
    <cellStyle name="20% - Accent6 3 4 2 3" xfId="3603" xr:uid="{00000000-0005-0000-0000-00009C2D0000}"/>
    <cellStyle name="20% - Accent6 3 4 2 3 2" xfId="8723" xr:uid="{00000000-0005-0000-0000-00009D2D0000}"/>
    <cellStyle name="20% - Accent6 3 4 2 3 2 2" xfId="18963" xr:uid="{00000000-0005-0000-0000-00009E2D0000}"/>
    <cellStyle name="20% - Accent6 3 4 2 3 2 2 2" xfId="39443" xr:uid="{00000000-0005-0000-0000-00009F2D0000}"/>
    <cellStyle name="20% - Accent6 3 4 2 3 2 3" xfId="29203" xr:uid="{00000000-0005-0000-0000-0000A02D0000}"/>
    <cellStyle name="20% - Accent6 3 4 2 3 3" xfId="13843" xr:uid="{00000000-0005-0000-0000-0000A12D0000}"/>
    <cellStyle name="20% - Accent6 3 4 2 3 3 2" xfId="34323" xr:uid="{00000000-0005-0000-0000-0000A22D0000}"/>
    <cellStyle name="20% - Accent6 3 4 2 3 4" xfId="24083" xr:uid="{00000000-0005-0000-0000-0000A32D0000}"/>
    <cellStyle name="20% - Accent6 3 4 2 4" xfId="6163" xr:uid="{00000000-0005-0000-0000-0000A42D0000}"/>
    <cellStyle name="20% - Accent6 3 4 2 4 2" xfId="16403" xr:uid="{00000000-0005-0000-0000-0000A52D0000}"/>
    <cellStyle name="20% - Accent6 3 4 2 4 2 2" xfId="36883" xr:uid="{00000000-0005-0000-0000-0000A62D0000}"/>
    <cellStyle name="20% - Accent6 3 4 2 4 3" xfId="26643" xr:uid="{00000000-0005-0000-0000-0000A72D0000}"/>
    <cellStyle name="20% - Accent6 3 4 2 5" xfId="11283" xr:uid="{00000000-0005-0000-0000-0000A82D0000}"/>
    <cellStyle name="20% - Accent6 3 4 2 5 2" xfId="31763" xr:uid="{00000000-0005-0000-0000-0000A92D0000}"/>
    <cellStyle name="20% - Accent6 3 4 2 6" xfId="21523" xr:uid="{00000000-0005-0000-0000-0000AA2D0000}"/>
    <cellStyle name="20% - Accent6 3 4 3" xfId="1683" xr:uid="{00000000-0005-0000-0000-0000AB2D0000}"/>
    <cellStyle name="20% - Accent6 3 4 3 2" xfId="4243" xr:uid="{00000000-0005-0000-0000-0000AC2D0000}"/>
    <cellStyle name="20% - Accent6 3 4 3 2 2" xfId="9363" xr:uid="{00000000-0005-0000-0000-0000AD2D0000}"/>
    <cellStyle name="20% - Accent6 3 4 3 2 2 2" xfId="19603" xr:uid="{00000000-0005-0000-0000-0000AE2D0000}"/>
    <cellStyle name="20% - Accent6 3 4 3 2 2 2 2" xfId="40083" xr:uid="{00000000-0005-0000-0000-0000AF2D0000}"/>
    <cellStyle name="20% - Accent6 3 4 3 2 2 3" xfId="29843" xr:uid="{00000000-0005-0000-0000-0000B02D0000}"/>
    <cellStyle name="20% - Accent6 3 4 3 2 3" xfId="14483" xr:uid="{00000000-0005-0000-0000-0000B12D0000}"/>
    <cellStyle name="20% - Accent6 3 4 3 2 3 2" xfId="34963" xr:uid="{00000000-0005-0000-0000-0000B22D0000}"/>
    <cellStyle name="20% - Accent6 3 4 3 2 4" xfId="24723" xr:uid="{00000000-0005-0000-0000-0000B32D0000}"/>
    <cellStyle name="20% - Accent6 3 4 3 3" xfId="6803" xr:uid="{00000000-0005-0000-0000-0000B42D0000}"/>
    <cellStyle name="20% - Accent6 3 4 3 3 2" xfId="17043" xr:uid="{00000000-0005-0000-0000-0000B52D0000}"/>
    <cellStyle name="20% - Accent6 3 4 3 3 2 2" xfId="37523" xr:uid="{00000000-0005-0000-0000-0000B62D0000}"/>
    <cellStyle name="20% - Accent6 3 4 3 3 3" xfId="27283" xr:uid="{00000000-0005-0000-0000-0000B72D0000}"/>
    <cellStyle name="20% - Accent6 3 4 3 4" xfId="11923" xr:uid="{00000000-0005-0000-0000-0000B82D0000}"/>
    <cellStyle name="20% - Accent6 3 4 3 4 2" xfId="32403" xr:uid="{00000000-0005-0000-0000-0000B92D0000}"/>
    <cellStyle name="20% - Accent6 3 4 3 5" xfId="22163" xr:uid="{00000000-0005-0000-0000-0000BA2D0000}"/>
    <cellStyle name="20% - Accent6 3 4 4" xfId="2963" xr:uid="{00000000-0005-0000-0000-0000BB2D0000}"/>
    <cellStyle name="20% - Accent6 3 4 4 2" xfId="8083" xr:uid="{00000000-0005-0000-0000-0000BC2D0000}"/>
    <cellStyle name="20% - Accent6 3 4 4 2 2" xfId="18323" xr:uid="{00000000-0005-0000-0000-0000BD2D0000}"/>
    <cellStyle name="20% - Accent6 3 4 4 2 2 2" xfId="38803" xr:uid="{00000000-0005-0000-0000-0000BE2D0000}"/>
    <cellStyle name="20% - Accent6 3 4 4 2 3" xfId="28563" xr:uid="{00000000-0005-0000-0000-0000BF2D0000}"/>
    <cellStyle name="20% - Accent6 3 4 4 3" xfId="13203" xr:uid="{00000000-0005-0000-0000-0000C02D0000}"/>
    <cellStyle name="20% - Accent6 3 4 4 3 2" xfId="33683" xr:uid="{00000000-0005-0000-0000-0000C12D0000}"/>
    <cellStyle name="20% - Accent6 3 4 4 4" xfId="23443" xr:uid="{00000000-0005-0000-0000-0000C22D0000}"/>
    <cellStyle name="20% - Accent6 3 4 5" xfId="5523" xr:uid="{00000000-0005-0000-0000-0000C32D0000}"/>
    <cellStyle name="20% - Accent6 3 4 5 2" xfId="15763" xr:uid="{00000000-0005-0000-0000-0000C42D0000}"/>
    <cellStyle name="20% - Accent6 3 4 5 2 2" xfId="36243" xr:uid="{00000000-0005-0000-0000-0000C52D0000}"/>
    <cellStyle name="20% - Accent6 3 4 5 3" xfId="26003" xr:uid="{00000000-0005-0000-0000-0000C62D0000}"/>
    <cellStyle name="20% - Accent6 3 4 6" xfId="10643" xr:uid="{00000000-0005-0000-0000-0000C72D0000}"/>
    <cellStyle name="20% - Accent6 3 4 6 2" xfId="31123" xr:uid="{00000000-0005-0000-0000-0000C82D0000}"/>
    <cellStyle name="20% - Accent6 3 4 7" xfId="20883" xr:uid="{00000000-0005-0000-0000-0000C92D0000}"/>
    <cellStyle name="20% - Accent6 3 5" xfId="723" xr:uid="{00000000-0005-0000-0000-0000CA2D0000}"/>
    <cellStyle name="20% - Accent6 3 5 2" xfId="2003" xr:uid="{00000000-0005-0000-0000-0000CB2D0000}"/>
    <cellStyle name="20% - Accent6 3 5 2 2" xfId="4563" xr:uid="{00000000-0005-0000-0000-0000CC2D0000}"/>
    <cellStyle name="20% - Accent6 3 5 2 2 2" xfId="9683" xr:uid="{00000000-0005-0000-0000-0000CD2D0000}"/>
    <cellStyle name="20% - Accent6 3 5 2 2 2 2" xfId="19923" xr:uid="{00000000-0005-0000-0000-0000CE2D0000}"/>
    <cellStyle name="20% - Accent6 3 5 2 2 2 2 2" xfId="40403" xr:uid="{00000000-0005-0000-0000-0000CF2D0000}"/>
    <cellStyle name="20% - Accent6 3 5 2 2 2 3" xfId="30163" xr:uid="{00000000-0005-0000-0000-0000D02D0000}"/>
    <cellStyle name="20% - Accent6 3 5 2 2 3" xfId="14803" xr:uid="{00000000-0005-0000-0000-0000D12D0000}"/>
    <cellStyle name="20% - Accent6 3 5 2 2 3 2" xfId="35283" xr:uid="{00000000-0005-0000-0000-0000D22D0000}"/>
    <cellStyle name="20% - Accent6 3 5 2 2 4" xfId="25043" xr:uid="{00000000-0005-0000-0000-0000D32D0000}"/>
    <cellStyle name="20% - Accent6 3 5 2 3" xfId="7123" xr:uid="{00000000-0005-0000-0000-0000D42D0000}"/>
    <cellStyle name="20% - Accent6 3 5 2 3 2" xfId="17363" xr:uid="{00000000-0005-0000-0000-0000D52D0000}"/>
    <cellStyle name="20% - Accent6 3 5 2 3 2 2" xfId="37843" xr:uid="{00000000-0005-0000-0000-0000D62D0000}"/>
    <cellStyle name="20% - Accent6 3 5 2 3 3" xfId="27603" xr:uid="{00000000-0005-0000-0000-0000D72D0000}"/>
    <cellStyle name="20% - Accent6 3 5 2 4" xfId="12243" xr:uid="{00000000-0005-0000-0000-0000D82D0000}"/>
    <cellStyle name="20% - Accent6 3 5 2 4 2" xfId="32723" xr:uid="{00000000-0005-0000-0000-0000D92D0000}"/>
    <cellStyle name="20% - Accent6 3 5 2 5" xfId="22483" xr:uid="{00000000-0005-0000-0000-0000DA2D0000}"/>
    <cellStyle name="20% - Accent6 3 5 3" xfId="3283" xr:uid="{00000000-0005-0000-0000-0000DB2D0000}"/>
    <cellStyle name="20% - Accent6 3 5 3 2" xfId="8403" xr:uid="{00000000-0005-0000-0000-0000DC2D0000}"/>
    <cellStyle name="20% - Accent6 3 5 3 2 2" xfId="18643" xr:uid="{00000000-0005-0000-0000-0000DD2D0000}"/>
    <cellStyle name="20% - Accent6 3 5 3 2 2 2" xfId="39123" xr:uid="{00000000-0005-0000-0000-0000DE2D0000}"/>
    <cellStyle name="20% - Accent6 3 5 3 2 3" xfId="28883" xr:uid="{00000000-0005-0000-0000-0000DF2D0000}"/>
    <cellStyle name="20% - Accent6 3 5 3 3" xfId="13523" xr:uid="{00000000-0005-0000-0000-0000E02D0000}"/>
    <cellStyle name="20% - Accent6 3 5 3 3 2" xfId="34003" xr:uid="{00000000-0005-0000-0000-0000E12D0000}"/>
    <cellStyle name="20% - Accent6 3 5 3 4" xfId="23763" xr:uid="{00000000-0005-0000-0000-0000E22D0000}"/>
    <cellStyle name="20% - Accent6 3 5 4" xfId="5843" xr:uid="{00000000-0005-0000-0000-0000E32D0000}"/>
    <cellStyle name="20% - Accent6 3 5 4 2" xfId="16083" xr:uid="{00000000-0005-0000-0000-0000E42D0000}"/>
    <cellStyle name="20% - Accent6 3 5 4 2 2" xfId="36563" xr:uid="{00000000-0005-0000-0000-0000E52D0000}"/>
    <cellStyle name="20% - Accent6 3 5 4 3" xfId="26323" xr:uid="{00000000-0005-0000-0000-0000E62D0000}"/>
    <cellStyle name="20% - Accent6 3 5 5" xfId="10963" xr:uid="{00000000-0005-0000-0000-0000E72D0000}"/>
    <cellStyle name="20% - Accent6 3 5 5 2" xfId="31443" xr:uid="{00000000-0005-0000-0000-0000E82D0000}"/>
    <cellStyle name="20% - Accent6 3 5 6" xfId="21203" xr:uid="{00000000-0005-0000-0000-0000E92D0000}"/>
    <cellStyle name="20% - Accent6 3 6" xfId="1363" xr:uid="{00000000-0005-0000-0000-0000EA2D0000}"/>
    <cellStyle name="20% - Accent6 3 6 2" xfId="3923" xr:uid="{00000000-0005-0000-0000-0000EB2D0000}"/>
    <cellStyle name="20% - Accent6 3 6 2 2" xfId="9043" xr:uid="{00000000-0005-0000-0000-0000EC2D0000}"/>
    <cellStyle name="20% - Accent6 3 6 2 2 2" xfId="19283" xr:uid="{00000000-0005-0000-0000-0000ED2D0000}"/>
    <cellStyle name="20% - Accent6 3 6 2 2 2 2" xfId="39763" xr:uid="{00000000-0005-0000-0000-0000EE2D0000}"/>
    <cellStyle name="20% - Accent6 3 6 2 2 3" xfId="29523" xr:uid="{00000000-0005-0000-0000-0000EF2D0000}"/>
    <cellStyle name="20% - Accent6 3 6 2 3" xfId="14163" xr:uid="{00000000-0005-0000-0000-0000F02D0000}"/>
    <cellStyle name="20% - Accent6 3 6 2 3 2" xfId="34643" xr:uid="{00000000-0005-0000-0000-0000F12D0000}"/>
    <cellStyle name="20% - Accent6 3 6 2 4" xfId="24403" xr:uid="{00000000-0005-0000-0000-0000F22D0000}"/>
    <cellStyle name="20% - Accent6 3 6 3" xfId="6483" xr:uid="{00000000-0005-0000-0000-0000F32D0000}"/>
    <cellStyle name="20% - Accent6 3 6 3 2" xfId="16723" xr:uid="{00000000-0005-0000-0000-0000F42D0000}"/>
    <cellStyle name="20% - Accent6 3 6 3 2 2" xfId="37203" xr:uid="{00000000-0005-0000-0000-0000F52D0000}"/>
    <cellStyle name="20% - Accent6 3 6 3 3" xfId="26963" xr:uid="{00000000-0005-0000-0000-0000F62D0000}"/>
    <cellStyle name="20% - Accent6 3 6 4" xfId="11603" xr:uid="{00000000-0005-0000-0000-0000F72D0000}"/>
    <cellStyle name="20% - Accent6 3 6 4 2" xfId="32083" xr:uid="{00000000-0005-0000-0000-0000F82D0000}"/>
    <cellStyle name="20% - Accent6 3 6 5" xfId="21843" xr:uid="{00000000-0005-0000-0000-0000F92D0000}"/>
    <cellStyle name="20% - Accent6 3 7" xfId="2643" xr:uid="{00000000-0005-0000-0000-0000FA2D0000}"/>
    <cellStyle name="20% - Accent6 3 7 2" xfId="7763" xr:uid="{00000000-0005-0000-0000-0000FB2D0000}"/>
    <cellStyle name="20% - Accent6 3 7 2 2" xfId="18003" xr:uid="{00000000-0005-0000-0000-0000FC2D0000}"/>
    <cellStyle name="20% - Accent6 3 7 2 2 2" xfId="38483" xr:uid="{00000000-0005-0000-0000-0000FD2D0000}"/>
    <cellStyle name="20% - Accent6 3 7 2 3" xfId="28243" xr:uid="{00000000-0005-0000-0000-0000FE2D0000}"/>
    <cellStyle name="20% - Accent6 3 7 3" xfId="12883" xr:uid="{00000000-0005-0000-0000-0000FF2D0000}"/>
    <cellStyle name="20% - Accent6 3 7 3 2" xfId="33363" xr:uid="{00000000-0005-0000-0000-0000002E0000}"/>
    <cellStyle name="20% - Accent6 3 7 4" xfId="23123" xr:uid="{00000000-0005-0000-0000-0000012E0000}"/>
    <cellStyle name="20% - Accent6 3 8" xfId="5203" xr:uid="{00000000-0005-0000-0000-0000022E0000}"/>
    <cellStyle name="20% - Accent6 3 8 2" xfId="15443" xr:uid="{00000000-0005-0000-0000-0000032E0000}"/>
    <cellStyle name="20% - Accent6 3 8 2 2" xfId="35923" xr:uid="{00000000-0005-0000-0000-0000042E0000}"/>
    <cellStyle name="20% - Accent6 3 8 3" xfId="25683" xr:uid="{00000000-0005-0000-0000-0000052E0000}"/>
    <cellStyle name="20% - Accent6 3 9" xfId="10323" xr:uid="{00000000-0005-0000-0000-0000062E0000}"/>
    <cellStyle name="20% - Accent6 3 9 2" xfId="30803" xr:uid="{00000000-0005-0000-0000-0000072E0000}"/>
    <cellStyle name="20% - Accent6 4" xfId="123" xr:uid="{00000000-0005-0000-0000-0000082E0000}"/>
    <cellStyle name="20% - Accent6 4 2" xfId="283" xr:uid="{00000000-0005-0000-0000-0000092E0000}"/>
    <cellStyle name="20% - Accent6 4 2 2" xfId="603" xr:uid="{00000000-0005-0000-0000-00000A2E0000}"/>
    <cellStyle name="20% - Accent6 4 2 2 2" xfId="1243" xr:uid="{00000000-0005-0000-0000-00000B2E0000}"/>
    <cellStyle name="20% - Accent6 4 2 2 2 2" xfId="2523" xr:uid="{00000000-0005-0000-0000-00000C2E0000}"/>
    <cellStyle name="20% - Accent6 4 2 2 2 2 2" xfId="5083" xr:uid="{00000000-0005-0000-0000-00000D2E0000}"/>
    <cellStyle name="20% - Accent6 4 2 2 2 2 2 2" xfId="10203" xr:uid="{00000000-0005-0000-0000-00000E2E0000}"/>
    <cellStyle name="20% - Accent6 4 2 2 2 2 2 2 2" xfId="20443" xr:uid="{00000000-0005-0000-0000-00000F2E0000}"/>
    <cellStyle name="20% - Accent6 4 2 2 2 2 2 2 2 2" xfId="40923" xr:uid="{00000000-0005-0000-0000-0000102E0000}"/>
    <cellStyle name="20% - Accent6 4 2 2 2 2 2 2 3" xfId="30683" xr:uid="{00000000-0005-0000-0000-0000112E0000}"/>
    <cellStyle name="20% - Accent6 4 2 2 2 2 2 3" xfId="15323" xr:uid="{00000000-0005-0000-0000-0000122E0000}"/>
    <cellStyle name="20% - Accent6 4 2 2 2 2 2 3 2" xfId="35803" xr:uid="{00000000-0005-0000-0000-0000132E0000}"/>
    <cellStyle name="20% - Accent6 4 2 2 2 2 2 4" xfId="25563" xr:uid="{00000000-0005-0000-0000-0000142E0000}"/>
    <cellStyle name="20% - Accent6 4 2 2 2 2 3" xfId="7643" xr:uid="{00000000-0005-0000-0000-0000152E0000}"/>
    <cellStyle name="20% - Accent6 4 2 2 2 2 3 2" xfId="17883" xr:uid="{00000000-0005-0000-0000-0000162E0000}"/>
    <cellStyle name="20% - Accent6 4 2 2 2 2 3 2 2" xfId="38363" xr:uid="{00000000-0005-0000-0000-0000172E0000}"/>
    <cellStyle name="20% - Accent6 4 2 2 2 2 3 3" xfId="28123" xr:uid="{00000000-0005-0000-0000-0000182E0000}"/>
    <cellStyle name="20% - Accent6 4 2 2 2 2 4" xfId="12763" xr:uid="{00000000-0005-0000-0000-0000192E0000}"/>
    <cellStyle name="20% - Accent6 4 2 2 2 2 4 2" xfId="33243" xr:uid="{00000000-0005-0000-0000-00001A2E0000}"/>
    <cellStyle name="20% - Accent6 4 2 2 2 2 5" xfId="23003" xr:uid="{00000000-0005-0000-0000-00001B2E0000}"/>
    <cellStyle name="20% - Accent6 4 2 2 2 3" xfId="3803" xr:uid="{00000000-0005-0000-0000-00001C2E0000}"/>
    <cellStyle name="20% - Accent6 4 2 2 2 3 2" xfId="8923" xr:uid="{00000000-0005-0000-0000-00001D2E0000}"/>
    <cellStyle name="20% - Accent6 4 2 2 2 3 2 2" xfId="19163" xr:uid="{00000000-0005-0000-0000-00001E2E0000}"/>
    <cellStyle name="20% - Accent6 4 2 2 2 3 2 2 2" xfId="39643" xr:uid="{00000000-0005-0000-0000-00001F2E0000}"/>
    <cellStyle name="20% - Accent6 4 2 2 2 3 2 3" xfId="29403" xr:uid="{00000000-0005-0000-0000-0000202E0000}"/>
    <cellStyle name="20% - Accent6 4 2 2 2 3 3" xfId="14043" xr:uid="{00000000-0005-0000-0000-0000212E0000}"/>
    <cellStyle name="20% - Accent6 4 2 2 2 3 3 2" xfId="34523" xr:uid="{00000000-0005-0000-0000-0000222E0000}"/>
    <cellStyle name="20% - Accent6 4 2 2 2 3 4" xfId="24283" xr:uid="{00000000-0005-0000-0000-0000232E0000}"/>
    <cellStyle name="20% - Accent6 4 2 2 2 4" xfId="6363" xr:uid="{00000000-0005-0000-0000-0000242E0000}"/>
    <cellStyle name="20% - Accent6 4 2 2 2 4 2" xfId="16603" xr:uid="{00000000-0005-0000-0000-0000252E0000}"/>
    <cellStyle name="20% - Accent6 4 2 2 2 4 2 2" xfId="37083" xr:uid="{00000000-0005-0000-0000-0000262E0000}"/>
    <cellStyle name="20% - Accent6 4 2 2 2 4 3" xfId="26843" xr:uid="{00000000-0005-0000-0000-0000272E0000}"/>
    <cellStyle name="20% - Accent6 4 2 2 2 5" xfId="11483" xr:uid="{00000000-0005-0000-0000-0000282E0000}"/>
    <cellStyle name="20% - Accent6 4 2 2 2 5 2" xfId="31963" xr:uid="{00000000-0005-0000-0000-0000292E0000}"/>
    <cellStyle name="20% - Accent6 4 2 2 2 6" xfId="21723" xr:uid="{00000000-0005-0000-0000-00002A2E0000}"/>
    <cellStyle name="20% - Accent6 4 2 2 3" xfId="1883" xr:uid="{00000000-0005-0000-0000-00002B2E0000}"/>
    <cellStyle name="20% - Accent6 4 2 2 3 2" xfId="4443" xr:uid="{00000000-0005-0000-0000-00002C2E0000}"/>
    <cellStyle name="20% - Accent6 4 2 2 3 2 2" xfId="9563" xr:uid="{00000000-0005-0000-0000-00002D2E0000}"/>
    <cellStyle name="20% - Accent6 4 2 2 3 2 2 2" xfId="19803" xr:uid="{00000000-0005-0000-0000-00002E2E0000}"/>
    <cellStyle name="20% - Accent6 4 2 2 3 2 2 2 2" xfId="40283" xr:uid="{00000000-0005-0000-0000-00002F2E0000}"/>
    <cellStyle name="20% - Accent6 4 2 2 3 2 2 3" xfId="30043" xr:uid="{00000000-0005-0000-0000-0000302E0000}"/>
    <cellStyle name="20% - Accent6 4 2 2 3 2 3" xfId="14683" xr:uid="{00000000-0005-0000-0000-0000312E0000}"/>
    <cellStyle name="20% - Accent6 4 2 2 3 2 3 2" xfId="35163" xr:uid="{00000000-0005-0000-0000-0000322E0000}"/>
    <cellStyle name="20% - Accent6 4 2 2 3 2 4" xfId="24923" xr:uid="{00000000-0005-0000-0000-0000332E0000}"/>
    <cellStyle name="20% - Accent6 4 2 2 3 3" xfId="7003" xr:uid="{00000000-0005-0000-0000-0000342E0000}"/>
    <cellStyle name="20% - Accent6 4 2 2 3 3 2" xfId="17243" xr:uid="{00000000-0005-0000-0000-0000352E0000}"/>
    <cellStyle name="20% - Accent6 4 2 2 3 3 2 2" xfId="37723" xr:uid="{00000000-0005-0000-0000-0000362E0000}"/>
    <cellStyle name="20% - Accent6 4 2 2 3 3 3" xfId="27483" xr:uid="{00000000-0005-0000-0000-0000372E0000}"/>
    <cellStyle name="20% - Accent6 4 2 2 3 4" xfId="12123" xr:uid="{00000000-0005-0000-0000-0000382E0000}"/>
    <cellStyle name="20% - Accent6 4 2 2 3 4 2" xfId="32603" xr:uid="{00000000-0005-0000-0000-0000392E0000}"/>
    <cellStyle name="20% - Accent6 4 2 2 3 5" xfId="22363" xr:uid="{00000000-0005-0000-0000-00003A2E0000}"/>
    <cellStyle name="20% - Accent6 4 2 2 4" xfId="3163" xr:uid="{00000000-0005-0000-0000-00003B2E0000}"/>
    <cellStyle name="20% - Accent6 4 2 2 4 2" xfId="8283" xr:uid="{00000000-0005-0000-0000-00003C2E0000}"/>
    <cellStyle name="20% - Accent6 4 2 2 4 2 2" xfId="18523" xr:uid="{00000000-0005-0000-0000-00003D2E0000}"/>
    <cellStyle name="20% - Accent6 4 2 2 4 2 2 2" xfId="39003" xr:uid="{00000000-0005-0000-0000-00003E2E0000}"/>
    <cellStyle name="20% - Accent6 4 2 2 4 2 3" xfId="28763" xr:uid="{00000000-0005-0000-0000-00003F2E0000}"/>
    <cellStyle name="20% - Accent6 4 2 2 4 3" xfId="13403" xr:uid="{00000000-0005-0000-0000-0000402E0000}"/>
    <cellStyle name="20% - Accent6 4 2 2 4 3 2" xfId="33883" xr:uid="{00000000-0005-0000-0000-0000412E0000}"/>
    <cellStyle name="20% - Accent6 4 2 2 4 4" xfId="23643" xr:uid="{00000000-0005-0000-0000-0000422E0000}"/>
    <cellStyle name="20% - Accent6 4 2 2 5" xfId="5723" xr:uid="{00000000-0005-0000-0000-0000432E0000}"/>
    <cellStyle name="20% - Accent6 4 2 2 5 2" xfId="15963" xr:uid="{00000000-0005-0000-0000-0000442E0000}"/>
    <cellStyle name="20% - Accent6 4 2 2 5 2 2" xfId="36443" xr:uid="{00000000-0005-0000-0000-0000452E0000}"/>
    <cellStyle name="20% - Accent6 4 2 2 5 3" xfId="26203" xr:uid="{00000000-0005-0000-0000-0000462E0000}"/>
    <cellStyle name="20% - Accent6 4 2 2 6" xfId="10843" xr:uid="{00000000-0005-0000-0000-0000472E0000}"/>
    <cellStyle name="20% - Accent6 4 2 2 6 2" xfId="31323" xr:uid="{00000000-0005-0000-0000-0000482E0000}"/>
    <cellStyle name="20% - Accent6 4 2 2 7" xfId="21083" xr:uid="{00000000-0005-0000-0000-0000492E0000}"/>
    <cellStyle name="20% - Accent6 4 2 3" xfId="923" xr:uid="{00000000-0005-0000-0000-00004A2E0000}"/>
    <cellStyle name="20% - Accent6 4 2 3 2" xfId="2203" xr:uid="{00000000-0005-0000-0000-00004B2E0000}"/>
    <cellStyle name="20% - Accent6 4 2 3 2 2" xfId="4763" xr:uid="{00000000-0005-0000-0000-00004C2E0000}"/>
    <cellStyle name="20% - Accent6 4 2 3 2 2 2" xfId="9883" xr:uid="{00000000-0005-0000-0000-00004D2E0000}"/>
    <cellStyle name="20% - Accent6 4 2 3 2 2 2 2" xfId="20123" xr:uid="{00000000-0005-0000-0000-00004E2E0000}"/>
    <cellStyle name="20% - Accent6 4 2 3 2 2 2 2 2" xfId="40603" xr:uid="{00000000-0005-0000-0000-00004F2E0000}"/>
    <cellStyle name="20% - Accent6 4 2 3 2 2 2 3" xfId="30363" xr:uid="{00000000-0005-0000-0000-0000502E0000}"/>
    <cellStyle name="20% - Accent6 4 2 3 2 2 3" xfId="15003" xr:uid="{00000000-0005-0000-0000-0000512E0000}"/>
    <cellStyle name="20% - Accent6 4 2 3 2 2 3 2" xfId="35483" xr:uid="{00000000-0005-0000-0000-0000522E0000}"/>
    <cellStyle name="20% - Accent6 4 2 3 2 2 4" xfId="25243" xr:uid="{00000000-0005-0000-0000-0000532E0000}"/>
    <cellStyle name="20% - Accent6 4 2 3 2 3" xfId="7323" xr:uid="{00000000-0005-0000-0000-0000542E0000}"/>
    <cellStyle name="20% - Accent6 4 2 3 2 3 2" xfId="17563" xr:uid="{00000000-0005-0000-0000-0000552E0000}"/>
    <cellStyle name="20% - Accent6 4 2 3 2 3 2 2" xfId="38043" xr:uid="{00000000-0005-0000-0000-0000562E0000}"/>
    <cellStyle name="20% - Accent6 4 2 3 2 3 3" xfId="27803" xr:uid="{00000000-0005-0000-0000-0000572E0000}"/>
    <cellStyle name="20% - Accent6 4 2 3 2 4" xfId="12443" xr:uid="{00000000-0005-0000-0000-0000582E0000}"/>
    <cellStyle name="20% - Accent6 4 2 3 2 4 2" xfId="32923" xr:uid="{00000000-0005-0000-0000-0000592E0000}"/>
    <cellStyle name="20% - Accent6 4 2 3 2 5" xfId="22683" xr:uid="{00000000-0005-0000-0000-00005A2E0000}"/>
    <cellStyle name="20% - Accent6 4 2 3 3" xfId="3483" xr:uid="{00000000-0005-0000-0000-00005B2E0000}"/>
    <cellStyle name="20% - Accent6 4 2 3 3 2" xfId="8603" xr:uid="{00000000-0005-0000-0000-00005C2E0000}"/>
    <cellStyle name="20% - Accent6 4 2 3 3 2 2" xfId="18843" xr:uid="{00000000-0005-0000-0000-00005D2E0000}"/>
    <cellStyle name="20% - Accent6 4 2 3 3 2 2 2" xfId="39323" xr:uid="{00000000-0005-0000-0000-00005E2E0000}"/>
    <cellStyle name="20% - Accent6 4 2 3 3 2 3" xfId="29083" xr:uid="{00000000-0005-0000-0000-00005F2E0000}"/>
    <cellStyle name="20% - Accent6 4 2 3 3 3" xfId="13723" xr:uid="{00000000-0005-0000-0000-0000602E0000}"/>
    <cellStyle name="20% - Accent6 4 2 3 3 3 2" xfId="34203" xr:uid="{00000000-0005-0000-0000-0000612E0000}"/>
    <cellStyle name="20% - Accent6 4 2 3 3 4" xfId="23963" xr:uid="{00000000-0005-0000-0000-0000622E0000}"/>
    <cellStyle name="20% - Accent6 4 2 3 4" xfId="6043" xr:uid="{00000000-0005-0000-0000-0000632E0000}"/>
    <cellStyle name="20% - Accent6 4 2 3 4 2" xfId="16283" xr:uid="{00000000-0005-0000-0000-0000642E0000}"/>
    <cellStyle name="20% - Accent6 4 2 3 4 2 2" xfId="36763" xr:uid="{00000000-0005-0000-0000-0000652E0000}"/>
    <cellStyle name="20% - Accent6 4 2 3 4 3" xfId="26523" xr:uid="{00000000-0005-0000-0000-0000662E0000}"/>
    <cellStyle name="20% - Accent6 4 2 3 5" xfId="11163" xr:uid="{00000000-0005-0000-0000-0000672E0000}"/>
    <cellStyle name="20% - Accent6 4 2 3 5 2" xfId="31643" xr:uid="{00000000-0005-0000-0000-0000682E0000}"/>
    <cellStyle name="20% - Accent6 4 2 3 6" xfId="21403" xr:uid="{00000000-0005-0000-0000-0000692E0000}"/>
    <cellStyle name="20% - Accent6 4 2 4" xfId="1563" xr:uid="{00000000-0005-0000-0000-00006A2E0000}"/>
    <cellStyle name="20% - Accent6 4 2 4 2" xfId="4123" xr:uid="{00000000-0005-0000-0000-00006B2E0000}"/>
    <cellStyle name="20% - Accent6 4 2 4 2 2" xfId="9243" xr:uid="{00000000-0005-0000-0000-00006C2E0000}"/>
    <cellStyle name="20% - Accent6 4 2 4 2 2 2" xfId="19483" xr:uid="{00000000-0005-0000-0000-00006D2E0000}"/>
    <cellStyle name="20% - Accent6 4 2 4 2 2 2 2" xfId="39963" xr:uid="{00000000-0005-0000-0000-00006E2E0000}"/>
    <cellStyle name="20% - Accent6 4 2 4 2 2 3" xfId="29723" xr:uid="{00000000-0005-0000-0000-00006F2E0000}"/>
    <cellStyle name="20% - Accent6 4 2 4 2 3" xfId="14363" xr:uid="{00000000-0005-0000-0000-0000702E0000}"/>
    <cellStyle name="20% - Accent6 4 2 4 2 3 2" xfId="34843" xr:uid="{00000000-0005-0000-0000-0000712E0000}"/>
    <cellStyle name="20% - Accent6 4 2 4 2 4" xfId="24603" xr:uid="{00000000-0005-0000-0000-0000722E0000}"/>
    <cellStyle name="20% - Accent6 4 2 4 3" xfId="6683" xr:uid="{00000000-0005-0000-0000-0000732E0000}"/>
    <cellStyle name="20% - Accent6 4 2 4 3 2" xfId="16923" xr:uid="{00000000-0005-0000-0000-0000742E0000}"/>
    <cellStyle name="20% - Accent6 4 2 4 3 2 2" xfId="37403" xr:uid="{00000000-0005-0000-0000-0000752E0000}"/>
    <cellStyle name="20% - Accent6 4 2 4 3 3" xfId="27163" xr:uid="{00000000-0005-0000-0000-0000762E0000}"/>
    <cellStyle name="20% - Accent6 4 2 4 4" xfId="11803" xr:uid="{00000000-0005-0000-0000-0000772E0000}"/>
    <cellStyle name="20% - Accent6 4 2 4 4 2" xfId="32283" xr:uid="{00000000-0005-0000-0000-0000782E0000}"/>
    <cellStyle name="20% - Accent6 4 2 4 5" xfId="22043" xr:uid="{00000000-0005-0000-0000-0000792E0000}"/>
    <cellStyle name="20% - Accent6 4 2 5" xfId="2843" xr:uid="{00000000-0005-0000-0000-00007A2E0000}"/>
    <cellStyle name="20% - Accent6 4 2 5 2" xfId="7963" xr:uid="{00000000-0005-0000-0000-00007B2E0000}"/>
    <cellStyle name="20% - Accent6 4 2 5 2 2" xfId="18203" xr:uid="{00000000-0005-0000-0000-00007C2E0000}"/>
    <cellStyle name="20% - Accent6 4 2 5 2 2 2" xfId="38683" xr:uid="{00000000-0005-0000-0000-00007D2E0000}"/>
    <cellStyle name="20% - Accent6 4 2 5 2 3" xfId="28443" xr:uid="{00000000-0005-0000-0000-00007E2E0000}"/>
    <cellStyle name="20% - Accent6 4 2 5 3" xfId="13083" xr:uid="{00000000-0005-0000-0000-00007F2E0000}"/>
    <cellStyle name="20% - Accent6 4 2 5 3 2" xfId="33563" xr:uid="{00000000-0005-0000-0000-0000802E0000}"/>
    <cellStyle name="20% - Accent6 4 2 5 4" xfId="23323" xr:uid="{00000000-0005-0000-0000-0000812E0000}"/>
    <cellStyle name="20% - Accent6 4 2 6" xfId="5403" xr:uid="{00000000-0005-0000-0000-0000822E0000}"/>
    <cellStyle name="20% - Accent6 4 2 6 2" xfId="15643" xr:uid="{00000000-0005-0000-0000-0000832E0000}"/>
    <cellStyle name="20% - Accent6 4 2 6 2 2" xfId="36123" xr:uid="{00000000-0005-0000-0000-0000842E0000}"/>
    <cellStyle name="20% - Accent6 4 2 6 3" xfId="25883" xr:uid="{00000000-0005-0000-0000-0000852E0000}"/>
    <cellStyle name="20% - Accent6 4 2 7" xfId="10523" xr:uid="{00000000-0005-0000-0000-0000862E0000}"/>
    <cellStyle name="20% - Accent6 4 2 7 2" xfId="31003" xr:uid="{00000000-0005-0000-0000-0000872E0000}"/>
    <cellStyle name="20% - Accent6 4 2 8" xfId="20763" xr:uid="{00000000-0005-0000-0000-0000882E0000}"/>
    <cellStyle name="20% - Accent6 4 3" xfId="443" xr:uid="{00000000-0005-0000-0000-0000892E0000}"/>
    <cellStyle name="20% - Accent6 4 3 2" xfId="1083" xr:uid="{00000000-0005-0000-0000-00008A2E0000}"/>
    <cellStyle name="20% - Accent6 4 3 2 2" xfId="2363" xr:uid="{00000000-0005-0000-0000-00008B2E0000}"/>
    <cellStyle name="20% - Accent6 4 3 2 2 2" xfId="4923" xr:uid="{00000000-0005-0000-0000-00008C2E0000}"/>
    <cellStyle name="20% - Accent6 4 3 2 2 2 2" xfId="10043" xr:uid="{00000000-0005-0000-0000-00008D2E0000}"/>
    <cellStyle name="20% - Accent6 4 3 2 2 2 2 2" xfId="20283" xr:uid="{00000000-0005-0000-0000-00008E2E0000}"/>
    <cellStyle name="20% - Accent6 4 3 2 2 2 2 2 2" xfId="40763" xr:uid="{00000000-0005-0000-0000-00008F2E0000}"/>
    <cellStyle name="20% - Accent6 4 3 2 2 2 2 3" xfId="30523" xr:uid="{00000000-0005-0000-0000-0000902E0000}"/>
    <cellStyle name="20% - Accent6 4 3 2 2 2 3" xfId="15163" xr:uid="{00000000-0005-0000-0000-0000912E0000}"/>
    <cellStyle name="20% - Accent6 4 3 2 2 2 3 2" xfId="35643" xr:uid="{00000000-0005-0000-0000-0000922E0000}"/>
    <cellStyle name="20% - Accent6 4 3 2 2 2 4" xfId="25403" xr:uid="{00000000-0005-0000-0000-0000932E0000}"/>
    <cellStyle name="20% - Accent6 4 3 2 2 3" xfId="7483" xr:uid="{00000000-0005-0000-0000-0000942E0000}"/>
    <cellStyle name="20% - Accent6 4 3 2 2 3 2" xfId="17723" xr:uid="{00000000-0005-0000-0000-0000952E0000}"/>
    <cellStyle name="20% - Accent6 4 3 2 2 3 2 2" xfId="38203" xr:uid="{00000000-0005-0000-0000-0000962E0000}"/>
    <cellStyle name="20% - Accent6 4 3 2 2 3 3" xfId="27963" xr:uid="{00000000-0005-0000-0000-0000972E0000}"/>
    <cellStyle name="20% - Accent6 4 3 2 2 4" xfId="12603" xr:uid="{00000000-0005-0000-0000-0000982E0000}"/>
    <cellStyle name="20% - Accent6 4 3 2 2 4 2" xfId="33083" xr:uid="{00000000-0005-0000-0000-0000992E0000}"/>
    <cellStyle name="20% - Accent6 4 3 2 2 5" xfId="22843" xr:uid="{00000000-0005-0000-0000-00009A2E0000}"/>
    <cellStyle name="20% - Accent6 4 3 2 3" xfId="3643" xr:uid="{00000000-0005-0000-0000-00009B2E0000}"/>
    <cellStyle name="20% - Accent6 4 3 2 3 2" xfId="8763" xr:uid="{00000000-0005-0000-0000-00009C2E0000}"/>
    <cellStyle name="20% - Accent6 4 3 2 3 2 2" xfId="19003" xr:uid="{00000000-0005-0000-0000-00009D2E0000}"/>
    <cellStyle name="20% - Accent6 4 3 2 3 2 2 2" xfId="39483" xr:uid="{00000000-0005-0000-0000-00009E2E0000}"/>
    <cellStyle name="20% - Accent6 4 3 2 3 2 3" xfId="29243" xr:uid="{00000000-0005-0000-0000-00009F2E0000}"/>
    <cellStyle name="20% - Accent6 4 3 2 3 3" xfId="13883" xr:uid="{00000000-0005-0000-0000-0000A02E0000}"/>
    <cellStyle name="20% - Accent6 4 3 2 3 3 2" xfId="34363" xr:uid="{00000000-0005-0000-0000-0000A12E0000}"/>
    <cellStyle name="20% - Accent6 4 3 2 3 4" xfId="24123" xr:uid="{00000000-0005-0000-0000-0000A22E0000}"/>
    <cellStyle name="20% - Accent6 4 3 2 4" xfId="6203" xr:uid="{00000000-0005-0000-0000-0000A32E0000}"/>
    <cellStyle name="20% - Accent6 4 3 2 4 2" xfId="16443" xr:uid="{00000000-0005-0000-0000-0000A42E0000}"/>
    <cellStyle name="20% - Accent6 4 3 2 4 2 2" xfId="36923" xr:uid="{00000000-0005-0000-0000-0000A52E0000}"/>
    <cellStyle name="20% - Accent6 4 3 2 4 3" xfId="26683" xr:uid="{00000000-0005-0000-0000-0000A62E0000}"/>
    <cellStyle name="20% - Accent6 4 3 2 5" xfId="11323" xr:uid="{00000000-0005-0000-0000-0000A72E0000}"/>
    <cellStyle name="20% - Accent6 4 3 2 5 2" xfId="31803" xr:uid="{00000000-0005-0000-0000-0000A82E0000}"/>
    <cellStyle name="20% - Accent6 4 3 2 6" xfId="21563" xr:uid="{00000000-0005-0000-0000-0000A92E0000}"/>
    <cellStyle name="20% - Accent6 4 3 3" xfId="1723" xr:uid="{00000000-0005-0000-0000-0000AA2E0000}"/>
    <cellStyle name="20% - Accent6 4 3 3 2" xfId="4283" xr:uid="{00000000-0005-0000-0000-0000AB2E0000}"/>
    <cellStyle name="20% - Accent6 4 3 3 2 2" xfId="9403" xr:uid="{00000000-0005-0000-0000-0000AC2E0000}"/>
    <cellStyle name="20% - Accent6 4 3 3 2 2 2" xfId="19643" xr:uid="{00000000-0005-0000-0000-0000AD2E0000}"/>
    <cellStyle name="20% - Accent6 4 3 3 2 2 2 2" xfId="40123" xr:uid="{00000000-0005-0000-0000-0000AE2E0000}"/>
    <cellStyle name="20% - Accent6 4 3 3 2 2 3" xfId="29883" xr:uid="{00000000-0005-0000-0000-0000AF2E0000}"/>
    <cellStyle name="20% - Accent6 4 3 3 2 3" xfId="14523" xr:uid="{00000000-0005-0000-0000-0000B02E0000}"/>
    <cellStyle name="20% - Accent6 4 3 3 2 3 2" xfId="35003" xr:uid="{00000000-0005-0000-0000-0000B12E0000}"/>
    <cellStyle name="20% - Accent6 4 3 3 2 4" xfId="24763" xr:uid="{00000000-0005-0000-0000-0000B22E0000}"/>
    <cellStyle name="20% - Accent6 4 3 3 3" xfId="6843" xr:uid="{00000000-0005-0000-0000-0000B32E0000}"/>
    <cellStyle name="20% - Accent6 4 3 3 3 2" xfId="17083" xr:uid="{00000000-0005-0000-0000-0000B42E0000}"/>
    <cellStyle name="20% - Accent6 4 3 3 3 2 2" xfId="37563" xr:uid="{00000000-0005-0000-0000-0000B52E0000}"/>
    <cellStyle name="20% - Accent6 4 3 3 3 3" xfId="27323" xr:uid="{00000000-0005-0000-0000-0000B62E0000}"/>
    <cellStyle name="20% - Accent6 4 3 3 4" xfId="11963" xr:uid="{00000000-0005-0000-0000-0000B72E0000}"/>
    <cellStyle name="20% - Accent6 4 3 3 4 2" xfId="32443" xr:uid="{00000000-0005-0000-0000-0000B82E0000}"/>
    <cellStyle name="20% - Accent6 4 3 3 5" xfId="22203" xr:uid="{00000000-0005-0000-0000-0000B92E0000}"/>
    <cellStyle name="20% - Accent6 4 3 4" xfId="3003" xr:uid="{00000000-0005-0000-0000-0000BA2E0000}"/>
    <cellStyle name="20% - Accent6 4 3 4 2" xfId="8123" xr:uid="{00000000-0005-0000-0000-0000BB2E0000}"/>
    <cellStyle name="20% - Accent6 4 3 4 2 2" xfId="18363" xr:uid="{00000000-0005-0000-0000-0000BC2E0000}"/>
    <cellStyle name="20% - Accent6 4 3 4 2 2 2" xfId="38843" xr:uid="{00000000-0005-0000-0000-0000BD2E0000}"/>
    <cellStyle name="20% - Accent6 4 3 4 2 3" xfId="28603" xr:uid="{00000000-0005-0000-0000-0000BE2E0000}"/>
    <cellStyle name="20% - Accent6 4 3 4 3" xfId="13243" xr:uid="{00000000-0005-0000-0000-0000BF2E0000}"/>
    <cellStyle name="20% - Accent6 4 3 4 3 2" xfId="33723" xr:uid="{00000000-0005-0000-0000-0000C02E0000}"/>
    <cellStyle name="20% - Accent6 4 3 4 4" xfId="23483" xr:uid="{00000000-0005-0000-0000-0000C12E0000}"/>
    <cellStyle name="20% - Accent6 4 3 5" xfId="5563" xr:uid="{00000000-0005-0000-0000-0000C22E0000}"/>
    <cellStyle name="20% - Accent6 4 3 5 2" xfId="15803" xr:uid="{00000000-0005-0000-0000-0000C32E0000}"/>
    <cellStyle name="20% - Accent6 4 3 5 2 2" xfId="36283" xr:uid="{00000000-0005-0000-0000-0000C42E0000}"/>
    <cellStyle name="20% - Accent6 4 3 5 3" xfId="26043" xr:uid="{00000000-0005-0000-0000-0000C52E0000}"/>
    <cellStyle name="20% - Accent6 4 3 6" xfId="10683" xr:uid="{00000000-0005-0000-0000-0000C62E0000}"/>
    <cellStyle name="20% - Accent6 4 3 6 2" xfId="31163" xr:uid="{00000000-0005-0000-0000-0000C72E0000}"/>
    <cellStyle name="20% - Accent6 4 3 7" xfId="20923" xr:uid="{00000000-0005-0000-0000-0000C82E0000}"/>
    <cellStyle name="20% - Accent6 4 4" xfId="763" xr:uid="{00000000-0005-0000-0000-0000C92E0000}"/>
    <cellStyle name="20% - Accent6 4 4 2" xfId="2043" xr:uid="{00000000-0005-0000-0000-0000CA2E0000}"/>
    <cellStyle name="20% - Accent6 4 4 2 2" xfId="4603" xr:uid="{00000000-0005-0000-0000-0000CB2E0000}"/>
    <cellStyle name="20% - Accent6 4 4 2 2 2" xfId="9723" xr:uid="{00000000-0005-0000-0000-0000CC2E0000}"/>
    <cellStyle name="20% - Accent6 4 4 2 2 2 2" xfId="19963" xr:uid="{00000000-0005-0000-0000-0000CD2E0000}"/>
    <cellStyle name="20% - Accent6 4 4 2 2 2 2 2" xfId="40443" xr:uid="{00000000-0005-0000-0000-0000CE2E0000}"/>
    <cellStyle name="20% - Accent6 4 4 2 2 2 3" xfId="30203" xr:uid="{00000000-0005-0000-0000-0000CF2E0000}"/>
    <cellStyle name="20% - Accent6 4 4 2 2 3" xfId="14843" xr:uid="{00000000-0005-0000-0000-0000D02E0000}"/>
    <cellStyle name="20% - Accent6 4 4 2 2 3 2" xfId="35323" xr:uid="{00000000-0005-0000-0000-0000D12E0000}"/>
    <cellStyle name="20% - Accent6 4 4 2 2 4" xfId="25083" xr:uid="{00000000-0005-0000-0000-0000D22E0000}"/>
    <cellStyle name="20% - Accent6 4 4 2 3" xfId="7163" xr:uid="{00000000-0005-0000-0000-0000D32E0000}"/>
    <cellStyle name="20% - Accent6 4 4 2 3 2" xfId="17403" xr:uid="{00000000-0005-0000-0000-0000D42E0000}"/>
    <cellStyle name="20% - Accent6 4 4 2 3 2 2" xfId="37883" xr:uid="{00000000-0005-0000-0000-0000D52E0000}"/>
    <cellStyle name="20% - Accent6 4 4 2 3 3" xfId="27643" xr:uid="{00000000-0005-0000-0000-0000D62E0000}"/>
    <cellStyle name="20% - Accent6 4 4 2 4" xfId="12283" xr:uid="{00000000-0005-0000-0000-0000D72E0000}"/>
    <cellStyle name="20% - Accent6 4 4 2 4 2" xfId="32763" xr:uid="{00000000-0005-0000-0000-0000D82E0000}"/>
    <cellStyle name="20% - Accent6 4 4 2 5" xfId="22523" xr:uid="{00000000-0005-0000-0000-0000D92E0000}"/>
    <cellStyle name="20% - Accent6 4 4 3" xfId="3323" xr:uid="{00000000-0005-0000-0000-0000DA2E0000}"/>
    <cellStyle name="20% - Accent6 4 4 3 2" xfId="8443" xr:uid="{00000000-0005-0000-0000-0000DB2E0000}"/>
    <cellStyle name="20% - Accent6 4 4 3 2 2" xfId="18683" xr:uid="{00000000-0005-0000-0000-0000DC2E0000}"/>
    <cellStyle name="20% - Accent6 4 4 3 2 2 2" xfId="39163" xr:uid="{00000000-0005-0000-0000-0000DD2E0000}"/>
    <cellStyle name="20% - Accent6 4 4 3 2 3" xfId="28923" xr:uid="{00000000-0005-0000-0000-0000DE2E0000}"/>
    <cellStyle name="20% - Accent6 4 4 3 3" xfId="13563" xr:uid="{00000000-0005-0000-0000-0000DF2E0000}"/>
    <cellStyle name="20% - Accent6 4 4 3 3 2" xfId="34043" xr:uid="{00000000-0005-0000-0000-0000E02E0000}"/>
    <cellStyle name="20% - Accent6 4 4 3 4" xfId="23803" xr:uid="{00000000-0005-0000-0000-0000E12E0000}"/>
    <cellStyle name="20% - Accent6 4 4 4" xfId="5883" xr:uid="{00000000-0005-0000-0000-0000E22E0000}"/>
    <cellStyle name="20% - Accent6 4 4 4 2" xfId="16123" xr:uid="{00000000-0005-0000-0000-0000E32E0000}"/>
    <cellStyle name="20% - Accent6 4 4 4 2 2" xfId="36603" xr:uid="{00000000-0005-0000-0000-0000E42E0000}"/>
    <cellStyle name="20% - Accent6 4 4 4 3" xfId="26363" xr:uid="{00000000-0005-0000-0000-0000E52E0000}"/>
    <cellStyle name="20% - Accent6 4 4 5" xfId="11003" xr:uid="{00000000-0005-0000-0000-0000E62E0000}"/>
    <cellStyle name="20% - Accent6 4 4 5 2" xfId="31483" xr:uid="{00000000-0005-0000-0000-0000E72E0000}"/>
    <cellStyle name="20% - Accent6 4 4 6" xfId="21243" xr:uid="{00000000-0005-0000-0000-0000E82E0000}"/>
    <cellStyle name="20% - Accent6 4 5" xfId="1403" xr:uid="{00000000-0005-0000-0000-0000E92E0000}"/>
    <cellStyle name="20% - Accent6 4 5 2" xfId="3963" xr:uid="{00000000-0005-0000-0000-0000EA2E0000}"/>
    <cellStyle name="20% - Accent6 4 5 2 2" xfId="9083" xr:uid="{00000000-0005-0000-0000-0000EB2E0000}"/>
    <cellStyle name="20% - Accent6 4 5 2 2 2" xfId="19323" xr:uid="{00000000-0005-0000-0000-0000EC2E0000}"/>
    <cellStyle name="20% - Accent6 4 5 2 2 2 2" xfId="39803" xr:uid="{00000000-0005-0000-0000-0000ED2E0000}"/>
    <cellStyle name="20% - Accent6 4 5 2 2 3" xfId="29563" xr:uid="{00000000-0005-0000-0000-0000EE2E0000}"/>
    <cellStyle name="20% - Accent6 4 5 2 3" xfId="14203" xr:uid="{00000000-0005-0000-0000-0000EF2E0000}"/>
    <cellStyle name="20% - Accent6 4 5 2 3 2" xfId="34683" xr:uid="{00000000-0005-0000-0000-0000F02E0000}"/>
    <cellStyle name="20% - Accent6 4 5 2 4" xfId="24443" xr:uid="{00000000-0005-0000-0000-0000F12E0000}"/>
    <cellStyle name="20% - Accent6 4 5 3" xfId="6523" xr:uid="{00000000-0005-0000-0000-0000F22E0000}"/>
    <cellStyle name="20% - Accent6 4 5 3 2" xfId="16763" xr:uid="{00000000-0005-0000-0000-0000F32E0000}"/>
    <cellStyle name="20% - Accent6 4 5 3 2 2" xfId="37243" xr:uid="{00000000-0005-0000-0000-0000F42E0000}"/>
    <cellStyle name="20% - Accent6 4 5 3 3" xfId="27003" xr:uid="{00000000-0005-0000-0000-0000F52E0000}"/>
    <cellStyle name="20% - Accent6 4 5 4" xfId="11643" xr:uid="{00000000-0005-0000-0000-0000F62E0000}"/>
    <cellStyle name="20% - Accent6 4 5 4 2" xfId="32123" xr:uid="{00000000-0005-0000-0000-0000F72E0000}"/>
    <cellStyle name="20% - Accent6 4 5 5" xfId="21883" xr:uid="{00000000-0005-0000-0000-0000F82E0000}"/>
    <cellStyle name="20% - Accent6 4 6" xfId="2683" xr:uid="{00000000-0005-0000-0000-0000F92E0000}"/>
    <cellStyle name="20% - Accent6 4 6 2" xfId="7803" xr:uid="{00000000-0005-0000-0000-0000FA2E0000}"/>
    <cellStyle name="20% - Accent6 4 6 2 2" xfId="18043" xr:uid="{00000000-0005-0000-0000-0000FB2E0000}"/>
    <cellStyle name="20% - Accent6 4 6 2 2 2" xfId="38523" xr:uid="{00000000-0005-0000-0000-0000FC2E0000}"/>
    <cellStyle name="20% - Accent6 4 6 2 3" xfId="28283" xr:uid="{00000000-0005-0000-0000-0000FD2E0000}"/>
    <cellStyle name="20% - Accent6 4 6 3" xfId="12923" xr:uid="{00000000-0005-0000-0000-0000FE2E0000}"/>
    <cellStyle name="20% - Accent6 4 6 3 2" xfId="33403" xr:uid="{00000000-0005-0000-0000-0000FF2E0000}"/>
    <cellStyle name="20% - Accent6 4 6 4" xfId="23163" xr:uid="{00000000-0005-0000-0000-0000002F0000}"/>
    <cellStyle name="20% - Accent6 4 7" xfId="5243" xr:uid="{00000000-0005-0000-0000-0000012F0000}"/>
    <cellStyle name="20% - Accent6 4 7 2" xfId="15483" xr:uid="{00000000-0005-0000-0000-0000022F0000}"/>
    <cellStyle name="20% - Accent6 4 7 2 2" xfId="35963" xr:uid="{00000000-0005-0000-0000-0000032F0000}"/>
    <cellStyle name="20% - Accent6 4 7 3" xfId="25723" xr:uid="{00000000-0005-0000-0000-0000042F0000}"/>
    <cellStyle name="20% - Accent6 4 8" xfId="10363" xr:uid="{00000000-0005-0000-0000-0000052F0000}"/>
    <cellStyle name="20% - Accent6 4 8 2" xfId="30843" xr:uid="{00000000-0005-0000-0000-0000062F0000}"/>
    <cellStyle name="20% - Accent6 4 9" xfId="20603" xr:uid="{00000000-0005-0000-0000-0000072F0000}"/>
    <cellStyle name="20% - Accent6 5" xfId="203" xr:uid="{00000000-0005-0000-0000-0000082F0000}"/>
    <cellStyle name="20% - Accent6 5 2" xfId="523" xr:uid="{00000000-0005-0000-0000-0000092F0000}"/>
    <cellStyle name="20% - Accent6 5 2 2" xfId="1163" xr:uid="{00000000-0005-0000-0000-00000A2F0000}"/>
    <cellStyle name="20% - Accent6 5 2 2 2" xfId="2443" xr:uid="{00000000-0005-0000-0000-00000B2F0000}"/>
    <cellStyle name="20% - Accent6 5 2 2 2 2" xfId="5003" xr:uid="{00000000-0005-0000-0000-00000C2F0000}"/>
    <cellStyle name="20% - Accent6 5 2 2 2 2 2" xfId="10123" xr:uid="{00000000-0005-0000-0000-00000D2F0000}"/>
    <cellStyle name="20% - Accent6 5 2 2 2 2 2 2" xfId="20363" xr:uid="{00000000-0005-0000-0000-00000E2F0000}"/>
    <cellStyle name="20% - Accent6 5 2 2 2 2 2 2 2" xfId="40843" xr:uid="{00000000-0005-0000-0000-00000F2F0000}"/>
    <cellStyle name="20% - Accent6 5 2 2 2 2 2 3" xfId="30603" xr:uid="{00000000-0005-0000-0000-0000102F0000}"/>
    <cellStyle name="20% - Accent6 5 2 2 2 2 3" xfId="15243" xr:uid="{00000000-0005-0000-0000-0000112F0000}"/>
    <cellStyle name="20% - Accent6 5 2 2 2 2 3 2" xfId="35723" xr:uid="{00000000-0005-0000-0000-0000122F0000}"/>
    <cellStyle name="20% - Accent6 5 2 2 2 2 4" xfId="25483" xr:uid="{00000000-0005-0000-0000-0000132F0000}"/>
    <cellStyle name="20% - Accent6 5 2 2 2 3" xfId="7563" xr:uid="{00000000-0005-0000-0000-0000142F0000}"/>
    <cellStyle name="20% - Accent6 5 2 2 2 3 2" xfId="17803" xr:uid="{00000000-0005-0000-0000-0000152F0000}"/>
    <cellStyle name="20% - Accent6 5 2 2 2 3 2 2" xfId="38283" xr:uid="{00000000-0005-0000-0000-0000162F0000}"/>
    <cellStyle name="20% - Accent6 5 2 2 2 3 3" xfId="28043" xr:uid="{00000000-0005-0000-0000-0000172F0000}"/>
    <cellStyle name="20% - Accent6 5 2 2 2 4" xfId="12683" xr:uid="{00000000-0005-0000-0000-0000182F0000}"/>
    <cellStyle name="20% - Accent6 5 2 2 2 4 2" xfId="33163" xr:uid="{00000000-0005-0000-0000-0000192F0000}"/>
    <cellStyle name="20% - Accent6 5 2 2 2 5" xfId="22923" xr:uid="{00000000-0005-0000-0000-00001A2F0000}"/>
    <cellStyle name="20% - Accent6 5 2 2 3" xfId="3723" xr:uid="{00000000-0005-0000-0000-00001B2F0000}"/>
    <cellStyle name="20% - Accent6 5 2 2 3 2" xfId="8843" xr:uid="{00000000-0005-0000-0000-00001C2F0000}"/>
    <cellStyle name="20% - Accent6 5 2 2 3 2 2" xfId="19083" xr:uid="{00000000-0005-0000-0000-00001D2F0000}"/>
    <cellStyle name="20% - Accent6 5 2 2 3 2 2 2" xfId="39563" xr:uid="{00000000-0005-0000-0000-00001E2F0000}"/>
    <cellStyle name="20% - Accent6 5 2 2 3 2 3" xfId="29323" xr:uid="{00000000-0005-0000-0000-00001F2F0000}"/>
    <cellStyle name="20% - Accent6 5 2 2 3 3" xfId="13963" xr:uid="{00000000-0005-0000-0000-0000202F0000}"/>
    <cellStyle name="20% - Accent6 5 2 2 3 3 2" xfId="34443" xr:uid="{00000000-0005-0000-0000-0000212F0000}"/>
    <cellStyle name="20% - Accent6 5 2 2 3 4" xfId="24203" xr:uid="{00000000-0005-0000-0000-0000222F0000}"/>
    <cellStyle name="20% - Accent6 5 2 2 4" xfId="6283" xr:uid="{00000000-0005-0000-0000-0000232F0000}"/>
    <cellStyle name="20% - Accent6 5 2 2 4 2" xfId="16523" xr:uid="{00000000-0005-0000-0000-0000242F0000}"/>
    <cellStyle name="20% - Accent6 5 2 2 4 2 2" xfId="37003" xr:uid="{00000000-0005-0000-0000-0000252F0000}"/>
    <cellStyle name="20% - Accent6 5 2 2 4 3" xfId="26763" xr:uid="{00000000-0005-0000-0000-0000262F0000}"/>
    <cellStyle name="20% - Accent6 5 2 2 5" xfId="11403" xr:uid="{00000000-0005-0000-0000-0000272F0000}"/>
    <cellStyle name="20% - Accent6 5 2 2 5 2" xfId="31883" xr:uid="{00000000-0005-0000-0000-0000282F0000}"/>
    <cellStyle name="20% - Accent6 5 2 2 6" xfId="21643" xr:uid="{00000000-0005-0000-0000-0000292F0000}"/>
    <cellStyle name="20% - Accent6 5 2 3" xfId="1803" xr:uid="{00000000-0005-0000-0000-00002A2F0000}"/>
    <cellStyle name="20% - Accent6 5 2 3 2" xfId="4363" xr:uid="{00000000-0005-0000-0000-00002B2F0000}"/>
    <cellStyle name="20% - Accent6 5 2 3 2 2" xfId="9483" xr:uid="{00000000-0005-0000-0000-00002C2F0000}"/>
    <cellStyle name="20% - Accent6 5 2 3 2 2 2" xfId="19723" xr:uid="{00000000-0005-0000-0000-00002D2F0000}"/>
    <cellStyle name="20% - Accent6 5 2 3 2 2 2 2" xfId="40203" xr:uid="{00000000-0005-0000-0000-00002E2F0000}"/>
    <cellStyle name="20% - Accent6 5 2 3 2 2 3" xfId="29963" xr:uid="{00000000-0005-0000-0000-00002F2F0000}"/>
    <cellStyle name="20% - Accent6 5 2 3 2 3" xfId="14603" xr:uid="{00000000-0005-0000-0000-0000302F0000}"/>
    <cellStyle name="20% - Accent6 5 2 3 2 3 2" xfId="35083" xr:uid="{00000000-0005-0000-0000-0000312F0000}"/>
    <cellStyle name="20% - Accent6 5 2 3 2 4" xfId="24843" xr:uid="{00000000-0005-0000-0000-0000322F0000}"/>
    <cellStyle name="20% - Accent6 5 2 3 3" xfId="6923" xr:uid="{00000000-0005-0000-0000-0000332F0000}"/>
    <cellStyle name="20% - Accent6 5 2 3 3 2" xfId="17163" xr:uid="{00000000-0005-0000-0000-0000342F0000}"/>
    <cellStyle name="20% - Accent6 5 2 3 3 2 2" xfId="37643" xr:uid="{00000000-0005-0000-0000-0000352F0000}"/>
    <cellStyle name="20% - Accent6 5 2 3 3 3" xfId="27403" xr:uid="{00000000-0005-0000-0000-0000362F0000}"/>
    <cellStyle name="20% - Accent6 5 2 3 4" xfId="12043" xr:uid="{00000000-0005-0000-0000-0000372F0000}"/>
    <cellStyle name="20% - Accent6 5 2 3 4 2" xfId="32523" xr:uid="{00000000-0005-0000-0000-0000382F0000}"/>
    <cellStyle name="20% - Accent6 5 2 3 5" xfId="22283" xr:uid="{00000000-0005-0000-0000-0000392F0000}"/>
    <cellStyle name="20% - Accent6 5 2 4" xfId="3083" xr:uid="{00000000-0005-0000-0000-00003A2F0000}"/>
    <cellStyle name="20% - Accent6 5 2 4 2" xfId="8203" xr:uid="{00000000-0005-0000-0000-00003B2F0000}"/>
    <cellStyle name="20% - Accent6 5 2 4 2 2" xfId="18443" xr:uid="{00000000-0005-0000-0000-00003C2F0000}"/>
    <cellStyle name="20% - Accent6 5 2 4 2 2 2" xfId="38923" xr:uid="{00000000-0005-0000-0000-00003D2F0000}"/>
    <cellStyle name="20% - Accent6 5 2 4 2 3" xfId="28683" xr:uid="{00000000-0005-0000-0000-00003E2F0000}"/>
    <cellStyle name="20% - Accent6 5 2 4 3" xfId="13323" xr:uid="{00000000-0005-0000-0000-00003F2F0000}"/>
    <cellStyle name="20% - Accent6 5 2 4 3 2" xfId="33803" xr:uid="{00000000-0005-0000-0000-0000402F0000}"/>
    <cellStyle name="20% - Accent6 5 2 4 4" xfId="23563" xr:uid="{00000000-0005-0000-0000-0000412F0000}"/>
    <cellStyle name="20% - Accent6 5 2 5" xfId="5643" xr:uid="{00000000-0005-0000-0000-0000422F0000}"/>
    <cellStyle name="20% - Accent6 5 2 5 2" xfId="15883" xr:uid="{00000000-0005-0000-0000-0000432F0000}"/>
    <cellStyle name="20% - Accent6 5 2 5 2 2" xfId="36363" xr:uid="{00000000-0005-0000-0000-0000442F0000}"/>
    <cellStyle name="20% - Accent6 5 2 5 3" xfId="26123" xr:uid="{00000000-0005-0000-0000-0000452F0000}"/>
    <cellStyle name="20% - Accent6 5 2 6" xfId="10763" xr:uid="{00000000-0005-0000-0000-0000462F0000}"/>
    <cellStyle name="20% - Accent6 5 2 6 2" xfId="31243" xr:uid="{00000000-0005-0000-0000-0000472F0000}"/>
    <cellStyle name="20% - Accent6 5 2 7" xfId="21003" xr:uid="{00000000-0005-0000-0000-0000482F0000}"/>
    <cellStyle name="20% - Accent6 5 3" xfId="843" xr:uid="{00000000-0005-0000-0000-0000492F0000}"/>
    <cellStyle name="20% - Accent6 5 3 2" xfId="2123" xr:uid="{00000000-0005-0000-0000-00004A2F0000}"/>
    <cellStyle name="20% - Accent6 5 3 2 2" xfId="4683" xr:uid="{00000000-0005-0000-0000-00004B2F0000}"/>
    <cellStyle name="20% - Accent6 5 3 2 2 2" xfId="9803" xr:uid="{00000000-0005-0000-0000-00004C2F0000}"/>
    <cellStyle name="20% - Accent6 5 3 2 2 2 2" xfId="20043" xr:uid="{00000000-0005-0000-0000-00004D2F0000}"/>
    <cellStyle name="20% - Accent6 5 3 2 2 2 2 2" xfId="40523" xr:uid="{00000000-0005-0000-0000-00004E2F0000}"/>
    <cellStyle name="20% - Accent6 5 3 2 2 2 3" xfId="30283" xr:uid="{00000000-0005-0000-0000-00004F2F0000}"/>
    <cellStyle name="20% - Accent6 5 3 2 2 3" xfId="14923" xr:uid="{00000000-0005-0000-0000-0000502F0000}"/>
    <cellStyle name="20% - Accent6 5 3 2 2 3 2" xfId="35403" xr:uid="{00000000-0005-0000-0000-0000512F0000}"/>
    <cellStyle name="20% - Accent6 5 3 2 2 4" xfId="25163" xr:uid="{00000000-0005-0000-0000-0000522F0000}"/>
    <cellStyle name="20% - Accent6 5 3 2 3" xfId="7243" xr:uid="{00000000-0005-0000-0000-0000532F0000}"/>
    <cellStyle name="20% - Accent6 5 3 2 3 2" xfId="17483" xr:uid="{00000000-0005-0000-0000-0000542F0000}"/>
    <cellStyle name="20% - Accent6 5 3 2 3 2 2" xfId="37963" xr:uid="{00000000-0005-0000-0000-0000552F0000}"/>
    <cellStyle name="20% - Accent6 5 3 2 3 3" xfId="27723" xr:uid="{00000000-0005-0000-0000-0000562F0000}"/>
    <cellStyle name="20% - Accent6 5 3 2 4" xfId="12363" xr:uid="{00000000-0005-0000-0000-0000572F0000}"/>
    <cellStyle name="20% - Accent6 5 3 2 4 2" xfId="32843" xr:uid="{00000000-0005-0000-0000-0000582F0000}"/>
    <cellStyle name="20% - Accent6 5 3 2 5" xfId="22603" xr:uid="{00000000-0005-0000-0000-0000592F0000}"/>
    <cellStyle name="20% - Accent6 5 3 3" xfId="3403" xr:uid="{00000000-0005-0000-0000-00005A2F0000}"/>
    <cellStyle name="20% - Accent6 5 3 3 2" xfId="8523" xr:uid="{00000000-0005-0000-0000-00005B2F0000}"/>
    <cellStyle name="20% - Accent6 5 3 3 2 2" xfId="18763" xr:uid="{00000000-0005-0000-0000-00005C2F0000}"/>
    <cellStyle name="20% - Accent6 5 3 3 2 2 2" xfId="39243" xr:uid="{00000000-0005-0000-0000-00005D2F0000}"/>
    <cellStyle name="20% - Accent6 5 3 3 2 3" xfId="29003" xr:uid="{00000000-0005-0000-0000-00005E2F0000}"/>
    <cellStyle name="20% - Accent6 5 3 3 3" xfId="13643" xr:uid="{00000000-0005-0000-0000-00005F2F0000}"/>
    <cellStyle name="20% - Accent6 5 3 3 3 2" xfId="34123" xr:uid="{00000000-0005-0000-0000-0000602F0000}"/>
    <cellStyle name="20% - Accent6 5 3 3 4" xfId="23883" xr:uid="{00000000-0005-0000-0000-0000612F0000}"/>
    <cellStyle name="20% - Accent6 5 3 4" xfId="5963" xr:uid="{00000000-0005-0000-0000-0000622F0000}"/>
    <cellStyle name="20% - Accent6 5 3 4 2" xfId="16203" xr:uid="{00000000-0005-0000-0000-0000632F0000}"/>
    <cellStyle name="20% - Accent6 5 3 4 2 2" xfId="36683" xr:uid="{00000000-0005-0000-0000-0000642F0000}"/>
    <cellStyle name="20% - Accent6 5 3 4 3" xfId="26443" xr:uid="{00000000-0005-0000-0000-0000652F0000}"/>
    <cellStyle name="20% - Accent6 5 3 5" xfId="11083" xr:uid="{00000000-0005-0000-0000-0000662F0000}"/>
    <cellStyle name="20% - Accent6 5 3 5 2" xfId="31563" xr:uid="{00000000-0005-0000-0000-0000672F0000}"/>
    <cellStyle name="20% - Accent6 5 3 6" xfId="21323" xr:uid="{00000000-0005-0000-0000-0000682F0000}"/>
    <cellStyle name="20% - Accent6 5 4" xfId="1483" xr:uid="{00000000-0005-0000-0000-0000692F0000}"/>
    <cellStyle name="20% - Accent6 5 4 2" xfId="4043" xr:uid="{00000000-0005-0000-0000-00006A2F0000}"/>
    <cellStyle name="20% - Accent6 5 4 2 2" xfId="9163" xr:uid="{00000000-0005-0000-0000-00006B2F0000}"/>
    <cellStyle name="20% - Accent6 5 4 2 2 2" xfId="19403" xr:uid="{00000000-0005-0000-0000-00006C2F0000}"/>
    <cellStyle name="20% - Accent6 5 4 2 2 2 2" xfId="39883" xr:uid="{00000000-0005-0000-0000-00006D2F0000}"/>
    <cellStyle name="20% - Accent6 5 4 2 2 3" xfId="29643" xr:uid="{00000000-0005-0000-0000-00006E2F0000}"/>
    <cellStyle name="20% - Accent6 5 4 2 3" xfId="14283" xr:uid="{00000000-0005-0000-0000-00006F2F0000}"/>
    <cellStyle name="20% - Accent6 5 4 2 3 2" xfId="34763" xr:uid="{00000000-0005-0000-0000-0000702F0000}"/>
    <cellStyle name="20% - Accent6 5 4 2 4" xfId="24523" xr:uid="{00000000-0005-0000-0000-0000712F0000}"/>
    <cellStyle name="20% - Accent6 5 4 3" xfId="6603" xr:uid="{00000000-0005-0000-0000-0000722F0000}"/>
    <cellStyle name="20% - Accent6 5 4 3 2" xfId="16843" xr:uid="{00000000-0005-0000-0000-0000732F0000}"/>
    <cellStyle name="20% - Accent6 5 4 3 2 2" xfId="37323" xr:uid="{00000000-0005-0000-0000-0000742F0000}"/>
    <cellStyle name="20% - Accent6 5 4 3 3" xfId="27083" xr:uid="{00000000-0005-0000-0000-0000752F0000}"/>
    <cellStyle name="20% - Accent6 5 4 4" xfId="11723" xr:uid="{00000000-0005-0000-0000-0000762F0000}"/>
    <cellStyle name="20% - Accent6 5 4 4 2" xfId="32203" xr:uid="{00000000-0005-0000-0000-0000772F0000}"/>
    <cellStyle name="20% - Accent6 5 4 5" xfId="21963" xr:uid="{00000000-0005-0000-0000-0000782F0000}"/>
    <cellStyle name="20% - Accent6 5 5" xfId="2763" xr:uid="{00000000-0005-0000-0000-0000792F0000}"/>
    <cellStyle name="20% - Accent6 5 5 2" xfId="7883" xr:uid="{00000000-0005-0000-0000-00007A2F0000}"/>
    <cellStyle name="20% - Accent6 5 5 2 2" xfId="18123" xr:uid="{00000000-0005-0000-0000-00007B2F0000}"/>
    <cellStyle name="20% - Accent6 5 5 2 2 2" xfId="38603" xr:uid="{00000000-0005-0000-0000-00007C2F0000}"/>
    <cellStyle name="20% - Accent6 5 5 2 3" xfId="28363" xr:uid="{00000000-0005-0000-0000-00007D2F0000}"/>
    <cellStyle name="20% - Accent6 5 5 3" xfId="13003" xr:uid="{00000000-0005-0000-0000-00007E2F0000}"/>
    <cellStyle name="20% - Accent6 5 5 3 2" xfId="33483" xr:uid="{00000000-0005-0000-0000-00007F2F0000}"/>
    <cellStyle name="20% - Accent6 5 5 4" xfId="23243" xr:uid="{00000000-0005-0000-0000-0000802F0000}"/>
    <cellStyle name="20% - Accent6 5 6" xfId="5323" xr:uid="{00000000-0005-0000-0000-0000812F0000}"/>
    <cellStyle name="20% - Accent6 5 6 2" xfId="15563" xr:uid="{00000000-0005-0000-0000-0000822F0000}"/>
    <cellStyle name="20% - Accent6 5 6 2 2" xfId="36043" xr:uid="{00000000-0005-0000-0000-0000832F0000}"/>
    <cellStyle name="20% - Accent6 5 6 3" xfId="25803" xr:uid="{00000000-0005-0000-0000-0000842F0000}"/>
    <cellStyle name="20% - Accent6 5 7" xfId="10443" xr:uid="{00000000-0005-0000-0000-0000852F0000}"/>
    <cellStyle name="20% - Accent6 5 7 2" xfId="30923" xr:uid="{00000000-0005-0000-0000-0000862F0000}"/>
    <cellStyle name="20% - Accent6 5 8" xfId="20683" xr:uid="{00000000-0005-0000-0000-0000872F0000}"/>
    <cellStyle name="20% - Accent6 6" xfId="363" xr:uid="{00000000-0005-0000-0000-0000882F0000}"/>
    <cellStyle name="20% - Accent6 6 2" xfId="1003" xr:uid="{00000000-0005-0000-0000-0000892F0000}"/>
    <cellStyle name="20% - Accent6 6 2 2" xfId="2283" xr:uid="{00000000-0005-0000-0000-00008A2F0000}"/>
    <cellStyle name="20% - Accent6 6 2 2 2" xfId="4843" xr:uid="{00000000-0005-0000-0000-00008B2F0000}"/>
    <cellStyle name="20% - Accent6 6 2 2 2 2" xfId="9963" xr:uid="{00000000-0005-0000-0000-00008C2F0000}"/>
    <cellStyle name="20% - Accent6 6 2 2 2 2 2" xfId="20203" xr:uid="{00000000-0005-0000-0000-00008D2F0000}"/>
    <cellStyle name="20% - Accent6 6 2 2 2 2 2 2" xfId="40683" xr:uid="{00000000-0005-0000-0000-00008E2F0000}"/>
    <cellStyle name="20% - Accent6 6 2 2 2 2 3" xfId="30443" xr:uid="{00000000-0005-0000-0000-00008F2F0000}"/>
    <cellStyle name="20% - Accent6 6 2 2 2 3" xfId="15083" xr:uid="{00000000-0005-0000-0000-0000902F0000}"/>
    <cellStyle name="20% - Accent6 6 2 2 2 3 2" xfId="35563" xr:uid="{00000000-0005-0000-0000-0000912F0000}"/>
    <cellStyle name="20% - Accent6 6 2 2 2 4" xfId="25323" xr:uid="{00000000-0005-0000-0000-0000922F0000}"/>
    <cellStyle name="20% - Accent6 6 2 2 3" xfId="7403" xr:uid="{00000000-0005-0000-0000-0000932F0000}"/>
    <cellStyle name="20% - Accent6 6 2 2 3 2" xfId="17643" xr:uid="{00000000-0005-0000-0000-0000942F0000}"/>
    <cellStyle name="20% - Accent6 6 2 2 3 2 2" xfId="38123" xr:uid="{00000000-0005-0000-0000-0000952F0000}"/>
    <cellStyle name="20% - Accent6 6 2 2 3 3" xfId="27883" xr:uid="{00000000-0005-0000-0000-0000962F0000}"/>
    <cellStyle name="20% - Accent6 6 2 2 4" xfId="12523" xr:uid="{00000000-0005-0000-0000-0000972F0000}"/>
    <cellStyle name="20% - Accent6 6 2 2 4 2" xfId="33003" xr:uid="{00000000-0005-0000-0000-0000982F0000}"/>
    <cellStyle name="20% - Accent6 6 2 2 5" xfId="22763" xr:uid="{00000000-0005-0000-0000-0000992F0000}"/>
    <cellStyle name="20% - Accent6 6 2 3" xfId="3563" xr:uid="{00000000-0005-0000-0000-00009A2F0000}"/>
    <cellStyle name="20% - Accent6 6 2 3 2" xfId="8683" xr:uid="{00000000-0005-0000-0000-00009B2F0000}"/>
    <cellStyle name="20% - Accent6 6 2 3 2 2" xfId="18923" xr:uid="{00000000-0005-0000-0000-00009C2F0000}"/>
    <cellStyle name="20% - Accent6 6 2 3 2 2 2" xfId="39403" xr:uid="{00000000-0005-0000-0000-00009D2F0000}"/>
    <cellStyle name="20% - Accent6 6 2 3 2 3" xfId="29163" xr:uid="{00000000-0005-0000-0000-00009E2F0000}"/>
    <cellStyle name="20% - Accent6 6 2 3 3" xfId="13803" xr:uid="{00000000-0005-0000-0000-00009F2F0000}"/>
    <cellStyle name="20% - Accent6 6 2 3 3 2" xfId="34283" xr:uid="{00000000-0005-0000-0000-0000A02F0000}"/>
    <cellStyle name="20% - Accent6 6 2 3 4" xfId="24043" xr:uid="{00000000-0005-0000-0000-0000A12F0000}"/>
    <cellStyle name="20% - Accent6 6 2 4" xfId="6123" xr:uid="{00000000-0005-0000-0000-0000A22F0000}"/>
    <cellStyle name="20% - Accent6 6 2 4 2" xfId="16363" xr:uid="{00000000-0005-0000-0000-0000A32F0000}"/>
    <cellStyle name="20% - Accent6 6 2 4 2 2" xfId="36843" xr:uid="{00000000-0005-0000-0000-0000A42F0000}"/>
    <cellStyle name="20% - Accent6 6 2 4 3" xfId="26603" xr:uid="{00000000-0005-0000-0000-0000A52F0000}"/>
    <cellStyle name="20% - Accent6 6 2 5" xfId="11243" xr:uid="{00000000-0005-0000-0000-0000A62F0000}"/>
    <cellStyle name="20% - Accent6 6 2 5 2" xfId="31723" xr:uid="{00000000-0005-0000-0000-0000A72F0000}"/>
    <cellStyle name="20% - Accent6 6 2 6" xfId="21483" xr:uid="{00000000-0005-0000-0000-0000A82F0000}"/>
    <cellStyle name="20% - Accent6 6 3" xfId="1643" xr:uid="{00000000-0005-0000-0000-0000A92F0000}"/>
    <cellStyle name="20% - Accent6 6 3 2" xfId="4203" xr:uid="{00000000-0005-0000-0000-0000AA2F0000}"/>
    <cellStyle name="20% - Accent6 6 3 2 2" xfId="9323" xr:uid="{00000000-0005-0000-0000-0000AB2F0000}"/>
    <cellStyle name="20% - Accent6 6 3 2 2 2" xfId="19563" xr:uid="{00000000-0005-0000-0000-0000AC2F0000}"/>
    <cellStyle name="20% - Accent6 6 3 2 2 2 2" xfId="40043" xr:uid="{00000000-0005-0000-0000-0000AD2F0000}"/>
    <cellStyle name="20% - Accent6 6 3 2 2 3" xfId="29803" xr:uid="{00000000-0005-0000-0000-0000AE2F0000}"/>
    <cellStyle name="20% - Accent6 6 3 2 3" xfId="14443" xr:uid="{00000000-0005-0000-0000-0000AF2F0000}"/>
    <cellStyle name="20% - Accent6 6 3 2 3 2" xfId="34923" xr:uid="{00000000-0005-0000-0000-0000B02F0000}"/>
    <cellStyle name="20% - Accent6 6 3 2 4" xfId="24683" xr:uid="{00000000-0005-0000-0000-0000B12F0000}"/>
    <cellStyle name="20% - Accent6 6 3 3" xfId="6763" xr:uid="{00000000-0005-0000-0000-0000B22F0000}"/>
    <cellStyle name="20% - Accent6 6 3 3 2" xfId="17003" xr:uid="{00000000-0005-0000-0000-0000B32F0000}"/>
    <cellStyle name="20% - Accent6 6 3 3 2 2" xfId="37483" xr:uid="{00000000-0005-0000-0000-0000B42F0000}"/>
    <cellStyle name="20% - Accent6 6 3 3 3" xfId="27243" xr:uid="{00000000-0005-0000-0000-0000B52F0000}"/>
    <cellStyle name="20% - Accent6 6 3 4" xfId="11883" xr:uid="{00000000-0005-0000-0000-0000B62F0000}"/>
    <cellStyle name="20% - Accent6 6 3 4 2" xfId="32363" xr:uid="{00000000-0005-0000-0000-0000B72F0000}"/>
    <cellStyle name="20% - Accent6 6 3 5" xfId="22123" xr:uid="{00000000-0005-0000-0000-0000B82F0000}"/>
    <cellStyle name="20% - Accent6 6 4" xfId="2923" xr:uid="{00000000-0005-0000-0000-0000B92F0000}"/>
    <cellStyle name="20% - Accent6 6 4 2" xfId="8043" xr:uid="{00000000-0005-0000-0000-0000BA2F0000}"/>
    <cellStyle name="20% - Accent6 6 4 2 2" xfId="18283" xr:uid="{00000000-0005-0000-0000-0000BB2F0000}"/>
    <cellStyle name="20% - Accent6 6 4 2 2 2" xfId="38763" xr:uid="{00000000-0005-0000-0000-0000BC2F0000}"/>
    <cellStyle name="20% - Accent6 6 4 2 3" xfId="28523" xr:uid="{00000000-0005-0000-0000-0000BD2F0000}"/>
    <cellStyle name="20% - Accent6 6 4 3" xfId="13163" xr:uid="{00000000-0005-0000-0000-0000BE2F0000}"/>
    <cellStyle name="20% - Accent6 6 4 3 2" xfId="33643" xr:uid="{00000000-0005-0000-0000-0000BF2F0000}"/>
    <cellStyle name="20% - Accent6 6 4 4" xfId="23403" xr:uid="{00000000-0005-0000-0000-0000C02F0000}"/>
    <cellStyle name="20% - Accent6 6 5" xfId="5483" xr:uid="{00000000-0005-0000-0000-0000C12F0000}"/>
    <cellStyle name="20% - Accent6 6 5 2" xfId="15723" xr:uid="{00000000-0005-0000-0000-0000C22F0000}"/>
    <cellStyle name="20% - Accent6 6 5 2 2" xfId="36203" xr:uid="{00000000-0005-0000-0000-0000C32F0000}"/>
    <cellStyle name="20% - Accent6 6 5 3" xfId="25963" xr:uid="{00000000-0005-0000-0000-0000C42F0000}"/>
    <cellStyle name="20% - Accent6 6 6" xfId="10603" xr:uid="{00000000-0005-0000-0000-0000C52F0000}"/>
    <cellStyle name="20% - Accent6 6 6 2" xfId="31083" xr:uid="{00000000-0005-0000-0000-0000C62F0000}"/>
    <cellStyle name="20% - Accent6 6 7" xfId="20843" xr:uid="{00000000-0005-0000-0000-0000C72F0000}"/>
    <cellStyle name="20% - Accent6 7" xfId="683" xr:uid="{00000000-0005-0000-0000-0000C82F0000}"/>
    <cellStyle name="20% - Accent6 7 2" xfId="1963" xr:uid="{00000000-0005-0000-0000-0000C92F0000}"/>
    <cellStyle name="20% - Accent6 7 2 2" xfId="4523" xr:uid="{00000000-0005-0000-0000-0000CA2F0000}"/>
    <cellStyle name="20% - Accent6 7 2 2 2" xfId="9643" xr:uid="{00000000-0005-0000-0000-0000CB2F0000}"/>
    <cellStyle name="20% - Accent6 7 2 2 2 2" xfId="19883" xr:uid="{00000000-0005-0000-0000-0000CC2F0000}"/>
    <cellStyle name="20% - Accent6 7 2 2 2 2 2" xfId="40363" xr:uid="{00000000-0005-0000-0000-0000CD2F0000}"/>
    <cellStyle name="20% - Accent6 7 2 2 2 3" xfId="30123" xr:uid="{00000000-0005-0000-0000-0000CE2F0000}"/>
    <cellStyle name="20% - Accent6 7 2 2 3" xfId="14763" xr:uid="{00000000-0005-0000-0000-0000CF2F0000}"/>
    <cellStyle name="20% - Accent6 7 2 2 3 2" xfId="35243" xr:uid="{00000000-0005-0000-0000-0000D02F0000}"/>
    <cellStyle name="20% - Accent6 7 2 2 4" xfId="25003" xr:uid="{00000000-0005-0000-0000-0000D12F0000}"/>
    <cellStyle name="20% - Accent6 7 2 3" xfId="7083" xr:uid="{00000000-0005-0000-0000-0000D22F0000}"/>
    <cellStyle name="20% - Accent6 7 2 3 2" xfId="17323" xr:uid="{00000000-0005-0000-0000-0000D32F0000}"/>
    <cellStyle name="20% - Accent6 7 2 3 2 2" xfId="37803" xr:uid="{00000000-0005-0000-0000-0000D42F0000}"/>
    <cellStyle name="20% - Accent6 7 2 3 3" xfId="27563" xr:uid="{00000000-0005-0000-0000-0000D52F0000}"/>
    <cellStyle name="20% - Accent6 7 2 4" xfId="12203" xr:uid="{00000000-0005-0000-0000-0000D62F0000}"/>
    <cellStyle name="20% - Accent6 7 2 4 2" xfId="32683" xr:uid="{00000000-0005-0000-0000-0000D72F0000}"/>
    <cellStyle name="20% - Accent6 7 2 5" xfId="22443" xr:uid="{00000000-0005-0000-0000-0000D82F0000}"/>
    <cellStyle name="20% - Accent6 7 3" xfId="3243" xr:uid="{00000000-0005-0000-0000-0000D92F0000}"/>
    <cellStyle name="20% - Accent6 7 3 2" xfId="8363" xr:uid="{00000000-0005-0000-0000-0000DA2F0000}"/>
    <cellStyle name="20% - Accent6 7 3 2 2" xfId="18603" xr:uid="{00000000-0005-0000-0000-0000DB2F0000}"/>
    <cellStyle name="20% - Accent6 7 3 2 2 2" xfId="39083" xr:uid="{00000000-0005-0000-0000-0000DC2F0000}"/>
    <cellStyle name="20% - Accent6 7 3 2 3" xfId="28843" xr:uid="{00000000-0005-0000-0000-0000DD2F0000}"/>
    <cellStyle name="20% - Accent6 7 3 3" xfId="13483" xr:uid="{00000000-0005-0000-0000-0000DE2F0000}"/>
    <cellStyle name="20% - Accent6 7 3 3 2" xfId="33963" xr:uid="{00000000-0005-0000-0000-0000DF2F0000}"/>
    <cellStyle name="20% - Accent6 7 3 4" xfId="23723" xr:uid="{00000000-0005-0000-0000-0000E02F0000}"/>
    <cellStyle name="20% - Accent6 7 4" xfId="5803" xr:uid="{00000000-0005-0000-0000-0000E12F0000}"/>
    <cellStyle name="20% - Accent6 7 4 2" xfId="16043" xr:uid="{00000000-0005-0000-0000-0000E22F0000}"/>
    <cellStyle name="20% - Accent6 7 4 2 2" xfId="36523" xr:uid="{00000000-0005-0000-0000-0000E32F0000}"/>
    <cellStyle name="20% - Accent6 7 4 3" xfId="26283" xr:uid="{00000000-0005-0000-0000-0000E42F0000}"/>
    <cellStyle name="20% - Accent6 7 5" xfId="10923" xr:uid="{00000000-0005-0000-0000-0000E52F0000}"/>
    <cellStyle name="20% - Accent6 7 5 2" xfId="31403" xr:uid="{00000000-0005-0000-0000-0000E62F0000}"/>
    <cellStyle name="20% - Accent6 7 6" xfId="21163" xr:uid="{00000000-0005-0000-0000-0000E72F0000}"/>
    <cellStyle name="20% - Accent6 8" xfId="1323" xr:uid="{00000000-0005-0000-0000-0000E82F0000}"/>
    <cellStyle name="20% - Accent6 8 2" xfId="3883" xr:uid="{00000000-0005-0000-0000-0000E92F0000}"/>
    <cellStyle name="20% - Accent6 8 2 2" xfId="9003" xr:uid="{00000000-0005-0000-0000-0000EA2F0000}"/>
    <cellStyle name="20% - Accent6 8 2 2 2" xfId="19243" xr:uid="{00000000-0005-0000-0000-0000EB2F0000}"/>
    <cellStyle name="20% - Accent6 8 2 2 2 2" xfId="39723" xr:uid="{00000000-0005-0000-0000-0000EC2F0000}"/>
    <cellStyle name="20% - Accent6 8 2 2 3" xfId="29483" xr:uid="{00000000-0005-0000-0000-0000ED2F0000}"/>
    <cellStyle name="20% - Accent6 8 2 3" xfId="14123" xr:uid="{00000000-0005-0000-0000-0000EE2F0000}"/>
    <cellStyle name="20% - Accent6 8 2 3 2" xfId="34603" xr:uid="{00000000-0005-0000-0000-0000EF2F0000}"/>
    <cellStyle name="20% - Accent6 8 2 4" xfId="24363" xr:uid="{00000000-0005-0000-0000-0000F02F0000}"/>
    <cellStyle name="20% - Accent6 8 3" xfId="6443" xr:uid="{00000000-0005-0000-0000-0000F12F0000}"/>
    <cellStyle name="20% - Accent6 8 3 2" xfId="16683" xr:uid="{00000000-0005-0000-0000-0000F22F0000}"/>
    <cellStyle name="20% - Accent6 8 3 2 2" xfId="37163" xr:uid="{00000000-0005-0000-0000-0000F32F0000}"/>
    <cellStyle name="20% - Accent6 8 3 3" xfId="26923" xr:uid="{00000000-0005-0000-0000-0000F42F0000}"/>
    <cellStyle name="20% - Accent6 8 4" xfId="11563" xr:uid="{00000000-0005-0000-0000-0000F52F0000}"/>
    <cellStyle name="20% - Accent6 8 4 2" xfId="32043" xr:uid="{00000000-0005-0000-0000-0000F62F0000}"/>
    <cellStyle name="20% - Accent6 8 5" xfId="21803" xr:uid="{00000000-0005-0000-0000-0000F72F0000}"/>
    <cellStyle name="20% - Accent6 9" xfId="2603" xr:uid="{00000000-0005-0000-0000-0000F82F0000}"/>
    <cellStyle name="20% - Accent6 9 2" xfId="7723" xr:uid="{00000000-0005-0000-0000-0000F92F0000}"/>
    <cellStyle name="20% - Accent6 9 2 2" xfId="17963" xr:uid="{00000000-0005-0000-0000-0000FA2F0000}"/>
    <cellStyle name="20% - Accent6 9 2 2 2" xfId="38443" xr:uid="{00000000-0005-0000-0000-0000FB2F0000}"/>
    <cellStyle name="20% - Accent6 9 2 3" xfId="28203" xr:uid="{00000000-0005-0000-0000-0000FC2F0000}"/>
    <cellStyle name="20% - Accent6 9 3" xfId="12843" xr:uid="{00000000-0005-0000-0000-0000FD2F0000}"/>
    <cellStyle name="20% - Accent6 9 3 2" xfId="33323" xr:uid="{00000000-0005-0000-0000-0000FE2F0000}"/>
    <cellStyle name="20% - Accent6 9 4" xfId="23083" xr:uid="{00000000-0005-0000-0000-0000FF2F0000}"/>
    <cellStyle name="40% - Accent1 10" xfId="5149" xr:uid="{00000000-0005-0000-0000-000000300000}"/>
    <cellStyle name="40% - Accent1 10 2" xfId="15389" xr:uid="{00000000-0005-0000-0000-000001300000}"/>
    <cellStyle name="40% - Accent1 10 2 2" xfId="35869" xr:uid="{00000000-0005-0000-0000-000002300000}"/>
    <cellStyle name="40% - Accent1 10 3" xfId="25629" xr:uid="{00000000-0005-0000-0000-000003300000}"/>
    <cellStyle name="40% - Accent1 11" xfId="10269" xr:uid="{00000000-0005-0000-0000-000004300000}"/>
    <cellStyle name="40% - Accent1 11 2" xfId="30749" xr:uid="{00000000-0005-0000-0000-000005300000}"/>
    <cellStyle name="40% - Accent1 12" xfId="20509" xr:uid="{00000000-0005-0000-0000-000006300000}"/>
    <cellStyle name="40% - Accent1 13" xfId="24" xr:uid="{00000000-0005-0000-0000-000007300000}"/>
    <cellStyle name="40% - Accent1 2" xfId="49" xr:uid="{00000000-0005-0000-0000-000008300000}"/>
    <cellStyle name="40% - Accent1 2 10" xfId="10289" xr:uid="{00000000-0005-0000-0000-000009300000}"/>
    <cellStyle name="40% - Accent1 2 10 2" xfId="30769" xr:uid="{00000000-0005-0000-0000-00000A300000}"/>
    <cellStyle name="40% - Accent1 2 11" xfId="20529" xr:uid="{00000000-0005-0000-0000-00000B300000}"/>
    <cellStyle name="40% - Accent1 2 2" xfId="89" xr:uid="{00000000-0005-0000-0000-00000C300000}"/>
    <cellStyle name="40% - Accent1 2 2 10" xfId="20569" xr:uid="{00000000-0005-0000-0000-00000D300000}"/>
    <cellStyle name="40% - Accent1 2 2 2" xfId="169" xr:uid="{00000000-0005-0000-0000-00000E300000}"/>
    <cellStyle name="40% - Accent1 2 2 2 2" xfId="329" xr:uid="{00000000-0005-0000-0000-00000F300000}"/>
    <cellStyle name="40% - Accent1 2 2 2 2 2" xfId="649" xr:uid="{00000000-0005-0000-0000-000010300000}"/>
    <cellStyle name="40% - Accent1 2 2 2 2 2 2" xfId="1289" xr:uid="{00000000-0005-0000-0000-000011300000}"/>
    <cellStyle name="40% - Accent1 2 2 2 2 2 2 2" xfId="2569" xr:uid="{00000000-0005-0000-0000-000012300000}"/>
    <cellStyle name="40% - Accent1 2 2 2 2 2 2 2 2" xfId="5129" xr:uid="{00000000-0005-0000-0000-000013300000}"/>
    <cellStyle name="40% - Accent1 2 2 2 2 2 2 2 2 2" xfId="10249" xr:uid="{00000000-0005-0000-0000-000014300000}"/>
    <cellStyle name="40% - Accent1 2 2 2 2 2 2 2 2 2 2" xfId="20489" xr:uid="{00000000-0005-0000-0000-000015300000}"/>
    <cellStyle name="40% - Accent1 2 2 2 2 2 2 2 2 2 2 2" xfId="40969" xr:uid="{00000000-0005-0000-0000-000016300000}"/>
    <cellStyle name="40% - Accent1 2 2 2 2 2 2 2 2 2 3" xfId="30729" xr:uid="{00000000-0005-0000-0000-000017300000}"/>
    <cellStyle name="40% - Accent1 2 2 2 2 2 2 2 2 3" xfId="15369" xr:uid="{00000000-0005-0000-0000-000018300000}"/>
    <cellStyle name="40% - Accent1 2 2 2 2 2 2 2 2 3 2" xfId="35849" xr:uid="{00000000-0005-0000-0000-000019300000}"/>
    <cellStyle name="40% - Accent1 2 2 2 2 2 2 2 2 4" xfId="25609" xr:uid="{00000000-0005-0000-0000-00001A300000}"/>
    <cellStyle name="40% - Accent1 2 2 2 2 2 2 2 3" xfId="7689" xr:uid="{00000000-0005-0000-0000-00001B300000}"/>
    <cellStyle name="40% - Accent1 2 2 2 2 2 2 2 3 2" xfId="17929" xr:uid="{00000000-0005-0000-0000-00001C300000}"/>
    <cellStyle name="40% - Accent1 2 2 2 2 2 2 2 3 2 2" xfId="38409" xr:uid="{00000000-0005-0000-0000-00001D300000}"/>
    <cellStyle name="40% - Accent1 2 2 2 2 2 2 2 3 3" xfId="28169" xr:uid="{00000000-0005-0000-0000-00001E300000}"/>
    <cellStyle name="40% - Accent1 2 2 2 2 2 2 2 4" xfId="12809" xr:uid="{00000000-0005-0000-0000-00001F300000}"/>
    <cellStyle name="40% - Accent1 2 2 2 2 2 2 2 4 2" xfId="33289" xr:uid="{00000000-0005-0000-0000-000020300000}"/>
    <cellStyle name="40% - Accent1 2 2 2 2 2 2 2 5" xfId="23049" xr:uid="{00000000-0005-0000-0000-000021300000}"/>
    <cellStyle name="40% - Accent1 2 2 2 2 2 2 3" xfId="3849" xr:uid="{00000000-0005-0000-0000-000022300000}"/>
    <cellStyle name="40% - Accent1 2 2 2 2 2 2 3 2" xfId="8969" xr:uid="{00000000-0005-0000-0000-000023300000}"/>
    <cellStyle name="40% - Accent1 2 2 2 2 2 2 3 2 2" xfId="19209" xr:uid="{00000000-0005-0000-0000-000024300000}"/>
    <cellStyle name="40% - Accent1 2 2 2 2 2 2 3 2 2 2" xfId="39689" xr:uid="{00000000-0005-0000-0000-000025300000}"/>
    <cellStyle name="40% - Accent1 2 2 2 2 2 2 3 2 3" xfId="29449" xr:uid="{00000000-0005-0000-0000-000026300000}"/>
    <cellStyle name="40% - Accent1 2 2 2 2 2 2 3 3" xfId="14089" xr:uid="{00000000-0005-0000-0000-000027300000}"/>
    <cellStyle name="40% - Accent1 2 2 2 2 2 2 3 3 2" xfId="34569" xr:uid="{00000000-0005-0000-0000-000028300000}"/>
    <cellStyle name="40% - Accent1 2 2 2 2 2 2 3 4" xfId="24329" xr:uid="{00000000-0005-0000-0000-000029300000}"/>
    <cellStyle name="40% - Accent1 2 2 2 2 2 2 4" xfId="6409" xr:uid="{00000000-0005-0000-0000-00002A300000}"/>
    <cellStyle name="40% - Accent1 2 2 2 2 2 2 4 2" xfId="16649" xr:uid="{00000000-0005-0000-0000-00002B300000}"/>
    <cellStyle name="40% - Accent1 2 2 2 2 2 2 4 2 2" xfId="37129" xr:uid="{00000000-0005-0000-0000-00002C300000}"/>
    <cellStyle name="40% - Accent1 2 2 2 2 2 2 4 3" xfId="26889" xr:uid="{00000000-0005-0000-0000-00002D300000}"/>
    <cellStyle name="40% - Accent1 2 2 2 2 2 2 5" xfId="11529" xr:uid="{00000000-0005-0000-0000-00002E300000}"/>
    <cellStyle name="40% - Accent1 2 2 2 2 2 2 5 2" xfId="32009" xr:uid="{00000000-0005-0000-0000-00002F300000}"/>
    <cellStyle name="40% - Accent1 2 2 2 2 2 2 6" xfId="21769" xr:uid="{00000000-0005-0000-0000-000030300000}"/>
    <cellStyle name="40% - Accent1 2 2 2 2 2 3" xfId="1929" xr:uid="{00000000-0005-0000-0000-000031300000}"/>
    <cellStyle name="40% - Accent1 2 2 2 2 2 3 2" xfId="4489" xr:uid="{00000000-0005-0000-0000-000032300000}"/>
    <cellStyle name="40% - Accent1 2 2 2 2 2 3 2 2" xfId="9609" xr:uid="{00000000-0005-0000-0000-000033300000}"/>
    <cellStyle name="40% - Accent1 2 2 2 2 2 3 2 2 2" xfId="19849" xr:uid="{00000000-0005-0000-0000-000034300000}"/>
    <cellStyle name="40% - Accent1 2 2 2 2 2 3 2 2 2 2" xfId="40329" xr:uid="{00000000-0005-0000-0000-000035300000}"/>
    <cellStyle name="40% - Accent1 2 2 2 2 2 3 2 2 3" xfId="30089" xr:uid="{00000000-0005-0000-0000-000036300000}"/>
    <cellStyle name="40% - Accent1 2 2 2 2 2 3 2 3" xfId="14729" xr:uid="{00000000-0005-0000-0000-000037300000}"/>
    <cellStyle name="40% - Accent1 2 2 2 2 2 3 2 3 2" xfId="35209" xr:uid="{00000000-0005-0000-0000-000038300000}"/>
    <cellStyle name="40% - Accent1 2 2 2 2 2 3 2 4" xfId="24969" xr:uid="{00000000-0005-0000-0000-000039300000}"/>
    <cellStyle name="40% - Accent1 2 2 2 2 2 3 3" xfId="7049" xr:uid="{00000000-0005-0000-0000-00003A300000}"/>
    <cellStyle name="40% - Accent1 2 2 2 2 2 3 3 2" xfId="17289" xr:uid="{00000000-0005-0000-0000-00003B300000}"/>
    <cellStyle name="40% - Accent1 2 2 2 2 2 3 3 2 2" xfId="37769" xr:uid="{00000000-0005-0000-0000-00003C300000}"/>
    <cellStyle name="40% - Accent1 2 2 2 2 2 3 3 3" xfId="27529" xr:uid="{00000000-0005-0000-0000-00003D300000}"/>
    <cellStyle name="40% - Accent1 2 2 2 2 2 3 4" xfId="12169" xr:uid="{00000000-0005-0000-0000-00003E300000}"/>
    <cellStyle name="40% - Accent1 2 2 2 2 2 3 4 2" xfId="32649" xr:uid="{00000000-0005-0000-0000-00003F300000}"/>
    <cellStyle name="40% - Accent1 2 2 2 2 2 3 5" xfId="22409" xr:uid="{00000000-0005-0000-0000-000040300000}"/>
    <cellStyle name="40% - Accent1 2 2 2 2 2 4" xfId="3209" xr:uid="{00000000-0005-0000-0000-000041300000}"/>
    <cellStyle name="40% - Accent1 2 2 2 2 2 4 2" xfId="8329" xr:uid="{00000000-0005-0000-0000-000042300000}"/>
    <cellStyle name="40% - Accent1 2 2 2 2 2 4 2 2" xfId="18569" xr:uid="{00000000-0005-0000-0000-000043300000}"/>
    <cellStyle name="40% - Accent1 2 2 2 2 2 4 2 2 2" xfId="39049" xr:uid="{00000000-0005-0000-0000-000044300000}"/>
    <cellStyle name="40% - Accent1 2 2 2 2 2 4 2 3" xfId="28809" xr:uid="{00000000-0005-0000-0000-000045300000}"/>
    <cellStyle name="40% - Accent1 2 2 2 2 2 4 3" xfId="13449" xr:uid="{00000000-0005-0000-0000-000046300000}"/>
    <cellStyle name="40% - Accent1 2 2 2 2 2 4 3 2" xfId="33929" xr:uid="{00000000-0005-0000-0000-000047300000}"/>
    <cellStyle name="40% - Accent1 2 2 2 2 2 4 4" xfId="23689" xr:uid="{00000000-0005-0000-0000-000048300000}"/>
    <cellStyle name="40% - Accent1 2 2 2 2 2 5" xfId="5769" xr:uid="{00000000-0005-0000-0000-000049300000}"/>
    <cellStyle name="40% - Accent1 2 2 2 2 2 5 2" xfId="16009" xr:uid="{00000000-0005-0000-0000-00004A300000}"/>
    <cellStyle name="40% - Accent1 2 2 2 2 2 5 2 2" xfId="36489" xr:uid="{00000000-0005-0000-0000-00004B300000}"/>
    <cellStyle name="40% - Accent1 2 2 2 2 2 5 3" xfId="26249" xr:uid="{00000000-0005-0000-0000-00004C300000}"/>
    <cellStyle name="40% - Accent1 2 2 2 2 2 6" xfId="10889" xr:uid="{00000000-0005-0000-0000-00004D300000}"/>
    <cellStyle name="40% - Accent1 2 2 2 2 2 6 2" xfId="31369" xr:uid="{00000000-0005-0000-0000-00004E300000}"/>
    <cellStyle name="40% - Accent1 2 2 2 2 2 7" xfId="21129" xr:uid="{00000000-0005-0000-0000-00004F300000}"/>
    <cellStyle name="40% - Accent1 2 2 2 2 3" xfId="969" xr:uid="{00000000-0005-0000-0000-000050300000}"/>
    <cellStyle name="40% - Accent1 2 2 2 2 3 2" xfId="2249" xr:uid="{00000000-0005-0000-0000-000051300000}"/>
    <cellStyle name="40% - Accent1 2 2 2 2 3 2 2" xfId="4809" xr:uid="{00000000-0005-0000-0000-000052300000}"/>
    <cellStyle name="40% - Accent1 2 2 2 2 3 2 2 2" xfId="9929" xr:uid="{00000000-0005-0000-0000-000053300000}"/>
    <cellStyle name="40% - Accent1 2 2 2 2 3 2 2 2 2" xfId="20169" xr:uid="{00000000-0005-0000-0000-000054300000}"/>
    <cellStyle name="40% - Accent1 2 2 2 2 3 2 2 2 2 2" xfId="40649" xr:uid="{00000000-0005-0000-0000-000055300000}"/>
    <cellStyle name="40% - Accent1 2 2 2 2 3 2 2 2 3" xfId="30409" xr:uid="{00000000-0005-0000-0000-000056300000}"/>
    <cellStyle name="40% - Accent1 2 2 2 2 3 2 2 3" xfId="15049" xr:uid="{00000000-0005-0000-0000-000057300000}"/>
    <cellStyle name="40% - Accent1 2 2 2 2 3 2 2 3 2" xfId="35529" xr:uid="{00000000-0005-0000-0000-000058300000}"/>
    <cellStyle name="40% - Accent1 2 2 2 2 3 2 2 4" xfId="25289" xr:uid="{00000000-0005-0000-0000-000059300000}"/>
    <cellStyle name="40% - Accent1 2 2 2 2 3 2 3" xfId="7369" xr:uid="{00000000-0005-0000-0000-00005A300000}"/>
    <cellStyle name="40% - Accent1 2 2 2 2 3 2 3 2" xfId="17609" xr:uid="{00000000-0005-0000-0000-00005B300000}"/>
    <cellStyle name="40% - Accent1 2 2 2 2 3 2 3 2 2" xfId="38089" xr:uid="{00000000-0005-0000-0000-00005C300000}"/>
    <cellStyle name="40% - Accent1 2 2 2 2 3 2 3 3" xfId="27849" xr:uid="{00000000-0005-0000-0000-00005D300000}"/>
    <cellStyle name="40% - Accent1 2 2 2 2 3 2 4" xfId="12489" xr:uid="{00000000-0005-0000-0000-00005E300000}"/>
    <cellStyle name="40% - Accent1 2 2 2 2 3 2 4 2" xfId="32969" xr:uid="{00000000-0005-0000-0000-00005F300000}"/>
    <cellStyle name="40% - Accent1 2 2 2 2 3 2 5" xfId="22729" xr:uid="{00000000-0005-0000-0000-000060300000}"/>
    <cellStyle name="40% - Accent1 2 2 2 2 3 3" xfId="3529" xr:uid="{00000000-0005-0000-0000-000061300000}"/>
    <cellStyle name="40% - Accent1 2 2 2 2 3 3 2" xfId="8649" xr:uid="{00000000-0005-0000-0000-000062300000}"/>
    <cellStyle name="40% - Accent1 2 2 2 2 3 3 2 2" xfId="18889" xr:uid="{00000000-0005-0000-0000-000063300000}"/>
    <cellStyle name="40% - Accent1 2 2 2 2 3 3 2 2 2" xfId="39369" xr:uid="{00000000-0005-0000-0000-000064300000}"/>
    <cellStyle name="40% - Accent1 2 2 2 2 3 3 2 3" xfId="29129" xr:uid="{00000000-0005-0000-0000-000065300000}"/>
    <cellStyle name="40% - Accent1 2 2 2 2 3 3 3" xfId="13769" xr:uid="{00000000-0005-0000-0000-000066300000}"/>
    <cellStyle name="40% - Accent1 2 2 2 2 3 3 3 2" xfId="34249" xr:uid="{00000000-0005-0000-0000-000067300000}"/>
    <cellStyle name="40% - Accent1 2 2 2 2 3 3 4" xfId="24009" xr:uid="{00000000-0005-0000-0000-000068300000}"/>
    <cellStyle name="40% - Accent1 2 2 2 2 3 4" xfId="6089" xr:uid="{00000000-0005-0000-0000-000069300000}"/>
    <cellStyle name="40% - Accent1 2 2 2 2 3 4 2" xfId="16329" xr:uid="{00000000-0005-0000-0000-00006A300000}"/>
    <cellStyle name="40% - Accent1 2 2 2 2 3 4 2 2" xfId="36809" xr:uid="{00000000-0005-0000-0000-00006B300000}"/>
    <cellStyle name="40% - Accent1 2 2 2 2 3 4 3" xfId="26569" xr:uid="{00000000-0005-0000-0000-00006C300000}"/>
    <cellStyle name="40% - Accent1 2 2 2 2 3 5" xfId="11209" xr:uid="{00000000-0005-0000-0000-00006D300000}"/>
    <cellStyle name="40% - Accent1 2 2 2 2 3 5 2" xfId="31689" xr:uid="{00000000-0005-0000-0000-00006E300000}"/>
    <cellStyle name="40% - Accent1 2 2 2 2 3 6" xfId="21449" xr:uid="{00000000-0005-0000-0000-00006F300000}"/>
    <cellStyle name="40% - Accent1 2 2 2 2 4" xfId="1609" xr:uid="{00000000-0005-0000-0000-000070300000}"/>
    <cellStyle name="40% - Accent1 2 2 2 2 4 2" xfId="4169" xr:uid="{00000000-0005-0000-0000-000071300000}"/>
    <cellStyle name="40% - Accent1 2 2 2 2 4 2 2" xfId="9289" xr:uid="{00000000-0005-0000-0000-000072300000}"/>
    <cellStyle name="40% - Accent1 2 2 2 2 4 2 2 2" xfId="19529" xr:uid="{00000000-0005-0000-0000-000073300000}"/>
    <cellStyle name="40% - Accent1 2 2 2 2 4 2 2 2 2" xfId="40009" xr:uid="{00000000-0005-0000-0000-000074300000}"/>
    <cellStyle name="40% - Accent1 2 2 2 2 4 2 2 3" xfId="29769" xr:uid="{00000000-0005-0000-0000-000075300000}"/>
    <cellStyle name="40% - Accent1 2 2 2 2 4 2 3" xfId="14409" xr:uid="{00000000-0005-0000-0000-000076300000}"/>
    <cellStyle name="40% - Accent1 2 2 2 2 4 2 3 2" xfId="34889" xr:uid="{00000000-0005-0000-0000-000077300000}"/>
    <cellStyle name="40% - Accent1 2 2 2 2 4 2 4" xfId="24649" xr:uid="{00000000-0005-0000-0000-000078300000}"/>
    <cellStyle name="40% - Accent1 2 2 2 2 4 3" xfId="6729" xr:uid="{00000000-0005-0000-0000-000079300000}"/>
    <cellStyle name="40% - Accent1 2 2 2 2 4 3 2" xfId="16969" xr:uid="{00000000-0005-0000-0000-00007A300000}"/>
    <cellStyle name="40% - Accent1 2 2 2 2 4 3 2 2" xfId="37449" xr:uid="{00000000-0005-0000-0000-00007B300000}"/>
    <cellStyle name="40% - Accent1 2 2 2 2 4 3 3" xfId="27209" xr:uid="{00000000-0005-0000-0000-00007C300000}"/>
    <cellStyle name="40% - Accent1 2 2 2 2 4 4" xfId="11849" xr:uid="{00000000-0005-0000-0000-00007D300000}"/>
    <cellStyle name="40% - Accent1 2 2 2 2 4 4 2" xfId="32329" xr:uid="{00000000-0005-0000-0000-00007E300000}"/>
    <cellStyle name="40% - Accent1 2 2 2 2 4 5" xfId="22089" xr:uid="{00000000-0005-0000-0000-00007F300000}"/>
    <cellStyle name="40% - Accent1 2 2 2 2 5" xfId="2889" xr:uid="{00000000-0005-0000-0000-000080300000}"/>
    <cellStyle name="40% - Accent1 2 2 2 2 5 2" xfId="8009" xr:uid="{00000000-0005-0000-0000-000081300000}"/>
    <cellStyle name="40% - Accent1 2 2 2 2 5 2 2" xfId="18249" xr:uid="{00000000-0005-0000-0000-000082300000}"/>
    <cellStyle name="40% - Accent1 2 2 2 2 5 2 2 2" xfId="38729" xr:uid="{00000000-0005-0000-0000-000083300000}"/>
    <cellStyle name="40% - Accent1 2 2 2 2 5 2 3" xfId="28489" xr:uid="{00000000-0005-0000-0000-000084300000}"/>
    <cellStyle name="40% - Accent1 2 2 2 2 5 3" xfId="13129" xr:uid="{00000000-0005-0000-0000-000085300000}"/>
    <cellStyle name="40% - Accent1 2 2 2 2 5 3 2" xfId="33609" xr:uid="{00000000-0005-0000-0000-000086300000}"/>
    <cellStyle name="40% - Accent1 2 2 2 2 5 4" xfId="23369" xr:uid="{00000000-0005-0000-0000-000087300000}"/>
    <cellStyle name="40% - Accent1 2 2 2 2 6" xfId="5449" xr:uid="{00000000-0005-0000-0000-000088300000}"/>
    <cellStyle name="40% - Accent1 2 2 2 2 6 2" xfId="15689" xr:uid="{00000000-0005-0000-0000-000089300000}"/>
    <cellStyle name="40% - Accent1 2 2 2 2 6 2 2" xfId="36169" xr:uid="{00000000-0005-0000-0000-00008A300000}"/>
    <cellStyle name="40% - Accent1 2 2 2 2 6 3" xfId="25929" xr:uid="{00000000-0005-0000-0000-00008B300000}"/>
    <cellStyle name="40% - Accent1 2 2 2 2 7" xfId="10569" xr:uid="{00000000-0005-0000-0000-00008C300000}"/>
    <cellStyle name="40% - Accent1 2 2 2 2 7 2" xfId="31049" xr:uid="{00000000-0005-0000-0000-00008D300000}"/>
    <cellStyle name="40% - Accent1 2 2 2 2 8" xfId="20809" xr:uid="{00000000-0005-0000-0000-00008E300000}"/>
    <cellStyle name="40% - Accent1 2 2 2 3" xfId="489" xr:uid="{00000000-0005-0000-0000-00008F300000}"/>
    <cellStyle name="40% - Accent1 2 2 2 3 2" xfId="1129" xr:uid="{00000000-0005-0000-0000-000090300000}"/>
    <cellStyle name="40% - Accent1 2 2 2 3 2 2" xfId="2409" xr:uid="{00000000-0005-0000-0000-000091300000}"/>
    <cellStyle name="40% - Accent1 2 2 2 3 2 2 2" xfId="4969" xr:uid="{00000000-0005-0000-0000-000092300000}"/>
    <cellStyle name="40% - Accent1 2 2 2 3 2 2 2 2" xfId="10089" xr:uid="{00000000-0005-0000-0000-000093300000}"/>
    <cellStyle name="40% - Accent1 2 2 2 3 2 2 2 2 2" xfId="20329" xr:uid="{00000000-0005-0000-0000-000094300000}"/>
    <cellStyle name="40% - Accent1 2 2 2 3 2 2 2 2 2 2" xfId="40809" xr:uid="{00000000-0005-0000-0000-000095300000}"/>
    <cellStyle name="40% - Accent1 2 2 2 3 2 2 2 2 3" xfId="30569" xr:uid="{00000000-0005-0000-0000-000096300000}"/>
    <cellStyle name="40% - Accent1 2 2 2 3 2 2 2 3" xfId="15209" xr:uid="{00000000-0005-0000-0000-000097300000}"/>
    <cellStyle name="40% - Accent1 2 2 2 3 2 2 2 3 2" xfId="35689" xr:uid="{00000000-0005-0000-0000-000098300000}"/>
    <cellStyle name="40% - Accent1 2 2 2 3 2 2 2 4" xfId="25449" xr:uid="{00000000-0005-0000-0000-000099300000}"/>
    <cellStyle name="40% - Accent1 2 2 2 3 2 2 3" xfId="7529" xr:uid="{00000000-0005-0000-0000-00009A300000}"/>
    <cellStyle name="40% - Accent1 2 2 2 3 2 2 3 2" xfId="17769" xr:uid="{00000000-0005-0000-0000-00009B300000}"/>
    <cellStyle name="40% - Accent1 2 2 2 3 2 2 3 2 2" xfId="38249" xr:uid="{00000000-0005-0000-0000-00009C300000}"/>
    <cellStyle name="40% - Accent1 2 2 2 3 2 2 3 3" xfId="28009" xr:uid="{00000000-0005-0000-0000-00009D300000}"/>
    <cellStyle name="40% - Accent1 2 2 2 3 2 2 4" xfId="12649" xr:uid="{00000000-0005-0000-0000-00009E300000}"/>
    <cellStyle name="40% - Accent1 2 2 2 3 2 2 4 2" xfId="33129" xr:uid="{00000000-0005-0000-0000-00009F300000}"/>
    <cellStyle name="40% - Accent1 2 2 2 3 2 2 5" xfId="22889" xr:uid="{00000000-0005-0000-0000-0000A0300000}"/>
    <cellStyle name="40% - Accent1 2 2 2 3 2 3" xfId="3689" xr:uid="{00000000-0005-0000-0000-0000A1300000}"/>
    <cellStyle name="40% - Accent1 2 2 2 3 2 3 2" xfId="8809" xr:uid="{00000000-0005-0000-0000-0000A2300000}"/>
    <cellStyle name="40% - Accent1 2 2 2 3 2 3 2 2" xfId="19049" xr:uid="{00000000-0005-0000-0000-0000A3300000}"/>
    <cellStyle name="40% - Accent1 2 2 2 3 2 3 2 2 2" xfId="39529" xr:uid="{00000000-0005-0000-0000-0000A4300000}"/>
    <cellStyle name="40% - Accent1 2 2 2 3 2 3 2 3" xfId="29289" xr:uid="{00000000-0005-0000-0000-0000A5300000}"/>
    <cellStyle name="40% - Accent1 2 2 2 3 2 3 3" xfId="13929" xr:uid="{00000000-0005-0000-0000-0000A6300000}"/>
    <cellStyle name="40% - Accent1 2 2 2 3 2 3 3 2" xfId="34409" xr:uid="{00000000-0005-0000-0000-0000A7300000}"/>
    <cellStyle name="40% - Accent1 2 2 2 3 2 3 4" xfId="24169" xr:uid="{00000000-0005-0000-0000-0000A8300000}"/>
    <cellStyle name="40% - Accent1 2 2 2 3 2 4" xfId="6249" xr:uid="{00000000-0005-0000-0000-0000A9300000}"/>
    <cellStyle name="40% - Accent1 2 2 2 3 2 4 2" xfId="16489" xr:uid="{00000000-0005-0000-0000-0000AA300000}"/>
    <cellStyle name="40% - Accent1 2 2 2 3 2 4 2 2" xfId="36969" xr:uid="{00000000-0005-0000-0000-0000AB300000}"/>
    <cellStyle name="40% - Accent1 2 2 2 3 2 4 3" xfId="26729" xr:uid="{00000000-0005-0000-0000-0000AC300000}"/>
    <cellStyle name="40% - Accent1 2 2 2 3 2 5" xfId="11369" xr:uid="{00000000-0005-0000-0000-0000AD300000}"/>
    <cellStyle name="40% - Accent1 2 2 2 3 2 5 2" xfId="31849" xr:uid="{00000000-0005-0000-0000-0000AE300000}"/>
    <cellStyle name="40% - Accent1 2 2 2 3 2 6" xfId="21609" xr:uid="{00000000-0005-0000-0000-0000AF300000}"/>
    <cellStyle name="40% - Accent1 2 2 2 3 3" xfId="1769" xr:uid="{00000000-0005-0000-0000-0000B0300000}"/>
    <cellStyle name="40% - Accent1 2 2 2 3 3 2" xfId="4329" xr:uid="{00000000-0005-0000-0000-0000B1300000}"/>
    <cellStyle name="40% - Accent1 2 2 2 3 3 2 2" xfId="9449" xr:uid="{00000000-0005-0000-0000-0000B2300000}"/>
    <cellStyle name="40% - Accent1 2 2 2 3 3 2 2 2" xfId="19689" xr:uid="{00000000-0005-0000-0000-0000B3300000}"/>
    <cellStyle name="40% - Accent1 2 2 2 3 3 2 2 2 2" xfId="40169" xr:uid="{00000000-0005-0000-0000-0000B4300000}"/>
    <cellStyle name="40% - Accent1 2 2 2 3 3 2 2 3" xfId="29929" xr:uid="{00000000-0005-0000-0000-0000B5300000}"/>
    <cellStyle name="40% - Accent1 2 2 2 3 3 2 3" xfId="14569" xr:uid="{00000000-0005-0000-0000-0000B6300000}"/>
    <cellStyle name="40% - Accent1 2 2 2 3 3 2 3 2" xfId="35049" xr:uid="{00000000-0005-0000-0000-0000B7300000}"/>
    <cellStyle name="40% - Accent1 2 2 2 3 3 2 4" xfId="24809" xr:uid="{00000000-0005-0000-0000-0000B8300000}"/>
    <cellStyle name="40% - Accent1 2 2 2 3 3 3" xfId="6889" xr:uid="{00000000-0005-0000-0000-0000B9300000}"/>
    <cellStyle name="40% - Accent1 2 2 2 3 3 3 2" xfId="17129" xr:uid="{00000000-0005-0000-0000-0000BA300000}"/>
    <cellStyle name="40% - Accent1 2 2 2 3 3 3 2 2" xfId="37609" xr:uid="{00000000-0005-0000-0000-0000BB300000}"/>
    <cellStyle name="40% - Accent1 2 2 2 3 3 3 3" xfId="27369" xr:uid="{00000000-0005-0000-0000-0000BC300000}"/>
    <cellStyle name="40% - Accent1 2 2 2 3 3 4" xfId="12009" xr:uid="{00000000-0005-0000-0000-0000BD300000}"/>
    <cellStyle name="40% - Accent1 2 2 2 3 3 4 2" xfId="32489" xr:uid="{00000000-0005-0000-0000-0000BE300000}"/>
    <cellStyle name="40% - Accent1 2 2 2 3 3 5" xfId="22249" xr:uid="{00000000-0005-0000-0000-0000BF300000}"/>
    <cellStyle name="40% - Accent1 2 2 2 3 4" xfId="3049" xr:uid="{00000000-0005-0000-0000-0000C0300000}"/>
    <cellStyle name="40% - Accent1 2 2 2 3 4 2" xfId="8169" xr:uid="{00000000-0005-0000-0000-0000C1300000}"/>
    <cellStyle name="40% - Accent1 2 2 2 3 4 2 2" xfId="18409" xr:uid="{00000000-0005-0000-0000-0000C2300000}"/>
    <cellStyle name="40% - Accent1 2 2 2 3 4 2 2 2" xfId="38889" xr:uid="{00000000-0005-0000-0000-0000C3300000}"/>
    <cellStyle name="40% - Accent1 2 2 2 3 4 2 3" xfId="28649" xr:uid="{00000000-0005-0000-0000-0000C4300000}"/>
    <cellStyle name="40% - Accent1 2 2 2 3 4 3" xfId="13289" xr:uid="{00000000-0005-0000-0000-0000C5300000}"/>
    <cellStyle name="40% - Accent1 2 2 2 3 4 3 2" xfId="33769" xr:uid="{00000000-0005-0000-0000-0000C6300000}"/>
    <cellStyle name="40% - Accent1 2 2 2 3 4 4" xfId="23529" xr:uid="{00000000-0005-0000-0000-0000C7300000}"/>
    <cellStyle name="40% - Accent1 2 2 2 3 5" xfId="5609" xr:uid="{00000000-0005-0000-0000-0000C8300000}"/>
    <cellStyle name="40% - Accent1 2 2 2 3 5 2" xfId="15849" xr:uid="{00000000-0005-0000-0000-0000C9300000}"/>
    <cellStyle name="40% - Accent1 2 2 2 3 5 2 2" xfId="36329" xr:uid="{00000000-0005-0000-0000-0000CA300000}"/>
    <cellStyle name="40% - Accent1 2 2 2 3 5 3" xfId="26089" xr:uid="{00000000-0005-0000-0000-0000CB300000}"/>
    <cellStyle name="40% - Accent1 2 2 2 3 6" xfId="10729" xr:uid="{00000000-0005-0000-0000-0000CC300000}"/>
    <cellStyle name="40% - Accent1 2 2 2 3 6 2" xfId="31209" xr:uid="{00000000-0005-0000-0000-0000CD300000}"/>
    <cellStyle name="40% - Accent1 2 2 2 3 7" xfId="20969" xr:uid="{00000000-0005-0000-0000-0000CE300000}"/>
    <cellStyle name="40% - Accent1 2 2 2 4" xfId="809" xr:uid="{00000000-0005-0000-0000-0000CF300000}"/>
    <cellStyle name="40% - Accent1 2 2 2 4 2" xfId="2089" xr:uid="{00000000-0005-0000-0000-0000D0300000}"/>
    <cellStyle name="40% - Accent1 2 2 2 4 2 2" xfId="4649" xr:uid="{00000000-0005-0000-0000-0000D1300000}"/>
    <cellStyle name="40% - Accent1 2 2 2 4 2 2 2" xfId="9769" xr:uid="{00000000-0005-0000-0000-0000D2300000}"/>
    <cellStyle name="40% - Accent1 2 2 2 4 2 2 2 2" xfId="20009" xr:uid="{00000000-0005-0000-0000-0000D3300000}"/>
    <cellStyle name="40% - Accent1 2 2 2 4 2 2 2 2 2" xfId="40489" xr:uid="{00000000-0005-0000-0000-0000D4300000}"/>
    <cellStyle name="40% - Accent1 2 2 2 4 2 2 2 3" xfId="30249" xr:uid="{00000000-0005-0000-0000-0000D5300000}"/>
    <cellStyle name="40% - Accent1 2 2 2 4 2 2 3" xfId="14889" xr:uid="{00000000-0005-0000-0000-0000D6300000}"/>
    <cellStyle name="40% - Accent1 2 2 2 4 2 2 3 2" xfId="35369" xr:uid="{00000000-0005-0000-0000-0000D7300000}"/>
    <cellStyle name="40% - Accent1 2 2 2 4 2 2 4" xfId="25129" xr:uid="{00000000-0005-0000-0000-0000D8300000}"/>
    <cellStyle name="40% - Accent1 2 2 2 4 2 3" xfId="7209" xr:uid="{00000000-0005-0000-0000-0000D9300000}"/>
    <cellStyle name="40% - Accent1 2 2 2 4 2 3 2" xfId="17449" xr:uid="{00000000-0005-0000-0000-0000DA300000}"/>
    <cellStyle name="40% - Accent1 2 2 2 4 2 3 2 2" xfId="37929" xr:uid="{00000000-0005-0000-0000-0000DB300000}"/>
    <cellStyle name="40% - Accent1 2 2 2 4 2 3 3" xfId="27689" xr:uid="{00000000-0005-0000-0000-0000DC300000}"/>
    <cellStyle name="40% - Accent1 2 2 2 4 2 4" xfId="12329" xr:uid="{00000000-0005-0000-0000-0000DD300000}"/>
    <cellStyle name="40% - Accent1 2 2 2 4 2 4 2" xfId="32809" xr:uid="{00000000-0005-0000-0000-0000DE300000}"/>
    <cellStyle name="40% - Accent1 2 2 2 4 2 5" xfId="22569" xr:uid="{00000000-0005-0000-0000-0000DF300000}"/>
    <cellStyle name="40% - Accent1 2 2 2 4 3" xfId="3369" xr:uid="{00000000-0005-0000-0000-0000E0300000}"/>
    <cellStyle name="40% - Accent1 2 2 2 4 3 2" xfId="8489" xr:uid="{00000000-0005-0000-0000-0000E1300000}"/>
    <cellStyle name="40% - Accent1 2 2 2 4 3 2 2" xfId="18729" xr:uid="{00000000-0005-0000-0000-0000E2300000}"/>
    <cellStyle name="40% - Accent1 2 2 2 4 3 2 2 2" xfId="39209" xr:uid="{00000000-0005-0000-0000-0000E3300000}"/>
    <cellStyle name="40% - Accent1 2 2 2 4 3 2 3" xfId="28969" xr:uid="{00000000-0005-0000-0000-0000E4300000}"/>
    <cellStyle name="40% - Accent1 2 2 2 4 3 3" xfId="13609" xr:uid="{00000000-0005-0000-0000-0000E5300000}"/>
    <cellStyle name="40% - Accent1 2 2 2 4 3 3 2" xfId="34089" xr:uid="{00000000-0005-0000-0000-0000E6300000}"/>
    <cellStyle name="40% - Accent1 2 2 2 4 3 4" xfId="23849" xr:uid="{00000000-0005-0000-0000-0000E7300000}"/>
    <cellStyle name="40% - Accent1 2 2 2 4 4" xfId="5929" xr:uid="{00000000-0005-0000-0000-0000E8300000}"/>
    <cellStyle name="40% - Accent1 2 2 2 4 4 2" xfId="16169" xr:uid="{00000000-0005-0000-0000-0000E9300000}"/>
    <cellStyle name="40% - Accent1 2 2 2 4 4 2 2" xfId="36649" xr:uid="{00000000-0005-0000-0000-0000EA300000}"/>
    <cellStyle name="40% - Accent1 2 2 2 4 4 3" xfId="26409" xr:uid="{00000000-0005-0000-0000-0000EB300000}"/>
    <cellStyle name="40% - Accent1 2 2 2 4 5" xfId="11049" xr:uid="{00000000-0005-0000-0000-0000EC300000}"/>
    <cellStyle name="40% - Accent1 2 2 2 4 5 2" xfId="31529" xr:uid="{00000000-0005-0000-0000-0000ED300000}"/>
    <cellStyle name="40% - Accent1 2 2 2 4 6" xfId="21289" xr:uid="{00000000-0005-0000-0000-0000EE300000}"/>
    <cellStyle name="40% - Accent1 2 2 2 5" xfId="1449" xr:uid="{00000000-0005-0000-0000-0000EF300000}"/>
    <cellStyle name="40% - Accent1 2 2 2 5 2" xfId="4009" xr:uid="{00000000-0005-0000-0000-0000F0300000}"/>
    <cellStyle name="40% - Accent1 2 2 2 5 2 2" xfId="9129" xr:uid="{00000000-0005-0000-0000-0000F1300000}"/>
    <cellStyle name="40% - Accent1 2 2 2 5 2 2 2" xfId="19369" xr:uid="{00000000-0005-0000-0000-0000F2300000}"/>
    <cellStyle name="40% - Accent1 2 2 2 5 2 2 2 2" xfId="39849" xr:uid="{00000000-0005-0000-0000-0000F3300000}"/>
    <cellStyle name="40% - Accent1 2 2 2 5 2 2 3" xfId="29609" xr:uid="{00000000-0005-0000-0000-0000F4300000}"/>
    <cellStyle name="40% - Accent1 2 2 2 5 2 3" xfId="14249" xr:uid="{00000000-0005-0000-0000-0000F5300000}"/>
    <cellStyle name="40% - Accent1 2 2 2 5 2 3 2" xfId="34729" xr:uid="{00000000-0005-0000-0000-0000F6300000}"/>
    <cellStyle name="40% - Accent1 2 2 2 5 2 4" xfId="24489" xr:uid="{00000000-0005-0000-0000-0000F7300000}"/>
    <cellStyle name="40% - Accent1 2 2 2 5 3" xfId="6569" xr:uid="{00000000-0005-0000-0000-0000F8300000}"/>
    <cellStyle name="40% - Accent1 2 2 2 5 3 2" xfId="16809" xr:uid="{00000000-0005-0000-0000-0000F9300000}"/>
    <cellStyle name="40% - Accent1 2 2 2 5 3 2 2" xfId="37289" xr:uid="{00000000-0005-0000-0000-0000FA300000}"/>
    <cellStyle name="40% - Accent1 2 2 2 5 3 3" xfId="27049" xr:uid="{00000000-0005-0000-0000-0000FB300000}"/>
    <cellStyle name="40% - Accent1 2 2 2 5 4" xfId="11689" xr:uid="{00000000-0005-0000-0000-0000FC300000}"/>
    <cellStyle name="40% - Accent1 2 2 2 5 4 2" xfId="32169" xr:uid="{00000000-0005-0000-0000-0000FD300000}"/>
    <cellStyle name="40% - Accent1 2 2 2 5 5" xfId="21929" xr:uid="{00000000-0005-0000-0000-0000FE300000}"/>
    <cellStyle name="40% - Accent1 2 2 2 6" xfId="2729" xr:uid="{00000000-0005-0000-0000-0000FF300000}"/>
    <cellStyle name="40% - Accent1 2 2 2 6 2" xfId="7849" xr:uid="{00000000-0005-0000-0000-000000310000}"/>
    <cellStyle name="40% - Accent1 2 2 2 6 2 2" xfId="18089" xr:uid="{00000000-0005-0000-0000-000001310000}"/>
    <cellStyle name="40% - Accent1 2 2 2 6 2 2 2" xfId="38569" xr:uid="{00000000-0005-0000-0000-000002310000}"/>
    <cellStyle name="40% - Accent1 2 2 2 6 2 3" xfId="28329" xr:uid="{00000000-0005-0000-0000-000003310000}"/>
    <cellStyle name="40% - Accent1 2 2 2 6 3" xfId="12969" xr:uid="{00000000-0005-0000-0000-000004310000}"/>
    <cellStyle name="40% - Accent1 2 2 2 6 3 2" xfId="33449" xr:uid="{00000000-0005-0000-0000-000005310000}"/>
    <cellStyle name="40% - Accent1 2 2 2 6 4" xfId="23209" xr:uid="{00000000-0005-0000-0000-000006310000}"/>
    <cellStyle name="40% - Accent1 2 2 2 7" xfId="5289" xr:uid="{00000000-0005-0000-0000-000007310000}"/>
    <cellStyle name="40% - Accent1 2 2 2 7 2" xfId="15529" xr:uid="{00000000-0005-0000-0000-000008310000}"/>
    <cellStyle name="40% - Accent1 2 2 2 7 2 2" xfId="36009" xr:uid="{00000000-0005-0000-0000-000009310000}"/>
    <cellStyle name="40% - Accent1 2 2 2 7 3" xfId="25769" xr:uid="{00000000-0005-0000-0000-00000A310000}"/>
    <cellStyle name="40% - Accent1 2 2 2 8" xfId="10409" xr:uid="{00000000-0005-0000-0000-00000B310000}"/>
    <cellStyle name="40% - Accent1 2 2 2 8 2" xfId="30889" xr:uid="{00000000-0005-0000-0000-00000C310000}"/>
    <cellStyle name="40% - Accent1 2 2 2 9" xfId="20649" xr:uid="{00000000-0005-0000-0000-00000D310000}"/>
    <cellStyle name="40% - Accent1 2 2 3" xfId="249" xr:uid="{00000000-0005-0000-0000-00000E310000}"/>
    <cellStyle name="40% - Accent1 2 2 3 2" xfId="569" xr:uid="{00000000-0005-0000-0000-00000F310000}"/>
    <cellStyle name="40% - Accent1 2 2 3 2 2" xfId="1209" xr:uid="{00000000-0005-0000-0000-000010310000}"/>
    <cellStyle name="40% - Accent1 2 2 3 2 2 2" xfId="2489" xr:uid="{00000000-0005-0000-0000-000011310000}"/>
    <cellStyle name="40% - Accent1 2 2 3 2 2 2 2" xfId="5049" xr:uid="{00000000-0005-0000-0000-000012310000}"/>
    <cellStyle name="40% - Accent1 2 2 3 2 2 2 2 2" xfId="10169" xr:uid="{00000000-0005-0000-0000-000013310000}"/>
    <cellStyle name="40% - Accent1 2 2 3 2 2 2 2 2 2" xfId="20409" xr:uid="{00000000-0005-0000-0000-000014310000}"/>
    <cellStyle name="40% - Accent1 2 2 3 2 2 2 2 2 2 2" xfId="40889" xr:uid="{00000000-0005-0000-0000-000015310000}"/>
    <cellStyle name="40% - Accent1 2 2 3 2 2 2 2 2 3" xfId="30649" xr:uid="{00000000-0005-0000-0000-000016310000}"/>
    <cellStyle name="40% - Accent1 2 2 3 2 2 2 2 3" xfId="15289" xr:uid="{00000000-0005-0000-0000-000017310000}"/>
    <cellStyle name="40% - Accent1 2 2 3 2 2 2 2 3 2" xfId="35769" xr:uid="{00000000-0005-0000-0000-000018310000}"/>
    <cellStyle name="40% - Accent1 2 2 3 2 2 2 2 4" xfId="25529" xr:uid="{00000000-0005-0000-0000-000019310000}"/>
    <cellStyle name="40% - Accent1 2 2 3 2 2 2 3" xfId="7609" xr:uid="{00000000-0005-0000-0000-00001A310000}"/>
    <cellStyle name="40% - Accent1 2 2 3 2 2 2 3 2" xfId="17849" xr:uid="{00000000-0005-0000-0000-00001B310000}"/>
    <cellStyle name="40% - Accent1 2 2 3 2 2 2 3 2 2" xfId="38329" xr:uid="{00000000-0005-0000-0000-00001C310000}"/>
    <cellStyle name="40% - Accent1 2 2 3 2 2 2 3 3" xfId="28089" xr:uid="{00000000-0005-0000-0000-00001D310000}"/>
    <cellStyle name="40% - Accent1 2 2 3 2 2 2 4" xfId="12729" xr:uid="{00000000-0005-0000-0000-00001E310000}"/>
    <cellStyle name="40% - Accent1 2 2 3 2 2 2 4 2" xfId="33209" xr:uid="{00000000-0005-0000-0000-00001F310000}"/>
    <cellStyle name="40% - Accent1 2 2 3 2 2 2 5" xfId="22969" xr:uid="{00000000-0005-0000-0000-000020310000}"/>
    <cellStyle name="40% - Accent1 2 2 3 2 2 3" xfId="3769" xr:uid="{00000000-0005-0000-0000-000021310000}"/>
    <cellStyle name="40% - Accent1 2 2 3 2 2 3 2" xfId="8889" xr:uid="{00000000-0005-0000-0000-000022310000}"/>
    <cellStyle name="40% - Accent1 2 2 3 2 2 3 2 2" xfId="19129" xr:uid="{00000000-0005-0000-0000-000023310000}"/>
    <cellStyle name="40% - Accent1 2 2 3 2 2 3 2 2 2" xfId="39609" xr:uid="{00000000-0005-0000-0000-000024310000}"/>
    <cellStyle name="40% - Accent1 2 2 3 2 2 3 2 3" xfId="29369" xr:uid="{00000000-0005-0000-0000-000025310000}"/>
    <cellStyle name="40% - Accent1 2 2 3 2 2 3 3" xfId="14009" xr:uid="{00000000-0005-0000-0000-000026310000}"/>
    <cellStyle name="40% - Accent1 2 2 3 2 2 3 3 2" xfId="34489" xr:uid="{00000000-0005-0000-0000-000027310000}"/>
    <cellStyle name="40% - Accent1 2 2 3 2 2 3 4" xfId="24249" xr:uid="{00000000-0005-0000-0000-000028310000}"/>
    <cellStyle name="40% - Accent1 2 2 3 2 2 4" xfId="6329" xr:uid="{00000000-0005-0000-0000-000029310000}"/>
    <cellStyle name="40% - Accent1 2 2 3 2 2 4 2" xfId="16569" xr:uid="{00000000-0005-0000-0000-00002A310000}"/>
    <cellStyle name="40% - Accent1 2 2 3 2 2 4 2 2" xfId="37049" xr:uid="{00000000-0005-0000-0000-00002B310000}"/>
    <cellStyle name="40% - Accent1 2 2 3 2 2 4 3" xfId="26809" xr:uid="{00000000-0005-0000-0000-00002C310000}"/>
    <cellStyle name="40% - Accent1 2 2 3 2 2 5" xfId="11449" xr:uid="{00000000-0005-0000-0000-00002D310000}"/>
    <cellStyle name="40% - Accent1 2 2 3 2 2 5 2" xfId="31929" xr:uid="{00000000-0005-0000-0000-00002E310000}"/>
    <cellStyle name="40% - Accent1 2 2 3 2 2 6" xfId="21689" xr:uid="{00000000-0005-0000-0000-00002F310000}"/>
    <cellStyle name="40% - Accent1 2 2 3 2 3" xfId="1849" xr:uid="{00000000-0005-0000-0000-000030310000}"/>
    <cellStyle name="40% - Accent1 2 2 3 2 3 2" xfId="4409" xr:uid="{00000000-0005-0000-0000-000031310000}"/>
    <cellStyle name="40% - Accent1 2 2 3 2 3 2 2" xfId="9529" xr:uid="{00000000-0005-0000-0000-000032310000}"/>
    <cellStyle name="40% - Accent1 2 2 3 2 3 2 2 2" xfId="19769" xr:uid="{00000000-0005-0000-0000-000033310000}"/>
    <cellStyle name="40% - Accent1 2 2 3 2 3 2 2 2 2" xfId="40249" xr:uid="{00000000-0005-0000-0000-000034310000}"/>
    <cellStyle name="40% - Accent1 2 2 3 2 3 2 2 3" xfId="30009" xr:uid="{00000000-0005-0000-0000-000035310000}"/>
    <cellStyle name="40% - Accent1 2 2 3 2 3 2 3" xfId="14649" xr:uid="{00000000-0005-0000-0000-000036310000}"/>
    <cellStyle name="40% - Accent1 2 2 3 2 3 2 3 2" xfId="35129" xr:uid="{00000000-0005-0000-0000-000037310000}"/>
    <cellStyle name="40% - Accent1 2 2 3 2 3 2 4" xfId="24889" xr:uid="{00000000-0005-0000-0000-000038310000}"/>
    <cellStyle name="40% - Accent1 2 2 3 2 3 3" xfId="6969" xr:uid="{00000000-0005-0000-0000-000039310000}"/>
    <cellStyle name="40% - Accent1 2 2 3 2 3 3 2" xfId="17209" xr:uid="{00000000-0005-0000-0000-00003A310000}"/>
    <cellStyle name="40% - Accent1 2 2 3 2 3 3 2 2" xfId="37689" xr:uid="{00000000-0005-0000-0000-00003B310000}"/>
    <cellStyle name="40% - Accent1 2 2 3 2 3 3 3" xfId="27449" xr:uid="{00000000-0005-0000-0000-00003C310000}"/>
    <cellStyle name="40% - Accent1 2 2 3 2 3 4" xfId="12089" xr:uid="{00000000-0005-0000-0000-00003D310000}"/>
    <cellStyle name="40% - Accent1 2 2 3 2 3 4 2" xfId="32569" xr:uid="{00000000-0005-0000-0000-00003E310000}"/>
    <cellStyle name="40% - Accent1 2 2 3 2 3 5" xfId="22329" xr:uid="{00000000-0005-0000-0000-00003F310000}"/>
    <cellStyle name="40% - Accent1 2 2 3 2 4" xfId="3129" xr:uid="{00000000-0005-0000-0000-000040310000}"/>
    <cellStyle name="40% - Accent1 2 2 3 2 4 2" xfId="8249" xr:uid="{00000000-0005-0000-0000-000041310000}"/>
    <cellStyle name="40% - Accent1 2 2 3 2 4 2 2" xfId="18489" xr:uid="{00000000-0005-0000-0000-000042310000}"/>
    <cellStyle name="40% - Accent1 2 2 3 2 4 2 2 2" xfId="38969" xr:uid="{00000000-0005-0000-0000-000043310000}"/>
    <cellStyle name="40% - Accent1 2 2 3 2 4 2 3" xfId="28729" xr:uid="{00000000-0005-0000-0000-000044310000}"/>
    <cellStyle name="40% - Accent1 2 2 3 2 4 3" xfId="13369" xr:uid="{00000000-0005-0000-0000-000045310000}"/>
    <cellStyle name="40% - Accent1 2 2 3 2 4 3 2" xfId="33849" xr:uid="{00000000-0005-0000-0000-000046310000}"/>
    <cellStyle name="40% - Accent1 2 2 3 2 4 4" xfId="23609" xr:uid="{00000000-0005-0000-0000-000047310000}"/>
    <cellStyle name="40% - Accent1 2 2 3 2 5" xfId="5689" xr:uid="{00000000-0005-0000-0000-000048310000}"/>
    <cellStyle name="40% - Accent1 2 2 3 2 5 2" xfId="15929" xr:uid="{00000000-0005-0000-0000-000049310000}"/>
    <cellStyle name="40% - Accent1 2 2 3 2 5 2 2" xfId="36409" xr:uid="{00000000-0005-0000-0000-00004A310000}"/>
    <cellStyle name="40% - Accent1 2 2 3 2 5 3" xfId="26169" xr:uid="{00000000-0005-0000-0000-00004B310000}"/>
    <cellStyle name="40% - Accent1 2 2 3 2 6" xfId="10809" xr:uid="{00000000-0005-0000-0000-00004C310000}"/>
    <cellStyle name="40% - Accent1 2 2 3 2 6 2" xfId="31289" xr:uid="{00000000-0005-0000-0000-00004D310000}"/>
    <cellStyle name="40% - Accent1 2 2 3 2 7" xfId="21049" xr:uid="{00000000-0005-0000-0000-00004E310000}"/>
    <cellStyle name="40% - Accent1 2 2 3 3" xfId="889" xr:uid="{00000000-0005-0000-0000-00004F310000}"/>
    <cellStyle name="40% - Accent1 2 2 3 3 2" xfId="2169" xr:uid="{00000000-0005-0000-0000-000050310000}"/>
    <cellStyle name="40% - Accent1 2 2 3 3 2 2" xfId="4729" xr:uid="{00000000-0005-0000-0000-000051310000}"/>
    <cellStyle name="40% - Accent1 2 2 3 3 2 2 2" xfId="9849" xr:uid="{00000000-0005-0000-0000-000052310000}"/>
    <cellStyle name="40% - Accent1 2 2 3 3 2 2 2 2" xfId="20089" xr:uid="{00000000-0005-0000-0000-000053310000}"/>
    <cellStyle name="40% - Accent1 2 2 3 3 2 2 2 2 2" xfId="40569" xr:uid="{00000000-0005-0000-0000-000054310000}"/>
    <cellStyle name="40% - Accent1 2 2 3 3 2 2 2 3" xfId="30329" xr:uid="{00000000-0005-0000-0000-000055310000}"/>
    <cellStyle name="40% - Accent1 2 2 3 3 2 2 3" xfId="14969" xr:uid="{00000000-0005-0000-0000-000056310000}"/>
    <cellStyle name="40% - Accent1 2 2 3 3 2 2 3 2" xfId="35449" xr:uid="{00000000-0005-0000-0000-000057310000}"/>
    <cellStyle name="40% - Accent1 2 2 3 3 2 2 4" xfId="25209" xr:uid="{00000000-0005-0000-0000-000058310000}"/>
    <cellStyle name="40% - Accent1 2 2 3 3 2 3" xfId="7289" xr:uid="{00000000-0005-0000-0000-000059310000}"/>
    <cellStyle name="40% - Accent1 2 2 3 3 2 3 2" xfId="17529" xr:uid="{00000000-0005-0000-0000-00005A310000}"/>
    <cellStyle name="40% - Accent1 2 2 3 3 2 3 2 2" xfId="38009" xr:uid="{00000000-0005-0000-0000-00005B310000}"/>
    <cellStyle name="40% - Accent1 2 2 3 3 2 3 3" xfId="27769" xr:uid="{00000000-0005-0000-0000-00005C310000}"/>
    <cellStyle name="40% - Accent1 2 2 3 3 2 4" xfId="12409" xr:uid="{00000000-0005-0000-0000-00005D310000}"/>
    <cellStyle name="40% - Accent1 2 2 3 3 2 4 2" xfId="32889" xr:uid="{00000000-0005-0000-0000-00005E310000}"/>
    <cellStyle name="40% - Accent1 2 2 3 3 2 5" xfId="22649" xr:uid="{00000000-0005-0000-0000-00005F310000}"/>
    <cellStyle name="40% - Accent1 2 2 3 3 3" xfId="3449" xr:uid="{00000000-0005-0000-0000-000060310000}"/>
    <cellStyle name="40% - Accent1 2 2 3 3 3 2" xfId="8569" xr:uid="{00000000-0005-0000-0000-000061310000}"/>
    <cellStyle name="40% - Accent1 2 2 3 3 3 2 2" xfId="18809" xr:uid="{00000000-0005-0000-0000-000062310000}"/>
    <cellStyle name="40% - Accent1 2 2 3 3 3 2 2 2" xfId="39289" xr:uid="{00000000-0005-0000-0000-000063310000}"/>
    <cellStyle name="40% - Accent1 2 2 3 3 3 2 3" xfId="29049" xr:uid="{00000000-0005-0000-0000-000064310000}"/>
    <cellStyle name="40% - Accent1 2 2 3 3 3 3" xfId="13689" xr:uid="{00000000-0005-0000-0000-000065310000}"/>
    <cellStyle name="40% - Accent1 2 2 3 3 3 3 2" xfId="34169" xr:uid="{00000000-0005-0000-0000-000066310000}"/>
    <cellStyle name="40% - Accent1 2 2 3 3 3 4" xfId="23929" xr:uid="{00000000-0005-0000-0000-000067310000}"/>
    <cellStyle name="40% - Accent1 2 2 3 3 4" xfId="6009" xr:uid="{00000000-0005-0000-0000-000068310000}"/>
    <cellStyle name="40% - Accent1 2 2 3 3 4 2" xfId="16249" xr:uid="{00000000-0005-0000-0000-000069310000}"/>
    <cellStyle name="40% - Accent1 2 2 3 3 4 2 2" xfId="36729" xr:uid="{00000000-0005-0000-0000-00006A310000}"/>
    <cellStyle name="40% - Accent1 2 2 3 3 4 3" xfId="26489" xr:uid="{00000000-0005-0000-0000-00006B310000}"/>
    <cellStyle name="40% - Accent1 2 2 3 3 5" xfId="11129" xr:uid="{00000000-0005-0000-0000-00006C310000}"/>
    <cellStyle name="40% - Accent1 2 2 3 3 5 2" xfId="31609" xr:uid="{00000000-0005-0000-0000-00006D310000}"/>
    <cellStyle name="40% - Accent1 2 2 3 3 6" xfId="21369" xr:uid="{00000000-0005-0000-0000-00006E310000}"/>
    <cellStyle name="40% - Accent1 2 2 3 4" xfId="1529" xr:uid="{00000000-0005-0000-0000-00006F310000}"/>
    <cellStyle name="40% - Accent1 2 2 3 4 2" xfId="4089" xr:uid="{00000000-0005-0000-0000-000070310000}"/>
    <cellStyle name="40% - Accent1 2 2 3 4 2 2" xfId="9209" xr:uid="{00000000-0005-0000-0000-000071310000}"/>
    <cellStyle name="40% - Accent1 2 2 3 4 2 2 2" xfId="19449" xr:uid="{00000000-0005-0000-0000-000072310000}"/>
    <cellStyle name="40% - Accent1 2 2 3 4 2 2 2 2" xfId="39929" xr:uid="{00000000-0005-0000-0000-000073310000}"/>
    <cellStyle name="40% - Accent1 2 2 3 4 2 2 3" xfId="29689" xr:uid="{00000000-0005-0000-0000-000074310000}"/>
    <cellStyle name="40% - Accent1 2 2 3 4 2 3" xfId="14329" xr:uid="{00000000-0005-0000-0000-000075310000}"/>
    <cellStyle name="40% - Accent1 2 2 3 4 2 3 2" xfId="34809" xr:uid="{00000000-0005-0000-0000-000076310000}"/>
    <cellStyle name="40% - Accent1 2 2 3 4 2 4" xfId="24569" xr:uid="{00000000-0005-0000-0000-000077310000}"/>
    <cellStyle name="40% - Accent1 2 2 3 4 3" xfId="6649" xr:uid="{00000000-0005-0000-0000-000078310000}"/>
    <cellStyle name="40% - Accent1 2 2 3 4 3 2" xfId="16889" xr:uid="{00000000-0005-0000-0000-000079310000}"/>
    <cellStyle name="40% - Accent1 2 2 3 4 3 2 2" xfId="37369" xr:uid="{00000000-0005-0000-0000-00007A310000}"/>
    <cellStyle name="40% - Accent1 2 2 3 4 3 3" xfId="27129" xr:uid="{00000000-0005-0000-0000-00007B310000}"/>
    <cellStyle name="40% - Accent1 2 2 3 4 4" xfId="11769" xr:uid="{00000000-0005-0000-0000-00007C310000}"/>
    <cellStyle name="40% - Accent1 2 2 3 4 4 2" xfId="32249" xr:uid="{00000000-0005-0000-0000-00007D310000}"/>
    <cellStyle name="40% - Accent1 2 2 3 4 5" xfId="22009" xr:uid="{00000000-0005-0000-0000-00007E310000}"/>
    <cellStyle name="40% - Accent1 2 2 3 5" xfId="2809" xr:uid="{00000000-0005-0000-0000-00007F310000}"/>
    <cellStyle name="40% - Accent1 2 2 3 5 2" xfId="7929" xr:uid="{00000000-0005-0000-0000-000080310000}"/>
    <cellStyle name="40% - Accent1 2 2 3 5 2 2" xfId="18169" xr:uid="{00000000-0005-0000-0000-000081310000}"/>
    <cellStyle name="40% - Accent1 2 2 3 5 2 2 2" xfId="38649" xr:uid="{00000000-0005-0000-0000-000082310000}"/>
    <cellStyle name="40% - Accent1 2 2 3 5 2 3" xfId="28409" xr:uid="{00000000-0005-0000-0000-000083310000}"/>
    <cellStyle name="40% - Accent1 2 2 3 5 3" xfId="13049" xr:uid="{00000000-0005-0000-0000-000084310000}"/>
    <cellStyle name="40% - Accent1 2 2 3 5 3 2" xfId="33529" xr:uid="{00000000-0005-0000-0000-000085310000}"/>
    <cellStyle name="40% - Accent1 2 2 3 5 4" xfId="23289" xr:uid="{00000000-0005-0000-0000-000086310000}"/>
    <cellStyle name="40% - Accent1 2 2 3 6" xfId="5369" xr:uid="{00000000-0005-0000-0000-000087310000}"/>
    <cellStyle name="40% - Accent1 2 2 3 6 2" xfId="15609" xr:uid="{00000000-0005-0000-0000-000088310000}"/>
    <cellStyle name="40% - Accent1 2 2 3 6 2 2" xfId="36089" xr:uid="{00000000-0005-0000-0000-000089310000}"/>
    <cellStyle name="40% - Accent1 2 2 3 6 3" xfId="25849" xr:uid="{00000000-0005-0000-0000-00008A310000}"/>
    <cellStyle name="40% - Accent1 2 2 3 7" xfId="10489" xr:uid="{00000000-0005-0000-0000-00008B310000}"/>
    <cellStyle name="40% - Accent1 2 2 3 7 2" xfId="30969" xr:uid="{00000000-0005-0000-0000-00008C310000}"/>
    <cellStyle name="40% - Accent1 2 2 3 8" xfId="20729" xr:uid="{00000000-0005-0000-0000-00008D310000}"/>
    <cellStyle name="40% - Accent1 2 2 4" xfId="409" xr:uid="{00000000-0005-0000-0000-00008E310000}"/>
    <cellStyle name="40% - Accent1 2 2 4 2" xfId="1049" xr:uid="{00000000-0005-0000-0000-00008F310000}"/>
    <cellStyle name="40% - Accent1 2 2 4 2 2" xfId="2329" xr:uid="{00000000-0005-0000-0000-000090310000}"/>
    <cellStyle name="40% - Accent1 2 2 4 2 2 2" xfId="4889" xr:uid="{00000000-0005-0000-0000-000091310000}"/>
    <cellStyle name="40% - Accent1 2 2 4 2 2 2 2" xfId="10009" xr:uid="{00000000-0005-0000-0000-000092310000}"/>
    <cellStyle name="40% - Accent1 2 2 4 2 2 2 2 2" xfId="20249" xr:uid="{00000000-0005-0000-0000-000093310000}"/>
    <cellStyle name="40% - Accent1 2 2 4 2 2 2 2 2 2" xfId="40729" xr:uid="{00000000-0005-0000-0000-000094310000}"/>
    <cellStyle name="40% - Accent1 2 2 4 2 2 2 2 3" xfId="30489" xr:uid="{00000000-0005-0000-0000-000095310000}"/>
    <cellStyle name="40% - Accent1 2 2 4 2 2 2 3" xfId="15129" xr:uid="{00000000-0005-0000-0000-000096310000}"/>
    <cellStyle name="40% - Accent1 2 2 4 2 2 2 3 2" xfId="35609" xr:uid="{00000000-0005-0000-0000-000097310000}"/>
    <cellStyle name="40% - Accent1 2 2 4 2 2 2 4" xfId="25369" xr:uid="{00000000-0005-0000-0000-000098310000}"/>
    <cellStyle name="40% - Accent1 2 2 4 2 2 3" xfId="7449" xr:uid="{00000000-0005-0000-0000-000099310000}"/>
    <cellStyle name="40% - Accent1 2 2 4 2 2 3 2" xfId="17689" xr:uid="{00000000-0005-0000-0000-00009A310000}"/>
    <cellStyle name="40% - Accent1 2 2 4 2 2 3 2 2" xfId="38169" xr:uid="{00000000-0005-0000-0000-00009B310000}"/>
    <cellStyle name="40% - Accent1 2 2 4 2 2 3 3" xfId="27929" xr:uid="{00000000-0005-0000-0000-00009C310000}"/>
    <cellStyle name="40% - Accent1 2 2 4 2 2 4" xfId="12569" xr:uid="{00000000-0005-0000-0000-00009D310000}"/>
    <cellStyle name="40% - Accent1 2 2 4 2 2 4 2" xfId="33049" xr:uid="{00000000-0005-0000-0000-00009E310000}"/>
    <cellStyle name="40% - Accent1 2 2 4 2 2 5" xfId="22809" xr:uid="{00000000-0005-0000-0000-00009F310000}"/>
    <cellStyle name="40% - Accent1 2 2 4 2 3" xfId="3609" xr:uid="{00000000-0005-0000-0000-0000A0310000}"/>
    <cellStyle name="40% - Accent1 2 2 4 2 3 2" xfId="8729" xr:uid="{00000000-0005-0000-0000-0000A1310000}"/>
    <cellStyle name="40% - Accent1 2 2 4 2 3 2 2" xfId="18969" xr:uid="{00000000-0005-0000-0000-0000A2310000}"/>
    <cellStyle name="40% - Accent1 2 2 4 2 3 2 2 2" xfId="39449" xr:uid="{00000000-0005-0000-0000-0000A3310000}"/>
    <cellStyle name="40% - Accent1 2 2 4 2 3 2 3" xfId="29209" xr:uid="{00000000-0005-0000-0000-0000A4310000}"/>
    <cellStyle name="40% - Accent1 2 2 4 2 3 3" xfId="13849" xr:uid="{00000000-0005-0000-0000-0000A5310000}"/>
    <cellStyle name="40% - Accent1 2 2 4 2 3 3 2" xfId="34329" xr:uid="{00000000-0005-0000-0000-0000A6310000}"/>
    <cellStyle name="40% - Accent1 2 2 4 2 3 4" xfId="24089" xr:uid="{00000000-0005-0000-0000-0000A7310000}"/>
    <cellStyle name="40% - Accent1 2 2 4 2 4" xfId="6169" xr:uid="{00000000-0005-0000-0000-0000A8310000}"/>
    <cellStyle name="40% - Accent1 2 2 4 2 4 2" xfId="16409" xr:uid="{00000000-0005-0000-0000-0000A9310000}"/>
    <cellStyle name="40% - Accent1 2 2 4 2 4 2 2" xfId="36889" xr:uid="{00000000-0005-0000-0000-0000AA310000}"/>
    <cellStyle name="40% - Accent1 2 2 4 2 4 3" xfId="26649" xr:uid="{00000000-0005-0000-0000-0000AB310000}"/>
    <cellStyle name="40% - Accent1 2 2 4 2 5" xfId="11289" xr:uid="{00000000-0005-0000-0000-0000AC310000}"/>
    <cellStyle name="40% - Accent1 2 2 4 2 5 2" xfId="31769" xr:uid="{00000000-0005-0000-0000-0000AD310000}"/>
    <cellStyle name="40% - Accent1 2 2 4 2 6" xfId="21529" xr:uid="{00000000-0005-0000-0000-0000AE310000}"/>
    <cellStyle name="40% - Accent1 2 2 4 3" xfId="1689" xr:uid="{00000000-0005-0000-0000-0000AF310000}"/>
    <cellStyle name="40% - Accent1 2 2 4 3 2" xfId="4249" xr:uid="{00000000-0005-0000-0000-0000B0310000}"/>
    <cellStyle name="40% - Accent1 2 2 4 3 2 2" xfId="9369" xr:uid="{00000000-0005-0000-0000-0000B1310000}"/>
    <cellStyle name="40% - Accent1 2 2 4 3 2 2 2" xfId="19609" xr:uid="{00000000-0005-0000-0000-0000B2310000}"/>
    <cellStyle name="40% - Accent1 2 2 4 3 2 2 2 2" xfId="40089" xr:uid="{00000000-0005-0000-0000-0000B3310000}"/>
    <cellStyle name="40% - Accent1 2 2 4 3 2 2 3" xfId="29849" xr:uid="{00000000-0005-0000-0000-0000B4310000}"/>
    <cellStyle name="40% - Accent1 2 2 4 3 2 3" xfId="14489" xr:uid="{00000000-0005-0000-0000-0000B5310000}"/>
    <cellStyle name="40% - Accent1 2 2 4 3 2 3 2" xfId="34969" xr:uid="{00000000-0005-0000-0000-0000B6310000}"/>
    <cellStyle name="40% - Accent1 2 2 4 3 2 4" xfId="24729" xr:uid="{00000000-0005-0000-0000-0000B7310000}"/>
    <cellStyle name="40% - Accent1 2 2 4 3 3" xfId="6809" xr:uid="{00000000-0005-0000-0000-0000B8310000}"/>
    <cellStyle name="40% - Accent1 2 2 4 3 3 2" xfId="17049" xr:uid="{00000000-0005-0000-0000-0000B9310000}"/>
    <cellStyle name="40% - Accent1 2 2 4 3 3 2 2" xfId="37529" xr:uid="{00000000-0005-0000-0000-0000BA310000}"/>
    <cellStyle name="40% - Accent1 2 2 4 3 3 3" xfId="27289" xr:uid="{00000000-0005-0000-0000-0000BB310000}"/>
    <cellStyle name="40% - Accent1 2 2 4 3 4" xfId="11929" xr:uid="{00000000-0005-0000-0000-0000BC310000}"/>
    <cellStyle name="40% - Accent1 2 2 4 3 4 2" xfId="32409" xr:uid="{00000000-0005-0000-0000-0000BD310000}"/>
    <cellStyle name="40% - Accent1 2 2 4 3 5" xfId="22169" xr:uid="{00000000-0005-0000-0000-0000BE310000}"/>
    <cellStyle name="40% - Accent1 2 2 4 4" xfId="2969" xr:uid="{00000000-0005-0000-0000-0000BF310000}"/>
    <cellStyle name="40% - Accent1 2 2 4 4 2" xfId="8089" xr:uid="{00000000-0005-0000-0000-0000C0310000}"/>
    <cellStyle name="40% - Accent1 2 2 4 4 2 2" xfId="18329" xr:uid="{00000000-0005-0000-0000-0000C1310000}"/>
    <cellStyle name="40% - Accent1 2 2 4 4 2 2 2" xfId="38809" xr:uid="{00000000-0005-0000-0000-0000C2310000}"/>
    <cellStyle name="40% - Accent1 2 2 4 4 2 3" xfId="28569" xr:uid="{00000000-0005-0000-0000-0000C3310000}"/>
    <cellStyle name="40% - Accent1 2 2 4 4 3" xfId="13209" xr:uid="{00000000-0005-0000-0000-0000C4310000}"/>
    <cellStyle name="40% - Accent1 2 2 4 4 3 2" xfId="33689" xr:uid="{00000000-0005-0000-0000-0000C5310000}"/>
    <cellStyle name="40% - Accent1 2 2 4 4 4" xfId="23449" xr:uid="{00000000-0005-0000-0000-0000C6310000}"/>
    <cellStyle name="40% - Accent1 2 2 4 5" xfId="5529" xr:uid="{00000000-0005-0000-0000-0000C7310000}"/>
    <cellStyle name="40% - Accent1 2 2 4 5 2" xfId="15769" xr:uid="{00000000-0005-0000-0000-0000C8310000}"/>
    <cellStyle name="40% - Accent1 2 2 4 5 2 2" xfId="36249" xr:uid="{00000000-0005-0000-0000-0000C9310000}"/>
    <cellStyle name="40% - Accent1 2 2 4 5 3" xfId="26009" xr:uid="{00000000-0005-0000-0000-0000CA310000}"/>
    <cellStyle name="40% - Accent1 2 2 4 6" xfId="10649" xr:uid="{00000000-0005-0000-0000-0000CB310000}"/>
    <cellStyle name="40% - Accent1 2 2 4 6 2" xfId="31129" xr:uid="{00000000-0005-0000-0000-0000CC310000}"/>
    <cellStyle name="40% - Accent1 2 2 4 7" xfId="20889" xr:uid="{00000000-0005-0000-0000-0000CD310000}"/>
    <cellStyle name="40% - Accent1 2 2 5" xfId="729" xr:uid="{00000000-0005-0000-0000-0000CE310000}"/>
    <cellStyle name="40% - Accent1 2 2 5 2" xfId="2009" xr:uid="{00000000-0005-0000-0000-0000CF310000}"/>
    <cellStyle name="40% - Accent1 2 2 5 2 2" xfId="4569" xr:uid="{00000000-0005-0000-0000-0000D0310000}"/>
    <cellStyle name="40% - Accent1 2 2 5 2 2 2" xfId="9689" xr:uid="{00000000-0005-0000-0000-0000D1310000}"/>
    <cellStyle name="40% - Accent1 2 2 5 2 2 2 2" xfId="19929" xr:uid="{00000000-0005-0000-0000-0000D2310000}"/>
    <cellStyle name="40% - Accent1 2 2 5 2 2 2 2 2" xfId="40409" xr:uid="{00000000-0005-0000-0000-0000D3310000}"/>
    <cellStyle name="40% - Accent1 2 2 5 2 2 2 3" xfId="30169" xr:uid="{00000000-0005-0000-0000-0000D4310000}"/>
    <cellStyle name="40% - Accent1 2 2 5 2 2 3" xfId="14809" xr:uid="{00000000-0005-0000-0000-0000D5310000}"/>
    <cellStyle name="40% - Accent1 2 2 5 2 2 3 2" xfId="35289" xr:uid="{00000000-0005-0000-0000-0000D6310000}"/>
    <cellStyle name="40% - Accent1 2 2 5 2 2 4" xfId="25049" xr:uid="{00000000-0005-0000-0000-0000D7310000}"/>
    <cellStyle name="40% - Accent1 2 2 5 2 3" xfId="7129" xr:uid="{00000000-0005-0000-0000-0000D8310000}"/>
    <cellStyle name="40% - Accent1 2 2 5 2 3 2" xfId="17369" xr:uid="{00000000-0005-0000-0000-0000D9310000}"/>
    <cellStyle name="40% - Accent1 2 2 5 2 3 2 2" xfId="37849" xr:uid="{00000000-0005-0000-0000-0000DA310000}"/>
    <cellStyle name="40% - Accent1 2 2 5 2 3 3" xfId="27609" xr:uid="{00000000-0005-0000-0000-0000DB310000}"/>
    <cellStyle name="40% - Accent1 2 2 5 2 4" xfId="12249" xr:uid="{00000000-0005-0000-0000-0000DC310000}"/>
    <cellStyle name="40% - Accent1 2 2 5 2 4 2" xfId="32729" xr:uid="{00000000-0005-0000-0000-0000DD310000}"/>
    <cellStyle name="40% - Accent1 2 2 5 2 5" xfId="22489" xr:uid="{00000000-0005-0000-0000-0000DE310000}"/>
    <cellStyle name="40% - Accent1 2 2 5 3" xfId="3289" xr:uid="{00000000-0005-0000-0000-0000DF310000}"/>
    <cellStyle name="40% - Accent1 2 2 5 3 2" xfId="8409" xr:uid="{00000000-0005-0000-0000-0000E0310000}"/>
    <cellStyle name="40% - Accent1 2 2 5 3 2 2" xfId="18649" xr:uid="{00000000-0005-0000-0000-0000E1310000}"/>
    <cellStyle name="40% - Accent1 2 2 5 3 2 2 2" xfId="39129" xr:uid="{00000000-0005-0000-0000-0000E2310000}"/>
    <cellStyle name="40% - Accent1 2 2 5 3 2 3" xfId="28889" xr:uid="{00000000-0005-0000-0000-0000E3310000}"/>
    <cellStyle name="40% - Accent1 2 2 5 3 3" xfId="13529" xr:uid="{00000000-0005-0000-0000-0000E4310000}"/>
    <cellStyle name="40% - Accent1 2 2 5 3 3 2" xfId="34009" xr:uid="{00000000-0005-0000-0000-0000E5310000}"/>
    <cellStyle name="40% - Accent1 2 2 5 3 4" xfId="23769" xr:uid="{00000000-0005-0000-0000-0000E6310000}"/>
    <cellStyle name="40% - Accent1 2 2 5 4" xfId="5849" xr:uid="{00000000-0005-0000-0000-0000E7310000}"/>
    <cellStyle name="40% - Accent1 2 2 5 4 2" xfId="16089" xr:uid="{00000000-0005-0000-0000-0000E8310000}"/>
    <cellStyle name="40% - Accent1 2 2 5 4 2 2" xfId="36569" xr:uid="{00000000-0005-0000-0000-0000E9310000}"/>
    <cellStyle name="40% - Accent1 2 2 5 4 3" xfId="26329" xr:uid="{00000000-0005-0000-0000-0000EA310000}"/>
    <cellStyle name="40% - Accent1 2 2 5 5" xfId="10969" xr:uid="{00000000-0005-0000-0000-0000EB310000}"/>
    <cellStyle name="40% - Accent1 2 2 5 5 2" xfId="31449" xr:uid="{00000000-0005-0000-0000-0000EC310000}"/>
    <cellStyle name="40% - Accent1 2 2 5 6" xfId="21209" xr:uid="{00000000-0005-0000-0000-0000ED310000}"/>
    <cellStyle name="40% - Accent1 2 2 6" xfId="1369" xr:uid="{00000000-0005-0000-0000-0000EE310000}"/>
    <cellStyle name="40% - Accent1 2 2 6 2" xfId="3929" xr:uid="{00000000-0005-0000-0000-0000EF310000}"/>
    <cellStyle name="40% - Accent1 2 2 6 2 2" xfId="9049" xr:uid="{00000000-0005-0000-0000-0000F0310000}"/>
    <cellStyle name="40% - Accent1 2 2 6 2 2 2" xfId="19289" xr:uid="{00000000-0005-0000-0000-0000F1310000}"/>
    <cellStyle name="40% - Accent1 2 2 6 2 2 2 2" xfId="39769" xr:uid="{00000000-0005-0000-0000-0000F2310000}"/>
    <cellStyle name="40% - Accent1 2 2 6 2 2 3" xfId="29529" xr:uid="{00000000-0005-0000-0000-0000F3310000}"/>
    <cellStyle name="40% - Accent1 2 2 6 2 3" xfId="14169" xr:uid="{00000000-0005-0000-0000-0000F4310000}"/>
    <cellStyle name="40% - Accent1 2 2 6 2 3 2" xfId="34649" xr:uid="{00000000-0005-0000-0000-0000F5310000}"/>
    <cellStyle name="40% - Accent1 2 2 6 2 4" xfId="24409" xr:uid="{00000000-0005-0000-0000-0000F6310000}"/>
    <cellStyle name="40% - Accent1 2 2 6 3" xfId="6489" xr:uid="{00000000-0005-0000-0000-0000F7310000}"/>
    <cellStyle name="40% - Accent1 2 2 6 3 2" xfId="16729" xr:uid="{00000000-0005-0000-0000-0000F8310000}"/>
    <cellStyle name="40% - Accent1 2 2 6 3 2 2" xfId="37209" xr:uid="{00000000-0005-0000-0000-0000F9310000}"/>
    <cellStyle name="40% - Accent1 2 2 6 3 3" xfId="26969" xr:uid="{00000000-0005-0000-0000-0000FA310000}"/>
    <cellStyle name="40% - Accent1 2 2 6 4" xfId="11609" xr:uid="{00000000-0005-0000-0000-0000FB310000}"/>
    <cellStyle name="40% - Accent1 2 2 6 4 2" xfId="32089" xr:uid="{00000000-0005-0000-0000-0000FC310000}"/>
    <cellStyle name="40% - Accent1 2 2 6 5" xfId="21849" xr:uid="{00000000-0005-0000-0000-0000FD310000}"/>
    <cellStyle name="40% - Accent1 2 2 7" xfId="2649" xr:uid="{00000000-0005-0000-0000-0000FE310000}"/>
    <cellStyle name="40% - Accent1 2 2 7 2" xfId="7769" xr:uid="{00000000-0005-0000-0000-0000FF310000}"/>
    <cellStyle name="40% - Accent1 2 2 7 2 2" xfId="18009" xr:uid="{00000000-0005-0000-0000-000000320000}"/>
    <cellStyle name="40% - Accent1 2 2 7 2 2 2" xfId="38489" xr:uid="{00000000-0005-0000-0000-000001320000}"/>
    <cellStyle name="40% - Accent1 2 2 7 2 3" xfId="28249" xr:uid="{00000000-0005-0000-0000-000002320000}"/>
    <cellStyle name="40% - Accent1 2 2 7 3" xfId="12889" xr:uid="{00000000-0005-0000-0000-000003320000}"/>
    <cellStyle name="40% - Accent1 2 2 7 3 2" xfId="33369" xr:uid="{00000000-0005-0000-0000-000004320000}"/>
    <cellStyle name="40% - Accent1 2 2 7 4" xfId="23129" xr:uid="{00000000-0005-0000-0000-000005320000}"/>
    <cellStyle name="40% - Accent1 2 2 8" xfId="5209" xr:uid="{00000000-0005-0000-0000-000006320000}"/>
    <cellStyle name="40% - Accent1 2 2 8 2" xfId="15449" xr:uid="{00000000-0005-0000-0000-000007320000}"/>
    <cellStyle name="40% - Accent1 2 2 8 2 2" xfId="35929" xr:uid="{00000000-0005-0000-0000-000008320000}"/>
    <cellStyle name="40% - Accent1 2 2 8 3" xfId="25689" xr:uid="{00000000-0005-0000-0000-000009320000}"/>
    <cellStyle name="40% - Accent1 2 2 9" xfId="10329" xr:uid="{00000000-0005-0000-0000-00000A320000}"/>
    <cellStyle name="40% - Accent1 2 2 9 2" xfId="30809" xr:uid="{00000000-0005-0000-0000-00000B320000}"/>
    <cellStyle name="40% - Accent1 2 3" xfId="129" xr:uid="{00000000-0005-0000-0000-00000C320000}"/>
    <cellStyle name="40% - Accent1 2 3 2" xfId="289" xr:uid="{00000000-0005-0000-0000-00000D320000}"/>
    <cellStyle name="40% - Accent1 2 3 2 2" xfId="609" xr:uid="{00000000-0005-0000-0000-00000E320000}"/>
    <cellStyle name="40% - Accent1 2 3 2 2 2" xfId="1249" xr:uid="{00000000-0005-0000-0000-00000F320000}"/>
    <cellStyle name="40% - Accent1 2 3 2 2 2 2" xfId="2529" xr:uid="{00000000-0005-0000-0000-000010320000}"/>
    <cellStyle name="40% - Accent1 2 3 2 2 2 2 2" xfId="5089" xr:uid="{00000000-0005-0000-0000-000011320000}"/>
    <cellStyle name="40% - Accent1 2 3 2 2 2 2 2 2" xfId="10209" xr:uid="{00000000-0005-0000-0000-000012320000}"/>
    <cellStyle name="40% - Accent1 2 3 2 2 2 2 2 2 2" xfId="20449" xr:uid="{00000000-0005-0000-0000-000013320000}"/>
    <cellStyle name="40% - Accent1 2 3 2 2 2 2 2 2 2 2" xfId="40929" xr:uid="{00000000-0005-0000-0000-000014320000}"/>
    <cellStyle name="40% - Accent1 2 3 2 2 2 2 2 2 3" xfId="30689" xr:uid="{00000000-0005-0000-0000-000015320000}"/>
    <cellStyle name="40% - Accent1 2 3 2 2 2 2 2 3" xfId="15329" xr:uid="{00000000-0005-0000-0000-000016320000}"/>
    <cellStyle name="40% - Accent1 2 3 2 2 2 2 2 3 2" xfId="35809" xr:uid="{00000000-0005-0000-0000-000017320000}"/>
    <cellStyle name="40% - Accent1 2 3 2 2 2 2 2 4" xfId="25569" xr:uid="{00000000-0005-0000-0000-000018320000}"/>
    <cellStyle name="40% - Accent1 2 3 2 2 2 2 3" xfId="7649" xr:uid="{00000000-0005-0000-0000-000019320000}"/>
    <cellStyle name="40% - Accent1 2 3 2 2 2 2 3 2" xfId="17889" xr:uid="{00000000-0005-0000-0000-00001A320000}"/>
    <cellStyle name="40% - Accent1 2 3 2 2 2 2 3 2 2" xfId="38369" xr:uid="{00000000-0005-0000-0000-00001B320000}"/>
    <cellStyle name="40% - Accent1 2 3 2 2 2 2 3 3" xfId="28129" xr:uid="{00000000-0005-0000-0000-00001C320000}"/>
    <cellStyle name="40% - Accent1 2 3 2 2 2 2 4" xfId="12769" xr:uid="{00000000-0005-0000-0000-00001D320000}"/>
    <cellStyle name="40% - Accent1 2 3 2 2 2 2 4 2" xfId="33249" xr:uid="{00000000-0005-0000-0000-00001E320000}"/>
    <cellStyle name="40% - Accent1 2 3 2 2 2 2 5" xfId="23009" xr:uid="{00000000-0005-0000-0000-00001F320000}"/>
    <cellStyle name="40% - Accent1 2 3 2 2 2 3" xfId="3809" xr:uid="{00000000-0005-0000-0000-000020320000}"/>
    <cellStyle name="40% - Accent1 2 3 2 2 2 3 2" xfId="8929" xr:uid="{00000000-0005-0000-0000-000021320000}"/>
    <cellStyle name="40% - Accent1 2 3 2 2 2 3 2 2" xfId="19169" xr:uid="{00000000-0005-0000-0000-000022320000}"/>
    <cellStyle name="40% - Accent1 2 3 2 2 2 3 2 2 2" xfId="39649" xr:uid="{00000000-0005-0000-0000-000023320000}"/>
    <cellStyle name="40% - Accent1 2 3 2 2 2 3 2 3" xfId="29409" xr:uid="{00000000-0005-0000-0000-000024320000}"/>
    <cellStyle name="40% - Accent1 2 3 2 2 2 3 3" xfId="14049" xr:uid="{00000000-0005-0000-0000-000025320000}"/>
    <cellStyle name="40% - Accent1 2 3 2 2 2 3 3 2" xfId="34529" xr:uid="{00000000-0005-0000-0000-000026320000}"/>
    <cellStyle name="40% - Accent1 2 3 2 2 2 3 4" xfId="24289" xr:uid="{00000000-0005-0000-0000-000027320000}"/>
    <cellStyle name="40% - Accent1 2 3 2 2 2 4" xfId="6369" xr:uid="{00000000-0005-0000-0000-000028320000}"/>
    <cellStyle name="40% - Accent1 2 3 2 2 2 4 2" xfId="16609" xr:uid="{00000000-0005-0000-0000-000029320000}"/>
    <cellStyle name="40% - Accent1 2 3 2 2 2 4 2 2" xfId="37089" xr:uid="{00000000-0005-0000-0000-00002A320000}"/>
    <cellStyle name="40% - Accent1 2 3 2 2 2 4 3" xfId="26849" xr:uid="{00000000-0005-0000-0000-00002B320000}"/>
    <cellStyle name="40% - Accent1 2 3 2 2 2 5" xfId="11489" xr:uid="{00000000-0005-0000-0000-00002C320000}"/>
    <cellStyle name="40% - Accent1 2 3 2 2 2 5 2" xfId="31969" xr:uid="{00000000-0005-0000-0000-00002D320000}"/>
    <cellStyle name="40% - Accent1 2 3 2 2 2 6" xfId="21729" xr:uid="{00000000-0005-0000-0000-00002E320000}"/>
    <cellStyle name="40% - Accent1 2 3 2 2 3" xfId="1889" xr:uid="{00000000-0005-0000-0000-00002F320000}"/>
    <cellStyle name="40% - Accent1 2 3 2 2 3 2" xfId="4449" xr:uid="{00000000-0005-0000-0000-000030320000}"/>
    <cellStyle name="40% - Accent1 2 3 2 2 3 2 2" xfId="9569" xr:uid="{00000000-0005-0000-0000-000031320000}"/>
    <cellStyle name="40% - Accent1 2 3 2 2 3 2 2 2" xfId="19809" xr:uid="{00000000-0005-0000-0000-000032320000}"/>
    <cellStyle name="40% - Accent1 2 3 2 2 3 2 2 2 2" xfId="40289" xr:uid="{00000000-0005-0000-0000-000033320000}"/>
    <cellStyle name="40% - Accent1 2 3 2 2 3 2 2 3" xfId="30049" xr:uid="{00000000-0005-0000-0000-000034320000}"/>
    <cellStyle name="40% - Accent1 2 3 2 2 3 2 3" xfId="14689" xr:uid="{00000000-0005-0000-0000-000035320000}"/>
    <cellStyle name="40% - Accent1 2 3 2 2 3 2 3 2" xfId="35169" xr:uid="{00000000-0005-0000-0000-000036320000}"/>
    <cellStyle name="40% - Accent1 2 3 2 2 3 2 4" xfId="24929" xr:uid="{00000000-0005-0000-0000-000037320000}"/>
    <cellStyle name="40% - Accent1 2 3 2 2 3 3" xfId="7009" xr:uid="{00000000-0005-0000-0000-000038320000}"/>
    <cellStyle name="40% - Accent1 2 3 2 2 3 3 2" xfId="17249" xr:uid="{00000000-0005-0000-0000-000039320000}"/>
    <cellStyle name="40% - Accent1 2 3 2 2 3 3 2 2" xfId="37729" xr:uid="{00000000-0005-0000-0000-00003A320000}"/>
    <cellStyle name="40% - Accent1 2 3 2 2 3 3 3" xfId="27489" xr:uid="{00000000-0005-0000-0000-00003B320000}"/>
    <cellStyle name="40% - Accent1 2 3 2 2 3 4" xfId="12129" xr:uid="{00000000-0005-0000-0000-00003C320000}"/>
    <cellStyle name="40% - Accent1 2 3 2 2 3 4 2" xfId="32609" xr:uid="{00000000-0005-0000-0000-00003D320000}"/>
    <cellStyle name="40% - Accent1 2 3 2 2 3 5" xfId="22369" xr:uid="{00000000-0005-0000-0000-00003E320000}"/>
    <cellStyle name="40% - Accent1 2 3 2 2 4" xfId="3169" xr:uid="{00000000-0005-0000-0000-00003F320000}"/>
    <cellStyle name="40% - Accent1 2 3 2 2 4 2" xfId="8289" xr:uid="{00000000-0005-0000-0000-000040320000}"/>
    <cellStyle name="40% - Accent1 2 3 2 2 4 2 2" xfId="18529" xr:uid="{00000000-0005-0000-0000-000041320000}"/>
    <cellStyle name="40% - Accent1 2 3 2 2 4 2 2 2" xfId="39009" xr:uid="{00000000-0005-0000-0000-000042320000}"/>
    <cellStyle name="40% - Accent1 2 3 2 2 4 2 3" xfId="28769" xr:uid="{00000000-0005-0000-0000-000043320000}"/>
    <cellStyle name="40% - Accent1 2 3 2 2 4 3" xfId="13409" xr:uid="{00000000-0005-0000-0000-000044320000}"/>
    <cellStyle name="40% - Accent1 2 3 2 2 4 3 2" xfId="33889" xr:uid="{00000000-0005-0000-0000-000045320000}"/>
    <cellStyle name="40% - Accent1 2 3 2 2 4 4" xfId="23649" xr:uid="{00000000-0005-0000-0000-000046320000}"/>
    <cellStyle name="40% - Accent1 2 3 2 2 5" xfId="5729" xr:uid="{00000000-0005-0000-0000-000047320000}"/>
    <cellStyle name="40% - Accent1 2 3 2 2 5 2" xfId="15969" xr:uid="{00000000-0005-0000-0000-000048320000}"/>
    <cellStyle name="40% - Accent1 2 3 2 2 5 2 2" xfId="36449" xr:uid="{00000000-0005-0000-0000-000049320000}"/>
    <cellStyle name="40% - Accent1 2 3 2 2 5 3" xfId="26209" xr:uid="{00000000-0005-0000-0000-00004A320000}"/>
    <cellStyle name="40% - Accent1 2 3 2 2 6" xfId="10849" xr:uid="{00000000-0005-0000-0000-00004B320000}"/>
    <cellStyle name="40% - Accent1 2 3 2 2 6 2" xfId="31329" xr:uid="{00000000-0005-0000-0000-00004C320000}"/>
    <cellStyle name="40% - Accent1 2 3 2 2 7" xfId="21089" xr:uid="{00000000-0005-0000-0000-00004D320000}"/>
    <cellStyle name="40% - Accent1 2 3 2 3" xfId="929" xr:uid="{00000000-0005-0000-0000-00004E320000}"/>
    <cellStyle name="40% - Accent1 2 3 2 3 2" xfId="2209" xr:uid="{00000000-0005-0000-0000-00004F320000}"/>
    <cellStyle name="40% - Accent1 2 3 2 3 2 2" xfId="4769" xr:uid="{00000000-0005-0000-0000-000050320000}"/>
    <cellStyle name="40% - Accent1 2 3 2 3 2 2 2" xfId="9889" xr:uid="{00000000-0005-0000-0000-000051320000}"/>
    <cellStyle name="40% - Accent1 2 3 2 3 2 2 2 2" xfId="20129" xr:uid="{00000000-0005-0000-0000-000052320000}"/>
    <cellStyle name="40% - Accent1 2 3 2 3 2 2 2 2 2" xfId="40609" xr:uid="{00000000-0005-0000-0000-000053320000}"/>
    <cellStyle name="40% - Accent1 2 3 2 3 2 2 2 3" xfId="30369" xr:uid="{00000000-0005-0000-0000-000054320000}"/>
    <cellStyle name="40% - Accent1 2 3 2 3 2 2 3" xfId="15009" xr:uid="{00000000-0005-0000-0000-000055320000}"/>
    <cellStyle name="40% - Accent1 2 3 2 3 2 2 3 2" xfId="35489" xr:uid="{00000000-0005-0000-0000-000056320000}"/>
    <cellStyle name="40% - Accent1 2 3 2 3 2 2 4" xfId="25249" xr:uid="{00000000-0005-0000-0000-000057320000}"/>
    <cellStyle name="40% - Accent1 2 3 2 3 2 3" xfId="7329" xr:uid="{00000000-0005-0000-0000-000058320000}"/>
    <cellStyle name="40% - Accent1 2 3 2 3 2 3 2" xfId="17569" xr:uid="{00000000-0005-0000-0000-000059320000}"/>
    <cellStyle name="40% - Accent1 2 3 2 3 2 3 2 2" xfId="38049" xr:uid="{00000000-0005-0000-0000-00005A320000}"/>
    <cellStyle name="40% - Accent1 2 3 2 3 2 3 3" xfId="27809" xr:uid="{00000000-0005-0000-0000-00005B320000}"/>
    <cellStyle name="40% - Accent1 2 3 2 3 2 4" xfId="12449" xr:uid="{00000000-0005-0000-0000-00005C320000}"/>
    <cellStyle name="40% - Accent1 2 3 2 3 2 4 2" xfId="32929" xr:uid="{00000000-0005-0000-0000-00005D320000}"/>
    <cellStyle name="40% - Accent1 2 3 2 3 2 5" xfId="22689" xr:uid="{00000000-0005-0000-0000-00005E320000}"/>
    <cellStyle name="40% - Accent1 2 3 2 3 3" xfId="3489" xr:uid="{00000000-0005-0000-0000-00005F320000}"/>
    <cellStyle name="40% - Accent1 2 3 2 3 3 2" xfId="8609" xr:uid="{00000000-0005-0000-0000-000060320000}"/>
    <cellStyle name="40% - Accent1 2 3 2 3 3 2 2" xfId="18849" xr:uid="{00000000-0005-0000-0000-000061320000}"/>
    <cellStyle name="40% - Accent1 2 3 2 3 3 2 2 2" xfId="39329" xr:uid="{00000000-0005-0000-0000-000062320000}"/>
    <cellStyle name="40% - Accent1 2 3 2 3 3 2 3" xfId="29089" xr:uid="{00000000-0005-0000-0000-000063320000}"/>
    <cellStyle name="40% - Accent1 2 3 2 3 3 3" xfId="13729" xr:uid="{00000000-0005-0000-0000-000064320000}"/>
    <cellStyle name="40% - Accent1 2 3 2 3 3 3 2" xfId="34209" xr:uid="{00000000-0005-0000-0000-000065320000}"/>
    <cellStyle name="40% - Accent1 2 3 2 3 3 4" xfId="23969" xr:uid="{00000000-0005-0000-0000-000066320000}"/>
    <cellStyle name="40% - Accent1 2 3 2 3 4" xfId="6049" xr:uid="{00000000-0005-0000-0000-000067320000}"/>
    <cellStyle name="40% - Accent1 2 3 2 3 4 2" xfId="16289" xr:uid="{00000000-0005-0000-0000-000068320000}"/>
    <cellStyle name="40% - Accent1 2 3 2 3 4 2 2" xfId="36769" xr:uid="{00000000-0005-0000-0000-000069320000}"/>
    <cellStyle name="40% - Accent1 2 3 2 3 4 3" xfId="26529" xr:uid="{00000000-0005-0000-0000-00006A320000}"/>
    <cellStyle name="40% - Accent1 2 3 2 3 5" xfId="11169" xr:uid="{00000000-0005-0000-0000-00006B320000}"/>
    <cellStyle name="40% - Accent1 2 3 2 3 5 2" xfId="31649" xr:uid="{00000000-0005-0000-0000-00006C320000}"/>
    <cellStyle name="40% - Accent1 2 3 2 3 6" xfId="21409" xr:uid="{00000000-0005-0000-0000-00006D320000}"/>
    <cellStyle name="40% - Accent1 2 3 2 4" xfId="1569" xr:uid="{00000000-0005-0000-0000-00006E320000}"/>
    <cellStyle name="40% - Accent1 2 3 2 4 2" xfId="4129" xr:uid="{00000000-0005-0000-0000-00006F320000}"/>
    <cellStyle name="40% - Accent1 2 3 2 4 2 2" xfId="9249" xr:uid="{00000000-0005-0000-0000-000070320000}"/>
    <cellStyle name="40% - Accent1 2 3 2 4 2 2 2" xfId="19489" xr:uid="{00000000-0005-0000-0000-000071320000}"/>
    <cellStyle name="40% - Accent1 2 3 2 4 2 2 2 2" xfId="39969" xr:uid="{00000000-0005-0000-0000-000072320000}"/>
    <cellStyle name="40% - Accent1 2 3 2 4 2 2 3" xfId="29729" xr:uid="{00000000-0005-0000-0000-000073320000}"/>
    <cellStyle name="40% - Accent1 2 3 2 4 2 3" xfId="14369" xr:uid="{00000000-0005-0000-0000-000074320000}"/>
    <cellStyle name="40% - Accent1 2 3 2 4 2 3 2" xfId="34849" xr:uid="{00000000-0005-0000-0000-000075320000}"/>
    <cellStyle name="40% - Accent1 2 3 2 4 2 4" xfId="24609" xr:uid="{00000000-0005-0000-0000-000076320000}"/>
    <cellStyle name="40% - Accent1 2 3 2 4 3" xfId="6689" xr:uid="{00000000-0005-0000-0000-000077320000}"/>
    <cellStyle name="40% - Accent1 2 3 2 4 3 2" xfId="16929" xr:uid="{00000000-0005-0000-0000-000078320000}"/>
    <cellStyle name="40% - Accent1 2 3 2 4 3 2 2" xfId="37409" xr:uid="{00000000-0005-0000-0000-000079320000}"/>
    <cellStyle name="40% - Accent1 2 3 2 4 3 3" xfId="27169" xr:uid="{00000000-0005-0000-0000-00007A320000}"/>
    <cellStyle name="40% - Accent1 2 3 2 4 4" xfId="11809" xr:uid="{00000000-0005-0000-0000-00007B320000}"/>
    <cellStyle name="40% - Accent1 2 3 2 4 4 2" xfId="32289" xr:uid="{00000000-0005-0000-0000-00007C320000}"/>
    <cellStyle name="40% - Accent1 2 3 2 4 5" xfId="22049" xr:uid="{00000000-0005-0000-0000-00007D320000}"/>
    <cellStyle name="40% - Accent1 2 3 2 5" xfId="2849" xr:uid="{00000000-0005-0000-0000-00007E320000}"/>
    <cellStyle name="40% - Accent1 2 3 2 5 2" xfId="7969" xr:uid="{00000000-0005-0000-0000-00007F320000}"/>
    <cellStyle name="40% - Accent1 2 3 2 5 2 2" xfId="18209" xr:uid="{00000000-0005-0000-0000-000080320000}"/>
    <cellStyle name="40% - Accent1 2 3 2 5 2 2 2" xfId="38689" xr:uid="{00000000-0005-0000-0000-000081320000}"/>
    <cellStyle name="40% - Accent1 2 3 2 5 2 3" xfId="28449" xr:uid="{00000000-0005-0000-0000-000082320000}"/>
    <cellStyle name="40% - Accent1 2 3 2 5 3" xfId="13089" xr:uid="{00000000-0005-0000-0000-000083320000}"/>
    <cellStyle name="40% - Accent1 2 3 2 5 3 2" xfId="33569" xr:uid="{00000000-0005-0000-0000-000084320000}"/>
    <cellStyle name="40% - Accent1 2 3 2 5 4" xfId="23329" xr:uid="{00000000-0005-0000-0000-000085320000}"/>
    <cellStyle name="40% - Accent1 2 3 2 6" xfId="5409" xr:uid="{00000000-0005-0000-0000-000086320000}"/>
    <cellStyle name="40% - Accent1 2 3 2 6 2" xfId="15649" xr:uid="{00000000-0005-0000-0000-000087320000}"/>
    <cellStyle name="40% - Accent1 2 3 2 6 2 2" xfId="36129" xr:uid="{00000000-0005-0000-0000-000088320000}"/>
    <cellStyle name="40% - Accent1 2 3 2 6 3" xfId="25889" xr:uid="{00000000-0005-0000-0000-000089320000}"/>
    <cellStyle name="40% - Accent1 2 3 2 7" xfId="10529" xr:uid="{00000000-0005-0000-0000-00008A320000}"/>
    <cellStyle name="40% - Accent1 2 3 2 7 2" xfId="31009" xr:uid="{00000000-0005-0000-0000-00008B320000}"/>
    <cellStyle name="40% - Accent1 2 3 2 8" xfId="20769" xr:uid="{00000000-0005-0000-0000-00008C320000}"/>
    <cellStyle name="40% - Accent1 2 3 3" xfId="449" xr:uid="{00000000-0005-0000-0000-00008D320000}"/>
    <cellStyle name="40% - Accent1 2 3 3 2" xfId="1089" xr:uid="{00000000-0005-0000-0000-00008E320000}"/>
    <cellStyle name="40% - Accent1 2 3 3 2 2" xfId="2369" xr:uid="{00000000-0005-0000-0000-00008F320000}"/>
    <cellStyle name="40% - Accent1 2 3 3 2 2 2" xfId="4929" xr:uid="{00000000-0005-0000-0000-000090320000}"/>
    <cellStyle name="40% - Accent1 2 3 3 2 2 2 2" xfId="10049" xr:uid="{00000000-0005-0000-0000-000091320000}"/>
    <cellStyle name="40% - Accent1 2 3 3 2 2 2 2 2" xfId="20289" xr:uid="{00000000-0005-0000-0000-000092320000}"/>
    <cellStyle name="40% - Accent1 2 3 3 2 2 2 2 2 2" xfId="40769" xr:uid="{00000000-0005-0000-0000-000093320000}"/>
    <cellStyle name="40% - Accent1 2 3 3 2 2 2 2 3" xfId="30529" xr:uid="{00000000-0005-0000-0000-000094320000}"/>
    <cellStyle name="40% - Accent1 2 3 3 2 2 2 3" xfId="15169" xr:uid="{00000000-0005-0000-0000-000095320000}"/>
    <cellStyle name="40% - Accent1 2 3 3 2 2 2 3 2" xfId="35649" xr:uid="{00000000-0005-0000-0000-000096320000}"/>
    <cellStyle name="40% - Accent1 2 3 3 2 2 2 4" xfId="25409" xr:uid="{00000000-0005-0000-0000-000097320000}"/>
    <cellStyle name="40% - Accent1 2 3 3 2 2 3" xfId="7489" xr:uid="{00000000-0005-0000-0000-000098320000}"/>
    <cellStyle name="40% - Accent1 2 3 3 2 2 3 2" xfId="17729" xr:uid="{00000000-0005-0000-0000-000099320000}"/>
    <cellStyle name="40% - Accent1 2 3 3 2 2 3 2 2" xfId="38209" xr:uid="{00000000-0005-0000-0000-00009A320000}"/>
    <cellStyle name="40% - Accent1 2 3 3 2 2 3 3" xfId="27969" xr:uid="{00000000-0005-0000-0000-00009B320000}"/>
    <cellStyle name="40% - Accent1 2 3 3 2 2 4" xfId="12609" xr:uid="{00000000-0005-0000-0000-00009C320000}"/>
    <cellStyle name="40% - Accent1 2 3 3 2 2 4 2" xfId="33089" xr:uid="{00000000-0005-0000-0000-00009D320000}"/>
    <cellStyle name="40% - Accent1 2 3 3 2 2 5" xfId="22849" xr:uid="{00000000-0005-0000-0000-00009E320000}"/>
    <cellStyle name="40% - Accent1 2 3 3 2 3" xfId="3649" xr:uid="{00000000-0005-0000-0000-00009F320000}"/>
    <cellStyle name="40% - Accent1 2 3 3 2 3 2" xfId="8769" xr:uid="{00000000-0005-0000-0000-0000A0320000}"/>
    <cellStyle name="40% - Accent1 2 3 3 2 3 2 2" xfId="19009" xr:uid="{00000000-0005-0000-0000-0000A1320000}"/>
    <cellStyle name="40% - Accent1 2 3 3 2 3 2 2 2" xfId="39489" xr:uid="{00000000-0005-0000-0000-0000A2320000}"/>
    <cellStyle name="40% - Accent1 2 3 3 2 3 2 3" xfId="29249" xr:uid="{00000000-0005-0000-0000-0000A3320000}"/>
    <cellStyle name="40% - Accent1 2 3 3 2 3 3" xfId="13889" xr:uid="{00000000-0005-0000-0000-0000A4320000}"/>
    <cellStyle name="40% - Accent1 2 3 3 2 3 3 2" xfId="34369" xr:uid="{00000000-0005-0000-0000-0000A5320000}"/>
    <cellStyle name="40% - Accent1 2 3 3 2 3 4" xfId="24129" xr:uid="{00000000-0005-0000-0000-0000A6320000}"/>
    <cellStyle name="40% - Accent1 2 3 3 2 4" xfId="6209" xr:uid="{00000000-0005-0000-0000-0000A7320000}"/>
    <cellStyle name="40% - Accent1 2 3 3 2 4 2" xfId="16449" xr:uid="{00000000-0005-0000-0000-0000A8320000}"/>
    <cellStyle name="40% - Accent1 2 3 3 2 4 2 2" xfId="36929" xr:uid="{00000000-0005-0000-0000-0000A9320000}"/>
    <cellStyle name="40% - Accent1 2 3 3 2 4 3" xfId="26689" xr:uid="{00000000-0005-0000-0000-0000AA320000}"/>
    <cellStyle name="40% - Accent1 2 3 3 2 5" xfId="11329" xr:uid="{00000000-0005-0000-0000-0000AB320000}"/>
    <cellStyle name="40% - Accent1 2 3 3 2 5 2" xfId="31809" xr:uid="{00000000-0005-0000-0000-0000AC320000}"/>
    <cellStyle name="40% - Accent1 2 3 3 2 6" xfId="21569" xr:uid="{00000000-0005-0000-0000-0000AD320000}"/>
    <cellStyle name="40% - Accent1 2 3 3 3" xfId="1729" xr:uid="{00000000-0005-0000-0000-0000AE320000}"/>
    <cellStyle name="40% - Accent1 2 3 3 3 2" xfId="4289" xr:uid="{00000000-0005-0000-0000-0000AF320000}"/>
    <cellStyle name="40% - Accent1 2 3 3 3 2 2" xfId="9409" xr:uid="{00000000-0005-0000-0000-0000B0320000}"/>
    <cellStyle name="40% - Accent1 2 3 3 3 2 2 2" xfId="19649" xr:uid="{00000000-0005-0000-0000-0000B1320000}"/>
    <cellStyle name="40% - Accent1 2 3 3 3 2 2 2 2" xfId="40129" xr:uid="{00000000-0005-0000-0000-0000B2320000}"/>
    <cellStyle name="40% - Accent1 2 3 3 3 2 2 3" xfId="29889" xr:uid="{00000000-0005-0000-0000-0000B3320000}"/>
    <cellStyle name="40% - Accent1 2 3 3 3 2 3" xfId="14529" xr:uid="{00000000-0005-0000-0000-0000B4320000}"/>
    <cellStyle name="40% - Accent1 2 3 3 3 2 3 2" xfId="35009" xr:uid="{00000000-0005-0000-0000-0000B5320000}"/>
    <cellStyle name="40% - Accent1 2 3 3 3 2 4" xfId="24769" xr:uid="{00000000-0005-0000-0000-0000B6320000}"/>
    <cellStyle name="40% - Accent1 2 3 3 3 3" xfId="6849" xr:uid="{00000000-0005-0000-0000-0000B7320000}"/>
    <cellStyle name="40% - Accent1 2 3 3 3 3 2" xfId="17089" xr:uid="{00000000-0005-0000-0000-0000B8320000}"/>
    <cellStyle name="40% - Accent1 2 3 3 3 3 2 2" xfId="37569" xr:uid="{00000000-0005-0000-0000-0000B9320000}"/>
    <cellStyle name="40% - Accent1 2 3 3 3 3 3" xfId="27329" xr:uid="{00000000-0005-0000-0000-0000BA320000}"/>
    <cellStyle name="40% - Accent1 2 3 3 3 4" xfId="11969" xr:uid="{00000000-0005-0000-0000-0000BB320000}"/>
    <cellStyle name="40% - Accent1 2 3 3 3 4 2" xfId="32449" xr:uid="{00000000-0005-0000-0000-0000BC320000}"/>
    <cellStyle name="40% - Accent1 2 3 3 3 5" xfId="22209" xr:uid="{00000000-0005-0000-0000-0000BD320000}"/>
    <cellStyle name="40% - Accent1 2 3 3 4" xfId="3009" xr:uid="{00000000-0005-0000-0000-0000BE320000}"/>
    <cellStyle name="40% - Accent1 2 3 3 4 2" xfId="8129" xr:uid="{00000000-0005-0000-0000-0000BF320000}"/>
    <cellStyle name="40% - Accent1 2 3 3 4 2 2" xfId="18369" xr:uid="{00000000-0005-0000-0000-0000C0320000}"/>
    <cellStyle name="40% - Accent1 2 3 3 4 2 2 2" xfId="38849" xr:uid="{00000000-0005-0000-0000-0000C1320000}"/>
    <cellStyle name="40% - Accent1 2 3 3 4 2 3" xfId="28609" xr:uid="{00000000-0005-0000-0000-0000C2320000}"/>
    <cellStyle name="40% - Accent1 2 3 3 4 3" xfId="13249" xr:uid="{00000000-0005-0000-0000-0000C3320000}"/>
    <cellStyle name="40% - Accent1 2 3 3 4 3 2" xfId="33729" xr:uid="{00000000-0005-0000-0000-0000C4320000}"/>
    <cellStyle name="40% - Accent1 2 3 3 4 4" xfId="23489" xr:uid="{00000000-0005-0000-0000-0000C5320000}"/>
    <cellStyle name="40% - Accent1 2 3 3 5" xfId="5569" xr:uid="{00000000-0005-0000-0000-0000C6320000}"/>
    <cellStyle name="40% - Accent1 2 3 3 5 2" xfId="15809" xr:uid="{00000000-0005-0000-0000-0000C7320000}"/>
    <cellStyle name="40% - Accent1 2 3 3 5 2 2" xfId="36289" xr:uid="{00000000-0005-0000-0000-0000C8320000}"/>
    <cellStyle name="40% - Accent1 2 3 3 5 3" xfId="26049" xr:uid="{00000000-0005-0000-0000-0000C9320000}"/>
    <cellStyle name="40% - Accent1 2 3 3 6" xfId="10689" xr:uid="{00000000-0005-0000-0000-0000CA320000}"/>
    <cellStyle name="40% - Accent1 2 3 3 6 2" xfId="31169" xr:uid="{00000000-0005-0000-0000-0000CB320000}"/>
    <cellStyle name="40% - Accent1 2 3 3 7" xfId="20929" xr:uid="{00000000-0005-0000-0000-0000CC320000}"/>
    <cellStyle name="40% - Accent1 2 3 4" xfId="769" xr:uid="{00000000-0005-0000-0000-0000CD320000}"/>
    <cellStyle name="40% - Accent1 2 3 4 2" xfId="2049" xr:uid="{00000000-0005-0000-0000-0000CE320000}"/>
    <cellStyle name="40% - Accent1 2 3 4 2 2" xfId="4609" xr:uid="{00000000-0005-0000-0000-0000CF320000}"/>
    <cellStyle name="40% - Accent1 2 3 4 2 2 2" xfId="9729" xr:uid="{00000000-0005-0000-0000-0000D0320000}"/>
    <cellStyle name="40% - Accent1 2 3 4 2 2 2 2" xfId="19969" xr:uid="{00000000-0005-0000-0000-0000D1320000}"/>
    <cellStyle name="40% - Accent1 2 3 4 2 2 2 2 2" xfId="40449" xr:uid="{00000000-0005-0000-0000-0000D2320000}"/>
    <cellStyle name="40% - Accent1 2 3 4 2 2 2 3" xfId="30209" xr:uid="{00000000-0005-0000-0000-0000D3320000}"/>
    <cellStyle name="40% - Accent1 2 3 4 2 2 3" xfId="14849" xr:uid="{00000000-0005-0000-0000-0000D4320000}"/>
    <cellStyle name="40% - Accent1 2 3 4 2 2 3 2" xfId="35329" xr:uid="{00000000-0005-0000-0000-0000D5320000}"/>
    <cellStyle name="40% - Accent1 2 3 4 2 2 4" xfId="25089" xr:uid="{00000000-0005-0000-0000-0000D6320000}"/>
    <cellStyle name="40% - Accent1 2 3 4 2 3" xfId="7169" xr:uid="{00000000-0005-0000-0000-0000D7320000}"/>
    <cellStyle name="40% - Accent1 2 3 4 2 3 2" xfId="17409" xr:uid="{00000000-0005-0000-0000-0000D8320000}"/>
    <cellStyle name="40% - Accent1 2 3 4 2 3 2 2" xfId="37889" xr:uid="{00000000-0005-0000-0000-0000D9320000}"/>
    <cellStyle name="40% - Accent1 2 3 4 2 3 3" xfId="27649" xr:uid="{00000000-0005-0000-0000-0000DA320000}"/>
    <cellStyle name="40% - Accent1 2 3 4 2 4" xfId="12289" xr:uid="{00000000-0005-0000-0000-0000DB320000}"/>
    <cellStyle name="40% - Accent1 2 3 4 2 4 2" xfId="32769" xr:uid="{00000000-0005-0000-0000-0000DC320000}"/>
    <cellStyle name="40% - Accent1 2 3 4 2 5" xfId="22529" xr:uid="{00000000-0005-0000-0000-0000DD320000}"/>
    <cellStyle name="40% - Accent1 2 3 4 3" xfId="3329" xr:uid="{00000000-0005-0000-0000-0000DE320000}"/>
    <cellStyle name="40% - Accent1 2 3 4 3 2" xfId="8449" xr:uid="{00000000-0005-0000-0000-0000DF320000}"/>
    <cellStyle name="40% - Accent1 2 3 4 3 2 2" xfId="18689" xr:uid="{00000000-0005-0000-0000-0000E0320000}"/>
    <cellStyle name="40% - Accent1 2 3 4 3 2 2 2" xfId="39169" xr:uid="{00000000-0005-0000-0000-0000E1320000}"/>
    <cellStyle name="40% - Accent1 2 3 4 3 2 3" xfId="28929" xr:uid="{00000000-0005-0000-0000-0000E2320000}"/>
    <cellStyle name="40% - Accent1 2 3 4 3 3" xfId="13569" xr:uid="{00000000-0005-0000-0000-0000E3320000}"/>
    <cellStyle name="40% - Accent1 2 3 4 3 3 2" xfId="34049" xr:uid="{00000000-0005-0000-0000-0000E4320000}"/>
    <cellStyle name="40% - Accent1 2 3 4 3 4" xfId="23809" xr:uid="{00000000-0005-0000-0000-0000E5320000}"/>
    <cellStyle name="40% - Accent1 2 3 4 4" xfId="5889" xr:uid="{00000000-0005-0000-0000-0000E6320000}"/>
    <cellStyle name="40% - Accent1 2 3 4 4 2" xfId="16129" xr:uid="{00000000-0005-0000-0000-0000E7320000}"/>
    <cellStyle name="40% - Accent1 2 3 4 4 2 2" xfId="36609" xr:uid="{00000000-0005-0000-0000-0000E8320000}"/>
    <cellStyle name="40% - Accent1 2 3 4 4 3" xfId="26369" xr:uid="{00000000-0005-0000-0000-0000E9320000}"/>
    <cellStyle name="40% - Accent1 2 3 4 5" xfId="11009" xr:uid="{00000000-0005-0000-0000-0000EA320000}"/>
    <cellStyle name="40% - Accent1 2 3 4 5 2" xfId="31489" xr:uid="{00000000-0005-0000-0000-0000EB320000}"/>
    <cellStyle name="40% - Accent1 2 3 4 6" xfId="21249" xr:uid="{00000000-0005-0000-0000-0000EC320000}"/>
    <cellStyle name="40% - Accent1 2 3 5" xfId="1409" xr:uid="{00000000-0005-0000-0000-0000ED320000}"/>
    <cellStyle name="40% - Accent1 2 3 5 2" xfId="3969" xr:uid="{00000000-0005-0000-0000-0000EE320000}"/>
    <cellStyle name="40% - Accent1 2 3 5 2 2" xfId="9089" xr:uid="{00000000-0005-0000-0000-0000EF320000}"/>
    <cellStyle name="40% - Accent1 2 3 5 2 2 2" xfId="19329" xr:uid="{00000000-0005-0000-0000-0000F0320000}"/>
    <cellStyle name="40% - Accent1 2 3 5 2 2 2 2" xfId="39809" xr:uid="{00000000-0005-0000-0000-0000F1320000}"/>
    <cellStyle name="40% - Accent1 2 3 5 2 2 3" xfId="29569" xr:uid="{00000000-0005-0000-0000-0000F2320000}"/>
    <cellStyle name="40% - Accent1 2 3 5 2 3" xfId="14209" xr:uid="{00000000-0005-0000-0000-0000F3320000}"/>
    <cellStyle name="40% - Accent1 2 3 5 2 3 2" xfId="34689" xr:uid="{00000000-0005-0000-0000-0000F4320000}"/>
    <cellStyle name="40% - Accent1 2 3 5 2 4" xfId="24449" xr:uid="{00000000-0005-0000-0000-0000F5320000}"/>
    <cellStyle name="40% - Accent1 2 3 5 3" xfId="6529" xr:uid="{00000000-0005-0000-0000-0000F6320000}"/>
    <cellStyle name="40% - Accent1 2 3 5 3 2" xfId="16769" xr:uid="{00000000-0005-0000-0000-0000F7320000}"/>
    <cellStyle name="40% - Accent1 2 3 5 3 2 2" xfId="37249" xr:uid="{00000000-0005-0000-0000-0000F8320000}"/>
    <cellStyle name="40% - Accent1 2 3 5 3 3" xfId="27009" xr:uid="{00000000-0005-0000-0000-0000F9320000}"/>
    <cellStyle name="40% - Accent1 2 3 5 4" xfId="11649" xr:uid="{00000000-0005-0000-0000-0000FA320000}"/>
    <cellStyle name="40% - Accent1 2 3 5 4 2" xfId="32129" xr:uid="{00000000-0005-0000-0000-0000FB320000}"/>
    <cellStyle name="40% - Accent1 2 3 5 5" xfId="21889" xr:uid="{00000000-0005-0000-0000-0000FC320000}"/>
    <cellStyle name="40% - Accent1 2 3 6" xfId="2689" xr:uid="{00000000-0005-0000-0000-0000FD320000}"/>
    <cellStyle name="40% - Accent1 2 3 6 2" xfId="7809" xr:uid="{00000000-0005-0000-0000-0000FE320000}"/>
    <cellStyle name="40% - Accent1 2 3 6 2 2" xfId="18049" xr:uid="{00000000-0005-0000-0000-0000FF320000}"/>
    <cellStyle name="40% - Accent1 2 3 6 2 2 2" xfId="38529" xr:uid="{00000000-0005-0000-0000-000000330000}"/>
    <cellStyle name="40% - Accent1 2 3 6 2 3" xfId="28289" xr:uid="{00000000-0005-0000-0000-000001330000}"/>
    <cellStyle name="40% - Accent1 2 3 6 3" xfId="12929" xr:uid="{00000000-0005-0000-0000-000002330000}"/>
    <cellStyle name="40% - Accent1 2 3 6 3 2" xfId="33409" xr:uid="{00000000-0005-0000-0000-000003330000}"/>
    <cellStyle name="40% - Accent1 2 3 6 4" xfId="23169" xr:uid="{00000000-0005-0000-0000-000004330000}"/>
    <cellStyle name="40% - Accent1 2 3 7" xfId="5249" xr:uid="{00000000-0005-0000-0000-000005330000}"/>
    <cellStyle name="40% - Accent1 2 3 7 2" xfId="15489" xr:uid="{00000000-0005-0000-0000-000006330000}"/>
    <cellStyle name="40% - Accent1 2 3 7 2 2" xfId="35969" xr:uid="{00000000-0005-0000-0000-000007330000}"/>
    <cellStyle name="40% - Accent1 2 3 7 3" xfId="25729" xr:uid="{00000000-0005-0000-0000-000008330000}"/>
    <cellStyle name="40% - Accent1 2 3 8" xfId="10369" xr:uid="{00000000-0005-0000-0000-000009330000}"/>
    <cellStyle name="40% - Accent1 2 3 8 2" xfId="30849" xr:uid="{00000000-0005-0000-0000-00000A330000}"/>
    <cellStyle name="40% - Accent1 2 3 9" xfId="20609" xr:uid="{00000000-0005-0000-0000-00000B330000}"/>
    <cellStyle name="40% - Accent1 2 4" xfId="209" xr:uid="{00000000-0005-0000-0000-00000C330000}"/>
    <cellStyle name="40% - Accent1 2 4 2" xfId="529" xr:uid="{00000000-0005-0000-0000-00000D330000}"/>
    <cellStyle name="40% - Accent1 2 4 2 2" xfId="1169" xr:uid="{00000000-0005-0000-0000-00000E330000}"/>
    <cellStyle name="40% - Accent1 2 4 2 2 2" xfId="2449" xr:uid="{00000000-0005-0000-0000-00000F330000}"/>
    <cellStyle name="40% - Accent1 2 4 2 2 2 2" xfId="5009" xr:uid="{00000000-0005-0000-0000-000010330000}"/>
    <cellStyle name="40% - Accent1 2 4 2 2 2 2 2" xfId="10129" xr:uid="{00000000-0005-0000-0000-000011330000}"/>
    <cellStyle name="40% - Accent1 2 4 2 2 2 2 2 2" xfId="20369" xr:uid="{00000000-0005-0000-0000-000012330000}"/>
    <cellStyle name="40% - Accent1 2 4 2 2 2 2 2 2 2" xfId="40849" xr:uid="{00000000-0005-0000-0000-000013330000}"/>
    <cellStyle name="40% - Accent1 2 4 2 2 2 2 2 3" xfId="30609" xr:uid="{00000000-0005-0000-0000-000014330000}"/>
    <cellStyle name="40% - Accent1 2 4 2 2 2 2 3" xfId="15249" xr:uid="{00000000-0005-0000-0000-000015330000}"/>
    <cellStyle name="40% - Accent1 2 4 2 2 2 2 3 2" xfId="35729" xr:uid="{00000000-0005-0000-0000-000016330000}"/>
    <cellStyle name="40% - Accent1 2 4 2 2 2 2 4" xfId="25489" xr:uid="{00000000-0005-0000-0000-000017330000}"/>
    <cellStyle name="40% - Accent1 2 4 2 2 2 3" xfId="7569" xr:uid="{00000000-0005-0000-0000-000018330000}"/>
    <cellStyle name="40% - Accent1 2 4 2 2 2 3 2" xfId="17809" xr:uid="{00000000-0005-0000-0000-000019330000}"/>
    <cellStyle name="40% - Accent1 2 4 2 2 2 3 2 2" xfId="38289" xr:uid="{00000000-0005-0000-0000-00001A330000}"/>
    <cellStyle name="40% - Accent1 2 4 2 2 2 3 3" xfId="28049" xr:uid="{00000000-0005-0000-0000-00001B330000}"/>
    <cellStyle name="40% - Accent1 2 4 2 2 2 4" xfId="12689" xr:uid="{00000000-0005-0000-0000-00001C330000}"/>
    <cellStyle name="40% - Accent1 2 4 2 2 2 4 2" xfId="33169" xr:uid="{00000000-0005-0000-0000-00001D330000}"/>
    <cellStyle name="40% - Accent1 2 4 2 2 2 5" xfId="22929" xr:uid="{00000000-0005-0000-0000-00001E330000}"/>
    <cellStyle name="40% - Accent1 2 4 2 2 3" xfId="3729" xr:uid="{00000000-0005-0000-0000-00001F330000}"/>
    <cellStyle name="40% - Accent1 2 4 2 2 3 2" xfId="8849" xr:uid="{00000000-0005-0000-0000-000020330000}"/>
    <cellStyle name="40% - Accent1 2 4 2 2 3 2 2" xfId="19089" xr:uid="{00000000-0005-0000-0000-000021330000}"/>
    <cellStyle name="40% - Accent1 2 4 2 2 3 2 2 2" xfId="39569" xr:uid="{00000000-0005-0000-0000-000022330000}"/>
    <cellStyle name="40% - Accent1 2 4 2 2 3 2 3" xfId="29329" xr:uid="{00000000-0005-0000-0000-000023330000}"/>
    <cellStyle name="40% - Accent1 2 4 2 2 3 3" xfId="13969" xr:uid="{00000000-0005-0000-0000-000024330000}"/>
    <cellStyle name="40% - Accent1 2 4 2 2 3 3 2" xfId="34449" xr:uid="{00000000-0005-0000-0000-000025330000}"/>
    <cellStyle name="40% - Accent1 2 4 2 2 3 4" xfId="24209" xr:uid="{00000000-0005-0000-0000-000026330000}"/>
    <cellStyle name="40% - Accent1 2 4 2 2 4" xfId="6289" xr:uid="{00000000-0005-0000-0000-000027330000}"/>
    <cellStyle name="40% - Accent1 2 4 2 2 4 2" xfId="16529" xr:uid="{00000000-0005-0000-0000-000028330000}"/>
    <cellStyle name="40% - Accent1 2 4 2 2 4 2 2" xfId="37009" xr:uid="{00000000-0005-0000-0000-000029330000}"/>
    <cellStyle name="40% - Accent1 2 4 2 2 4 3" xfId="26769" xr:uid="{00000000-0005-0000-0000-00002A330000}"/>
    <cellStyle name="40% - Accent1 2 4 2 2 5" xfId="11409" xr:uid="{00000000-0005-0000-0000-00002B330000}"/>
    <cellStyle name="40% - Accent1 2 4 2 2 5 2" xfId="31889" xr:uid="{00000000-0005-0000-0000-00002C330000}"/>
    <cellStyle name="40% - Accent1 2 4 2 2 6" xfId="21649" xr:uid="{00000000-0005-0000-0000-00002D330000}"/>
    <cellStyle name="40% - Accent1 2 4 2 3" xfId="1809" xr:uid="{00000000-0005-0000-0000-00002E330000}"/>
    <cellStyle name="40% - Accent1 2 4 2 3 2" xfId="4369" xr:uid="{00000000-0005-0000-0000-00002F330000}"/>
    <cellStyle name="40% - Accent1 2 4 2 3 2 2" xfId="9489" xr:uid="{00000000-0005-0000-0000-000030330000}"/>
    <cellStyle name="40% - Accent1 2 4 2 3 2 2 2" xfId="19729" xr:uid="{00000000-0005-0000-0000-000031330000}"/>
    <cellStyle name="40% - Accent1 2 4 2 3 2 2 2 2" xfId="40209" xr:uid="{00000000-0005-0000-0000-000032330000}"/>
    <cellStyle name="40% - Accent1 2 4 2 3 2 2 3" xfId="29969" xr:uid="{00000000-0005-0000-0000-000033330000}"/>
    <cellStyle name="40% - Accent1 2 4 2 3 2 3" xfId="14609" xr:uid="{00000000-0005-0000-0000-000034330000}"/>
    <cellStyle name="40% - Accent1 2 4 2 3 2 3 2" xfId="35089" xr:uid="{00000000-0005-0000-0000-000035330000}"/>
    <cellStyle name="40% - Accent1 2 4 2 3 2 4" xfId="24849" xr:uid="{00000000-0005-0000-0000-000036330000}"/>
    <cellStyle name="40% - Accent1 2 4 2 3 3" xfId="6929" xr:uid="{00000000-0005-0000-0000-000037330000}"/>
    <cellStyle name="40% - Accent1 2 4 2 3 3 2" xfId="17169" xr:uid="{00000000-0005-0000-0000-000038330000}"/>
    <cellStyle name="40% - Accent1 2 4 2 3 3 2 2" xfId="37649" xr:uid="{00000000-0005-0000-0000-000039330000}"/>
    <cellStyle name="40% - Accent1 2 4 2 3 3 3" xfId="27409" xr:uid="{00000000-0005-0000-0000-00003A330000}"/>
    <cellStyle name="40% - Accent1 2 4 2 3 4" xfId="12049" xr:uid="{00000000-0005-0000-0000-00003B330000}"/>
    <cellStyle name="40% - Accent1 2 4 2 3 4 2" xfId="32529" xr:uid="{00000000-0005-0000-0000-00003C330000}"/>
    <cellStyle name="40% - Accent1 2 4 2 3 5" xfId="22289" xr:uid="{00000000-0005-0000-0000-00003D330000}"/>
    <cellStyle name="40% - Accent1 2 4 2 4" xfId="3089" xr:uid="{00000000-0005-0000-0000-00003E330000}"/>
    <cellStyle name="40% - Accent1 2 4 2 4 2" xfId="8209" xr:uid="{00000000-0005-0000-0000-00003F330000}"/>
    <cellStyle name="40% - Accent1 2 4 2 4 2 2" xfId="18449" xr:uid="{00000000-0005-0000-0000-000040330000}"/>
    <cellStyle name="40% - Accent1 2 4 2 4 2 2 2" xfId="38929" xr:uid="{00000000-0005-0000-0000-000041330000}"/>
    <cellStyle name="40% - Accent1 2 4 2 4 2 3" xfId="28689" xr:uid="{00000000-0005-0000-0000-000042330000}"/>
    <cellStyle name="40% - Accent1 2 4 2 4 3" xfId="13329" xr:uid="{00000000-0005-0000-0000-000043330000}"/>
    <cellStyle name="40% - Accent1 2 4 2 4 3 2" xfId="33809" xr:uid="{00000000-0005-0000-0000-000044330000}"/>
    <cellStyle name="40% - Accent1 2 4 2 4 4" xfId="23569" xr:uid="{00000000-0005-0000-0000-000045330000}"/>
    <cellStyle name="40% - Accent1 2 4 2 5" xfId="5649" xr:uid="{00000000-0005-0000-0000-000046330000}"/>
    <cellStyle name="40% - Accent1 2 4 2 5 2" xfId="15889" xr:uid="{00000000-0005-0000-0000-000047330000}"/>
    <cellStyle name="40% - Accent1 2 4 2 5 2 2" xfId="36369" xr:uid="{00000000-0005-0000-0000-000048330000}"/>
    <cellStyle name="40% - Accent1 2 4 2 5 3" xfId="26129" xr:uid="{00000000-0005-0000-0000-000049330000}"/>
    <cellStyle name="40% - Accent1 2 4 2 6" xfId="10769" xr:uid="{00000000-0005-0000-0000-00004A330000}"/>
    <cellStyle name="40% - Accent1 2 4 2 6 2" xfId="31249" xr:uid="{00000000-0005-0000-0000-00004B330000}"/>
    <cellStyle name="40% - Accent1 2 4 2 7" xfId="21009" xr:uid="{00000000-0005-0000-0000-00004C330000}"/>
    <cellStyle name="40% - Accent1 2 4 3" xfId="849" xr:uid="{00000000-0005-0000-0000-00004D330000}"/>
    <cellStyle name="40% - Accent1 2 4 3 2" xfId="2129" xr:uid="{00000000-0005-0000-0000-00004E330000}"/>
    <cellStyle name="40% - Accent1 2 4 3 2 2" xfId="4689" xr:uid="{00000000-0005-0000-0000-00004F330000}"/>
    <cellStyle name="40% - Accent1 2 4 3 2 2 2" xfId="9809" xr:uid="{00000000-0005-0000-0000-000050330000}"/>
    <cellStyle name="40% - Accent1 2 4 3 2 2 2 2" xfId="20049" xr:uid="{00000000-0005-0000-0000-000051330000}"/>
    <cellStyle name="40% - Accent1 2 4 3 2 2 2 2 2" xfId="40529" xr:uid="{00000000-0005-0000-0000-000052330000}"/>
    <cellStyle name="40% - Accent1 2 4 3 2 2 2 3" xfId="30289" xr:uid="{00000000-0005-0000-0000-000053330000}"/>
    <cellStyle name="40% - Accent1 2 4 3 2 2 3" xfId="14929" xr:uid="{00000000-0005-0000-0000-000054330000}"/>
    <cellStyle name="40% - Accent1 2 4 3 2 2 3 2" xfId="35409" xr:uid="{00000000-0005-0000-0000-000055330000}"/>
    <cellStyle name="40% - Accent1 2 4 3 2 2 4" xfId="25169" xr:uid="{00000000-0005-0000-0000-000056330000}"/>
    <cellStyle name="40% - Accent1 2 4 3 2 3" xfId="7249" xr:uid="{00000000-0005-0000-0000-000057330000}"/>
    <cellStyle name="40% - Accent1 2 4 3 2 3 2" xfId="17489" xr:uid="{00000000-0005-0000-0000-000058330000}"/>
    <cellStyle name="40% - Accent1 2 4 3 2 3 2 2" xfId="37969" xr:uid="{00000000-0005-0000-0000-000059330000}"/>
    <cellStyle name="40% - Accent1 2 4 3 2 3 3" xfId="27729" xr:uid="{00000000-0005-0000-0000-00005A330000}"/>
    <cellStyle name="40% - Accent1 2 4 3 2 4" xfId="12369" xr:uid="{00000000-0005-0000-0000-00005B330000}"/>
    <cellStyle name="40% - Accent1 2 4 3 2 4 2" xfId="32849" xr:uid="{00000000-0005-0000-0000-00005C330000}"/>
    <cellStyle name="40% - Accent1 2 4 3 2 5" xfId="22609" xr:uid="{00000000-0005-0000-0000-00005D330000}"/>
    <cellStyle name="40% - Accent1 2 4 3 3" xfId="3409" xr:uid="{00000000-0005-0000-0000-00005E330000}"/>
    <cellStyle name="40% - Accent1 2 4 3 3 2" xfId="8529" xr:uid="{00000000-0005-0000-0000-00005F330000}"/>
    <cellStyle name="40% - Accent1 2 4 3 3 2 2" xfId="18769" xr:uid="{00000000-0005-0000-0000-000060330000}"/>
    <cellStyle name="40% - Accent1 2 4 3 3 2 2 2" xfId="39249" xr:uid="{00000000-0005-0000-0000-000061330000}"/>
    <cellStyle name="40% - Accent1 2 4 3 3 2 3" xfId="29009" xr:uid="{00000000-0005-0000-0000-000062330000}"/>
    <cellStyle name="40% - Accent1 2 4 3 3 3" xfId="13649" xr:uid="{00000000-0005-0000-0000-000063330000}"/>
    <cellStyle name="40% - Accent1 2 4 3 3 3 2" xfId="34129" xr:uid="{00000000-0005-0000-0000-000064330000}"/>
    <cellStyle name="40% - Accent1 2 4 3 3 4" xfId="23889" xr:uid="{00000000-0005-0000-0000-000065330000}"/>
    <cellStyle name="40% - Accent1 2 4 3 4" xfId="5969" xr:uid="{00000000-0005-0000-0000-000066330000}"/>
    <cellStyle name="40% - Accent1 2 4 3 4 2" xfId="16209" xr:uid="{00000000-0005-0000-0000-000067330000}"/>
    <cellStyle name="40% - Accent1 2 4 3 4 2 2" xfId="36689" xr:uid="{00000000-0005-0000-0000-000068330000}"/>
    <cellStyle name="40% - Accent1 2 4 3 4 3" xfId="26449" xr:uid="{00000000-0005-0000-0000-000069330000}"/>
    <cellStyle name="40% - Accent1 2 4 3 5" xfId="11089" xr:uid="{00000000-0005-0000-0000-00006A330000}"/>
    <cellStyle name="40% - Accent1 2 4 3 5 2" xfId="31569" xr:uid="{00000000-0005-0000-0000-00006B330000}"/>
    <cellStyle name="40% - Accent1 2 4 3 6" xfId="21329" xr:uid="{00000000-0005-0000-0000-00006C330000}"/>
    <cellStyle name="40% - Accent1 2 4 4" xfId="1489" xr:uid="{00000000-0005-0000-0000-00006D330000}"/>
    <cellStyle name="40% - Accent1 2 4 4 2" xfId="4049" xr:uid="{00000000-0005-0000-0000-00006E330000}"/>
    <cellStyle name="40% - Accent1 2 4 4 2 2" xfId="9169" xr:uid="{00000000-0005-0000-0000-00006F330000}"/>
    <cellStyle name="40% - Accent1 2 4 4 2 2 2" xfId="19409" xr:uid="{00000000-0005-0000-0000-000070330000}"/>
    <cellStyle name="40% - Accent1 2 4 4 2 2 2 2" xfId="39889" xr:uid="{00000000-0005-0000-0000-000071330000}"/>
    <cellStyle name="40% - Accent1 2 4 4 2 2 3" xfId="29649" xr:uid="{00000000-0005-0000-0000-000072330000}"/>
    <cellStyle name="40% - Accent1 2 4 4 2 3" xfId="14289" xr:uid="{00000000-0005-0000-0000-000073330000}"/>
    <cellStyle name="40% - Accent1 2 4 4 2 3 2" xfId="34769" xr:uid="{00000000-0005-0000-0000-000074330000}"/>
    <cellStyle name="40% - Accent1 2 4 4 2 4" xfId="24529" xr:uid="{00000000-0005-0000-0000-000075330000}"/>
    <cellStyle name="40% - Accent1 2 4 4 3" xfId="6609" xr:uid="{00000000-0005-0000-0000-000076330000}"/>
    <cellStyle name="40% - Accent1 2 4 4 3 2" xfId="16849" xr:uid="{00000000-0005-0000-0000-000077330000}"/>
    <cellStyle name="40% - Accent1 2 4 4 3 2 2" xfId="37329" xr:uid="{00000000-0005-0000-0000-000078330000}"/>
    <cellStyle name="40% - Accent1 2 4 4 3 3" xfId="27089" xr:uid="{00000000-0005-0000-0000-000079330000}"/>
    <cellStyle name="40% - Accent1 2 4 4 4" xfId="11729" xr:uid="{00000000-0005-0000-0000-00007A330000}"/>
    <cellStyle name="40% - Accent1 2 4 4 4 2" xfId="32209" xr:uid="{00000000-0005-0000-0000-00007B330000}"/>
    <cellStyle name="40% - Accent1 2 4 4 5" xfId="21969" xr:uid="{00000000-0005-0000-0000-00007C330000}"/>
    <cellStyle name="40% - Accent1 2 4 5" xfId="2769" xr:uid="{00000000-0005-0000-0000-00007D330000}"/>
    <cellStyle name="40% - Accent1 2 4 5 2" xfId="7889" xr:uid="{00000000-0005-0000-0000-00007E330000}"/>
    <cellStyle name="40% - Accent1 2 4 5 2 2" xfId="18129" xr:uid="{00000000-0005-0000-0000-00007F330000}"/>
    <cellStyle name="40% - Accent1 2 4 5 2 2 2" xfId="38609" xr:uid="{00000000-0005-0000-0000-000080330000}"/>
    <cellStyle name="40% - Accent1 2 4 5 2 3" xfId="28369" xr:uid="{00000000-0005-0000-0000-000081330000}"/>
    <cellStyle name="40% - Accent1 2 4 5 3" xfId="13009" xr:uid="{00000000-0005-0000-0000-000082330000}"/>
    <cellStyle name="40% - Accent1 2 4 5 3 2" xfId="33489" xr:uid="{00000000-0005-0000-0000-000083330000}"/>
    <cellStyle name="40% - Accent1 2 4 5 4" xfId="23249" xr:uid="{00000000-0005-0000-0000-000084330000}"/>
    <cellStyle name="40% - Accent1 2 4 6" xfId="5329" xr:uid="{00000000-0005-0000-0000-000085330000}"/>
    <cellStyle name="40% - Accent1 2 4 6 2" xfId="15569" xr:uid="{00000000-0005-0000-0000-000086330000}"/>
    <cellStyle name="40% - Accent1 2 4 6 2 2" xfId="36049" xr:uid="{00000000-0005-0000-0000-000087330000}"/>
    <cellStyle name="40% - Accent1 2 4 6 3" xfId="25809" xr:uid="{00000000-0005-0000-0000-000088330000}"/>
    <cellStyle name="40% - Accent1 2 4 7" xfId="10449" xr:uid="{00000000-0005-0000-0000-000089330000}"/>
    <cellStyle name="40% - Accent1 2 4 7 2" xfId="30929" xr:uid="{00000000-0005-0000-0000-00008A330000}"/>
    <cellStyle name="40% - Accent1 2 4 8" xfId="20689" xr:uid="{00000000-0005-0000-0000-00008B330000}"/>
    <cellStyle name="40% - Accent1 2 5" xfId="369" xr:uid="{00000000-0005-0000-0000-00008C330000}"/>
    <cellStyle name="40% - Accent1 2 5 2" xfId="1009" xr:uid="{00000000-0005-0000-0000-00008D330000}"/>
    <cellStyle name="40% - Accent1 2 5 2 2" xfId="2289" xr:uid="{00000000-0005-0000-0000-00008E330000}"/>
    <cellStyle name="40% - Accent1 2 5 2 2 2" xfId="4849" xr:uid="{00000000-0005-0000-0000-00008F330000}"/>
    <cellStyle name="40% - Accent1 2 5 2 2 2 2" xfId="9969" xr:uid="{00000000-0005-0000-0000-000090330000}"/>
    <cellStyle name="40% - Accent1 2 5 2 2 2 2 2" xfId="20209" xr:uid="{00000000-0005-0000-0000-000091330000}"/>
    <cellStyle name="40% - Accent1 2 5 2 2 2 2 2 2" xfId="40689" xr:uid="{00000000-0005-0000-0000-000092330000}"/>
    <cellStyle name="40% - Accent1 2 5 2 2 2 2 3" xfId="30449" xr:uid="{00000000-0005-0000-0000-000093330000}"/>
    <cellStyle name="40% - Accent1 2 5 2 2 2 3" xfId="15089" xr:uid="{00000000-0005-0000-0000-000094330000}"/>
    <cellStyle name="40% - Accent1 2 5 2 2 2 3 2" xfId="35569" xr:uid="{00000000-0005-0000-0000-000095330000}"/>
    <cellStyle name="40% - Accent1 2 5 2 2 2 4" xfId="25329" xr:uid="{00000000-0005-0000-0000-000096330000}"/>
    <cellStyle name="40% - Accent1 2 5 2 2 3" xfId="7409" xr:uid="{00000000-0005-0000-0000-000097330000}"/>
    <cellStyle name="40% - Accent1 2 5 2 2 3 2" xfId="17649" xr:uid="{00000000-0005-0000-0000-000098330000}"/>
    <cellStyle name="40% - Accent1 2 5 2 2 3 2 2" xfId="38129" xr:uid="{00000000-0005-0000-0000-000099330000}"/>
    <cellStyle name="40% - Accent1 2 5 2 2 3 3" xfId="27889" xr:uid="{00000000-0005-0000-0000-00009A330000}"/>
    <cellStyle name="40% - Accent1 2 5 2 2 4" xfId="12529" xr:uid="{00000000-0005-0000-0000-00009B330000}"/>
    <cellStyle name="40% - Accent1 2 5 2 2 4 2" xfId="33009" xr:uid="{00000000-0005-0000-0000-00009C330000}"/>
    <cellStyle name="40% - Accent1 2 5 2 2 5" xfId="22769" xr:uid="{00000000-0005-0000-0000-00009D330000}"/>
    <cellStyle name="40% - Accent1 2 5 2 3" xfId="3569" xr:uid="{00000000-0005-0000-0000-00009E330000}"/>
    <cellStyle name="40% - Accent1 2 5 2 3 2" xfId="8689" xr:uid="{00000000-0005-0000-0000-00009F330000}"/>
    <cellStyle name="40% - Accent1 2 5 2 3 2 2" xfId="18929" xr:uid="{00000000-0005-0000-0000-0000A0330000}"/>
    <cellStyle name="40% - Accent1 2 5 2 3 2 2 2" xfId="39409" xr:uid="{00000000-0005-0000-0000-0000A1330000}"/>
    <cellStyle name="40% - Accent1 2 5 2 3 2 3" xfId="29169" xr:uid="{00000000-0005-0000-0000-0000A2330000}"/>
    <cellStyle name="40% - Accent1 2 5 2 3 3" xfId="13809" xr:uid="{00000000-0005-0000-0000-0000A3330000}"/>
    <cellStyle name="40% - Accent1 2 5 2 3 3 2" xfId="34289" xr:uid="{00000000-0005-0000-0000-0000A4330000}"/>
    <cellStyle name="40% - Accent1 2 5 2 3 4" xfId="24049" xr:uid="{00000000-0005-0000-0000-0000A5330000}"/>
    <cellStyle name="40% - Accent1 2 5 2 4" xfId="6129" xr:uid="{00000000-0005-0000-0000-0000A6330000}"/>
    <cellStyle name="40% - Accent1 2 5 2 4 2" xfId="16369" xr:uid="{00000000-0005-0000-0000-0000A7330000}"/>
    <cellStyle name="40% - Accent1 2 5 2 4 2 2" xfId="36849" xr:uid="{00000000-0005-0000-0000-0000A8330000}"/>
    <cellStyle name="40% - Accent1 2 5 2 4 3" xfId="26609" xr:uid="{00000000-0005-0000-0000-0000A9330000}"/>
    <cellStyle name="40% - Accent1 2 5 2 5" xfId="11249" xr:uid="{00000000-0005-0000-0000-0000AA330000}"/>
    <cellStyle name="40% - Accent1 2 5 2 5 2" xfId="31729" xr:uid="{00000000-0005-0000-0000-0000AB330000}"/>
    <cellStyle name="40% - Accent1 2 5 2 6" xfId="21489" xr:uid="{00000000-0005-0000-0000-0000AC330000}"/>
    <cellStyle name="40% - Accent1 2 5 3" xfId="1649" xr:uid="{00000000-0005-0000-0000-0000AD330000}"/>
    <cellStyle name="40% - Accent1 2 5 3 2" xfId="4209" xr:uid="{00000000-0005-0000-0000-0000AE330000}"/>
    <cellStyle name="40% - Accent1 2 5 3 2 2" xfId="9329" xr:uid="{00000000-0005-0000-0000-0000AF330000}"/>
    <cellStyle name="40% - Accent1 2 5 3 2 2 2" xfId="19569" xr:uid="{00000000-0005-0000-0000-0000B0330000}"/>
    <cellStyle name="40% - Accent1 2 5 3 2 2 2 2" xfId="40049" xr:uid="{00000000-0005-0000-0000-0000B1330000}"/>
    <cellStyle name="40% - Accent1 2 5 3 2 2 3" xfId="29809" xr:uid="{00000000-0005-0000-0000-0000B2330000}"/>
    <cellStyle name="40% - Accent1 2 5 3 2 3" xfId="14449" xr:uid="{00000000-0005-0000-0000-0000B3330000}"/>
    <cellStyle name="40% - Accent1 2 5 3 2 3 2" xfId="34929" xr:uid="{00000000-0005-0000-0000-0000B4330000}"/>
    <cellStyle name="40% - Accent1 2 5 3 2 4" xfId="24689" xr:uid="{00000000-0005-0000-0000-0000B5330000}"/>
    <cellStyle name="40% - Accent1 2 5 3 3" xfId="6769" xr:uid="{00000000-0005-0000-0000-0000B6330000}"/>
    <cellStyle name="40% - Accent1 2 5 3 3 2" xfId="17009" xr:uid="{00000000-0005-0000-0000-0000B7330000}"/>
    <cellStyle name="40% - Accent1 2 5 3 3 2 2" xfId="37489" xr:uid="{00000000-0005-0000-0000-0000B8330000}"/>
    <cellStyle name="40% - Accent1 2 5 3 3 3" xfId="27249" xr:uid="{00000000-0005-0000-0000-0000B9330000}"/>
    <cellStyle name="40% - Accent1 2 5 3 4" xfId="11889" xr:uid="{00000000-0005-0000-0000-0000BA330000}"/>
    <cellStyle name="40% - Accent1 2 5 3 4 2" xfId="32369" xr:uid="{00000000-0005-0000-0000-0000BB330000}"/>
    <cellStyle name="40% - Accent1 2 5 3 5" xfId="22129" xr:uid="{00000000-0005-0000-0000-0000BC330000}"/>
    <cellStyle name="40% - Accent1 2 5 4" xfId="2929" xr:uid="{00000000-0005-0000-0000-0000BD330000}"/>
    <cellStyle name="40% - Accent1 2 5 4 2" xfId="8049" xr:uid="{00000000-0005-0000-0000-0000BE330000}"/>
    <cellStyle name="40% - Accent1 2 5 4 2 2" xfId="18289" xr:uid="{00000000-0005-0000-0000-0000BF330000}"/>
    <cellStyle name="40% - Accent1 2 5 4 2 2 2" xfId="38769" xr:uid="{00000000-0005-0000-0000-0000C0330000}"/>
    <cellStyle name="40% - Accent1 2 5 4 2 3" xfId="28529" xr:uid="{00000000-0005-0000-0000-0000C1330000}"/>
    <cellStyle name="40% - Accent1 2 5 4 3" xfId="13169" xr:uid="{00000000-0005-0000-0000-0000C2330000}"/>
    <cellStyle name="40% - Accent1 2 5 4 3 2" xfId="33649" xr:uid="{00000000-0005-0000-0000-0000C3330000}"/>
    <cellStyle name="40% - Accent1 2 5 4 4" xfId="23409" xr:uid="{00000000-0005-0000-0000-0000C4330000}"/>
    <cellStyle name="40% - Accent1 2 5 5" xfId="5489" xr:uid="{00000000-0005-0000-0000-0000C5330000}"/>
    <cellStyle name="40% - Accent1 2 5 5 2" xfId="15729" xr:uid="{00000000-0005-0000-0000-0000C6330000}"/>
    <cellStyle name="40% - Accent1 2 5 5 2 2" xfId="36209" xr:uid="{00000000-0005-0000-0000-0000C7330000}"/>
    <cellStyle name="40% - Accent1 2 5 5 3" xfId="25969" xr:uid="{00000000-0005-0000-0000-0000C8330000}"/>
    <cellStyle name="40% - Accent1 2 5 6" xfId="10609" xr:uid="{00000000-0005-0000-0000-0000C9330000}"/>
    <cellStyle name="40% - Accent1 2 5 6 2" xfId="31089" xr:uid="{00000000-0005-0000-0000-0000CA330000}"/>
    <cellStyle name="40% - Accent1 2 5 7" xfId="20849" xr:uid="{00000000-0005-0000-0000-0000CB330000}"/>
    <cellStyle name="40% - Accent1 2 6" xfId="689" xr:uid="{00000000-0005-0000-0000-0000CC330000}"/>
    <cellStyle name="40% - Accent1 2 6 2" xfId="1969" xr:uid="{00000000-0005-0000-0000-0000CD330000}"/>
    <cellStyle name="40% - Accent1 2 6 2 2" xfId="4529" xr:uid="{00000000-0005-0000-0000-0000CE330000}"/>
    <cellStyle name="40% - Accent1 2 6 2 2 2" xfId="9649" xr:uid="{00000000-0005-0000-0000-0000CF330000}"/>
    <cellStyle name="40% - Accent1 2 6 2 2 2 2" xfId="19889" xr:uid="{00000000-0005-0000-0000-0000D0330000}"/>
    <cellStyle name="40% - Accent1 2 6 2 2 2 2 2" xfId="40369" xr:uid="{00000000-0005-0000-0000-0000D1330000}"/>
    <cellStyle name="40% - Accent1 2 6 2 2 2 3" xfId="30129" xr:uid="{00000000-0005-0000-0000-0000D2330000}"/>
    <cellStyle name="40% - Accent1 2 6 2 2 3" xfId="14769" xr:uid="{00000000-0005-0000-0000-0000D3330000}"/>
    <cellStyle name="40% - Accent1 2 6 2 2 3 2" xfId="35249" xr:uid="{00000000-0005-0000-0000-0000D4330000}"/>
    <cellStyle name="40% - Accent1 2 6 2 2 4" xfId="25009" xr:uid="{00000000-0005-0000-0000-0000D5330000}"/>
    <cellStyle name="40% - Accent1 2 6 2 3" xfId="7089" xr:uid="{00000000-0005-0000-0000-0000D6330000}"/>
    <cellStyle name="40% - Accent1 2 6 2 3 2" xfId="17329" xr:uid="{00000000-0005-0000-0000-0000D7330000}"/>
    <cellStyle name="40% - Accent1 2 6 2 3 2 2" xfId="37809" xr:uid="{00000000-0005-0000-0000-0000D8330000}"/>
    <cellStyle name="40% - Accent1 2 6 2 3 3" xfId="27569" xr:uid="{00000000-0005-0000-0000-0000D9330000}"/>
    <cellStyle name="40% - Accent1 2 6 2 4" xfId="12209" xr:uid="{00000000-0005-0000-0000-0000DA330000}"/>
    <cellStyle name="40% - Accent1 2 6 2 4 2" xfId="32689" xr:uid="{00000000-0005-0000-0000-0000DB330000}"/>
    <cellStyle name="40% - Accent1 2 6 2 5" xfId="22449" xr:uid="{00000000-0005-0000-0000-0000DC330000}"/>
    <cellStyle name="40% - Accent1 2 6 3" xfId="3249" xr:uid="{00000000-0005-0000-0000-0000DD330000}"/>
    <cellStyle name="40% - Accent1 2 6 3 2" xfId="8369" xr:uid="{00000000-0005-0000-0000-0000DE330000}"/>
    <cellStyle name="40% - Accent1 2 6 3 2 2" xfId="18609" xr:uid="{00000000-0005-0000-0000-0000DF330000}"/>
    <cellStyle name="40% - Accent1 2 6 3 2 2 2" xfId="39089" xr:uid="{00000000-0005-0000-0000-0000E0330000}"/>
    <cellStyle name="40% - Accent1 2 6 3 2 3" xfId="28849" xr:uid="{00000000-0005-0000-0000-0000E1330000}"/>
    <cellStyle name="40% - Accent1 2 6 3 3" xfId="13489" xr:uid="{00000000-0005-0000-0000-0000E2330000}"/>
    <cellStyle name="40% - Accent1 2 6 3 3 2" xfId="33969" xr:uid="{00000000-0005-0000-0000-0000E3330000}"/>
    <cellStyle name="40% - Accent1 2 6 3 4" xfId="23729" xr:uid="{00000000-0005-0000-0000-0000E4330000}"/>
    <cellStyle name="40% - Accent1 2 6 4" xfId="5809" xr:uid="{00000000-0005-0000-0000-0000E5330000}"/>
    <cellStyle name="40% - Accent1 2 6 4 2" xfId="16049" xr:uid="{00000000-0005-0000-0000-0000E6330000}"/>
    <cellStyle name="40% - Accent1 2 6 4 2 2" xfId="36529" xr:uid="{00000000-0005-0000-0000-0000E7330000}"/>
    <cellStyle name="40% - Accent1 2 6 4 3" xfId="26289" xr:uid="{00000000-0005-0000-0000-0000E8330000}"/>
    <cellStyle name="40% - Accent1 2 6 5" xfId="10929" xr:uid="{00000000-0005-0000-0000-0000E9330000}"/>
    <cellStyle name="40% - Accent1 2 6 5 2" xfId="31409" xr:uid="{00000000-0005-0000-0000-0000EA330000}"/>
    <cellStyle name="40% - Accent1 2 6 6" xfId="21169" xr:uid="{00000000-0005-0000-0000-0000EB330000}"/>
    <cellStyle name="40% - Accent1 2 7" xfId="1329" xr:uid="{00000000-0005-0000-0000-0000EC330000}"/>
    <cellStyle name="40% - Accent1 2 7 2" xfId="3889" xr:uid="{00000000-0005-0000-0000-0000ED330000}"/>
    <cellStyle name="40% - Accent1 2 7 2 2" xfId="9009" xr:uid="{00000000-0005-0000-0000-0000EE330000}"/>
    <cellStyle name="40% - Accent1 2 7 2 2 2" xfId="19249" xr:uid="{00000000-0005-0000-0000-0000EF330000}"/>
    <cellStyle name="40% - Accent1 2 7 2 2 2 2" xfId="39729" xr:uid="{00000000-0005-0000-0000-0000F0330000}"/>
    <cellStyle name="40% - Accent1 2 7 2 2 3" xfId="29489" xr:uid="{00000000-0005-0000-0000-0000F1330000}"/>
    <cellStyle name="40% - Accent1 2 7 2 3" xfId="14129" xr:uid="{00000000-0005-0000-0000-0000F2330000}"/>
    <cellStyle name="40% - Accent1 2 7 2 3 2" xfId="34609" xr:uid="{00000000-0005-0000-0000-0000F3330000}"/>
    <cellStyle name="40% - Accent1 2 7 2 4" xfId="24369" xr:uid="{00000000-0005-0000-0000-0000F4330000}"/>
    <cellStyle name="40% - Accent1 2 7 3" xfId="6449" xr:uid="{00000000-0005-0000-0000-0000F5330000}"/>
    <cellStyle name="40% - Accent1 2 7 3 2" xfId="16689" xr:uid="{00000000-0005-0000-0000-0000F6330000}"/>
    <cellStyle name="40% - Accent1 2 7 3 2 2" xfId="37169" xr:uid="{00000000-0005-0000-0000-0000F7330000}"/>
    <cellStyle name="40% - Accent1 2 7 3 3" xfId="26929" xr:uid="{00000000-0005-0000-0000-0000F8330000}"/>
    <cellStyle name="40% - Accent1 2 7 4" xfId="11569" xr:uid="{00000000-0005-0000-0000-0000F9330000}"/>
    <cellStyle name="40% - Accent1 2 7 4 2" xfId="32049" xr:uid="{00000000-0005-0000-0000-0000FA330000}"/>
    <cellStyle name="40% - Accent1 2 7 5" xfId="21809" xr:uid="{00000000-0005-0000-0000-0000FB330000}"/>
    <cellStyle name="40% - Accent1 2 8" xfId="2609" xr:uid="{00000000-0005-0000-0000-0000FC330000}"/>
    <cellStyle name="40% - Accent1 2 8 2" xfId="7729" xr:uid="{00000000-0005-0000-0000-0000FD330000}"/>
    <cellStyle name="40% - Accent1 2 8 2 2" xfId="17969" xr:uid="{00000000-0005-0000-0000-0000FE330000}"/>
    <cellStyle name="40% - Accent1 2 8 2 2 2" xfId="38449" xr:uid="{00000000-0005-0000-0000-0000FF330000}"/>
    <cellStyle name="40% - Accent1 2 8 2 3" xfId="28209" xr:uid="{00000000-0005-0000-0000-000000340000}"/>
    <cellStyle name="40% - Accent1 2 8 3" xfId="12849" xr:uid="{00000000-0005-0000-0000-000001340000}"/>
    <cellStyle name="40% - Accent1 2 8 3 2" xfId="33329" xr:uid="{00000000-0005-0000-0000-000002340000}"/>
    <cellStyle name="40% - Accent1 2 8 4" xfId="23089" xr:uid="{00000000-0005-0000-0000-000003340000}"/>
    <cellStyle name="40% - Accent1 2 9" xfId="5169" xr:uid="{00000000-0005-0000-0000-000004340000}"/>
    <cellStyle name="40% - Accent1 2 9 2" xfId="15409" xr:uid="{00000000-0005-0000-0000-000005340000}"/>
    <cellStyle name="40% - Accent1 2 9 2 2" xfId="35889" xr:uid="{00000000-0005-0000-0000-000006340000}"/>
    <cellStyle name="40% - Accent1 2 9 3" xfId="25649" xr:uid="{00000000-0005-0000-0000-000007340000}"/>
    <cellStyle name="40% - Accent1 3" xfId="69" xr:uid="{00000000-0005-0000-0000-000008340000}"/>
    <cellStyle name="40% - Accent1 3 10" xfId="20549" xr:uid="{00000000-0005-0000-0000-000009340000}"/>
    <cellStyle name="40% - Accent1 3 2" xfId="149" xr:uid="{00000000-0005-0000-0000-00000A340000}"/>
    <cellStyle name="40% - Accent1 3 2 2" xfId="309" xr:uid="{00000000-0005-0000-0000-00000B340000}"/>
    <cellStyle name="40% - Accent1 3 2 2 2" xfId="629" xr:uid="{00000000-0005-0000-0000-00000C340000}"/>
    <cellStyle name="40% - Accent1 3 2 2 2 2" xfId="1269" xr:uid="{00000000-0005-0000-0000-00000D340000}"/>
    <cellStyle name="40% - Accent1 3 2 2 2 2 2" xfId="2549" xr:uid="{00000000-0005-0000-0000-00000E340000}"/>
    <cellStyle name="40% - Accent1 3 2 2 2 2 2 2" xfId="5109" xr:uid="{00000000-0005-0000-0000-00000F340000}"/>
    <cellStyle name="40% - Accent1 3 2 2 2 2 2 2 2" xfId="10229" xr:uid="{00000000-0005-0000-0000-000010340000}"/>
    <cellStyle name="40% - Accent1 3 2 2 2 2 2 2 2 2" xfId="20469" xr:uid="{00000000-0005-0000-0000-000011340000}"/>
    <cellStyle name="40% - Accent1 3 2 2 2 2 2 2 2 2 2" xfId="40949" xr:uid="{00000000-0005-0000-0000-000012340000}"/>
    <cellStyle name="40% - Accent1 3 2 2 2 2 2 2 2 3" xfId="30709" xr:uid="{00000000-0005-0000-0000-000013340000}"/>
    <cellStyle name="40% - Accent1 3 2 2 2 2 2 2 3" xfId="15349" xr:uid="{00000000-0005-0000-0000-000014340000}"/>
    <cellStyle name="40% - Accent1 3 2 2 2 2 2 2 3 2" xfId="35829" xr:uid="{00000000-0005-0000-0000-000015340000}"/>
    <cellStyle name="40% - Accent1 3 2 2 2 2 2 2 4" xfId="25589" xr:uid="{00000000-0005-0000-0000-000016340000}"/>
    <cellStyle name="40% - Accent1 3 2 2 2 2 2 3" xfId="7669" xr:uid="{00000000-0005-0000-0000-000017340000}"/>
    <cellStyle name="40% - Accent1 3 2 2 2 2 2 3 2" xfId="17909" xr:uid="{00000000-0005-0000-0000-000018340000}"/>
    <cellStyle name="40% - Accent1 3 2 2 2 2 2 3 2 2" xfId="38389" xr:uid="{00000000-0005-0000-0000-000019340000}"/>
    <cellStyle name="40% - Accent1 3 2 2 2 2 2 3 3" xfId="28149" xr:uid="{00000000-0005-0000-0000-00001A340000}"/>
    <cellStyle name="40% - Accent1 3 2 2 2 2 2 4" xfId="12789" xr:uid="{00000000-0005-0000-0000-00001B340000}"/>
    <cellStyle name="40% - Accent1 3 2 2 2 2 2 4 2" xfId="33269" xr:uid="{00000000-0005-0000-0000-00001C340000}"/>
    <cellStyle name="40% - Accent1 3 2 2 2 2 2 5" xfId="23029" xr:uid="{00000000-0005-0000-0000-00001D340000}"/>
    <cellStyle name="40% - Accent1 3 2 2 2 2 3" xfId="3829" xr:uid="{00000000-0005-0000-0000-00001E340000}"/>
    <cellStyle name="40% - Accent1 3 2 2 2 2 3 2" xfId="8949" xr:uid="{00000000-0005-0000-0000-00001F340000}"/>
    <cellStyle name="40% - Accent1 3 2 2 2 2 3 2 2" xfId="19189" xr:uid="{00000000-0005-0000-0000-000020340000}"/>
    <cellStyle name="40% - Accent1 3 2 2 2 2 3 2 2 2" xfId="39669" xr:uid="{00000000-0005-0000-0000-000021340000}"/>
    <cellStyle name="40% - Accent1 3 2 2 2 2 3 2 3" xfId="29429" xr:uid="{00000000-0005-0000-0000-000022340000}"/>
    <cellStyle name="40% - Accent1 3 2 2 2 2 3 3" xfId="14069" xr:uid="{00000000-0005-0000-0000-000023340000}"/>
    <cellStyle name="40% - Accent1 3 2 2 2 2 3 3 2" xfId="34549" xr:uid="{00000000-0005-0000-0000-000024340000}"/>
    <cellStyle name="40% - Accent1 3 2 2 2 2 3 4" xfId="24309" xr:uid="{00000000-0005-0000-0000-000025340000}"/>
    <cellStyle name="40% - Accent1 3 2 2 2 2 4" xfId="6389" xr:uid="{00000000-0005-0000-0000-000026340000}"/>
    <cellStyle name="40% - Accent1 3 2 2 2 2 4 2" xfId="16629" xr:uid="{00000000-0005-0000-0000-000027340000}"/>
    <cellStyle name="40% - Accent1 3 2 2 2 2 4 2 2" xfId="37109" xr:uid="{00000000-0005-0000-0000-000028340000}"/>
    <cellStyle name="40% - Accent1 3 2 2 2 2 4 3" xfId="26869" xr:uid="{00000000-0005-0000-0000-000029340000}"/>
    <cellStyle name="40% - Accent1 3 2 2 2 2 5" xfId="11509" xr:uid="{00000000-0005-0000-0000-00002A340000}"/>
    <cellStyle name="40% - Accent1 3 2 2 2 2 5 2" xfId="31989" xr:uid="{00000000-0005-0000-0000-00002B340000}"/>
    <cellStyle name="40% - Accent1 3 2 2 2 2 6" xfId="21749" xr:uid="{00000000-0005-0000-0000-00002C340000}"/>
    <cellStyle name="40% - Accent1 3 2 2 2 3" xfId="1909" xr:uid="{00000000-0005-0000-0000-00002D340000}"/>
    <cellStyle name="40% - Accent1 3 2 2 2 3 2" xfId="4469" xr:uid="{00000000-0005-0000-0000-00002E340000}"/>
    <cellStyle name="40% - Accent1 3 2 2 2 3 2 2" xfId="9589" xr:uid="{00000000-0005-0000-0000-00002F340000}"/>
    <cellStyle name="40% - Accent1 3 2 2 2 3 2 2 2" xfId="19829" xr:uid="{00000000-0005-0000-0000-000030340000}"/>
    <cellStyle name="40% - Accent1 3 2 2 2 3 2 2 2 2" xfId="40309" xr:uid="{00000000-0005-0000-0000-000031340000}"/>
    <cellStyle name="40% - Accent1 3 2 2 2 3 2 2 3" xfId="30069" xr:uid="{00000000-0005-0000-0000-000032340000}"/>
    <cellStyle name="40% - Accent1 3 2 2 2 3 2 3" xfId="14709" xr:uid="{00000000-0005-0000-0000-000033340000}"/>
    <cellStyle name="40% - Accent1 3 2 2 2 3 2 3 2" xfId="35189" xr:uid="{00000000-0005-0000-0000-000034340000}"/>
    <cellStyle name="40% - Accent1 3 2 2 2 3 2 4" xfId="24949" xr:uid="{00000000-0005-0000-0000-000035340000}"/>
    <cellStyle name="40% - Accent1 3 2 2 2 3 3" xfId="7029" xr:uid="{00000000-0005-0000-0000-000036340000}"/>
    <cellStyle name="40% - Accent1 3 2 2 2 3 3 2" xfId="17269" xr:uid="{00000000-0005-0000-0000-000037340000}"/>
    <cellStyle name="40% - Accent1 3 2 2 2 3 3 2 2" xfId="37749" xr:uid="{00000000-0005-0000-0000-000038340000}"/>
    <cellStyle name="40% - Accent1 3 2 2 2 3 3 3" xfId="27509" xr:uid="{00000000-0005-0000-0000-000039340000}"/>
    <cellStyle name="40% - Accent1 3 2 2 2 3 4" xfId="12149" xr:uid="{00000000-0005-0000-0000-00003A340000}"/>
    <cellStyle name="40% - Accent1 3 2 2 2 3 4 2" xfId="32629" xr:uid="{00000000-0005-0000-0000-00003B340000}"/>
    <cellStyle name="40% - Accent1 3 2 2 2 3 5" xfId="22389" xr:uid="{00000000-0005-0000-0000-00003C340000}"/>
    <cellStyle name="40% - Accent1 3 2 2 2 4" xfId="3189" xr:uid="{00000000-0005-0000-0000-00003D340000}"/>
    <cellStyle name="40% - Accent1 3 2 2 2 4 2" xfId="8309" xr:uid="{00000000-0005-0000-0000-00003E340000}"/>
    <cellStyle name="40% - Accent1 3 2 2 2 4 2 2" xfId="18549" xr:uid="{00000000-0005-0000-0000-00003F340000}"/>
    <cellStyle name="40% - Accent1 3 2 2 2 4 2 2 2" xfId="39029" xr:uid="{00000000-0005-0000-0000-000040340000}"/>
    <cellStyle name="40% - Accent1 3 2 2 2 4 2 3" xfId="28789" xr:uid="{00000000-0005-0000-0000-000041340000}"/>
    <cellStyle name="40% - Accent1 3 2 2 2 4 3" xfId="13429" xr:uid="{00000000-0005-0000-0000-000042340000}"/>
    <cellStyle name="40% - Accent1 3 2 2 2 4 3 2" xfId="33909" xr:uid="{00000000-0005-0000-0000-000043340000}"/>
    <cellStyle name="40% - Accent1 3 2 2 2 4 4" xfId="23669" xr:uid="{00000000-0005-0000-0000-000044340000}"/>
    <cellStyle name="40% - Accent1 3 2 2 2 5" xfId="5749" xr:uid="{00000000-0005-0000-0000-000045340000}"/>
    <cellStyle name="40% - Accent1 3 2 2 2 5 2" xfId="15989" xr:uid="{00000000-0005-0000-0000-000046340000}"/>
    <cellStyle name="40% - Accent1 3 2 2 2 5 2 2" xfId="36469" xr:uid="{00000000-0005-0000-0000-000047340000}"/>
    <cellStyle name="40% - Accent1 3 2 2 2 5 3" xfId="26229" xr:uid="{00000000-0005-0000-0000-000048340000}"/>
    <cellStyle name="40% - Accent1 3 2 2 2 6" xfId="10869" xr:uid="{00000000-0005-0000-0000-000049340000}"/>
    <cellStyle name="40% - Accent1 3 2 2 2 6 2" xfId="31349" xr:uid="{00000000-0005-0000-0000-00004A340000}"/>
    <cellStyle name="40% - Accent1 3 2 2 2 7" xfId="21109" xr:uid="{00000000-0005-0000-0000-00004B340000}"/>
    <cellStyle name="40% - Accent1 3 2 2 3" xfId="949" xr:uid="{00000000-0005-0000-0000-00004C340000}"/>
    <cellStyle name="40% - Accent1 3 2 2 3 2" xfId="2229" xr:uid="{00000000-0005-0000-0000-00004D340000}"/>
    <cellStyle name="40% - Accent1 3 2 2 3 2 2" xfId="4789" xr:uid="{00000000-0005-0000-0000-00004E340000}"/>
    <cellStyle name="40% - Accent1 3 2 2 3 2 2 2" xfId="9909" xr:uid="{00000000-0005-0000-0000-00004F340000}"/>
    <cellStyle name="40% - Accent1 3 2 2 3 2 2 2 2" xfId="20149" xr:uid="{00000000-0005-0000-0000-000050340000}"/>
    <cellStyle name="40% - Accent1 3 2 2 3 2 2 2 2 2" xfId="40629" xr:uid="{00000000-0005-0000-0000-000051340000}"/>
    <cellStyle name="40% - Accent1 3 2 2 3 2 2 2 3" xfId="30389" xr:uid="{00000000-0005-0000-0000-000052340000}"/>
    <cellStyle name="40% - Accent1 3 2 2 3 2 2 3" xfId="15029" xr:uid="{00000000-0005-0000-0000-000053340000}"/>
    <cellStyle name="40% - Accent1 3 2 2 3 2 2 3 2" xfId="35509" xr:uid="{00000000-0005-0000-0000-000054340000}"/>
    <cellStyle name="40% - Accent1 3 2 2 3 2 2 4" xfId="25269" xr:uid="{00000000-0005-0000-0000-000055340000}"/>
    <cellStyle name="40% - Accent1 3 2 2 3 2 3" xfId="7349" xr:uid="{00000000-0005-0000-0000-000056340000}"/>
    <cellStyle name="40% - Accent1 3 2 2 3 2 3 2" xfId="17589" xr:uid="{00000000-0005-0000-0000-000057340000}"/>
    <cellStyle name="40% - Accent1 3 2 2 3 2 3 2 2" xfId="38069" xr:uid="{00000000-0005-0000-0000-000058340000}"/>
    <cellStyle name="40% - Accent1 3 2 2 3 2 3 3" xfId="27829" xr:uid="{00000000-0005-0000-0000-000059340000}"/>
    <cellStyle name="40% - Accent1 3 2 2 3 2 4" xfId="12469" xr:uid="{00000000-0005-0000-0000-00005A340000}"/>
    <cellStyle name="40% - Accent1 3 2 2 3 2 4 2" xfId="32949" xr:uid="{00000000-0005-0000-0000-00005B340000}"/>
    <cellStyle name="40% - Accent1 3 2 2 3 2 5" xfId="22709" xr:uid="{00000000-0005-0000-0000-00005C340000}"/>
    <cellStyle name="40% - Accent1 3 2 2 3 3" xfId="3509" xr:uid="{00000000-0005-0000-0000-00005D340000}"/>
    <cellStyle name="40% - Accent1 3 2 2 3 3 2" xfId="8629" xr:uid="{00000000-0005-0000-0000-00005E340000}"/>
    <cellStyle name="40% - Accent1 3 2 2 3 3 2 2" xfId="18869" xr:uid="{00000000-0005-0000-0000-00005F340000}"/>
    <cellStyle name="40% - Accent1 3 2 2 3 3 2 2 2" xfId="39349" xr:uid="{00000000-0005-0000-0000-000060340000}"/>
    <cellStyle name="40% - Accent1 3 2 2 3 3 2 3" xfId="29109" xr:uid="{00000000-0005-0000-0000-000061340000}"/>
    <cellStyle name="40% - Accent1 3 2 2 3 3 3" xfId="13749" xr:uid="{00000000-0005-0000-0000-000062340000}"/>
    <cellStyle name="40% - Accent1 3 2 2 3 3 3 2" xfId="34229" xr:uid="{00000000-0005-0000-0000-000063340000}"/>
    <cellStyle name="40% - Accent1 3 2 2 3 3 4" xfId="23989" xr:uid="{00000000-0005-0000-0000-000064340000}"/>
    <cellStyle name="40% - Accent1 3 2 2 3 4" xfId="6069" xr:uid="{00000000-0005-0000-0000-000065340000}"/>
    <cellStyle name="40% - Accent1 3 2 2 3 4 2" xfId="16309" xr:uid="{00000000-0005-0000-0000-000066340000}"/>
    <cellStyle name="40% - Accent1 3 2 2 3 4 2 2" xfId="36789" xr:uid="{00000000-0005-0000-0000-000067340000}"/>
    <cellStyle name="40% - Accent1 3 2 2 3 4 3" xfId="26549" xr:uid="{00000000-0005-0000-0000-000068340000}"/>
    <cellStyle name="40% - Accent1 3 2 2 3 5" xfId="11189" xr:uid="{00000000-0005-0000-0000-000069340000}"/>
    <cellStyle name="40% - Accent1 3 2 2 3 5 2" xfId="31669" xr:uid="{00000000-0005-0000-0000-00006A340000}"/>
    <cellStyle name="40% - Accent1 3 2 2 3 6" xfId="21429" xr:uid="{00000000-0005-0000-0000-00006B340000}"/>
    <cellStyle name="40% - Accent1 3 2 2 4" xfId="1589" xr:uid="{00000000-0005-0000-0000-00006C340000}"/>
    <cellStyle name="40% - Accent1 3 2 2 4 2" xfId="4149" xr:uid="{00000000-0005-0000-0000-00006D340000}"/>
    <cellStyle name="40% - Accent1 3 2 2 4 2 2" xfId="9269" xr:uid="{00000000-0005-0000-0000-00006E340000}"/>
    <cellStyle name="40% - Accent1 3 2 2 4 2 2 2" xfId="19509" xr:uid="{00000000-0005-0000-0000-00006F340000}"/>
    <cellStyle name="40% - Accent1 3 2 2 4 2 2 2 2" xfId="39989" xr:uid="{00000000-0005-0000-0000-000070340000}"/>
    <cellStyle name="40% - Accent1 3 2 2 4 2 2 3" xfId="29749" xr:uid="{00000000-0005-0000-0000-000071340000}"/>
    <cellStyle name="40% - Accent1 3 2 2 4 2 3" xfId="14389" xr:uid="{00000000-0005-0000-0000-000072340000}"/>
    <cellStyle name="40% - Accent1 3 2 2 4 2 3 2" xfId="34869" xr:uid="{00000000-0005-0000-0000-000073340000}"/>
    <cellStyle name="40% - Accent1 3 2 2 4 2 4" xfId="24629" xr:uid="{00000000-0005-0000-0000-000074340000}"/>
    <cellStyle name="40% - Accent1 3 2 2 4 3" xfId="6709" xr:uid="{00000000-0005-0000-0000-000075340000}"/>
    <cellStyle name="40% - Accent1 3 2 2 4 3 2" xfId="16949" xr:uid="{00000000-0005-0000-0000-000076340000}"/>
    <cellStyle name="40% - Accent1 3 2 2 4 3 2 2" xfId="37429" xr:uid="{00000000-0005-0000-0000-000077340000}"/>
    <cellStyle name="40% - Accent1 3 2 2 4 3 3" xfId="27189" xr:uid="{00000000-0005-0000-0000-000078340000}"/>
    <cellStyle name="40% - Accent1 3 2 2 4 4" xfId="11829" xr:uid="{00000000-0005-0000-0000-000079340000}"/>
    <cellStyle name="40% - Accent1 3 2 2 4 4 2" xfId="32309" xr:uid="{00000000-0005-0000-0000-00007A340000}"/>
    <cellStyle name="40% - Accent1 3 2 2 4 5" xfId="22069" xr:uid="{00000000-0005-0000-0000-00007B340000}"/>
    <cellStyle name="40% - Accent1 3 2 2 5" xfId="2869" xr:uid="{00000000-0005-0000-0000-00007C340000}"/>
    <cellStyle name="40% - Accent1 3 2 2 5 2" xfId="7989" xr:uid="{00000000-0005-0000-0000-00007D340000}"/>
    <cellStyle name="40% - Accent1 3 2 2 5 2 2" xfId="18229" xr:uid="{00000000-0005-0000-0000-00007E340000}"/>
    <cellStyle name="40% - Accent1 3 2 2 5 2 2 2" xfId="38709" xr:uid="{00000000-0005-0000-0000-00007F340000}"/>
    <cellStyle name="40% - Accent1 3 2 2 5 2 3" xfId="28469" xr:uid="{00000000-0005-0000-0000-000080340000}"/>
    <cellStyle name="40% - Accent1 3 2 2 5 3" xfId="13109" xr:uid="{00000000-0005-0000-0000-000081340000}"/>
    <cellStyle name="40% - Accent1 3 2 2 5 3 2" xfId="33589" xr:uid="{00000000-0005-0000-0000-000082340000}"/>
    <cellStyle name="40% - Accent1 3 2 2 5 4" xfId="23349" xr:uid="{00000000-0005-0000-0000-000083340000}"/>
    <cellStyle name="40% - Accent1 3 2 2 6" xfId="5429" xr:uid="{00000000-0005-0000-0000-000084340000}"/>
    <cellStyle name="40% - Accent1 3 2 2 6 2" xfId="15669" xr:uid="{00000000-0005-0000-0000-000085340000}"/>
    <cellStyle name="40% - Accent1 3 2 2 6 2 2" xfId="36149" xr:uid="{00000000-0005-0000-0000-000086340000}"/>
    <cellStyle name="40% - Accent1 3 2 2 6 3" xfId="25909" xr:uid="{00000000-0005-0000-0000-000087340000}"/>
    <cellStyle name="40% - Accent1 3 2 2 7" xfId="10549" xr:uid="{00000000-0005-0000-0000-000088340000}"/>
    <cellStyle name="40% - Accent1 3 2 2 7 2" xfId="31029" xr:uid="{00000000-0005-0000-0000-000089340000}"/>
    <cellStyle name="40% - Accent1 3 2 2 8" xfId="20789" xr:uid="{00000000-0005-0000-0000-00008A340000}"/>
    <cellStyle name="40% - Accent1 3 2 3" xfId="469" xr:uid="{00000000-0005-0000-0000-00008B340000}"/>
    <cellStyle name="40% - Accent1 3 2 3 2" xfId="1109" xr:uid="{00000000-0005-0000-0000-00008C340000}"/>
    <cellStyle name="40% - Accent1 3 2 3 2 2" xfId="2389" xr:uid="{00000000-0005-0000-0000-00008D340000}"/>
    <cellStyle name="40% - Accent1 3 2 3 2 2 2" xfId="4949" xr:uid="{00000000-0005-0000-0000-00008E340000}"/>
    <cellStyle name="40% - Accent1 3 2 3 2 2 2 2" xfId="10069" xr:uid="{00000000-0005-0000-0000-00008F340000}"/>
    <cellStyle name="40% - Accent1 3 2 3 2 2 2 2 2" xfId="20309" xr:uid="{00000000-0005-0000-0000-000090340000}"/>
    <cellStyle name="40% - Accent1 3 2 3 2 2 2 2 2 2" xfId="40789" xr:uid="{00000000-0005-0000-0000-000091340000}"/>
    <cellStyle name="40% - Accent1 3 2 3 2 2 2 2 3" xfId="30549" xr:uid="{00000000-0005-0000-0000-000092340000}"/>
    <cellStyle name="40% - Accent1 3 2 3 2 2 2 3" xfId="15189" xr:uid="{00000000-0005-0000-0000-000093340000}"/>
    <cellStyle name="40% - Accent1 3 2 3 2 2 2 3 2" xfId="35669" xr:uid="{00000000-0005-0000-0000-000094340000}"/>
    <cellStyle name="40% - Accent1 3 2 3 2 2 2 4" xfId="25429" xr:uid="{00000000-0005-0000-0000-000095340000}"/>
    <cellStyle name="40% - Accent1 3 2 3 2 2 3" xfId="7509" xr:uid="{00000000-0005-0000-0000-000096340000}"/>
    <cellStyle name="40% - Accent1 3 2 3 2 2 3 2" xfId="17749" xr:uid="{00000000-0005-0000-0000-000097340000}"/>
    <cellStyle name="40% - Accent1 3 2 3 2 2 3 2 2" xfId="38229" xr:uid="{00000000-0005-0000-0000-000098340000}"/>
    <cellStyle name="40% - Accent1 3 2 3 2 2 3 3" xfId="27989" xr:uid="{00000000-0005-0000-0000-000099340000}"/>
    <cellStyle name="40% - Accent1 3 2 3 2 2 4" xfId="12629" xr:uid="{00000000-0005-0000-0000-00009A340000}"/>
    <cellStyle name="40% - Accent1 3 2 3 2 2 4 2" xfId="33109" xr:uid="{00000000-0005-0000-0000-00009B340000}"/>
    <cellStyle name="40% - Accent1 3 2 3 2 2 5" xfId="22869" xr:uid="{00000000-0005-0000-0000-00009C340000}"/>
    <cellStyle name="40% - Accent1 3 2 3 2 3" xfId="3669" xr:uid="{00000000-0005-0000-0000-00009D340000}"/>
    <cellStyle name="40% - Accent1 3 2 3 2 3 2" xfId="8789" xr:uid="{00000000-0005-0000-0000-00009E340000}"/>
    <cellStyle name="40% - Accent1 3 2 3 2 3 2 2" xfId="19029" xr:uid="{00000000-0005-0000-0000-00009F340000}"/>
    <cellStyle name="40% - Accent1 3 2 3 2 3 2 2 2" xfId="39509" xr:uid="{00000000-0005-0000-0000-0000A0340000}"/>
    <cellStyle name="40% - Accent1 3 2 3 2 3 2 3" xfId="29269" xr:uid="{00000000-0005-0000-0000-0000A1340000}"/>
    <cellStyle name="40% - Accent1 3 2 3 2 3 3" xfId="13909" xr:uid="{00000000-0005-0000-0000-0000A2340000}"/>
    <cellStyle name="40% - Accent1 3 2 3 2 3 3 2" xfId="34389" xr:uid="{00000000-0005-0000-0000-0000A3340000}"/>
    <cellStyle name="40% - Accent1 3 2 3 2 3 4" xfId="24149" xr:uid="{00000000-0005-0000-0000-0000A4340000}"/>
    <cellStyle name="40% - Accent1 3 2 3 2 4" xfId="6229" xr:uid="{00000000-0005-0000-0000-0000A5340000}"/>
    <cellStyle name="40% - Accent1 3 2 3 2 4 2" xfId="16469" xr:uid="{00000000-0005-0000-0000-0000A6340000}"/>
    <cellStyle name="40% - Accent1 3 2 3 2 4 2 2" xfId="36949" xr:uid="{00000000-0005-0000-0000-0000A7340000}"/>
    <cellStyle name="40% - Accent1 3 2 3 2 4 3" xfId="26709" xr:uid="{00000000-0005-0000-0000-0000A8340000}"/>
    <cellStyle name="40% - Accent1 3 2 3 2 5" xfId="11349" xr:uid="{00000000-0005-0000-0000-0000A9340000}"/>
    <cellStyle name="40% - Accent1 3 2 3 2 5 2" xfId="31829" xr:uid="{00000000-0005-0000-0000-0000AA340000}"/>
    <cellStyle name="40% - Accent1 3 2 3 2 6" xfId="21589" xr:uid="{00000000-0005-0000-0000-0000AB340000}"/>
    <cellStyle name="40% - Accent1 3 2 3 3" xfId="1749" xr:uid="{00000000-0005-0000-0000-0000AC340000}"/>
    <cellStyle name="40% - Accent1 3 2 3 3 2" xfId="4309" xr:uid="{00000000-0005-0000-0000-0000AD340000}"/>
    <cellStyle name="40% - Accent1 3 2 3 3 2 2" xfId="9429" xr:uid="{00000000-0005-0000-0000-0000AE340000}"/>
    <cellStyle name="40% - Accent1 3 2 3 3 2 2 2" xfId="19669" xr:uid="{00000000-0005-0000-0000-0000AF340000}"/>
    <cellStyle name="40% - Accent1 3 2 3 3 2 2 2 2" xfId="40149" xr:uid="{00000000-0005-0000-0000-0000B0340000}"/>
    <cellStyle name="40% - Accent1 3 2 3 3 2 2 3" xfId="29909" xr:uid="{00000000-0005-0000-0000-0000B1340000}"/>
    <cellStyle name="40% - Accent1 3 2 3 3 2 3" xfId="14549" xr:uid="{00000000-0005-0000-0000-0000B2340000}"/>
    <cellStyle name="40% - Accent1 3 2 3 3 2 3 2" xfId="35029" xr:uid="{00000000-0005-0000-0000-0000B3340000}"/>
    <cellStyle name="40% - Accent1 3 2 3 3 2 4" xfId="24789" xr:uid="{00000000-0005-0000-0000-0000B4340000}"/>
    <cellStyle name="40% - Accent1 3 2 3 3 3" xfId="6869" xr:uid="{00000000-0005-0000-0000-0000B5340000}"/>
    <cellStyle name="40% - Accent1 3 2 3 3 3 2" xfId="17109" xr:uid="{00000000-0005-0000-0000-0000B6340000}"/>
    <cellStyle name="40% - Accent1 3 2 3 3 3 2 2" xfId="37589" xr:uid="{00000000-0005-0000-0000-0000B7340000}"/>
    <cellStyle name="40% - Accent1 3 2 3 3 3 3" xfId="27349" xr:uid="{00000000-0005-0000-0000-0000B8340000}"/>
    <cellStyle name="40% - Accent1 3 2 3 3 4" xfId="11989" xr:uid="{00000000-0005-0000-0000-0000B9340000}"/>
    <cellStyle name="40% - Accent1 3 2 3 3 4 2" xfId="32469" xr:uid="{00000000-0005-0000-0000-0000BA340000}"/>
    <cellStyle name="40% - Accent1 3 2 3 3 5" xfId="22229" xr:uid="{00000000-0005-0000-0000-0000BB340000}"/>
    <cellStyle name="40% - Accent1 3 2 3 4" xfId="3029" xr:uid="{00000000-0005-0000-0000-0000BC340000}"/>
    <cellStyle name="40% - Accent1 3 2 3 4 2" xfId="8149" xr:uid="{00000000-0005-0000-0000-0000BD340000}"/>
    <cellStyle name="40% - Accent1 3 2 3 4 2 2" xfId="18389" xr:uid="{00000000-0005-0000-0000-0000BE340000}"/>
    <cellStyle name="40% - Accent1 3 2 3 4 2 2 2" xfId="38869" xr:uid="{00000000-0005-0000-0000-0000BF340000}"/>
    <cellStyle name="40% - Accent1 3 2 3 4 2 3" xfId="28629" xr:uid="{00000000-0005-0000-0000-0000C0340000}"/>
    <cellStyle name="40% - Accent1 3 2 3 4 3" xfId="13269" xr:uid="{00000000-0005-0000-0000-0000C1340000}"/>
    <cellStyle name="40% - Accent1 3 2 3 4 3 2" xfId="33749" xr:uid="{00000000-0005-0000-0000-0000C2340000}"/>
    <cellStyle name="40% - Accent1 3 2 3 4 4" xfId="23509" xr:uid="{00000000-0005-0000-0000-0000C3340000}"/>
    <cellStyle name="40% - Accent1 3 2 3 5" xfId="5589" xr:uid="{00000000-0005-0000-0000-0000C4340000}"/>
    <cellStyle name="40% - Accent1 3 2 3 5 2" xfId="15829" xr:uid="{00000000-0005-0000-0000-0000C5340000}"/>
    <cellStyle name="40% - Accent1 3 2 3 5 2 2" xfId="36309" xr:uid="{00000000-0005-0000-0000-0000C6340000}"/>
    <cellStyle name="40% - Accent1 3 2 3 5 3" xfId="26069" xr:uid="{00000000-0005-0000-0000-0000C7340000}"/>
    <cellStyle name="40% - Accent1 3 2 3 6" xfId="10709" xr:uid="{00000000-0005-0000-0000-0000C8340000}"/>
    <cellStyle name="40% - Accent1 3 2 3 6 2" xfId="31189" xr:uid="{00000000-0005-0000-0000-0000C9340000}"/>
    <cellStyle name="40% - Accent1 3 2 3 7" xfId="20949" xr:uid="{00000000-0005-0000-0000-0000CA340000}"/>
    <cellStyle name="40% - Accent1 3 2 4" xfId="789" xr:uid="{00000000-0005-0000-0000-0000CB340000}"/>
    <cellStyle name="40% - Accent1 3 2 4 2" xfId="2069" xr:uid="{00000000-0005-0000-0000-0000CC340000}"/>
    <cellStyle name="40% - Accent1 3 2 4 2 2" xfId="4629" xr:uid="{00000000-0005-0000-0000-0000CD340000}"/>
    <cellStyle name="40% - Accent1 3 2 4 2 2 2" xfId="9749" xr:uid="{00000000-0005-0000-0000-0000CE340000}"/>
    <cellStyle name="40% - Accent1 3 2 4 2 2 2 2" xfId="19989" xr:uid="{00000000-0005-0000-0000-0000CF340000}"/>
    <cellStyle name="40% - Accent1 3 2 4 2 2 2 2 2" xfId="40469" xr:uid="{00000000-0005-0000-0000-0000D0340000}"/>
    <cellStyle name="40% - Accent1 3 2 4 2 2 2 3" xfId="30229" xr:uid="{00000000-0005-0000-0000-0000D1340000}"/>
    <cellStyle name="40% - Accent1 3 2 4 2 2 3" xfId="14869" xr:uid="{00000000-0005-0000-0000-0000D2340000}"/>
    <cellStyle name="40% - Accent1 3 2 4 2 2 3 2" xfId="35349" xr:uid="{00000000-0005-0000-0000-0000D3340000}"/>
    <cellStyle name="40% - Accent1 3 2 4 2 2 4" xfId="25109" xr:uid="{00000000-0005-0000-0000-0000D4340000}"/>
    <cellStyle name="40% - Accent1 3 2 4 2 3" xfId="7189" xr:uid="{00000000-0005-0000-0000-0000D5340000}"/>
    <cellStyle name="40% - Accent1 3 2 4 2 3 2" xfId="17429" xr:uid="{00000000-0005-0000-0000-0000D6340000}"/>
    <cellStyle name="40% - Accent1 3 2 4 2 3 2 2" xfId="37909" xr:uid="{00000000-0005-0000-0000-0000D7340000}"/>
    <cellStyle name="40% - Accent1 3 2 4 2 3 3" xfId="27669" xr:uid="{00000000-0005-0000-0000-0000D8340000}"/>
    <cellStyle name="40% - Accent1 3 2 4 2 4" xfId="12309" xr:uid="{00000000-0005-0000-0000-0000D9340000}"/>
    <cellStyle name="40% - Accent1 3 2 4 2 4 2" xfId="32789" xr:uid="{00000000-0005-0000-0000-0000DA340000}"/>
    <cellStyle name="40% - Accent1 3 2 4 2 5" xfId="22549" xr:uid="{00000000-0005-0000-0000-0000DB340000}"/>
    <cellStyle name="40% - Accent1 3 2 4 3" xfId="3349" xr:uid="{00000000-0005-0000-0000-0000DC340000}"/>
    <cellStyle name="40% - Accent1 3 2 4 3 2" xfId="8469" xr:uid="{00000000-0005-0000-0000-0000DD340000}"/>
    <cellStyle name="40% - Accent1 3 2 4 3 2 2" xfId="18709" xr:uid="{00000000-0005-0000-0000-0000DE340000}"/>
    <cellStyle name="40% - Accent1 3 2 4 3 2 2 2" xfId="39189" xr:uid="{00000000-0005-0000-0000-0000DF340000}"/>
    <cellStyle name="40% - Accent1 3 2 4 3 2 3" xfId="28949" xr:uid="{00000000-0005-0000-0000-0000E0340000}"/>
    <cellStyle name="40% - Accent1 3 2 4 3 3" xfId="13589" xr:uid="{00000000-0005-0000-0000-0000E1340000}"/>
    <cellStyle name="40% - Accent1 3 2 4 3 3 2" xfId="34069" xr:uid="{00000000-0005-0000-0000-0000E2340000}"/>
    <cellStyle name="40% - Accent1 3 2 4 3 4" xfId="23829" xr:uid="{00000000-0005-0000-0000-0000E3340000}"/>
    <cellStyle name="40% - Accent1 3 2 4 4" xfId="5909" xr:uid="{00000000-0005-0000-0000-0000E4340000}"/>
    <cellStyle name="40% - Accent1 3 2 4 4 2" xfId="16149" xr:uid="{00000000-0005-0000-0000-0000E5340000}"/>
    <cellStyle name="40% - Accent1 3 2 4 4 2 2" xfId="36629" xr:uid="{00000000-0005-0000-0000-0000E6340000}"/>
    <cellStyle name="40% - Accent1 3 2 4 4 3" xfId="26389" xr:uid="{00000000-0005-0000-0000-0000E7340000}"/>
    <cellStyle name="40% - Accent1 3 2 4 5" xfId="11029" xr:uid="{00000000-0005-0000-0000-0000E8340000}"/>
    <cellStyle name="40% - Accent1 3 2 4 5 2" xfId="31509" xr:uid="{00000000-0005-0000-0000-0000E9340000}"/>
    <cellStyle name="40% - Accent1 3 2 4 6" xfId="21269" xr:uid="{00000000-0005-0000-0000-0000EA340000}"/>
    <cellStyle name="40% - Accent1 3 2 5" xfId="1429" xr:uid="{00000000-0005-0000-0000-0000EB340000}"/>
    <cellStyle name="40% - Accent1 3 2 5 2" xfId="3989" xr:uid="{00000000-0005-0000-0000-0000EC340000}"/>
    <cellStyle name="40% - Accent1 3 2 5 2 2" xfId="9109" xr:uid="{00000000-0005-0000-0000-0000ED340000}"/>
    <cellStyle name="40% - Accent1 3 2 5 2 2 2" xfId="19349" xr:uid="{00000000-0005-0000-0000-0000EE340000}"/>
    <cellStyle name="40% - Accent1 3 2 5 2 2 2 2" xfId="39829" xr:uid="{00000000-0005-0000-0000-0000EF340000}"/>
    <cellStyle name="40% - Accent1 3 2 5 2 2 3" xfId="29589" xr:uid="{00000000-0005-0000-0000-0000F0340000}"/>
    <cellStyle name="40% - Accent1 3 2 5 2 3" xfId="14229" xr:uid="{00000000-0005-0000-0000-0000F1340000}"/>
    <cellStyle name="40% - Accent1 3 2 5 2 3 2" xfId="34709" xr:uid="{00000000-0005-0000-0000-0000F2340000}"/>
    <cellStyle name="40% - Accent1 3 2 5 2 4" xfId="24469" xr:uid="{00000000-0005-0000-0000-0000F3340000}"/>
    <cellStyle name="40% - Accent1 3 2 5 3" xfId="6549" xr:uid="{00000000-0005-0000-0000-0000F4340000}"/>
    <cellStyle name="40% - Accent1 3 2 5 3 2" xfId="16789" xr:uid="{00000000-0005-0000-0000-0000F5340000}"/>
    <cellStyle name="40% - Accent1 3 2 5 3 2 2" xfId="37269" xr:uid="{00000000-0005-0000-0000-0000F6340000}"/>
    <cellStyle name="40% - Accent1 3 2 5 3 3" xfId="27029" xr:uid="{00000000-0005-0000-0000-0000F7340000}"/>
    <cellStyle name="40% - Accent1 3 2 5 4" xfId="11669" xr:uid="{00000000-0005-0000-0000-0000F8340000}"/>
    <cellStyle name="40% - Accent1 3 2 5 4 2" xfId="32149" xr:uid="{00000000-0005-0000-0000-0000F9340000}"/>
    <cellStyle name="40% - Accent1 3 2 5 5" xfId="21909" xr:uid="{00000000-0005-0000-0000-0000FA340000}"/>
    <cellStyle name="40% - Accent1 3 2 6" xfId="2709" xr:uid="{00000000-0005-0000-0000-0000FB340000}"/>
    <cellStyle name="40% - Accent1 3 2 6 2" xfId="7829" xr:uid="{00000000-0005-0000-0000-0000FC340000}"/>
    <cellStyle name="40% - Accent1 3 2 6 2 2" xfId="18069" xr:uid="{00000000-0005-0000-0000-0000FD340000}"/>
    <cellStyle name="40% - Accent1 3 2 6 2 2 2" xfId="38549" xr:uid="{00000000-0005-0000-0000-0000FE340000}"/>
    <cellStyle name="40% - Accent1 3 2 6 2 3" xfId="28309" xr:uid="{00000000-0005-0000-0000-0000FF340000}"/>
    <cellStyle name="40% - Accent1 3 2 6 3" xfId="12949" xr:uid="{00000000-0005-0000-0000-000000350000}"/>
    <cellStyle name="40% - Accent1 3 2 6 3 2" xfId="33429" xr:uid="{00000000-0005-0000-0000-000001350000}"/>
    <cellStyle name="40% - Accent1 3 2 6 4" xfId="23189" xr:uid="{00000000-0005-0000-0000-000002350000}"/>
    <cellStyle name="40% - Accent1 3 2 7" xfId="5269" xr:uid="{00000000-0005-0000-0000-000003350000}"/>
    <cellStyle name="40% - Accent1 3 2 7 2" xfId="15509" xr:uid="{00000000-0005-0000-0000-000004350000}"/>
    <cellStyle name="40% - Accent1 3 2 7 2 2" xfId="35989" xr:uid="{00000000-0005-0000-0000-000005350000}"/>
    <cellStyle name="40% - Accent1 3 2 7 3" xfId="25749" xr:uid="{00000000-0005-0000-0000-000006350000}"/>
    <cellStyle name="40% - Accent1 3 2 8" xfId="10389" xr:uid="{00000000-0005-0000-0000-000007350000}"/>
    <cellStyle name="40% - Accent1 3 2 8 2" xfId="30869" xr:uid="{00000000-0005-0000-0000-000008350000}"/>
    <cellStyle name="40% - Accent1 3 2 9" xfId="20629" xr:uid="{00000000-0005-0000-0000-000009350000}"/>
    <cellStyle name="40% - Accent1 3 3" xfId="229" xr:uid="{00000000-0005-0000-0000-00000A350000}"/>
    <cellStyle name="40% - Accent1 3 3 2" xfId="549" xr:uid="{00000000-0005-0000-0000-00000B350000}"/>
    <cellStyle name="40% - Accent1 3 3 2 2" xfId="1189" xr:uid="{00000000-0005-0000-0000-00000C350000}"/>
    <cellStyle name="40% - Accent1 3 3 2 2 2" xfId="2469" xr:uid="{00000000-0005-0000-0000-00000D350000}"/>
    <cellStyle name="40% - Accent1 3 3 2 2 2 2" xfId="5029" xr:uid="{00000000-0005-0000-0000-00000E350000}"/>
    <cellStyle name="40% - Accent1 3 3 2 2 2 2 2" xfId="10149" xr:uid="{00000000-0005-0000-0000-00000F350000}"/>
    <cellStyle name="40% - Accent1 3 3 2 2 2 2 2 2" xfId="20389" xr:uid="{00000000-0005-0000-0000-000010350000}"/>
    <cellStyle name="40% - Accent1 3 3 2 2 2 2 2 2 2" xfId="40869" xr:uid="{00000000-0005-0000-0000-000011350000}"/>
    <cellStyle name="40% - Accent1 3 3 2 2 2 2 2 3" xfId="30629" xr:uid="{00000000-0005-0000-0000-000012350000}"/>
    <cellStyle name="40% - Accent1 3 3 2 2 2 2 3" xfId="15269" xr:uid="{00000000-0005-0000-0000-000013350000}"/>
    <cellStyle name="40% - Accent1 3 3 2 2 2 2 3 2" xfId="35749" xr:uid="{00000000-0005-0000-0000-000014350000}"/>
    <cellStyle name="40% - Accent1 3 3 2 2 2 2 4" xfId="25509" xr:uid="{00000000-0005-0000-0000-000015350000}"/>
    <cellStyle name="40% - Accent1 3 3 2 2 2 3" xfId="7589" xr:uid="{00000000-0005-0000-0000-000016350000}"/>
    <cellStyle name="40% - Accent1 3 3 2 2 2 3 2" xfId="17829" xr:uid="{00000000-0005-0000-0000-000017350000}"/>
    <cellStyle name="40% - Accent1 3 3 2 2 2 3 2 2" xfId="38309" xr:uid="{00000000-0005-0000-0000-000018350000}"/>
    <cellStyle name="40% - Accent1 3 3 2 2 2 3 3" xfId="28069" xr:uid="{00000000-0005-0000-0000-000019350000}"/>
    <cellStyle name="40% - Accent1 3 3 2 2 2 4" xfId="12709" xr:uid="{00000000-0005-0000-0000-00001A350000}"/>
    <cellStyle name="40% - Accent1 3 3 2 2 2 4 2" xfId="33189" xr:uid="{00000000-0005-0000-0000-00001B350000}"/>
    <cellStyle name="40% - Accent1 3 3 2 2 2 5" xfId="22949" xr:uid="{00000000-0005-0000-0000-00001C350000}"/>
    <cellStyle name="40% - Accent1 3 3 2 2 3" xfId="3749" xr:uid="{00000000-0005-0000-0000-00001D350000}"/>
    <cellStyle name="40% - Accent1 3 3 2 2 3 2" xfId="8869" xr:uid="{00000000-0005-0000-0000-00001E350000}"/>
    <cellStyle name="40% - Accent1 3 3 2 2 3 2 2" xfId="19109" xr:uid="{00000000-0005-0000-0000-00001F350000}"/>
    <cellStyle name="40% - Accent1 3 3 2 2 3 2 2 2" xfId="39589" xr:uid="{00000000-0005-0000-0000-000020350000}"/>
    <cellStyle name="40% - Accent1 3 3 2 2 3 2 3" xfId="29349" xr:uid="{00000000-0005-0000-0000-000021350000}"/>
    <cellStyle name="40% - Accent1 3 3 2 2 3 3" xfId="13989" xr:uid="{00000000-0005-0000-0000-000022350000}"/>
    <cellStyle name="40% - Accent1 3 3 2 2 3 3 2" xfId="34469" xr:uid="{00000000-0005-0000-0000-000023350000}"/>
    <cellStyle name="40% - Accent1 3 3 2 2 3 4" xfId="24229" xr:uid="{00000000-0005-0000-0000-000024350000}"/>
    <cellStyle name="40% - Accent1 3 3 2 2 4" xfId="6309" xr:uid="{00000000-0005-0000-0000-000025350000}"/>
    <cellStyle name="40% - Accent1 3 3 2 2 4 2" xfId="16549" xr:uid="{00000000-0005-0000-0000-000026350000}"/>
    <cellStyle name="40% - Accent1 3 3 2 2 4 2 2" xfId="37029" xr:uid="{00000000-0005-0000-0000-000027350000}"/>
    <cellStyle name="40% - Accent1 3 3 2 2 4 3" xfId="26789" xr:uid="{00000000-0005-0000-0000-000028350000}"/>
    <cellStyle name="40% - Accent1 3 3 2 2 5" xfId="11429" xr:uid="{00000000-0005-0000-0000-000029350000}"/>
    <cellStyle name="40% - Accent1 3 3 2 2 5 2" xfId="31909" xr:uid="{00000000-0005-0000-0000-00002A350000}"/>
    <cellStyle name="40% - Accent1 3 3 2 2 6" xfId="21669" xr:uid="{00000000-0005-0000-0000-00002B350000}"/>
    <cellStyle name="40% - Accent1 3 3 2 3" xfId="1829" xr:uid="{00000000-0005-0000-0000-00002C350000}"/>
    <cellStyle name="40% - Accent1 3 3 2 3 2" xfId="4389" xr:uid="{00000000-0005-0000-0000-00002D350000}"/>
    <cellStyle name="40% - Accent1 3 3 2 3 2 2" xfId="9509" xr:uid="{00000000-0005-0000-0000-00002E350000}"/>
    <cellStyle name="40% - Accent1 3 3 2 3 2 2 2" xfId="19749" xr:uid="{00000000-0005-0000-0000-00002F350000}"/>
    <cellStyle name="40% - Accent1 3 3 2 3 2 2 2 2" xfId="40229" xr:uid="{00000000-0005-0000-0000-000030350000}"/>
    <cellStyle name="40% - Accent1 3 3 2 3 2 2 3" xfId="29989" xr:uid="{00000000-0005-0000-0000-000031350000}"/>
    <cellStyle name="40% - Accent1 3 3 2 3 2 3" xfId="14629" xr:uid="{00000000-0005-0000-0000-000032350000}"/>
    <cellStyle name="40% - Accent1 3 3 2 3 2 3 2" xfId="35109" xr:uid="{00000000-0005-0000-0000-000033350000}"/>
    <cellStyle name="40% - Accent1 3 3 2 3 2 4" xfId="24869" xr:uid="{00000000-0005-0000-0000-000034350000}"/>
    <cellStyle name="40% - Accent1 3 3 2 3 3" xfId="6949" xr:uid="{00000000-0005-0000-0000-000035350000}"/>
    <cellStyle name="40% - Accent1 3 3 2 3 3 2" xfId="17189" xr:uid="{00000000-0005-0000-0000-000036350000}"/>
    <cellStyle name="40% - Accent1 3 3 2 3 3 2 2" xfId="37669" xr:uid="{00000000-0005-0000-0000-000037350000}"/>
    <cellStyle name="40% - Accent1 3 3 2 3 3 3" xfId="27429" xr:uid="{00000000-0005-0000-0000-000038350000}"/>
    <cellStyle name="40% - Accent1 3 3 2 3 4" xfId="12069" xr:uid="{00000000-0005-0000-0000-000039350000}"/>
    <cellStyle name="40% - Accent1 3 3 2 3 4 2" xfId="32549" xr:uid="{00000000-0005-0000-0000-00003A350000}"/>
    <cellStyle name="40% - Accent1 3 3 2 3 5" xfId="22309" xr:uid="{00000000-0005-0000-0000-00003B350000}"/>
    <cellStyle name="40% - Accent1 3 3 2 4" xfId="3109" xr:uid="{00000000-0005-0000-0000-00003C350000}"/>
    <cellStyle name="40% - Accent1 3 3 2 4 2" xfId="8229" xr:uid="{00000000-0005-0000-0000-00003D350000}"/>
    <cellStyle name="40% - Accent1 3 3 2 4 2 2" xfId="18469" xr:uid="{00000000-0005-0000-0000-00003E350000}"/>
    <cellStyle name="40% - Accent1 3 3 2 4 2 2 2" xfId="38949" xr:uid="{00000000-0005-0000-0000-00003F350000}"/>
    <cellStyle name="40% - Accent1 3 3 2 4 2 3" xfId="28709" xr:uid="{00000000-0005-0000-0000-000040350000}"/>
    <cellStyle name="40% - Accent1 3 3 2 4 3" xfId="13349" xr:uid="{00000000-0005-0000-0000-000041350000}"/>
    <cellStyle name="40% - Accent1 3 3 2 4 3 2" xfId="33829" xr:uid="{00000000-0005-0000-0000-000042350000}"/>
    <cellStyle name="40% - Accent1 3 3 2 4 4" xfId="23589" xr:uid="{00000000-0005-0000-0000-000043350000}"/>
    <cellStyle name="40% - Accent1 3 3 2 5" xfId="5669" xr:uid="{00000000-0005-0000-0000-000044350000}"/>
    <cellStyle name="40% - Accent1 3 3 2 5 2" xfId="15909" xr:uid="{00000000-0005-0000-0000-000045350000}"/>
    <cellStyle name="40% - Accent1 3 3 2 5 2 2" xfId="36389" xr:uid="{00000000-0005-0000-0000-000046350000}"/>
    <cellStyle name="40% - Accent1 3 3 2 5 3" xfId="26149" xr:uid="{00000000-0005-0000-0000-000047350000}"/>
    <cellStyle name="40% - Accent1 3 3 2 6" xfId="10789" xr:uid="{00000000-0005-0000-0000-000048350000}"/>
    <cellStyle name="40% - Accent1 3 3 2 6 2" xfId="31269" xr:uid="{00000000-0005-0000-0000-000049350000}"/>
    <cellStyle name="40% - Accent1 3 3 2 7" xfId="21029" xr:uid="{00000000-0005-0000-0000-00004A350000}"/>
    <cellStyle name="40% - Accent1 3 3 3" xfId="869" xr:uid="{00000000-0005-0000-0000-00004B350000}"/>
    <cellStyle name="40% - Accent1 3 3 3 2" xfId="2149" xr:uid="{00000000-0005-0000-0000-00004C350000}"/>
    <cellStyle name="40% - Accent1 3 3 3 2 2" xfId="4709" xr:uid="{00000000-0005-0000-0000-00004D350000}"/>
    <cellStyle name="40% - Accent1 3 3 3 2 2 2" xfId="9829" xr:uid="{00000000-0005-0000-0000-00004E350000}"/>
    <cellStyle name="40% - Accent1 3 3 3 2 2 2 2" xfId="20069" xr:uid="{00000000-0005-0000-0000-00004F350000}"/>
    <cellStyle name="40% - Accent1 3 3 3 2 2 2 2 2" xfId="40549" xr:uid="{00000000-0005-0000-0000-000050350000}"/>
    <cellStyle name="40% - Accent1 3 3 3 2 2 2 3" xfId="30309" xr:uid="{00000000-0005-0000-0000-000051350000}"/>
    <cellStyle name="40% - Accent1 3 3 3 2 2 3" xfId="14949" xr:uid="{00000000-0005-0000-0000-000052350000}"/>
    <cellStyle name="40% - Accent1 3 3 3 2 2 3 2" xfId="35429" xr:uid="{00000000-0005-0000-0000-000053350000}"/>
    <cellStyle name="40% - Accent1 3 3 3 2 2 4" xfId="25189" xr:uid="{00000000-0005-0000-0000-000054350000}"/>
    <cellStyle name="40% - Accent1 3 3 3 2 3" xfId="7269" xr:uid="{00000000-0005-0000-0000-000055350000}"/>
    <cellStyle name="40% - Accent1 3 3 3 2 3 2" xfId="17509" xr:uid="{00000000-0005-0000-0000-000056350000}"/>
    <cellStyle name="40% - Accent1 3 3 3 2 3 2 2" xfId="37989" xr:uid="{00000000-0005-0000-0000-000057350000}"/>
    <cellStyle name="40% - Accent1 3 3 3 2 3 3" xfId="27749" xr:uid="{00000000-0005-0000-0000-000058350000}"/>
    <cellStyle name="40% - Accent1 3 3 3 2 4" xfId="12389" xr:uid="{00000000-0005-0000-0000-000059350000}"/>
    <cellStyle name="40% - Accent1 3 3 3 2 4 2" xfId="32869" xr:uid="{00000000-0005-0000-0000-00005A350000}"/>
    <cellStyle name="40% - Accent1 3 3 3 2 5" xfId="22629" xr:uid="{00000000-0005-0000-0000-00005B350000}"/>
    <cellStyle name="40% - Accent1 3 3 3 3" xfId="3429" xr:uid="{00000000-0005-0000-0000-00005C350000}"/>
    <cellStyle name="40% - Accent1 3 3 3 3 2" xfId="8549" xr:uid="{00000000-0005-0000-0000-00005D350000}"/>
    <cellStyle name="40% - Accent1 3 3 3 3 2 2" xfId="18789" xr:uid="{00000000-0005-0000-0000-00005E350000}"/>
    <cellStyle name="40% - Accent1 3 3 3 3 2 2 2" xfId="39269" xr:uid="{00000000-0005-0000-0000-00005F350000}"/>
    <cellStyle name="40% - Accent1 3 3 3 3 2 3" xfId="29029" xr:uid="{00000000-0005-0000-0000-000060350000}"/>
    <cellStyle name="40% - Accent1 3 3 3 3 3" xfId="13669" xr:uid="{00000000-0005-0000-0000-000061350000}"/>
    <cellStyle name="40% - Accent1 3 3 3 3 3 2" xfId="34149" xr:uid="{00000000-0005-0000-0000-000062350000}"/>
    <cellStyle name="40% - Accent1 3 3 3 3 4" xfId="23909" xr:uid="{00000000-0005-0000-0000-000063350000}"/>
    <cellStyle name="40% - Accent1 3 3 3 4" xfId="5989" xr:uid="{00000000-0005-0000-0000-000064350000}"/>
    <cellStyle name="40% - Accent1 3 3 3 4 2" xfId="16229" xr:uid="{00000000-0005-0000-0000-000065350000}"/>
    <cellStyle name="40% - Accent1 3 3 3 4 2 2" xfId="36709" xr:uid="{00000000-0005-0000-0000-000066350000}"/>
    <cellStyle name="40% - Accent1 3 3 3 4 3" xfId="26469" xr:uid="{00000000-0005-0000-0000-000067350000}"/>
    <cellStyle name="40% - Accent1 3 3 3 5" xfId="11109" xr:uid="{00000000-0005-0000-0000-000068350000}"/>
    <cellStyle name="40% - Accent1 3 3 3 5 2" xfId="31589" xr:uid="{00000000-0005-0000-0000-000069350000}"/>
    <cellStyle name="40% - Accent1 3 3 3 6" xfId="21349" xr:uid="{00000000-0005-0000-0000-00006A350000}"/>
    <cellStyle name="40% - Accent1 3 3 4" xfId="1509" xr:uid="{00000000-0005-0000-0000-00006B350000}"/>
    <cellStyle name="40% - Accent1 3 3 4 2" xfId="4069" xr:uid="{00000000-0005-0000-0000-00006C350000}"/>
    <cellStyle name="40% - Accent1 3 3 4 2 2" xfId="9189" xr:uid="{00000000-0005-0000-0000-00006D350000}"/>
    <cellStyle name="40% - Accent1 3 3 4 2 2 2" xfId="19429" xr:uid="{00000000-0005-0000-0000-00006E350000}"/>
    <cellStyle name="40% - Accent1 3 3 4 2 2 2 2" xfId="39909" xr:uid="{00000000-0005-0000-0000-00006F350000}"/>
    <cellStyle name="40% - Accent1 3 3 4 2 2 3" xfId="29669" xr:uid="{00000000-0005-0000-0000-000070350000}"/>
    <cellStyle name="40% - Accent1 3 3 4 2 3" xfId="14309" xr:uid="{00000000-0005-0000-0000-000071350000}"/>
    <cellStyle name="40% - Accent1 3 3 4 2 3 2" xfId="34789" xr:uid="{00000000-0005-0000-0000-000072350000}"/>
    <cellStyle name="40% - Accent1 3 3 4 2 4" xfId="24549" xr:uid="{00000000-0005-0000-0000-000073350000}"/>
    <cellStyle name="40% - Accent1 3 3 4 3" xfId="6629" xr:uid="{00000000-0005-0000-0000-000074350000}"/>
    <cellStyle name="40% - Accent1 3 3 4 3 2" xfId="16869" xr:uid="{00000000-0005-0000-0000-000075350000}"/>
    <cellStyle name="40% - Accent1 3 3 4 3 2 2" xfId="37349" xr:uid="{00000000-0005-0000-0000-000076350000}"/>
    <cellStyle name="40% - Accent1 3 3 4 3 3" xfId="27109" xr:uid="{00000000-0005-0000-0000-000077350000}"/>
    <cellStyle name="40% - Accent1 3 3 4 4" xfId="11749" xr:uid="{00000000-0005-0000-0000-000078350000}"/>
    <cellStyle name="40% - Accent1 3 3 4 4 2" xfId="32229" xr:uid="{00000000-0005-0000-0000-000079350000}"/>
    <cellStyle name="40% - Accent1 3 3 4 5" xfId="21989" xr:uid="{00000000-0005-0000-0000-00007A350000}"/>
    <cellStyle name="40% - Accent1 3 3 5" xfId="2789" xr:uid="{00000000-0005-0000-0000-00007B350000}"/>
    <cellStyle name="40% - Accent1 3 3 5 2" xfId="7909" xr:uid="{00000000-0005-0000-0000-00007C350000}"/>
    <cellStyle name="40% - Accent1 3 3 5 2 2" xfId="18149" xr:uid="{00000000-0005-0000-0000-00007D350000}"/>
    <cellStyle name="40% - Accent1 3 3 5 2 2 2" xfId="38629" xr:uid="{00000000-0005-0000-0000-00007E350000}"/>
    <cellStyle name="40% - Accent1 3 3 5 2 3" xfId="28389" xr:uid="{00000000-0005-0000-0000-00007F350000}"/>
    <cellStyle name="40% - Accent1 3 3 5 3" xfId="13029" xr:uid="{00000000-0005-0000-0000-000080350000}"/>
    <cellStyle name="40% - Accent1 3 3 5 3 2" xfId="33509" xr:uid="{00000000-0005-0000-0000-000081350000}"/>
    <cellStyle name="40% - Accent1 3 3 5 4" xfId="23269" xr:uid="{00000000-0005-0000-0000-000082350000}"/>
    <cellStyle name="40% - Accent1 3 3 6" xfId="5349" xr:uid="{00000000-0005-0000-0000-000083350000}"/>
    <cellStyle name="40% - Accent1 3 3 6 2" xfId="15589" xr:uid="{00000000-0005-0000-0000-000084350000}"/>
    <cellStyle name="40% - Accent1 3 3 6 2 2" xfId="36069" xr:uid="{00000000-0005-0000-0000-000085350000}"/>
    <cellStyle name="40% - Accent1 3 3 6 3" xfId="25829" xr:uid="{00000000-0005-0000-0000-000086350000}"/>
    <cellStyle name="40% - Accent1 3 3 7" xfId="10469" xr:uid="{00000000-0005-0000-0000-000087350000}"/>
    <cellStyle name="40% - Accent1 3 3 7 2" xfId="30949" xr:uid="{00000000-0005-0000-0000-000088350000}"/>
    <cellStyle name="40% - Accent1 3 3 8" xfId="20709" xr:uid="{00000000-0005-0000-0000-000089350000}"/>
    <cellStyle name="40% - Accent1 3 4" xfId="389" xr:uid="{00000000-0005-0000-0000-00008A350000}"/>
    <cellStyle name="40% - Accent1 3 4 2" xfId="1029" xr:uid="{00000000-0005-0000-0000-00008B350000}"/>
    <cellStyle name="40% - Accent1 3 4 2 2" xfId="2309" xr:uid="{00000000-0005-0000-0000-00008C350000}"/>
    <cellStyle name="40% - Accent1 3 4 2 2 2" xfId="4869" xr:uid="{00000000-0005-0000-0000-00008D350000}"/>
    <cellStyle name="40% - Accent1 3 4 2 2 2 2" xfId="9989" xr:uid="{00000000-0005-0000-0000-00008E350000}"/>
    <cellStyle name="40% - Accent1 3 4 2 2 2 2 2" xfId="20229" xr:uid="{00000000-0005-0000-0000-00008F350000}"/>
    <cellStyle name="40% - Accent1 3 4 2 2 2 2 2 2" xfId="40709" xr:uid="{00000000-0005-0000-0000-000090350000}"/>
    <cellStyle name="40% - Accent1 3 4 2 2 2 2 3" xfId="30469" xr:uid="{00000000-0005-0000-0000-000091350000}"/>
    <cellStyle name="40% - Accent1 3 4 2 2 2 3" xfId="15109" xr:uid="{00000000-0005-0000-0000-000092350000}"/>
    <cellStyle name="40% - Accent1 3 4 2 2 2 3 2" xfId="35589" xr:uid="{00000000-0005-0000-0000-000093350000}"/>
    <cellStyle name="40% - Accent1 3 4 2 2 2 4" xfId="25349" xr:uid="{00000000-0005-0000-0000-000094350000}"/>
    <cellStyle name="40% - Accent1 3 4 2 2 3" xfId="7429" xr:uid="{00000000-0005-0000-0000-000095350000}"/>
    <cellStyle name="40% - Accent1 3 4 2 2 3 2" xfId="17669" xr:uid="{00000000-0005-0000-0000-000096350000}"/>
    <cellStyle name="40% - Accent1 3 4 2 2 3 2 2" xfId="38149" xr:uid="{00000000-0005-0000-0000-000097350000}"/>
    <cellStyle name="40% - Accent1 3 4 2 2 3 3" xfId="27909" xr:uid="{00000000-0005-0000-0000-000098350000}"/>
    <cellStyle name="40% - Accent1 3 4 2 2 4" xfId="12549" xr:uid="{00000000-0005-0000-0000-000099350000}"/>
    <cellStyle name="40% - Accent1 3 4 2 2 4 2" xfId="33029" xr:uid="{00000000-0005-0000-0000-00009A350000}"/>
    <cellStyle name="40% - Accent1 3 4 2 2 5" xfId="22789" xr:uid="{00000000-0005-0000-0000-00009B350000}"/>
    <cellStyle name="40% - Accent1 3 4 2 3" xfId="3589" xr:uid="{00000000-0005-0000-0000-00009C350000}"/>
    <cellStyle name="40% - Accent1 3 4 2 3 2" xfId="8709" xr:uid="{00000000-0005-0000-0000-00009D350000}"/>
    <cellStyle name="40% - Accent1 3 4 2 3 2 2" xfId="18949" xr:uid="{00000000-0005-0000-0000-00009E350000}"/>
    <cellStyle name="40% - Accent1 3 4 2 3 2 2 2" xfId="39429" xr:uid="{00000000-0005-0000-0000-00009F350000}"/>
    <cellStyle name="40% - Accent1 3 4 2 3 2 3" xfId="29189" xr:uid="{00000000-0005-0000-0000-0000A0350000}"/>
    <cellStyle name="40% - Accent1 3 4 2 3 3" xfId="13829" xr:uid="{00000000-0005-0000-0000-0000A1350000}"/>
    <cellStyle name="40% - Accent1 3 4 2 3 3 2" xfId="34309" xr:uid="{00000000-0005-0000-0000-0000A2350000}"/>
    <cellStyle name="40% - Accent1 3 4 2 3 4" xfId="24069" xr:uid="{00000000-0005-0000-0000-0000A3350000}"/>
    <cellStyle name="40% - Accent1 3 4 2 4" xfId="6149" xr:uid="{00000000-0005-0000-0000-0000A4350000}"/>
    <cellStyle name="40% - Accent1 3 4 2 4 2" xfId="16389" xr:uid="{00000000-0005-0000-0000-0000A5350000}"/>
    <cellStyle name="40% - Accent1 3 4 2 4 2 2" xfId="36869" xr:uid="{00000000-0005-0000-0000-0000A6350000}"/>
    <cellStyle name="40% - Accent1 3 4 2 4 3" xfId="26629" xr:uid="{00000000-0005-0000-0000-0000A7350000}"/>
    <cellStyle name="40% - Accent1 3 4 2 5" xfId="11269" xr:uid="{00000000-0005-0000-0000-0000A8350000}"/>
    <cellStyle name="40% - Accent1 3 4 2 5 2" xfId="31749" xr:uid="{00000000-0005-0000-0000-0000A9350000}"/>
    <cellStyle name="40% - Accent1 3 4 2 6" xfId="21509" xr:uid="{00000000-0005-0000-0000-0000AA350000}"/>
    <cellStyle name="40% - Accent1 3 4 3" xfId="1669" xr:uid="{00000000-0005-0000-0000-0000AB350000}"/>
    <cellStyle name="40% - Accent1 3 4 3 2" xfId="4229" xr:uid="{00000000-0005-0000-0000-0000AC350000}"/>
    <cellStyle name="40% - Accent1 3 4 3 2 2" xfId="9349" xr:uid="{00000000-0005-0000-0000-0000AD350000}"/>
    <cellStyle name="40% - Accent1 3 4 3 2 2 2" xfId="19589" xr:uid="{00000000-0005-0000-0000-0000AE350000}"/>
    <cellStyle name="40% - Accent1 3 4 3 2 2 2 2" xfId="40069" xr:uid="{00000000-0005-0000-0000-0000AF350000}"/>
    <cellStyle name="40% - Accent1 3 4 3 2 2 3" xfId="29829" xr:uid="{00000000-0005-0000-0000-0000B0350000}"/>
    <cellStyle name="40% - Accent1 3 4 3 2 3" xfId="14469" xr:uid="{00000000-0005-0000-0000-0000B1350000}"/>
    <cellStyle name="40% - Accent1 3 4 3 2 3 2" xfId="34949" xr:uid="{00000000-0005-0000-0000-0000B2350000}"/>
    <cellStyle name="40% - Accent1 3 4 3 2 4" xfId="24709" xr:uid="{00000000-0005-0000-0000-0000B3350000}"/>
    <cellStyle name="40% - Accent1 3 4 3 3" xfId="6789" xr:uid="{00000000-0005-0000-0000-0000B4350000}"/>
    <cellStyle name="40% - Accent1 3 4 3 3 2" xfId="17029" xr:uid="{00000000-0005-0000-0000-0000B5350000}"/>
    <cellStyle name="40% - Accent1 3 4 3 3 2 2" xfId="37509" xr:uid="{00000000-0005-0000-0000-0000B6350000}"/>
    <cellStyle name="40% - Accent1 3 4 3 3 3" xfId="27269" xr:uid="{00000000-0005-0000-0000-0000B7350000}"/>
    <cellStyle name="40% - Accent1 3 4 3 4" xfId="11909" xr:uid="{00000000-0005-0000-0000-0000B8350000}"/>
    <cellStyle name="40% - Accent1 3 4 3 4 2" xfId="32389" xr:uid="{00000000-0005-0000-0000-0000B9350000}"/>
    <cellStyle name="40% - Accent1 3 4 3 5" xfId="22149" xr:uid="{00000000-0005-0000-0000-0000BA350000}"/>
    <cellStyle name="40% - Accent1 3 4 4" xfId="2949" xr:uid="{00000000-0005-0000-0000-0000BB350000}"/>
    <cellStyle name="40% - Accent1 3 4 4 2" xfId="8069" xr:uid="{00000000-0005-0000-0000-0000BC350000}"/>
    <cellStyle name="40% - Accent1 3 4 4 2 2" xfId="18309" xr:uid="{00000000-0005-0000-0000-0000BD350000}"/>
    <cellStyle name="40% - Accent1 3 4 4 2 2 2" xfId="38789" xr:uid="{00000000-0005-0000-0000-0000BE350000}"/>
    <cellStyle name="40% - Accent1 3 4 4 2 3" xfId="28549" xr:uid="{00000000-0005-0000-0000-0000BF350000}"/>
    <cellStyle name="40% - Accent1 3 4 4 3" xfId="13189" xr:uid="{00000000-0005-0000-0000-0000C0350000}"/>
    <cellStyle name="40% - Accent1 3 4 4 3 2" xfId="33669" xr:uid="{00000000-0005-0000-0000-0000C1350000}"/>
    <cellStyle name="40% - Accent1 3 4 4 4" xfId="23429" xr:uid="{00000000-0005-0000-0000-0000C2350000}"/>
    <cellStyle name="40% - Accent1 3 4 5" xfId="5509" xr:uid="{00000000-0005-0000-0000-0000C3350000}"/>
    <cellStyle name="40% - Accent1 3 4 5 2" xfId="15749" xr:uid="{00000000-0005-0000-0000-0000C4350000}"/>
    <cellStyle name="40% - Accent1 3 4 5 2 2" xfId="36229" xr:uid="{00000000-0005-0000-0000-0000C5350000}"/>
    <cellStyle name="40% - Accent1 3 4 5 3" xfId="25989" xr:uid="{00000000-0005-0000-0000-0000C6350000}"/>
    <cellStyle name="40% - Accent1 3 4 6" xfId="10629" xr:uid="{00000000-0005-0000-0000-0000C7350000}"/>
    <cellStyle name="40% - Accent1 3 4 6 2" xfId="31109" xr:uid="{00000000-0005-0000-0000-0000C8350000}"/>
    <cellStyle name="40% - Accent1 3 4 7" xfId="20869" xr:uid="{00000000-0005-0000-0000-0000C9350000}"/>
    <cellStyle name="40% - Accent1 3 5" xfId="709" xr:uid="{00000000-0005-0000-0000-0000CA350000}"/>
    <cellStyle name="40% - Accent1 3 5 2" xfId="1989" xr:uid="{00000000-0005-0000-0000-0000CB350000}"/>
    <cellStyle name="40% - Accent1 3 5 2 2" xfId="4549" xr:uid="{00000000-0005-0000-0000-0000CC350000}"/>
    <cellStyle name="40% - Accent1 3 5 2 2 2" xfId="9669" xr:uid="{00000000-0005-0000-0000-0000CD350000}"/>
    <cellStyle name="40% - Accent1 3 5 2 2 2 2" xfId="19909" xr:uid="{00000000-0005-0000-0000-0000CE350000}"/>
    <cellStyle name="40% - Accent1 3 5 2 2 2 2 2" xfId="40389" xr:uid="{00000000-0005-0000-0000-0000CF350000}"/>
    <cellStyle name="40% - Accent1 3 5 2 2 2 3" xfId="30149" xr:uid="{00000000-0005-0000-0000-0000D0350000}"/>
    <cellStyle name="40% - Accent1 3 5 2 2 3" xfId="14789" xr:uid="{00000000-0005-0000-0000-0000D1350000}"/>
    <cellStyle name="40% - Accent1 3 5 2 2 3 2" xfId="35269" xr:uid="{00000000-0005-0000-0000-0000D2350000}"/>
    <cellStyle name="40% - Accent1 3 5 2 2 4" xfId="25029" xr:uid="{00000000-0005-0000-0000-0000D3350000}"/>
    <cellStyle name="40% - Accent1 3 5 2 3" xfId="7109" xr:uid="{00000000-0005-0000-0000-0000D4350000}"/>
    <cellStyle name="40% - Accent1 3 5 2 3 2" xfId="17349" xr:uid="{00000000-0005-0000-0000-0000D5350000}"/>
    <cellStyle name="40% - Accent1 3 5 2 3 2 2" xfId="37829" xr:uid="{00000000-0005-0000-0000-0000D6350000}"/>
    <cellStyle name="40% - Accent1 3 5 2 3 3" xfId="27589" xr:uid="{00000000-0005-0000-0000-0000D7350000}"/>
    <cellStyle name="40% - Accent1 3 5 2 4" xfId="12229" xr:uid="{00000000-0005-0000-0000-0000D8350000}"/>
    <cellStyle name="40% - Accent1 3 5 2 4 2" xfId="32709" xr:uid="{00000000-0005-0000-0000-0000D9350000}"/>
    <cellStyle name="40% - Accent1 3 5 2 5" xfId="22469" xr:uid="{00000000-0005-0000-0000-0000DA350000}"/>
    <cellStyle name="40% - Accent1 3 5 3" xfId="3269" xr:uid="{00000000-0005-0000-0000-0000DB350000}"/>
    <cellStyle name="40% - Accent1 3 5 3 2" xfId="8389" xr:uid="{00000000-0005-0000-0000-0000DC350000}"/>
    <cellStyle name="40% - Accent1 3 5 3 2 2" xfId="18629" xr:uid="{00000000-0005-0000-0000-0000DD350000}"/>
    <cellStyle name="40% - Accent1 3 5 3 2 2 2" xfId="39109" xr:uid="{00000000-0005-0000-0000-0000DE350000}"/>
    <cellStyle name="40% - Accent1 3 5 3 2 3" xfId="28869" xr:uid="{00000000-0005-0000-0000-0000DF350000}"/>
    <cellStyle name="40% - Accent1 3 5 3 3" xfId="13509" xr:uid="{00000000-0005-0000-0000-0000E0350000}"/>
    <cellStyle name="40% - Accent1 3 5 3 3 2" xfId="33989" xr:uid="{00000000-0005-0000-0000-0000E1350000}"/>
    <cellStyle name="40% - Accent1 3 5 3 4" xfId="23749" xr:uid="{00000000-0005-0000-0000-0000E2350000}"/>
    <cellStyle name="40% - Accent1 3 5 4" xfId="5829" xr:uid="{00000000-0005-0000-0000-0000E3350000}"/>
    <cellStyle name="40% - Accent1 3 5 4 2" xfId="16069" xr:uid="{00000000-0005-0000-0000-0000E4350000}"/>
    <cellStyle name="40% - Accent1 3 5 4 2 2" xfId="36549" xr:uid="{00000000-0005-0000-0000-0000E5350000}"/>
    <cellStyle name="40% - Accent1 3 5 4 3" xfId="26309" xr:uid="{00000000-0005-0000-0000-0000E6350000}"/>
    <cellStyle name="40% - Accent1 3 5 5" xfId="10949" xr:uid="{00000000-0005-0000-0000-0000E7350000}"/>
    <cellStyle name="40% - Accent1 3 5 5 2" xfId="31429" xr:uid="{00000000-0005-0000-0000-0000E8350000}"/>
    <cellStyle name="40% - Accent1 3 5 6" xfId="21189" xr:uid="{00000000-0005-0000-0000-0000E9350000}"/>
    <cellStyle name="40% - Accent1 3 6" xfId="1349" xr:uid="{00000000-0005-0000-0000-0000EA350000}"/>
    <cellStyle name="40% - Accent1 3 6 2" xfId="3909" xr:uid="{00000000-0005-0000-0000-0000EB350000}"/>
    <cellStyle name="40% - Accent1 3 6 2 2" xfId="9029" xr:uid="{00000000-0005-0000-0000-0000EC350000}"/>
    <cellStyle name="40% - Accent1 3 6 2 2 2" xfId="19269" xr:uid="{00000000-0005-0000-0000-0000ED350000}"/>
    <cellStyle name="40% - Accent1 3 6 2 2 2 2" xfId="39749" xr:uid="{00000000-0005-0000-0000-0000EE350000}"/>
    <cellStyle name="40% - Accent1 3 6 2 2 3" xfId="29509" xr:uid="{00000000-0005-0000-0000-0000EF350000}"/>
    <cellStyle name="40% - Accent1 3 6 2 3" xfId="14149" xr:uid="{00000000-0005-0000-0000-0000F0350000}"/>
    <cellStyle name="40% - Accent1 3 6 2 3 2" xfId="34629" xr:uid="{00000000-0005-0000-0000-0000F1350000}"/>
    <cellStyle name="40% - Accent1 3 6 2 4" xfId="24389" xr:uid="{00000000-0005-0000-0000-0000F2350000}"/>
    <cellStyle name="40% - Accent1 3 6 3" xfId="6469" xr:uid="{00000000-0005-0000-0000-0000F3350000}"/>
    <cellStyle name="40% - Accent1 3 6 3 2" xfId="16709" xr:uid="{00000000-0005-0000-0000-0000F4350000}"/>
    <cellStyle name="40% - Accent1 3 6 3 2 2" xfId="37189" xr:uid="{00000000-0005-0000-0000-0000F5350000}"/>
    <cellStyle name="40% - Accent1 3 6 3 3" xfId="26949" xr:uid="{00000000-0005-0000-0000-0000F6350000}"/>
    <cellStyle name="40% - Accent1 3 6 4" xfId="11589" xr:uid="{00000000-0005-0000-0000-0000F7350000}"/>
    <cellStyle name="40% - Accent1 3 6 4 2" xfId="32069" xr:uid="{00000000-0005-0000-0000-0000F8350000}"/>
    <cellStyle name="40% - Accent1 3 6 5" xfId="21829" xr:uid="{00000000-0005-0000-0000-0000F9350000}"/>
    <cellStyle name="40% - Accent1 3 7" xfId="2629" xr:uid="{00000000-0005-0000-0000-0000FA350000}"/>
    <cellStyle name="40% - Accent1 3 7 2" xfId="7749" xr:uid="{00000000-0005-0000-0000-0000FB350000}"/>
    <cellStyle name="40% - Accent1 3 7 2 2" xfId="17989" xr:uid="{00000000-0005-0000-0000-0000FC350000}"/>
    <cellStyle name="40% - Accent1 3 7 2 2 2" xfId="38469" xr:uid="{00000000-0005-0000-0000-0000FD350000}"/>
    <cellStyle name="40% - Accent1 3 7 2 3" xfId="28229" xr:uid="{00000000-0005-0000-0000-0000FE350000}"/>
    <cellStyle name="40% - Accent1 3 7 3" xfId="12869" xr:uid="{00000000-0005-0000-0000-0000FF350000}"/>
    <cellStyle name="40% - Accent1 3 7 3 2" xfId="33349" xr:uid="{00000000-0005-0000-0000-000000360000}"/>
    <cellStyle name="40% - Accent1 3 7 4" xfId="23109" xr:uid="{00000000-0005-0000-0000-000001360000}"/>
    <cellStyle name="40% - Accent1 3 8" xfId="5189" xr:uid="{00000000-0005-0000-0000-000002360000}"/>
    <cellStyle name="40% - Accent1 3 8 2" xfId="15429" xr:uid="{00000000-0005-0000-0000-000003360000}"/>
    <cellStyle name="40% - Accent1 3 8 2 2" xfId="35909" xr:uid="{00000000-0005-0000-0000-000004360000}"/>
    <cellStyle name="40% - Accent1 3 8 3" xfId="25669" xr:uid="{00000000-0005-0000-0000-000005360000}"/>
    <cellStyle name="40% - Accent1 3 9" xfId="10309" xr:uid="{00000000-0005-0000-0000-000006360000}"/>
    <cellStyle name="40% - Accent1 3 9 2" xfId="30789" xr:uid="{00000000-0005-0000-0000-000007360000}"/>
    <cellStyle name="40% - Accent1 4" xfId="109" xr:uid="{00000000-0005-0000-0000-000008360000}"/>
    <cellStyle name="40% - Accent1 4 2" xfId="269" xr:uid="{00000000-0005-0000-0000-000009360000}"/>
    <cellStyle name="40% - Accent1 4 2 2" xfId="589" xr:uid="{00000000-0005-0000-0000-00000A360000}"/>
    <cellStyle name="40% - Accent1 4 2 2 2" xfId="1229" xr:uid="{00000000-0005-0000-0000-00000B360000}"/>
    <cellStyle name="40% - Accent1 4 2 2 2 2" xfId="2509" xr:uid="{00000000-0005-0000-0000-00000C360000}"/>
    <cellStyle name="40% - Accent1 4 2 2 2 2 2" xfId="5069" xr:uid="{00000000-0005-0000-0000-00000D360000}"/>
    <cellStyle name="40% - Accent1 4 2 2 2 2 2 2" xfId="10189" xr:uid="{00000000-0005-0000-0000-00000E360000}"/>
    <cellStyle name="40% - Accent1 4 2 2 2 2 2 2 2" xfId="20429" xr:uid="{00000000-0005-0000-0000-00000F360000}"/>
    <cellStyle name="40% - Accent1 4 2 2 2 2 2 2 2 2" xfId="40909" xr:uid="{00000000-0005-0000-0000-000010360000}"/>
    <cellStyle name="40% - Accent1 4 2 2 2 2 2 2 3" xfId="30669" xr:uid="{00000000-0005-0000-0000-000011360000}"/>
    <cellStyle name="40% - Accent1 4 2 2 2 2 2 3" xfId="15309" xr:uid="{00000000-0005-0000-0000-000012360000}"/>
    <cellStyle name="40% - Accent1 4 2 2 2 2 2 3 2" xfId="35789" xr:uid="{00000000-0005-0000-0000-000013360000}"/>
    <cellStyle name="40% - Accent1 4 2 2 2 2 2 4" xfId="25549" xr:uid="{00000000-0005-0000-0000-000014360000}"/>
    <cellStyle name="40% - Accent1 4 2 2 2 2 3" xfId="7629" xr:uid="{00000000-0005-0000-0000-000015360000}"/>
    <cellStyle name="40% - Accent1 4 2 2 2 2 3 2" xfId="17869" xr:uid="{00000000-0005-0000-0000-000016360000}"/>
    <cellStyle name="40% - Accent1 4 2 2 2 2 3 2 2" xfId="38349" xr:uid="{00000000-0005-0000-0000-000017360000}"/>
    <cellStyle name="40% - Accent1 4 2 2 2 2 3 3" xfId="28109" xr:uid="{00000000-0005-0000-0000-000018360000}"/>
    <cellStyle name="40% - Accent1 4 2 2 2 2 4" xfId="12749" xr:uid="{00000000-0005-0000-0000-000019360000}"/>
    <cellStyle name="40% - Accent1 4 2 2 2 2 4 2" xfId="33229" xr:uid="{00000000-0005-0000-0000-00001A360000}"/>
    <cellStyle name="40% - Accent1 4 2 2 2 2 5" xfId="22989" xr:uid="{00000000-0005-0000-0000-00001B360000}"/>
    <cellStyle name="40% - Accent1 4 2 2 2 3" xfId="3789" xr:uid="{00000000-0005-0000-0000-00001C360000}"/>
    <cellStyle name="40% - Accent1 4 2 2 2 3 2" xfId="8909" xr:uid="{00000000-0005-0000-0000-00001D360000}"/>
    <cellStyle name="40% - Accent1 4 2 2 2 3 2 2" xfId="19149" xr:uid="{00000000-0005-0000-0000-00001E360000}"/>
    <cellStyle name="40% - Accent1 4 2 2 2 3 2 2 2" xfId="39629" xr:uid="{00000000-0005-0000-0000-00001F360000}"/>
    <cellStyle name="40% - Accent1 4 2 2 2 3 2 3" xfId="29389" xr:uid="{00000000-0005-0000-0000-000020360000}"/>
    <cellStyle name="40% - Accent1 4 2 2 2 3 3" xfId="14029" xr:uid="{00000000-0005-0000-0000-000021360000}"/>
    <cellStyle name="40% - Accent1 4 2 2 2 3 3 2" xfId="34509" xr:uid="{00000000-0005-0000-0000-000022360000}"/>
    <cellStyle name="40% - Accent1 4 2 2 2 3 4" xfId="24269" xr:uid="{00000000-0005-0000-0000-000023360000}"/>
    <cellStyle name="40% - Accent1 4 2 2 2 4" xfId="6349" xr:uid="{00000000-0005-0000-0000-000024360000}"/>
    <cellStyle name="40% - Accent1 4 2 2 2 4 2" xfId="16589" xr:uid="{00000000-0005-0000-0000-000025360000}"/>
    <cellStyle name="40% - Accent1 4 2 2 2 4 2 2" xfId="37069" xr:uid="{00000000-0005-0000-0000-000026360000}"/>
    <cellStyle name="40% - Accent1 4 2 2 2 4 3" xfId="26829" xr:uid="{00000000-0005-0000-0000-000027360000}"/>
    <cellStyle name="40% - Accent1 4 2 2 2 5" xfId="11469" xr:uid="{00000000-0005-0000-0000-000028360000}"/>
    <cellStyle name="40% - Accent1 4 2 2 2 5 2" xfId="31949" xr:uid="{00000000-0005-0000-0000-000029360000}"/>
    <cellStyle name="40% - Accent1 4 2 2 2 6" xfId="21709" xr:uid="{00000000-0005-0000-0000-00002A360000}"/>
    <cellStyle name="40% - Accent1 4 2 2 3" xfId="1869" xr:uid="{00000000-0005-0000-0000-00002B360000}"/>
    <cellStyle name="40% - Accent1 4 2 2 3 2" xfId="4429" xr:uid="{00000000-0005-0000-0000-00002C360000}"/>
    <cellStyle name="40% - Accent1 4 2 2 3 2 2" xfId="9549" xr:uid="{00000000-0005-0000-0000-00002D360000}"/>
    <cellStyle name="40% - Accent1 4 2 2 3 2 2 2" xfId="19789" xr:uid="{00000000-0005-0000-0000-00002E360000}"/>
    <cellStyle name="40% - Accent1 4 2 2 3 2 2 2 2" xfId="40269" xr:uid="{00000000-0005-0000-0000-00002F360000}"/>
    <cellStyle name="40% - Accent1 4 2 2 3 2 2 3" xfId="30029" xr:uid="{00000000-0005-0000-0000-000030360000}"/>
    <cellStyle name="40% - Accent1 4 2 2 3 2 3" xfId="14669" xr:uid="{00000000-0005-0000-0000-000031360000}"/>
    <cellStyle name="40% - Accent1 4 2 2 3 2 3 2" xfId="35149" xr:uid="{00000000-0005-0000-0000-000032360000}"/>
    <cellStyle name="40% - Accent1 4 2 2 3 2 4" xfId="24909" xr:uid="{00000000-0005-0000-0000-000033360000}"/>
    <cellStyle name="40% - Accent1 4 2 2 3 3" xfId="6989" xr:uid="{00000000-0005-0000-0000-000034360000}"/>
    <cellStyle name="40% - Accent1 4 2 2 3 3 2" xfId="17229" xr:uid="{00000000-0005-0000-0000-000035360000}"/>
    <cellStyle name="40% - Accent1 4 2 2 3 3 2 2" xfId="37709" xr:uid="{00000000-0005-0000-0000-000036360000}"/>
    <cellStyle name="40% - Accent1 4 2 2 3 3 3" xfId="27469" xr:uid="{00000000-0005-0000-0000-000037360000}"/>
    <cellStyle name="40% - Accent1 4 2 2 3 4" xfId="12109" xr:uid="{00000000-0005-0000-0000-000038360000}"/>
    <cellStyle name="40% - Accent1 4 2 2 3 4 2" xfId="32589" xr:uid="{00000000-0005-0000-0000-000039360000}"/>
    <cellStyle name="40% - Accent1 4 2 2 3 5" xfId="22349" xr:uid="{00000000-0005-0000-0000-00003A360000}"/>
    <cellStyle name="40% - Accent1 4 2 2 4" xfId="3149" xr:uid="{00000000-0005-0000-0000-00003B360000}"/>
    <cellStyle name="40% - Accent1 4 2 2 4 2" xfId="8269" xr:uid="{00000000-0005-0000-0000-00003C360000}"/>
    <cellStyle name="40% - Accent1 4 2 2 4 2 2" xfId="18509" xr:uid="{00000000-0005-0000-0000-00003D360000}"/>
    <cellStyle name="40% - Accent1 4 2 2 4 2 2 2" xfId="38989" xr:uid="{00000000-0005-0000-0000-00003E360000}"/>
    <cellStyle name="40% - Accent1 4 2 2 4 2 3" xfId="28749" xr:uid="{00000000-0005-0000-0000-00003F360000}"/>
    <cellStyle name="40% - Accent1 4 2 2 4 3" xfId="13389" xr:uid="{00000000-0005-0000-0000-000040360000}"/>
    <cellStyle name="40% - Accent1 4 2 2 4 3 2" xfId="33869" xr:uid="{00000000-0005-0000-0000-000041360000}"/>
    <cellStyle name="40% - Accent1 4 2 2 4 4" xfId="23629" xr:uid="{00000000-0005-0000-0000-000042360000}"/>
    <cellStyle name="40% - Accent1 4 2 2 5" xfId="5709" xr:uid="{00000000-0005-0000-0000-000043360000}"/>
    <cellStyle name="40% - Accent1 4 2 2 5 2" xfId="15949" xr:uid="{00000000-0005-0000-0000-000044360000}"/>
    <cellStyle name="40% - Accent1 4 2 2 5 2 2" xfId="36429" xr:uid="{00000000-0005-0000-0000-000045360000}"/>
    <cellStyle name="40% - Accent1 4 2 2 5 3" xfId="26189" xr:uid="{00000000-0005-0000-0000-000046360000}"/>
    <cellStyle name="40% - Accent1 4 2 2 6" xfId="10829" xr:uid="{00000000-0005-0000-0000-000047360000}"/>
    <cellStyle name="40% - Accent1 4 2 2 6 2" xfId="31309" xr:uid="{00000000-0005-0000-0000-000048360000}"/>
    <cellStyle name="40% - Accent1 4 2 2 7" xfId="21069" xr:uid="{00000000-0005-0000-0000-000049360000}"/>
    <cellStyle name="40% - Accent1 4 2 3" xfId="909" xr:uid="{00000000-0005-0000-0000-00004A360000}"/>
    <cellStyle name="40% - Accent1 4 2 3 2" xfId="2189" xr:uid="{00000000-0005-0000-0000-00004B360000}"/>
    <cellStyle name="40% - Accent1 4 2 3 2 2" xfId="4749" xr:uid="{00000000-0005-0000-0000-00004C360000}"/>
    <cellStyle name="40% - Accent1 4 2 3 2 2 2" xfId="9869" xr:uid="{00000000-0005-0000-0000-00004D360000}"/>
    <cellStyle name="40% - Accent1 4 2 3 2 2 2 2" xfId="20109" xr:uid="{00000000-0005-0000-0000-00004E360000}"/>
    <cellStyle name="40% - Accent1 4 2 3 2 2 2 2 2" xfId="40589" xr:uid="{00000000-0005-0000-0000-00004F360000}"/>
    <cellStyle name="40% - Accent1 4 2 3 2 2 2 3" xfId="30349" xr:uid="{00000000-0005-0000-0000-000050360000}"/>
    <cellStyle name="40% - Accent1 4 2 3 2 2 3" xfId="14989" xr:uid="{00000000-0005-0000-0000-000051360000}"/>
    <cellStyle name="40% - Accent1 4 2 3 2 2 3 2" xfId="35469" xr:uid="{00000000-0005-0000-0000-000052360000}"/>
    <cellStyle name="40% - Accent1 4 2 3 2 2 4" xfId="25229" xr:uid="{00000000-0005-0000-0000-000053360000}"/>
    <cellStyle name="40% - Accent1 4 2 3 2 3" xfId="7309" xr:uid="{00000000-0005-0000-0000-000054360000}"/>
    <cellStyle name="40% - Accent1 4 2 3 2 3 2" xfId="17549" xr:uid="{00000000-0005-0000-0000-000055360000}"/>
    <cellStyle name="40% - Accent1 4 2 3 2 3 2 2" xfId="38029" xr:uid="{00000000-0005-0000-0000-000056360000}"/>
    <cellStyle name="40% - Accent1 4 2 3 2 3 3" xfId="27789" xr:uid="{00000000-0005-0000-0000-000057360000}"/>
    <cellStyle name="40% - Accent1 4 2 3 2 4" xfId="12429" xr:uid="{00000000-0005-0000-0000-000058360000}"/>
    <cellStyle name="40% - Accent1 4 2 3 2 4 2" xfId="32909" xr:uid="{00000000-0005-0000-0000-000059360000}"/>
    <cellStyle name="40% - Accent1 4 2 3 2 5" xfId="22669" xr:uid="{00000000-0005-0000-0000-00005A360000}"/>
    <cellStyle name="40% - Accent1 4 2 3 3" xfId="3469" xr:uid="{00000000-0005-0000-0000-00005B360000}"/>
    <cellStyle name="40% - Accent1 4 2 3 3 2" xfId="8589" xr:uid="{00000000-0005-0000-0000-00005C360000}"/>
    <cellStyle name="40% - Accent1 4 2 3 3 2 2" xfId="18829" xr:uid="{00000000-0005-0000-0000-00005D360000}"/>
    <cellStyle name="40% - Accent1 4 2 3 3 2 2 2" xfId="39309" xr:uid="{00000000-0005-0000-0000-00005E360000}"/>
    <cellStyle name="40% - Accent1 4 2 3 3 2 3" xfId="29069" xr:uid="{00000000-0005-0000-0000-00005F360000}"/>
    <cellStyle name="40% - Accent1 4 2 3 3 3" xfId="13709" xr:uid="{00000000-0005-0000-0000-000060360000}"/>
    <cellStyle name="40% - Accent1 4 2 3 3 3 2" xfId="34189" xr:uid="{00000000-0005-0000-0000-000061360000}"/>
    <cellStyle name="40% - Accent1 4 2 3 3 4" xfId="23949" xr:uid="{00000000-0005-0000-0000-000062360000}"/>
    <cellStyle name="40% - Accent1 4 2 3 4" xfId="6029" xr:uid="{00000000-0005-0000-0000-000063360000}"/>
    <cellStyle name="40% - Accent1 4 2 3 4 2" xfId="16269" xr:uid="{00000000-0005-0000-0000-000064360000}"/>
    <cellStyle name="40% - Accent1 4 2 3 4 2 2" xfId="36749" xr:uid="{00000000-0005-0000-0000-000065360000}"/>
    <cellStyle name="40% - Accent1 4 2 3 4 3" xfId="26509" xr:uid="{00000000-0005-0000-0000-000066360000}"/>
    <cellStyle name="40% - Accent1 4 2 3 5" xfId="11149" xr:uid="{00000000-0005-0000-0000-000067360000}"/>
    <cellStyle name="40% - Accent1 4 2 3 5 2" xfId="31629" xr:uid="{00000000-0005-0000-0000-000068360000}"/>
    <cellStyle name="40% - Accent1 4 2 3 6" xfId="21389" xr:uid="{00000000-0005-0000-0000-000069360000}"/>
    <cellStyle name="40% - Accent1 4 2 4" xfId="1549" xr:uid="{00000000-0005-0000-0000-00006A360000}"/>
    <cellStyle name="40% - Accent1 4 2 4 2" xfId="4109" xr:uid="{00000000-0005-0000-0000-00006B360000}"/>
    <cellStyle name="40% - Accent1 4 2 4 2 2" xfId="9229" xr:uid="{00000000-0005-0000-0000-00006C360000}"/>
    <cellStyle name="40% - Accent1 4 2 4 2 2 2" xfId="19469" xr:uid="{00000000-0005-0000-0000-00006D360000}"/>
    <cellStyle name="40% - Accent1 4 2 4 2 2 2 2" xfId="39949" xr:uid="{00000000-0005-0000-0000-00006E360000}"/>
    <cellStyle name="40% - Accent1 4 2 4 2 2 3" xfId="29709" xr:uid="{00000000-0005-0000-0000-00006F360000}"/>
    <cellStyle name="40% - Accent1 4 2 4 2 3" xfId="14349" xr:uid="{00000000-0005-0000-0000-000070360000}"/>
    <cellStyle name="40% - Accent1 4 2 4 2 3 2" xfId="34829" xr:uid="{00000000-0005-0000-0000-000071360000}"/>
    <cellStyle name="40% - Accent1 4 2 4 2 4" xfId="24589" xr:uid="{00000000-0005-0000-0000-000072360000}"/>
    <cellStyle name="40% - Accent1 4 2 4 3" xfId="6669" xr:uid="{00000000-0005-0000-0000-000073360000}"/>
    <cellStyle name="40% - Accent1 4 2 4 3 2" xfId="16909" xr:uid="{00000000-0005-0000-0000-000074360000}"/>
    <cellStyle name="40% - Accent1 4 2 4 3 2 2" xfId="37389" xr:uid="{00000000-0005-0000-0000-000075360000}"/>
    <cellStyle name="40% - Accent1 4 2 4 3 3" xfId="27149" xr:uid="{00000000-0005-0000-0000-000076360000}"/>
    <cellStyle name="40% - Accent1 4 2 4 4" xfId="11789" xr:uid="{00000000-0005-0000-0000-000077360000}"/>
    <cellStyle name="40% - Accent1 4 2 4 4 2" xfId="32269" xr:uid="{00000000-0005-0000-0000-000078360000}"/>
    <cellStyle name="40% - Accent1 4 2 4 5" xfId="22029" xr:uid="{00000000-0005-0000-0000-000079360000}"/>
    <cellStyle name="40% - Accent1 4 2 5" xfId="2829" xr:uid="{00000000-0005-0000-0000-00007A360000}"/>
    <cellStyle name="40% - Accent1 4 2 5 2" xfId="7949" xr:uid="{00000000-0005-0000-0000-00007B360000}"/>
    <cellStyle name="40% - Accent1 4 2 5 2 2" xfId="18189" xr:uid="{00000000-0005-0000-0000-00007C360000}"/>
    <cellStyle name="40% - Accent1 4 2 5 2 2 2" xfId="38669" xr:uid="{00000000-0005-0000-0000-00007D360000}"/>
    <cellStyle name="40% - Accent1 4 2 5 2 3" xfId="28429" xr:uid="{00000000-0005-0000-0000-00007E360000}"/>
    <cellStyle name="40% - Accent1 4 2 5 3" xfId="13069" xr:uid="{00000000-0005-0000-0000-00007F360000}"/>
    <cellStyle name="40% - Accent1 4 2 5 3 2" xfId="33549" xr:uid="{00000000-0005-0000-0000-000080360000}"/>
    <cellStyle name="40% - Accent1 4 2 5 4" xfId="23309" xr:uid="{00000000-0005-0000-0000-000081360000}"/>
    <cellStyle name="40% - Accent1 4 2 6" xfId="5389" xr:uid="{00000000-0005-0000-0000-000082360000}"/>
    <cellStyle name="40% - Accent1 4 2 6 2" xfId="15629" xr:uid="{00000000-0005-0000-0000-000083360000}"/>
    <cellStyle name="40% - Accent1 4 2 6 2 2" xfId="36109" xr:uid="{00000000-0005-0000-0000-000084360000}"/>
    <cellStyle name="40% - Accent1 4 2 6 3" xfId="25869" xr:uid="{00000000-0005-0000-0000-000085360000}"/>
    <cellStyle name="40% - Accent1 4 2 7" xfId="10509" xr:uid="{00000000-0005-0000-0000-000086360000}"/>
    <cellStyle name="40% - Accent1 4 2 7 2" xfId="30989" xr:uid="{00000000-0005-0000-0000-000087360000}"/>
    <cellStyle name="40% - Accent1 4 2 8" xfId="20749" xr:uid="{00000000-0005-0000-0000-000088360000}"/>
    <cellStyle name="40% - Accent1 4 3" xfId="429" xr:uid="{00000000-0005-0000-0000-000089360000}"/>
    <cellStyle name="40% - Accent1 4 3 2" xfId="1069" xr:uid="{00000000-0005-0000-0000-00008A360000}"/>
    <cellStyle name="40% - Accent1 4 3 2 2" xfId="2349" xr:uid="{00000000-0005-0000-0000-00008B360000}"/>
    <cellStyle name="40% - Accent1 4 3 2 2 2" xfId="4909" xr:uid="{00000000-0005-0000-0000-00008C360000}"/>
    <cellStyle name="40% - Accent1 4 3 2 2 2 2" xfId="10029" xr:uid="{00000000-0005-0000-0000-00008D360000}"/>
    <cellStyle name="40% - Accent1 4 3 2 2 2 2 2" xfId="20269" xr:uid="{00000000-0005-0000-0000-00008E360000}"/>
    <cellStyle name="40% - Accent1 4 3 2 2 2 2 2 2" xfId="40749" xr:uid="{00000000-0005-0000-0000-00008F360000}"/>
    <cellStyle name="40% - Accent1 4 3 2 2 2 2 3" xfId="30509" xr:uid="{00000000-0005-0000-0000-000090360000}"/>
    <cellStyle name="40% - Accent1 4 3 2 2 2 3" xfId="15149" xr:uid="{00000000-0005-0000-0000-000091360000}"/>
    <cellStyle name="40% - Accent1 4 3 2 2 2 3 2" xfId="35629" xr:uid="{00000000-0005-0000-0000-000092360000}"/>
    <cellStyle name="40% - Accent1 4 3 2 2 2 4" xfId="25389" xr:uid="{00000000-0005-0000-0000-000093360000}"/>
    <cellStyle name="40% - Accent1 4 3 2 2 3" xfId="7469" xr:uid="{00000000-0005-0000-0000-000094360000}"/>
    <cellStyle name="40% - Accent1 4 3 2 2 3 2" xfId="17709" xr:uid="{00000000-0005-0000-0000-000095360000}"/>
    <cellStyle name="40% - Accent1 4 3 2 2 3 2 2" xfId="38189" xr:uid="{00000000-0005-0000-0000-000096360000}"/>
    <cellStyle name="40% - Accent1 4 3 2 2 3 3" xfId="27949" xr:uid="{00000000-0005-0000-0000-000097360000}"/>
    <cellStyle name="40% - Accent1 4 3 2 2 4" xfId="12589" xr:uid="{00000000-0005-0000-0000-000098360000}"/>
    <cellStyle name="40% - Accent1 4 3 2 2 4 2" xfId="33069" xr:uid="{00000000-0005-0000-0000-000099360000}"/>
    <cellStyle name="40% - Accent1 4 3 2 2 5" xfId="22829" xr:uid="{00000000-0005-0000-0000-00009A360000}"/>
    <cellStyle name="40% - Accent1 4 3 2 3" xfId="3629" xr:uid="{00000000-0005-0000-0000-00009B360000}"/>
    <cellStyle name="40% - Accent1 4 3 2 3 2" xfId="8749" xr:uid="{00000000-0005-0000-0000-00009C360000}"/>
    <cellStyle name="40% - Accent1 4 3 2 3 2 2" xfId="18989" xr:uid="{00000000-0005-0000-0000-00009D360000}"/>
    <cellStyle name="40% - Accent1 4 3 2 3 2 2 2" xfId="39469" xr:uid="{00000000-0005-0000-0000-00009E360000}"/>
    <cellStyle name="40% - Accent1 4 3 2 3 2 3" xfId="29229" xr:uid="{00000000-0005-0000-0000-00009F360000}"/>
    <cellStyle name="40% - Accent1 4 3 2 3 3" xfId="13869" xr:uid="{00000000-0005-0000-0000-0000A0360000}"/>
    <cellStyle name="40% - Accent1 4 3 2 3 3 2" xfId="34349" xr:uid="{00000000-0005-0000-0000-0000A1360000}"/>
    <cellStyle name="40% - Accent1 4 3 2 3 4" xfId="24109" xr:uid="{00000000-0005-0000-0000-0000A2360000}"/>
    <cellStyle name="40% - Accent1 4 3 2 4" xfId="6189" xr:uid="{00000000-0005-0000-0000-0000A3360000}"/>
    <cellStyle name="40% - Accent1 4 3 2 4 2" xfId="16429" xr:uid="{00000000-0005-0000-0000-0000A4360000}"/>
    <cellStyle name="40% - Accent1 4 3 2 4 2 2" xfId="36909" xr:uid="{00000000-0005-0000-0000-0000A5360000}"/>
    <cellStyle name="40% - Accent1 4 3 2 4 3" xfId="26669" xr:uid="{00000000-0005-0000-0000-0000A6360000}"/>
    <cellStyle name="40% - Accent1 4 3 2 5" xfId="11309" xr:uid="{00000000-0005-0000-0000-0000A7360000}"/>
    <cellStyle name="40% - Accent1 4 3 2 5 2" xfId="31789" xr:uid="{00000000-0005-0000-0000-0000A8360000}"/>
    <cellStyle name="40% - Accent1 4 3 2 6" xfId="21549" xr:uid="{00000000-0005-0000-0000-0000A9360000}"/>
    <cellStyle name="40% - Accent1 4 3 3" xfId="1709" xr:uid="{00000000-0005-0000-0000-0000AA360000}"/>
    <cellStyle name="40% - Accent1 4 3 3 2" xfId="4269" xr:uid="{00000000-0005-0000-0000-0000AB360000}"/>
    <cellStyle name="40% - Accent1 4 3 3 2 2" xfId="9389" xr:uid="{00000000-0005-0000-0000-0000AC360000}"/>
    <cellStyle name="40% - Accent1 4 3 3 2 2 2" xfId="19629" xr:uid="{00000000-0005-0000-0000-0000AD360000}"/>
    <cellStyle name="40% - Accent1 4 3 3 2 2 2 2" xfId="40109" xr:uid="{00000000-0005-0000-0000-0000AE360000}"/>
    <cellStyle name="40% - Accent1 4 3 3 2 2 3" xfId="29869" xr:uid="{00000000-0005-0000-0000-0000AF360000}"/>
    <cellStyle name="40% - Accent1 4 3 3 2 3" xfId="14509" xr:uid="{00000000-0005-0000-0000-0000B0360000}"/>
    <cellStyle name="40% - Accent1 4 3 3 2 3 2" xfId="34989" xr:uid="{00000000-0005-0000-0000-0000B1360000}"/>
    <cellStyle name="40% - Accent1 4 3 3 2 4" xfId="24749" xr:uid="{00000000-0005-0000-0000-0000B2360000}"/>
    <cellStyle name="40% - Accent1 4 3 3 3" xfId="6829" xr:uid="{00000000-0005-0000-0000-0000B3360000}"/>
    <cellStyle name="40% - Accent1 4 3 3 3 2" xfId="17069" xr:uid="{00000000-0005-0000-0000-0000B4360000}"/>
    <cellStyle name="40% - Accent1 4 3 3 3 2 2" xfId="37549" xr:uid="{00000000-0005-0000-0000-0000B5360000}"/>
    <cellStyle name="40% - Accent1 4 3 3 3 3" xfId="27309" xr:uid="{00000000-0005-0000-0000-0000B6360000}"/>
    <cellStyle name="40% - Accent1 4 3 3 4" xfId="11949" xr:uid="{00000000-0005-0000-0000-0000B7360000}"/>
    <cellStyle name="40% - Accent1 4 3 3 4 2" xfId="32429" xr:uid="{00000000-0005-0000-0000-0000B8360000}"/>
    <cellStyle name="40% - Accent1 4 3 3 5" xfId="22189" xr:uid="{00000000-0005-0000-0000-0000B9360000}"/>
    <cellStyle name="40% - Accent1 4 3 4" xfId="2989" xr:uid="{00000000-0005-0000-0000-0000BA360000}"/>
    <cellStyle name="40% - Accent1 4 3 4 2" xfId="8109" xr:uid="{00000000-0005-0000-0000-0000BB360000}"/>
    <cellStyle name="40% - Accent1 4 3 4 2 2" xfId="18349" xr:uid="{00000000-0005-0000-0000-0000BC360000}"/>
    <cellStyle name="40% - Accent1 4 3 4 2 2 2" xfId="38829" xr:uid="{00000000-0005-0000-0000-0000BD360000}"/>
    <cellStyle name="40% - Accent1 4 3 4 2 3" xfId="28589" xr:uid="{00000000-0005-0000-0000-0000BE360000}"/>
    <cellStyle name="40% - Accent1 4 3 4 3" xfId="13229" xr:uid="{00000000-0005-0000-0000-0000BF360000}"/>
    <cellStyle name="40% - Accent1 4 3 4 3 2" xfId="33709" xr:uid="{00000000-0005-0000-0000-0000C0360000}"/>
    <cellStyle name="40% - Accent1 4 3 4 4" xfId="23469" xr:uid="{00000000-0005-0000-0000-0000C1360000}"/>
    <cellStyle name="40% - Accent1 4 3 5" xfId="5549" xr:uid="{00000000-0005-0000-0000-0000C2360000}"/>
    <cellStyle name="40% - Accent1 4 3 5 2" xfId="15789" xr:uid="{00000000-0005-0000-0000-0000C3360000}"/>
    <cellStyle name="40% - Accent1 4 3 5 2 2" xfId="36269" xr:uid="{00000000-0005-0000-0000-0000C4360000}"/>
    <cellStyle name="40% - Accent1 4 3 5 3" xfId="26029" xr:uid="{00000000-0005-0000-0000-0000C5360000}"/>
    <cellStyle name="40% - Accent1 4 3 6" xfId="10669" xr:uid="{00000000-0005-0000-0000-0000C6360000}"/>
    <cellStyle name="40% - Accent1 4 3 6 2" xfId="31149" xr:uid="{00000000-0005-0000-0000-0000C7360000}"/>
    <cellStyle name="40% - Accent1 4 3 7" xfId="20909" xr:uid="{00000000-0005-0000-0000-0000C8360000}"/>
    <cellStyle name="40% - Accent1 4 4" xfId="749" xr:uid="{00000000-0005-0000-0000-0000C9360000}"/>
    <cellStyle name="40% - Accent1 4 4 2" xfId="2029" xr:uid="{00000000-0005-0000-0000-0000CA360000}"/>
    <cellStyle name="40% - Accent1 4 4 2 2" xfId="4589" xr:uid="{00000000-0005-0000-0000-0000CB360000}"/>
    <cellStyle name="40% - Accent1 4 4 2 2 2" xfId="9709" xr:uid="{00000000-0005-0000-0000-0000CC360000}"/>
    <cellStyle name="40% - Accent1 4 4 2 2 2 2" xfId="19949" xr:uid="{00000000-0005-0000-0000-0000CD360000}"/>
    <cellStyle name="40% - Accent1 4 4 2 2 2 2 2" xfId="40429" xr:uid="{00000000-0005-0000-0000-0000CE360000}"/>
    <cellStyle name="40% - Accent1 4 4 2 2 2 3" xfId="30189" xr:uid="{00000000-0005-0000-0000-0000CF360000}"/>
    <cellStyle name="40% - Accent1 4 4 2 2 3" xfId="14829" xr:uid="{00000000-0005-0000-0000-0000D0360000}"/>
    <cellStyle name="40% - Accent1 4 4 2 2 3 2" xfId="35309" xr:uid="{00000000-0005-0000-0000-0000D1360000}"/>
    <cellStyle name="40% - Accent1 4 4 2 2 4" xfId="25069" xr:uid="{00000000-0005-0000-0000-0000D2360000}"/>
    <cellStyle name="40% - Accent1 4 4 2 3" xfId="7149" xr:uid="{00000000-0005-0000-0000-0000D3360000}"/>
    <cellStyle name="40% - Accent1 4 4 2 3 2" xfId="17389" xr:uid="{00000000-0005-0000-0000-0000D4360000}"/>
    <cellStyle name="40% - Accent1 4 4 2 3 2 2" xfId="37869" xr:uid="{00000000-0005-0000-0000-0000D5360000}"/>
    <cellStyle name="40% - Accent1 4 4 2 3 3" xfId="27629" xr:uid="{00000000-0005-0000-0000-0000D6360000}"/>
    <cellStyle name="40% - Accent1 4 4 2 4" xfId="12269" xr:uid="{00000000-0005-0000-0000-0000D7360000}"/>
    <cellStyle name="40% - Accent1 4 4 2 4 2" xfId="32749" xr:uid="{00000000-0005-0000-0000-0000D8360000}"/>
    <cellStyle name="40% - Accent1 4 4 2 5" xfId="22509" xr:uid="{00000000-0005-0000-0000-0000D9360000}"/>
    <cellStyle name="40% - Accent1 4 4 3" xfId="3309" xr:uid="{00000000-0005-0000-0000-0000DA360000}"/>
    <cellStyle name="40% - Accent1 4 4 3 2" xfId="8429" xr:uid="{00000000-0005-0000-0000-0000DB360000}"/>
    <cellStyle name="40% - Accent1 4 4 3 2 2" xfId="18669" xr:uid="{00000000-0005-0000-0000-0000DC360000}"/>
    <cellStyle name="40% - Accent1 4 4 3 2 2 2" xfId="39149" xr:uid="{00000000-0005-0000-0000-0000DD360000}"/>
    <cellStyle name="40% - Accent1 4 4 3 2 3" xfId="28909" xr:uid="{00000000-0005-0000-0000-0000DE360000}"/>
    <cellStyle name="40% - Accent1 4 4 3 3" xfId="13549" xr:uid="{00000000-0005-0000-0000-0000DF360000}"/>
    <cellStyle name="40% - Accent1 4 4 3 3 2" xfId="34029" xr:uid="{00000000-0005-0000-0000-0000E0360000}"/>
    <cellStyle name="40% - Accent1 4 4 3 4" xfId="23789" xr:uid="{00000000-0005-0000-0000-0000E1360000}"/>
    <cellStyle name="40% - Accent1 4 4 4" xfId="5869" xr:uid="{00000000-0005-0000-0000-0000E2360000}"/>
    <cellStyle name="40% - Accent1 4 4 4 2" xfId="16109" xr:uid="{00000000-0005-0000-0000-0000E3360000}"/>
    <cellStyle name="40% - Accent1 4 4 4 2 2" xfId="36589" xr:uid="{00000000-0005-0000-0000-0000E4360000}"/>
    <cellStyle name="40% - Accent1 4 4 4 3" xfId="26349" xr:uid="{00000000-0005-0000-0000-0000E5360000}"/>
    <cellStyle name="40% - Accent1 4 4 5" xfId="10989" xr:uid="{00000000-0005-0000-0000-0000E6360000}"/>
    <cellStyle name="40% - Accent1 4 4 5 2" xfId="31469" xr:uid="{00000000-0005-0000-0000-0000E7360000}"/>
    <cellStyle name="40% - Accent1 4 4 6" xfId="21229" xr:uid="{00000000-0005-0000-0000-0000E8360000}"/>
    <cellStyle name="40% - Accent1 4 5" xfId="1389" xr:uid="{00000000-0005-0000-0000-0000E9360000}"/>
    <cellStyle name="40% - Accent1 4 5 2" xfId="3949" xr:uid="{00000000-0005-0000-0000-0000EA360000}"/>
    <cellStyle name="40% - Accent1 4 5 2 2" xfId="9069" xr:uid="{00000000-0005-0000-0000-0000EB360000}"/>
    <cellStyle name="40% - Accent1 4 5 2 2 2" xfId="19309" xr:uid="{00000000-0005-0000-0000-0000EC360000}"/>
    <cellStyle name="40% - Accent1 4 5 2 2 2 2" xfId="39789" xr:uid="{00000000-0005-0000-0000-0000ED360000}"/>
    <cellStyle name="40% - Accent1 4 5 2 2 3" xfId="29549" xr:uid="{00000000-0005-0000-0000-0000EE360000}"/>
    <cellStyle name="40% - Accent1 4 5 2 3" xfId="14189" xr:uid="{00000000-0005-0000-0000-0000EF360000}"/>
    <cellStyle name="40% - Accent1 4 5 2 3 2" xfId="34669" xr:uid="{00000000-0005-0000-0000-0000F0360000}"/>
    <cellStyle name="40% - Accent1 4 5 2 4" xfId="24429" xr:uid="{00000000-0005-0000-0000-0000F1360000}"/>
    <cellStyle name="40% - Accent1 4 5 3" xfId="6509" xr:uid="{00000000-0005-0000-0000-0000F2360000}"/>
    <cellStyle name="40% - Accent1 4 5 3 2" xfId="16749" xr:uid="{00000000-0005-0000-0000-0000F3360000}"/>
    <cellStyle name="40% - Accent1 4 5 3 2 2" xfId="37229" xr:uid="{00000000-0005-0000-0000-0000F4360000}"/>
    <cellStyle name="40% - Accent1 4 5 3 3" xfId="26989" xr:uid="{00000000-0005-0000-0000-0000F5360000}"/>
    <cellStyle name="40% - Accent1 4 5 4" xfId="11629" xr:uid="{00000000-0005-0000-0000-0000F6360000}"/>
    <cellStyle name="40% - Accent1 4 5 4 2" xfId="32109" xr:uid="{00000000-0005-0000-0000-0000F7360000}"/>
    <cellStyle name="40% - Accent1 4 5 5" xfId="21869" xr:uid="{00000000-0005-0000-0000-0000F8360000}"/>
    <cellStyle name="40% - Accent1 4 6" xfId="2669" xr:uid="{00000000-0005-0000-0000-0000F9360000}"/>
    <cellStyle name="40% - Accent1 4 6 2" xfId="7789" xr:uid="{00000000-0005-0000-0000-0000FA360000}"/>
    <cellStyle name="40% - Accent1 4 6 2 2" xfId="18029" xr:uid="{00000000-0005-0000-0000-0000FB360000}"/>
    <cellStyle name="40% - Accent1 4 6 2 2 2" xfId="38509" xr:uid="{00000000-0005-0000-0000-0000FC360000}"/>
    <cellStyle name="40% - Accent1 4 6 2 3" xfId="28269" xr:uid="{00000000-0005-0000-0000-0000FD360000}"/>
    <cellStyle name="40% - Accent1 4 6 3" xfId="12909" xr:uid="{00000000-0005-0000-0000-0000FE360000}"/>
    <cellStyle name="40% - Accent1 4 6 3 2" xfId="33389" xr:uid="{00000000-0005-0000-0000-0000FF360000}"/>
    <cellStyle name="40% - Accent1 4 6 4" xfId="23149" xr:uid="{00000000-0005-0000-0000-000000370000}"/>
    <cellStyle name="40% - Accent1 4 7" xfId="5229" xr:uid="{00000000-0005-0000-0000-000001370000}"/>
    <cellStyle name="40% - Accent1 4 7 2" xfId="15469" xr:uid="{00000000-0005-0000-0000-000002370000}"/>
    <cellStyle name="40% - Accent1 4 7 2 2" xfId="35949" xr:uid="{00000000-0005-0000-0000-000003370000}"/>
    <cellStyle name="40% - Accent1 4 7 3" xfId="25709" xr:uid="{00000000-0005-0000-0000-000004370000}"/>
    <cellStyle name="40% - Accent1 4 8" xfId="10349" xr:uid="{00000000-0005-0000-0000-000005370000}"/>
    <cellStyle name="40% - Accent1 4 8 2" xfId="30829" xr:uid="{00000000-0005-0000-0000-000006370000}"/>
    <cellStyle name="40% - Accent1 4 9" xfId="20589" xr:uid="{00000000-0005-0000-0000-000007370000}"/>
    <cellStyle name="40% - Accent1 5" xfId="189" xr:uid="{00000000-0005-0000-0000-000008370000}"/>
    <cellStyle name="40% - Accent1 5 2" xfId="509" xr:uid="{00000000-0005-0000-0000-000009370000}"/>
    <cellStyle name="40% - Accent1 5 2 2" xfId="1149" xr:uid="{00000000-0005-0000-0000-00000A370000}"/>
    <cellStyle name="40% - Accent1 5 2 2 2" xfId="2429" xr:uid="{00000000-0005-0000-0000-00000B370000}"/>
    <cellStyle name="40% - Accent1 5 2 2 2 2" xfId="4989" xr:uid="{00000000-0005-0000-0000-00000C370000}"/>
    <cellStyle name="40% - Accent1 5 2 2 2 2 2" xfId="10109" xr:uid="{00000000-0005-0000-0000-00000D370000}"/>
    <cellStyle name="40% - Accent1 5 2 2 2 2 2 2" xfId="20349" xr:uid="{00000000-0005-0000-0000-00000E370000}"/>
    <cellStyle name="40% - Accent1 5 2 2 2 2 2 2 2" xfId="40829" xr:uid="{00000000-0005-0000-0000-00000F370000}"/>
    <cellStyle name="40% - Accent1 5 2 2 2 2 2 3" xfId="30589" xr:uid="{00000000-0005-0000-0000-000010370000}"/>
    <cellStyle name="40% - Accent1 5 2 2 2 2 3" xfId="15229" xr:uid="{00000000-0005-0000-0000-000011370000}"/>
    <cellStyle name="40% - Accent1 5 2 2 2 2 3 2" xfId="35709" xr:uid="{00000000-0005-0000-0000-000012370000}"/>
    <cellStyle name="40% - Accent1 5 2 2 2 2 4" xfId="25469" xr:uid="{00000000-0005-0000-0000-000013370000}"/>
    <cellStyle name="40% - Accent1 5 2 2 2 3" xfId="7549" xr:uid="{00000000-0005-0000-0000-000014370000}"/>
    <cellStyle name="40% - Accent1 5 2 2 2 3 2" xfId="17789" xr:uid="{00000000-0005-0000-0000-000015370000}"/>
    <cellStyle name="40% - Accent1 5 2 2 2 3 2 2" xfId="38269" xr:uid="{00000000-0005-0000-0000-000016370000}"/>
    <cellStyle name="40% - Accent1 5 2 2 2 3 3" xfId="28029" xr:uid="{00000000-0005-0000-0000-000017370000}"/>
    <cellStyle name="40% - Accent1 5 2 2 2 4" xfId="12669" xr:uid="{00000000-0005-0000-0000-000018370000}"/>
    <cellStyle name="40% - Accent1 5 2 2 2 4 2" xfId="33149" xr:uid="{00000000-0005-0000-0000-000019370000}"/>
    <cellStyle name="40% - Accent1 5 2 2 2 5" xfId="22909" xr:uid="{00000000-0005-0000-0000-00001A370000}"/>
    <cellStyle name="40% - Accent1 5 2 2 3" xfId="3709" xr:uid="{00000000-0005-0000-0000-00001B370000}"/>
    <cellStyle name="40% - Accent1 5 2 2 3 2" xfId="8829" xr:uid="{00000000-0005-0000-0000-00001C370000}"/>
    <cellStyle name="40% - Accent1 5 2 2 3 2 2" xfId="19069" xr:uid="{00000000-0005-0000-0000-00001D370000}"/>
    <cellStyle name="40% - Accent1 5 2 2 3 2 2 2" xfId="39549" xr:uid="{00000000-0005-0000-0000-00001E370000}"/>
    <cellStyle name="40% - Accent1 5 2 2 3 2 3" xfId="29309" xr:uid="{00000000-0005-0000-0000-00001F370000}"/>
    <cellStyle name="40% - Accent1 5 2 2 3 3" xfId="13949" xr:uid="{00000000-0005-0000-0000-000020370000}"/>
    <cellStyle name="40% - Accent1 5 2 2 3 3 2" xfId="34429" xr:uid="{00000000-0005-0000-0000-000021370000}"/>
    <cellStyle name="40% - Accent1 5 2 2 3 4" xfId="24189" xr:uid="{00000000-0005-0000-0000-000022370000}"/>
    <cellStyle name="40% - Accent1 5 2 2 4" xfId="6269" xr:uid="{00000000-0005-0000-0000-000023370000}"/>
    <cellStyle name="40% - Accent1 5 2 2 4 2" xfId="16509" xr:uid="{00000000-0005-0000-0000-000024370000}"/>
    <cellStyle name="40% - Accent1 5 2 2 4 2 2" xfId="36989" xr:uid="{00000000-0005-0000-0000-000025370000}"/>
    <cellStyle name="40% - Accent1 5 2 2 4 3" xfId="26749" xr:uid="{00000000-0005-0000-0000-000026370000}"/>
    <cellStyle name="40% - Accent1 5 2 2 5" xfId="11389" xr:uid="{00000000-0005-0000-0000-000027370000}"/>
    <cellStyle name="40% - Accent1 5 2 2 5 2" xfId="31869" xr:uid="{00000000-0005-0000-0000-000028370000}"/>
    <cellStyle name="40% - Accent1 5 2 2 6" xfId="21629" xr:uid="{00000000-0005-0000-0000-000029370000}"/>
    <cellStyle name="40% - Accent1 5 2 3" xfId="1789" xr:uid="{00000000-0005-0000-0000-00002A370000}"/>
    <cellStyle name="40% - Accent1 5 2 3 2" xfId="4349" xr:uid="{00000000-0005-0000-0000-00002B370000}"/>
    <cellStyle name="40% - Accent1 5 2 3 2 2" xfId="9469" xr:uid="{00000000-0005-0000-0000-00002C370000}"/>
    <cellStyle name="40% - Accent1 5 2 3 2 2 2" xfId="19709" xr:uid="{00000000-0005-0000-0000-00002D370000}"/>
    <cellStyle name="40% - Accent1 5 2 3 2 2 2 2" xfId="40189" xr:uid="{00000000-0005-0000-0000-00002E370000}"/>
    <cellStyle name="40% - Accent1 5 2 3 2 2 3" xfId="29949" xr:uid="{00000000-0005-0000-0000-00002F370000}"/>
    <cellStyle name="40% - Accent1 5 2 3 2 3" xfId="14589" xr:uid="{00000000-0005-0000-0000-000030370000}"/>
    <cellStyle name="40% - Accent1 5 2 3 2 3 2" xfId="35069" xr:uid="{00000000-0005-0000-0000-000031370000}"/>
    <cellStyle name="40% - Accent1 5 2 3 2 4" xfId="24829" xr:uid="{00000000-0005-0000-0000-000032370000}"/>
    <cellStyle name="40% - Accent1 5 2 3 3" xfId="6909" xr:uid="{00000000-0005-0000-0000-000033370000}"/>
    <cellStyle name="40% - Accent1 5 2 3 3 2" xfId="17149" xr:uid="{00000000-0005-0000-0000-000034370000}"/>
    <cellStyle name="40% - Accent1 5 2 3 3 2 2" xfId="37629" xr:uid="{00000000-0005-0000-0000-000035370000}"/>
    <cellStyle name="40% - Accent1 5 2 3 3 3" xfId="27389" xr:uid="{00000000-0005-0000-0000-000036370000}"/>
    <cellStyle name="40% - Accent1 5 2 3 4" xfId="12029" xr:uid="{00000000-0005-0000-0000-000037370000}"/>
    <cellStyle name="40% - Accent1 5 2 3 4 2" xfId="32509" xr:uid="{00000000-0005-0000-0000-000038370000}"/>
    <cellStyle name="40% - Accent1 5 2 3 5" xfId="22269" xr:uid="{00000000-0005-0000-0000-000039370000}"/>
    <cellStyle name="40% - Accent1 5 2 4" xfId="3069" xr:uid="{00000000-0005-0000-0000-00003A370000}"/>
    <cellStyle name="40% - Accent1 5 2 4 2" xfId="8189" xr:uid="{00000000-0005-0000-0000-00003B370000}"/>
    <cellStyle name="40% - Accent1 5 2 4 2 2" xfId="18429" xr:uid="{00000000-0005-0000-0000-00003C370000}"/>
    <cellStyle name="40% - Accent1 5 2 4 2 2 2" xfId="38909" xr:uid="{00000000-0005-0000-0000-00003D370000}"/>
    <cellStyle name="40% - Accent1 5 2 4 2 3" xfId="28669" xr:uid="{00000000-0005-0000-0000-00003E370000}"/>
    <cellStyle name="40% - Accent1 5 2 4 3" xfId="13309" xr:uid="{00000000-0005-0000-0000-00003F370000}"/>
    <cellStyle name="40% - Accent1 5 2 4 3 2" xfId="33789" xr:uid="{00000000-0005-0000-0000-000040370000}"/>
    <cellStyle name="40% - Accent1 5 2 4 4" xfId="23549" xr:uid="{00000000-0005-0000-0000-000041370000}"/>
    <cellStyle name="40% - Accent1 5 2 5" xfId="5629" xr:uid="{00000000-0005-0000-0000-000042370000}"/>
    <cellStyle name="40% - Accent1 5 2 5 2" xfId="15869" xr:uid="{00000000-0005-0000-0000-000043370000}"/>
    <cellStyle name="40% - Accent1 5 2 5 2 2" xfId="36349" xr:uid="{00000000-0005-0000-0000-000044370000}"/>
    <cellStyle name="40% - Accent1 5 2 5 3" xfId="26109" xr:uid="{00000000-0005-0000-0000-000045370000}"/>
    <cellStyle name="40% - Accent1 5 2 6" xfId="10749" xr:uid="{00000000-0005-0000-0000-000046370000}"/>
    <cellStyle name="40% - Accent1 5 2 6 2" xfId="31229" xr:uid="{00000000-0005-0000-0000-000047370000}"/>
    <cellStyle name="40% - Accent1 5 2 7" xfId="20989" xr:uid="{00000000-0005-0000-0000-000048370000}"/>
    <cellStyle name="40% - Accent1 5 3" xfId="829" xr:uid="{00000000-0005-0000-0000-000049370000}"/>
    <cellStyle name="40% - Accent1 5 3 2" xfId="2109" xr:uid="{00000000-0005-0000-0000-00004A370000}"/>
    <cellStyle name="40% - Accent1 5 3 2 2" xfId="4669" xr:uid="{00000000-0005-0000-0000-00004B370000}"/>
    <cellStyle name="40% - Accent1 5 3 2 2 2" xfId="9789" xr:uid="{00000000-0005-0000-0000-00004C370000}"/>
    <cellStyle name="40% - Accent1 5 3 2 2 2 2" xfId="20029" xr:uid="{00000000-0005-0000-0000-00004D370000}"/>
    <cellStyle name="40% - Accent1 5 3 2 2 2 2 2" xfId="40509" xr:uid="{00000000-0005-0000-0000-00004E370000}"/>
    <cellStyle name="40% - Accent1 5 3 2 2 2 3" xfId="30269" xr:uid="{00000000-0005-0000-0000-00004F370000}"/>
    <cellStyle name="40% - Accent1 5 3 2 2 3" xfId="14909" xr:uid="{00000000-0005-0000-0000-000050370000}"/>
    <cellStyle name="40% - Accent1 5 3 2 2 3 2" xfId="35389" xr:uid="{00000000-0005-0000-0000-000051370000}"/>
    <cellStyle name="40% - Accent1 5 3 2 2 4" xfId="25149" xr:uid="{00000000-0005-0000-0000-000052370000}"/>
    <cellStyle name="40% - Accent1 5 3 2 3" xfId="7229" xr:uid="{00000000-0005-0000-0000-000053370000}"/>
    <cellStyle name="40% - Accent1 5 3 2 3 2" xfId="17469" xr:uid="{00000000-0005-0000-0000-000054370000}"/>
    <cellStyle name="40% - Accent1 5 3 2 3 2 2" xfId="37949" xr:uid="{00000000-0005-0000-0000-000055370000}"/>
    <cellStyle name="40% - Accent1 5 3 2 3 3" xfId="27709" xr:uid="{00000000-0005-0000-0000-000056370000}"/>
    <cellStyle name="40% - Accent1 5 3 2 4" xfId="12349" xr:uid="{00000000-0005-0000-0000-000057370000}"/>
    <cellStyle name="40% - Accent1 5 3 2 4 2" xfId="32829" xr:uid="{00000000-0005-0000-0000-000058370000}"/>
    <cellStyle name="40% - Accent1 5 3 2 5" xfId="22589" xr:uid="{00000000-0005-0000-0000-000059370000}"/>
    <cellStyle name="40% - Accent1 5 3 3" xfId="3389" xr:uid="{00000000-0005-0000-0000-00005A370000}"/>
    <cellStyle name="40% - Accent1 5 3 3 2" xfId="8509" xr:uid="{00000000-0005-0000-0000-00005B370000}"/>
    <cellStyle name="40% - Accent1 5 3 3 2 2" xfId="18749" xr:uid="{00000000-0005-0000-0000-00005C370000}"/>
    <cellStyle name="40% - Accent1 5 3 3 2 2 2" xfId="39229" xr:uid="{00000000-0005-0000-0000-00005D370000}"/>
    <cellStyle name="40% - Accent1 5 3 3 2 3" xfId="28989" xr:uid="{00000000-0005-0000-0000-00005E370000}"/>
    <cellStyle name="40% - Accent1 5 3 3 3" xfId="13629" xr:uid="{00000000-0005-0000-0000-00005F370000}"/>
    <cellStyle name="40% - Accent1 5 3 3 3 2" xfId="34109" xr:uid="{00000000-0005-0000-0000-000060370000}"/>
    <cellStyle name="40% - Accent1 5 3 3 4" xfId="23869" xr:uid="{00000000-0005-0000-0000-000061370000}"/>
    <cellStyle name="40% - Accent1 5 3 4" xfId="5949" xr:uid="{00000000-0005-0000-0000-000062370000}"/>
    <cellStyle name="40% - Accent1 5 3 4 2" xfId="16189" xr:uid="{00000000-0005-0000-0000-000063370000}"/>
    <cellStyle name="40% - Accent1 5 3 4 2 2" xfId="36669" xr:uid="{00000000-0005-0000-0000-000064370000}"/>
    <cellStyle name="40% - Accent1 5 3 4 3" xfId="26429" xr:uid="{00000000-0005-0000-0000-000065370000}"/>
    <cellStyle name="40% - Accent1 5 3 5" xfId="11069" xr:uid="{00000000-0005-0000-0000-000066370000}"/>
    <cellStyle name="40% - Accent1 5 3 5 2" xfId="31549" xr:uid="{00000000-0005-0000-0000-000067370000}"/>
    <cellStyle name="40% - Accent1 5 3 6" xfId="21309" xr:uid="{00000000-0005-0000-0000-000068370000}"/>
    <cellStyle name="40% - Accent1 5 4" xfId="1469" xr:uid="{00000000-0005-0000-0000-000069370000}"/>
    <cellStyle name="40% - Accent1 5 4 2" xfId="4029" xr:uid="{00000000-0005-0000-0000-00006A370000}"/>
    <cellStyle name="40% - Accent1 5 4 2 2" xfId="9149" xr:uid="{00000000-0005-0000-0000-00006B370000}"/>
    <cellStyle name="40% - Accent1 5 4 2 2 2" xfId="19389" xr:uid="{00000000-0005-0000-0000-00006C370000}"/>
    <cellStyle name="40% - Accent1 5 4 2 2 2 2" xfId="39869" xr:uid="{00000000-0005-0000-0000-00006D370000}"/>
    <cellStyle name="40% - Accent1 5 4 2 2 3" xfId="29629" xr:uid="{00000000-0005-0000-0000-00006E370000}"/>
    <cellStyle name="40% - Accent1 5 4 2 3" xfId="14269" xr:uid="{00000000-0005-0000-0000-00006F370000}"/>
    <cellStyle name="40% - Accent1 5 4 2 3 2" xfId="34749" xr:uid="{00000000-0005-0000-0000-000070370000}"/>
    <cellStyle name="40% - Accent1 5 4 2 4" xfId="24509" xr:uid="{00000000-0005-0000-0000-000071370000}"/>
    <cellStyle name="40% - Accent1 5 4 3" xfId="6589" xr:uid="{00000000-0005-0000-0000-000072370000}"/>
    <cellStyle name="40% - Accent1 5 4 3 2" xfId="16829" xr:uid="{00000000-0005-0000-0000-000073370000}"/>
    <cellStyle name="40% - Accent1 5 4 3 2 2" xfId="37309" xr:uid="{00000000-0005-0000-0000-000074370000}"/>
    <cellStyle name="40% - Accent1 5 4 3 3" xfId="27069" xr:uid="{00000000-0005-0000-0000-000075370000}"/>
    <cellStyle name="40% - Accent1 5 4 4" xfId="11709" xr:uid="{00000000-0005-0000-0000-000076370000}"/>
    <cellStyle name="40% - Accent1 5 4 4 2" xfId="32189" xr:uid="{00000000-0005-0000-0000-000077370000}"/>
    <cellStyle name="40% - Accent1 5 4 5" xfId="21949" xr:uid="{00000000-0005-0000-0000-000078370000}"/>
    <cellStyle name="40% - Accent1 5 5" xfId="2749" xr:uid="{00000000-0005-0000-0000-000079370000}"/>
    <cellStyle name="40% - Accent1 5 5 2" xfId="7869" xr:uid="{00000000-0005-0000-0000-00007A370000}"/>
    <cellStyle name="40% - Accent1 5 5 2 2" xfId="18109" xr:uid="{00000000-0005-0000-0000-00007B370000}"/>
    <cellStyle name="40% - Accent1 5 5 2 2 2" xfId="38589" xr:uid="{00000000-0005-0000-0000-00007C370000}"/>
    <cellStyle name="40% - Accent1 5 5 2 3" xfId="28349" xr:uid="{00000000-0005-0000-0000-00007D370000}"/>
    <cellStyle name="40% - Accent1 5 5 3" xfId="12989" xr:uid="{00000000-0005-0000-0000-00007E370000}"/>
    <cellStyle name="40% - Accent1 5 5 3 2" xfId="33469" xr:uid="{00000000-0005-0000-0000-00007F370000}"/>
    <cellStyle name="40% - Accent1 5 5 4" xfId="23229" xr:uid="{00000000-0005-0000-0000-000080370000}"/>
    <cellStyle name="40% - Accent1 5 6" xfId="5309" xr:uid="{00000000-0005-0000-0000-000081370000}"/>
    <cellStyle name="40% - Accent1 5 6 2" xfId="15549" xr:uid="{00000000-0005-0000-0000-000082370000}"/>
    <cellStyle name="40% - Accent1 5 6 2 2" xfId="36029" xr:uid="{00000000-0005-0000-0000-000083370000}"/>
    <cellStyle name="40% - Accent1 5 6 3" xfId="25789" xr:uid="{00000000-0005-0000-0000-000084370000}"/>
    <cellStyle name="40% - Accent1 5 7" xfId="10429" xr:uid="{00000000-0005-0000-0000-000085370000}"/>
    <cellStyle name="40% - Accent1 5 7 2" xfId="30909" xr:uid="{00000000-0005-0000-0000-000086370000}"/>
    <cellStyle name="40% - Accent1 5 8" xfId="20669" xr:uid="{00000000-0005-0000-0000-000087370000}"/>
    <cellStyle name="40% - Accent1 6" xfId="349" xr:uid="{00000000-0005-0000-0000-000088370000}"/>
    <cellStyle name="40% - Accent1 6 2" xfId="989" xr:uid="{00000000-0005-0000-0000-000089370000}"/>
    <cellStyle name="40% - Accent1 6 2 2" xfId="2269" xr:uid="{00000000-0005-0000-0000-00008A370000}"/>
    <cellStyle name="40% - Accent1 6 2 2 2" xfId="4829" xr:uid="{00000000-0005-0000-0000-00008B370000}"/>
    <cellStyle name="40% - Accent1 6 2 2 2 2" xfId="9949" xr:uid="{00000000-0005-0000-0000-00008C370000}"/>
    <cellStyle name="40% - Accent1 6 2 2 2 2 2" xfId="20189" xr:uid="{00000000-0005-0000-0000-00008D370000}"/>
    <cellStyle name="40% - Accent1 6 2 2 2 2 2 2" xfId="40669" xr:uid="{00000000-0005-0000-0000-00008E370000}"/>
    <cellStyle name="40% - Accent1 6 2 2 2 2 3" xfId="30429" xr:uid="{00000000-0005-0000-0000-00008F370000}"/>
    <cellStyle name="40% - Accent1 6 2 2 2 3" xfId="15069" xr:uid="{00000000-0005-0000-0000-000090370000}"/>
    <cellStyle name="40% - Accent1 6 2 2 2 3 2" xfId="35549" xr:uid="{00000000-0005-0000-0000-000091370000}"/>
    <cellStyle name="40% - Accent1 6 2 2 2 4" xfId="25309" xr:uid="{00000000-0005-0000-0000-000092370000}"/>
    <cellStyle name="40% - Accent1 6 2 2 3" xfId="7389" xr:uid="{00000000-0005-0000-0000-000093370000}"/>
    <cellStyle name="40% - Accent1 6 2 2 3 2" xfId="17629" xr:uid="{00000000-0005-0000-0000-000094370000}"/>
    <cellStyle name="40% - Accent1 6 2 2 3 2 2" xfId="38109" xr:uid="{00000000-0005-0000-0000-000095370000}"/>
    <cellStyle name="40% - Accent1 6 2 2 3 3" xfId="27869" xr:uid="{00000000-0005-0000-0000-000096370000}"/>
    <cellStyle name="40% - Accent1 6 2 2 4" xfId="12509" xr:uid="{00000000-0005-0000-0000-000097370000}"/>
    <cellStyle name="40% - Accent1 6 2 2 4 2" xfId="32989" xr:uid="{00000000-0005-0000-0000-000098370000}"/>
    <cellStyle name="40% - Accent1 6 2 2 5" xfId="22749" xr:uid="{00000000-0005-0000-0000-000099370000}"/>
    <cellStyle name="40% - Accent1 6 2 3" xfId="3549" xr:uid="{00000000-0005-0000-0000-00009A370000}"/>
    <cellStyle name="40% - Accent1 6 2 3 2" xfId="8669" xr:uid="{00000000-0005-0000-0000-00009B370000}"/>
    <cellStyle name="40% - Accent1 6 2 3 2 2" xfId="18909" xr:uid="{00000000-0005-0000-0000-00009C370000}"/>
    <cellStyle name="40% - Accent1 6 2 3 2 2 2" xfId="39389" xr:uid="{00000000-0005-0000-0000-00009D370000}"/>
    <cellStyle name="40% - Accent1 6 2 3 2 3" xfId="29149" xr:uid="{00000000-0005-0000-0000-00009E370000}"/>
    <cellStyle name="40% - Accent1 6 2 3 3" xfId="13789" xr:uid="{00000000-0005-0000-0000-00009F370000}"/>
    <cellStyle name="40% - Accent1 6 2 3 3 2" xfId="34269" xr:uid="{00000000-0005-0000-0000-0000A0370000}"/>
    <cellStyle name="40% - Accent1 6 2 3 4" xfId="24029" xr:uid="{00000000-0005-0000-0000-0000A1370000}"/>
    <cellStyle name="40% - Accent1 6 2 4" xfId="6109" xr:uid="{00000000-0005-0000-0000-0000A2370000}"/>
    <cellStyle name="40% - Accent1 6 2 4 2" xfId="16349" xr:uid="{00000000-0005-0000-0000-0000A3370000}"/>
    <cellStyle name="40% - Accent1 6 2 4 2 2" xfId="36829" xr:uid="{00000000-0005-0000-0000-0000A4370000}"/>
    <cellStyle name="40% - Accent1 6 2 4 3" xfId="26589" xr:uid="{00000000-0005-0000-0000-0000A5370000}"/>
    <cellStyle name="40% - Accent1 6 2 5" xfId="11229" xr:uid="{00000000-0005-0000-0000-0000A6370000}"/>
    <cellStyle name="40% - Accent1 6 2 5 2" xfId="31709" xr:uid="{00000000-0005-0000-0000-0000A7370000}"/>
    <cellStyle name="40% - Accent1 6 2 6" xfId="21469" xr:uid="{00000000-0005-0000-0000-0000A8370000}"/>
    <cellStyle name="40% - Accent1 6 3" xfId="1629" xr:uid="{00000000-0005-0000-0000-0000A9370000}"/>
    <cellStyle name="40% - Accent1 6 3 2" xfId="4189" xr:uid="{00000000-0005-0000-0000-0000AA370000}"/>
    <cellStyle name="40% - Accent1 6 3 2 2" xfId="9309" xr:uid="{00000000-0005-0000-0000-0000AB370000}"/>
    <cellStyle name="40% - Accent1 6 3 2 2 2" xfId="19549" xr:uid="{00000000-0005-0000-0000-0000AC370000}"/>
    <cellStyle name="40% - Accent1 6 3 2 2 2 2" xfId="40029" xr:uid="{00000000-0005-0000-0000-0000AD370000}"/>
    <cellStyle name="40% - Accent1 6 3 2 2 3" xfId="29789" xr:uid="{00000000-0005-0000-0000-0000AE370000}"/>
    <cellStyle name="40% - Accent1 6 3 2 3" xfId="14429" xr:uid="{00000000-0005-0000-0000-0000AF370000}"/>
    <cellStyle name="40% - Accent1 6 3 2 3 2" xfId="34909" xr:uid="{00000000-0005-0000-0000-0000B0370000}"/>
    <cellStyle name="40% - Accent1 6 3 2 4" xfId="24669" xr:uid="{00000000-0005-0000-0000-0000B1370000}"/>
    <cellStyle name="40% - Accent1 6 3 3" xfId="6749" xr:uid="{00000000-0005-0000-0000-0000B2370000}"/>
    <cellStyle name="40% - Accent1 6 3 3 2" xfId="16989" xr:uid="{00000000-0005-0000-0000-0000B3370000}"/>
    <cellStyle name="40% - Accent1 6 3 3 2 2" xfId="37469" xr:uid="{00000000-0005-0000-0000-0000B4370000}"/>
    <cellStyle name="40% - Accent1 6 3 3 3" xfId="27229" xr:uid="{00000000-0005-0000-0000-0000B5370000}"/>
    <cellStyle name="40% - Accent1 6 3 4" xfId="11869" xr:uid="{00000000-0005-0000-0000-0000B6370000}"/>
    <cellStyle name="40% - Accent1 6 3 4 2" xfId="32349" xr:uid="{00000000-0005-0000-0000-0000B7370000}"/>
    <cellStyle name="40% - Accent1 6 3 5" xfId="22109" xr:uid="{00000000-0005-0000-0000-0000B8370000}"/>
    <cellStyle name="40% - Accent1 6 4" xfId="2909" xr:uid="{00000000-0005-0000-0000-0000B9370000}"/>
    <cellStyle name="40% - Accent1 6 4 2" xfId="8029" xr:uid="{00000000-0005-0000-0000-0000BA370000}"/>
    <cellStyle name="40% - Accent1 6 4 2 2" xfId="18269" xr:uid="{00000000-0005-0000-0000-0000BB370000}"/>
    <cellStyle name="40% - Accent1 6 4 2 2 2" xfId="38749" xr:uid="{00000000-0005-0000-0000-0000BC370000}"/>
    <cellStyle name="40% - Accent1 6 4 2 3" xfId="28509" xr:uid="{00000000-0005-0000-0000-0000BD370000}"/>
    <cellStyle name="40% - Accent1 6 4 3" xfId="13149" xr:uid="{00000000-0005-0000-0000-0000BE370000}"/>
    <cellStyle name="40% - Accent1 6 4 3 2" xfId="33629" xr:uid="{00000000-0005-0000-0000-0000BF370000}"/>
    <cellStyle name="40% - Accent1 6 4 4" xfId="23389" xr:uid="{00000000-0005-0000-0000-0000C0370000}"/>
    <cellStyle name="40% - Accent1 6 5" xfId="5469" xr:uid="{00000000-0005-0000-0000-0000C1370000}"/>
    <cellStyle name="40% - Accent1 6 5 2" xfId="15709" xr:uid="{00000000-0005-0000-0000-0000C2370000}"/>
    <cellStyle name="40% - Accent1 6 5 2 2" xfId="36189" xr:uid="{00000000-0005-0000-0000-0000C3370000}"/>
    <cellStyle name="40% - Accent1 6 5 3" xfId="25949" xr:uid="{00000000-0005-0000-0000-0000C4370000}"/>
    <cellStyle name="40% - Accent1 6 6" xfId="10589" xr:uid="{00000000-0005-0000-0000-0000C5370000}"/>
    <cellStyle name="40% - Accent1 6 6 2" xfId="31069" xr:uid="{00000000-0005-0000-0000-0000C6370000}"/>
    <cellStyle name="40% - Accent1 6 7" xfId="20829" xr:uid="{00000000-0005-0000-0000-0000C7370000}"/>
    <cellStyle name="40% - Accent1 7" xfId="669" xr:uid="{00000000-0005-0000-0000-0000C8370000}"/>
    <cellStyle name="40% - Accent1 7 2" xfId="1949" xr:uid="{00000000-0005-0000-0000-0000C9370000}"/>
    <cellStyle name="40% - Accent1 7 2 2" xfId="4509" xr:uid="{00000000-0005-0000-0000-0000CA370000}"/>
    <cellStyle name="40% - Accent1 7 2 2 2" xfId="9629" xr:uid="{00000000-0005-0000-0000-0000CB370000}"/>
    <cellStyle name="40% - Accent1 7 2 2 2 2" xfId="19869" xr:uid="{00000000-0005-0000-0000-0000CC370000}"/>
    <cellStyle name="40% - Accent1 7 2 2 2 2 2" xfId="40349" xr:uid="{00000000-0005-0000-0000-0000CD370000}"/>
    <cellStyle name="40% - Accent1 7 2 2 2 3" xfId="30109" xr:uid="{00000000-0005-0000-0000-0000CE370000}"/>
    <cellStyle name="40% - Accent1 7 2 2 3" xfId="14749" xr:uid="{00000000-0005-0000-0000-0000CF370000}"/>
    <cellStyle name="40% - Accent1 7 2 2 3 2" xfId="35229" xr:uid="{00000000-0005-0000-0000-0000D0370000}"/>
    <cellStyle name="40% - Accent1 7 2 2 4" xfId="24989" xr:uid="{00000000-0005-0000-0000-0000D1370000}"/>
    <cellStyle name="40% - Accent1 7 2 3" xfId="7069" xr:uid="{00000000-0005-0000-0000-0000D2370000}"/>
    <cellStyle name="40% - Accent1 7 2 3 2" xfId="17309" xr:uid="{00000000-0005-0000-0000-0000D3370000}"/>
    <cellStyle name="40% - Accent1 7 2 3 2 2" xfId="37789" xr:uid="{00000000-0005-0000-0000-0000D4370000}"/>
    <cellStyle name="40% - Accent1 7 2 3 3" xfId="27549" xr:uid="{00000000-0005-0000-0000-0000D5370000}"/>
    <cellStyle name="40% - Accent1 7 2 4" xfId="12189" xr:uid="{00000000-0005-0000-0000-0000D6370000}"/>
    <cellStyle name="40% - Accent1 7 2 4 2" xfId="32669" xr:uid="{00000000-0005-0000-0000-0000D7370000}"/>
    <cellStyle name="40% - Accent1 7 2 5" xfId="22429" xr:uid="{00000000-0005-0000-0000-0000D8370000}"/>
    <cellStyle name="40% - Accent1 7 3" xfId="3229" xr:uid="{00000000-0005-0000-0000-0000D9370000}"/>
    <cellStyle name="40% - Accent1 7 3 2" xfId="8349" xr:uid="{00000000-0005-0000-0000-0000DA370000}"/>
    <cellStyle name="40% - Accent1 7 3 2 2" xfId="18589" xr:uid="{00000000-0005-0000-0000-0000DB370000}"/>
    <cellStyle name="40% - Accent1 7 3 2 2 2" xfId="39069" xr:uid="{00000000-0005-0000-0000-0000DC370000}"/>
    <cellStyle name="40% - Accent1 7 3 2 3" xfId="28829" xr:uid="{00000000-0005-0000-0000-0000DD370000}"/>
    <cellStyle name="40% - Accent1 7 3 3" xfId="13469" xr:uid="{00000000-0005-0000-0000-0000DE370000}"/>
    <cellStyle name="40% - Accent1 7 3 3 2" xfId="33949" xr:uid="{00000000-0005-0000-0000-0000DF370000}"/>
    <cellStyle name="40% - Accent1 7 3 4" xfId="23709" xr:uid="{00000000-0005-0000-0000-0000E0370000}"/>
    <cellStyle name="40% - Accent1 7 4" xfId="5789" xr:uid="{00000000-0005-0000-0000-0000E1370000}"/>
    <cellStyle name="40% - Accent1 7 4 2" xfId="16029" xr:uid="{00000000-0005-0000-0000-0000E2370000}"/>
    <cellStyle name="40% - Accent1 7 4 2 2" xfId="36509" xr:uid="{00000000-0005-0000-0000-0000E3370000}"/>
    <cellStyle name="40% - Accent1 7 4 3" xfId="26269" xr:uid="{00000000-0005-0000-0000-0000E4370000}"/>
    <cellStyle name="40% - Accent1 7 5" xfId="10909" xr:uid="{00000000-0005-0000-0000-0000E5370000}"/>
    <cellStyle name="40% - Accent1 7 5 2" xfId="31389" xr:uid="{00000000-0005-0000-0000-0000E6370000}"/>
    <cellStyle name="40% - Accent1 7 6" xfId="21149" xr:uid="{00000000-0005-0000-0000-0000E7370000}"/>
    <cellStyle name="40% - Accent1 8" xfId="1309" xr:uid="{00000000-0005-0000-0000-0000E8370000}"/>
    <cellStyle name="40% - Accent1 8 2" xfId="3869" xr:uid="{00000000-0005-0000-0000-0000E9370000}"/>
    <cellStyle name="40% - Accent1 8 2 2" xfId="8989" xr:uid="{00000000-0005-0000-0000-0000EA370000}"/>
    <cellStyle name="40% - Accent1 8 2 2 2" xfId="19229" xr:uid="{00000000-0005-0000-0000-0000EB370000}"/>
    <cellStyle name="40% - Accent1 8 2 2 2 2" xfId="39709" xr:uid="{00000000-0005-0000-0000-0000EC370000}"/>
    <cellStyle name="40% - Accent1 8 2 2 3" xfId="29469" xr:uid="{00000000-0005-0000-0000-0000ED370000}"/>
    <cellStyle name="40% - Accent1 8 2 3" xfId="14109" xr:uid="{00000000-0005-0000-0000-0000EE370000}"/>
    <cellStyle name="40% - Accent1 8 2 3 2" xfId="34589" xr:uid="{00000000-0005-0000-0000-0000EF370000}"/>
    <cellStyle name="40% - Accent1 8 2 4" xfId="24349" xr:uid="{00000000-0005-0000-0000-0000F0370000}"/>
    <cellStyle name="40% - Accent1 8 3" xfId="6429" xr:uid="{00000000-0005-0000-0000-0000F1370000}"/>
    <cellStyle name="40% - Accent1 8 3 2" xfId="16669" xr:uid="{00000000-0005-0000-0000-0000F2370000}"/>
    <cellStyle name="40% - Accent1 8 3 2 2" xfId="37149" xr:uid="{00000000-0005-0000-0000-0000F3370000}"/>
    <cellStyle name="40% - Accent1 8 3 3" xfId="26909" xr:uid="{00000000-0005-0000-0000-0000F4370000}"/>
    <cellStyle name="40% - Accent1 8 4" xfId="11549" xr:uid="{00000000-0005-0000-0000-0000F5370000}"/>
    <cellStyle name="40% - Accent1 8 4 2" xfId="32029" xr:uid="{00000000-0005-0000-0000-0000F6370000}"/>
    <cellStyle name="40% - Accent1 8 5" xfId="21789" xr:uid="{00000000-0005-0000-0000-0000F7370000}"/>
    <cellStyle name="40% - Accent1 9" xfId="2589" xr:uid="{00000000-0005-0000-0000-0000F8370000}"/>
    <cellStyle name="40% - Accent1 9 2" xfId="7709" xr:uid="{00000000-0005-0000-0000-0000F9370000}"/>
    <cellStyle name="40% - Accent1 9 2 2" xfId="17949" xr:uid="{00000000-0005-0000-0000-0000FA370000}"/>
    <cellStyle name="40% - Accent1 9 2 2 2" xfId="38429" xr:uid="{00000000-0005-0000-0000-0000FB370000}"/>
    <cellStyle name="40% - Accent1 9 2 3" xfId="28189" xr:uid="{00000000-0005-0000-0000-0000FC370000}"/>
    <cellStyle name="40% - Accent1 9 3" xfId="12829" xr:uid="{00000000-0005-0000-0000-0000FD370000}"/>
    <cellStyle name="40% - Accent1 9 3 2" xfId="33309" xr:uid="{00000000-0005-0000-0000-0000FE370000}"/>
    <cellStyle name="40% - Accent1 9 4" xfId="23069" xr:uid="{00000000-0005-0000-0000-0000FF370000}"/>
    <cellStyle name="40% - Accent2 10" xfId="5152" xr:uid="{00000000-0005-0000-0000-000000380000}"/>
    <cellStyle name="40% - Accent2 10 2" xfId="15392" xr:uid="{00000000-0005-0000-0000-000001380000}"/>
    <cellStyle name="40% - Accent2 10 2 2" xfId="35872" xr:uid="{00000000-0005-0000-0000-000002380000}"/>
    <cellStyle name="40% - Accent2 10 3" xfId="25632" xr:uid="{00000000-0005-0000-0000-000003380000}"/>
    <cellStyle name="40% - Accent2 11" xfId="10272" xr:uid="{00000000-0005-0000-0000-000004380000}"/>
    <cellStyle name="40% - Accent2 11 2" xfId="30752" xr:uid="{00000000-0005-0000-0000-000005380000}"/>
    <cellStyle name="40% - Accent2 12" xfId="20512" xr:uid="{00000000-0005-0000-0000-000006380000}"/>
    <cellStyle name="40% - Accent2 13" xfId="28" xr:uid="{00000000-0005-0000-0000-000007380000}"/>
    <cellStyle name="40% - Accent2 2" xfId="52" xr:uid="{00000000-0005-0000-0000-000008380000}"/>
    <cellStyle name="40% - Accent2 2 10" xfId="10292" xr:uid="{00000000-0005-0000-0000-000009380000}"/>
    <cellStyle name="40% - Accent2 2 10 2" xfId="30772" xr:uid="{00000000-0005-0000-0000-00000A380000}"/>
    <cellStyle name="40% - Accent2 2 11" xfId="20532" xr:uid="{00000000-0005-0000-0000-00000B380000}"/>
    <cellStyle name="40% - Accent2 2 2" xfId="92" xr:uid="{00000000-0005-0000-0000-00000C380000}"/>
    <cellStyle name="40% - Accent2 2 2 10" xfId="20572" xr:uid="{00000000-0005-0000-0000-00000D380000}"/>
    <cellStyle name="40% - Accent2 2 2 2" xfId="172" xr:uid="{00000000-0005-0000-0000-00000E380000}"/>
    <cellStyle name="40% - Accent2 2 2 2 2" xfId="332" xr:uid="{00000000-0005-0000-0000-00000F380000}"/>
    <cellStyle name="40% - Accent2 2 2 2 2 2" xfId="652" xr:uid="{00000000-0005-0000-0000-000010380000}"/>
    <cellStyle name="40% - Accent2 2 2 2 2 2 2" xfId="1292" xr:uid="{00000000-0005-0000-0000-000011380000}"/>
    <cellStyle name="40% - Accent2 2 2 2 2 2 2 2" xfId="2572" xr:uid="{00000000-0005-0000-0000-000012380000}"/>
    <cellStyle name="40% - Accent2 2 2 2 2 2 2 2 2" xfId="5132" xr:uid="{00000000-0005-0000-0000-000013380000}"/>
    <cellStyle name="40% - Accent2 2 2 2 2 2 2 2 2 2" xfId="10252" xr:uid="{00000000-0005-0000-0000-000014380000}"/>
    <cellStyle name="40% - Accent2 2 2 2 2 2 2 2 2 2 2" xfId="20492" xr:uid="{00000000-0005-0000-0000-000015380000}"/>
    <cellStyle name="40% - Accent2 2 2 2 2 2 2 2 2 2 2 2" xfId="40972" xr:uid="{00000000-0005-0000-0000-000016380000}"/>
    <cellStyle name="40% - Accent2 2 2 2 2 2 2 2 2 2 3" xfId="30732" xr:uid="{00000000-0005-0000-0000-000017380000}"/>
    <cellStyle name="40% - Accent2 2 2 2 2 2 2 2 2 3" xfId="15372" xr:uid="{00000000-0005-0000-0000-000018380000}"/>
    <cellStyle name="40% - Accent2 2 2 2 2 2 2 2 2 3 2" xfId="35852" xr:uid="{00000000-0005-0000-0000-000019380000}"/>
    <cellStyle name="40% - Accent2 2 2 2 2 2 2 2 2 4" xfId="25612" xr:uid="{00000000-0005-0000-0000-00001A380000}"/>
    <cellStyle name="40% - Accent2 2 2 2 2 2 2 2 3" xfId="7692" xr:uid="{00000000-0005-0000-0000-00001B380000}"/>
    <cellStyle name="40% - Accent2 2 2 2 2 2 2 2 3 2" xfId="17932" xr:uid="{00000000-0005-0000-0000-00001C380000}"/>
    <cellStyle name="40% - Accent2 2 2 2 2 2 2 2 3 2 2" xfId="38412" xr:uid="{00000000-0005-0000-0000-00001D380000}"/>
    <cellStyle name="40% - Accent2 2 2 2 2 2 2 2 3 3" xfId="28172" xr:uid="{00000000-0005-0000-0000-00001E380000}"/>
    <cellStyle name="40% - Accent2 2 2 2 2 2 2 2 4" xfId="12812" xr:uid="{00000000-0005-0000-0000-00001F380000}"/>
    <cellStyle name="40% - Accent2 2 2 2 2 2 2 2 4 2" xfId="33292" xr:uid="{00000000-0005-0000-0000-000020380000}"/>
    <cellStyle name="40% - Accent2 2 2 2 2 2 2 2 5" xfId="23052" xr:uid="{00000000-0005-0000-0000-000021380000}"/>
    <cellStyle name="40% - Accent2 2 2 2 2 2 2 3" xfId="3852" xr:uid="{00000000-0005-0000-0000-000022380000}"/>
    <cellStyle name="40% - Accent2 2 2 2 2 2 2 3 2" xfId="8972" xr:uid="{00000000-0005-0000-0000-000023380000}"/>
    <cellStyle name="40% - Accent2 2 2 2 2 2 2 3 2 2" xfId="19212" xr:uid="{00000000-0005-0000-0000-000024380000}"/>
    <cellStyle name="40% - Accent2 2 2 2 2 2 2 3 2 2 2" xfId="39692" xr:uid="{00000000-0005-0000-0000-000025380000}"/>
    <cellStyle name="40% - Accent2 2 2 2 2 2 2 3 2 3" xfId="29452" xr:uid="{00000000-0005-0000-0000-000026380000}"/>
    <cellStyle name="40% - Accent2 2 2 2 2 2 2 3 3" xfId="14092" xr:uid="{00000000-0005-0000-0000-000027380000}"/>
    <cellStyle name="40% - Accent2 2 2 2 2 2 2 3 3 2" xfId="34572" xr:uid="{00000000-0005-0000-0000-000028380000}"/>
    <cellStyle name="40% - Accent2 2 2 2 2 2 2 3 4" xfId="24332" xr:uid="{00000000-0005-0000-0000-000029380000}"/>
    <cellStyle name="40% - Accent2 2 2 2 2 2 2 4" xfId="6412" xr:uid="{00000000-0005-0000-0000-00002A380000}"/>
    <cellStyle name="40% - Accent2 2 2 2 2 2 2 4 2" xfId="16652" xr:uid="{00000000-0005-0000-0000-00002B380000}"/>
    <cellStyle name="40% - Accent2 2 2 2 2 2 2 4 2 2" xfId="37132" xr:uid="{00000000-0005-0000-0000-00002C380000}"/>
    <cellStyle name="40% - Accent2 2 2 2 2 2 2 4 3" xfId="26892" xr:uid="{00000000-0005-0000-0000-00002D380000}"/>
    <cellStyle name="40% - Accent2 2 2 2 2 2 2 5" xfId="11532" xr:uid="{00000000-0005-0000-0000-00002E380000}"/>
    <cellStyle name="40% - Accent2 2 2 2 2 2 2 5 2" xfId="32012" xr:uid="{00000000-0005-0000-0000-00002F380000}"/>
    <cellStyle name="40% - Accent2 2 2 2 2 2 2 6" xfId="21772" xr:uid="{00000000-0005-0000-0000-000030380000}"/>
    <cellStyle name="40% - Accent2 2 2 2 2 2 3" xfId="1932" xr:uid="{00000000-0005-0000-0000-000031380000}"/>
    <cellStyle name="40% - Accent2 2 2 2 2 2 3 2" xfId="4492" xr:uid="{00000000-0005-0000-0000-000032380000}"/>
    <cellStyle name="40% - Accent2 2 2 2 2 2 3 2 2" xfId="9612" xr:uid="{00000000-0005-0000-0000-000033380000}"/>
    <cellStyle name="40% - Accent2 2 2 2 2 2 3 2 2 2" xfId="19852" xr:uid="{00000000-0005-0000-0000-000034380000}"/>
    <cellStyle name="40% - Accent2 2 2 2 2 2 3 2 2 2 2" xfId="40332" xr:uid="{00000000-0005-0000-0000-000035380000}"/>
    <cellStyle name="40% - Accent2 2 2 2 2 2 3 2 2 3" xfId="30092" xr:uid="{00000000-0005-0000-0000-000036380000}"/>
    <cellStyle name="40% - Accent2 2 2 2 2 2 3 2 3" xfId="14732" xr:uid="{00000000-0005-0000-0000-000037380000}"/>
    <cellStyle name="40% - Accent2 2 2 2 2 2 3 2 3 2" xfId="35212" xr:uid="{00000000-0005-0000-0000-000038380000}"/>
    <cellStyle name="40% - Accent2 2 2 2 2 2 3 2 4" xfId="24972" xr:uid="{00000000-0005-0000-0000-000039380000}"/>
    <cellStyle name="40% - Accent2 2 2 2 2 2 3 3" xfId="7052" xr:uid="{00000000-0005-0000-0000-00003A380000}"/>
    <cellStyle name="40% - Accent2 2 2 2 2 2 3 3 2" xfId="17292" xr:uid="{00000000-0005-0000-0000-00003B380000}"/>
    <cellStyle name="40% - Accent2 2 2 2 2 2 3 3 2 2" xfId="37772" xr:uid="{00000000-0005-0000-0000-00003C380000}"/>
    <cellStyle name="40% - Accent2 2 2 2 2 2 3 3 3" xfId="27532" xr:uid="{00000000-0005-0000-0000-00003D380000}"/>
    <cellStyle name="40% - Accent2 2 2 2 2 2 3 4" xfId="12172" xr:uid="{00000000-0005-0000-0000-00003E380000}"/>
    <cellStyle name="40% - Accent2 2 2 2 2 2 3 4 2" xfId="32652" xr:uid="{00000000-0005-0000-0000-00003F380000}"/>
    <cellStyle name="40% - Accent2 2 2 2 2 2 3 5" xfId="22412" xr:uid="{00000000-0005-0000-0000-000040380000}"/>
    <cellStyle name="40% - Accent2 2 2 2 2 2 4" xfId="3212" xr:uid="{00000000-0005-0000-0000-000041380000}"/>
    <cellStyle name="40% - Accent2 2 2 2 2 2 4 2" xfId="8332" xr:uid="{00000000-0005-0000-0000-000042380000}"/>
    <cellStyle name="40% - Accent2 2 2 2 2 2 4 2 2" xfId="18572" xr:uid="{00000000-0005-0000-0000-000043380000}"/>
    <cellStyle name="40% - Accent2 2 2 2 2 2 4 2 2 2" xfId="39052" xr:uid="{00000000-0005-0000-0000-000044380000}"/>
    <cellStyle name="40% - Accent2 2 2 2 2 2 4 2 3" xfId="28812" xr:uid="{00000000-0005-0000-0000-000045380000}"/>
    <cellStyle name="40% - Accent2 2 2 2 2 2 4 3" xfId="13452" xr:uid="{00000000-0005-0000-0000-000046380000}"/>
    <cellStyle name="40% - Accent2 2 2 2 2 2 4 3 2" xfId="33932" xr:uid="{00000000-0005-0000-0000-000047380000}"/>
    <cellStyle name="40% - Accent2 2 2 2 2 2 4 4" xfId="23692" xr:uid="{00000000-0005-0000-0000-000048380000}"/>
    <cellStyle name="40% - Accent2 2 2 2 2 2 5" xfId="5772" xr:uid="{00000000-0005-0000-0000-000049380000}"/>
    <cellStyle name="40% - Accent2 2 2 2 2 2 5 2" xfId="16012" xr:uid="{00000000-0005-0000-0000-00004A380000}"/>
    <cellStyle name="40% - Accent2 2 2 2 2 2 5 2 2" xfId="36492" xr:uid="{00000000-0005-0000-0000-00004B380000}"/>
    <cellStyle name="40% - Accent2 2 2 2 2 2 5 3" xfId="26252" xr:uid="{00000000-0005-0000-0000-00004C380000}"/>
    <cellStyle name="40% - Accent2 2 2 2 2 2 6" xfId="10892" xr:uid="{00000000-0005-0000-0000-00004D380000}"/>
    <cellStyle name="40% - Accent2 2 2 2 2 2 6 2" xfId="31372" xr:uid="{00000000-0005-0000-0000-00004E380000}"/>
    <cellStyle name="40% - Accent2 2 2 2 2 2 7" xfId="21132" xr:uid="{00000000-0005-0000-0000-00004F380000}"/>
    <cellStyle name="40% - Accent2 2 2 2 2 3" xfId="972" xr:uid="{00000000-0005-0000-0000-000050380000}"/>
    <cellStyle name="40% - Accent2 2 2 2 2 3 2" xfId="2252" xr:uid="{00000000-0005-0000-0000-000051380000}"/>
    <cellStyle name="40% - Accent2 2 2 2 2 3 2 2" xfId="4812" xr:uid="{00000000-0005-0000-0000-000052380000}"/>
    <cellStyle name="40% - Accent2 2 2 2 2 3 2 2 2" xfId="9932" xr:uid="{00000000-0005-0000-0000-000053380000}"/>
    <cellStyle name="40% - Accent2 2 2 2 2 3 2 2 2 2" xfId="20172" xr:uid="{00000000-0005-0000-0000-000054380000}"/>
    <cellStyle name="40% - Accent2 2 2 2 2 3 2 2 2 2 2" xfId="40652" xr:uid="{00000000-0005-0000-0000-000055380000}"/>
    <cellStyle name="40% - Accent2 2 2 2 2 3 2 2 2 3" xfId="30412" xr:uid="{00000000-0005-0000-0000-000056380000}"/>
    <cellStyle name="40% - Accent2 2 2 2 2 3 2 2 3" xfId="15052" xr:uid="{00000000-0005-0000-0000-000057380000}"/>
    <cellStyle name="40% - Accent2 2 2 2 2 3 2 2 3 2" xfId="35532" xr:uid="{00000000-0005-0000-0000-000058380000}"/>
    <cellStyle name="40% - Accent2 2 2 2 2 3 2 2 4" xfId="25292" xr:uid="{00000000-0005-0000-0000-000059380000}"/>
    <cellStyle name="40% - Accent2 2 2 2 2 3 2 3" xfId="7372" xr:uid="{00000000-0005-0000-0000-00005A380000}"/>
    <cellStyle name="40% - Accent2 2 2 2 2 3 2 3 2" xfId="17612" xr:uid="{00000000-0005-0000-0000-00005B380000}"/>
    <cellStyle name="40% - Accent2 2 2 2 2 3 2 3 2 2" xfId="38092" xr:uid="{00000000-0005-0000-0000-00005C380000}"/>
    <cellStyle name="40% - Accent2 2 2 2 2 3 2 3 3" xfId="27852" xr:uid="{00000000-0005-0000-0000-00005D380000}"/>
    <cellStyle name="40% - Accent2 2 2 2 2 3 2 4" xfId="12492" xr:uid="{00000000-0005-0000-0000-00005E380000}"/>
    <cellStyle name="40% - Accent2 2 2 2 2 3 2 4 2" xfId="32972" xr:uid="{00000000-0005-0000-0000-00005F380000}"/>
    <cellStyle name="40% - Accent2 2 2 2 2 3 2 5" xfId="22732" xr:uid="{00000000-0005-0000-0000-000060380000}"/>
    <cellStyle name="40% - Accent2 2 2 2 2 3 3" xfId="3532" xr:uid="{00000000-0005-0000-0000-000061380000}"/>
    <cellStyle name="40% - Accent2 2 2 2 2 3 3 2" xfId="8652" xr:uid="{00000000-0005-0000-0000-000062380000}"/>
    <cellStyle name="40% - Accent2 2 2 2 2 3 3 2 2" xfId="18892" xr:uid="{00000000-0005-0000-0000-000063380000}"/>
    <cellStyle name="40% - Accent2 2 2 2 2 3 3 2 2 2" xfId="39372" xr:uid="{00000000-0005-0000-0000-000064380000}"/>
    <cellStyle name="40% - Accent2 2 2 2 2 3 3 2 3" xfId="29132" xr:uid="{00000000-0005-0000-0000-000065380000}"/>
    <cellStyle name="40% - Accent2 2 2 2 2 3 3 3" xfId="13772" xr:uid="{00000000-0005-0000-0000-000066380000}"/>
    <cellStyle name="40% - Accent2 2 2 2 2 3 3 3 2" xfId="34252" xr:uid="{00000000-0005-0000-0000-000067380000}"/>
    <cellStyle name="40% - Accent2 2 2 2 2 3 3 4" xfId="24012" xr:uid="{00000000-0005-0000-0000-000068380000}"/>
    <cellStyle name="40% - Accent2 2 2 2 2 3 4" xfId="6092" xr:uid="{00000000-0005-0000-0000-000069380000}"/>
    <cellStyle name="40% - Accent2 2 2 2 2 3 4 2" xfId="16332" xr:uid="{00000000-0005-0000-0000-00006A380000}"/>
    <cellStyle name="40% - Accent2 2 2 2 2 3 4 2 2" xfId="36812" xr:uid="{00000000-0005-0000-0000-00006B380000}"/>
    <cellStyle name="40% - Accent2 2 2 2 2 3 4 3" xfId="26572" xr:uid="{00000000-0005-0000-0000-00006C380000}"/>
    <cellStyle name="40% - Accent2 2 2 2 2 3 5" xfId="11212" xr:uid="{00000000-0005-0000-0000-00006D380000}"/>
    <cellStyle name="40% - Accent2 2 2 2 2 3 5 2" xfId="31692" xr:uid="{00000000-0005-0000-0000-00006E380000}"/>
    <cellStyle name="40% - Accent2 2 2 2 2 3 6" xfId="21452" xr:uid="{00000000-0005-0000-0000-00006F380000}"/>
    <cellStyle name="40% - Accent2 2 2 2 2 4" xfId="1612" xr:uid="{00000000-0005-0000-0000-000070380000}"/>
    <cellStyle name="40% - Accent2 2 2 2 2 4 2" xfId="4172" xr:uid="{00000000-0005-0000-0000-000071380000}"/>
    <cellStyle name="40% - Accent2 2 2 2 2 4 2 2" xfId="9292" xr:uid="{00000000-0005-0000-0000-000072380000}"/>
    <cellStyle name="40% - Accent2 2 2 2 2 4 2 2 2" xfId="19532" xr:uid="{00000000-0005-0000-0000-000073380000}"/>
    <cellStyle name="40% - Accent2 2 2 2 2 4 2 2 2 2" xfId="40012" xr:uid="{00000000-0005-0000-0000-000074380000}"/>
    <cellStyle name="40% - Accent2 2 2 2 2 4 2 2 3" xfId="29772" xr:uid="{00000000-0005-0000-0000-000075380000}"/>
    <cellStyle name="40% - Accent2 2 2 2 2 4 2 3" xfId="14412" xr:uid="{00000000-0005-0000-0000-000076380000}"/>
    <cellStyle name="40% - Accent2 2 2 2 2 4 2 3 2" xfId="34892" xr:uid="{00000000-0005-0000-0000-000077380000}"/>
    <cellStyle name="40% - Accent2 2 2 2 2 4 2 4" xfId="24652" xr:uid="{00000000-0005-0000-0000-000078380000}"/>
    <cellStyle name="40% - Accent2 2 2 2 2 4 3" xfId="6732" xr:uid="{00000000-0005-0000-0000-000079380000}"/>
    <cellStyle name="40% - Accent2 2 2 2 2 4 3 2" xfId="16972" xr:uid="{00000000-0005-0000-0000-00007A380000}"/>
    <cellStyle name="40% - Accent2 2 2 2 2 4 3 2 2" xfId="37452" xr:uid="{00000000-0005-0000-0000-00007B380000}"/>
    <cellStyle name="40% - Accent2 2 2 2 2 4 3 3" xfId="27212" xr:uid="{00000000-0005-0000-0000-00007C380000}"/>
    <cellStyle name="40% - Accent2 2 2 2 2 4 4" xfId="11852" xr:uid="{00000000-0005-0000-0000-00007D380000}"/>
    <cellStyle name="40% - Accent2 2 2 2 2 4 4 2" xfId="32332" xr:uid="{00000000-0005-0000-0000-00007E380000}"/>
    <cellStyle name="40% - Accent2 2 2 2 2 4 5" xfId="22092" xr:uid="{00000000-0005-0000-0000-00007F380000}"/>
    <cellStyle name="40% - Accent2 2 2 2 2 5" xfId="2892" xr:uid="{00000000-0005-0000-0000-000080380000}"/>
    <cellStyle name="40% - Accent2 2 2 2 2 5 2" xfId="8012" xr:uid="{00000000-0005-0000-0000-000081380000}"/>
    <cellStyle name="40% - Accent2 2 2 2 2 5 2 2" xfId="18252" xr:uid="{00000000-0005-0000-0000-000082380000}"/>
    <cellStyle name="40% - Accent2 2 2 2 2 5 2 2 2" xfId="38732" xr:uid="{00000000-0005-0000-0000-000083380000}"/>
    <cellStyle name="40% - Accent2 2 2 2 2 5 2 3" xfId="28492" xr:uid="{00000000-0005-0000-0000-000084380000}"/>
    <cellStyle name="40% - Accent2 2 2 2 2 5 3" xfId="13132" xr:uid="{00000000-0005-0000-0000-000085380000}"/>
    <cellStyle name="40% - Accent2 2 2 2 2 5 3 2" xfId="33612" xr:uid="{00000000-0005-0000-0000-000086380000}"/>
    <cellStyle name="40% - Accent2 2 2 2 2 5 4" xfId="23372" xr:uid="{00000000-0005-0000-0000-000087380000}"/>
    <cellStyle name="40% - Accent2 2 2 2 2 6" xfId="5452" xr:uid="{00000000-0005-0000-0000-000088380000}"/>
    <cellStyle name="40% - Accent2 2 2 2 2 6 2" xfId="15692" xr:uid="{00000000-0005-0000-0000-000089380000}"/>
    <cellStyle name="40% - Accent2 2 2 2 2 6 2 2" xfId="36172" xr:uid="{00000000-0005-0000-0000-00008A380000}"/>
    <cellStyle name="40% - Accent2 2 2 2 2 6 3" xfId="25932" xr:uid="{00000000-0005-0000-0000-00008B380000}"/>
    <cellStyle name="40% - Accent2 2 2 2 2 7" xfId="10572" xr:uid="{00000000-0005-0000-0000-00008C380000}"/>
    <cellStyle name="40% - Accent2 2 2 2 2 7 2" xfId="31052" xr:uid="{00000000-0005-0000-0000-00008D380000}"/>
    <cellStyle name="40% - Accent2 2 2 2 2 8" xfId="20812" xr:uid="{00000000-0005-0000-0000-00008E380000}"/>
    <cellStyle name="40% - Accent2 2 2 2 3" xfId="492" xr:uid="{00000000-0005-0000-0000-00008F380000}"/>
    <cellStyle name="40% - Accent2 2 2 2 3 2" xfId="1132" xr:uid="{00000000-0005-0000-0000-000090380000}"/>
    <cellStyle name="40% - Accent2 2 2 2 3 2 2" xfId="2412" xr:uid="{00000000-0005-0000-0000-000091380000}"/>
    <cellStyle name="40% - Accent2 2 2 2 3 2 2 2" xfId="4972" xr:uid="{00000000-0005-0000-0000-000092380000}"/>
    <cellStyle name="40% - Accent2 2 2 2 3 2 2 2 2" xfId="10092" xr:uid="{00000000-0005-0000-0000-000093380000}"/>
    <cellStyle name="40% - Accent2 2 2 2 3 2 2 2 2 2" xfId="20332" xr:uid="{00000000-0005-0000-0000-000094380000}"/>
    <cellStyle name="40% - Accent2 2 2 2 3 2 2 2 2 2 2" xfId="40812" xr:uid="{00000000-0005-0000-0000-000095380000}"/>
    <cellStyle name="40% - Accent2 2 2 2 3 2 2 2 2 3" xfId="30572" xr:uid="{00000000-0005-0000-0000-000096380000}"/>
    <cellStyle name="40% - Accent2 2 2 2 3 2 2 2 3" xfId="15212" xr:uid="{00000000-0005-0000-0000-000097380000}"/>
    <cellStyle name="40% - Accent2 2 2 2 3 2 2 2 3 2" xfId="35692" xr:uid="{00000000-0005-0000-0000-000098380000}"/>
    <cellStyle name="40% - Accent2 2 2 2 3 2 2 2 4" xfId="25452" xr:uid="{00000000-0005-0000-0000-000099380000}"/>
    <cellStyle name="40% - Accent2 2 2 2 3 2 2 3" xfId="7532" xr:uid="{00000000-0005-0000-0000-00009A380000}"/>
    <cellStyle name="40% - Accent2 2 2 2 3 2 2 3 2" xfId="17772" xr:uid="{00000000-0005-0000-0000-00009B380000}"/>
    <cellStyle name="40% - Accent2 2 2 2 3 2 2 3 2 2" xfId="38252" xr:uid="{00000000-0005-0000-0000-00009C380000}"/>
    <cellStyle name="40% - Accent2 2 2 2 3 2 2 3 3" xfId="28012" xr:uid="{00000000-0005-0000-0000-00009D380000}"/>
    <cellStyle name="40% - Accent2 2 2 2 3 2 2 4" xfId="12652" xr:uid="{00000000-0005-0000-0000-00009E380000}"/>
    <cellStyle name="40% - Accent2 2 2 2 3 2 2 4 2" xfId="33132" xr:uid="{00000000-0005-0000-0000-00009F380000}"/>
    <cellStyle name="40% - Accent2 2 2 2 3 2 2 5" xfId="22892" xr:uid="{00000000-0005-0000-0000-0000A0380000}"/>
    <cellStyle name="40% - Accent2 2 2 2 3 2 3" xfId="3692" xr:uid="{00000000-0005-0000-0000-0000A1380000}"/>
    <cellStyle name="40% - Accent2 2 2 2 3 2 3 2" xfId="8812" xr:uid="{00000000-0005-0000-0000-0000A2380000}"/>
    <cellStyle name="40% - Accent2 2 2 2 3 2 3 2 2" xfId="19052" xr:uid="{00000000-0005-0000-0000-0000A3380000}"/>
    <cellStyle name="40% - Accent2 2 2 2 3 2 3 2 2 2" xfId="39532" xr:uid="{00000000-0005-0000-0000-0000A4380000}"/>
    <cellStyle name="40% - Accent2 2 2 2 3 2 3 2 3" xfId="29292" xr:uid="{00000000-0005-0000-0000-0000A5380000}"/>
    <cellStyle name="40% - Accent2 2 2 2 3 2 3 3" xfId="13932" xr:uid="{00000000-0005-0000-0000-0000A6380000}"/>
    <cellStyle name="40% - Accent2 2 2 2 3 2 3 3 2" xfId="34412" xr:uid="{00000000-0005-0000-0000-0000A7380000}"/>
    <cellStyle name="40% - Accent2 2 2 2 3 2 3 4" xfId="24172" xr:uid="{00000000-0005-0000-0000-0000A8380000}"/>
    <cellStyle name="40% - Accent2 2 2 2 3 2 4" xfId="6252" xr:uid="{00000000-0005-0000-0000-0000A9380000}"/>
    <cellStyle name="40% - Accent2 2 2 2 3 2 4 2" xfId="16492" xr:uid="{00000000-0005-0000-0000-0000AA380000}"/>
    <cellStyle name="40% - Accent2 2 2 2 3 2 4 2 2" xfId="36972" xr:uid="{00000000-0005-0000-0000-0000AB380000}"/>
    <cellStyle name="40% - Accent2 2 2 2 3 2 4 3" xfId="26732" xr:uid="{00000000-0005-0000-0000-0000AC380000}"/>
    <cellStyle name="40% - Accent2 2 2 2 3 2 5" xfId="11372" xr:uid="{00000000-0005-0000-0000-0000AD380000}"/>
    <cellStyle name="40% - Accent2 2 2 2 3 2 5 2" xfId="31852" xr:uid="{00000000-0005-0000-0000-0000AE380000}"/>
    <cellStyle name="40% - Accent2 2 2 2 3 2 6" xfId="21612" xr:uid="{00000000-0005-0000-0000-0000AF380000}"/>
    <cellStyle name="40% - Accent2 2 2 2 3 3" xfId="1772" xr:uid="{00000000-0005-0000-0000-0000B0380000}"/>
    <cellStyle name="40% - Accent2 2 2 2 3 3 2" xfId="4332" xr:uid="{00000000-0005-0000-0000-0000B1380000}"/>
    <cellStyle name="40% - Accent2 2 2 2 3 3 2 2" xfId="9452" xr:uid="{00000000-0005-0000-0000-0000B2380000}"/>
    <cellStyle name="40% - Accent2 2 2 2 3 3 2 2 2" xfId="19692" xr:uid="{00000000-0005-0000-0000-0000B3380000}"/>
    <cellStyle name="40% - Accent2 2 2 2 3 3 2 2 2 2" xfId="40172" xr:uid="{00000000-0005-0000-0000-0000B4380000}"/>
    <cellStyle name="40% - Accent2 2 2 2 3 3 2 2 3" xfId="29932" xr:uid="{00000000-0005-0000-0000-0000B5380000}"/>
    <cellStyle name="40% - Accent2 2 2 2 3 3 2 3" xfId="14572" xr:uid="{00000000-0005-0000-0000-0000B6380000}"/>
    <cellStyle name="40% - Accent2 2 2 2 3 3 2 3 2" xfId="35052" xr:uid="{00000000-0005-0000-0000-0000B7380000}"/>
    <cellStyle name="40% - Accent2 2 2 2 3 3 2 4" xfId="24812" xr:uid="{00000000-0005-0000-0000-0000B8380000}"/>
    <cellStyle name="40% - Accent2 2 2 2 3 3 3" xfId="6892" xr:uid="{00000000-0005-0000-0000-0000B9380000}"/>
    <cellStyle name="40% - Accent2 2 2 2 3 3 3 2" xfId="17132" xr:uid="{00000000-0005-0000-0000-0000BA380000}"/>
    <cellStyle name="40% - Accent2 2 2 2 3 3 3 2 2" xfId="37612" xr:uid="{00000000-0005-0000-0000-0000BB380000}"/>
    <cellStyle name="40% - Accent2 2 2 2 3 3 3 3" xfId="27372" xr:uid="{00000000-0005-0000-0000-0000BC380000}"/>
    <cellStyle name="40% - Accent2 2 2 2 3 3 4" xfId="12012" xr:uid="{00000000-0005-0000-0000-0000BD380000}"/>
    <cellStyle name="40% - Accent2 2 2 2 3 3 4 2" xfId="32492" xr:uid="{00000000-0005-0000-0000-0000BE380000}"/>
    <cellStyle name="40% - Accent2 2 2 2 3 3 5" xfId="22252" xr:uid="{00000000-0005-0000-0000-0000BF380000}"/>
    <cellStyle name="40% - Accent2 2 2 2 3 4" xfId="3052" xr:uid="{00000000-0005-0000-0000-0000C0380000}"/>
    <cellStyle name="40% - Accent2 2 2 2 3 4 2" xfId="8172" xr:uid="{00000000-0005-0000-0000-0000C1380000}"/>
    <cellStyle name="40% - Accent2 2 2 2 3 4 2 2" xfId="18412" xr:uid="{00000000-0005-0000-0000-0000C2380000}"/>
    <cellStyle name="40% - Accent2 2 2 2 3 4 2 2 2" xfId="38892" xr:uid="{00000000-0005-0000-0000-0000C3380000}"/>
    <cellStyle name="40% - Accent2 2 2 2 3 4 2 3" xfId="28652" xr:uid="{00000000-0005-0000-0000-0000C4380000}"/>
    <cellStyle name="40% - Accent2 2 2 2 3 4 3" xfId="13292" xr:uid="{00000000-0005-0000-0000-0000C5380000}"/>
    <cellStyle name="40% - Accent2 2 2 2 3 4 3 2" xfId="33772" xr:uid="{00000000-0005-0000-0000-0000C6380000}"/>
    <cellStyle name="40% - Accent2 2 2 2 3 4 4" xfId="23532" xr:uid="{00000000-0005-0000-0000-0000C7380000}"/>
    <cellStyle name="40% - Accent2 2 2 2 3 5" xfId="5612" xr:uid="{00000000-0005-0000-0000-0000C8380000}"/>
    <cellStyle name="40% - Accent2 2 2 2 3 5 2" xfId="15852" xr:uid="{00000000-0005-0000-0000-0000C9380000}"/>
    <cellStyle name="40% - Accent2 2 2 2 3 5 2 2" xfId="36332" xr:uid="{00000000-0005-0000-0000-0000CA380000}"/>
    <cellStyle name="40% - Accent2 2 2 2 3 5 3" xfId="26092" xr:uid="{00000000-0005-0000-0000-0000CB380000}"/>
    <cellStyle name="40% - Accent2 2 2 2 3 6" xfId="10732" xr:uid="{00000000-0005-0000-0000-0000CC380000}"/>
    <cellStyle name="40% - Accent2 2 2 2 3 6 2" xfId="31212" xr:uid="{00000000-0005-0000-0000-0000CD380000}"/>
    <cellStyle name="40% - Accent2 2 2 2 3 7" xfId="20972" xr:uid="{00000000-0005-0000-0000-0000CE380000}"/>
    <cellStyle name="40% - Accent2 2 2 2 4" xfId="812" xr:uid="{00000000-0005-0000-0000-0000CF380000}"/>
    <cellStyle name="40% - Accent2 2 2 2 4 2" xfId="2092" xr:uid="{00000000-0005-0000-0000-0000D0380000}"/>
    <cellStyle name="40% - Accent2 2 2 2 4 2 2" xfId="4652" xr:uid="{00000000-0005-0000-0000-0000D1380000}"/>
    <cellStyle name="40% - Accent2 2 2 2 4 2 2 2" xfId="9772" xr:uid="{00000000-0005-0000-0000-0000D2380000}"/>
    <cellStyle name="40% - Accent2 2 2 2 4 2 2 2 2" xfId="20012" xr:uid="{00000000-0005-0000-0000-0000D3380000}"/>
    <cellStyle name="40% - Accent2 2 2 2 4 2 2 2 2 2" xfId="40492" xr:uid="{00000000-0005-0000-0000-0000D4380000}"/>
    <cellStyle name="40% - Accent2 2 2 2 4 2 2 2 3" xfId="30252" xr:uid="{00000000-0005-0000-0000-0000D5380000}"/>
    <cellStyle name="40% - Accent2 2 2 2 4 2 2 3" xfId="14892" xr:uid="{00000000-0005-0000-0000-0000D6380000}"/>
    <cellStyle name="40% - Accent2 2 2 2 4 2 2 3 2" xfId="35372" xr:uid="{00000000-0005-0000-0000-0000D7380000}"/>
    <cellStyle name="40% - Accent2 2 2 2 4 2 2 4" xfId="25132" xr:uid="{00000000-0005-0000-0000-0000D8380000}"/>
    <cellStyle name="40% - Accent2 2 2 2 4 2 3" xfId="7212" xr:uid="{00000000-0005-0000-0000-0000D9380000}"/>
    <cellStyle name="40% - Accent2 2 2 2 4 2 3 2" xfId="17452" xr:uid="{00000000-0005-0000-0000-0000DA380000}"/>
    <cellStyle name="40% - Accent2 2 2 2 4 2 3 2 2" xfId="37932" xr:uid="{00000000-0005-0000-0000-0000DB380000}"/>
    <cellStyle name="40% - Accent2 2 2 2 4 2 3 3" xfId="27692" xr:uid="{00000000-0005-0000-0000-0000DC380000}"/>
    <cellStyle name="40% - Accent2 2 2 2 4 2 4" xfId="12332" xr:uid="{00000000-0005-0000-0000-0000DD380000}"/>
    <cellStyle name="40% - Accent2 2 2 2 4 2 4 2" xfId="32812" xr:uid="{00000000-0005-0000-0000-0000DE380000}"/>
    <cellStyle name="40% - Accent2 2 2 2 4 2 5" xfId="22572" xr:uid="{00000000-0005-0000-0000-0000DF380000}"/>
    <cellStyle name="40% - Accent2 2 2 2 4 3" xfId="3372" xr:uid="{00000000-0005-0000-0000-0000E0380000}"/>
    <cellStyle name="40% - Accent2 2 2 2 4 3 2" xfId="8492" xr:uid="{00000000-0005-0000-0000-0000E1380000}"/>
    <cellStyle name="40% - Accent2 2 2 2 4 3 2 2" xfId="18732" xr:uid="{00000000-0005-0000-0000-0000E2380000}"/>
    <cellStyle name="40% - Accent2 2 2 2 4 3 2 2 2" xfId="39212" xr:uid="{00000000-0005-0000-0000-0000E3380000}"/>
    <cellStyle name="40% - Accent2 2 2 2 4 3 2 3" xfId="28972" xr:uid="{00000000-0005-0000-0000-0000E4380000}"/>
    <cellStyle name="40% - Accent2 2 2 2 4 3 3" xfId="13612" xr:uid="{00000000-0005-0000-0000-0000E5380000}"/>
    <cellStyle name="40% - Accent2 2 2 2 4 3 3 2" xfId="34092" xr:uid="{00000000-0005-0000-0000-0000E6380000}"/>
    <cellStyle name="40% - Accent2 2 2 2 4 3 4" xfId="23852" xr:uid="{00000000-0005-0000-0000-0000E7380000}"/>
    <cellStyle name="40% - Accent2 2 2 2 4 4" xfId="5932" xr:uid="{00000000-0005-0000-0000-0000E8380000}"/>
    <cellStyle name="40% - Accent2 2 2 2 4 4 2" xfId="16172" xr:uid="{00000000-0005-0000-0000-0000E9380000}"/>
    <cellStyle name="40% - Accent2 2 2 2 4 4 2 2" xfId="36652" xr:uid="{00000000-0005-0000-0000-0000EA380000}"/>
    <cellStyle name="40% - Accent2 2 2 2 4 4 3" xfId="26412" xr:uid="{00000000-0005-0000-0000-0000EB380000}"/>
    <cellStyle name="40% - Accent2 2 2 2 4 5" xfId="11052" xr:uid="{00000000-0005-0000-0000-0000EC380000}"/>
    <cellStyle name="40% - Accent2 2 2 2 4 5 2" xfId="31532" xr:uid="{00000000-0005-0000-0000-0000ED380000}"/>
    <cellStyle name="40% - Accent2 2 2 2 4 6" xfId="21292" xr:uid="{00000000-0005-0000-0000-0000EE380000}"/>
    <cellStyle name="40% - Accent2 2 2 2 5" xfId="1452" xr:uid="{00000000-0005-0000-0000-0000EF380000}"/>
    <cellStyle name="40% - Accent2 2 2 2 5 2" xfId="4012" xr:uid="{00000000-0005-0000-0000-0000F0380000}"/>
    <cellStyle name="40% - Accent2 2 2 2 5 2 2" xfId="9132" xr:uid="{00000000-0005-0000-0000-0000F1380000}"/>
    <cellStyle name="40% - Accent2 2 2 2 5 2 2 2" xfId="19372" xr:uid="{00000000-0005-0000-0000-0000F2380000}"/>
    <cellStyle name="40% - Accent2 2 2 2 5 2 2 2 2" xfId="39852" xr:uid="{00000000-0005-0000-0000-0000F3380000}"/>
    <cellStyle name="40% - Accent2 2 2 2 5 2 2 3" xfId="29612" xr:uid="{00000000-0005-0000-0000-0000F4380000}"/>
    <cellStyle name="40% - Accent2 2 2 2 5 2 3" xfId="14252" xr:uid="{00000000-0005-0000-0000-0000F5380000}"/>
    <cellStyle name="40% - Accent2 2 2 2 5 2 3 2" xfId="34732" xr:uid="{00000000-0005-0000-0000-0000F6380000}"/>
    <cellStyle name="40% - Accent2 2 2 2 5 2 4" xfId="24492" xr:uid="{00000000-0005-0000-0000-0000F7380000}"/>
    <cellStyle name="40% - Accent2 2 2 2 5 3" xfId="6572" xr:uid="{00000000-0005-0000-0000-0000F8380000}"/>
    <cellStyle name="40% - Accent2 2 2 2 5 3 2" xfId="16812" xr:uid="{00000000-0005-0000-0000-0000F9380000}"/>
    <cellStyle name="40% - Accent2 2 2 2 5 3 2 2" xfId="37292" xr:uid="{00000000-0005-0000-0000-0000FA380000}"/>
    <cellStyle name="40% - Accent2 2 2 2 5 3 3" xfId="27052" xr:uid="{00000000-0005-0000-0000-0000FB380000}"/>
    <cellStyle name="40% - Accent2 2 2 2 5 4" xfId="11692" xr:uid="{00000000-0005-0000-0000-0000FC380000}"/>
    <cellStyle name="40% - Accent2 2 2 2 5 4 2" xfId="32172" xr:uid="{00000000-0005-0000-0000-0000FD380000}"/>
    <cellStyle name="40% - Accent2 2 2 2 5 5" xfId="21932" xr:uid="{00000000-0005-0000-0000-0000FE380000}"/>
    <cellStyle name="40% - Accent2 2 2 2 6" xfId="2732" xr:uid="{00000000-0005-0000-0000-0000FF380000}"/>
    <cellStyle name="40% - Accent2 2 2 2 6 2" xfId="7852" xr:uid="{00000000-0005-0000-0000-000000390000}"/>
    <cellStyle name="40% - Accent2 2 2 2 6 2 2" xfId="18092" xr:uid="{00000000-0005-0000-0000-000001390000}"/>
    <cellStyle name="40% - Accent2 2 2 2 6 2 2 2" xfId="38572" xr:uid="{00000000-0005-0000-0000-000002390000}"/>
    <cellStyle name="40% - Accent2 2 2 2 6 2 3" xfId="28332" xr:uid="{00000000-0005-0000-0000-000003390000}"/>
    <cellStyle name="40% - Accent2 2 2 2 6 3" xfId="12972" xr:uid="{00000000-0005-0000-0000-000004390000}"/>
    <cellStyle name="40% - Accent2 2 2 2 6 3 2" xfId="33452" xr:uid="{00000000-0005-0000-0000-000005390000}"/>
    <cellStyle name="40% - Accent2 2 2 2 6 4" xfId="23212" xr:uid="{00000000-0005-0000-0000-000006390000}"/>
    <cellStyle name="40% - Accent2 2 2 2 7" xfId="5292" xr:uid="{00000000-0005-0000-0000-000007390000}"/>
    <cellStyle name="40% - Accent2 2 2 2 7 2" xfId="15532" xr:uid="{00000000-0005-0000-0000-000008390000}"/>
    <cellStyle name="40% - Accent2 2 2 2 7 2 2" xfId="36012" xr:uid="{00000000-0005-0000-0000-000009390000}"/>
    <cellStyle name="40% - Accent2 2 2 2 7 3" xfId="25772" xr:uid="{00000000-0005-0000-0000-00000A390000}"/>
    <cellStyle name="40% - Accent2 2 2 2 8" xfId="10412" xr:uid="{00000000-0005-0000-0000-00000B390000}"/>
    <cellStyle name="40% - Accent2 2 2 2 8 2" xfId="30892" xr:uid="{00000000-0005-0000-0000-00000C390000}"/>
    <cellStyle name="40% - Accent2 2 2 2 9" xfId="20652" xr:uid="{00000000-0005-0000-0000-00000D390000}"/>
    <cellStyle name="40% - Accent2 2 2 3" xfId="252" xr:uid="{00000000-0005-0000-0000-00000E390000}"/>
    <cellStyle name="40% - Accent2 2 2 3 2" xfId="572" xr:uid="{00000000-0005-0000-0000-00000F390000}"/>
    <cellStyle name="40% - Accent2 2 2 3 2 2" xfId="1212" xr:uid="{00000000-0005-0000-0000-000010390000}"/>
    <cellStyle name="40% - Accent2 2 2 3 2 2 2" xfId="2492" xr:uid="{00000000-0005-0000-0000-000011390000}"/>
    <cellStyle name="40% - Accent2 2 2 3 2 2 2 2" xfId="5052" xr:uid="{00000000-0005-0000-0000-000012390000}"/>
    <cellStyle name="40% - Accent2 2 2 3 2 2 2 2 2" xfId="10172" xr:uid="{00000000-0005-0000-0000-000013390000}"/>
    <cellStyle name="40% - Accent2 2 2 3 2 2 2 2 2 2" xfId="20412" xr:uid="{00000000-0005-0000-0000-000014390000}"/>
    <cellStyle name="40% - Accent2 2 2 3 2 2 2 2 2 2 2" xfId="40892" xr:uid="{00000000-0005-0000-0000-000015390000}"/>
    <cellStyle name="40% - Accent2 2 2 3 2 2 2 2 2 3" xfId="30652" xr:uid="{00000000-0005-0000-0000-000016390000}"/>
    <cellStyle name="40% - Accent2 2 2 3 2 2 2 2 3" xfId="15292" xr:uid="{00000000-0005-0000-0000-000017390000}"/>
    <cellStyle name="40% - Accent2 2 2 3 2 2 2 2 3 2" xfId="35772" xr:uid="{00000000-0005-0000-0000-000018390000}"/>
    <cellStyle name="40% - Accent2 2 2 3 2 2 2 2 4" xfId="25532" xr:uid="{00000000-0005-0000-0000-000019390000}"/>
    <cellStyle name="40% - Accent2 2 2 3 2 2 2 3" xfId="7612" xr:uid="{00000000-0005-0000-0000-00001A390000}"/>
    <cellStyle name="40% - Accent2 2 2 3 2 2 2 3 2" xfId="17852" xr:uid="{00000000-0005-0000-0000-00001B390000}"/>
    <cellStyle name="40% - Accent2 2 2 3 2 2 2 3 2 2" xfId="38332" xr:uid="{00000000-0005-0000-0000-00001C390000}"/>
    <cellStyle name="40% - Accent2 2 2 3 2 2 2 3 3" xfId="28092" xr:uid="{00000000-0005-0000-0000-00001D390000}"/>
    <cellStyle name="40% - Accent2 2 2 3 2 2 2 4" xfId="12732" xr:uid="{00000000-0005-0000-0000-00001E390000}"/>
    <cellStyle name="40% - Accent2 2 2 3 2 2 2 4 2" xfId="33212" xr:uid="{00000000-0005-0000-0000-00001F390000}"/>
    <cellStyle name="40% - Accent2 2 2 3 2 2 2 5" xfId="22972" xr:uid="{00000000-0005-0000-0000-000020390000}"/>
    <cellStyle name="40% - Accent2 2 2 3 2 2 3" xfId="3772" xr:uid="{00000000-0005-0000-0000-000021390000}"/>
    <cellStyle name="40% - Accent2 2 2 3 2 2 3 2" xfId="8892" xr:uid="{00000000-0005-0000-0000-000022390000}"/>
    <cellStyle name="40% - Accent2 2 2 3 2 2 3 2 2" xfId="19132" xr:uid="{00000000-0005-0000-0000-000023390000}"/>
    <cellStyle name="40% - Accent2 2 2 3 2 2 3 2 2 2" xfId="39612" xr:uid="{00000000-0005-0000-0000-000024390000}"/>
    <cellStyle name="40% - Accent2 2 2 3 2 2 3 2 3" xfId="29372" xr:uid="{00000000-0005-0000-0000-000025390000}"/>
    <cellStyle name="40% - Accent2 2 2 3 2 2 3 3" xfId="14012" xr:uid="{00000000-0005-0000-0000-000026390000}"/>
    <cellStyle name="40% - Accent2 2 2 3 2 2 3 3 2" xfId="34492" xr:uid="{00000000-0005-0000-0000-000027390000}"/>
    <cellStyle name="40% - Accent2 2 2 3 2 2 3 4" xfId="24252" xr:uid="{00000000-0005-0000-0000-000028390000}"/>
    <cellStyle name="40% - Accent2 2 2 3 2 2 4" xfId="6332" xr:uid="{00000000-0005-0000-0000-000029390000}"/>
    <cellStyle name="40% - Accent2 2 2 3 2 2 4 2" xfId="16572" xr:uid="{00000000-0005-0000-0000-00002A390000}"/>
    <cellStyle name="40% - Accent2 2 2 3 2 2 4 2 2" xfId="37052" xr:uid="{00000000-0005-0000-0000-00002B390000}"/>
    <cellStyle name="40% - Accent2 2 2 3 2 2 4 3" xfId="26812" xr:uid="{00000000-0005-0000-0000-00002C390000}"/>
    <cellStyle name="40% - Accent2 2 2 3 2 2 5" xfId="11452" xr:uid="{00000000-0005-0000-0000-00002D390000}"/>
    <cellStyle name="40% - Accent2 2 2 3 2 2 5 2" xfId="31932" xr:uid="{00000000-0005-0000-0000-00002E390000}"/>
    <cellStyle name="40% - Accent2 2 2 3 2 2 6" xfId="21692" xr:uid="{00000000-0005-0000-0000-00002F390000}"/>
    <cellStyle name="40% - Accent2 2 2 3 2 3" xfId="1852" xr:uid="{00000000-0005-0000-0000-000030390000}"/>
    <cellStyle name="40% - Accent2 2 2 3 2 3 2" xfId="4412" xr:uid="{00000000-0005-0000-0000-000031390000}"/>
    <cellStyle name="40% - Accent2 2 2 3 2 3 2 2" xfId="9532" xr:uid="{00000000-0005-0000-0000-000032390000}"/>
    <cellStyle name="40% - Accent2 2 2 3 2 3 2 2 2" xfId="19772" xr:uid="{00000000-0005-0000-0000-000033390000}"/>
    <cellStyle name="40% - Accent2 2 2 3 2 3 2 2 2 2" xfId="40252" xr:uid="{00000000-0005-0000-0000-000034390000}"/>
    <cellStyle name="40% - Accent2 2 2 3 2 3 2 2 3" xfId="30012" xr:uid="{00000000-0005-0000-0000-000035390000}"/>
    <cellStyle name="40% - Accent2 2 2 3 2 3 2 3" xfId="14652" xr:uid="{00000000-0005-0000-0000-000036390000}"/>
    <cellStyle name="40% - Accent2 2 2 3 2 3 2 3 2" xfId="35132" xr:uid="{00000000-0005-0000-0000-000037390000}"/>
    <cellStyle name="40% - Accent2 2 2 3 2 3 2 4" xfId="24892" xr:uid="{00000000-0005-0000-0000-000038390000}"/>
    <cellStyle name="40% - Accent2 2 2 3 2 3 3" xfId="6972" xr:uid="{00000000-0005-0000-0000-000039390000}"/>
    <cellStyle name="40% - Accent2 2 2 3 2 3 3 2" xfId="17212" xr:uid="{00000000-0005-0000-0000-00003A390000}"/>
    <cellStyle name="40% - Accent2 2 2 3 2 3 3 2 2" xfId="37692" xr:uid="{00000000-0005-0000-0000-00003B390000}"/>
    <cellStyle name="40% - Accent2 2 2 3 2 3 3 3" xfId="27452" xr:uid="{00000000-0005-0000-0000-00003C390000}"/>
    <cellStyle name="40% - Accent2 2 2 3 2 3 4" xfId="12092" xr:uid="{00000000-0005-0000-0000-00003D390000}"/>
    <cellStyle name="40% - Accent2 2 2 3 2 3 4 2" xfId="32572" xr:uid="{00000000-0005-0000-0000-00003E390000}"/>
    <cellStyle name="40% - Accent2 2 2 3 2 3 5" xfId="22332" xr:uid="{00000000-0005-0000-0000-00003F390000}"/>
    <cellStyle name="40% - Accent2 2 2 3 2 4" xfId="3132" xr:uid="{00000000-0005-0000-0000-000040390000}"/>
    <cellStyle name="40% - Accent2 2 2 3 2 4 2" xfId="8252" xr:uid="{00000000-0005-0000-0000-000041390000}"/>
    <cellStyle name="40% - Accent2 2 2 3 2 4 2 2" xfId="18492" xr:uid="{00000000-0005-0000-0000-000042390000}"/>
    <cellStyle name="40% - Accent2 2 2 3 2 4 2 2 2" xfId="38972" xr:uid="{00000000-0005-0000-0000-000043390000}"/>
    <cellStyle name="40% - Accent2 2 2 3 2 4 2 3" xfId="28732" xr:uid="{00000000-0005-0000-0000-000044390000}"/>
    <cellStyle name="40% - Accent2 2 2 3 2 4 3" xfId="13372" xr:uid="{00000000-0005-0000-0000-000045390000}"/>
    <cellStyle name="40% - Accent2 2 2 3 2 4 3 2" xfId="33852" xr:uid="{00000000-0005-0000-0000-000046390000}"/>
    <cellStyle name="40% - Accent2 2 2 3 2 4 4" xfId="23612" xr:uid="{00000000-0005-0000-0000-000047390000}"/>
    <cellStyle name="40% - Accent2 2 2 3 2 5" xfId="5692" xr:uid="{00000000-0005-0000-0000-000048390000}"/>
    <cellStyle name="40% - Accent2 2 2 3 2 5 2" xfId="15932" xr:uid="{00000000-0005-0000-0000-000049390000}"/>
    <cellStyle name="40% - Accent2 2 2 3 2 5 2 2" xfId="36412" xr:uid="{00000000-0005-0000-0000-00004A390000}"/>
    <cellStyle name="40% - Accent2 2 2 3 2 5 3" xfId="26172" xr:uid="{00000000-0005-0000-0000-00004B390000}"/>
    <cellStyle name="40% - Accent2 2 2 3 2 6" xfId="10812" xr:uid="{00000000-0005-0000-0000-00004C390000}"/>
    <cellStyle name="40% - Accent2 2 2 3 2 6 2" xfId="31292" xr:uid="{00000000-0005-0000-0000-00004D390000}"/>
    <cellStyle name="40% - Accent2 2 2 3 2 7" xfId="21052" xr:uid="{00000000-0005-0000-0000-00004E390000}"/>
    <cellStyle name="40% - Accent2 2 2 3 3" xfId="892" xr:uid="{00000000-0005-0000-0000-00004F390000}"/>
    <cellStyle name="40% - Accent2 2 2 3 3 2" xfId="2172" xr:uid="{00000000-0005-0000-0000-000050390000}"/>
    <cellStyle name="40% - Accent2 2 2 3 3 2 2" xfId="4732" xr:uid="{00000000-0005-0000-0000-000051390000}"/>
    <cellStyle name="40% - Accent2 2 2 3 3 2 2 2" xfId="9852" xr:uid="{00000000-0005-0000-0000-000052390000}"/>
    <cellStyle name="40% - Accent2 2 2 3 3 2 2 2 2" xfId="20092" xr:uid="{00000000-0005-0000-0000-000053390000}"/>
    <cellStyle name="40% - Accent2 2 2 3 3 2 2 2 2 2" xfId="40572" xr:uid="{00000000-0005-0000-0000-000054390000}"/>
    <cellStyle name="40% - Accent2 2 2 3 3 2 2 2 3" xfId="30332" xr:uid="{00000000-0005-0000-0000-000055390000}"/>
    <cellStyle name="40% - Accent2 2 2 3 3 2 2 3" xfId="14972" xr:uid="{00000000-0005-0000-0000-000056390000}"/>
    <cellStyle name="40% - Accent2 2 2 3 3 2 2 3 2" xfId="35452" xr:uid="{00000000-0005-0000-0000-000057390000}"/>
    <cellStyle name="40% - Accent2 2 2 3 3 2 2 4" xfId="25212" xr:uid="{00000000-0005-0000-0000-000058390000}"/>
    <cellStyle name="40% - Accent2 2 2 3 3 2 3" xfId="7292" xr:uid="{00000000-0005-0000-0000-000059390000}"/>
    <cellStyle name="40% - Accent2 2 2 3 3 2 3 2" xfId="17532" xr:uid="{00000000-0005-0000-0000-00005A390000}"/>
    <cellStyle name="40% - Accent2 2 2 3 3 2 3 2 2" xfId="38012" xr:uid="{00000000-0005-0000-0000-00005B390000}"/>
    <cellStyle name="40% - Accent2 2 2 3 3 2 3 3" xfId="27772" xr:uid="{00000000-0005-0000-0000-00005C390000}"/>
    <cellStyle name="40% - Accent2 2 2 3 3 2 4" xfId="12412" xr:uid="{00000000-0005-0000-0000-00005D390000}"/>
    <cellStyle name="40% - Accent2 2 2 3 3 2 4 2" xfId="32892" xr:uid="{00000000-0005-0000-0000-00005E390000}"/>
    <cellStyle name="40% - Accent2 2 2 3 3 2 5" xfId="22652" xr:uid="{00000000-0005-0000-0000-00005F390000}"/>
    <cellStyle name="40% - Accent2 2 2 3 3 3" xfId="3452" xr:uid="{00000000-0005-0000-0000-000060390000}"/>
    <cellStyle name="40% - Accent2 2 2 3 3 3 2" xfId="8572" xr:uid="{00000000-0005-0000-0000-000061390000}"/>
    <cellStyle name="40% - Accent2 2 2 3 3 3 2 2" xfId="18812" xr:uid="{00000000-0005-0000-0000-000062390000}"/>
    <cellStyle name="40% - Accent2 2 2 3 3 3 2 2 2" xfId="39292" xr:uid="{00000000-0005-0000-0000-000063390000}"/>
    <cellStyle name="40% - Accent2 2 2 3 3 3 2 3" xfId="29052" xr:uid="{00000000-0005-0000-0000-000064390000}"/>
    <cellStyle name="40% - Accent2 2 2 3 3 3 3" xfId="13692" xr:uid="{00000000-0005-0000-0000-000065390000}"/>
    <cellStyle name="40% - Accent2 2 2 3 3 3 3 2" xfId="34172" xr:uid="{00000000-0005-0000-0000-000066390000}"/>
    <cellStyle name="40% - Accent2 2 2 3 3 3 4" xfId="23932" xr:uid="{00000000-0005-0000-0000-000067390000}"/>
    <cellStyle name="40% - Accent2 2 2 3 3 4" xfId="6012" xr:uid="{00000000-0005-0000-0000-000068390000}"/>
    <cellStyle name="40% - Accent2 2 2 3 3 4 2" xfId="16252" xr:uid="{00000000-0005-0000-0000-000069390000}"/>
    <cellStyle name="40% - Accent2 2 2 3 3 4 2 2" xfId="36732" xr:uid="{00000000-0005-0000-0000-00006A390000}"/>
    <cellStyle name="40% - Accent2 2 2 3 3 4 3" xfId="26492" xr:uid="{00000000-0005-0000-0000-00006B390000}"/>
    <cellStyle name="40% - Accent2 2 2 3 3 5" xfId="11132" xr:uid="{00000000-0005-0000-0000-00006C390000}"/>
    <cellStyle name="40% - Accent2 2 2 3 3 5 2" xfId="31612" xr:uid="{00000000-0005-0000-0000-00006D390000}"/>
    <cellStyle name="40% - Accent2 2 2 3 3 6" xfId="21372" xr:uid="{00000000-0005-0000-0000-00006E390000}"/>
    <cellStyle name="40% - Accent2 2 2 3 4" xfId="1532" xr:uid="{00000000-0005-0000-0000-00006F390000}"/>
    <cellStyle name="40% - Accent2 2 2 3 4 2" xfId="4092" xr:uid="{00000000-0005-0000-0000-000070390000}"/>
    <cellStyle name="40% - Accent2 2 2 3 4 2 2" xfId="9212" xr:uid="{00000000-0005-0000-0000-000071390000}"/>
    <cellStyle name="40% - Accent2 2 2 3 4 2 2 2" xfId="19452" xr:uid="{00000000-0005-0000-0000-000072390000}"/>
    <cellStyle name="40% - Accent2 2 2 3 4 2 2 2 2" xfId="39932" xr:uid="{00000000-0005-0000-0000-000073390000}"/>
    <cellStyle name="40% - Accent2 2 2 3 4 2 2 3" xfId="29692" xr:uid="{00000000-0005-0000-0000-000074390000}"/>
    <cellStyle name="40% - Accent2 2 2 3 4 2 3" xfId="14332" xr:uid="{00000000-0005-0000-0000-000075390000}"/>
    <cellStyle name="40% - Accent2 2 2 3 4 2 3 2" xfId="34812" xr:uid="{00000000-0005-0000-0000-000076390000}"/>
    <cellStyle name="40% - Accent2 2 2 3 4 2 4" xfId="24572" xr:uid="{00000000-0005-0000-0000-000077390000}"/>
    <cellStyle name="40% - Accent2 2 2 3 4 3" xfId="6652" xr:uid="{00000000-0005-0000-0000-000078390000}"/>
    <cellStyle name="40% - Accent2 2 2 3 4 3 2" xfId="16892" xr:uid="{00000000-0005-0000-0000-000079390000}"/>
    <cellStyle name="40% - Accent2 2 2 3 4 3 2 2" xfId="37372" xr:uid="{00000000-0005-0000-0000-00007A390000}"/>
    <cellStyle name="40% - Accent2 2 2 3 4 3 3" xfId="27132" xr:uid="{00000000-0005-0000-0000-00007B390000}"/>
    <cellStyle name="40% - Accent2 2 2 3 4 4" xfId="11772" xr:uid="{00000000-0005-0000-0000-00007C390000}"/>
    <cellStyle name="40% - Accent2 2 2 3 4 4 2" xfId="32252" xr:uid="{00000000-0005-0000-0000-00007D390000}"/>
    <cellStyle name="40% - Accent2 2 2 3 4 5" xfId="22012" xr:uid="{00000000-0005-0000-0000-00007E390000}"/>
    <cellStyle name="40% - Accent2 2 2 3 5" xfId="2812" xr:uid="{00000000-0005-0000-0000-00007F390000}"/>
    <cellStyle name="40% - Accent2 2 2 3 5 2" xfId="7932" xr:uid="{00000000-0005-0000-0000-000080390000}"/>
    <cellStyle name="40% - Accent2 2 2 3 5 2 2" xfId="18172" xr:uid="{00000000-0005-0000-0000-000081390000}"/>
    <cellStyle name="40% - Accent2 2 2 3 5 2 2 2" xfId="38652" xr:uid="{00000000-0005-0000-0000-000082390000}"/>
    <cellStyle name="40% - Accent2 2 2 3 5 2 3" xfId="28412" xr:uid="{00000000-0005-0000-0000-000083390000}"/>
    <cellStyle name="40% - Accent2 2 2 3 5 3" xfId="13052" xr:uid="{00000000-0005-0000-0000-000084390000}"/>
    <cellStyle name="40% - Accent2 2 2 3 5 3 2" xfId="33532" xr:uid="{00000000-0005-0000-0000-000085390000}"/>
    <cellStyle name="40% - Accent2 2 2 3 5 4" xfId="23292" xr:uid="{00000000-0005-0000-0000-000086390000}"/>
    <cellStyle name="40% - Accent2 2 2 3 6" xfId="5372" xr:uid="{00000000-0005-0000-0000-000087390000}"/>
    <cellStyle name="40% - Accent2 2 2 3 6 2" xfId="15612" xr:uid="{00000000-0005-0000-0000-000088390000}"/>
    <cellStyle name="40% - Accent2 2 2 3 6 2 2" xfId="36092" xr:uid="{00000000-0005-0000-0000-000089390000}"/>
    <cellStyle name="40% - Accent2 2 2 3 6 3" xfId="25852" xr:uid="{00000000-0005-0000-0000-00008A390000}"/>
    <cellStyle name="40% - Accent2 2 2 3 7" xfId="10492" xr:uid="{00000000-0005-0000-0000-00008B390000}"/>
    <cellStyle name="40% - Accent2 2 2 3 7 2" xfId="30972" xr:uid="{00000000-0005-0000-0000-00008C390000}"/>
    <cellStyle name="40% - Accent2 2 2 3 8" xfId="20732" xr:uid="{00000000-0005-0000-0000-00008D390000}"/>
    <cellStyle name="40% - Accent2 2 2 4" xfId="412" xr:uid="{00000000-0005-0000-0000-00008E390000}"/>
    <cellStyle name="40% - Accent2 2 2 4 2" xfId="1052" xr:uid="{00000000-0005-0000-0000-00008F390000}"/>
    <cellStyle name="40% - Accent2 2 2 4 2 2" xfId="2332" xr:uid="{00000000-0005-0000-0000-000090390000}"/>
    <cellStyle name="40% - Accent2 2 2 4 2 2 2" xfId="4892" xr:uid="{00000000-0005-0000-0000-000091390000}"/>
    <cellStyle name="40% - Accent2 2 2 4 2 2 2 2" xfId="10012" xr:uid="{00000000-0005-0000-0000-000092390000}"/>
    <cellStyle name="40% - Accent2 2 2 4 2 2 2 2 2" xfId="20252" xr:uid="{00000000-0005-0000-0000-000093390000}"/>
    <cellStyle name="40% - Accent2 2 2 4 2 2 2 2 2 2" xfId="40732" xr:uid="{00000000-0005-0000-0000-000094390000}"/>
    <cellStyle name="40% - Accent2 2 2 4 2 2 2 2 3" xfId="30492" xr:uid="{00000000-0005-0000-0000-000095390000}"/>
    <cellStyle name="40% - Accent2 2 2 4 2 2 2 3" xfId="15132" xr:uid="{00000000-0005-0000-0000-000096390000}"/>
    <cellStyle name="40% - Accent2 2 2 4 2 2 2 3 2" xfId="35612" xr:uid="{00000000-0005-0000-0000-000097390000}"/>
    <cellStyle name="40% - Accent2 2 2 4 2 2 2 4" xfId="25372" xr:uid="{00000000-0005-0000-0000-000098390000}"/>
    <cellStyle name="40% - Accent2 2 2 4 2 2 3" xfId="7452" xr:uid="{00000000-0005-0000-0000-000099390000}"/>
    <cellStyle name="40% - Accent2 2 2 4 2 2 3 2" xfId="17692" xr:uid="{00000000-0005-0000-0000-00009A390000}"/>
    <cellStyle name="40% - Accent2 2 2 4 2 2 3 2 2" xfId="38172" xr:uid="{00000000-0005-0000-0000-00009B390000}"/>
    <cellStyle name="40% - Accent2 2 2 4 2 2 3 3" xfId="27932" xr:uid="{00000000-0005-0000-0000-00009C390000}"/>
    <cellStyle name="40% - Accent2 2 2 4 2 2 4" xfId="12572" xr:uid="{00000000-0005-0000-0000-00009D390000}"/>
    <cellStyle name="40% - Accent2 2 2 4 2 2 4 2" xfId="33052" xr:uid="{00000000-0005-0000-0000-00009E390000}"/>
    <cellStyle name="40% - Accent2 2 2 4 2 2 5" xfId="22812" xr:uid="{00000000-0005-0000-0000-00009F390000}"/>
    <cellStyle name="40% - Accent2 2 2 4 2 3" xfId="3612" xr:uid="{00000000-0005-0000-0000-0000A0390000}"/>
    <cellStyle name="40% - Accent2 2 2 4 2 3 2" xfId="8732" xr:uid="{00000000-0005-0000-0000-0000A1390000}"/>
    <cellStyle name="40% - Accent2 2 2 4 2 3 2 2" xfId="18972" xr:uid="{00000000-0005-0000-0000-0000A2390000}"/>
    <cellStyle name="40% - Accent2 2 2 4 2 3 2 2 2" xfId="39452" xr:uid="{00000000-0005-0000-0000-0000A3390000}"/>
    <cellStyle name="40% - Accent2 2 2 4 2 3 2 3" xfId="29212" xr:uid="{00000000-0005-0000-0000-0000A4390000}"/>
    <cellStyle name="40% - Accent2 2 2 4 2 3 3" xfId="13852" xr:uid="{00000000-0005-0000-0000-0000A5390000}"/>
    <cellStyle name="40% - Accent2 2 2 4 2 3 3 2" xfId="34332" xr:uid="{00000000-0005-0000-0000-0000A6390000}"/>
    <cellStyle name="40% - Accent2 2 2 4 2 3 4" xfId="24092" xr:uid="{00000000-0005-0000-0000-0000A7390000}"/>
    <cellStyle name="40% - Accent2 2 2 4 2 4" xfId="6172" xr:uid="{00000000-0005-0000-0000-0000A8390000}"/>
    <cellStyle name="40% - Accent2 2 2 4 2 4 2" xfId="16412" xr:uid="{00000000-0005-0000-0000-0000A9390000}"/>
    <cellStyle name="40% - Accent2 2 2 4 2 4 2 2" xfId="36892" xr:uid="{00000000-0005-0000-0000-0000AA390000}"/>
    <cellStyle name="40% - Accent2 2 2 4 2 4 3" xfId="26652" xr:uid="{00000000-0005-0000-0000-0000AB390000}"/>
    <cellStyle name="40% - Accent2 2 2 4 2 5" xfId="11292" xr:uid="{00000000-0005-0000-0000-0000AC390000}"/>
    <cellStyle name="40% - Accent2 2 2 4 2 5 2" xfId="31772" xr:uid="{00000000-0005-0000-0000-0000AD390000}"/>
    <cellStyle name="40% - Accent2 2 2 4 2 6" xfId="21532" xr:uid="{00000000-0005-0000-0000-0000AE390000}"/>
    <cellStyle name="40% - Accent2 2 2 4 3" xfId="1692" xr:uid="{00000000-0005-0000-0000-0000AF390000}"/>
    <cellStyle name="40% - Accent2 2 2 4 3 2" xfId="4252" xr:uid="{00000000-0005-0000-0000-0000B0390000}"/>
    <cellStyle name="40% - Accent2 2 2 4 3 2 2" xfId="9372" xr:uid="{00000000-0005-0000-0000-0000B1390000}"/>
    <cellStyle name="40% - Accent2 2 2 4 3 2 2 2" xfId="19612" xr:uid="{00000000-0005-0000-0000-0000B2390000}"/>
    <cellStyle name="40% - Accent2 2 2 4 3 2 2 2 2" xfId="40092" xr:uid="{00000000-0005-0000-0000-0000B3390000}"/>
    <cellStyle name="40% - Accent2 2 2 4 3 2 2 3" xfId="29852" xr:uid="{00000000-0005-0000-0000-0000B4390000}"/>
    <cellStyle name="40% - Accent2 2 2 4 3 2 3" xfId="14492" xr:uid="{00000000-0005-0000-0000-0000B5390000}"/>
    <cellStyle name="40% - Accent2 2 2 4 3 2 3 2" xfId="34972" xr:uid="{00000000-0005-0000-0000-0000B6390000}"/>
    <cellStyle name="40% - Accent2 2 2 4 3 2 4" xfId="24732" xr:uid="{00000000-0005-0000-0000-0000B7390000}"/>
    <cellStyle name="40% - Accent2 2 2 4 3 3" xfId="6812" xr:uid="{00000000-0005-0000-0000-0000B8390000}"/>
    <cellStyle name="40% - Accent2 2 2 4 3 3 2" xfId="17052" xr:uid="{00000000-0005-0000-0000-0000B9390000}"/>
    <cellStyle name="40% - Accent2 2 2 4 3 3 2 2" xfId="37532" xr:uid="{00000000-0005-0000-0000-0000BA390000}"/>
    <cellStyle name="40% - Accent2 2 2 4 3 3 3" xfId="27292" xr:uid="{00000000-0005-0000-0000-0000BB390000}"/>
    <cellStyle name="40% - Accent2 2 2 4 3 4" xfId="11932" xr:uid="{00000000-0005-0000-0000-0000BC390000}"/>
    <cellStyle name="40% - Accent2 2 2 4 3 4 2" xfId="32412" xr:uid="{00000000-0005-0000-0000-0000BD390000}"/>
    <cellStyle name="40% - Accent2 2 2 4 3 5" xfId="22172" xr:uid="{00000000-0005-0000-0000-0000BE390000}"/>
    <cellStyle name="40% - Accent2 2 2 4 4" xfId="2972" xr:uid="{00000000-0005-0000-0000-0000BF390000}"/>
    <cellStyle name="40% - Accent2 2 2 4 4 2" xfId="8092" xr:uid="{00000000-0005-0000-0000-0000C0390000}"/>
    <cellStyle name="40% - Accent2 2 2 4 4 2 2" xfId="18332" xr:uid="{00000000-0005-0000-0000-0000C1390000}"/>
    <cellStyle name="40% - Accent2 2 2 4 4 2 2 2" xfId="38812" xr:uid="{00000000-0005-0000-0000-0000C2390000}"/>
    <cellStyle name="40% - Accent2 2 2 4 4 2 3" xfId="28572" xr:uid="{00000000-0005-0000-0000-0000C3390000}"/>
    <cellStyle name="40% - Accent2 2 2 4 4 3" xfId="13212" xr:uid="{00000000-0005-0000-0000-0000C4390000}"/>
    <cellStyle name="40% - Accent2 2 2 4 4 3 2" xfId="33692" xr:uid="{00000000-0005-0000-0000-0000C5390000}"/>
    <cellStyle name="40% - Accent2 2 2 4 4 4" xfId="23452" xr:uid="{00000000-0005-0000-0000-0000C6390000}"/>
    <cellStyle name="40% - Accent2 2 2 4 5" xfId="5532" xr:uid="{00000000-0005-0000-0000-0000C7390000}"/>
    <cellStyle name="40% - Accent2 2 2 4 5 2" xfId="15772" xr:uid="{00000000-0005-0000-0000-0000C8390000}"/>
    <cellStyle name="40% - Accent2 2 2 4 5 2 2" xfId="36252" xr:uid="{00000000-0005-0000-0000-0000C9390000}"/>
    <cellStyle name="40% - Accent2 2 2 4 5 3" xfId="26012" xr:uid="{00000000-0005-0000-0000-0000CA390000}"/>
    <cellStyle name="40% - Accent2 2 2 4 6" xfId="10652" xr:uid="{00000000-0005-0000-0000-0000CB390000}"/>
    <cellStyle name="40% - Accent2 2 2 4 6 2" xfId="31132" xr:uid="{00000000-0005-0000-0000-0000CC390000}"/>
    <cellStyle name="40% - Accent2 2 2 4 7" xfId="20892" xr:uid="{00000000-0005-0000-0000-0000CD390000}"/>
    <cellStyle name="40% - Accent2 2 2 5" xfId="732" xr:uid="{00000000-0005-0000-0000-0000CE390000}"/>
    <cellStyle name="40% - Accent2 2 2 5 2" xfId="2012" xr:uid="{00000000-0005-0000-0000-0000CF390000}"/>
    <cellStyle name="40% - Accent2 2 2 5 2 2" xfId="4572" xr:uid="{00000000-0005-0000-0000-0000D0390000}"/>
    <cellStyle name="40% - Accent2 2 2 5 2 2 2" xfId="9692" xr:uid="{00000000-0005-0000-0000-0000D1390000}"/>
    <cellStyle name="40% - Accent2 2 2 5 2 2 2 2" xfId="19932" xr:uid="{00000000-0005-0000-0000-0000D2390000}"/>
    <cellStyle name="40% - Accent2 2 2 5 2 2 2 2 2" xfId="40412" xr:uid="{00000000-0005-0000-0000-0000D3390000}"/>
    <cellStyle name="40% - Accent2 2 2 5 2 2 2 3" xfId="30172" xr:uid="{00000000-0005-0000-0000-0000D4390000}"/>
    <cellStyle name="40% - Accent2 2 2 5 2 2 3" xfId="14812" xr:uid="{00000000-0005-0000-0000-0000D5390000}"/>
    <cellStyle name="40% - Accent2 2 2 5 2 2 3 2" xfId="35292" xr:uid="{00000000-0005-0000-0000-0000D6390000}"/>
    <cellStyle name="40% - Accent2 2 2 5 2 2 4" xfId="25052" xr:uid="{00000000-0005-0000-0000-0000D7390000}"/>
    <cellStyle name="40% - Accent2 2 2 5 2 3" xfId="7132" xr:uid="{00000000-0005-0000-0000-0000D8390000}"/>
    <cellStyle name="40% - Accent2 2 2 5 2 3 2" xfId="17372" xr:uid="{00000000-0005-0000-0000-0000D9390000}"/>
    <cellStyle name="40% - Accent2 2 2 5 2 3 2 2" xfId="37852" xr:uid="{00000000-0005-0000-0000-0000DA390000}"/>
    <cellStyle name="40% - Accent2 2 2 5 2 3 3" xfId="27612" xr:uid="{00000000-0005-0000-0000-0000DB390000}"/>
    <cellStyle name="40% - Accent2 2 2 5 2 4" xfId="12252" xr:uid="{00000000-0005-0000-0000-0000DC390000}"/>
    <cellStyle name="40% - Accent2 2 2 5 2 4 2" xfId="32732" xr:uid="{00000000-0005-0000-0000-0000DD390000}"/>
    <cellStyle name="40% - Accent2 2 2 5 2 5" xfId="22492" xr:uid="{00000000-0005-0000-0000-0000DE390000}"/>
    <cellStyle name="40% - Accent2 2 2 5 3" xfId="3292" xr:uid="{00000000-0005-0000-0000-0000DF390000}"/>
    <cellStyle name="40% - Accent2 2 2 5 3 2" xfId="8412" xr:uid="{00000000-0005-0000-0000-0000E0390000}"/>
    <cellStyle name="40% - Accent2 2 2 5 3 2 2" xfId="18652" xr:uid="{00000000-0005-0000-0000-0000E1390000}"/>
    <cellStyle name="40% - Accent2 2 2 5 3 2 2 2" xfId="39132" xr:uid="{00000000-0005-0000-0000-0000E2390000}"/>
    <cellStyle name="40% - Accent2 2 2 5 3 2 3" xfId="28892" xr:uid="{00000000-0005-0000-0000-0000E3390000}"/>
    <cellStyle name="40% - Accent2 2 2 5 3 3" xfId="13532" xr:uid="{00000000-0005-0000-0000-0000E4390000}"/>
    <cellStyle name="40% - Accent2 2 2 5 3 3 2" xfId="34012" xr:uid="{00000000-0005-0000-0000-0000E5390000}"/>
    <cellStyle name="40% - Accent2 2 2 5 3 4" xfId="23772" xr:uid="{00000000-0005-0000-0000-0000E6390000}"/>
    <cellStyle name="40% - Accent2 2 2 5 4" xfId="5852" xr:uid="{00000000-0005-0000-0000-0000E7390000}"/>
    <cellStyle name="40% - Accent2 2 2 5 4 2" xfId="16092" xr:uid="{00000000-0005-0000-0000-0000E8390000}"/>
    <cellStyle name="40% - Accent2 2 2 5 4 2 2" xfId="36572" xr:uid="{00000000-0005-0000-0000-0000E9390000}"/>
    <cellStyle name="40% - Accent2 2 2 5 4 3" xfId="26332" xr:uid="{00000000-0005-0000-0000-0000EA390000}"/>
    <cellStyle name="40% - Accent2 2 2 5 5" xfId="10972" xr:uid="{00000000-0005-0000-0000-0000EB390000}"/>
    <cellStyle name="40% - Accent2 2 2 5 5 2" xfId="31452" xr:uid="{00000000-0005-0000-0000-0000EC390000}"/>
    <cellStyle name="40% - Accent2 2 2 5 6" xfId="21212" xr:uid="{00000000-0005-0000-0000-0000ED390000}"/>
    <cellStyle name="40% - Accent2 2 2 6" xfId="1372" xr:uid="{00000000-0005-0000-0000-0000EE390000}"/>
    <cellStyle name="40% - Accent2 2 2 6 2" xfId="3932" xr:uid="{00000000-0005-0000-0000-0000EF390000}"/>
    <cellStyle name="40% - Accent2 2 2 6 2 2" xfId="9052" xr:uid="{00000000-0005-0000-0000-0000F0390000}"/>
    <cellStyle name="40% - Accent2 2 2 6 2 2 2" xfId="19292" xr:uid="{00000000-0005-0000-0000-0000F1390000}"/>
    <cellStyle name="40% - Accent2 2 2 6 2 2 2 2" xfId="39772" xr:uid="{00000000-0005-0000-0000-0000F2390000}"/>
    <cellStyle name="40% - Accent2 2 2 6 2 2 3" xfId="29532" xr:uid="{00000000-0005-0000-0000-0000F3390000}"/>
    <cellStyle name="40% - Accent2 2 2 6 2 3" xfId="14172" xr:uid="{00000000-0005-0000-0000-0000F4390000}"/>
    <cellStyle name="40% - Accent2 2 2 6 2 3 2" xfId="34652" xr:uid="{00000000-0005-0000-0000-0000F5390000}"/>
    <cellStyle name="40% - Accent2 2 2 6 2 4" xfId="24412" xr:uid="{00000000-0005-0000-0000-0000F6390000}"/>
    <cellStyle name="40% - Accent2 2 2 6 3" xfId="6492" xr:uid="{00000000-0005-0000-0000-0000F7390000}"/>
    <cellStyle name="40% - Accent2 2 2 6 3 2" xfId="16732" xr:uid="{00000000-0005-0000-0000-0000F8390000}"/>
    <cellStyle name="40% - Accent2 2 2 6 3 2 2" xfId="37212" xr:uid="{00000000-0005-0000-0000-0000F9390000}"/>
    <cellStyle name="40% - Accent2 2 2 6 3 3" xfId="26972" xr:uid="{00000000-0005-0000-0000-0000FA390000}"/>
    <cellStyle name="40% - Accent2 2 2 6 4" xfId="11612" xr:uid="{00000000-0005-0000-0000-0000FB390000}"/>
    <cellStyle name="40% - Accent2 2 2 6 4 2" xfId="32092" xr:uid="{00000000-0005-0000-0000-0000FC390000}"/>
    <cellStyle name="40% - Accent2 2 2 6 5" xfId="21852" xr:uid="{00000000-0005-0000-0000-0000FD390000}"/>
    <cellStyle name="40% - Accent2 2 2 7" xfId="2652" xr:uid="{00000000-0005-0000-0000-0000FE390000}"/>
    <cellStyle name="40% - Accent2 2 2 7 2" xfId="7772" xr:uid="{00000000-0005-0000-0000-0000FF390000}"/>
    <cellStyle name="40% - Accent2 2 2 7 2 2" xfId="18012" xr:uid="{00000000-0005-0000-0000-0000003A0000}"/>
    <cellStyle name="40% - Accent2 2 2 7 2 2 2" xfId="38492" xr:uid="{00000000-0005-0000-0000-0000013A0000}"/>
    <cellStyle name="40% - Accent2 2 2 7 2 3" xfId="28252" xr:uid="{00000000-0005-0000-0000-0000023A0000}"/>
    <cellStyle name="40% - Accent2 2 2 7 3" xfId="12892" xr:uid="{00000000-0005-0000-0000-0000033A0000}"/>
    <cellStyle name="40% - Accent2 2 2 7 3 2" xfId="33372" xr:uid="{00000000-0005-0000-0000-0000043A0000}"/>
    <cellStyle name="40% - Accent2 2 2 7 4" xfId="23132" xr:uid="{00000000-0005-0000-0000-0000053A0000}"/>
    <cellStyle name="40% - Accent2 2 2 8" xfId="5212" xr:uid="{00000000-0005-0000-0000-0000063A0000}"/>
    <cellStyle name="40% - Accent2 2 2 8 2" xfId="15452" xr:uid="{00000000-0005-0000-0000-0000073A0000}"/>
    <cellStyle name="40% - Accent2 2 2 8 2 2" xfId="35932" xr:uid="{00000000-0005-0000-0000-0000083A0000}"/>
    <cellStyle name="40% - Accent2 2 2 8 3" xfId="25692" xr:uid="{00000000-0005-0000-0000-0000093A0000}"/>
    <cellStyle name="40% - Accent2 2 2 9" xfId="10332" xr:uid="{00000000-0005-0000-0000-00000A3A0000}"/>
    <cellStyle name="40% - Accent2 2 2 9 2" xfId="30812" xr:uid="{00000000-0005-0000-0000-00000B3A0000}"/>
    <cellStyle name="40% - Accent2 2 3" xfId="132" xr:uid="{00000000-0005-0000-0000-00000C3A0000}"/>
    <cellStyle name="40% - Accent2 2 3 2" xfId="292" xr:uid="{00000000-0005-0000-0000-00000D3A0000}"/>
    <cellStyle name="40% - Accent2 2 3 2 2" xfId="612" xr:uid="{00000000-0005-0000-0000-00000E3A0000}"/>
    <cellStyle name="40% - Accent2 2 3 2 2 2" xfId="1252" xr:uid="{00000000-0005-0000-0000-00000F3A0000}"/>
    <cellStyle name="40% - Accent2 2 3 2 2 2 2" xfId="2532" xr:uid="{00000000-0005-0000-0000-0000103A0000}"/>
    <cellStyle name="40% - Accent2 2 3 2 2 2 2 2" xfId="5092" xr:uid="{00000000-0005-0000-0000-0000113A0000}"/>
    <cellStyle name="40% - Accent2 2 3 2 2 2 2 2 2" xfId="10212" xr:uid="{00000000-0005-0000-0000-0000123A0000}"/>
    <cellStyle name="40% - Accent2 2 3 2 2 2 2 2 2 2" xfId="20452" xr:uid="{00000000-0005-0000-0000-0000133A0000}"/>
    <cellStyle name="40% - Accent2 2 3 2 2 2 2 2 2 2 2" xfId="40932" xr:uid="{00000000-0005-0000-0000-0000143A0000}"/>
    <cellStyle name="40% - Accent2 2 3 2 2 2 2 2 2 3" xfId="30692" xr:uid="{00000000-0005-0000-0000-0000153A0000}"/>
    <cellStyle name="40% - Accent2 2 3 2 2 2 2 2 3" xfId="15332" xr:uid="{00000000-0005-0000-0000-0000163A0000}"/>
    <cellStyle name="40% - Accent2 2 3 2 2 2 2 2 3 2" xfId="35812" xr:uid="{00000000-0005-0000-0000-0000173A0000}"/>
    <cellStyle name="40% - Accent2 2 3 2 2 2 2 2 4" xfId="25572" xr:uid="{00000000-0005-0000-0000-0000183A0000}"/>
    <cellStyle name="40% - Accent2 2 3 2 2 2 2 3" xfId="7652" xr:uid="{00000000-0005-0000-0000-0000193A0000}"/>
    <cellStyle name="40% - Accent2 2 3 2 2 2 2 3 2" xfId="17892" xr:uid="{00000000-0005-0000-0000-00001A3A0000}"/>
    <cellStyle name="40% - Accent2 2 3 2 2 2 2 3 2 2" xfId="38372" xr:uid="{00000000-0005-0000-0000-00001B3A0000}"/>
    <cellStyle name="40% - Accent2 2 3 2 2 2 2 3 3" xfId="28132" xr:uid="{00000000-0005-0000-0000-00001C3A0000}"/>
    <cellStyle name="40% - Accent2 2 3 2 2 2 2 4" xfId="12772" xr:uid="{00000000-0005-0000-0000-00001D3A0000}"/>
    <cellStyle name="40% - Accent2 2 3 2 2 2 2 4 2" xfId="33252" xr:uid="{00000000-0005-0000-0000-00001E3A0000}"/>
    <cellStyle name="40% - Accent2 2 3 2 2 2 2 5" xfId="23012" xr:uid="{00000000-0005-0000-0000-00001F3A0000}"/>
    <cellStyle name="40% - Accent2 2 3 2 2 2 3" xfId="3812" xr:uid="{00000000-0005-0000-0000-0000203A0000}"/>
    <cellStyle name="40% - Accent2 2 3 2 2 2 3 2" xfId="8932" xr:uid="{00000000-0005-0000-0000-0000213A0000}"/>
    <cellStyle name="40% - Accent2 2 3 2 2 2 3 2 2" xfId="19172" xr:uid="{00000000-0005-0000-0000-0000223A0000}"/>
    <cellStyle name="40% - Accent2 2 3 2 2 2 3 2 2 2" xfId="39652" xr:uid="{00000000-0005-0000-0000-0000233A0000}"/>
    <cellStyle name="40% - Accent2 2 3 2 2 2 3 2 3" xfId="29412" xr:uid="{00000000-0005-0000-0000-0000243A0000}"/>
    <cellStyle name="40% - Accent2 2 3 2 2 2 3 3" xfId="14052" xr:uid="{00000000-0005-0000-0000-0000253A0000}"/>
    <cellStyle name="40% - Accent2 2 3 2 2 2 3 3 2" xfId="34532" xr:uid="{00000000-0005-0000-0000-0000263A0000}"/>
    <cellStyle name="40% - Accent2 2 3 2 2 2 3 4" xfId="24292" xr:uid="{00000000-0005-0000-0000-0000273A0000}"/>
    <cellStyle name="40% - Accent2 2 3 2 2 2 4" xfId="6372" xr:uid="{00000000-0005-0000-0000-0000283A0000}"/>
    <cellStyle name="40% - Accent2 2 3 2 2 2 4 2" xfId="16612" xr:uid="{00000000-0005-0000-0000-0000293A0000}"/>
    <cellStyle name="40% - Accent2 2 3 2 2 2 4 2 2" xfId="37092" xr:uid="{00000000-0005-0000-0000-00002A3A0000}"/>
    <cellStyle name="40% - Accent2 2 3 2 2 2 4 3" xfId="26852" xr:uid="{00000000-0005-0000-0000-00002B3A0000}"/>
    <cellStyle name="40% - Accent2 2 3 2 2 2 5" xfId="11492" xr:uid="{00000000-0005-0000-0000-00002C3A0000}"/>
    <cellStyle name="40% - Accent2 2 3 2 2 2 5 2" xfId="31972" xr:uid="{00000000-0005-0000-0000-00002D3A0000}"/>
    <cellStyle name="40% - Accent2 2 3 2 2 2 6" xfId="21732" xr:uid="{00000000-0005-0000-0000-00002E3A0000}"/>
    <cellStyle name="40% - Accent2 2 3 2 2 3" xfId="1892" xr:uid="{00000000-0005-0000-0000-00002F3A0000}"/>
    <cellStyle name="40% - Accent2 2 3 2 2 3 2" xfId="4452" xr:uid="{00000000-0005-0000-0000-0000303A0000}"/>
    <cellStyle name="40% - Accent2 2 3 2 2 3 2 2" xfId="9572" xr:uid="{00000000-0005-0000-0000-0000313A0000}"/>
    <cellStyle name="40% - Accent2 2 3 2 2 3 2 2 2" xfId="19812" xr:uid="{00000000-0005-0000-0000-0000323A0000}"/>
    <cellStyle name="40% - Accent2 2 3 2 2 3 2 2 2 2" xfId="40292" xr:uid="{00000000-0005-0000-0000-0000333A0000}"/>
    <cellStyle name="40% - Accent2 2 3 2 2 3 2 2 3" xfId="30052" xr:uid="{00000000-0005-0000-0000-0000343A0000}"/>
    <cellStyle name="40% - Accent2 2 3 2 2 3 2 3" xfId="14692" xr:uid="{00000000-0005-0000-0000-0000353A0000}"/>
    <cellStyle name="40% - Accent2 2 3 2 2 3 2 3 2" xfId="35172" xr:uid="{00000000-0005-0000-0000-0000363A0000}"/>
    <cellStyle name="40% - Accent2 2 3 2 2 3 2 4" xfId="24932" xr:uid="{00000000-0005-0000-0000-0000373A0000}"/>
    <cellStyle name="40% - Accent2 2 3 2 2 3 3" xfId="7012" xr:uid="{00000000-0005-0000-0000-0000383A0000}"/>
    <cellStyle name="40% - Accent2 2 3 2 2 3 3 2" xfId="17252" xr:uid="{00000000-0005-0000-0000-0000393A0000}"/>
    <cellStyle name="40% - Accent2 2 3 2 2 3 3 2 2" xfId="37732" xr:uid="{00000000-0005-0000-0000-00003A3A0000}"/>
    <cellStyle name="40% - Accent2 2 3 2 2 3 3 3" xfId="27492" xr:uid="{00000000-0005-0000-0000-00003B3A0000}"/>
    <cellStyle name="40% - Accent2 2 3 2 2 3 4" xfId="12132" xr:uid="{00000000-0005-0000-0000-00003C3A0000}"/>
    <cellStyle name="40% - Accent2 2 3 2 2 3 4 2" xfId="32612" xr:uid="{00000000-0005-0000-0000-00003D3A0000}"/>
    <cellStyle name="40% - Accent2 2 3 2 2 3 5" xfId="22372" xr:uid="{00000000-0005-0000-0000-00003E3A0000}"/>
    <cellStyle name="40% - Accent2 2 3 2 2 4" xfId="3172" xr:uid="{00000000-0005-0000-0000-00003F3A0000}"/>
    <cellStyle name="40% - Accent2 2 3 2 2 4 2" xfId="8292" xr:uid="{00000000-0005-0000-0000-0000403A0000}"/>
    <cellStyle name="40% - Accent2 2 3 2 2 4 2 2" xfId="18532" xr:uid="{00000000-0005-0000-0000-0000413A0000}"/>
    <cellStyle name="40% - Accent2 2 3 2 2 4 2 2 2" xfId="39012" xr:uid="{00000000-0005-0000-0000-0000423A0000}"/>
    <cellStyle name="40% - Accent2 2 3 2 2 4 2 3" xfId="28772" xr:uid="{00000000-0005-0000-0000-0000433A0000}"/>
    <cellStyle name="40% - Accent2 2 3 2 2 4 3" xfId="13412" xr:uid="{00000000-0005-0000-0000-0000443A0000}"/>
    <cellStyle name="40% - Accent2 2 3 2 2 4 3 2" xfId="33892" xr:uid="{00000000-0005-0000-0000-0000453A0000}"/>
    <cellStyle name="40% - Accent2 2 3 2 2 4 4" xfId="23652" xr:uid="{00000000-0005-0000-0000-0000463A0000}"/>
    <cellStyle name="40% - Accent2 2 3 2 2 5" xfId="5732" xr:uid="{00000000-0005-0000-0000-0000473A0000}"/>
    <cellStyle name="40% - Accent2 2 3 2 2 5 2" xfId="15972" xr:uid="{00000000-0005-0000-0000-0000483A0000}"/>
    <cellStyle name="40% - Accent2 2 3 2 2 5 2 2" xfId="36452" xr:uid="{00000000-0005-0000-0000-0000493A0000}"/>
    <cellStyle name="40% - Accent2 2 3 2 2 5 3" xfId="26212" xr:uid="{00000000-0005-0000-0000-00004A3A0000}"/>
    <cellStyle name="40% - Accent2 2 3 2 2 6" xfId="10852" xr:uid="{00000000-0005-0000-0000-00004B3A0000}"/>
    <cellStyle name="40% - Accent2 2 3 2 2 6 2" xfId="31332" xr:uid="{00000000-0005-0000-0000-00004C3A0000}"/>
    <cellStyle name="40% - Accent2 2 3 2 2 7" xfId="21092" xr:uid="{00000000-0005-0000-0000-00004D3A0000}"/>
    <cellStyle name="40% - Accent2 2 3 2 3" xfId="932" xr:uid="{00000000-0005-0000-0000-00004E3A0000}"/>
    <cellStyle name="40% - Accent2 2 3 2 3 2" xfId="2212" xr:uid="{00000000-0005-0000-0000-00004F3A0000}"/>
    <cellStyle name="40% - Accent2 2 3 2 3 2 2" xfId="4772" xr:uid="{00000000-0005-0000-0000-0000503A0000}"/>
    <cellStyle name="40% - Accent2 2 3 2 3 2 2 2" xfId="9892" xr:uid="{00000000-0005-0000-0000-0000513A0000}"/>
    <cellStyle name="40% - Accent2 2 3 2 3 2 2 2 2" xfId="20132" xr:uid="{00000000-0005-0000-0000-0000523A0000}"/>
    <cellStyle name="40% - Accent2 2 3 2 3 2 2 2 2 2" xfId="40612" xr:uid="{00000000-0005-0000-0000-0000533A0000}"/>
    <cellStyle name="40% - Accent2 2 3 2 3 2 2 2 3" xfId="30372" xr:uid="{00000000-0005-0000-0000-0000543A0000}"/>
    <cellStyle name="40% - Accent2 2 3 2 3 2 2 3" xfId="15012" xr:uid="{00000000-0005-0000-0000-0000553A0000}"/>
    <cellStyle name="40% - Accent2 2 3 2 3 2 2 3 2" xfId="35492" xr:uid="{00000000-0005-0000-0000-0000563A0000}"/>
    <cellStyle name="40% - Accent2 2 3 2 3 2 2 4" xfId="25252" xr:uid="{00000000-0005-0000-0000-0000573A0000}"/>
    <cellStyle name="40% - Accent2 2 3 2 3 2 3" xfId="7332" xr:uid="{00000000-0005-0000-0000-0000583A0000}"/>
    <cellStyle name="40% - Accent2 2 3 2 3 2 3 2" xfId="17572" xr:uid="{00000000-0005-0000-0000-0000593A0000}"/>
    <cellStyle name="40% - Accent2 2 3 2 3 2 3 2 2" xfId="38052" xr:uid="{00000000-0005-0000-0000-00005A3A0000}"/>
    <cellStyle name="40% - Accent2 2 3 2 3 2 3 3" xfId="27812" xr:uid="{00000000-0005-0000-0000-00005B3A0000}"/>
    <cellStyle name="40% - Accent2 2 3 2 3 2 4" xfId="12452" xr:uid="{00000000-0005-0000-0000-00005C3A0000}"/>
    <cellStyle name="40% - Accent2 2 3 2 3 2 4 2" xfId="32932" xr:uid="{00000000-0005-0000-0000-00005D3A0000}"/>
    <cellStyle name="40% - Accent2 2 3 2 3 2 5" xfId="22692" xr:uid="{00000000-0005-0000-0000-00005E3A0000}"/>
    <cellStyle name="40% - Accent2 2 3 2 3 3" xfId="3492" xr:uid="{00000000-0005-0000-0000-00005F3A0000}"/>
    <cellStyle name="40% - Accent2 2 3 2 3 3 2" xfId="8612" xr:uid="{00000000-0005-0000-0000-0000603A0000}"/>
    <cellStyle name="40% - Accent2 2 3 2 3 3 2 2" xfId="18852" xr:uid="{00000000-0005-0000-0000-0000613A0000}"/>
    <cellStyle name="40% - Accent2 2 3 2 3 3 2 2 2" xfId="39332" xr:uid="{00000000-0005-0000-0000-0000623A0000}"/>
    <cellStyle name="40% - Accent2 2 3 2 3 3 2 3" xfId="29092" xr:uid="{00000000-0005-0000-0000-0000633A0000}"/>
    <cellStyle name="40% - Accent2 2 3 2 3 3 3" xfId="13732" xr:uid="{00000000-0005-0000-0000-0000643A0000}"/>
    <cellStyle name="40% - Accent2 2 3 2 3 3 3 2" xfId="34212" xr:uid="{00000000-0005-0000-0000-0000653A0000}"/>
    <cellStyle name="40% - Accent2 2 3 2 3 3 4" xfId="23972" xr:uid="{00000000-0005-0000-0000-0000663A0000}"/>
    <cellStyle name="40% - Accent2 2 3 2 3 4" xfId="6052" xr:uid="{00000000-0005-0000-0000-0000673A0000}"/>
    <cellStyle name="40% - Accent2 2 3 2 3 4 2" xfId="16292" xr:uid="{00000000-0005-0000-0000-0000683A0000}"/>
    <cellStyle name="40% - Accent2 2 3 2 3 4 2 2" xfId="36772" xr:uid="{00000000-0005-0000-0000-0000693A0000}"/>
    <cellStyle name="40% - Accent2 2 3 2 3 4 3" xfId="26532" xr:uid="{00000000-0005-0000-0000-00006A3A0000}"/>
    <cellStyle name="40% - Accent2 2 3 2 3 5" xfId="11172" xr:uid="{00000000-0005-0000-0000-00006B3A0000}"/>
    <cellStyle name="40% - Accent2 2 3 2 3 5 2" xfId="31652" xr:uid="{00000000-0005-0000-0000-00006C3A0000}"/>
    <cellStyle name="40% - Accent2 2 3 2 3 6" xfId="21412" xr:uid="{00000000-0005-0000-0000-00006D3A0000}"/>
    <cellStyle name="40% - Accent2 2 3 2 4" xfId="1572" xr:uid="{00000000-0005-0000-0000-00006E3A0000}"/>
    <cellStyle name="40% - Accent2 2 3 2 4 2" xfId="4132" xr:uid="{00000000-0005-0000-0000-00006F3A0000}"/>
    <cellStyle name="40% - Accent2 2 3 2 4 2 2" xfId="9252" xr:uid="{00000000-0005-0000-0000-0000703A0000}"/>
    <cellStyle name="40% - Accent2 2 3 2 4 2 2 2" xfId="19492" xr:uid="{00000000-0005-0000-0000-0000713A0000}"/>
    <cellStyle name="40% - Accent2 2 3 2 4 2 2 2 2" xfId="39972" xr:uid="{00000000-0005-0000-0000-0000723A0000}"/>
    <cellStyle name="40% - Accent2 2 3 2 4 2 2 3" xfId="29732" xr:uid="{00000000-0005-0000-0000-0000733A0000}"/>
    <cellStyle name="40% - Accent2 2 3 2 4 2 3" xfId="14372" xr:uid="{00000000-0005-0000-0000-0000743A0000}"/>
    <cellStyle name="40% - Accent2 2 3 2 4 2 3 2" xfId="34852" xr:uid="{00000000-0005-0000-0000-0000753A0000}"/>
    <cellStyle name="40% - Accent2 2 3 2 4 2 4" xfId="24612" xr:uid="{00000000-0005-0000-0000-0000763A0000}"/>
    <cellStyle name="40% - Accent2 2 3 2 4 3" xfId="6692" xr:uid="{00000000-0005-0000-0000-0000773A0000}"/>
    <cellStyle name="40% - Accent2 2 3 2 4 3 2" xfId="16932" xr:uid="{00000000-0005-0000-0000-0000783A0000}"/>
    <cellStyle name="40% - Accent2 2 3 2 4 3 2 2" xfId="37412" xr:uid="{00000000-0005-0000-0000-0000793A0000}"/>
    <cellStyle name="40% - Accent2 2 3 2 4 3 3" xfId="27172" xr:uid="{00000000-0005-0000-0000-00007A3A0000}"/>
    <cellStyle name="40% - Accent2 2 3 2 4 4" xfId="11812" xr:uid="{00000000-0005-0000-0000-00007B3A0000}"/>
    <cellStyle name="40% - Accent2 2 3 2 4 4 2" xfId="32292" xr:uid="{00000000-0005-0000-0000-00007C3A0000}"/>
    <cellStyle name="40% - Accent2 2 3 2 4 5" xfId="22052" xr:uid="{00000000-0005-0000-0000-00007D3A0000}"/>
    <cellStyle name="40% - Accent2 2 3 2 5" xfId="2852" xr:uid="{00000000-0005-0000-0000-00007E3A0000}"/>
    <cellStyle name="40% - Accent2 2 3 2 5 2" xfId="7972" xr:uid="{00000000-0005-0000-0000-00007F3A0000}"/>
    <cellStyle name="40% - Accent2 2 3 2 5 2 2" xfId="18212" xr:uid="{00000000-0005-0000-0000-0000803A0000}"/>
    <cellStyle name="40% - Accent2 2 3 2 5 2 2 2" xfId="38692" xr:uid="{00000000-0005-0000-0000-0000813A0000}"/>
    <cellStyle name="40% - Accent2 2 3 2 5 2 3" xfId="28452" xr:uid="{00000000-0005-0000-0000-0000823A0000}"/>
    <cellStyle name="40% - Accent2 2 3 2 5 3" xfId="13092" xr:uid="{00000000-0005-0000-0000-0000833A0000}"/>
    <cellStyle name="40% - Accent2 2 3 2 5 3 2" xfId="33572" xr:uid="{00000000-0005-0000-0000-0000843A0000}"/>
    <cellStyle name="40% - Accent2 2 3 2 5 4" xfId="23332" xr:uid="{00000000-0005-0000-0000-0000853A0000}"/>
    <cellStyle name="40% - Accent2 2 3 2 6" xfId="5412" xr:uid="{00000000-0005-0000-0000-0000863A0000}"/>
    <cellStyle name="40% - Accent2 2 3 2 6 2" xfId="15652" xr:uid="{00000000-0005-0000-0000-0000873A0000}"/>
    <cellStyle name="40% - Accent2 2 3 2 6 2 2" xfId="36132" xr:uid="{00000000-0005-0000-0000-0000883A0000}"/>
    <cellStyle name="40% - Accent2 2 3 2 6 3" xfId="25892" xr:uid="{00000000-0005-0000-0000-0000893A0000}"/>
    <cellStyle name="40% - Accent2 2 3 2 7" xfId="10532" xr:uid="{00000000-0005-0000-0000-00008A3A0000}"/>
    <cellStyle name="40% - Accent2 2 3 2 7 2" xfId="31012" xr:uid="{00000000-0005-0000-0000-00008B3A0000}"/>
    <cellStyle name="40% - Accent2 2 3 2 8" xfId="20772" xr:uid="{00000000-0005-0000-0000-00008C3A0000}"/>
    <cellStyle name="40% - Accent2 2 3 3" xfId="452" xr:uid="{00000000-0005-0000-0000-00008D3A0000}"/>
    <cellStyle name="40% - Accent2 2 3 3 2" xfId="1092" xr:uid="{00000000-0005-0000-0000-00008E3A0000}"/>
    <cellStyle name="40% - Accent2 2 3 3 2 2" xfId="2372" xr:uid="{00000000-0005-0000-0000-00008F3A0000}"/>
    <cellStyle name="40% - Accent2 2 3 3 2 2 2" xfId="4932" xr:uid="{00000000-0005-0000-0000-0000903A0000}"/>
    <cellStyle name="40% - Accent2 2 3 3 2 2 2 2" xfId="10052" xr:uid="{00000000-0005-0000-0000-0000913A0000}"/>
    <cellStyle name="40% - Accent2 2 3 3 2 2 2 2 2" xfId="20292" xr:uid="{00000000-0005-0000-0000-0000923A0000}"/>
    <cellStyle name="40% - Accent2 2 3 3 2 2 2 2 2 2" xfId="40772" xr:uid="{00000000-0005-0000-0000-0000933A0000}"/>
    <cellStyle name="40% - Accent2 2 3 3 2 2 2 2 3" xfId="30532" xr:uid="{00000000-0005-0000-0000-0000943A0000}"/>
    <cellStyle name="40% - Accent2 2 3 3 2 2 2 3" xfId="15172" xr:uid="{00000000-0005-0000-0000-0000953A0000}"/>
    <cellStyle name="40% - Accent2 2 3 3 2 2 2 3 2" xfId="35652" xr:uid="{00000000-0005-0000-0000-0000963A0000}"/>
    <cellStyle name="40% - Accent2 2 3 3 2 2 2 4" xfId="25412" xr:uid="{00000000-0005-0000-0000-0000973A0000}"/>
    <cellStyle name="40% - Accent2 2 3 3 2 2 3" xfId="7492" xr:uid="{00000000-0005-0000-0000-0000983A0000}"/>
    <cellStyle name="40% - Accent2 2 3 3 2 2 3 2" xfId="17732" xr:uid="{00000000-0005-0000-0000-0000993A0000}"/>
    <cellStyle name="40% - Accent2 2 3 3 2 2 3 2 2" xfId="38212" xr:uid="{00000000-0005-0000-0000-00009A3A0000}"/>
    <cellStyle name="40% - Accent2 2 3 3 2 2 3 3" xfId="27972" xr:uid="{00000000-0005-0000-0000-00009B3A0000}"/>
    <cellStyle name="40% - Accent2 2 3 3 2 2 4" xfId="12612" xr:uid="{00000000-0005-0000-0000-00009C3A0000}"/>
    <cellStyle name="40% - Accent2 2 3 3 2 2 4 2" xfId="33092" xr:uid="{00000000-0005-0000-0000-00009D3A0000}"/>
    <cellStyle name="40% - Accent2 2 3 3 2 2 5" xfId="22852" xr:uid="{00000000-0005-0000-0000-00009E3A0000}"/>
    <cellStyle name="40% - Accent2 2 3 3 2 3" xfId="3652" xr:uid="{00000000-0005-0000-0000-00009F3A0000}"/>
    <cellStyle name="40% - Accent2 2 3 3 2 3 2" xfId="8772" xr:uid="{00000000-0005-0000-0000-0000A03A0000}"/>
    <cellStyle name="40% - Accent2 2 3 3 2 3 2 2" xfId="19012" xr:uid="{00000000-0005-0000-0000-0000A13A0000}"/>
    <cellStyle name="40% - Accent2 2 3 3 2 3 2 2 2" xfId="39492" xr:uid="{00000000-0005-0000-0000-0000A23A0000}"/>
    <cellStyle name="40% - Accent2 2 3 3 2 3 2 3" xfId="29252" xr:uid="{00000000-0005-0000-0000-0000A33A0000}"/>
    <cellStyle name="40% - Accent2 2 3 3 2 3 3" xfId="13892" xr:uid="{00000000-0005-0000-0000-0000A43A0000}"/>
    <cellStyle name="40% - Accent2 2 3 3 2 3 3 2" xfId="34372" xr:uid="{00000000-0005-0000-0000-0000A53A0000}"/>
    <cellStyle name="40% - Accent2 2 3 3 2 3 4" xfId="24132" xr:uid="{00000000-0005-0000-0000-0000A63A0000}"/>
    <cellStyle name="40% - Accent2 2 3 3 2 4" xfId="6212" xr:uid="{00000000-0005-0000-0000-0000A73A0000}"/>
    <cellStyle name="40% - Accent2 2 3 3 2 4 2" xfId="16452" xr:uid="{00000000-0005-0000-0000-0000A83A0000}"/>
    <cellStyle name="40% - Accent2 2 3 3 2 4 2 2" xfId="36932" xr:uid="{00000000-0005-0000-0000-0000A93A0000}"/>
    <cellStyle name="40% - Accent2 2 3 3 2 4 3" xfId="26692" xr:uid="{00000000-0005-0000-0000-0000AA3A0000}"/>
    <cellStyle name="40% - Accent2 2 3 3 2 5" xfId="11332" xr:uid="{00000000-0005-0000-0000-0000AB3A0000}"/>
    <cellStyle name="40% - Accent2 2 3 3 2 5 2" xfId="31812" xr:uid="{00000000-0005-0000-0000-0000AC3A0000}"/>
    <cellStyle name="40% - Accent2 2 3 3 2 6" xfId="21572" xr:uid="{00000000-0005-0000-0000-0000AD3A0000}"/>
    <cellStyle name="40% - Accent2 2 3 3 3" xfId="1732" xr:uid="{00000000-0005-0000-0000-0000AE3A0000}"/>
    <cellStyle name="40% - Accent2 2 3 3 3 2" xfId="4292" xr:uid="{00000000-0005-0000-0000-0000AF3A0000}"/>
    <cellStyle name="40% - Accent2 2 3 3 3 2 2" xfId="9412" xr:uid="{00000000-0005-0000-0000-0000B03A0000}"/>
    <cellStyle name="40% - Accent2 2 3 3 3 2 2 2" xfId="19652" xr:uid="{00000000-0005-0000-0000-0000B13A0000}"/>
    <cellStyle name="40% - Accent2 2 3 3 3 2 2 2 2" xfId="40132" xr:uid="{00000000-0005-0000-0000-0000B23A0000}"/>
    <cellStyle name="40% - Accent2 2 3 3 3 2 2 3" xfId="29892" xr:uid="{00000000-0005-0000-0000-0000B33A0000}"/>
    <cellStyle name="40% - Accent2 2 3 3 3 2 3" xfId="14532" xr:uid="{00000000-0005-0000-0000-0000B43A0000}"/>
    <cellStyle name="40% - Accent2 2 3 3 3 2 3 2" xfId="35012" xr:uid="{00000000-0005-0000-0000-0000B53A0000}"/>
    <cellStyle name="40% - Accent2 2 3 3 3 2 4" xfId="24772" xr:uid="{00000000-0005-0000-0000-0000B63A0000}"/>
    <cellStyle name="40% - Accent2 2 3 3 3 3" xfId="6852" xr:uid="{00000000-0005-0000-0000-0000B73A0000}"/>
    <cellStyle name="40% - Accent2 2 3 3 3 3 2" xfId="17092" xr:uid="{00000000-0005-0000-0000-0000B83A0000}"/>
    <cellStyle name="40% - Accent2 2 3 3 3 3 2 2" xfId="37572" xr:uid="{00000000-0005-0000-0000-0000B93A0000}"/>
    <cellStyle name="40% - Accent2 2 3 3 3 3 3" xfId="27332" xr:uid="{00000000-0005-0000-0000-0000BA3A0000}"/>
    <cellStyle name="40% - Accent2 2 3 3 3 4" xfId="11972" xr:uid="{00000000-0005-0000-0000-0000BB3A0000}"/>
    <cellStyle name="40% - Accent2 2 3 3 3 4 2" xfId="32452" xr:uid="{00000000-0005-0000-0000-0000BC3A0000}"/>
    <cellStyle name="40% - Accent2 2 3 3 3 5" xfId="22212" xr:uid="{00000000-0005-0000-0000-0000BD3A0000}"/>
    <cellStyle name="40% - Accent2 2 3 3 4" xfId="3012" xr:uid="{00000000-0005-0000-0000-0000BE3A0000}"/>
    <cellStyle name="40% - Accent2 2 3 3 4 2" xfId="8132" xr:uid="{00000000-0005-0000-0000-0000BF3A0000}"/>
    <cellStyle name="40% - Accent2 2 3 3 4 2 2" xfId="18372" xr:uid="{00000000-0005-0000-0000-0000C03A0000}"/>
    <cellStyle name="40% - Accent2 2 3 3 4 2 2 2" xfId="38852" xr:uid="{00000000-0005-0000-0000-0000C13A0000}"/>
    <cellStyle name="40% - Accent2 2 3 3 4 2 3" xfId="28612" xr:uid="{00000000-0005-0000-0000-0000C23A0000}"/>
    <cellStyle name="40% - Accent2 2 3 3 4 3" xfId="13252" xr:uid="{00000000-0005-0000-0000-0000C33A0000}"/>
    <cellStyle name="40% - Accent2 2 3 3 4 3 2" xfId="33732" xr:uid="{00000000-0005-0000-0000-0000C43A0000}"/>
    <cellStyle name="40% - Accent2 2 3 3 4 4" xfId="23492" xr:uid="{00000000-0005-0000-0000-0000C53A0000}"/>
    <cellStyle name="40% - Accent2 2 3 3 5" xfId="5572" xr:uid="{00000000-0005-0000-0000-0000C63A0000}"/>
    <cellStyle name="40% - Accent2 2 3 3 5 2" xfId="15812" xr:uid="{00000000-0005-0000-0000-0000C73A0000}"/>
    <cellStyle name="40% - Accent2 2 3 3 5 2 2" xfId="36292" xr:uid="{00000000-0005-0000-0000-0000C83A0000}"/>
    <cellStyle name="40% - Accent2 2 3 3 5 3" xfId="26052" xr:uid="{00000000-0005-0000-0000-0000C93A0000}"/>
    <cellStyle name="40% - Accent2 2 3 3 6" xfId="10692" xr:uid="{00000000-0005-0000-0000-0000CA3A0000}"/>
    <cellStyle name="40% - Accent2 2 3 3 6 2" xfId="31172" xr:uid="{00000000-0005-0000-0000-0000CB3A0000}"/>
    <cellStyle name="40% - Accent2 2 3 3 7" xfId="20932" xr:uid="{00000000-0005-0000-0000-0000CC3A0000}"/>
    <cellStyle name="40% - Accent2 2 3 4" xfId="772" xr:uid="{00000000-0005-0000-0000-0000CD3A0000}"/>
    <cellStyle name="40% - Accent2 2 3 4 2" xfId="2052" xr:uid="{00000000-0005-0000-0000-0000CE3A0000}"/>
    <cellStyle name="40% - Accent2 2 3 4 2 2" xfId="4612" xr:uid="{00000000-0005-0000-0000-0000CF3A0000}"/>
    <cellStyle name="40% - Accent2 2 3 4 2 2 2" xfId="9732" xr:uid="{00000000-0005-0000-0000-0000D03A0000}"/>
    <cellStyle name="40% - Accent2 2 3 4 2 2 2 2" xfId="19972" xr:uid="{00000000-0005-0000-0000-0000D13A0000}"/>
    <cellStyle name="40% - Accent2 2 3 4 2 2 2 2 2" xfId="40452" xr:uid="{00000000-0005-0000-0000-0000D23A0000}"/>
    <cellStyle name="40% - Accent2 2 3 4 2 2 2 3" xfId="30212" xr:uid="{00000000-0005-0000-0000-0000D33A0000}"/>
    <cellStyle name="40% - Accent2 2 3 4 2 2 3" xfId="14852" xr:uid="{00000000-0005-0000-0000-0000D43A0000}"/>
    <cellStyle name="40% - Accent2 2 3 4 2 2 3 2" xfId="35332" xr:uid="{00000000-0005-0000-0000-0000D53A0000}"/>
    <cellStyle name="40% - Accent2 2 3 4 2 2 4" xfId="25092" xr:uid="{00000000-0005-0000-0000-0000D63A0000}"/>
    <cellStyle name="40% - Accent2 2 3 4 2 3" xfId="7172" xr:uid="{00000000-0005-0000-0000-0000D73A0000}"/>
    <cellStyle name="40% - Accent2 2 3 4 2 3 2" xfId="17412" xr:uid="{00000000-0005-0000-0000-0000D83A0000}"/>
    <cellStyle name="40% - Accent2 2 3 4 2 3 2 2" xfId="37892" xr:uid="{00000000-0005-0000-0000-0000D93A0000}"/>
    <cellStyle name="40% - Accent2 2 3 4 2 3 3" xfId="27652" xr:uid="{00000000-0005-0000-0000-0000DA3A0000}"/>
    <cellStyle name="40% - Accent2 2 3 4 2 4" xfId="12292" xr:uid="{00000000-0005-0000-0000-0000DB3A0000}"/>
    <cellStyle name="40% - Accent2 2 3 4 2 4 2" xfId="32772" xr:uid="{00000000-0005-0000-0000-0000DC3A0000}"/>
    <cellStyle name="40% - Accent2 2 3 4 2 5" xfId="22532" xr:uid="{00000000-0005-0000-0000-0000DD3A0000}"/>
    <cellStyle name="40% - Accent2 2 3 4 3" xfId="3332" xr:uid="{00000000-0005-0000-0000-0000DE3A0000}"/>
    <cellStyle name="40% - Accent2 2 3 4 3 2" xfId="8452" xr:uid="{00000000-0005-0000-0000-0000DF3A0000}"/>
    <cellStyle name="40% - Accent2 2 3 4 3 2 2" xfId="18692" xr:uid="{00000000-0005-0000-0000-0000E03A0000}"/>
    <cellStyle name="40% - Accent2 2 3 4 3 2 2 2" xfId="39172" xr:uid="{00000000-0005-0000-0000-0000E13A0000}"/>
    <cellStyle name="40% - Accent2 2 3 4 3 2 3" xfId="28932" xr:uid="{00000000-0005-0000-0000-0000E23A0000}"/>
    <cellStyle name="40% - Accent2 2 3 4 3 3" xfId="13572" xr:uid="{00000000-0005-0000-0000-0000E33A0000}"/>
    <cellStyle name="40% - Accent2 2 3 4 3 3 2" xfId="34052" xr:uid="{00000000-0005-0000-0000-0000E43A0000}"/>
    <cellStyle name="40% - Accent2 2 3 4 3 4" xfId="23812" xr:uid="{00000000-0005-0000-0000-0000E53A0000}"/>
    <cellStyle name="40% - Accent2 2 3 4 4" xfId="5892" xr:uid="{00000000-0005-0000-0000-0000E63A0000}"/>
    <cellStyle name="40% - Accent2 2 3 4 4 2" xfId="16132" xr:uid="{00000000-0005-0000-0000-0000E73A0000}"/>
    <cellStyle name="40% - Accent2 2 3 4 4 2 2" xfId="36612" xr:uid="{00000000-0005-0000-0000-0000E83A0000}"/>
    <cellStyle name="40% - Accent2 2 3 4 4 3" xfId="26372" xr:uid="{00000000-0005-0000-0000-0000E93A0000}"/>
    <cellStyle name="40% - Accent2 2 3 4 5" xfId="11012" xr:uid="{00000000-0005-0000-0000-0000EA3A0000}"/>
    <cellStyle name="40% - Accent2 2 3 4 5 2" xfId="31492" xr:uid="{00000000-0005-0000-0000-0000EB3A0000}"/>
    <cellStyle name="40% - Accent2 2 3 4 6" xfId="21252" xr:uid="{00000000-0005-0000-0000-0000EC3A0000}"/>
    <cellStyle name="40% - Accent2 2 3 5" xfId="1412" xr:uid="{00000000-0005-0000-0000-0000ED3A0000}"/>
    <cellStyle name="40% - Accent2 2 3 5 2" xfId="3972" xr:uid="{00000000-0005-0000-0000-0000EE3A0000}"/>
    <cellStyle name="40% - Accent2 2 3 5 2 2" xfId="9092" xr:uid="{00000000-0005-0000-0000-0000EF3A0000}"/>
    <cellStyle name="40% - Accent2 2 3 5 2 2 2" xfId="19332" xr:uid="{00000000-0005-0000-0000-0000F03A0000}"/>
    <cellStyle name="40% - Accent2 2 3 5 2 2 2 2" xfId="39812" xr:uid="{00000000-0005-0000-0000-0000F13A0000}"/>
    <cellStyle name="40% - Accent2 2 3 5 2 2 3" xfId="29572" xr:uid="{00000000-0005-0000-0000-0000F23A0000}"/>
    <cellStyle name="40% - Accent2 2 3 5 2 3" xfId="14212" xr:uid="{00000000-0005-0000-0000-0000F33A0000}"/>
    <cellStyle name="40% - Accent2 2 3 5 2 3 2" xfId="34692" xr:uid="{00000000-0005-0000-0000-0000F43A0000}"/>
    <cellStyle name="40% - Accent2 2 3 5 2 4" xfId="24452" xr:uid="{00000000-0005-0000-0000-0000F53A0000}"/>
    <cellStyle name="40% - Accent2 2 3 5 3" xfId="6532" xr:uid="{00000000-0005-0000-0000-0000F63A0000}"/>
    <cellStyle name="40% - Accent2 2 3 5 3 2" xfId="16772" xr:uid="{00000000-0005-0000-0000-0000F73A0000}"/>
    <cellStyle name="40% - Accent2 2 3 5 3 2 2" xfId="37252" xr:uid="{00000000-0005-0000-0000-0000F83A0000}"/>
    <cellStyle name="40% - Accent2 2 3 5 3 3" xfId="27012" xr:uid="{00000000-0005-0000-0000-0000F93A0000}"/>
    <cellStyle name="40% - Accent2 2 3 5 4" xfId="11652" xr:uid="{00000000-0005-0000-0000-0000FA3A0000}"/>
    <cellStyle name="40% - Accent2 2 3 5 4 2" xfId="32132" xr:uid="{00000000-0005-0000-0000-0000FB3A0000}"/>
    <cellStyle name="40% - Accent2 2 3 5 5" xfId="21892" xr:uid="{00000000-0005-0000-0000-0000FC3A0000}"/>
    <cellStyle name="40% - Accent2 2 3 6" xfId="2692" xr:uid="{00000000-0005-0000-0000-0000FD3A0000}"/>
    <cellStyle name="40% - Accent2 2 3 6 2" xfId="7812" xr:uid="{00000000-0005-0000-0000-0000FE3A0000}"/>
    <cellStyle name="40% - Accent2 2 3 6 2 2" xfId="18052" xr:uid="{00000000-0005-0000-0000-0000FF3A0000}"/>
    <cellStyle name="40% - Accent2 2 3 6 2 2 2" xfId="38532" xr:uid="{00000000-0005-0000-0000-0000003B0000}"/>
    <cellStyle name="40% - Accent2 2 3 6 2 3" xfId="28292" xr:uid="{00000000-0005-0000-0000-0000013B0000}"/>
    <cellStyle name="40% - Accent2 2 3 6 3" xfId="12932" xr:uid="{00000000-0005-0000-0000-0000023B0000}"/>
    <cellStyle name="40% - Accent2 2 3 6 3 2" xfId="33412" xr:uid="{00000000-0005-0000-0000-0000033B0000}"/>
    <cellStyle name="40% - Accent2 2 3 6 4" xfId="23172" xr:uid="{00000000-0005-0000-0000-0000043B0000}"/>
    <cellStyle name="40% - Accent2 2 3 7" xfId="5252" xr:uid="{00000000-0005-0000-0000-0000053B0000}"/>
    <cellStyle name="40% - Accent2 2 3 7 2" xfId="15492" xr:uid="{00000000-0005-0000-0000-0000063B0000}"/>
    <cellStyle name="40% - Accent2 2 3 7 2 2" xfId="35972" xr:uid="{00000000-0005-0000-0000-0000073B0000}"/>
    <cellStyle name="40% - Accent2 2 3 7 3" xfId="25732" xr:uid="{00000000-0005-0000-0000-0000083B0000}"/>
    <cellStyle name="40% - Accent2 2 3 8" xfId="10372" xr:uid="{00000000-0005-0000-0000-0000093B0000}"/>
    <cellStyle name="40% - Accent2 2 3 8 2" xfId="30852" xr:uid="{00000000-0005-0000-0000-00000A3B0000}"/>
    <cellStyle name="40% - Accent2 2 3 9" xfId="20612" xr:uid="{00000000-0005-0000-0000-00000B3B0000}"/>
    <cellStyle name="40% - Accent2 2 4" xfId="212" xr:uid="{00000000-0005-0000-0000-00000C3B0000}"/>
    <cellStyle name="40% - Accent2 2 4 2" xfId="532" xr:uid="{00000000-0005-0000-0000-00000D3B0000}"/>
    <cellStyle name="40% - Accent2 2 4 2 2" xfId="1172" xr:uid="{00000000-0005-0000-0000-00000E3B0000}"/>
    <cellStyle name="40% - Accent2 2 4 2 2 2" xfId="2452" xr:uid="{00000000-0005-0000-0000-00000F3B0000}"/>
    <cellStyle name="40% - Accent2 2 4 2 2 2 2" xfId="5012" xr:uid="{00000000-0005-0000-0000-0000103B0000}"/>
    <cellStyle name="40% - Accent2 2 4 2 2 2 2 2" xfId="10132" xr:uid="{00000000-0005-0000-0000-0000113B0000}"/>
    <cellStyle name="40% - Accent2 2 4 2 2 2 2 2 2" xfId="20372" xr:uid="{00000000-0005-0000-0000-0000123B0000}"/>
    <cellStyle name="40% - Accent2 2 4 2 2 2 2 2 2 2" xfId="40852" xr:uid="{00000000-0005-0000-0000-0000133B0000}"/>
    <cellStyle name="40% - Accent2 2 4 2 2 2 2 2 3" xfId="30612" xr:uid="{00000000-0005-0000-0000-0000143B0000}"/>
    <cellStyle name="40% - Accent2 2 4 2 2 2 2 3" xfId="15252" xr:uid="{00000000-0005-0000-0000-0000153B0000}"/>
    <cellStyle name="40% - Accent2 2 4 2 2 2 2 3 2" xfId="35732" xr:uid="{00000000-0005-0000-0000-0000163B0000}"/>
    <cellStyle name="40% - Accent2 2 4 2 2 2 2 4" xfId="25492" xr:uid="{00000000-0005-0000-0000-0000173B0000}"/>
    <cellStyle name="40% - Accent2 2 4 2 2 2 3" xfId="7572" xr:uid="{00000000-0005-0000-0000-0000183B0000}"/>
    <cellStyle name="40% - Accent2 2 4 2 2 2 3 2" xfId="17812" xr:uid="{00000000-0005-0000-0000-0000193B0000}"/>
    <cellStyle name="40% - Accent2 2 4 2 2 2 3 2 2" xfId="38292" xr:uid="{00000000-0005-0000-0000-00001A3B0000}"/>
    <cellStyle name="40% - Accent2 2 4 2 2 2 3 3" xfId="28052" xr:uid="{00000000-0005-0000-0000-00001B3B0000}"/>
    <cellStyle name="40% - Accent2 2 4 2 2 2 4" xfId="12692" xr:uid="{00000000-0005-0000-0000-00001C3B0000}"/>
    <cellStyle name="40% - Accent2 2 4 2 2 2 4 2" xfId="33172" xr:uid="{00000000-0005-0000-0000-00001D3B0000}"/>
    <cellStyle name="40% - Accent2 2 4 2 2 2 5" xfId="22932" xr:uid="{00000000-0005-0000-0000-00001E3B0000}"/>
    <cellStyle name="40% - Accent2 2 4 2 2 3" xfId="3732" xr:uid="{00000000-0005-0000-0000-00001F3B0000}"/>
    <cellStyle name="40% - Accent2 2 4 2 2 3 2" xfId="8852" xr:uid="{00000000-0005-0000-0000-0000203B0000}"/>
    <cellStyle name="40% - Accent2 2 4 2 2 3 2 2" xfId="19092" xr:uid="{00000000-0005-0000-0000-0000213B0000}"/>
    <cellStyle name="40% - Accent2 2 4 2 2 3 2 2 2" xfId="39572" xr:uid="{00000000-0005-0000-0000-0000223B0000}"/>
    <cellStyle name="40% - Accent2 2 4 2 2 3 2 3" xfId="29332" xr:uid="{00000000-0005-0000-0000-0000233B0000}"/>
    <cellStyle name="40% - Accent2 2 4 2 2 3 3" xfId="13972" xr:uid="{00000000-0005-0000-0000-0000243B0000}"/>
    <cellStyle name="40% - Accent2 2 4 2 2 3 3 2" xfId="34452" xr:uid="{00000000-0005-0000-0000-0000253B0000}"/>
    <cellStyle name="40% - Accent2 2 4 2 2 3 4" xfId="24212" xr:uid="{00000000-0005-0000-0000-0000263B0000}"/>
    <cellStyle name="40% - Accent2 2 4 2 2 4" xfId="6292" xr:uid="{00000000-0005-0000-0000-0000273B0000}"/>
    <cellStyle name="40% - Accent2 2 4 2 2 4 2" xfId="16532" xr:uid="{00000000-0005-0000-0000-0000283B0000}"/>
    <cellStyle name="40% - Accent2 2 4 2 2 4 2 2" xfId="37012" xr:uid="{00000000-0005-0000-0000-0000293B0000}"/>
    <cellStyle name="40% - Accent2 2 4 2 2 4 3" xfId="26772" xr:uid="{00000000-0005-0000-0000-00002A3B0000}"/>
    <cellStyle name="40% - Accent2 2 4 2 2 5" xfId="11412" xr:uid="{00000000-0005-0000-0000-00002B3B0000}"/>
    <cellStyle name="40% - Accent2 2 4 2 2 5 2" xfId="31892" xr:uid="{00000000-0005-0000-0000-00002C3B0000}"/>
    <cellStyle name="40% - Accent2 2 4 2 2 6" xfId="21652" xr:uid="{00000000-0005-0000-0000-00002D3B0000}"/>
    <cellStyle name="40% - Accent2 2 4 2 3" xfId="1812" xr:uid="{00000000-0005-0000-0000-00002E3B0000}"/>
    <cellStyle name="40% - Accent2 2 4 2 3 2" xfId="4372" xr:uid="{00000000-0005-0000-0000-00002F3B0000}"/>
    <cellStyle name="40% - Accent2 2 4 2 3 2 2" xfId="9492" xr:uid="{00000000-0005-0000-0000-0000303B0000}"/>
    <cellStyle name="40% - Accent2 2 4 2 3 2 2 2" xfId="19732" xr:uid="{00000000-0005-0000-0000-0000313B0000}"/>
    <cellStyle name="40% - Accent2 2 4 2 3 2 2 2 2" xfId="40212" xr:uid="{00000000-0005-0000-0000-0000323B0000}"/>
    <cellStyle name="40% - Accent2 2 4 2 3 2 2 3" xfId="29972" xr:uid="{00000000-0005-0000-0000-0000333B0000}"/>
    <cellStyle name="40% - Accent2 2 4 2 3 2 3" xfId="14612" xr:uid="{00000000-0005-0000-0000-0000343B0000}"/>
    <cellStyle name="40% - Accent2 2 4 2 3 2 3 2" xfId="35092" xr:uid="{00000000-0005-0000-0000-0000353B0000}"/>
    <cellStyle name="40% - Accent2 2 4 2 3 2 4" xfId="24852" xr:uid="{00000000-0005-0000-0000-0000363B0000}"/>
    <cellStyle name="40% - Accent2 2 4 2 3 3" xfId="6932" xr:uid="{00000000-0005-0000-0000-0000373B0000}"/>
    <cellStyle name="40% - Accent2 2 4 2 3 3 2" xfId="17172" xr:uid="{00000000-0005-0000-0000-0000383B0000}"/>
    <cellStyle name="40% - Accent2 2 4 2 3 3 2 2" xfId="37652" xr:uid="{00000000-0005-0000-0000-0000393B0000}"/>
    <cellStyle name="40% - Accent2 2 4 2 3 3 3" xfId="27412" xr:uid="{00000000-0005-0000-0000-00003A3B0000}"/>
    <cellStyle name="40% - Accent2 2 4 2 3 4" xfId="12052" xr:uid="{00000000-0005-0000-0000-00003B3B0000}"/>
    <cellStyle name="40% - Accent2 2 4 2 3 4 2" xfId="32532" xr:uid="{00000000-0005-0000-0000-00003C3B0000}"/>
    <cellStyle name="40% - Accent2 2 4 2 3 5" xfId="22292" xr:uid="{00000000-0005-0000-0000-00003D3B0000}"/>
    <cellStyle name="40% - Accent2 2 4 2 4" xfId="3092" xr:uid="{00000000-0005-0000-0000-00003E3B0000}"/>
    <cellStyle name="40% - Accent2 2 4 2 4 2" xfId="8212" xr:uid="{00000000-0005-0000-0000-00003F3B0000}"/>
    <cellStyle name="40% - Accent2 2 4 2 4 2 2" xfId="18452" xr:uid="{00000000-0005-0000-0000-0000403B0000}"/>
    <cellStyle name="40% - Accent2 2 4 2 4 2 2 2" xfId="38932" xr:uid="{00000000-0005-0000-0000-0000413B0000}"/>
    <cellStyle name="40% - Accent2 2 4 2 4 2 3" xfId="28692" xr:uid="{00000000-0005-0000-0000-0000423B0000}"/>
    <cellStyle name="40% - Accent2 2 4 2 4 3" xfId="13332" xr:uid="{00000000-0005-0000-0000-0000433B0000}"/>
    <cellStyle name="40% - Accent2 2 4 2 4 3 2" xfId="33812" xr:uid="{00000000-0005-0000-0000-0000443B0000}"/>
    <cellStyle name="40% - Accent2 2 4 2 4 4" xfId="23572" xr:uid="{00000000-0005-0000-0000-0000453B0000}"/>
    <cellStyle name="40% - Accent2 2 4 2 5" xfId="5652" xr:uid="{00000000-0005-0000-0000-0000463B0000}"/>
    <cellStyle name="40% - Accent2 2 4 2 5 2" xfId="15892" xr:uid="{00000000-0005-0000-0000-0000473B0000}"/>
    <cellStyle name="40% - Accent2 2 4 2 5 2 2" xfId="36372" xr:uid="{00000000-0005-0000-0000-0000483B0000}"/>
    <cellStyle name="40% - Accent2 2 4 2 5 3" xfId="26132" xr:uid="{00000000-0005-0000-0000-0000493B0000}"/>
    <cellStyle name="40% - Accent2 2 4 2 6" xfId="10772" xr:uid="{00000000-0005-0000-0000-00004A3B0000}"/>
    <cellStyle name="40% - Accent2 2 4 2 6 2" xfId="31252" xr:uid="{00000000-0005-0000-0000-00004B3B0000}"/>
    <cellStyle name="40% - Accent2 2 4 2 7" xfId="21012" xr:uid="{00000000-0005-0000-0000-00004C3B0000}"/>
    <cellStyle name="40% - Accent2 2 4 3" xfId="852" xr:uid="{00000000-0005-0000-0000-00004D3B0000}"/>
    <cellStyle name="40% - Accent2 2 4 3 2" xfId="2132" xr:uid="{00000000-0005-0000-0000-00004E3B0000}"/>
    <cellStyle name="40% - Accent2 2 4 3 2 2" xfId="4692" xr:uid="{00000000-0005-0000-0000-00004F3B0000}"/>
    <cellStyle name="40% - Accent2 2 4 3 2 2 2" xfId="9812" xr:uid="{00000000-0005-0000-0000-0000503B0000}"/>
    <cellStyle name="40% - Accent2 2 4 3 2 2 2 2" xfId="20052" xr:uid="{00000000-0005-0000-0000-0000513B0000}"/>
    <cellStyle name="40% - Accent2 2 4 3 2 2 2 2 2" xfId="40532" xr:uid="{00000000-0005-0000-0000-0000523B0000}"/>
    <cellStyle name="40% - Accent2 2 4 3 2 2 2 3" xfId="30292" xr:uid="{00000000-0005-0000-0000-0000533B0000}"/>
    <cellStyle name="40% - Accent2 2 4 3 2 2 3" xfId="14932" xr:uid="{00000000-0005-0000-0000-0000543B0000}"/>
    <cellStyle name="40% - Accent2 2 4 3 2 2 3 2" xfId="35412" xr:uid="{00000000-0005-0000-0000-0000553B0000}"/>
    <cellStyle name="40% - Accent2 2 4 3 2 2 4" xfId="25172" xr:uid="{00000000-0005-0000-0000-0000563B0000}"/>
    <cellStyle name="40% - Accent2 2 4 3 2 3" xfId="7252" xr:uid="{00000000-0005-0000-0000-0000573B0000}"/>
    <cellStyle name="40% - Accent2 2 4 3 2 3 2" xfId="17492" xr:uid="{00000000-0005-0000-0000-0000583B0000}"/>
    <cellStyle name="40% - Accent2 2 4 3 2 3 2 2" xfId="37972" xr:uid="{00000000-0005-0000-0000-0000593B0000}"/>
    <cellStyle name="40% - Accent2 2 4 3 2 3 3" xfId="27732" xr:uid="{00000000-0005-0000-0000-00005A3B0000}"/>
    <cellStyle name="40% - Accent2 2 4 3 2 4" xfId="12372" xr:uid="{00000000-0005-0000-0000-00005B3B0000}"/>
    <cellStyle name="40% - Accent2 2 4 3 2 4 2" xfId="32852" xr:uid="{00000000-0005-0000-0000-00005C3B0000}"/>
    <cellStyle name="40% - Accent2 2 4 3 2 5" xfId="22612" xr:uid="{00000000-0005-0000-0000-00005D3B0000}"/>
    <cellStyle name="40% - Accent2 2 4 3 3" xfId="3412" xr:uid="{00000000-0005-0000-0000-00005E3B0000}"/>
    <cellStyle name="40% - Accent2 2 4 3 3 2" xfId="8532" xr:uid="{00000000-0005-0000-0000-00005F3B0000}"/>
    <cellStyle name="40% - Accent2 2 4 3 3 2 2" xfId="18772" xr:uid="{00000000-0005-0000-0000-0000603B0000}"/>
    <cellStyle name="40% - Accent2 2 4 3 3 2 2 2" xfId="39252" xr:uid="{00000000-0005-0000-0000-0000613B0000}"/>
    <cellStyle name="40% - Accent2 2 4 3 3 2 3" xfId="29012" xr:uid="{00000000-0005-0000-0000-0000623B0000}"/>
    <cellStyle name="40% - Accent2 2 4 3 3 3" xfId="13652" xr:uid="{00000000-0005-0000-0000-0000633B0000}"/>
    <cellStyle name="40% - Accent2 2 4 3 3 3 2" xfId="34132" xr:uid="{00000000-0005-0000-0000-0000643B0000}"/>
    <cellStyle name="40% - Accent2 2 4 3 3 4" xfId="23892" xr:uid="{00000000-0005-0000-0000-0000653B0000}"/>
    <cellStyle name="40% - Accent2 2 4 3 4" xfId="5972" xr:uid="{00000000-0005-0000-0000-0000663B0000}"/>
    <cellStyle name="40% - Accent2 2 4 3 4 2" xfId="16212" xr:uid="{00000000-0005-0000-0000-0000673B0000}"/>
    <cellStyle name="40% - Accent2 2 4 3 4 2 2" xfId="36692" xr:uid="{00000000-0005-0000-0000-0000683B0000}"/>
    <cellStyle name="40% - Accent2 2 4 3 4 3" xfId="26452" xr:uid="{00000000-0005-0000-0000-0000693B0000}"/>
    <cellStyle name="40% - Accent2 2 4 3 5" xfId="11092" xr:uid="{00000000-0005-0000-0000-00006A3B0000}"/>
    <cellStyle name="40% - Accent2 2 4 3 5 2" xfId="31572" xr:uid="{00000000-0005-0000-0000-00006B3B0000}"/>
    <cellStyle name="40% - Accent2 2 4 3 6" xfId="21332" xr:uid="{00000000-0005-0000-0000-00006C3B0000}"/>
    <cellStyle name="40% - Accent2 2 4 4" xfId="1492" xr:uid="{00000000-0005-0000-0000-00006D3B0000}"/>
    <cellStyle name="40% - Accent2 2 4 4 2" xfId="4052" xr:uid="{00000000-0005-0000-0000-00006E3B0000}"/>
    <cellStyle name="40% - Accent2 2 4 4 2 2" xfId="9172" xr:uid="{00000000-0005-0000-0000-00006F3B0000}"/>
    <cellStyle name="40% - Accent2 2 4 4 2 2 2" xfId="19412" xr:uid="{00000000-0005-0000-0000-0000703B0000}"/>
    <cellStyle name="40% - Accent2 2 4 4 2 2 2 2" xfId="39892" xr:uid="{00000000-0005-0000-0000-0000713B0000}"/>
    <cellStyle name="40% - Accent2 2 4 4 2 2 3" xfId="29652" xr:uid="{00000000-0005-0000-0000-0000723B0000}"/>
    <cellStyle name="40% - Accent2 2 4 4 2 3" xfId="14292" xr:uid="{00000000-0005-0000-0000-0000733B0000}"/>
    <cellStyle name="40% - Accent2 2 4 4 2 3 2" xfId="34772" xr:uid="{00000000-0005-0000-0000-0000743B0000}"/>
    <cellStyle name="40% - Accent2 2 4 4 2 4" xfId="24532" xr:uid="{00000000-0005-0000-0000-0000753B0000}"/>
    <cellStyle name="40% - Accent2 2 4 4 3" xfId="6612" xr:uid="{00000000-0005-0000-0000-0000763B0000}"/>
    <cellStyle name="40% - Accent2 2 4 4 3 2" xfId="16852" xr:uid="{00000000-0005-0000-0000-0000773B0000}"/>
    <cellStyle name="40% - Accent2 2 4 4 3 2 2" xfId="37332" xr:uid="{00000000-0005-0000-0000-0000783B0000}"/>
    <cellStyle name="40% - Accent2 2 4 4 3 3" xfId="27092" xr:uid="{00000000-0005-0000-0000-0000793B0000}"/>
    <cellStyle name="40% - Accent2 2 4 4 4" xfId="11732" xr:uid="{00000000-0005-0000-0000-00007A3B0000}"/>
    <cellStyle name="40% - Accent2 2 4 4 4 2" xfId="32212" xr:uid="{00000000-0005-0000-0000-00007B3B0000}"/>
    <cellStyle name="40% - Accent2 2 4 4 5" xfId="21972" xr:uid="{00000000-0005-0000-0000-00007C3B0000}"/>
    <cellStyle name="40% - Accent2 2 4 5" xfId="2772" xr:uid="{00000000-0005-0000-0000-00007D3B0000}"/>
    <cellStyle name="40% - Accent2 2 4 5 2" xfId="7892" xr:uid="{00000000-0005-0000-0000-00007E3B0000}"/>
    <cellStyle name="40% - Accent2 2 4 5 2 2" xfId="18132" xr:uid="{00000000-0005-0000-0000-00007F3B0000}"/>
    <cellStyle name="40% - Accent2 2 4 5 2 2 2" xfId="38612" xr:uid="{00000000-0005-0000-0000-0000803B0000}"/>
    <cellStyle name="40% - Accent2 2 4 5 2 3" xfId="28372" xr:uid="{00000000-0005-0000-0000-0000813B0000}"/>
    <cellStyle name="40% - Accent2 2 4 5 3" xfId="13012" xr:uid="{00000000-0005-0000-0000-0000823B0000}"/>
    <cellStyle name="40% - Accent2 2 4 5 3 2" xfId="33492" xr:uid="{00000000-0005-0000-0000-0000833B0000}"/>
    <cellStyle name="40% - Accent2 2 4 5 4" xfId="23252" xr:uid="{00000000-0005-0000-0000-0000843B0000}"/>
    <cellStyle name="40% - Accent2 2 4 6" xfId="5332" xr:uid="{00000000-0005-0000-0000-0000853B0000}"/>
    <cellStyle name="40% - Accent2 2 4 6 2" xfId="15572" xr:uid="{00000000-0005-0000-0000-0000863B0000}"/>
    <cellStyle name="40% - Accent2 2 4 6 2 2" xfId="36052" xr:uid="{00000000-0005-0000-0000-0000873B0000}"/>
    <cellStyle name="40% - Accent2 2 4 6 3" xfId="25812" xr:uid="{00000000-0005-0000-0000-0000883B0000}"/>
    <cellStyle name="40% - Accent2 2 4 7" xfId="10452" xr:uid="{00000000-0005-0000-0000-0000893B0000}"/>
    <cellStyle name="40% - Accent2 2 4 7 2" xfId="30932" xr:uid="{00000000-0005-0000-0000-00008A3B0000}"/>
    <cellStyle name="40% - Accent2 2 4 8" xfId="20692" xr:uid="{00000000-0005-0000-0000-00008B3B0000}"/>
    <cellStyle name="40% - Accent2 2 5" xfId="372" xr:uid="{00000000-0005-0000-0000-00008C3B0000}"/>
    <cellStyle name="40% - Accent2 2 5 2" xfId="1012" xr:uid="{00000000-0005-0000-0000-00008D3B0000}"/>
    <cellStyle name="40% - Accent2 2 5 2 2" xfId="2292" xr:uid="{00000000-0005-0000-0000-00008E3B0000}"/>
    <cellStyle name="40% - Accent2 2 5 2 2 2" xfId="4852" xr:uid="{00000000-0005-0000-0000-00008F3B0000}"/>
    <cellStyle name="40% - Accent2 2 5 2 2 2 2" xfId="9972" xr:uid="{00000000-0005-0000-0000-0000903B0000}"/>
    <cellStyle name="40% - Accent2 2 5 2 2 2 2 2" xfId="20212" xr:uid="{00000000-0005-0000-0000-0000913B0000}"/>
    <cellStyle name="40% - Accent2 2 5 2 2 2 2 2 2" xfId="40692" xr:uid="{00000000-0005-0000-0000-0000923B0000}"/>
    <cellStyle name="40% - Accent2 2 5 2 2 2 2 3" xfId="30452" xr:uid="{00000000-0005-0000-0000-0000933B0000}"/>
    <cellStyle name="40% - Accent2 2 5 2 2 2 3" xfId="15092" xr:uid="{00000000-0005-0000-0000-0000943B0000}"/>
    <cellStyle name="40% - Accent2 2 5 2 2 2 3 2" xfId="35572" xr:uid="{00000000-0005-0000-0000-0000953B0000}"/>
    <cellStyle name="40% - Accent2 2 5 2 2 2 4" xfId="25332" xr:uid="{00000000-0005-0000-0000-0000963B0000}"/>
    <cellStyle name="40% - Accent2 2 5 2 2 3" xfId="7412" xr:uid="{00000000-0005-0000-0000-0000973B0000}"/>
    <cellStyle name="40% - Accent2 2 5 2 2 3 2" xfId="17652" xr:uid="{00000000-0005-0000-0000-0000983B0000}"/>
    <cellStyle name="40% - Accent2 2 5 2 2 3 2 2" xfId="38132" xr:uid="{00000000-0005-0000-0000-0000993B0000}"/>
    <cellStyle name="40% - Accent2 2 5 2 2 3 3" xfId="27892" xr:uid="{00000000-0005-0000-0000-00009A3B0000}"/>
    <cellStyle name="40% - Accent2 2 5 2 2 4" xfId="12532" xr:uid="{00000000-0005-0000-0000-00009B3B0000}"/>
    <cellStyle name="40% - Accent2 2 5 2 2 4 2" xfId="33012" xr:uid="{00000000-0005-0000-0000-00009C3B0000}"/>
    <cellStyle name="40% - Accent2 2 5 2 2 5" xfId="22772" xr:uid="{00000000-0005-0000-0000-00009D3B0000}"/>
    <cellStyle name="40% - Accent2 2 5 2 3" xfId="3572" xr:uid="{00000000-0005-0000-0000-00009E3B0000}"/>
    <cellStyle name="40% - Accent2 2 5 2 3 2" xfId="8692" xr:uid="{00000000-0005-0000-0000-00009F3B0000}"/>
    <cellStyle name="40% - Accent2 2 5 2 3 2 2" xfId="18932" xr:uid="{00000000-0005-0000-0000-0000A03B0000}"/>
    <cellStyle name="40% - Accent2 2 5 2 3 2 2 2" xfId="39412" xr:uid="{00000000-0005-0000-0000-0000A13B0000}"/>
    <cellStyle name="40% - Accent2 2 5 2 3 2 3" xfId="29172" xr:uid="{00000000-0005-0000-0000-0000A23B0000}"/>
    <cellStyle name="40% - Accent2 2 5 2 3 3" xfId="13812" xr:uid="{00000000-0005-0000-0000-0000A33B0000}"/>
    <cellStyle name="40% - Accent2 2 5 2 3 3 2" xfId="34292" xr:uid="{00000000-0005-0000-0000-0000A43B0000}"/>
    <cellStyle name="40% - Accent2 2 5 2 3 4" xfId="24052" xr:uid="{00000000-0005-0000-0000-0000A53B0000}"/>
    <cellStyle name="40% - Accent2 2 5 2 4" xfId="6132" xr:uid="{00000000-0005-0000-0000-0000A63B0000}"/>
    <cellStyle name="40% - Accent2 2 5 2 4 2" xfId="16372" xr:uid="{00000000-0005-0000-0000-0000A73B0000}"/>
    <cellStyle name="40% - Accent2 2 5 2 4 2 2" xfId="36852" xr:uid="{00000000-0005-0000-0000-0000A83B0000}"/>
    <cellStyle name="40% - Accent2 2 5 2 4 3" xfId="26612" xr:uid="{00000000-0005-0000-0000-0000A93B0000}"/>
    <cellStyle name="40% - Accent2 2 5 2 5" xfId="11252" xr:uid="{00000000-0005-0000-0000-0000AA3B0000}"/>
    <cellStyle name="40% - Accent2 2 5 2 5 2" xfId="31732" xr:uid="{00000000-0005-0000-0000-0000AB3B0000}"/>
    <cellStyle name="40% - Accent2 2 5 2 6" xfId="21492" xr:uid="{00000000-0005-0000-0000-0000AC3B0000}"/>
    <cellStyle name="40% - Accent2 2 5 3" xfId="1652" xr:uid="{00000000-0005-0000-0000-0000AD3B0000}"/>
    <cellStyle name="40% - Accent2 2 5 3 2" xfId="4212" xr:uid="{00000000-0005-0000-0000-0000AE3B0000}"/>
    <cellStyle name="40% - Accent2 2 5 3 2 2" xfId="9332" xr:uid="{00000000-0005-0000-0000-0000AF3B0000}"/>
    <cellStyle name="40% - Accent2 2 5 3 2 2 2" xfId="19572" xr:uid="{00000000-0005-0000-0000-0000B03B0000}"/>
    <cellStyle name="40% - Accent2 2 5 3 2 2 2 2" xfId="40052" xr:uid="{00000000-0005-0000-0000-0000B13B0000}"/>
    <cellStyle name="40% - Accent2 2 5 3 2 2 3" xfId="29812" xr:uid="{00000000-0005-0000-0000-0000B23B0000}"/>
    <cellStyle name="40% - Accent2 2 5 3 2 3" xfId="14452" xr:uid="{00000000-0005-0000-0000-0000B33B0000}"/>
    <cellStyle name="40% - Accent2 2 5 3 2 3 2" xfId="34932" xr:uid="{00000000-0005-0000-0000-0000B43B0000}"/>
    <cellStyle name="40% - Accent2 2 5 3 2 4" xfId="24692" xr:uid="{00000000-0005-0000-0000-0000B53B0000}"/>
    <cellStyle name="40% - Accent2 2 5 3 3" xfId="6772" xr:uid="{00000000-0005-0000-0000-0000B63B0000}"/>
    <cellStyle name="40% - Accent2 2 5 3 3 2" xfId="17012" xr:uid="{00000000-0005-0000-0000-0000B73B0000}"/>
    <cellStyle name="40% - Accent2 2 5 3 3 2 2" xfId="37492" xr:uid="{00000000-0005-0000-0000-0000B83B0000}"/>
    <cellStyle name="40% - Accent2 2 5 3 3 3" xfId="27252" xr:uid="{00000000-0005-0000-0000-0000B93B0000}"/>
    <cellStyle name="40% - Accent2 2 5 3 4" xfId="11892" xr:uid="{00000000-0005-0000-0000-0000BA3B0000}"/>
    <cellStyle name="40% - Accent2 2 5 3 4 2" xfId="32372" xr:uid="{00000000-0005-0000-0000-0000BB3B0000}"/>
    <cellStyle name="40% - Accent2 2 5 3 5" xfId="22132" xr:uid="{00000000-0005-0000-0000-0000BC3B0000}"/>
    <cellStyle name="40% - Accent2 2 5 4" xfId="2932" xr:uid="{00000000-0005-0000-0000-0000BD3B0000}"/>
    <cellStyle name="40% - Accent2 2 5 4 2" xfId="8052" xr:uid="{00000000-0005-0000-0000-0000BE3B0000}"/>
    <cellStyle name="40% - Accent2 2 5 4 2 2" xfId="18292" xr:uid="{00000000-0005-0000-0000-0000BF3B0000}"/>
    <cellStyle name="40% - Accent2 2 5 4 2 2 2" xfId="38772" xr:uid="{00000000-0005-0000-0000-0000C03B0000}"/>
    <cellStyle name="40% - Accent2 2 5 4 2 3" xfId="28532" xr:uid="{00000000-0005-0000-0000-0000C13B0000}"/>
    <cellStyle name="40% - Accent2 2 5 4 3" xfId="13172" xr:uid="{00000000-0005-0000-0000-0000C23B0000}"/>
    <cellStyle name="40% - Accent2 2 5 4 3 2" xfId="33652" xr:uid="{00000000-0005-0000-0000-0000C33B0000}"/>
    <cellStyle name="40% - Accent2 2 5 4 4" xfId="23412" xr:uid="{00000000-0005-0000-0000-0000C43B0000}"/>
    <cellStyle name="40% - Accent2 2 5 5" xfId="5492" xr:uid="{00000000-0005-0000-0000-0000C53B0000}"/>
    <cellStyle name="40% - Accent2 2 5 5 2" xfId="15732" xr:uid="{00000000-0005-0000-0000-0000C63B0000}"/>
    <cellStyle name="40% - Accent2 2 5 5 2 2" xfId="36212" xr:uid="{00000000-0005-0000-0000-0000C73B0000}"/>
    <cellStyle name="40% - Accent2 2 5 5 3" xfId="25972" xr:uid="{00000000-0005-0000-0000-0000C83B0000}"/>
    <cellStyle name="40% - Accent2 2 5 6" xfId="10612" xr:uid="{00000000-0005-0000-0000-0000C93B0000}"/>
    <cellStyle name="40% - Accent2 2 5 6 2" xfId="31092" xr:uid="{00000000-0005-0000-0000-0000CA3B0000}"/>
    <cellStyle name="40% - Accent2 2 5 7" xfId="20852" xr:uid="{00000000-0005-0000-0000-0000CB3B0000}"/>
    <cellStyle name="40% - Accent2 2 6" xfId="692" xr:uid="{00000000-0005-0000-0000-0000CC3B0000}"/>
    <cellStyle name="40% - Accent2 2 6 2" xfId="1972" xr:uid="{00000000-0005-0000-0000-0000CD3B0000}"/>
    <cellStyle name="40% - Accent2 2 6 2 2" xfId="4532" xr:uid="{00000000-0005-0000-0000-0000CE3B0000}"/>
    <cellStyle name="40% - Accent2 2 6 2 2 2" xfId="9652" xr:uid="{00000000-0005-0000-0000-0000CF3B0000}"/>
    <cellStyle name="40% - Accent2 2 6 2 2 2 2" xfId="19892" xr:uid="{00000000-0005-0000-0000-0000D03B0000}"/>
    <cellStyle name="40% - Accent2 2 6 2 2 2 2 2" xfId="40372" xr:uid="{00000000-0005-0000-0000-0000D13B0000}"/>
    <cellStyle name="40% - Accent2 2 6 2 2 2 3" xfId="30132" xr:uid="{00000000-0005-0000-0000-0000D23B0000}"/>
    <cellStyle name="40% - Accent2 2 6 2 2 3" xfId="14772" xr:uid="{00000000-0005-0000-0000-0000D33B0000}"/>
    <cellStyle name="40% - Accent2 2 6 2 2 3 2" xfId="35252" xr:uid="{00000000-0005-0000-0000-0000D43B0000}"/>
    <cellStyle name="40% - Accent2 2 6 2 2 4" xfId="25012" xr:uid="{00000000-0005-0000-0000-0000D53B0000}"/>
    <cellStyle name="40% - Accent2 2 6 2 3" xfId="7092" xr:uid="{00000000-0005-0000-0000-0000D63B0000}"/>
    <cellStyle name="40% - Accent2 2 6 2 3 2" xfId="17332" xr:uid="{00000000-0005-0000-0000-0000D73B0000}"/>
    <cellStyle name="40% - Accent2 2 6 2 3 2 2" xfId="37812" xr:uid="{00000000-0005-0000-0000-0000D83B0000}"/>
    <cellStyle name="40% - Accent2 2 6 2 3 3" xfId="27572" xr:uid="{00000000-0005-0000-0000-0000D93B0000}"/>
    <cellStyle name="40% - Accent2 2 6 2 4" xfId="12212" xr:uid="{00000000-0005-0000-0000-0000DA3B0000}"/>
    <cellStyle name="40% - Accent2 2 6 2 4 2" xfId="32692" xr:uid="{00000000-0005-0000-0000-0000DB3B0000}"/>
    <cellStyle name="40% - Accent2 2 6 2 5" xfId="22452" xr:uid="{00000000-0005-0000-0000-0000DC3B0000}"/>
    <cellStyle name="40% - Accent2 2 6 3" xfId="3252" xr:uid="{00000000-0005-0000-0000-0000DD3B0000}"/>
    <cellStyle name="40% - Accent2 2 6 3 2" xfId="8372" xr:uid="{00000000-0005-0000-0000-0000DE3B0000}"/>
    <cellStyle name="40% - Accent2 2 6 3 2 2" xfId="18612" xr:uid="{00000000-0005-0000-0000-0000DF3B0000}"/>
    <cellStyle name="40% - Accent2 2 6 3 2 2 2" xfId="39092" xr:uid="{00000000-0005-0000-0000-0000E03B0000}"/>
    <cellStyle name="40% - Accent2 2 6 3 2 3" xfId="28852" xr:uid="{00000000-0005-0000-0000-0000E13B0000}"/>
    <cellStyle name="40% - Accent2 2 6 3 3" xfId="13492" xr:uid="{00000000-0005-0000-0000-0000E23B0000}"/>
    <cellStyle name="40% - Accent2 2 6 3 3 2" xfId="33972" xr:uid="{00000000-0005-0000-0000-0000E33B0000}"/>
    <cellStyle name="40% - Accent2 2 6 3 4" xfId="23732" xr:uid="{00000000-0005-0000-0000-0000E43B0000}"/>
    <cellStyle name="40% - Accent2 2 6 4" xfId="5812" xr:uid="{00000000-0005-0000-0000-0000E53B0000}"/>
    <cellStyle name="40% - Accent2 2 6 4 2" xfId="16052" xr:uid="{00000000-0005-0000-0000-0000E63B0000}"/>
    <cellStyle name="40% - Accent2 2 6 4 2 2" xfId="36532" xr:uid="{00000000-0005-0000-0000-0000E73B0000}"/>
    <cellStyle name="40% - Accent2 2 6 4 3" xfId="26292" xr:uid="{00000000-0005-0000-0000-0000E83B0000}"/>
    <cellStyle name="40% - Accent2 2 6 5" xfId="10932" xr:uid="{00000000-0005-0000-0000-0000E93B0000}"/>
    <cellStyle name="40% - Accent2 2 6 5 2" xfId="31412" xr:uid="{00000000-0005-0000-0000-0000EA3B0000}"/>
    <cellStyle name="40% - Accent2 2 6 6" xfId="21172" xr:uid="{00000000-0005-0000-0000-0000EB3B0000}"/>
    <cellStyle name="40% - Accent2 2 7" xfId="1332" xr:uid="{00000000-0005-0000-0000-0000EC3B0000}"/>
    <cellStyle name="40% - Accent2 2 7 2" xfId="3892" xr:uid="{00000000-0005-0000-0000-0000ED3B0000}"/>
    <cellStyle name="40% - Accent2 2 7 2 2" xfId="9012" xr:uid="{00000000-0005-0000-0000-0000EE3B0000}"/>
    <cellStyle name="40% - Accent2 2 7 2 2 2" xfId="19252" xr:uid="{00000000-0005-0000-0000-0000EF3B0000}"/>
    <cellStyle name="40% - Accent2 2 7 2 2 2 2" xfId="39732" xr:uid="{00000000-0005-0000-0000-0000F03B0000}"/>
    <cellStyle name="40% - Accent2 2 7 2 2 3" xfId="29492" xr:uid="{00000000-0005-0000-0000-0000F13B0000}"/>
    <cellStyle name="40% - Accent2 2 7 2 3" xfId="14132" xr:uid="{00000000-0005-0000-0000-0000F23B0000}"/>
    <cellStyle name="40% - Accent2 2 7 2 3 2" xfId="34612" xr:uid="{00000000-0005-0000-0000-0000F33B0000}"/>
    <cellStyle name="40% - Accent2 2 7 2 4" xfId="24372" xr:uid="{00000000-0005-0000-0000-0000F43B0000}"/>
    <cellStyle name="40% - Accent2 2 7 3" xfId="6452" xr:uid="{00000000-0005-0000-0000-0000F53B0000}"/>
    <cellStyle name="40% - Accent2 2 7 3 2" xfId="16692" xr:uid="{00000000-0005-0000-0000-0000F63B0000}"/>
    <cellStyle name="40% - Accent2 2 7 3 2 2" xfId="37172" xr:uid="{00000000-0005-0000-0000-0000F73B0000}"/>
    <cellStyle name="40% - Accent2 2 7 3 3" xfId="26932" xr:uid="{00000000-0005-0000-0000-0000F83B0000}"/>
    <cellStyle name="40% - Accent2 2 7 4" xfId="11572" xr:uid="{00000000-0005-0000-0000-0000F93B0000}"/>
    <cellStyle name="40% - Accent2 2 7 4 2" xfId="32052" xr:uid="{00000000-0005-0000-0000-0000FA3B0000}"/>
    <cellStyle name="40% - Accent2 2 7 5" xfId="21812" xr:uid="{00000000-0005-0000-0000-0000FB3B0000}"/>
    <cellStyle name="40% - Accent2 2 8" xfId="2612" xr:uid="{00000000-0005-0000-0000-0000FC3B0000}"/>
    <cellStyle name="40% - Accent2 2 8 2" xfId="7732" xr:uid="{00000000-0005-0000-0000-0000FD3B0000}"/>
    <cellStyle name="40% - Accent2 2 8 2 2" xfId="17972" xr:uid="{00000000-0005-0000-0000-0000FE3B0000}"/>
    <cellStyle name="40% - Accent2 2 8 2 2 2" xfId="38452" xr:uid="{00000000-0005-0000-0000-0000FF3B0000}"/>
    <cellStyle name="40% - Accent2 2 8 2 3" xfId="28212" xr:uid="{00000000-0005-0000-0000-0000003C0000}"/>
    <cellStyle name="40% - Accent2 2 8 3" xfId="12852" xr:uid="{00000000-0005-0000-0000-0000013C0000}"/>
    <cellStyle name="40% - Accent2 2 8 3 2" xfId="33332" xr:uid="{00000000-0005-0000-0000-0000023C0000}"/>
    <cellStyle name="40% - Accent2 2 8 4" xfId="23092" xr:uid="{00000000-0005-0000-0000-0000033C0000}"/>
    <cellStyle name="40% - Accent2 2 9" xfId="5172" xr:uid="{00000000-0005-0000-0000-0000043C0000}"/>
    <cellStyle name="40% - Accent2 2 9 2" xfId="15412" xr:uid="{00000000-0005-0000-0000-0000053C0000}"/>
    <cellStyle name="40% - Accent2 2 9 2 2" xfId="35892" xr:uid="{00000000-0005-0000-0000-0000063C0000}"/>
    <cellStyle name="40% - Accent2 2 9 3" xfId="25652" xr:uid="{00000000-0005-0000-0000-0000073C0000}"/>
    <cellStyle name="40% - Accent2 3" xfId="72" xr:uid="{00000000-0005-0000-0000-0000083C0000}"/>
    <cellStyle name="40% - Accent2 3 10" xfId="20552" xr:uid="{00000000-0005-0000-0000-0000093C0000}"/>
    <cellStyle name="40% - Accent2 3 2" xfId="152" xr:uid="{00000000-0005-0000-0000-00000A3C0000}"/>
    <cellStyle name="40% - Accent2 3 2 2" xfId="312" xr:uid="{00000000-0005-0000-0000-00000B3C0000}"/>
    <cellStyle name="40% - Accent2 3 2 2 2" xfId="632" xr:uid="{00000000-0005-0000-0000-00000C3C0000}"/>
    <cellStyle name="40% - Accent2 3 2 2 2 2" xfId="1272" xr:uid="{00000000-0005-0000-0000-00000D3C0000}"/>
    <cellStyle name="40% - Accent2 3 2 2 2 2 2" xfId="2552" xr:uid="{00000000-0005-0000-0000-00000E3C0000}"/>
    <cellStyle name="40% - Accent2 3 2 2 2 2 2 2" xfId="5112" xr:uid="{00000000-0005-0000-0000-00000F3C0000}"/>
    <cellStyle name="40% - Accent2 3 2 2 2 2 2 2 2" xfId="10232" xr:uid="{00000000-0005-0000-0000-0000103C0000}"/>
    <cellStyle name="40% - Accent2 3 2 2 2 2 2 2 2 2" xfId="20472" xr:uid="{00000000-0005-0000-0000-0000113C0000}"/>
    <cellStyle name="40% - Accent2 3 2 2 2 2 2 2 2 2 2" xfId="40952" xr:uid="{00000000-0005-0000-0000-0000123C0000}"/>
    <cellStyle name="40% - Accent2 3 2 2 2 2 2 2 2 3" xfId="30712" xr:uid="{00000000-0005-0000-0000-0000133C0000}"/>
    <cellStyle name="40% - Accent2 3 2 2 2 2 2 2 3" xfId="15352" xr:uid="{00000000-0005-0000-0000-0000143C0000}"/>
    <cellStyle name="40% - Accent2 3 2 2 2 2 2 2 3 2" xfId="35832" xr:uid="{00000000-0005-0000-0000-0000153C0000}"/>
    <cellStyle name="40% - Accent2 3 2 2 2 2 2 2 4" xfId="25592" xr:uid="{00000000-0005-0000-0000-0000163C0000}"/>
    <cellStyle name="40% - Accent2 3 2 2 2 2 2 3" xfId="7672" xr:uid="{00000000-0005-0000-0000-0000173C0000}"/>
    <cellStyle name="40% - Accent2 3 2 2 2 2 2 3 2" xfId="17912" xr:uid="{00000000-0005-0000-0000-0000183C0000}"/>
    <cellStyle name="40% - Accent2 3 2 2 2 2 2 3 2 2" xfId="38392" xr:uid="{00000000-0005-0000-0000-0000193C0000}"/>
    <cellStyle name="40% - Accent2 3 2 2 2 2 2 3 3" xfId="28152" xr:uid="{00000000-0005-0000-0000-00001A3C0000}"/>
    <cellStyle name="40% - Accent2 3 2 2 2 2 2 4" xfId="12792" xr:uid="{00000000-0005-0000-0000-00001B3C0000}"/>
    <cellStyle name="40% - Accent2 3 2 2 2 2 2 4 2" xfId="33272" xr:uid="{00000000-0005-0000-0000-00001C3C0000}"/>
    <cellStyle name="40% - Accent2 3 2 2 2 2 2 5" xfId="23032" xr:uid="{00000000-0005-0000-0000-00001D3C0000}"/>
    <cellStyle name="40% - Accent2 3 2 2 2 2 3" xfId="3832" xr:uid="{00000000-0005-0000-0000-00001E3C0000}"/>
    <cellStyle name="40% - Accent2 3 2 2 2 2 3 2" xfId="8952" xr:uid="{00000000-0005-0000-0000-00001F3C0000}"/>
    <cellStyle name="40% - Accent2 3 2 2 2 2 3 2 2" xfId="19192" xr:uid="{00000000-0005-0000-0000-0000203C0000}"/>
    <cellStyle name="40% - Accent2 3 2 2 2 2 3 2 2 2" xfId="39672" xr:uid="{00000000-0005-0000-0000-0000213C0000}"/>
    <cellStyle name="40% - Accent2 3 2 2 2 2 3 2 3" xfId="29432" xr:uid="{00000000-0005-0000-0000-0000223C0000}"/>
    <cellStyle name="40% - Accent2 3 2 2 2 2 3 3" xfId="14072" xr:uid="{00000000-0005-0000-0000-0000233C0000}"/>
    <cellStyle name="40% - Accent2 3 2 2 2 2 3 3 2" xfId="34552" xr:uid="{00000000-0005-0000-0000-0000243C0000}"/>
    <cellStyle name="40% - Accent2 3 2 2 2 2 3 4" xfId="24312" xr:uid="{00000000-0005-0000-0000-0000253C0000}"/>
    <cellStyle name="40% - Accent2 3 2 2 2 2 4" xfId="6392" xr:uid="{00000000-0005-0000-0000-0000263C0000}"/>
    <cellStyle name="40% - Accent2 3 2 2 2 2 4 2" xfId="16632" xr:uid="{00000000-0005-0000-0000-0000273C0000}"/>
    <cellStyle name="40% - Accent2 3 2 2 2 2 4 2 2" xfId="37112" xr:uid="{00000000-0005-0000-0000-0000283C0000}"/>
    <cellStyle name="40% - Accent2 3 2 2 2 2 4 3" xfId="26872" xr:uid="{00000000-0005-0000-0000-0000293C0000}"/>
    <cellStyle name="40% - Accent2 3 2 2 2 2 5" xfId="11512" xr:uid="{00000000-0005-0000-0000-00002A3C0000}"/>
    <cellStyle name="40% - Accent2 3 2 2 2 2 5 2" xfId="31992" xr:uid="{00000000-0005-0000-0000-00002B3C0000}"/>
    <cellStyle name="40% - Accent2 3 2 2 2 2 6" xfId="21752" xr:uid="{00000000-0005-0000-0000-00002C3C0000}"/>
    <cellStyle name="40% - Accent2 3 2 2 2 3" xfId="1912" xr:uid="{00000000-0005-0000-0000-00002D3C0000}"/>
    <cellStyle name="40% - Accent2 3 2 2 2 3 2" xfId="4472" xr:uid="{00000000-0005-0000-0000-00002E3C0000}"/>
    <cellStyle name="40% - Accent2 3 2 2 2 3 2 2" xfId="9592" xr:uid="{00000000-0005-0000-0000-00002F3C0000}"/>
    <cellStyle name="40% - Accent2 3 2 2 2 3 2 2 2" xfId="19832" xr:uid="{00000000-0005-0000-0000-0000303C0000}"/>
    <cellStyle name="40% - Accent2 3 2 2 2 3 2 2 2 2" xfId="40312" xr:uid="{00000000-0005-0000-0000-0000313C0000}"/>
    <cellStyle name="40% - Accent2 3 2 2 2 3 2 2 3" xfId="30072" xr:uid="{00000000-0005-0000-0000-0000323C0000}"/>
    <cellStyle name="40% - Accent2 3 2 2 2 3 2 3" xfId="14712" xr:uid="{00000000-0005-0000-0000-0000333C0000}"/>
    <cellStyle name="40% - Accent2 3 2 2 2 3 2 3 2" xfId="35192" xr:uid="{00000000-0005-0000-0000-0000343C0000}"/>
    <cellStyle name="40% - Accent2 3 2 2 2 3 2 4" xfId="24952" xr:uid="{00000000-0005-0000-0000-0000353C0000}"/>
    <cellStyle name="40% - Accent2 3 2 2 2 3 3" xfId="7032" xr:uid="{00000000-0005-0000-0000-0000363C0000}"/>
    <cellStyle name="40% - Accent2 3 2 2 2 3 3 2" xfId="17272" xr:uid="{00000000-0005-0000-0000-0000373C0000}"/>
    <cellStyle name="40% - Accent2 3 2 2 2 3 3 2 2" xfId="37752" xr:uid="{00000000-0005-0000-0000-0000383C0000}"/>
    <cellStyle name="40% - Accent2 3 2 2 2 3 3 3" xfId="27512" xr:uid="{00000000-0005-0000-0000-0000393C0000}"/>
    <cellStyle name="40% - Accent2 3 2 2 2 3 4" xfId="12152" xr:uid="{00000000-0005-0000-0000-00003A3C0000}"/>
    <cellStyle name="40% - Accent2 3 2 2 2 3 4 2" xfId="32632" xr:uid="{00000000-0005-0000-0000-00003B3C0000}"/>
    <cellStyle name="40% - Accent2 3 2 2 2 3 5" xfId="22392" xr:uid="{00000000-0005-0000-0000-00003C3C0000}"/>
    <cellStyle name="40% - Accent2 3 2 2 2 4" xfId="3192" xr:uid="{00000000-0005-0000-0000-00003D3C0000}"/>
    <cellStyle name="40% - Accent2 3 2 2 2 4 2" xfId="8312" xr:uid="{00000000-0005-0000-0000-00003E3C0000}"/>
    <cellStyle name="40% - Accent2 3 2 2 2 4 2 2" xfId="18552" xr:uid="{00000000-0005-0000-0000-00003F3C0000}"/>
    <cellStyle name="40% - Accent2 3 2 2 2 4 2 2 2" xfId="39032" xr:uid="{00000000-0005-0000-0000-0000403C0000}"/>
    <cellStyle name="40% - Accent2 3 2 2 2 4 2 3" xfId="28792" xr:uid="{00000000-0005-0000-0000-0000413C0000}"/>
    <cellStyle name="40% - Accent2 3 2 2 2 4 3" xfId="13432" xr:uid="{00000000-0005-0000-0000-0000423C0000}"/>
    <cellStyle name="40% - Accent2 3 2 2 2 4 3 2" xfId="33912" xr:uid="{00000000-0005-0000-0000-0000433C0000}"/>
    <cellStyle name="40% - Accent2 3 2 2 2 4 4" xfId="23672" xr:uid="{00000000-0005-0000-0000-0000443C0000}"/>
    <cellStyle name="40% - Accent2 3 2 2 2 5" xfId="5752" xr:uid="{00000000-0005-0000-0000-0000453C0000}"/>
    <cellStyle name="40% - Accent2 3 2 2 2 5 2" xfId="15992" xr:uid="{00000000-0005-0000-0000-0000463C0000}"/>
    <cellStyle name="40% - Accent2 3 2 2 2 5 2 2" xfId="36472" xr:uid="{00000000-0005-0000-0000-0000473C0000}"/>
    <cellStyle name="40% - Accent2 3 2 2 2 5 3" xfId="26232" xr:uid="{00000000-0005-0000-0000-0000483C0000}"/>
    <cellStyle name="40% - Accent2 3 2 2 2 6" xfId="10872" xr:uid="{00000000-0005-0000-0000-0000493C0000}"/>
    <cellStyle name="40% - Accent2 3 2 2 2 6 2" xfId="31352" xr:uid="{00000000-0005-0000-0000-00004A3C0000}"/>
    <cellStyle name="40% - Accent2 3 2 2 2 7" xfId="21112" xr:uid="{00000000-0005-0000-0000-00004B3C0000}"/>
    <cellStyle name="40% - Accent2 3 2 2 3" xfId="952" xr:uid="{00000000-0005-0000-0000-00004C3C0000}"/>
    <cellStyle name="40% - Accent2 3 2 2 3 2" xfId="2232" xr:uid="{00000000-0005-0000-0000-00004D3C0000}"/>
    <cellStyle name="40% - Accent2 3 2 2 3 2 2" xfId="4792" xr:uid="{00000000-0005-0000-0000-00004E3C0000}"/>
    <cellStyle name="40% - Accent2 3 2 2 3 2 2 2" xfId="9912" xr:uid="{00000000-0005-0000-0000-00004F3C0000}"/>
    <cellStyle name="40% - Accent2 3 2 2 3 2 2 2 2" xfId="20152" xr:uid="{00000000-0005-0000-0000-0000503C0000}"/>
    <cellStyle name="40% - Accent2 3 2 2 3 2 2 2 2 2" xfId="40632" xr:uid="{00000000-0005-0000-0000-0000513C0000}"/>
    <cellStyle name="40% - Accent2 3 2 2 3 2 2 2 3" xfId="30392" xr:uid="{00000000-0005-0000-0000-0000523C0000}"/>
    <cellStyle name="40% - Accent2 3 2 2 3 2 2 3" xfId="15032" xr:uid="{00000000-0005-0000-0000-0000533C0000}"/>
    <cellStyle name="40% - Accent2 3 2 2 3 2 2 3 2" xfId="35512" xr:uid="{00000000-0005-0000-0000-0000543C0000}"/>
    <cellStyle name="40% - Accent2 3 2 2 3 2 2 4" xfId="25272" xr:uid="{00000000-0005-0000-0000-0000553C0000}"/>
    <cellStyle name="40% - Accent2 3 2 2 3 2 3" xfId="7352" xr:uid="{00000000-0005-0000-0000-0000563C0000}"/>
    <cellStyle name="40% - Accent2 3 2 2 3 2 3 2" xfId="17592" xr:uid="{00000000-0005-0000-0000-0000573C0000}"/>
    <cellStyle name="40% - Accent2 3 2 2 3 2 3 2 2" xfId="38072" xr:uid="{00000000-0005-0000-0000-0000583C0000}"/>
    <cellStyle name="40% - Accent2 3 2 2 3 2 3 3" xfId="27832" xr:uid="{00000000-0005-0000-0000-0000593C0000}"/>
    <cellStyle name="40% - Accent2 3 2 2 3 2 4" xfId="12472" xr:uid="{00000000-0005-0000-0000-00005A3C0000}"/>
    <cellStyle name="40% - Accent2 3 2 2 3 2 4 2" xfId="32952" xr:uid="{00000000-0005-0000-0000-00005B3C0000}"/>
    <cellStyle name="40% - Accent2 3 2 2 3 2 5" xfId="22712" xr:uid="{00000000-0005-0000-0000-00005C3C0000}"/>
    <cellStyle name="40% - Accent2 3 2 2 3 3" xfId="3512" xr:uid="{00000000-0005-0000-0000-00005D3C0000}"/>
    <cellStyle name="40% - Accent2 3 2 2 3 3 2" xfId="8632" xr:uid="{00000000-0005-0000-0000-00005E3C0000}"/>
    <cellStyle name="40% - Accent2 3 2 2 3 3 2 2" xfId="18872" xr:uid="{00000000-0005-0000-0000-00005F3C0000}"/>
    <cellStyle name="40% - Accent2 3 2 2 3 3 2 2 2" xfId="39352" xr:uid="{00000000-0005-0000-0000-0000603C0000}"/>
    <cellStyle name="40% - Accent2 3 2 2 3 3 2 3" xfId="29112" xr:uid="{00000000-0005-0000-0000-0000613C0000}"/>
    <cellStyle name="40% - Accent2 3 2 2 3 3 3" xfId="13752" xr:uid="{00000000-0005-0000-0000-0000623C0000}"/>
    <cellStyle name="40% - Accent2 3 2 2 3 3 3 2" xfId="34232" xr:uid="{00000000-0005-0000-0000-0000633C0000}"/>
    <cellStyle name="40% - Accent2 3 2 2 3 3 4" xfId="23992" xr:uid="{00000000-0005-0000-0000-0000643C0000}"/>
    <cellStyle name="40% - Accent2 3 2 2 3 4" xfId="6072" xr:uid="{00000000-0005-0000-0000-0000653C0000}"/>
    <cellStyle name="40% - Accent2 3 2 2 3 4 2" xfId="16312" xr:uid="{00000000-0005-0000-0000-0000663C0000}"/>
    <cellStyle name="40% - Accent2 3 2 2 3 4 2 2" xfId="36792" xr:uid="{00000000-0005-0000-0000-0000673C0000}"/>
    <cellStyle name="40% - Accent2 3 2 2 3 4 3" xfId="26552" xr:uid="{00000000-0005-0000-0000-0000683C0000}"/>
    <cellStyle name="40% - Accent2 3 2 2 3 5" xfId="11192" xr:uid="{00000000-0005-0000-0000-0000693C0000}"/>
    <cellStyle name="40% - Accent2 3 2 2 3 5 2" xfId="31672" xr:uid="{00000000-0005-0000-0000-00006A3C0000}"/>
    <cellStyle name="40% - Accent2 3 2 2 3 6" xfId="21432" xr:uid="{00000000-0005-0000-0000-00006B3C0000}"/>
    <cellStyle name="40% - Accent2 3 2 2 4" xfId="1592" xr:uid="{00000000-0005-0000-0000-00006C3C0000}"/>
    <cellStyle name="40% - Accent2 3 2 2 4 2" xfId="4152" xr:uid="{00000000-0005-0000-0000-00006D3C0000}"/>
    <cellStyle name="40% - Accent2 3 2 2 4 2 2" xfId="9272" xr:uid="{00000000-0005-0000-0000-00006E3C0000}"/>
    <cellStyle name="40% - Accent2 3 2 2 4 2 2 2" xfId="19512" xr:uid="{00000000-0005-0000-0000-00006F3C0000}"/>
    <cellStyle name="40% - Accent2 3 2 2 4 2 2 2 2" xfId="39992" xr:uid="{00000000-0005-0000-0000-0000703C0000}"/>
    <cellStyle name="40% - Accent2 3 2 2 4 2 2 3" xfId="29752" xr:uid="{00000000-0005-0000-0000-0000713C0000}"/>
    <cellStyle name="40% - Accent2 3 2 2 4 2 3" xfId="14392" xr:uid="{00000000-0005-0000-0000-0000723C0000}"/>
    <cellStyle name="40% - Accent2 3 2 2 4 2 3 2" xfId="34872" xr:uid="{00000000-0005-0000-0000-0000733C0000}"/>
    <cellStyle name="40% - Accent2 3 2 2 4 2 4" xfId="24632" xr:uid="{00000000-0005-0000-0000-0000743C0000}"/>
    <cellStyle name="40% - Accent2 3 2 2 4 3" xfId="6712" xr:uid="{00000000-0005-0000-0000-0000753C0000}"/>
    <cellStyle name="40% - Accent2 3 2 2 4 3 2" xfId="16952" xr:uid="{00000000-0005-0000-0000-0000763C0000}"/>
    <cellStyle name="40% - Accent2 3 2 2 4 3 2 2" xfId="37432" xr:uid="{00000000-0005-0000-0000-0000773C0000}"/>
    <cellStyle name="40% - Accent2 3 2 2 4 3 3" xfId="27192" xr:uid="{00000000-0005-0000-0000-0000783C0000}"/>
    <cellStyle name="40% - Accent2 3 2 2 4 4" xfId="11832" xr:uid="{00000000-0005-0000-0000-0000793C0000}"/>
    <cellStyle name="40% - Accent2 3 2 2 4 4 2" xfId="32312" xr:uid="{00000000-0005-0000-0000-00007A3C0000}"/>
    <cellStyle name="40% - Accent2 3 2 2 4 5" xfId="22072" xr:uid="{00000000-0005-0000-0000-00007B3C0000}"/>
    <cellStyle name="40% - Accent2 3 2 2 5" xfId="2872" xr:uid="{00000000-0005-0000-0000-00007C3C0000}"/>
    <cellStyle name="40% - Accent2 3 2 2 5 2" xfId="7992" xr:uid="{00000000-0005-0000-0000-00007D3C0000}"/>
    <cellStyle name="40% - Accent2 3 2 2 5 2 2" xfId="18232" xr:uid="{00000000-0005-0000-0000-00007E3C0000}"/>
    <cellStyle name="40% - Accent2 3 2 2 5 2 2 2" xfId="38712" xr:uid="{00000000-0005-0000-0000-00007F3C0000}"/>
    <cellStyle name="40% - Accent2 3 2 2 5 2 3" xfId="28472" xr:uid="{00000000-0005-0000-0000-0000803C0000}"/>
    <cellStyle name="40% - Accent2 3 2 2 5 3" xfId="13112" xr:uid="{00000000-0005-0000-0000-0000813C0000}"/>
    <cellStyle name="40% - Accent2 3 2 2 5 3 2" xfId="33592" xr:uid="{00000000-0005-0000-0000-0000823C0000}"/>
    <cellStyle name="40% - Accent2 3 2 2 5 4" xfId="23352" xr:uid="{00000000-0005-0000-0000-0000833C0000}"/>
    <cellStyle name="40% - Accent2 3 2 2 6" xfId="5432" xr:uid="{00000000-0005-0000-0000-0000843C0000}"/>
    <cellStyle name="40% - Accent2 3 2 2 6 2" xfId="15672" xr:uid="{00000000-0005-0000-0000-0000853C0000}"/>
    <cellStyle name="40% - Accent2 3 2 2 6 2 2" xfId="36152" xr:uid="{00000000-0005-0000-0000-0000863C0000}"/>
    <cellStyle name="40% - Accent2 3 2 2 6 3" xfId="25912" xr:uid="{00000000-0005-0000-0000-0000873C0000}"/>
    <cellStyle name="40% - Accent2 3 2 2 7" xfId="10552" xr:uid="{00000000-0005-0000-0000-0000883C0000}"/>
    <cellStyle name="40% - Accent2 3 2 2 7 2" xfId="31032" xr:uid="{00000000-0005-0000-0000-0000893C0000}"/>
    <cellStyle name="40% - Accent2 3 2 2 8" xfId="20792" xr:uid="{00000000-0005-0000-0000-00008A3C0000}"/>
    <cellStyle name="40% - Accent2 3 2 3" xfId="472" xr:uid="{00000000-0005-0000-0000-00008B3C0000}"/>
    <cellStyle name="40% - Accent2 3 2 3 2" xfId="1112" xr:uid="{00000000-0005-0000-0000-00008C3C0000}"/>
    <cellStyle name="40% - Accent2 3 2 3 2 2" xfId="2392" xr:uid="{00000000-0005-0000-0000-00008D3C0000}"/>
    <cellStyle name="40% - Accent2 3 2 3 2 2 2" xfId="4952" xr:uid="{00000000-0005-0000-0000-00008E3C0000}"/>
    <cellStyle name="40% - Accent2 3 2 3 2 2 2 2" xfId="10072" xr:uid="{00000000-0005-0000-0000-00008F3C0000}"/>
    <cellStyle name="40% - Accent2 3 2 3 2 2 2 2 2" xfId="20312" xr:uid="{00000000-0005-0000-0000-0000903C0000}"/>
    <cellStyle name="40% - Accent2 3 2 3 2 2 2 2 2 2" xfId="40792" xr:uid="{00000000-0005-0000-0000-0000913C0000}"/>
    <cellStyle name="40% - Accent2 3 2 3 2 2 2 2 3" xfId="30552" xr:uid="{00000000-0005-0000-0000-0000923C0000}"/>
    <cellStyle name="40% - Accent2 3 2 3 2 2 2 3" xfId="15192" xr:uid="{00000000-0005-0000-0000-0000933C0000}"/>
    <cellStyle name="40% - Accent2 3 2 3 2 2 2 3 2" xfId="35672" xr:uid="{00000000-0005-0000-0000-0000943C0000}"/>
    <cellStyle name="40% - Accent2 3 2 3 2 2 2 4" xfId="25432" xr:uid="{00000000-0005-0000-0000-0000953C0000}"/>
    <cellStyle name="40% - Accent2 3 2 3 2 2 3" xfId="7512" xr:uid="{00000000-0005-0000-0000-0000963C0000}"/>
    <cellStyle name="40% - Accent2 3 2 3 2 2 3 2" xfId="17752" xr:uid="{00000000-0005-0000-0000-0000973C0000}"/>
    <cellStyle name="40% - Accent2 3 2 3 2 2 3 2 2" xfId="38232" xr:uid="{00000000-0005-0000-0000-0000983C0000}"/>
    <cellStyle name="40% - Accent2 3 2 3 2 2 3 3" xfId="27992" xr:uid="{00000000-0005-0000-0000-0000993C0000}"/>
    <cellStyle name="40% - Accent2 3 2 3 2 2 4" xfId="12632" xr:uid="{00000000-0005-0000-0000-00009A3C0000}"/>
    <cellStyle name="40% - Accent2 3 2 3 2 2 4 2" xfId="33112" xr:uid="{00000000-0005-0000-0000-00009B3C0000}"/>
    <cellStyle name="40% - Accent2 3 2 3 2 2 5" xfId="22872" xr:uid="{00000000-0005-0000-0000-00009C3C0000}"/>
    <cellStyle name="40% - Accent2 3 2 3 2 3" xfId="3672" xr:uid="{00000000-0005-0000-0000-00009D3C0000}"/>
    <cellStyle name="40% - Accent2 3 2 3 2 3 2" xfId="8792" xr:uid="{00000000-0005-0000-0000-00009E3C0000}"/>
    <cellStyle name="40% - Accent2 3 2 3 2 3 2 2" xfId="19032" xr:uid="{00000000-0005-0000-0000-00009F3C0000}"/>
    <cellStyle name="40% - Accent2 3 2 3 2 3 2 2 2" xfId="39512" xr:uid="{00000000-0005-0000-0000-0000A03C0000}"/>
    <cellStyle name="40% - Accent2 3 2 3 2 3 2 3" xfId="29272" xr:uid="{00000000-0005-0000-0000-0000A13C0000}"/>
    <cellStyle name="40% - Accent2 3 2 3 2 3 3" xfId="13912" xr:uid="{00000000-0005-0000-0000-0000A23C0000}"/>
    <cellStyle name="40% - Accent2 3 2 3 2 3 3 2" xfId="34392" xr:uid="{00000000-0005-0000-0000-0000A33C0000}"/>
    <cellStyle name="40% - Accent2 3 2 3 2 3 4" xfId="24152" xr:uid="{00000000-0005-0000-0000-0000A43C0000}"/>
    <cellStyle name="40% - Accent2 3 2 3 2 4" xfId="6232" xr:uid="{00000000-0005-0000-0000-0000A53C0000}"/>
    <cellStyle name="40% - Accent2 3 2 3 2 4 2" xfId="16472" xr:uid="{00000000-0005-0000-0000-0000A63C0000}"/>
    <cellStyle name="40% - Accent2 3 2 3 2 4 2 2" xfId="36952" xr:uid="{00000000-0005-0000-0000-0000A73C0000}"/>
    <cellStyle name="40% - Accent2 3 2 3 2 4 3" xfId="26712" xr:uid="{00000000-0005-0000-0000-0000A83C0000}"/>
    <cellStyle name="40% - Accent2 3 2 3 2 5" xfId="11352" xr:uid="{00000000-0005-0000-0000-0000A93C0000}"/>
    <cellStyle name="40% - Accent2 3 2 3 2 5 2" xfId="31832" xr:uid="{00000000-0005-0000-0000-0000AA3C0000}"/>
    <cellStyle name="40% - Accent2 3 2 3 2 6" xfId="21592" xr:uid="{00000000-0005-0000-0000-0000AB3C0000}"/>
    <cellStyle name="40% - Accent2 3 2 3 3" xfId="1752" xr:uid="{00000000-0005-0000-0000-0000AC3C0000}"/>
    <cellStyle name="40% - Accent2 3 2 3 3 2" xfId="4312" xr:uid="{00000000-0005-0000-0000-0000AD3C0000}"/>
    <cellStyle name="40% - Accent2 3 2 3 3 2 2" xfId="9432" xr:uid="{00000000-0005-0000-0000-0000AE3C0000}"/>
    <cellStyle name="40% - Accent2 3 2 3 3 2 2 2" xfId="19672" xr:uid="{00000000-0005-0000-0000-0000AF3C0000}"/>
    <cellStyle name="40% - Accent2 3 2 3 3 2 2 2 2" xfId="40152" xr:uid="{00000000-0005-0000-0000-0000B03C0000}"/>
    <cellStyle name="40% - Accent2 3 2 3 3 2 2 3" xfId="29912" xr:uid="{00000000-0005-0000-0000-0000B13C0000}"/>
    <cellStyle name="40% - Accent2 3 2 3 3 2 3" xfId="14552" xr:uid="{00000000-0005-0000-0000-0000B23C0000}"/>
    <cellStyle name="40% - Accent2 3 2 3 3 2 3 2" xfId="35032" xr:uid="{00000000-0005-0000-0000-0000B33C0000}"/>
    <cellStyle name="40% - Accent2 3 2 3 3 2 4" xfId="24792" xr:uid="{00000000-0005-0000-0000-0000B43C0000}"/>
    <cellStyle name="40% - Accent2 3 2 3 3 3" xfId="6872" xr:uid="{00000000-0005-0000-0000-0000B53C0000}"/>
    <cellStyle name="40% - Accent2 3 2 3 3 3 2" xfId="17112" xr:uid="{00000000-0005-0000-0000-0000B63C0000}"/>
    <cellStyle name="40% - Accent2 3 2 3 3 3 2 2" xfId="37592" xr:uid="{00000000-0005-0000-0000-0000B73C0000}"/>
    <cellStyle name="40% - Accent2 3 2 3 3 3 3" xfId="27352" xr:uid="{00000000-0005-0000-0000-0000B83C0000}"/>
    <cellStyle name="40% - Accent2 3 2 3 3 4" xfId="11992" xr:uid="{00000000-0005-0000-0000-0000B93C0000}"/>
    <cellStyle name="40% - Accent2 3 2 3 3 4 2" xfId="32472" xr:uid="{00000000-0005-0000-0000-0000BA3C0000}"/>
    <cellStyle name="40% - Accent2 3 2 3 3 5" xfId="22232" xr:uid="{00000000-0005-0000-0000-0000BB3C0000}"/>
    <cellStyle name="40% - Accent2 3 2 3 4" xfId="3032" xr:uid="{00000000-0005-0000-0000-0000BC3C0000}"/>
    <cellStyle name="40% - Accent2 3 2 3 4 2" xfId="8152" xr:uid="{00000000-0005-0000-0000-0000BD3C0000}"/>
    <cellStyle name="40% - Accent2 3 2 3 4 2 2" xfId="18392" xr:uid="{00000000-0005-0000-0000-0000BE3C0000}"/>
    <cellStyle name="40% - Accent2 3 2 3 4 2 2 2" xfId="38872" xr:uid="{00000000-0005-0000-0000-0000BF3C0000}"/>
    <cellStyle name="40% - Accent2 3 2 3 4 2 3" xfId="28632" xr:uid="{00000000-0005-0000-0000-0000C03C0000}"/>
    <cellStyle name="40% - Accent2 3 2 3 4 3" xfId="13272" xr:uid="{00000000-0005-0000-0000-0000C13C0000}"/>
    <cellStyle name="40% - Accent2 3 2 3 4 3 2" xfId="33752" xr:uid="{00000000-0005-0000-0000-0000C23C0000}"/>
    <cellStyle name="40% - Accent2 3 2 3 4 4" xfId="23512" xr:uid="{00000000-0005-0000-0000-0000C33C0000}"/>
    <cellStyle name="40% - Accent2 3 2 3 5" xfId="5592" xr:uid="{00000000-0005-0000-0000-0000C43C0000}"/>
    <cellStyle name="40% - Accent2 3 2 3 5 2" xfId="15832" xr:uid="{00000000-0005-0000-0000-0000C53C0000}"/>
    <cellStyle name="40% - Accent2 3 2 3 5 2 2" xfId="36312" xr:uid="{00000000-0005-0000-0000-0000C63C0000}"/>
    <cellStyle name="40% - Accent2 3 2 3 5 3" xfId="26072" xr:uid="{00000000-0005-0000-0000-0000C73C0000}"/>
    <cellStyle name="40% - Accent2 3 2 3 6" xfId="10712" xr:uid="{00000000-0005-0000-0000-0000C83C0000}"/>
    <cellStyle name="40% - Accent2 3 2 3 6 2" xfId="31192" xr:uid="{00000000-0005-0000-0000-0000C93C0000}"/>
    <cellStyle name="40% - Accent2 3 2 3 7" xfId="20952" xr:uid="{00000000-0005-0000-0000-0000CA3C0000}"/>
    <cellStyle name="40% - Accent2 3 2 4" xfId="792" xr:uid="{00000000-0005-0000-0000-0000CB3C0000}"/>
    <cellStyle name="40% - Accent2 3 2 4 2" xfId="2072" xr:uid="{00000000-0005-0000-0000-0000CC3C0000}"/>
    <cellStyle name="40% - Accent2 3 2 4 2 2" xfId="4632" xr:uid="{00000000-0005-0000-0000-0000CD3C0000}"/>
    <cellStyle name="40% - Accent2 3 2 4 2 2 2" xfId="9752" xr:uid="{00000000-0005-0000-0000-0000CE3C0000}"/>
    <cellStyle name="40% - Accent2 3 2 4 2 2 2 2" xfId="19992" xr:uid="{00000000-0005-0000-0000-0000CF3C0000}"/>
    <cellStyle name="40% - Accent2 3 2 4 2 2 2 2 2" xfId="40472" xr:uid="{00000000-0005-0000-0000-0000D03C0000}"/>
    <cellStyle name="40% - Accent2 3 2 4 2 2 2 3" xfId="30232" xr:uid="{00000000-0005-0000-0000-0000D13C0000}"/>
    <cellStyle name="40% - Accent2 3 2 4 2 2 3" xfId="14872" xr:uid="{00000000-0005-0000-0000-0000D23C0000}"/>
    <cellStyle name="40% - Accent2 3 2 4 2 2 3 2" xfId="35352" xr:uid="{00000000-0005-0000-0000-0000D33C0000}"/>
    <cellStyle name="40% - Accent2 3 2 4 2 2 4" xfId="25112" xr:uid="{00000000-0005-0000-0000-0000D43C0000}"/>
    <cellStyle name="40% - Accent2 3 2 4 2 3" xfId="7192" xr:uid="{00000000-0005-0000-0000-0000D53C0000}"/>
    <cellStyle name="40% - Accent2 3 2 4 2 3 2" xfId="17432" xr:uid="{00000000-0005-0000-0000-0000D63C0000}"/>
    <cellStyle name="40% - Accent2 3 2 4 2 3 2 2" xfId="37912" xr:uid="{00000000-0005-0000-0000-0000D73C0000}"/>
    <cellStyle name="40% - Accent2 3 2 4 2 3 3" xfId="27672" xr:uid="{00000000-0005-0000-0000-0000D83C0000}"/>
    <cellStyle name="40% - Accent2 3 2 4 2 4" xfId="12312" xr:uid="{00000000-0005-0000-0000-0000D93C0000}"/>
    <cellStyle name="40% - Accent2 3 2 4 2 4 2" xfId="32792" xr:uid="{00000000-0005-0000-0000-0000DA3C0000}"/>
    <cellStyle name="40% - Accent2 3 2 4 2 5" xfId="22552" xr:uid="{00000000-0005-0000-0000-0000DB3C0000}"/>
    <cellStyle name="40% - Accent2 3 2 4 3" xfId="3352" xr:uid="{00000000-0005-0000-0000-0000DC3C0000}"/>
    <cellStyle name="40% - Accent2 3 2 4 3 2" xfId="8472" xr:uid="{00000000-0005-0000-0000-0000DD3C0000}"/>
    <cellStyle name="40% - Accent2 3 2 4 3 2 2" xfId="18712" xr:uid="{00000000-0005-0000-0000-0000DE3C0000}"/>
    <cellStyle name="40% - Accent2 3 2 4 3 2 2 2" xfId="39192" xr:uid="{00000000-0005-0000-0000-0000DF3C0000}"/>
    <cellStyle name="40% - Accent2 3 2 4 3 2 3" xfId="28952" xr:uid="{00000000-0005-0000-0000-0000E03C0000}"/>
    <cellStyle name="40% - Accent2 3 2 4 3 3" xfId="13592" xr:uid="{00000000-0005-0000-0000-0000E13C0000}"/>
    <cellStyle name="40% - Accent2 3 2 4 3 3 2" xfId="34072" xr:uid="{00000000-0005-0000-0000-0000E23C0000}"/>
    <cellStyle name="40% - Accent2 3 2 4 3 4" xfId="23832" xr:uid="{00000000-0005-0000-0000-0000E33C0000}"/>
    <cellStyle name="40% - Accent2 3 2 4 4" xfId="5912" xr:uid="{00000000-0005-0000-0000-0000E43C0000}"/>
    <cellStyle name="40% - Accent2 3 2 4 4 2" xfId="16152" xr:uid="{00000000-0005-0000-0000-0000E53C0000}"/>
    <cellStyle name="40% - Accent2 3 2 4 4 2 2" xfId="36632" xr:uid="{00000000-0005-0000-0000-0000E63C0000}"/>
    <cellStyle name="40% - Accent2 3 2 4 4 3" xfId="26392" xr:uid="{00000000-0005-0000-0000-0000E73C0000}"/>
    <cellStyle name="40% - Accent2 3 2 4 5" xfId="11032" xr:uid="{00000000-0005-0000-0000-0000E83C0000}"/>
    <cellStyle name="40% - Accent2 3 2 4 5 2" xfId="31512" xr:uid="{00000000-0005-0000-0000-0000E93C0000}"/>
    <cellStyle name="40% - Accent2 3 2 4 6" xfId="21272" xr:uid="{00000000-0005-0000-0000-0000EA3C0000}"/>
    <cellStyle name="40% - Accent2 3 2 5" xfId="1432" xr:uid="{00000000-0005-0000-0000-0000EB3C0000}"/>
    <cellStyle name="40% - Accent2 3 2 5 2" xfId="3992" xr:uid="{00000000-0005-0000-0000-0000EC3C0000}"/>
    <cellStyle name="40% - Accent2 3 2 5 2 2" xfId="9112" xr:uid="{00000000-0005-0000-0000-0000ED3C0000}"/>
    <cellStyle name="40% - Accent2 3 2 5 2 2 2" xfId="19352" xr:uid="{00000000-0005-0000-0000-0000EE3C0000}"/>
    <cellStyle name="40% - Accent2 3 2 5 2 2 2 2" xfId="39832" xr:uid="{00000000-0005-0000-0000-0000EF3C0000}"/>
    <cellStyle name="40% - Accent2 3 2 5 2 2 3" xfId="29592" xr:uid="{00000000-0005-0000-0000-0000F03C0000}"/>
    <cellStyle name="40% - Accent2 3 2 5 2 3" xfId="14232" xr:uid="{00000000-0005-0000-0000-0000F13C0000}"/>
    <cellStyle name="40% - Accent2 3 2 5 2 3 2" xfId="34712" xr:uid="{00000000-0005-0000-0000-0000F23C0000}"/>
    <cellStyle name="40% - Accent2 3 2 5 2 4" xfId="24472" xr:uid="{00000000-0005-0000-0000-0000F33C0000}"/>
    <cellStyle name="40% - Accent2 3 2 5 3" xfId="6552" xr:uid="{00000000-0005-0000-0000-0000F43C0000}"/>
    <cellStyle name="40% - Accent2 3 2 5 3 2" xfId="16792" xr:uid="{00000000-0005-0000-0000-0000F53C0000}"/>
    <cellStyle name="40% - Accent2 3 2 5 3 2 2" xfId="37272" xr:uid="{00000000-0005-0000-0000-0000F63C0000}"/>
    <cellStyle name="40% - Accent2 3 2 5 3 3" xfId="27032" xr:uid="{00000000-0005-0000-0000-0000F73C0000}"/>
    <cellStyle name="40% - Accent2 3 2 5 4" xfId="11672" xr:uid="{00000000-0005-0000-0000-0000F83C0000}"/>
    <cellStyle name="40% - Accent2 3 2 5 4 2" xfId="32152" xr:uid="{00000000-0005-0000-0000-0000F93C0000}"/>
    <cellStyle name="40% - Accent2 3 2 5 5" xfId="21912" xr:uid="{00000000-0005-0000-0000-0000FA3C0000}"/>
    <cellStyle name="40% - Accent2 3 2 6" xfId="2712" xr:uid="{00000000-0005-0000-0000-0000FB3C0000}"/>
    <cellStyle name="40% - Accent2 3 2 6 2" xfId="7832" xr:uid="{00000000-0005-0000-0000-0000FC3C0000}"/>
    <cellStyle name="40% - Accent2 3 2 6 2 2" xfId="18072" xr:uid="{00000000-0005-0000-0000-0000FD3C0000}"/>
    <cellStyle name="40% - Accent2 3 2 6 2 2 2" xfId="38552" xr:uid="{00000000-0005-0000-0000-0000FE3C0000}"/>
    <cellStyle name="40% - Accent2 3 2 6 2 3" xfId="28312" xr:uid="{00000000-0005-0000-0000-0000FF3C0000}"/>
    <cellStyle name="40% - Accent2 3 2 6 3" xfId="12952" xr:uid="{00000000-0005-0000-0000-0000003D0000}"/>
    <cellStyle name="40% - Accent2 3 2 6 3 2" xfId="33432" xr:uid="{00000000-0005-0000-0000-0000013D0000}"/>
    <cellStyle name="40% - Accent2 3 2 6 4" xfId="23192" xr:uid="{00000000-0005-0000-0000-0000023D0000}"/>
    <cellStyle name="40% - Accent2 3 2 7" xfId="5272" xr:uid="{00000000-0005-0000-0000-0000033D0000}"/>
    <cellStyle name="40% - Accent2 3 2 7 2" xfId="15512" xr:uid="{00000000-0005-0000-0000-0000043D0000}"/>
    <cellStyle name="40% - Accent2 3 2 7 2 2" xfId="35992" xr:uid="{00000000-0005-0000-0000-0000053D0000}"/>
    <cellStyle name="40% - Accent2 3 2 7 3" xfId="25752" xr:uid="{00000000-0005-0000-0000-0000063D0000}"/>
    <cellStyle name="40% - Accent2 3 2 8" xfId="10392" xr:uid="{00000000-0005-0000-0000-0000073D0000}"/>
    <cellStyle name="40% - Accent2 3 2 8 2" xfId="30872" xr:uid="{00000000-0005-0000-0000-0000083D0000}"/>
    <cellStyle name="40% - Accent2 3 2 9" xfId="20632" xr:uid="{00000000-0005-0000-0000-0000093D0000}"/>
    <cellStyle name="40% - Accent2 3 3" xfId="232" xr:uid="{00000000-0005-0000-0000-00000A3D0000}"/>
    <cellStyle name="40% - Accent2 3 3 2" xfId="552" xr:uid="{00000000-0005-0000-0000-00000B3D0000}"/>
    <cellStyle name="40% - Accent2 3 3 2 2" xfId="1192" xr:uid="{00000000-0005-0000-0000-00000C3D0000}"/>
    <cellStyle name="40% - Accent2 3 3 2 2 2" xfId="2472" xr:uid="{00000000-0005-0000-0000-00000D3D0000}"/>
    <cellStyle name="40% - Accent2 3 3 2 2 2 2" xfId="5032" xr:uid="{00000000-0005-0000-0000-00000E3D0000}"/>
    <cellStyle name="40% - Accent2 3 3 2 2 2 2 2" xfId="10152" xr:uid="{00000000-0005-0000-0000-00000F3D0000}"/>
    <cellStyle name="40% - Accent2 3 3 2 2 2 2 2 2" xfId="20392" xr:uid="{00000000-0005-0000-0000-0000103D0000}"/>
    <cellStyle name="40% - Accent2 3 3 2 2 2 2 2 2 2" xfId="40872" xr:uid="{00000000-0005-0000-0000-0000113D0000}"/>
    <cellStyle name="40% - Accent2 3 3 2 2 2 2 2 3" xfId="30632" xr:uid="{00000000-0005-0000-0000-0000123D0000}"/>
    <cellStyle name="40% - Accent2 3 3 2 2 2 2 3" xfId="15272" xr:uid="{00000000-0005-0000-0000-0000133D0000}"/>
    <cellStyle name="40% - Accent2 3 3 2 2 2 2 3 2" xfId="35752" xr:uid="{00000000-0005-0000-0000-0000143D0000}"/>
    <cellStyle name="40% - Accent2 3 3 2 2 2 2 4" xfId="25512" xr:uid="{00000000-0005-0000-0000-0000153D0000}"/>
    <cellStyle name="40% - Accent2 3 3 2 2 2 3" xfId="7592" xr:uid="{00000000-0005-0000-0000-0000163D0000}"/>
    <cellStyle name="40% - Accent2 3 3 2 2 2 3 2" xfId="17832" xr:uid="{00000000-0005-0000-0000-0000173D0000}"/>
    <cellStyle name="40% - Accent2 3 3 2 2 2 3 2 2" xfId="38312" xr:uid="{00000000-0005-0000-0000-0000183D0000}"/>
    <cellStyle name="40% - Accent2 3 3 2 2 2 3 3" xfId="28072" xr:uid="{00000000-0005-0000-0000-0000193D0000}"/>
    <cellStyle name="40% - Accent2 3 3 2 2 2 4" xfId="12712" xr:uid="{00000000-0005-0000-0000-00001A3D0000}"/>
    <cellStyle name="40% - Accent2 3 3 2 2 2 4 2" xfId="33192" xr:uid="{00000000-0005-0000-0000-00001B3D0000}"/>
    <cellStyle name="40% - Accent2 3 3 2 2 2 5" xfId="22952" xr:uid="{00000000-0005-0000-0000-00001C3D0000}"/>
    <cellStyle name="40% - Accent2 3 3 2 2 3" xfId="3752" xr:uid="{00000000-0005-0000-0000-00001D3D0000}"/>
    <cellStyle name="40% - Accent2 3 3 2 2 3 2" xfId="8872" xr:uid="{00000000-0005-0000-0000-00001E3D0000}"/>
    <cellStyle name="40% - Accent2 3 3 2 2 3 2 2" xfId="19112" xr:uid="{00000000-0005-0000-0000-00001F3D0000}"/>
    <cellStyle name="40% - Accent2 3 3 2 2 3 2 2 2" xfId="39592" xr:uid="{00000000-0005-0000-0000-0000203D0000}"/>
    <cellStyle name="40% - Accent2 3 3 2 2 3 2 3" xfId="29352" xr:uid="{00000000-0005-0000-0000-0000213D0000}"/>
    <cellStyle name="40% - Accent2 3 3 2 2 3 3" xfId="13992" xr:uid="{00000000-0005-0000-0000-0000223D0000}"/>
    <cellStyle name="40% - Accent2 3 3 2 2 3 3 2" xfId="34472" xr:uid="{00000000-0005-0000-0000-0000233D0000}"/>
    <cellStyle name="40% - Accent2 3 3 2 2 3 4" xfId="24232" xr:uid="{00000000-0005-0000-0000-0000243D0000}"/>
    <cellStyle name="40% - Accent2 3 3 2 2 4" xfId="6312" xr:uid="{00000000-0005-0000-0000-0000253D0000}"/>
    <cellStyle name="40% - Accent2 3 3 2 2 4 2" xfId="16552" xr:uid="{00000000-0005-0000-0000-0000263D0000}"/>
    <cellStyle name="40% - Accent2 3 3 2 2 4 2 2" xfId="37032" xr:uid="{00000000-0005-0000-0000-0000273D0000}"/>
    <cellStyle name="40% - Accent2 3 3 2 2 4 3" xfId="26792" xr:uid="{00000000-0005-0000-0000-0000283D0000}"/>
    <cellStyle name="40% - Accent2 3 3 2 2 5" xfId="11432" xr:uid="{00000000-0005-0000-0000-0000293D0000}"/>
    <cellStyle name="40% - Accent2 3 3 2 2 5 2" xfId="31912" xr:uid="{00000000-0005-0000-0000-00002A3D0000}"/>
    <cellStyle name="40% - Accent2 3 3 2 2 6" xfId="21672" xr:uid="{00000000-0005-0000-0000-00002B3D0000}"/>
    <cellStyle name="40% - Accent2 3 3 2 3" xfId="1832" xr:uid="{00000000-0005-0000-0000-00002C3D0000}"/>
    <cellStyle name="40% - Accent2 3 3 2 3 2" xfId="4392" xr:uid="{00000000-0005-0000-0000-00002D3D0000}"/>
    <cellStyle name="40% - Accent2 3 3 2 3 2 2" xfId="9512" xr:uid="{00000000-0005-0000-0000-00002E3D0000}"/>
    <cellStyle name="40% - Accent2 3 3 2 3 2 2 2" xfId="19752" xr:uid="{00000000-0005-0000-0000-00002F3D0000}"/>
    <cellStyle name="40% - Accent2 3 3 2 3 2 2 2 2" xfId="40232" xr:uid="{00000000-0005-0000-0000-0000303D0000}"/>
    <cellStyle name="40% - Accent2 3 3 2 3 2 2 3" xfId="29992" xr:uid="{00000000-0005-0000-0000-0000313D0000}"/>
    <cellStyle name="40% - Accent2 3 3 2 3 2 3" xfId="14632" xr:uid="{00000000-0005-0000-0000-0000323D0000}"/>
    <cellStyle name="40% - Accent2 3 3 2 3 2 3 2" xfId="35112" xr:uid="{00000000-0005-0000-0000-0000333D0000}"/>
    <cellStyle name="40% - Accent2 3 3 2 3 2 4" xfId="24872" xr:uid="{00000000-0005-0000-0000-0000343D0000}"/>
    <cellStyle name="40% - Accent2 3 3 2 3 3" xfId="6952" xr:uid="{00000000-0005-0000-0000-0000353D0000}"/>
    <cellStyle name="40% - Accent2 3 3 2 3 3 2" xfId="17192" xr:uid="{00000000-0005-0000-0000-0000363D0000}"/>
    <cellStyle name="40% - Accent2 3 3 2 3 3 2 2" xfId="37672" xr:uid="{00000000-0005-0000-0000-0000373D0000}"/>
    <cellStyle name="40% - Accent2 3 3 2 3 3 3" xfId="27432" xr:uid="{00000000-0005-0000-0000-0000383D0000}"/>
    <cellStyle name="40% - Accent2 3 3 2 3 4" xfId="12072" xr:uid="{00000000-0005-0000-0000-0000393D0000}"/>
    <cellStyle name="40% - Accent2 3 3 2 3 4 2" xfId="32552" xr:uid="{00000000-0005-0000-0000-00003A3D0000}"/>
    <cellStyle name="40% - Accent2 3 3 2 3 5" xfId="22312" xr:uid="{00000000-0005-0000-0000-00003B3D0000}"/>
    <cellStyle name="40% - Accent2 3 3 2 4" xfId="3112" xr:uid="{00000000-0005-0000-0000-00003C3D0000}"/>
    <cellStyle name="40% - Accent2 3 3 2 4 2" xfId="8232" xr:uid="{00000000-0005-0000-0000-00003D3D0000}"/>
    <cellStyle name="40% - Accent2 3 3 2 4 2 2" xfId="18472" xr:uid="{00000000-0005-0000-0000-00003E3D0000}"/>
    <cellStyle name="40% - Accent2 3 3 2 4 2 2 2" xfId="38952" xr:uid="{00000000-0005-0000-0000-00003F3D0000}"/>
    <cellStyle name="40% - Accent2 3 3 2 4 2 3" xfId="28712" xr:uid="{00000000-0005-0000-0000-0000403D0000}"/>
    <cellStyle name="40% - Accent2 3 3 2 4 3" xfId="13352" xr:uid="{00000000-0005-0000-0000-0000413D0000}"/>
    <cellStyle name="40% - Accent2 3 3 2 4 3 2" xfId="33832" xr:uid="{00000000-0005-0000-0000-0000423D0000}"/>
    <cellStyle name="40% - Accent2 3 3 2 4 4" xfId="23592" xr:uid="{00000000-0005-0000-0000-0000433D0000}"/>
    <cellStyle name="40% - Accent2 3 3 2 5" xfId="5672" xr:uid="{00000000-0005-0000-0000-0000443D0000}"/>
    <cellStyle name="40% - Accent2 3 3 2 5 2" xfId="15912" xr:uid="{00000000-0005-0000-0000-0000453D0000}"/>
    <cellStyle name="40% - Accent2 3 3 2 5 2 2" xfId="36392" xr:uid="{00000000-0005-0000-0000-0000463D0000}"/>
    <cellStyle name="40% - Accent2 3 3 2 5 3" xfId="26152" xr:uid="{00000000-0005-0000-0000-0000473D0000}"/>
    <cellStyle name="40% - Accent2 3 3 2 6" xfId="10792" xr:uid="{00000000-0005-0000-0000-0000483D0000}"/>
    <cellStyle name="40% - Accent2 3 3 2 6 2" xfId="31272" xr:uid="{00000000-0005-0000-0000-0000493D0000}"/>
    <cellStyle name="40% - Accent2 3 3 2 7" xfId="21032" xr:uid="{00000000-0005-0000-0000-00004A3D0000}"/>
    <cellStyle name="40% - Accent2 3 3 3" xfId="872" xr:uid="{00000000-0005-0000-0000-00004B3D0000}"/>
    <cellStyle name="40% - Accent2 3 3 3 2" xfId="2152" xr:uid="{00000000-0005-0000-0000-00004C3D0000}"/>
    <cellStyle name="40% - Accent2 3 3 3 2 2" xfId="4712" xr:uid="{00000000-0005-0000-0000-00004D3D0000}"/>
    <cellStyle name="40% - Accent2 3 3 3 2 2 2" xfId="9832" xr:uid="{00000000-0005-0000-0000-00004E3D0000}"/>
    <cellStyle name="40% - Accent2 3 3 3 2 2 2 2" xfId="20072" xr:uid="{00000000-0005-0000-0000-00004F3D0000}"/>
    <cellStyle name="40% - Accent2 3 3 3 2 2 2 2 2" xfId="40552" xr:uid="{00000000-0005-0000-0000-0000503D0000}"/>
    <cellStyle name="40% - Accent2 3 3 3 2 2 2 3" xfId="30312" xr:uid="{00000000-0005-0000-0000-0000513D0000}"/>
    <cellStyle name="40% - Accent2 3 3 3 2 2 3" xfId="14952" xr:uid="{00000000-0005-0000-0000-0000523D0000}"/>
    <cellStyle name="40% - Accent2 3 3 3 2 2 3 2" xfId="35432" xr:uid="{00000000-0005-0000-0000-0000533D0000}"/>
    <cellStyle name="40% - Accent2 3 3 3 2 2 4" xfId="25192" xr:uid="{00000000-0005-0000-0000-0000543D0000}"/>
    <cellStyle name="40% - Accent2 3 3 3 2 3" xfId="7272" xr:uid="{00000000-0005-0000-0000-0000553D0000}"/>
    <cellStyle name="40% - Accent2 3 3 3 2 3 2" xfId="17512" xr:uid="{00000000-0005-0000-0000-0000563D0000}"/>
    <cellStyle name="40% - Accent2 3 3 3 2 3 2 2" xfId="37992" xr:uid="{00000000-0005-0000-0000-0000573D0000}"/>
    <cellStyle name="40% - Accent2 3 3 3 2 3 3" xfId="27752" xr:uid="{00000000-0005-0000-0000-0000583D0000}"/>
    <cellStyle name="40% - Accent2 3 3 3 2 4" xfId="12392" xr:uid="{00000000-0005-0000-0000-0000593D0000}"/>
    <cellStyle name="40% - Accent2 3 3 3 2 4 2" xfId="32872" xr:uid="{00000000-0005-0000-0000-00005A3D0000}"/>
    <cellStyle name="40% - Accent2 3 3 3 2 5" xfId="22632" xr:uid="{00000000-0005-0000-0000-00005B3D0000}"/>
    <cellStyle name="40% - Accent2 3 3 3 3" xfId="3432" xr:uid="{00000000-0005-0000-0000-00005C3D0000}"/>
    <cellStyle name="40% - Accent2 3 3 3 3 2" xfId="8552" xr:uid="{00000000-0005-0000-0000-00005D3D0000}"/>
    <cellStyle name="40% - Accent2 3 3 3 3 2 2" xfId="18792" xr:uid="{00000000-0005-0000-0000-00005E3D0000}"/>
    <cellStyle name="40% - Accent2 3 3 3 3 2 2 2" xfId="39272" xr:uid="{00000000-0005-0000-0000-00005F3D0000}"/>
    <cellStyle name="40% - Accent2 3 3 3 3 2 3" xfId="29032" xr:uid="{00000000-0005-0000-0000-0000603D0000}"/>
    <cellStyle name="40% - Accent2 3 3 3 3 3" xfId="13672" xr:uid="{00000000-0005-0000-0000-0000613D0000}"/>
    <cellStyle name="40% - Accent2 3 3 3 3 3 2" xfId="34152" xr:uid="{00000000-0005-0000-0000-0000623D0000}"/>
    <cellStyle name="40% - Accent2 3 3 3 3 4" xfId="23912" xr:uid="{00000000-0005-0000-0000-0000633D0000}"/>
    <cellStyle name="40% - Accent2 3 3 3 4" xfId="5992" xr:uid="{00000000-0005-0000-0000-0000643D0000}"/>
    <cellStyle name="40% - Accent2 3 3 3 4 2" xfId="16232" xr:uid="{00000000-0005-0000-0000-0000653D0000}"/>
    <cellStyle name="40% - Accent2 3 3 3 4 2 2" xfId="36712" xr:uid="{00000000-0005-0000-0000-0000663D0000}"/>
    <cellStyle name="40% - Accent2 3 3 3 4 3" xfId="26472" xr:uid="{00000000-0005-0000-0000-0000673D0000}"/>
    <cellStyle name="40% - Accent2 3 3 3 5" xfId="11112" xr:uid="{00000000-0005-0000-0000-0000683D0000}"/>
    <cellStyle name="40% - Accent2 3 3 3 5 2" xfId="31592" xr:uid="{00000000-0005-0000-0000-0000693D0000}"/>
    <cellStyle name="40% - Accent2 3 3 3 6" xfId="21352" xr:uid="{00000000-0005-0000-0000-00006A3D0000}"/>
    <cellStyle name="40% - Accent2 3 3 4" xfId="1512" xr:uid="{00000000-0005-0000-0000-00006B3D0000}"/>
    <cellStyle name="40% - Accent2 3 3 4 2" xfId="4072" xr:uid="{00000000-0005-0000-0000-00006C3D0000}"/>
    <cellStyle name="40% - Accent2 3 3 4 2 2" xfId="9192" xr:uid="{00000000-0005-0000-0000-00006D3D0000}"/>
    <cellStyle name="40% - Accent2 3 3 4 2 2 2" xfId="19432" xr:uid="{00000000-0005-0000-0000-00006E3D0000}"/>
    <cellStyle name="40% - Accent2 3 3 4 2 2 2 2" xfId="39912" xr:uid="{00000000-0005-0000-0000-00006F3D0000}"/>
    <cellStyle name="40% - Accent2 3 3 4 2 2 3" xfId="29672" xr:uid="{00000000-0005-0000-0000-0000703D0000}"/>
    <cellStyle name="40% - Accent2 3 3 4 2 3" xfId="14312" xr:uid="{00000000-0005-0000-0000-0000713D0000}"/>
    <cellStyle name="40% - Accent2 3 3 4 2 3 2" xfId="34792" xr:uid="{00000000-0005-0000-0000-0000723D0000}"/>
    <cellStyle name="40% - Accent2 3 3 4 2 4" xfId="24552" xr:uid="{00000000-0005-0000-0000-0000733D0000}"/>
    <cellStyle name="40% - Accent2 3 3 4 3" xfId="6632" xr:uid="{00000000-0005-0000-0000-0000743D0000}"/>
    <cellStyle name="40% - Accent2 3 3 4 3 2" xfId="16872" xr:uid="{00000000-0005-0000-0000-0000753D0000}"/>
    <cellStyle name="40% - Accent2 3 3 4 3 2 2" xfId="37352" xr:uid="{00000000-0005-0000-0000-0000763D0000}"/>
    <cellStyle name="40% - Accent2 3 3 4 3 3" xfId="27112" xr:uid="{00000000-0005-0000-0000-0000773D0000}"/>
    <cellStyle name="40% - Accent2 3 3 4 4" xfId="11752" xr:uid="{00000000-0005-0000-0000-0000783D0000}"/>
    <cellStyle name="40% - Accent2 3 3 4 4 2" xfId="32232" xr:uid="{00000000-0005-0000-0000-0000793D0000}"/>
    <cellStyle name="40% - Accent2 3 3 4 5" xfId="21992" xr:uid="{00000000-0005-0000-0000-00007A3D0000}"/>
    <cellStyle name="40% - Accent2 3 3 5" xfId="2792" xr:uid="{00000000-0005-0000-0000-00007B3D0000}"/>
    <cellStyle name="40% - Accent2 3 3 5 2" xfId="7912" xr:uid="{00000000-0005-0000-0000-00007C3D0000}"/>
    <cellStyle name="40% - Accent2 3 3 5 2 2" xfId="18152" xr:uid="{00000000-0005-0000-0000-00007D3D0000}"/>
    <cellStyle name="40% - Accent2 3 3 5 2 2 2" xfId="38632" xr:uid="{00000000-0005-0000-0000-00007E3D0000}"/>
    <cellStyle name="40% - Accent2 3 3 5 2 3" xfId="28392" xr:uid="{00000000-0005-0000-0000-00007F3D0000}"/>
    <cellStyle name="40% - Accent2 3 3 5 3" xfId="13032" xr:uid="{00000000-0005-0000-0000-0000803D0000}"/>
    <cellStyle name="40% - Accent2 3 3 5 3 2" xfId="33512" xr:uid="{00000000-0005-0000-0000-0000813D0000}"/>
    <cellStyle name="40% - Accent2 3 3 5 4" xfId="23272" xr:uid="{00000000-0005-0000-0000-0000823D0000}"/>
    <cellStyle name="40% - Accent2 3 3 6" xfId="5352" xr:uid="{00000000-0005-0000-0000-0000833D0000}"/>
    <cellStyle name="40% - Accent2 3 3 6 2" xfId="15592" xr:uid="{00000000-0005-0000-0000-0000843D0000}"/>
    <cellStyle name="40% - Accent2 3 3 6 2 2" xfId="36072" xr:uid="{00000000-0005-0000-0000-0000853D0000}"/>
    <cellStyle name="40% - Accent2 3 3 6 3" xfId="25832" xr:uid="{00000000-0005-0000-0000-0000863D0000}"/>
    <cellStyle name="40% - Accent2 3 3 7" xfId="10472" xr:uid="{00000000-0005-0000-0000-0000873D0000}"/>
    <cellStyle name="40% - Accent2 3 3 7 2" xfId="30952" xr:uid="{00000000-0005-0000-0000-0000883D0000}"/>
    <cellStyle name="40% - Accent2 3 3 8" xfId="20712" xr:uid="{00000000-0005-0000-0000-0000893D0000}"/>
    <cellStyle name="40% - Accent2 3 4" xfId="392" xr:uid="{00000000-0005-0000-0000-00008A3D0000}"/>
    <cellStyle name="40% - Accent2 3 4 2" xfId="1032" xr:uid="{00000000-0005-0000-0000-00008B3D0000}"/>
    <cellStyle name="40% - Accent2 3 4 2 2" xfId="2312" xr:uid="{00000000-0005-0000-0000-00008C3D0000}"/>
    <cellStyle name="40% - Accent2 3 4 2 2 2" xfId="4872" xr:uid="{00000000-0005-0000-0000-00008D3D0000}"/>
    <cellStyle name="40% - Accent2 3 4 2 2 2 2" xfId="9992" xr:uid="{00000000-0005-0000-0000-00008E3D0000}"/>
    <cellStyle name="40% - Accent2 3 4 2 2 2 2 2" xfId="20232" xr:uid="{00000000-0005-0000-0000-00008F3D0000}"/>
    <cellStyle name="40% - Accent2 3 4 2 2 2 2 2 2" xfId="40712" xr:uid="{00000000-0005-0000-0000-0000903D0000}"/>
    <cellStyle name="40% - Accent2 3 4 2 2 2 2 3" xfId="30472" xr:uid="{00000000-0005-0000-0000-0000913D0000}"/>
    <cellStyle name="40% - Accent2 3 4 2 2 2 3" xfId="15112" xr:uid="{00000000-0005-0000-0000-0000923D0000}"/>
    <cellStyle name="40% - Accent2 3 4 2 2 2 3 2" xfId="35592" xr:uid="{00000000-0005-0000-0000-0000933D0000}"/>
    <cellStyle name="40% - Accent2 3 4 2 2 2 4" xfId="25352" xr:uid="{00000000-0005-0000-0000-0000943D0000}"/>
    <cellStyle name="40% - Accent2 3 4 2 2 3" xfId="7432" xr:uid="{00000000-0005-0000-0000-0000953D0000}"/>
    <cellStyle name="40% - Accent2 3 4 2 2 3 2" xfId="17672" xr:uid="{00000000-0005-0000-0000-0000963D0000}"/>
    <cellStyle name="40% - Accent2 3 4 2 2 3 2 2" xfId="38152" xr:uid="{00000000-0005-0000-0000-0000973D0000}"/>
    <cellStyle name="40% - Accent2 3 4 2 2 3 3" xfId="27912" xr:uid="{00000000-0005-0000-0000-0000983D0000}"/>
    <cellStyle name="40% - Accent2 3 4 2 2 4" xfId="12552" xr:uid="{00000000-0005-0000-0000-0000993D0000}"/>
    <cellStyle name="40% - Accent2 3 4 2 2 4 2" xfId="33032" xr:uid="{00000000-0005-0000-0000-00009A3D0000}"/>
    <cellStyle name="40% - Accent2 3 4 2 2 5" xfId="22792" xr:uid="{00000000-0005-0000-0000-00009B3D0000}"/>
    <cellStyle name="40% - Accent2 3 4 2 3" xfId="3592" xr:uid="{00000000-0005-0000-0000-00009C3D0000}"/>
    <cellStyle name="40% - Accent2 3 4 2 3 2" xfId="8712" xr:uid="{00000000-0005-0000-0000-00009D3D0000}"/>
    <cellStyle name="40% - Accent2 3 4 2 3 2 2" xfId="18952" xr:uid="{00000000-0005-0000-0000-00009E3D0000}"/>
    <cellStyle name="40% - Accent2 3 4 2 3 2 2 2" xfId="39432" xr:uid="{00000000-0005-0000-0000-00009F3D0000}"/>
    <cellStyle name="40% - Accent2 3 4 2 3 2 3" xfId="29192" xr:uid="{00000000-0005-0000-0000-0000A03D0000}"/>
    <cellStyle name="40% - Accent2 3 4 2 3 3" xfId="13832" xr:uid="{00000000-0005-0000-0000-0000A13D0000}"/>
    <cellStyle name="40% - Accent2 3 4 2 3 3 2" xfId="34312" xr:uid="{00000000-0005-0000-0000-0000A23D0000}"/>
    <cellStyle name="40% - Accent2 3 4 2 3 4" xfId="24072" xr:uid="{00000000-0005-0000-0000-0000A33D0000}"/>
    <cellStyle name="40% - Accent2 3 4 2 4" xfId="6152" xr:uid="{00000000-0005-0000-0000-0000A43D0000}"/>
    <cellStyle name="40% - Accent2 3 4 2 4 2" xfId="16392" xr:uid="{00000000-0005-0000-0000-0000A53D0000}"/>
    <cellStyle name="40% - Accent2 3 4 2 4 2 2" xfId="36872" xr:uid="{00000000-0005-0000-0000-0000A63D0000}"/>
    <cellStyle name="40% - Accent2 3 4 2 4 3" xfId="26632" xr:uid="{00000000-0005-0000-0000-0000A73D0000}"/>
    <cellStyle name="40% - Accent2 3 4 2 5" xfId="11272" xr:uid="{00000000-0005-0000-0000-0000A83D0000}"/>
    <cellStyle name="40% - Accent2 3 4 2 5 2" xfId="31752" xr:uid="{00000000-0005-0000-0000-0000A93D0000}"/>
    <cellStyle name="40% - Accent2 3 4 2 6" xfId="21512" xr:uid="{00000000-0005-0000-0000-0000AA3D0000}"/>
    <cellStyle name="40% - Accent2 3 4 3" xfId="1672" xr:uid="{00000000-0005-0000-0000-0000AB3D0000}"/>
    <cellStyle name="40% - Accent2 3 4 3 2" xfId="4232" xr:uid="{00000000-0005-0000-0000-0000AC3D0000}"/>
    <cellStyle name="40% - Accent2 3 4 3 2 2" xfId="9352" xr:uid="{00000000-0005-0000-0000-0000AD3D0000}"/>
    <cellStyle name="40% - Accent2 3 4 3 2 2 2" xfId="19592" xr:uid="{00000000-0005-0000-0000-0000AE3D0000}"/>
    <cellStyle name="40% - Accent2 3 4 3 2 2 2 2" xfId="40072" xr:uid="{00000000-0005-0000-0000-0000AF3D0000}"/>
    <cellStyle name="40% - Accent2 3 4 3 2 2 3" xfId="29832" xr:uid="{00000000-0005-0000-0000-0000B03D0000}"/>
    <cellStyle name="40% - Accent2 3 4 3 2 3" xfId="14472" xr:uid="{00000000-0005-0000-0000-0000B13D0000}"/>
    <cellStyle name="40% - Accent2 3 4 3 2 3 2" xfId="34952" xr:uid="{00000000-0005-0000-0000-0000B23D0000}"/>
    <cellStyle name="40% - Accent2 3 4 3 2 4" xfId="24712" xr:uid="{00000000-0005-0000-0000-0000B33D0000}"/>
    <cellStyle name="40% - Accent2 3 4 3 3" xfId="6792" xr:uid="{00000000-0005-0000-0000-0000B43D0000}"/>
    <cellStyle name="40% - Accent2 3 4 3 3 2" xfId="17032" xr:uid="{00000000-0005-0000-0000-0000B53D0000}"/>
    <cellStyle name="40% - Accent2 3 4 3 3 2 2" xfId="37512" xr:uid="{00000000-0005-0000-0000-0000B63D0000}"/>
    <cellStyle name="40% - Accent2 3 4 3 3 3" xfId="27272" xr:uid="{00000000-0005-0000-0000-0000B73D0000}"/>
    <cellStyle name="40% - Accent2 3 4 3 4" xfId="11912" xr:uid="{00000000-0005-0000-0000-0000B83D0000}"/>
    <cellStyle name="40% - Accent2 3 4 3 4 2" xfId="32392" xr:uid="{00000000-0005-0000-0000-0000B93D0000}"/>
    <cellStyle name="40% - Accent2 3 4 3 5" xfId="22152" xr:uid="{00000000-0005-0000-0000-0000BA3D0000}"/>
    <cellStyle name="40% - Accent2 3 4 4" xfId="2952" xr:uid="{00000000-0005-0000-0000-0000BB3D0000}"/>
    <cellStyle name="40% - Accent2 3 4 4 2" xfId="8072" xr:uid="{00000000-0005-0000-0000-0000BC3D0000}"/>
    <cellStyle name="40% - Accent2 3 4 4 2 2" xfId="18312" xr:uid="{00000000-0005-0000-0000-0000BD3D0000}"/>
    <cellStyle name="40% - Accent2 3 4 4 2 2 2" xfId="38792" xr:uid="{00000000-0005-0000-0000-0000BE3D0000}"/>
    <cellStyle name="40% - Accent2 3 4 4 2 3" xfId="28552" xr:uid="{00000000-0005-0000-0000-0000BF3D0000}"/>
    <cellStyle name="40% - Accent2 3 4 4 3" xfId="13192" xr:uid="{00000000-0005-0000-0000-0000C03D0000}"/>
    <cellStyle name="40% - Accent2 3 4 4 3 2" xfId="33672" xr:uid="{00000000-0005-0000-0000-0000C13D0000}"/>
    <cellStyle name="40% - Accent2 3 4 4 4" xfId="23432" xr:uid="{00000000-0005-0000-0000-0000C23D0000}"/>
    <cellStyle name="40% - Accent2 3 4 5" xfId="5512" xr:uid="{00000000-0005-0000-0000-0000C33D0000}"/>
    <cellStyle name="40% - Accent2 3 4 5 2" xfId="15752" xr:uid="{00000000-0005-0000-0000-0000C43D0000}"/>
    <cellStyle name="40% - Accent2 3 4 5 2 2" xfId="36232" xr:uid="{00000000-0005-0000-0000-0000C53D0000}"/>
    <cellStyle name="40% - Accent2 3 4 5 3" xfId="25992" xr:uid="{00000000-0005-0000-0000-0000C63D0000}"/>
    <cellStyle name="40% - Accent2 3 4 6" xfId="10632" xr:uid="{00000000-0005-0000-0000-0000C73D0000}"/>
    <cellStyle name="40% - Accent2 3 4 6 2" xfId="31112" xr:uid="{00000000-0005-0000-0000-0000C83D0000}"/>
    <cellStyle name="40% - Accent2 3 4 7" xfId="20872" xr:uid="{00000000-0005-0000-0000-0000C93D0000}"/>
    <cellStyle name="40% - Accent2 3 5" xfId="712" xr:uid="{00000000-0005-0000-0000-0000CA3D0000}"/>
    <cellStyle name="40% - Accent2 3 5 2" xfId="1992" xr:uid="{00000000-0005-0000-0000-0000CB3D0000}"/>
    <cellStyle name="40% - Accent2 3 5 2 2" xfId="4552" xr:uid="{00000000-0005-0000-0000-0000CC3D0000}"/>
    <cellStyle name="40% - Accent2 3 5 2 2 2" xfId="9672" xr:uid="{00000000-0005-0000-0000-0000CD3D0000}"/>
    <cellStyle name="40% - Accent2 3 5 2 2 2 2" xfId="19912" xr:uid="{00000000-0005-0000-0000-0000CE3D0000}"/>
    <cellStyle name="40% - Accent2 3 5 2 2 2 2 2" xfId="40392" xr:uid="{00000000-0005-0000-0000-0000CF3D0000}"/>
    <cellStyle name="40% - Accent2 3 5 2 2 2 3" xfId="30152" xr:uid="{00000000-0005-0000-0000-0000D03D0000}"/>
    <cellStyle name="40% - Accent2 3 5 2 2 3" xfId="14792" xr:uid="{00000000-0005-0000-0000-0000D13D0000}"/>
    <cellStyle name="40% - Accent2 3 5 2 2 3 2" xfId="35272" xr:uid="{00000000-0005-0000-0000-0000D23D0000}"/>
    <cellStyle name="40% - Accent2 3 5 2 2 4" xfId="25032" xr:uid="{00000000-0005-0000-0000-0000D33D0000}"/>
    <cellStyle name="40% - Accent2 3 5 2 3" xfId="7112" xr:uid="{00000000-0005-0000-0000-0000D43D0000}"/>
    <cellStyle name="40% - Accent2 3 5 2 3 2" xfId="17352" xr:uid="{00000000-0005-0000-0000-0000D53D0000}"/>
    <cellStyle name="40% - Accent2 3 5 2 3 2 2" xfId="37832" xr:uid="{00000000-0005-0000-0000-0000D63D0000}"/>
    <cellStyle name="40% - Accent2 3 5 2 3 3" xfId="27592" xr:uid="{00000000-0005-0000-0000-0000D73D0000}"/>
    <cellStyle name="40% - Accent2 3 5 2 4" xfId="12232" xr:uid="{00000000-0005-0000-0000-0000D83D0000}"/>
    <cellStyle name="40% - Accent2 3 5 2 4 2" xfId="32712" xr:uid="{00000000-0005-0000-0000-0000D93D0000}"/>
    <cellStyle name="40% - Accent2 3 5 2 5" xfId="22472" xr:uid="{00000000-0005-0000-0000-0000DA3D0000}"/>
    <cellStyle name="40% - Accent2 3 5 3" xfId="3272" xr:uid="{00000000-0005-0000-0000-0000DB3D0000}"/>
    <cellStyle name="40% - Accent2 3 5 3 2" xfId="8392" xr:uid="{00000000-0005-0000-0000-0000DC3D0000}"/>
    <cellStyle name="40% - Accent2 3 5 3 2 2" xfId="18632" xr:uid="{00000000-0005-0000-0000-0000DD3D0000}"/>
    <cellStyle name="40% - Accent2 3 5 3 2 2 2" xfId="39112" xr:uid="{00000000-0005-0000-0000-0000DE3D0000}"/>
    <cellStyle name="40% - Accent2 3 5 3 2 3" xfId="28872" xr:uid="{00000000-0005-0000-0000-0000DF3D0000}"/>
    <cellStyle name="40% - Accent2 3 5 3 3" xfId="13512" xr:uid="{00000000-0005-0000-0000-0000E03D0000}"/>
    <cellStyle name="40% - Accent2 3 5 3 3 2" xfId="33992" xr:uid="{00000000-0005-0000-0000-0000E13D0000}"/>
    <cellStyle name="40% - Accent2 3 5 3 4" xfId="23752" xr:uid="{00000000-0005-0000-0000-0000E23D0000}"/>
    <cellStyle name="40% - Accent2 3 5 4" xfId="5832" xr:uid="{00000000-0005-0000-0000-0000E33D0000}"/>
    <cellStyle name="40% - Accent2 3 5 4 2" xfId="16072" xr:uid="{00000000-0005-0000-0000-0000E43D0000}"/>
    <cellStyle name="40% - Accent2 3 5 4 2 2" xfId="36552" xr:uid="{00000000-0005-0000-0000-0000E53D0000}"/>
    <cellStyle name="40% - Accent2 3 5 4 3" xfId="26312" xr:uid="{00000000-0005-0000-0000-0000E63D0000}"/>
    <cellStyle name="40% - Accent2 3 5 5" xfId="10952" xr:uid="{00000000-0005-0000-0000-0000E73D0000}"/>
    <cellStyle name="40% - Accent2 3 5 5 2" xfId="31432" xr:uid="{00000000-0005-0000-0000-0000E83D0000}"/>
    <cellStyle name="40% - Accent2 3 5 6" xfId="21192" xr:uid="{00000000-0005-0000-0000-0000E93D0000}"/>
    <cellStyle name="40% - Accent2 3 6" xfId="1352" xr:uid="{00000000-0005-0000-0000-0000EA3D0000}"/>
    <cellStyle name="40% - Accent2 3 6 2" xfId="3912" xr:uid="{00000000-0005-0000-0000-0000EB3D0000}"/>
    <cellStyle name="40% - Accent2 3 6 2 2" xfId="9032" xr:uid="{00000000-0005-0000-0000-0000EC3D0000}"/>
    <cellStyle name="40% - Accent2 3 6 2 2 2" xfId="19272" xr:uid="{00000000-0005-0000-0000-0000ED3D0000}"/>
    <cellStyle name="40% - Accent2 3 6 2 2 2 2" xfId="39752" xr:uid="{00000000-0005-0000-0000-0000EE3D0000}"/>
    <cellStyle name="40% - Accent2 3 6 2 2 3" xfId="29512" xr:uid="{00000000-0005-0000-0000-0000EF3D0000}"/>
    <cellStyle name="40% - Accent2 3 6 2 3" xfId="14152" xr:uid="{00000000-0005-0000-0000-0000F03D0000}"/>
    <cellStyle name="40% - Accent2 3 6 2 3 2" xfId="34632" xr:uid="{00000000-0005-0000-0000-0000F13D0000}"/>
    <cellStyle name="40% - Accent2 3 6 2 4" xfId="24392" xr:uid="{00000000-0005-0000-0000-0000F23D0000}"/>
    <cellStyle name="40% - Accent2 3 6 3" xfId="6472" xr:uid="{00000000-0005-0000-0000-0000F33D0000}"/>
    <cellStyle name="40% - Accent2 3 6 3 2" xfId="16712" xr:uid="{00000000-0005-0000-0000-0000F43D0000}"/>
    <cellStyle name="40% - Accent2 3 6 3 2 2" xfId="37192" xr:uid="{00000000-0005-0000-0000-0000F53D0000}"/>
    <cellStyle name="40% - Accent2 3 6 3 3" xfId="26952" xr:uid="{00000000-0005-0000-0000-0000F63D0000}"/>
    <cellStyle name="40% - Accent2 3 6 4" xfId="11592" xr:uid="{00000000-0005-0000-0000-0000F73D0000}"/>
    <cellStyle name="40% - Accent2 3 6 4 2" xfId="32072" xr:uid="{00000000-0005-0000-0000-0000F83D0000}"/>
    <cellStyle name="40% - Accent2 3 6 5" xfId="21832" xr:uid="{00000000-0005-0000-0000-0000F93D0000}"/>
    <cellStyle name="40% - Accent2 3 7" xfId="2632" xr:uid="{00000000-0005-0000-0000-0000FA3D0000}"/>
    <cellStyle name="40% - Accent2 3 7 2" xfId="7752" xr:uid="{00000000-0005-0000-0000-0000FB3D0000}"/>
    <cellStyle name="40% - Accent2 3 7 2 2" xfId="17992" xr:uid="{00000000-0005-0000-0000-0000FC3D0000}"/>
    <cellStyle name="40% - Accent2 3 7 2 2 2" xfId="38472" xr:uid="{00000000-0005-0000-0000-0000FD3D0000}"/>
    <cellStyle name="40% - Accent2 3 7 2 3" xfId="28232" xr:uid="{00000000-0005-0000-0000-0000FE3D0000}"/>
    <cellStyle name="40% - Accent2 3 7 3" xfId="12872" xr:uid="{00000000-0005-0000-0000-0000FF3D0000}"/>
    <cellStyle name="40% - Accent2 3 7 3 2" xfId="33352" xr:uid="{00000000-0005-0000-0000-0000003E0000}"/>
    <cellStyle name="40% - Accent2 3 7 4" xfId="23112" xr:uid="{00000000-0005-0000-0000-0000013E0000}"/>
    <cellStyle name="40% - Accent2 3 8" xfId="5192" xr:uid="{00000000-0005-0000-0000-0000023E0000}"/>
    <cellStyle name="40% - Accent2 3 8 2" xfId="15432" xr:uid="{00000000-0005-0000-0000-0000033E0000}"/>
    <cellStyle name="40% - Accent2 3 8 2 2" xfId="35912" xr:uid="{00000000-0005-0000-0000-0000043E0000}"/>
    <cellStyle name="40% - Accent2 3 8 3" xfId="25672" xr:uid="{00000000-0005-0000-0000-0000053E0000}"/>
    <cellStyle name="40% - Accent2 3 9" xfId="10312" xr:uid="{00000000-0005-0000-0000-0000063E0000}"/>
    <cellStyle name="40% - Accent2 3 9 2" xfId="30792" xr:uid="{00000000-0005-0000-0000-0000073E0000}"/>
    <cellStyle name="40% - Accent2 4" xfId="112" xr:uid="{00000000-0005-0000-0000-0000083E0000}"/>
    <cellStyle name="40% - Accent2 4 2" xfId="272" xr:uid="{00000000-0005-0000-0000-0000093E0000}"/>
    <cellStyle name="40% - Accent2 4 2 2" xfId="592" xr:uid="{00000000-0005-0000-0000-00000A3E0000}"/>
    <cellStyle name="40% - Accent2 4 2 2 2" xfId="1232" xr:uid="{00000000-0005-0000-0000-00000B3E0000}"/>
    <cellStyle name="40% - Accent2 4 2 2 2 2" xfId="2512" xr:uid="{00000000-0005-0000-0000-00000C3E0000}"/>
    <cellStyle name="40% - Accent2 4 2 2 2 2 2" xfId="5072" xr:uid="{00000000-0005-0000-0000-00000D3E0000}"/>
    <cellStyle name="40% - Accent2 4 2 2 2 2 2 2" xfId="10192" xr:uid="{00000000-0005-0000-0000-00000E3E0000}"/>
    <cellStyle name="40% - Accent2 4 2 2 2 2 2 2 2" xfId="20432" xr:uid="{00000000-0005-0000-0000-00000F3E0000}"/>
    <cellStyle name="40% - Accent2 4 2 2 2 2 2 2 2 2" xfId="40912" xr:uid="{00000000-0005-0000-0000-0000103E0000}"/>
    <cellStyle name="40% - Accent2 4 2 2 2 2 2 2 3" xfId="30672" xr:uid="{00000000-0005-0000-0000-0000113E0000}"/>
    <cellStyle name="40% - Accent2 4 2 2 2 2 2 3" xfId="15312" xr:uid="{00000000-0005-0000-0000-0000123E0000}"/>
    <cellStyle name="40% - Accent2 4 2 2 2 2 2 3 2" xfId="35792" xr:uid="{00000000-0005-0000-0000-0000133E0000}"/>
    <cellStyle name="40% - Accent2 4 2 2 2 2 2 4" xfId="25552" xr:uid="{00000000-0005-0000-0000-0000143E0000}"/>
    <cellStyle name="40% - Accent2 4 2 2 2 2 3" xfId="7632" xr:uid="{00000000-0005-0000-0000-0000153E0000}"/>
    <cellStyle name="40% - Accent2 4 2 2 2 2 3 2" xfId="17872" xr:uid="{00000000-0005-0000-0000-0000163E0000}"/>
    <cellStyle name="40% - Accent2 4 2 2 2 2 3 2 2" xfId="38352" xr:uid="{00000000-0005-0000-0000-0000173E0000}"/>
    <cellStyle name="40% - Accent2 4 2 2 2 2 3 3" xfId="28112" xr:uid="{00000000-0005-0000-0000-0000183E0000}"/>
    <cellStyle name="40% - Accent2 4 2 2 2 2 4" xfId="12752" xr:uid="{00000000-0005-0000-0000-0000193E0000}"/>
    <cellStyle name="40% - Accent2 4 2 2 2 2 4 2" xfId="33232" xr:uid="{00000000-0005-0000-0000-00001A3E0000}"/>
    <cellStyle name="40% - Accent2 4 2 2 2 2 5" xfId="22992" xr:uid="{00000000-0005-0000-0000-00001B3E0000}"/>
    <cellStyle name="40% - Accent2 4 2 2 2 3" xfId="3792" xr:uid="{00000000-0005-0000-0000-00001C3E0000}"/>
    <cellStyle name="40% - Accent2 4 2 2 2 3 2" xfId="8912" xr:uid="{00000000-0005-0000-0000-00001D3E0000}"/>
    <cellStyle name="40% - Accent2 4 2 2 2 3 2 2" xfId="19152" xr:uid="{00000000-0005-0000-0000-00001E3E0000}"/>
    <cellStyle name="40% - Accent2 4 2 2 2 3 2 2 2" xfId="39632" xr:uid="{00000000-0005-0000-0000-00001F3E0000}"/>
    <cellStyle name="40% - Accent2 4 2 2 2 3 2 3" xfId="29392" xr:uid="{00000000-0005-0000-0000-0000203E0000}"/>
    <cellStyle name="40% - Accent2 4 2 2 2 3 3" xfId="14032" xr:uid="{00000000-0005-0000-0000-0000213E0000}"/>
    <cellStyle name="40% - Accent2 4 2 2 2 3 3 2" xfId="34512" xr:uid="{00000000-0005-0000-0000-0000223E0000}"/>
    <cellStyle name="40% - Accent2 4 2 2 2 3 4" xfId="24272" xr:uid="{00000000-0005-0000-0000-0000233E0000}"/>
    <cellStyle name="40% - Accent2 4 2 2 2 4" xfId="6352" xr:uid="{00000000-0005-0000-0000-0000243E0000}"/>
    <cellStyle name="40% - Accent2 4 2 2 2 4 2" xfId="16592" xr:uid="{00000000-0005-0000-0000-0000253E0000}"/>
    <cellStyle name="40% - Accent2 4 2 2 2 4 2 2" xfId="37072" xr:uid="{00000000-0005-0000-0000-0000263E0000}"/>
    <cellStyle name="40% - Accent2 4 2 2 2 4 3" xfId="26832" xr:uid="{00000000-0005-0000-0000-0000273E0000}"/>
    <cellStyle name="40% - Accent2 4 2 2 2 5" xfId="11472" xr:uid="{00000000-0005-0000-0000-0000283E0000}"/>
    <cellStyle name="40% - Accent2 4 2 2 2 5 2" xfId="31952" xr:uid="{00000000-0005-0000-0000-0000293E0000}"/>
    <cellStyle name="40% - Accent2 4 2 2 2 6" xfId="21712" xr:uid="{00000000-0005-0000-0000-00002A3E0000}"/>
    <cellStyle name="40% - Accent2 4 2 2 3" xfId="1872" xr:uid="{00000000-0005-0000-0000-00002B3E0000}"/>
    <cellStyle name="40% - Accent2 4 2 2 3 2" xfId="4432" xr:uid="{00000000-0005-0000-0000-00002C3E0000}"/>
    <cellStyle name="40% - Accent2 4 2 2 3 2 2" xfId="9552" xr:uid="{00000000-0005-0000-0000-00002D3E0000}"/>
    <cellStyle name="40% - Accent2 4 2 2 3 2 2 2" xfId="19792" xr:uid="{00000000-0005-0000-0000-00002E3E0000}"/>
    <cellStyle name="40% - Accent2 4 2 2 3 2 2 2 2" xfId="40272" xr:uid="{00000000-0005-0000-0000-00002F3E0000}"/>
    <cellStyle name="40% - Accent2 4 2 2 3 2 2 3" xfId="30032" xr:uid="{00000000-0005-0000-0000-0000303E0000}"/>
    <cellStyle name="40% - Accent2 4 2 2 3 2 3" xfId="14672" xr:uid="{00000000-0005-0000-0000-0000313E0000}"/>
    <cellStyle name="40% - Accent2 4 2 2 3 2 3 2" xfId="35152" xr:uid="{00000000-0005-0000-0000-0000323E0000}"/>
    <cellStyle name="40% - Accent2 4 2 2 3 2 4" xfId="24912" xr:uid="{00000000-0005-0000-0000-0000333E0000}"/>
    <cellStyle name="40% - Accent2 4 2 2 3 3" xfId="6992" xr:uid="{00000000-0005-0000-0000-0000343E0000}"/>
    <cellStyle name="40% - Accent2 4 2 2 3 3 2" xfId="17232" xr:uid="{00000000-0005-0000-0000-0000353E0000}"/>
    <cellStyle name="40% - Accent2 4 2 2 3 3 2 2" xfId="37712" xr:uid="{00000000-0005-0000-0000-0000363E0000}"/>
    <cellStyle name="40% - Accent2 4 2 2 3 3 3" xfId="27472" xr:uid="{00000000-0005-0000-0000-0000373E0000}"/>
    <cellStyle name="40% - Accent2 4 2 2 3 4" xfId="12112" xr:uid="{00000000-0005-0000-0000-0000383E0000}"/>
    <cellStyle name="40% - Accent2 4 2 2 3 4 2" xfId="32592" xr:uid="{00000000-0005-0000-0000-0000393E0000}"/>
    <cellStyle name="40% - Accent2 4 2 2 3 5" xfId="22352" xr:uid="{00000000-0005-0000-0000-00003A3E0000}"/>
    <cellStyle name="40% - Accent2 4 2 2 4" xfId="3152" xr:uid="{00000000-0005-0000-0000-00003B3E0000}"/>
    <cellStyle name="40% - Accent2 4 2 2 4 2" xfId="8272" xr:uid="{00000000-0005-0000-0000-00003C3E0000}"/>
    <cellStyle name="40% - Accent2 4 2 2 4 2 2" xfId="18512" xr:uid="{00000000-0005-0000-0000-00003D3E0000}"/>
    <cellStyle name="40% - Accent2 4 2 2 4 2 2 2" xfId="38992" xr:uid="{00000000-0005-0000-0000-00003E3E0000}"/>
    <cellStyle name="40% - Accent2 4 2 2 4 2 3" xfId="28752" xr:uid="{00000000-0005-0000-0000-00003F3E0000}"/>
    <cellStyle name="40% - Accent2 4 2 2 4 3" xfId="13392" xr:uid="{00000000-0005-0000-0000-0000403E0000}"/>
    <cellStyle name="40% - Accent2 4 2 2 4 3 2" xfId="33872" xr:uid="{00000000-0005-0000-0000-0000413E0000}"/>
    <cellStyle name="40% - Accent2 4 2 2 4 4" xfId="23632" xr:uid="{00000000-0005-0000-0000-0000423E0000}"/>
    <cellStyle name="40% - Accent2 4 2 2 5" xfId="5712" xr:uid="{00000000-0005-0000-0000-0000433E0000}"/>
    <cellStyle name="40% - Accent2 4 2 2 5 2" xfId="15952" xr:uid="{00000000-0005-0000-0000-0000443E0000}"/>
    <cellStyle name="40% - Accent2 4 2 2 5 2 2" xfId="36432" xr:uid="{00000000-0005-0000-0000-0000453E0000}"/>
    <cellStyle name="40% - Accent2 4 2 2 5 3" xfId="26192" xr:uid="{00000000-0005-0000-0000-0000463E0000}"/>
    <cellStyle name="40% - Accent2 4 2 2 6" xfId="10832" xr:uid="{00000000-0005-0000-0000-0000473E0000}"/>
    <cellStyle name="40% - Accent2 4 2 2 6 2" xfId="31312" xr:uid="{00000000-0005-0000-0000-0000483E0000}"/>
    <cellStyle name="40% - Accent2 4 2 2 7" xfId="21072" xr:uid="{00000000-0005-0000-0000-0000493E0000}"/>
    <cellStyle name="40% - Accent2 4 2 3" xfId="912" xr:uid="{00000000-0005-0000-0000-00004A3E0000}"/>
    <cellStyle name="40% - Accent2 4 2 3 2" xfId="2192" xr:uid="{00000000-0005-0000-0000-00004B3E0000}"/>
    <cellStyle name="40% - Accent2 4 2 3 2 2" xfId="4752" xr:uid="{00000000-0005-0000-0000-00004C3E0000}"/>
    <cellStyle name="40% - Accent2 4 2 3 2 2 2" xfId="9872" xr:uid="{00000000-0005-0000-0000-00004D3E0000}"/>
    <cellStyle name="40% - Accent2 4 2 3 2 2 2 2" xfId="20112" xr:uid="{00000000-0005-0000-0000-00004E3E0000}"/>
    <cellStyle name="40% - Accent2 4 2 3 2 2 2 2 2" xfId="40592" xr:uid="{00000000-0005-0000-0000-00004F3E0000}"/>
    <cellStyle name="40% - Accent2 4 2 3 2 2 2 3" xfId="30352" xr:uid="{00000000-0005-0000-0000-0000503E0000}"/>
    <cellStyle name="40% - Accent2 4 2 3 2 2 3" xfId="14992" xr:uid="{00000000-0005-0000-0000-0000513E0000}"/>
    <cellStyle name="40% - Accent2 4 2 3 2 2 3 2" xfId="35472" xr:uid="{00000000-0005-0000-0000-0000523E0000}"/>
    <cellStyle name="40% - Accent2 4 2 3 2 2 4" xfId="25232" xr:uid="{00000000-0005-0000-0000-0000533E0000}"/>
    <cellStyle name="40% - Accent2 4 2 3 2 3" xfId="7312" xr:uid="{00000000-0005-0000-0000-0000543E0000}"/>
    <cellStyle name="40% - Accent2 4 2 3 2 3 2" xfId="17552" xr:uid="{00000000-0005-0000-0000-0000553E0000}"/>
    <cellStyle name="40% - Accent2 4 2 3 2 3 2 2" xfId="38032" xr:uid="{00000000-0005-0000-0000-0000563E0000}"/>
    <cellStyle name="40% - Accent2 4 2 3 2 3 3" xfId="27792" xr:uid="{00000000-0005-0000-0000-0000573E0000}"/>
    <cellStyle name="40% - Accent2 4 2 3 2 4" xfId="12432" xr:uid="{00000000-0005-0000-0000-0000583E0000}"/>
    <cellStyle name="40% - Accent2 4 2 3 2 4 2" xfId="32912" xr:uid="{00000000-0005-0000-0000-0000593E0000}"/>
    <cellStyle name="40% - Accent2 4 2 3 2 5" xfId="22672" xr:uid="{00000000-0005-0000-0000-00005A3E0000}"/>
    <cellStyle name="40% - Accent2 4 2 3 3" xfId="3472" xr:uid="{00000000-0005-0000-0000-00005B3E0000}"/>
    <cellStyle name="40% - Accent2 4 2 3 3 2" xfId="8592" xr:uid="{00000000-0005-0000-0000-00005C3E0000}"/>
    <cellStyle name="40% - Accent2 4 2 3 3 2 2" xfId="18832" xr:uid="{00000000-0005-0000-0000-00005D3E0000}"/>
    <cellStyle name="40% - Accent2 4 2 3 3 2 2 2" xfId="39312" xr:uid="{00000000-0005-0000-0000-00005E3E0000}"/>
    <cellStyle name="40% - Accent2 4 2 3 3 2 3" xfId="29072" xr:uid="{00000000-0005-0000-0000-00005F3E0000}"/>
    <cellStyle name="40% - Accent2 4 2 3 3 3" xfId="13712" xr:uid="{00000000-0005-0000-0000-0000603E0000}"/>
    <cellStyle name="40% - Accent2 4 2 3 3 3 2" xfId="34192" xr:uid="{00000000-0005-0000-0000-0000613E0000}"/>
    <cellStyle name="40% - Accent2 4 2 3 3 4" xfId="23952" xr:uid="{00000000-0005-0000-0000-0000623E0000}"/>
    <cellStyle name="40% - Accent2 4 2 3 4" xfId="6032" xr:uid="{00000000-0005-0000-0000-0000633E0000}"/>
    <cellStyle name="40% - Accent2 4 2 3 4 2" xfId="16272" xr:uid="{00000000-0005-0000-0000-0000643E0000}"/>
    <cellStyle name="40% - Accent2 4 2 3 4 2 2" xfId="36752" xr:uid="{00000000-0005-0000-0000-0000653E0000}"/>
    <cellStyle name="40% - Accent2 4 2 3 4 3" xfId="26512" xr:uid="{00000000-0005-0000-0000-0000663E0000}"/>
    <cellStyle name="40% - Accent2 4 2 3 5" xfId="11152" xr:uid="{00000000-0005-0000-0000-0000673E0000}"/>
    <cellStyle name="40% - Accent2 4 2 3 5 2" xfId="31632" xr:uid="{00000000-0005-0000-0000-0000683E0000}"/>
    <cellStyle name="40% - Accent2 4 2 3 6" xfId="21392" xr:uid="{00000000-0005-0000-0000-0000693E0000}"/>
    <cellStyle name="40% - Accent2 4 2 4" xfId="1552" xr:uid="{00000000-0005-0000-0000-00006A3E0000}"/>
    <cellStyle name="40% - Accent2 4 2 4 2" xfId="4112" xr:uid="{00000000-0005-0000-0000-00006B3E0000}"/>
    <cellStyle name="40% - Accent2 4 2 4 2 2" xfId="9232" xr:uid="{00000000-0005-0000-0000-00006C3E0000}"/>
    <cellStyle name="40% - Accent2 4 2 4 2 2 2" xfId="19472" xr:uid="{00000000-0005-0000-0000-00006D3E0000}"/>
    <cellStyle name="40% - Accent2 4 2 4 2 2 2 2" xfId="39952" xr:uid="{00000000-0005-0000-0000-00006E3E0000}"/>
    <cellStyle name="40% - Accent2 4 2 4 2 2 3" xfId="29712" xr:uid="{00000000-0005-0000-0000-00006F3E0000}"/>
    <cellStyle name="40% - Accent2 4 2 4 2 3" xfId="14352" xr:uid="{00000000-0005-0000-0000-0000703E0000}"/>
    <cellStyle name="40% - Accent2 4 2 4 2 3 2" xfId="34832" xr:uid="{00000000-0005-0000-0000-0000713E0000}"/>
    <cellStyle name="40% - Accent2 4 2 4 2 4" xfId="24592" xr:uid="{00000000-0005-0000-0000-0000723E0000}"/>
    <cellStyle name="40% - Accent2 4 2 4 3" xfId="6672" xr:uid="{00000000-0005-0000-0000-0000733E0000}"/>
    <cellStyle name="40% - Accent2 4 2 4 3 2" xfId="16912" xr:uid="{00000000-0005-0000-0000-0000743E0000}"/>
    <cellStyle name="40% - Accent2 4 2 4 3 2 2" xfId="37392" xr:uid="{00000000-0005-0000-0000-0000753E0000}"/>
    <cellStyle name="40% - Accent2 4 2 4 3 3" xfId="27152" xr:uid="{00000000-0005-0000-0000-0000763E0000}"/>
    <cellStyle name="40% - Accent2 4 2 4 4" xfId="11792" xr:uid="{00000000-0005-0000-0000-0000773E0000}"/>
    <cellStyle name="40% - Accent2 4 2 4 4 2" xfId="32272" xr:uid="{00000000-0005-0000-0000-0000783E0000}"/>
    <cellStyle name="40% - Accent2 4 2 4 5" xfId="22032" xr:uid="{00000000-0005-0000-0000-0000793E0000}"/>
    <cellStyle name="40% - Accent2 4 2 5" xfId="2832" xr:uid="{00000000-0005-0000-0000-00007A3E0000}"/>
    <cellStyle name="40% - Accent2 4 2 5 2" xfId="7952" xr:uid="{00000000-0005-0000-0000-00007B3E0000}"/>
    <cellStyle name="40% - Accent2 4 2 5 2 2" xfId="18192" xr:uid="{00000000-0005-0000-0000-00007C3E0000}"/>
    <cellStyle name="40% - Accent2 4 2 5 2 2 2" xfId="38672" xr:uid="{00000000-0005-0000-0000-00007D3E0000}"/>
    <cellStyle name="40% - Accent2 4 2 5 2 3" xfId="28432" xr:uid="{00000000-0005-0000-0000-00007E3E0000}"/>
    <cellStyle name="40% - Accent2 4 2 5 3" xfId="13072" xr:uid="{00000000-0005-0000-0000-00007F3E0000}"/>
    <cellStyle name="40% - Accent2 4 2 5 3 2" xfId="33552" xr:uid="{00000000-0005-0000-0000-0000803E0000}"/>
    <cellStyle name="40% - Accent2 4 2 5 4" xfId="23312" xr:uid="{00000000-0005-0000-0000-0000813E0000}"/>
    <cellStyle name="40% - Accent2 4 2 6" xfId="5392" xr:uid="{00000000-0005-0000-0000-0000823E0000}"/>
    <cellStyle name="40% - Accent2 4 2 6 2" xfId="15632" xr:uid="{00000000-0005-0000-0000-0000833E0000}"/>
    <cellStyle name="40% - Accent2 4 2 6 2 2" xfId="36112" xr:uid="{00000000-0005-0000-0000-0000843E0000}"/>
    <cellStyle name="40% - Accent2 4 2 6 3" xfId="25872" xr:uid="{00000000-0005-0000-0000-0000853E0000}"/>
    <cellStyle name="40% - Accent2 4 2 7" xfId="10512" xr:uid="{00000000-0005-0000-0000-0000863E0000}"/>
    <cellStyle name="40% - Accent2 4 2 7 2" xfId="30992" xr:uid="{00000000-0005-0000-0000-0000873E0000}"/>
    <cellStyle name="40% - Accent2 4 2 8" xfId="20752" xr:uid="{00000000-0005-0000-0000-0000883E0000}"/>
    <cellStyle name="40% - Accent2 4 3" xfId="432" xr:uid="{00000000-0005-0000-0000-0000893E0000}"/>
    <cellStyle name="40% - Accent2 4 3 2" xfId="1072" xr:uid="{00000000-0005-0000-0000-00008A3E0000}"/>
    <cellStyle name="40% - Accent2 4 3 2 2" xfId="2352" xr:uid="{00000000-0005-0000-0000-00008B3E0000}"/>
    <cellStyle name="40% - Accent2 4 3 2 2 2" xfId="4912" xr:uid="{00000000-0005-0000-0000-00008C3E0000}"/>
    <cellStyle name="40% - Accent2 4 3 2 2 2 2" xfId="10032" xr:uid="{00000000-0005-0000-0000-00008D3E0000}"/>
    <cellStyle name="40% - Accent2 4 3 2 2 2 2 2" xfId="20272" xr:uid="{00000000-0005-0000-0000-00008E3E0000}"/>
    <cellStyle name="40% - Accent2 4 3 2 2 2 2 2 2" xfId="40752" xr:uid="{00000000-0005-0000-0000-00008F3E0000}"/>
    <cellStyle name="40% - Accent2 4 3 2 2 2 2 3" xfId="30512" xr:uid="{00000000-0005-0000-0000-0000903E0000}"/>
    <cellStyle name="40% - Accent2 4 3 2 2 2 3" xfId="15152" xr:uid="{00000000-0005-0000-0000-0000913E0000}"/>
    <cellStyle name="40% - Accent2 4 3 2 2 2 3 2" xfId="35632" xr:uid="{00000000-0005-0000-0000-0000923E0000}"/>
    <cellStyle name="40% - Accent2 4 3 2 2 2 4" xfId="25392" xr:uid="{00000000-0005-0000-0000-0000933E0000}"/>
    <cellStyle name="40% - Accent2 4 3 2 2 3" xfId="7472" xr:uid="{00000000-0005-0000-0000-0000943E0000}"/>
    <cellStyle name="40% - Accent2 4 3 2 2 3 2" xfId="17712" xr:uid="{00000000-0005-0000-0000-0000953E0000}"/>
    <cellStyle name="40% - Accent2 4 3 2 2 3 2 2" xfId="38192" xr:uid="{00000000-0005-0000-0000-0000963E0000}"/>
    <cellStyle name="40% - Accent2 4 3 2 2 3 3" xfId="27952" xr:uid="{00000000-0005-0000-0000-0000973E0000}"/>
    <cellStyle name="40% - Accent2 4 3 2 2 4" xfId="12592" xr:uid="{00000000-0005-0000-0000-0000983E0000}"/>
    <cellStyle name="40% - Accent2 4 3 2 2 4 2" xfId="33072" xr:uid="{00000000-0005-0000-0000-0000993E0000}"/>
    <cellStyle name="40% - Accent2 4 3 2 2 5" xfId="22832" xr:uid="{00000000-0005-0000-0000-00009A3E0000}"/>
    <cellStyle name="40% - Accent2 4 3 2 3" xfId="3632" xr:uid="{00000000-0005-0000-0000-00009B3E0000}"/>
    <cellStyle name="40% - Accent2 4 3 2 3 2" xfId="8752" xr:uid="{00000000-0005-0000-0000-00009C3E0000}"/>
    <cellStyle name="40% - Accent2 4 3 2 3 2 2" xfId="18992" xr:uid="{00000000-0005-0000-0000-00009D3E0000}"/>
    <cellStyle name="40% - Accent2 4 3 2 3 2 2 2" xfId="39472" xr:uid="{00000000-0005-0000-0000-00009E3E0000}"/>
    <cellStyle name="40% - Accent2 4 3 2 3 2 3" xfId="29232" xr:uid="{00000000-0005-0000-0000-00009F3E0000}"/>
    <cellStyle name="40% - Accent2 4 3 2 3 3" xfId="13872" xr:uid="{00000000-0005-0000-0000-0000A03E0000}"/>
    <cellStyle name="40% - Accent2 4 3 2 3 3 2" xfId="34352" xr:uid="{00000000-0005-0000-0000-0000A13E0000}"/>
    <cellStyle name="40% - Accent2 4 3 2 3 4" xfId="24112" xr:uid="{00000000-0005-0000-0000-0000A23E0000}"/>
    <cellStyle name="40% - Accent2 4 3 2 4" xfId="6192" xr:uid="{00000000-0005-0000-0000-0000A33E0000}"/>
    <cellStyle name="40% - Accent2 4 3 2 4 2" xfId="16432" xr:uid="{00000000-0005-0000-0000-0000A43E0000}"/>
    <cellStyle name="40% - Accent2 4 3 2 4 2 2" xfId="36912" xr:uid="{00000000-0005-0000-0000-0000A53E0000}"/>
    <cellStyle name="40% - Accent2 4 3 2 4 3" xfId="26672" xr:uid="{00000000-0005-0000-0000-0000A63E0000}"/>
    <cellStyle name="40% - Accent2 4 3 2 5" xfId="11312" xr:uid="{00000000-0005-0000-0000-0000A73E0000}"/>
    <cellStyle name="40% - Accent2 4 3 2 5 2" xfId="31792" xr:uid="{00000000-0005-0000-0000-0000A83E0000}"/>
    <cellStyle name="40% - Accent2 4 3 2 6" xfId="21552" xr:uid="{00000000-0005-0000-0000-0000A93E0000}"/>
    <cellStyle name="40% - Accent2 4 3 3" xfId="1712" xr:uid="{00000000-0005-0000-0000-0000AA3E0000}"/>
    <cellStyle name="40% - Accent2 4 3 3 2" xfId="4272" xr:uid="{00000000-0005-0000-0000-0000AB3E0000}"/>
    <cellStyle name="40% - Accent2 4 3 3 2 2" xfId="9392" xr:uid="{00000000-0005-0000-0000-0000AC3E0000}"/>
    <cellStyle name="40% - Accent2 4 3 3 2 2 2" xfId="19632" xr:uid="{00000000-0005-0000-0000-0000AD3E0000}"/>
    <cellStyle name="40% - Accent2 4 3 3 2 2 2 2" xfId="40112" xr:uid="{00000000-0005-0000-0000-0000AE3E0000}"/>
    <cellStyle name="40% - Accent2 4 3 3 2 2 3" xfId="29872" xr:uid="{00000000-0005-0000-0000-0000AF3E0000}"/>
    <cellStyle name="40% - Accent2 4 3 3 2 3" xfId="14512" xr:uid="{00000000-0005-0000-0000-0000B03E0000}"/>
    <cellStyle name="40% - Accent2 4 3 3 2 3 2" xfId="34992" xr:uid="{00000000-0005-0000-0000-0000B13E0000}"/>
    <cellStyle name="40% - Accent2 4 3 3 2 4" xfId="24752" xr:uid="{00000000-0005-0000-0000-0000B23E0000}"/>
    <cellStyle name="40% - Accent2 4 3 3 3" xfId="6832" xr:uid="{00000000-0005-0000-0000-0000B33E0000}"/>
    <cellStyle name="40% - Accent2 4 3 3 3 2" xfId="17072" xr:uid="{00000000-0005-0000-0000-0000B43E0000}"/>
    <cellStyle name="40% - Accent2 4 3 3 3 2 2" xfId="37552" xr:uid="{00000000-0005-0000-0000-0000B53E0000}"/>
    <cellStyle name="40% - Accent2 4 3 3 3 3" xfId="27312" xr:uid="{00000000-0005-0000-0000-0000B63E0000}"/>
    <cellStyle name="40% - Accent2 4 3 3 4" xfId="11952" xr:uid="{00000000-0005-0000-0000-0000B73E0000}"/>
    <cellStyle name="40% - Accent2 4 3 3 4 2" xfId="32432" xr:uid="{00000000-0005-0000-0000-0000B83E0000}"/>
    <cellStyle name="40% - Accent2 4 3 3 5" xfId="22192" xr:uid="{00000000-0005-0000-0000-0000B93E0000}"/>
    <cellStyle name="40% - Accent2 4 3 4" xfId="2992" xr:uid="{00000000-0005-0000-0000-0000BA3E0000}"/>
    <cellStyle name="40% - Accent2 4 3 4 2" xfId="8112" xr:uid="{00000000-0005-0000-0000-0000BB3E0000}"/>
    <cellStyle name="40% - Accent2 4 3 4 2 2" xfId="18352" xr:uid="{00000000-0005-0000-0000-0000BC3E0000}"/>
    <cellStyle name="40% - Accent2 4 3 4 2 2 2" xfId="38832" xr:uid="{00000000-0005-0000-0000-0000BD3E0000}"/>
    <cellStyle name="40% - Accent2 4 3 4 2 3" xfId="28592" xr:uid="{00000000-0005-0000-0000-0000BE3E0000}"/>
    <cellStyle name="40% - Accent2 4 3 4 3" xfId="13232" xr:uid="{00000000-0005-0000-0000-0000BF3E0000}"/>
    <cellStyle name="40% - Accent2 4 3 4 3 2" xfId="33712" xr:uid="{00000000-0005-0000-0000-0000C03E0000}"/>
    <cellStyle name="40% - Accent2 4 3 4 4" xfId="23472" xr:uid="{00000000-0005-0000-0000-0000C13E0000}"/>
    <cellStyle name="40% - Accent2 4 3 5" xfId="5552" xr:uid="{00000000-0005-0000-0000-0000C23E0000}"/>
    <cellStyle name="40% - Accent2 4 3 5 2" xfId="15792" xr:uid="{00000000-0005-0000-0000-0000C33E0000}"/>
    <cellStyle name="40% - Accent2 4 3 5 2 2" xfId="36272" xr:uid="{00000000-0005-0000-0000-0000C43E0000}"/>
    <cellStyle name="40% - Accent2 4 3 5 3" xfId="26032" xr:uid="{00000000-0005-0000-0000-0000C53E0000}"/>
    <cellStyle name="40% - Accent2 4 3 6" xfId="10672" xr:uid="{00000000-0005-0000-0000-0000C63E0000}"/>
    <cellStyle name="40% - Accent2 4 3 6 2" xfId="31152" xr:uid="{00000000-0005-0000-0000-0000C73E0000}"/>
    <cellStyle name="40% - Accent2 4 3 7" xfId="20912" xr:uid="{00000000-0005-0000-0000-0000C83E0000}"/>
    <cellStyle name="40% - Accent2 4 4" xfId="752" xr:uid="{00000000-0005-0000-0000-0000C93E0000}"/>
    <cellStyle name="40% - Accent2 4 4 2" xfId="2032" xr:uid="{00000000-0005-0000-0000-0000CA3E0000}"/>
    <cellStyle name="40% - Accent2 4 4 2 2" xfId="4592" xr:uid="{00000000-0005-0000-0000-0000CB3E0000}"/>
    <cellStyle name="40% - Accent2 4 4 2 2 2" xfId="9712" xr:uid="{00000000-0005-0000-0000-0000CC3E0000}"/>
    <cellStyle name="40% - Accent2 4 4 2 2 2 2" xfId="19952" xr:uid="{00000000-0005-0000-0000-0000CD3E0000}"/>
    <cellStyle name="40% - Accent2 4 4 2 2 2 2 2" xfId="40432" xr:uid="{00000000-0005-0000-0000-0000CE3E0000}"/>
    <cellStyle name="40% - Accent2 4 4 2 2 2 3" xfId="30192" xr:uid="{00000000-0005-0000-0000-0000CF3E0000}"/>
    <cellStyle name="40% - Accent2 4 4 2 2 3" xfId="14832" xr:uid="{00000000-0005-0000-0000-0000D03E0000}"/>
    <cellStyle name="40% - Accent2 4 4 2 2 3 2" xfId="35312" xr:uid="{00000000-0005-0000-0000-0000D13E0000}"/>
    <cellStyle name="40% - Accent2 4 4 2 2 4" xfId="25072" xr:uid="{00000000-0005-0000-0000-0000D23E0000}"/>
    <cellStyle name="40% - Accent2 4 4 2 3" xfId="7152" xr:uid="{00000000-0005-0000-0000-0000D33E0000}"/>
    <cellStyle name="40% - Accent2 4 4 2 3 2" xfId="17392" xr:uid="{00000000-0005-0000-0000-0000D43E0000}"/>
    <cellStyle name="40% - Accent2 4 4 2 3 2 2" xfId="37872" xr:uid="{00000000-0005-0000-0000-0000D53E0000}"/>
    <cellStyle name="40% - Accent2 4 4 2 3 3" xfId="27632" xr:uid="{00000000-0005-0000-0000-0000D63E0000}"/>
    <cellStyle name="40% - Accent2 4 4 2 4" xfId="12272" xr:uid="{00000000-0005-0000-0000-0000D73E0000}"/>
    <cellStyle name="40% - Accent2 4 4 2 4 2" xfId="32752" xr:uid="{00000000-0005-0000-0000-0000D83E0000}"/>
    <cellStyle name="40% - Accent2 4 4 2 5" xfId="22512" xr:uid="{00000000-0005-0000-0000-0000D93E0000}"/>
    <cellStyle name="40% - Accent2 4 4 3" xfId="3312" xr:uid="{00000000-0005-0000-0000-0000DA3E0000}"/>
    <cellStyle name="40% - Accent2 4 4 3 2" xfId="8432" xr:uid="{00000000-0005-0000-0000-0000DB3E0000}"/>
    <cellStyle name="40% - Accent2 4 4 3 2 2" xfId="18672" xr:uid="{00000000-0005-0000-0000-0000DC3E0000}"/>
    <cellStyle name="40% - Accent2 4 4 3 2 2 2" xfId="39152" xr:uid="{00000000-0005-0000-0000-0000DD3E0000}"/>
    <cellStyle name="40% - Accent2 4 4 3 2 3" xfId="28912" xr:uid="{00000000-0005-0000-0000-0000DE3E0000}"/>
    <cellStyle name="40% - Accent2 4 4 3 3" xfId="13552" xr:uid="{00000000-0005-0000-0000-0000DF3E0000}"/>
    <cellStyle name="40% - Accent2 4 4 3 3 2" xfId="34032" xr:uid="{00000000-0005-0000-0000-0000E03E0000}"/>
    <cellStyle name="40% - Accent2 4 4 3 4" xfId="23792" xr:uid="{00000000-0005-0000-0000-0000E13E0000}"/>
    <cellStyle name="40% - Accent2 4 4 4" xfId="5872" xr:uid="{00000000-0005-0000-0000-0000E23E0000}"/>
    <cellStyle name="40% - Accent2 4 4 4 2" xfId="16112" xr:uid="{00000000-0005-0000-0000-0000E33E0000}"/>
    <cellStyle name="40% - Accent2 4 4 4 2 2" xfId="36592" xr:uid="{00000000-0005-0000-0000-0000E43E0000}"/>
    <cellStyle name="40% - Accent2 4 4 4 3" xfId="26352" xr:uid="{00000000-0005-0000-0000-0000E53E0000}"/>
    <cellStyle name="40% - Accent2 4 4 5" xfId="10992" xr:uid="{00000000-0005-0000-0000-0000E63E0000}"/>
    <cellStyle name="40% - Accent2 4 4 5 2" xfId="31472" xr:uid="{00000000-0005-0000-0000-0000E73E0000}"/>
    <cellStyle name="40% - Accent2 4 4 6" xfId="21232" xr:uid="{00000000-0005-0000-0000-0000E83E0000}"/>
    <cellStyle name="40% - Accent2 4 5" xfId="1392" xr:uid="{00000000-0005-0000-0000-0000E93E0000}"/>
    <cellStyle name="40% - Accent2 4 5 2" xfId="3952" xr:uid="{00000000-0005-0000-0000-0000EA3E0000}"/>
    <cellStyle name="40% - Accent2 4 5 2 2" xfId="9072" xr:uid="{00000000-0005-0000-0000-0000EB3E0000}"/>
    <cellStyle name="40% - Accent2 4 5 2 2 2" xfId="19312" xr:uid="{00000000-0005-0000-0000-0000EC3E0000}"/>
    <cellStyle name="40% - Accent2 4 5 2 2 2 2" xfId="39792" xr:uid="{00000000-0005-0000-0000-0000ED3E0000}"/>
    <cellStyle name="40% - Accent2 4 5 2 2 3" xfId="29552" xr:uid="{00000000-0005-0000-0000-0000EE3E0000}"/>
    <cellStyle name="40% - Accent2 4 5 2 3" xfId="14192" xr:uid="{00000000-0005-0000-0000-0000EF3E0000}"/>
    <cellStyle name="40% - Accent2 4 5 2 3 2" xfId="34672" xr:uid="{00000000-0005-0000-0000-0000F03E0000}"/>
    <cellStyle name="40% - Accent2 4 5 2 4" xfId="24432" xr:uid="{00000000-0005-0000-0000-0000F13E0000}"/>
    <cellStyle name="40% - Accent2 4 5 3" xfId="6512" xr:uid="{00000000-0005-0000-0000-0000F23E0000}"/>
    <cellStyle name="40% - Accent2 4 5 3 2" xfId="16752" xr:uid="{00000000-0005-0000-0000-0000F33E0000}"/>
    <cellStyle name="40% - Accent2 4 5 3 2 2" xfId="37232" xr:uid="{00000000-0005-0000-0000-0000F43E0000}"/>
    <cellStyle name="40% - Accent2 4 5 3 3" xfId="26992" xr:uid="{00000000-0005-0000-0000-0000F53E0000}"/>
    <cellStyle name="40% - Accent2 4 5 4" xfId="11632" xr:uid="{00000000-0005-0000-0000-0000F63E0000}"/>
    <cellStyle name="40% - Accent2 4 5 4 2" xfId="32112" xr:uid="{00000000-0005-0000-0000-0000F73E0000}"/>
    <cellStyle name="40% - Accent2 4 5 5" xfId="21872" xr:uid="{00000000-0005-0000-0000-0000F83E0000}"/>
    <cellStyle name="40% - Accent2 4 6" xfId="2672" xr:uid="{00000000-0005-0000-0000-0000F93E0000}"/>
    <cellStyle name="40% - Accent2 4 6 2" xfId="7792" xr:uid="{00000000-0005-0000-0000-0000FA3E0000}"/>
    <cellStyle name="40% - Accent2 4 6 2 2" xfId="18032" xr:uid="{00000000-0005-0000-0000-0000FB3E0000}"/>
    <cellStyle name="40% - Accent2 4 6 2 2 2" xfId="38512" xr:uid="{00000000-0005-0000-0000-0000FC3E0000}"/>
    <cellStyle name="40% - Accent2 4 6 2 3" xfId="28272" xr:uid="{00000000-0005-0000-0000-0000FD3E0000}"/>
    <cellStyle name="40% - Accent2 4 6 3" xfId="12912" xr:uid="{00000000-0005-0000-0000-0000FE3E0000}"/>
    <cellStyle name="40% - Accent2 4 6 3 2" xfId="33392" xr:uid="{00000000-0005-0000-0000-0000FF3E0000}"/>
    <cellStyle name="40% - Accent2 4 6 4" xfId="23152" xr:uid="{00000000-0005-0000-0000-0000003F0000}"/>
    <cellStyle name="40% - Accent2 4 7" xfId="5232" xr:uid="{00000000-0005-0000-0000-0000013F0000}"/>
    <cellStyle name="40% - Accent2 4 7 2" xfId="15472" xr:uid="{00000000-0005-0000-0000-0000023F0000}"/>
    <cellStyle name="40% - Accent2 4 7 2 2" xfId="35952" xr:uid="{00000000-0005-0000-0000-0000033F0000}"/>
    <cellStyle name="40% - Accent2 4 7 3" xfId="25712" xr:uid="{00000000-0005-0000-0000-0000043F0000}"/>
    <cellStyle name="40% - Accent2 4 8" xfId="10352" xr:uid="{00000000-0005-0000-0000-0000053F0000}"/>
    <cellStyle name="40% - Accent2 4 8 2" xfId="30832" xr:uid="{00000000-0005-0000-0000-0000063F0000}"/>
    <cellStyle name="40% - Accent2 4 9" xfId="20592" xr:uid="{00000000-0005-0000-0000-0000073F0000}"/>
    <cellStyle name="40% - Accent2 5" xfId="192" xr:uid="{00000000-0005-0000-0000-0000083F0000}"/>
    <cellStyle name="40% - Accent2 5 2" xfId="512" xr:uid="{00000000-0005-0000-0000-0000093F0000}"/>
    <cellStyle name="40% - Accent2 5 2 2" xfId="1152" xr:uid="{00000000-0005-0000-0000-00000A3F0000}"/>
    <cellStyle name="40% - Accent2 5 2 2 2" xfId="2432" xr:uid="{00000000-0005-0000-0000-00000B3F0000}"/>
    <cellStyle name="40% - Accent2 5 2 2 2 2" xfId="4992" xr:uid="{00000000-0005-0000-0000-00000C3F0000}"/>
    <cellStyle name="40% - Accent2 5 2 2 2 2 2" xfId="10112" xr:uid="{00000000-0005-0000-0000-00000D3F0000}"/>
    <cellStyle name="40% - Accent2 5 2 2 2 2 2 2" xfId="20352" xr:uid="{00000000-0005-0000-0000-00000E3F0000}"/>
    <cellStyle name="40% - Accent2 5 2 2 2 2 2 2 2" xfId="40832" xr:uid="{00000000-0005-0000-0000-00000F3F0000}"/>
    <cellStyle name="40% - Accent2 5 2 2 2 2 2 3" xfId="30592" xr:uid="{00000000-0005-0000-0000-0000103F0000}"/>
    <cellStyle name="40% - Accent2 5 2 2 2 2 3" xfId="15232" xr:uid="{00000000-0005-0000-0000-0000113F0000}"/>
    <cellStyle name="40% - Accent2 5 2 2 2 2 3 2" xfId="35712" xr:uid="{00000000-0005-0000-0000-0000123F0000}"/>
    <cellStyle name="40% - Accent2 5 2 2 2 2 4" xfId="25472" xr:uid="{00000000-0005-0000-0000-0000133F0000}"/>
    <cellStyle name="40% - Accent2 5 2 2 2 3" xfId="7552" xr:uid="{00000000-0005-0000-0000-0000143F0000}"/>
    <cellStyle name="40% - Accent2 5 2 2 2 3 2" xfId="17792" xr:uid="{00000000-0005-0000-0000-0000153F0000}"/>
    <cellStyle name="40% - Accent2 5 2 2 2 3 2 2" xfId="38272" xr:uid="{00000000-0005-0000-0000-0000163F0000}"/>
    <cellStyle name="40% - Accent2 5 2 2 2 3 3" xfId="28032" xr:uid="{00000000-0005-0000-0000-0000173F0000}"/>
    <cellStyle name="40% - Accent2 5 2 2 2 4" xfId="12672" xr:uid="{00000000-0005-0000-0000-0000183F0000}"/>
    <cellStyle name="40% - Accent2 5 2 2 2 4 2" xfId="33152" xr:uid="{00000000-0005-0000-0000-0000193F0000}"/>
    <cellStyle name="40% - Accent2 5 2 2 2 5" xfId="22912" xr:uid="{00000000-0005-0000-0000-00001A3F0000}"/>
    <cellStyle name="40% - Accent2 5 2 2 3" xfId="3712" xr:uid="{00000000-0005-0000-0000-00001B3F0000}"/>
    <cellStyle name="40% - Accent2 5 2 2 3 2" xfId="8832" xr:uid="{00000000-0005-0000-0000-00001C3F0000}"/>
    <cellStyle name="40% - Accent2 5 2 2 3 2 2" xfId="19072" xr:uid="{00000000-0005-0000-0000-00001D3F0000}"/>
    <cellStyle name="40% - Accent2 5 2 2 3 2 2 2" xfId="39552" xr:uid="{00000000-0005-0000-0000-00001E3F0000}"/>
    <cellStyle name="40% - Accent2 5 2 2 3 2 3" xfId="29312" xr:uid="{00000000-0005-0000-0000-00001F3F0000}"/>
    <cellStyle name="40% - Accent2 5 2 2 3 3" xfId="13952" xr:uid="{00000000-0005-0000-0000-0000203F0000}"/>
    <cellStyle name="40% - Accent2 5 2 2 3 3 2" xfId="34432" xr:uid="{00000000-0005-0000-0000-0000213F0000}"/>
    <cellStyle name="40% - Accent2 5 2 2 3 4" xfId="24192" xr:uid="{00000000-0005-0000-0000-0000223F0000}"/>
    <cellStyle name="40% - Accent2 5 2 2 4" xfId="6272" xr:uid="{00000000-0005-0000-0000-0000233F0000}"/>
    <cellStyle name="40% - Accent2 5 2 2 4 2" xfId="16512" xr:uid="{00000000-0005-0000-0000-0000243F0000}"/>
    <cellStyle name="40% - Accent2 5 2 2 4 2 2" xfId="36992" xr:uid="{00000000-0005-0000-0000-0000253F0000}"/>
    <cellStyle name="40% - Accent2 5 2 2 4 3" xfId="26752" xr:uid="{00000000-0005-0000-0000-0000263F0000}"/>
    <cellStyle name="40% - Accent2 5 2 2 5" xfId="11392" xr:uid="{00000000-0005-0000-0000-0000273F0000}"/>
    <cellStyle name="40% - Accent2 5 2 2 5 2" xfId="31872" xr:uid="{00000000-0005-0000-0000-0000283F0000}"/>
    <cellStyle name="40% - Accent2 5 2 2 6" xfId="21632" xr:uid="{00000000-0005-0000-0000-0000293F0000}"/>
    <cellStyle name="40% - Accent2 5 2 3" xfId="1792" xr:uid="{00000000-0005-0000-0000-00002A3F0000}"/>
    <cellStyle name="40% - Accent2 5 2 3 2" xfId="4352" xr:uid="{00000000-0005-0000-0000-00002B3F0000}"/>
    <cellStyle name="40% - Accent2 5 2 3 2 2" xfId="9472" xr:uid="{00000000-0005-0000-0000-00002C3F0000}"/>
    <cellStyle name="40% - Accent2 5 2 3 2 2 2" xfId="19712" xr:uid="{00000000-0005-0000-0000-00002D3F0000}"/>
    <cellStyle name="40% - Accent2 5 2 3 2 2 2 2" xfId="40192" xr:uid="{00000000-0005-0000-0000-00002E3F0000}"/>
    <cellStyle name="40% - Accent2 5 2 3 2 2 3" xfId="29952" xr:uid="{00000000-0005-0000-0000-00002F3F0000}"/>
    <cellStyle name="40% - Accent2 5 2 3 2 3" xfId="14592" xr:uid="{00000000-0005-0000-0000-0000303F0000}"/>
    <cellStyle name="40% - Accent2 5 2 3 2 3 2" xfId="35072" xr:uid="{00000000-0005-0000-0000-0000313F0000}"/>
    <cellStyle name="40% - Accent2 5 2 3 2 4" xfId="24832" xr:uid="{00000000-0005-0000-0000-0000323F0000}"/>
    <cellStyle name="40% - Accent2 5 2 3 3" xfId="6912" xr:uid="{00000000-0005-0000-0000-0000333F0000}"/>
    <cellStyle name="40% - Accent2 5 2 3 3 2" xfId="17152" xr:uid="{00000000-0005-0000-0000-0000343F0000}"/>
    <cellStyle name="40% - Accent2 5 2 3 3 2 2" xfId="37632" xr:uid="{00000000-0005-0000-0000-0000353F0000}"/>
    <cellStyle name="40% - Accent2 5 2 3 3 3" xfId="27392" xr:uid="{00000000-0005-0000-0000-0000363F0000}"/>
    <cellStyle name="40% - Accent2 5 2 3 4" xfId="12032" xr:uid="{00000000-0005-0000-0000-0000373F0000}"/>
    <cellStyle name="40% - Accent2 5 2 3 4 2" xfId="32512" xr:uid="{00000000-0005-0000-0000-0000383F0000}"/>
    <cellStyle name="40% - Accent2 5 2 3 5" xfId="22272" xr:uid="{00000000-0005-0000-0000-0000393F0000}"/>
    <cellStyle name="40% - Accent2 5 2 4" xfId="3072" xr:uid="{00000000-0005-0000-0000-00003A3F0000}"/>
    <cellStyle name="40% - Accent2 5 2 4 2" xfId="8192" xr:uid="{00000000-0005-0000-0000-00003B3F0000}"/>
    <cellStyle name="40% - Accent2 5 2 4 2 2" xfId="18432" xr:uid="{00000000-0005-0000-0000-00003C3F0000}"/>
    <cellStyle name="40% - Accent2 5 2 4 2 2 2" xfId="38912" xr:uid="{00000000-0005-0000-0000-00003D3F0000}"/>
    <cellStyle name="40% - Accent2 5 2 4 2 3" xfId="28672" xr:uid="{00000000-0005-0000-0000-00003E3F0000}"/>
    <cellStyle name="40% - Accent2 5 2 4 3" xfId="13312" xr:uid="{00000000-0005-0000-0000-00003F3F0000}"/>
    <cellStyle name="40% - Accent2 5 2 4 3 2" xfId="33792" xr:uid="{00000000-0005-0000-0000-0000403F0000}"/>
    <cellStyle name="40% - Accent2 5 2 4 4" xfId="23552" xr:uid="{00000000-0005-0000-0000-0000413F0000}"/>
    <cellStyle name="40% - Accent2 5 2 5" xfId="5632" xr:uid="{00000000-0005-0000-0000-0000423F0000}"/>
    <cellStyle name="40% - Accent2 5 2 5 2" xfId="15872" xr:uid="{00000000-0005-0000-0000-0000433F0000}"/>
    <cellStyle name="40% - Accent2 5 2 5 2 2" xfId="36352" xr:uid="{00000000-0005-0000-0000-0000443F0000}"/>
    <cellStyle name="40% - Accent2 5 2 5 3" xfId="26112" xr:uid="{00000000-0005-0000-0000-0000453F0000}"/>
    <cellStyle name="40% - Accent2 5 2 6" xfId="10752" xr:uid="{00000000-0005-0000-0000-0000463F0000}"/>
    <cellStyle name="40% - Accent2 5 2 6 2" xfId="31232" xr:uid="{00000000-0005-0000-0000-0000473F0000}"/>
    <cellStyle name="40% - Accent2 5 2 7" xfId="20992" xr:uid="{00000000-0005-0000-0000-0000483F0000}"/>
    <cellStyle name="40% - Accent2 5 3" xfId="832" xr:uid="{00000000-0005-0000-0000-0000493F0000}"/>
    <cellStyle name="40% - Accent2 5 3 2" xfId="2112" xr:uid="{00000000-0005-0000-0000-00004A3F0000}"/>
    <cellStyle name="40% - Accent2 5 3 2 2" xfId="4672" xr:uid="{00000000-0005-0000-0000-00004B3F0000}"/>
    <cellStyle name="40% - Accent2 5 3 2 2 2" xfId="9792" xr:uid="{00000000-0005-0000-0000-00004C3F0000}"/>
    <cellStyle name="40% - Accent2 5 3 2 2 2 2" xfId="20032" xr:uid="{00000000-0005-0000-0000-00004D3F0000}"/>
    <cellStyle name="40% - Accent2 5 3 2 2 2 2 2" xfId="40512" xr:uid="{00000000-0005-0000-0000-00004E3F0000}"/>
    <cellStyle name="40% - Accent2 5 3 2 2 2 3" xfId="30272" xr:uid="{00000000-0005-0000-0000-00004F3F0000}"/>
    <cellStyle name="40% - Accent2 5 3 2 2 3" xfId="14912" xr:uid="{00000000-0005-0000-0000-0000503F0000}"/>
    <cellStyle name="40% - Accent2 5 3 2 2 3 2" xfId="35392" xr:uid="{00000000-0005-0000-0000-0000513F0000}"/>
    <cellStyle name="40% - Accent2 5 3 2 2 4" xfId="25152" xr:uid="{00000000-0005-0000-0000-0000523F0000}"/>
    <cellStyle name="40% - Accent2 5 3 2 3" xfId="7232" xr:uid="{00000000-0005-0000-0000-0000533F0000}"/>
    <cellStyle name="40% - Accent2 5 3 2 3 2" xfId="17472" xr:uid="{00000000-0005-0000-0000-0000543F0000}"/>
    <cellStyle name="40% - Accent2 5 3 2 3 2 2" xfId="37952" xr:uid="{00000000-0005-0000-0000-0000553F0000}"/>
    <cellStyle name="40% - Accent2 5 3 2 3 3" xfId="27712" xr:uid="{00000000-0005-0000-0000-0000563F0000}"/>
    <cellStyle name="40% - Accent2 5 3 2 4" xfId="12352" xr:uid="{00000000-0005-0000-0000-0000573F0000}"/>
    <cellStyle name="40% - Accent2 5 3 2 4 2" xfId="32832" xr:uid="{00000000-0005-0000-0000-0000583F0000}"/>
    <cellStyle name="40% - Accent2 5 3 2 5" xfId="22592" xr:uid="{00000000-0005-0000-0000-0000593F0000}"/>
    <cellStyle name="40% - Accent2 5 3 3" xfId="3392" xr:uid="{00000000-0005-0000-0000-00005A3F0000}"/>
    <cellStyle name="40% - Accent2 5 3 3 2" xfId="8512" xr:uid="{00000000-0005-0000-0000-00005B3F0000}"/>
    <cellStyle name="40% - Accent2 5 3 3 2 2" xfId="18752" xr:uid="{00000000-0005-0000-0000-00005C3F0000}"/>
    <cellStyle name="40% - Accent2 5 3 3 2 2 2" xfId="39232" xr:uid="{00000000-0005-0000-0000-00005D3F0000}"/>
    <cellStyle name="40% - Accent2 5 3 3 2 3" xfId="28992" xr:uid="{00000000-0005-0000-0000-00005E3F0000}"/>
    <cellStyle name="40% - Accent2 5 3 3 3" xfId="13632" xr:uid="{00000000-0005-0000-0000-00005F3F0000}"/>
    <cellStyle name="40% - Accent2 5 3 3 3 2" xfId="34112" xr:uid="{00000000-0005-0000-0000-0000603F0000}"/>
    <cellStyle name="40% - Accent2 5 3 3 4" xfId="23872" xr:uid="{00000000-0005-0000-0000-0000613F0000}"/>
    <cellStyle name="40% - Accent2 5 3 4" xfId="5952" xr:uid="{00000000-0005-0000-0000-0000623F0000}"/>
    <cellStyle name="40% - Accent2 5 3 4 2" xfId="16192" xr:uid="{00000000-0005-0000-0000-0000633F0000}"/>
    <cellStyle name="40% - Accent2 5 3 4 2 2" xfId="36672" xr:uid="{00000000-0005-0000-0000-0000643F0000}"/>
    <cellStyle name="40% - Accent2 5 3 4 3" xfId="26432" xr:uid="{00000000-0005-0000-0000-0000653F0000}"/>
    <cellStyle name="40% - Accent2 5 3 5" xfId="11072" xr:uid="{00000000-0005-0000-0000-0000663F0000}"/>
    <cellStyle name="40% - Accent2 5 3 5 2" xfId="31552" xr:uid="{00000000-0005-0000-0000-0000673F0000}"/>
    <cellStyle name="40% - Accent2 5 3 6" xfId="21312" xr:uid="{00000000-0005-0000-0000-0000683F0000}"/>
    <cellStyle name="40% - Accent2 5 4" xfId="1472" xr:uid="{00000000-0005-0000-0000-0000693F0000}"/>
    <cellStyle name="40% - Accent2 5 4 2" xfId="4032" xr:uid="{00000000-0005-0000-0000-00006A3F0000}"/>
    <cellStyle name="40% - Accent2 5 4 2 2" xfId="9152" xr:uid="{00000000-0005-0000-0000-00006B3F0000}"/>
    <cellStyle name="40% - Accent2 5 4 2 2 2" xfId="19392" xr:uid="{00000000-0005-0000-0000-00006C3F0000}"/>
    <cellStyle name="40% - Accent2 5 4 2 2 2 2" xfId="39872" xr:uid="{00000000-0005-0000-0000-00006D3F0000}"/>
    <cellStyle name="40% - Accent2 5 4 2 2 3" xfId="29632" xr:uid="{00000000-0005-0000-0000-00006E3F0000}"/>
    <cellStyle name="40% - Accent2 5 4 2 3" xfId="14272" xr:uid="{00000000-0005-0000-0000-00006F3F0000}"/>
    <cellStyle name="40% - Accent2 5 4 2 3 2" xfId="34752" xr:uid="{00000000-0005-0000-0000-0000703F0000}"/>
    <cellStyle name="40% - Accent2 5 4 2 4" xfId="24512" xr:uid="{00000000-0005-0000-0000-0000713F0000}"/>
    <cellStyle name="40% - Accent2 5 4 3" xfId="6592" xr:uid="{00000000-0005-0000-0000-0000723F0000}"/>
    <cellStyle name="40% - Accent2 5 4 3 2" xfId="16832" xr:uid="{00000000-0005-0000-0000-0000733F0000}"/>
    <cellStyle name="40% - Accent2 5 4 3 2 2" xfId="37312" xr:uid="{00000000-0005-0000-0000-0000743F0000}"/>
    <cellStyle name="40% - Accent2 5 4 3 3" xfId="27072" xr:uid="{00000000-0005-0000-0000-0000753F0000}"/>
    <cellStyle name="40% - Accent2 5 4 4" xfId="11712" xr:uid="{00000000-0005-0000-0000-0000763F0000}"/>
    <cellStyle name="40% - Accent2 5 4 4 2" xfId="32192" xr:uid="{00000000-0005-0000-0000-0000773F0000}"/>
    <cellStyle name="40% - Accent2 5 4 5" xfId="21952" xr:uid="{00000000-0005-0000-0000-0000783F0000}"/>
    <cellStyle name="40% - Accent2 5 5" xfId="2752" xr:uid="{00000000-0005-0000-0000-0000793F0000}"/>
    <cellStyle name="40% - Accent2 5 5 2" xfId="7872" xr:uid="{00000000-0005-0000-0000-00007A3F0000}"/>
    <cellStyle name="40% - Accent2 5 5 2 2" xfId="18112" xr:uid="{00000000-0005-0000-0000-00007B3F0000}"/>
    <cellStyle name="40% - Accent2 5 5 2 2 2" xfId="38592" xr:uid="{00000000-0005-0000-0000-00007C3F0000}"/>
    <cellStyle name="40% - Accent2 5 5 2 3" xfId="28352" xr:uid="{00000000-0005-0000-0000-00007D3F0000}"/>
    <cellStyle name="40% - Accent2 5 5 3" xfId="12992" xr:uid="{00000000-0005-0000-0000-00007E3F0000}"/>
    <cellStyle name="40% - Accent2 5 5 3 2" xfId="33472" xr:uid="{00000000-0005-0000-0000-00007F3F0000}"/>
    <cellStyle name="40% - Accent2 5 5 4" xfId="23232" xr:uid="{00000000-0005-0000-0000-0000803F0000}"/>
    <cellStyle name="40% - Accent2 5 6" xfId="5312" xr:uid="{00000000-0005-0000-0000-0000813F0000}"/>
    <cellStyle name="40% - Accent2 5 6 2" xfId="15552" xr:uid="{00000000-0005-0000-0000-0000823F0000}"/>
    <cellStyle name="40% - Accent2 5 6 2 2" xfId="36032" xr:uid="{00000000-0005-0000-0000-0000833F0000}"/>
    <cellStyle name="40% - Accent2 5 6 3" xfId="25792" xr:uid="{00000000-0005-0000-0000-0000843F0000}"/>
    <cellStyle name="40% - Accent2 5 7" xfId="10432" xr:uid="{00000000-0005-0000-0000-0000853F0000}"/>
    <cellStyle name="40% - Accent2 5 7 2" xfId="30912" xr:uid="{00000000-0005-0000-0000-0000863F0000}"/>
    <cellStyle name="40% - Accent2 5 8" xfId="20672" xr:uid="{00000000-0005-0000-0000-0000873F0000}"/>
    <cellStyle name="40% - Accent2 6" xfId="352" xr:uid="{00000000-0005-0000-0000-0000883F0000}"/>
    <cellStyle name="40% - Accent2 6 2" xfId="992" xr:uid="{00000000-0005-0000-0000-0000893F0000}"/>
    <cellStyle name="40% - Accent2 6 2 2" xfId="2272" xr:uid="{00000000-0005-0000-0000-00008A3F0000}"/>
    <cellStyle name="40% - Accent2 6 2 2 2" xfId="4832" xr:uid="{00000000-0005-0000-0000-00008B3F0000}"/>
    <cellStyle name="40% - Accent2 6 2 2 2 2" xfId="9952" xr:uid="{00000000-0005-0000-0000-00008C3F0000}"/>
    <cellStyle name="40% - Accent2 6 2 2 2 2 2" xfId="20192" xr:uid="{00000000-0005-0000-0000-00008D3F0000}"/>
    <cellStyle name="40% - Accent2 6 2 2 2 2 2 2" xfId="40672" xr:uid="{00000000-0005-0000-0000-00008E3F0000}"/>
    <cellStyle name="40% - Accent2 6 2 2 2 2 3" xfId="30432" xr:uid="{00000000-0005-0000-0000-00008F3F0000}"/>
    <cellStyle name="40% - Accent2 6 2 2 2 3" xfId="15072" xr:uid="{00000000-0005-0000-0000-0000903F0000}"/>
    <cellStyle name="40% - Accent2 6 2 2 2 3 2" xfId="35552" xr:uid="{00000000-0005-0000-0000-0000913F0000}"/>
    <cellStyle name="40% - Accent2 6 2 2 2 4" xfId="25312" xr:uid="{00000000-0005-0000-0000-0000923F0000}"/>
    <cellStyle name="40% - Accent2 6 2 2 3" xfId="7392" xr:uid="{00000000-0005-0000-0000-0000933F0000}"/>
    <cellStyle name="40% - Accent2 6 2 2 3 2" xfId="17632" xr:uid="{00000000-0005-0000-0000-0000943F0000}"/>
    <cellStyle name="40% - Accent2 6 2 2 3 2 2" xfId="38112" xr:uid="{00000000-0005-0000-0000-0000953F0000}"/>
    <cellStyle name="40% - Accent2 6 2 2 3 3" xfId="27872" xr:uid="{00000000-0005-0000-0000-0000963F0000}"/>
    <cellStyle name="40% - Accent2 6 2 2 4" xfId="12512" xr:uid="{00000000-0005-0000-0000-0000973F0000}"/>
    <cellStyle name="40% - Accent2 6 2 2 4 2" xfId="32992" xr:uid="{00000000-0005-0000-0000-0000983F0000}"/>
    <cellStyle name="40% - Accent2 6 2 2 5" xfId="22752" xr:uid="{00000000-0005-0000-0000-0000993F0000}"/>
    <cellStyle name="40% - Accent2 6 2 3" xfId="3552" xr:uid="{00000000-0005-0000-0000-00009A3F0000}"/>
    <cellStyle name="40% - Accent2 6 2 3 2" xfId="8672" xr:uid="{00000000-0005-0000-0000-00009B3F0000}"/>
    <cellStyle name="40% - Accent2 6 2 3 2 2" xfId="18912" xr:uid="{00000000-0005-0000-0000-00009C3F0000}"/>
    <cellStyle name="40% - Accent2 6 2 3 2 2 2" xfId="39392" xr:uid="{00000000-0005-0000-0000-00009D3F0000}"/>
    <cellStyle name="40% - Accent2 6 2 3 2 3" xfId="29152" xr:uid="{00000000-0005-0000-0000-00009E3F0000}"/>
    <cellStyle name="40% - Accent2 6 2 3 3" xfId="13792" xr:uid="{00000000-0005-0000-0000-00009F3F0000}"/>
    <cellStyle name="40% - Accent2 6 2 3 3 2" xfId="34272" xr:uid="{00000000-0005-0000-0000-0000A03F0000}"/>
    <cellStyle name="40% - Accent2 6 2 3 4" xfId="24032" xr:uid="{00000000-0005-0000-0000-0000A13F0000}"/>
    <cellStyle name="40% - Accent2 6 2 4" xfId="6112" xr:uid="{00000000-0005-0000-0000-0000A23F0000}"/>
    <cellStyle name="40% - Accent2 6 2 4 2" xfId="16352" xr:uid="{00000000-0005-0000-0000-0000A33F0000}"/>
    <cellStyle name="40% - Accent2 6 2 4 2 2" xfId="36832" xr:uid="{00000000-0005-0000-0000-0000A43F0000}"/>
    <cellStyle name="40% - Accent2 6 2 4 3" xfId="26592" xr:uid="{00000000-0005-0000-0000-0000A53F0000}"/>
    <cellStyle name="40% - Accent2 6 2 5" xfId="11232" xr:uid="{00000000-0005-0000-0000-0000A63F0000}"/>
    <cellStyle name="40% - Accent2 6 2 5 2" xfId="31712" xr:uid="{00000000-0005-0000-0000-0000A73F0000}"/>
    <cellStyle name="40% - Accent2 6 2 6" xfId="21472" xr:uid="{00000000-0005-0000-0000-0000A83F0000}"/>
    <cellStyle name="40% - Accent2 6 3" xfId="1632" xr:uid="{00000000-0005-0000-0000-0000A93F0000}"/>
    <cellStyle name="40% - Accent2 6 3 2" xfId="4192" xr:uid="{00000000-0005-0000-0000-0000AA3F0000}"/>
    <cellStyle name="40% - Accent2 6 3 2 2" xfId="9312" xr:uid="{00000000-0005-0000-0000-0000AB3F0000}"/>
    <cellStyle name="40% - Accent2 6 3 2 2 2" xfId="19552" xr:uid="{00000000-0005-0000-0000-0000AC3F0000}"/>
    <cellStyle name="40% - Accent2 6 3 2 2 2 2" xfId="40032" xr:uid="{00000000-0005-0000-0000-0000AD3F0000}"/>
    <cellStyle name="40% - Accent2 6 3 2 2 3" xfId="29792" xr:uid="{00000000-0005-0000-0000-0000AE3F0000}"/>
    <cellStyle name="40% - Accent2 6 3 2 3" xfId="14432" xr:uid="{00000000-0005-0000-0000-0000AF3F0000}"/>
    <cellStyle name="40% - Accent2 6 3 2 3 2" xfId="34912" xr:uid="{00000000-0005-0000-0000-0000B03F0000}"/>
    <cellStyle name="40% - Accent2 6 3 2 4" xfId="24672" xr:uid="{00000000-0005-0000-0000-0000B13F0000}"/>
    <cellStyle name="40% - Accent2 6 3 3" xfId="6752" xr:uid="{00000000-0005-0000-0000-0000B23F0000}"/>
    <cellStyle name="40% - Accent2 6 3 3 2" xfId="16992" xr:uid="{00000000-0005-0000-0000-0000B33F0000}"/>
    <cellStyle name="40% - Accent2 6 3 3 2 2" xfId="37472" xr:uid="{00000000-0005-0000-0000-0000B43F0000}"/>
    <cellStyle name="40% - Accent2 6 3 3 3" xfId="27232" xr:uid="{00000000-0005-0000-0000-0000B53F0000}"/>
    <cellStyle name="40% - Accent2 6 3 4" xfId="11872" xr:uid="{00000000-0005-0000-0000-0000B63F0000}"/>
    <cellStyle name="40% - Accent2 6 3 4 2" xfId="32352" xr:uid="{00000000-0005-0000-0000-0000B73F0000}"/>
    <cellStyle name="40% - Accent2 6 3 5" xfId="22112" xr:uid="{00000000-0005-0000-0000-0000B83F0000}"/>
    <cellStyle name="40% - Accent2 6 4" xfId="2912" xr:uid="{00000000-0005-0000-0000-0000B93F0000}"/>
    <cellStyle name="40% - Accent2 6 4 2" xfId="8032" xr:uid="{00000000-0005-0000-0000-0000BA3F0000}"/>
    <cellStyle name="40% - Accent2 6 4 2 2" xfId="18272" xr:uid="{00000000-0005-0000-0000-0000BB3F0000}"/>
    <cellStyle name="40% - Accent2 6 4 2 2 2" xfId="38752" xr:uid="{00000000-0005-0000-0000-0000BC3F0000}"/>
    <cellStyle name="40% - Accent2 6 4 2 3" xfId="28512" xr:uid="{00000000-0005-0000-0000-0000BD3F0000}"/>
    <cellStyle name="40% - Accent2 6 4 3" xfId="13152" xr:uid="{00000000-0005-0000-0000-0000BE3F0000}"/>
    <cellStyle name="40% - Accent2 6 4 3 2" xfId="33632" xr:uid="{00000000-0005-0000-0000-0000BF3F0000}"/>
    <cellStyle name="40% - Accent2 6 4 4" xfId="23392" xr:uid="{00000000-0005-0000-0000-0000C03F0000}"/>
    <cellStyle name="40% - Accent2 6 5" xfId="5472" xr:uid="{00000000-0005-0000-0000-0000C13F0000}"/>
    <cellStyle name="40% - Accent2 6 5 2" xfId="15712" xr:uid="{00000000-0005-0000-0000-0000C23F0000}"/>
    <cellStyle name="40% - Accent2 6 5 2 2" xfId="36192" xr:uid="{00000000-0005-0000-0000-0000C33F0000}"/>
    <cellStyle name="40% - Accent2 6 5 3" xfId="25952" xr:uid="{00000000-0005-0000-0000-0000C43F0000}"/>
    <cellStyle name="40% - Accent2 6 6" xfId="10592" xr:uid="{00000000-0005-0000-0000-0000C53F0000}"/>
    <cellStyle name="40% - Accent2 6 6 2" xfId="31072" xr:uid="{00000000-0005-0000-0000-0000C63F0000}"/>
    <cellStyle name="40% - Accent2 6 7" xfId="20832" xr:uid="{00000000-0005-0000-0000-0000C73F0000}"/>
    <cellStyle name="40% - Accent2 7" xfId="672" xr:uid="{00000000-0005-0000-0000-0000C83F0000}"/>
    <cellStyle name="40% - Accent2 7 2" xfId="1952" xr:uid="{00000000-0005-0000-0000-0000C93F0000}"/>
    <cellStyle name="40% - Accent2 7 2 2" xfId="4512" xr:uid="{00000000-0005-0000-0000-0000CA3F0000}"/>
    <cellStyle name="40% - Accent2 7 2 2 2" xfId="9632" xr:uid="{00000000-0005-0000-0000-0000CB3F0000}"/>
    <cellStyle name="40% - Accent2 7 2 2 2 2" xfId="19872" xr:uid="{00000000-0005-0000-0000-0000CC3F0000}"/>
    <cellStyle name="40% - Accent2 7 2 2 2 2 2" xfId="40352" xr:uid="{00000000-0005-0000-0000-0000CD3F0000}"/>
    <cellStyle name="40% - Accent2 7 2 2 2 3" xfId="30112" xr:uid="{00000000-0005-0000-0000-0000CE3F0000}"/>
    <cellStyle name="40% - Accent2 7 2 2 3" xfId="14752" xr:uid="{00000000-0005-0000-0000-0000CF3F0000}"/>
    <cellStyle name="40% - Accent2 7 2 2 3 2" xfId="35232" xr:uid="{00000000-0005-0000-0000-0000D03F0000}"/>
    <cellStyle name="40% - Accent2 7 2 2 4" xfId="24992" xr:uid="{00000000-0005-0000-0000-0000D13F0000}"/>
    <cellStyle name="40% - Accent2 7 2 3" xfId="7072" xr:uid="{00000000-0005-0000-0000-0000D23F0000}"/>
    <cellStyle name="40% - Accent2 7 2 3 2" xfId="17312" xr:uid="{00000000-0005-0000-0000-0000D33F0000}"/>
    <cellStyle name="40% - Accent2 7 2 3 2 2" xfId="37792" xr:uid="{00000000-0005-0000-0000-0000D43F0000}"/>
    <cellStyle name="40% - Accent2 7 2 3 3" xfId="27552" xr:uid="{00000000-0005-0000-0000-0000D53F0000}"/>
    <cellStyle name="40% - Accent2 7 2 4" xfId="12192" xr:uid="{00000000-0005-0000-0000-0000D63F0000}"/>
    <cellStyle name="40% - Accent2 7 2 4 2" xfId="32672" xr:uid="{00000000-0005-0000-0000-0000D73F0000}"/>
    <cellStyle name="40% - Accent2 7 2 5" xfId="22432" xr:uid="{00000000-0005-0000-0000-0000D83F0000}"/>
    <cellStyle name="40% - Accent2 7 3" xfId="3232" xr:uid="{00000000-0005-0000-0000-0000D93F0000}"/>
    <cellStyle name="40% - Accent2 7 3 2" xfId="8352" xr:uid="{00000000-0005-0000-0000-0000DA3F0000}"/>
    <cellStyle name="40% - Accent2 7 3 2 2" xfId="18592" xr:uid="{00000000-0005-0000-0000-0000DB3F0000}"/>
    <cellStyle name="40% - Accent2 7 3 2 2 2" xfId="39072" xr:uid="{00000000-0005-0000-0000-0000DC3F0000}"/>
    <cellStyle name="40% - Accent2 7 3 2 3" xfId="28832" xr:uid="{00000000-0005-0000-0000-0000DD3F0000}"/>
    <cellStyle name="40% - Accent2 7 3 3" xfId="13472" xr:uid="{00000000-0005-0000-0000-0000DE3F0000}"/>
    <cellStyle name="40% - Accent2 7 3 3 2" xfId="33952" xr:uid="{00000000-0005-0000-0000-0000DF3F0000}"/>
    <cellStyle name="40% - Accent2 7 3 4" xfId="23712" xr:uid="{00000000-0005-0000-0000-0000E03F0000}"/>
    <cellStyle name="40% - Accent2 7 4" xfId="5792" xr:uid="{00000000-0005-0000-0000-0000E13F0000}"/>
    <cellStyle name="40% - Accent2 7 4 2" xfId="16032" xr:uid="{00000000-0005-0000-0000-0000E23F0000}"/>
    <cellStyle name="40% - Accent2 7 4 2 2" xfId="36512" xr:uid="{00000000-0005-0000-0000-0000E33F0000}"/>
    <cellStyle name="40% - Accent2 7 4 3" xfId="26272" xr:uid="{00000000-0005-0000-0000-0000E43F0000}"/>
    <cellStyle name="40% - Accent2 7 5" xfId="10912" xr:uid="{00000000-0005-0000-0000-0000E53F0000}"/>
    <cellStyle name="40% - Accent2 7 5 2" xfId="31392" xr:uid="{00000000-0005-0000-0000-0000E63F0000}"/>
    <cellStyle name="40% - Accent2 7 6" xfId="21152" xr:uid="{00000000-0005-0000-0000-0000E73F0000}"/>
    <cellStyle name="40% - Accent2 8" xfId="1312" xr:uid="{00000000-0005-0000-0000-0000E83F0000}"/>
    <cellStyle name="40% - Accent2 8 2" xfId="3872" xr:uid="{00000000-0005-0000-0000-0000E93F0000}"/>
    <cellStyle name="40% - Accent2 8 2 2" xfId="8992" xr:uid="{00000000-0005-0000-0000-0000EA3F0000}"/>
    <cellStyle name="40% - Accent2 8 2 2 2" xfId="19232" xr:uid="{00000000-0005-0000-0000-0000EB3F0000}"/>
    <cellStyle name="40% - Accent2 8 2 2 2 2" xfId="39712" xr:uid="{00000000-0005-0000-0000-0000EC3F0000}"/>
    <cellStyle name="40% - Accent2 8 2 2 3" xfId="29472" xr:uid="{00000000-0005-0000-0000-0000ED3F0000}"/>
    <cellStyle name="40% - Accent2 8 2 3" xfId="14112" xr:uid="{00000000-0005-0000-0000-0000EE3F0000}"/>
    <cellStyle name="40% - Accent2 8 2 3 2" xfId="34592" xr:uid="{00000000-0005-0000-0000-0000EF3F0000}"/>
    <cellStyle name="40% - Accent2 8 2 4" xfId="24352" xr:uid="{00000000-0005-0000-0000-0000F03F0000}"/>
    <cellStyle name="40% - Accent2 8 3" xfId="6432" xr:uid="{00000000-0005-0000-0000-0000F13F0000}"/>
    <cellStyle name="40% - Accent2 8 3 2" xfId="16672" xr:uid="{00000000-0005-0000-0000-0000F23F0000}"/>
    <cellStyle name="40% - Accent2 8 3 2 2" xfId="37152" xr:uid="{00000000-0005-0000-0000-0000F33F0000}"/>
    <cellStyle name="40% - Accent2 8 3 3" xfId="26912" xr:uid="{00000000-0005-0000-0000-0000F43F0000}"/>
    <cellStyle name="40% - Accent2 8 4" xfId="11552" xr:uid="{00000000-0005-0000-0000-0000F53F0000}"/>
    <cellStyle name="40% - Accent2 8 4 2" xfId="32032" xr:uid="{00000000-0005-0000-0000-0000F63F0000}"/>
    <cellStyle name="40% - Accent2 8 5" xfId="21792" xr:uid="{00000000-0005-0000-0000-0000F73F0000}"/>
    <cellStyle name="40% - Accent2 9" xfId="2592" xr:uid="{00000000-0005-0000-0000-0000F83F0000}"/>
    <cellStyle name="40% - Accent2 9 2" xfId="7712" xr:uid="{00000000-0005-0000-0000-0000F93F0000}"/>
    <cellStyle name="40% - Accent2 9 2 2" xfId="17952" xr:uid="{00000000-0005-0000-0000-0000FA3F0000}"/>
    <cellStyle name="40% - Accent2 9 2 2 2" xfId="38432" xr:uid="{00000000-0005-0000-0000-0000FB3F0000}"/>
    <cellStyle name="40% - Accent2 9 2 3" xfId="28192" xr:uid="{00000000-0005-0000-0000-0000FC3F0000}"/>
    <cellStyle name="40% - Accent2 9 3" xfId="12832" xr:uid="{00000000-0005-0000-0000-0000FD3F0000}"/>
    <cellStyle name="40% - Accent2 9 3 2" xfId="33312" xr:uid="{00000000-0005-0000-0000-0000FE3F0000}"/>
    <cellStyle name="40% - Accent2 9 4" xfId="23072" xr:uid="{00000000-0005-0000-0000-0000FF3F0000}"/>
    <cellStyle name="40% - Accent3 10" xfId="5155" xr:uid="{00000000-0005-0000-0000-000000400000}"/>
    <cellStyle name="40% - Accent3 10 2" xfId="15395" xr:uid="{00000000-0005-0000-0000-000001400000}"/>
    <cellStyle name="40% - Accent3 10 2 2" xfId="35875" xr:uid="{00000000-0005-0000-0000-000002400000}"/>
    <cellStyle name="40% - Accent3 10 3" xfId="25635" xr:uid="{00000000-0005-0000-0000-000003400000}"/>
    <cellStyle name="40% - Accent3 11" xfId="10275" xr:uid="{00000000-0005-0000-0000-000004400000}"/>
    <cellStyle name="40% - Accent3 11 2" xfId="30755" xr:uid="{00000000-0005-0000-0000-000005400000}"/>
    <cellStyle name="40% - Accent3 12" xfId="20515" xr:uid="{00000000-0005-0000-0000-000006400000}"/>
    <cellStyle name="40% - Accent3 13" xfId="32" xr:uid="{00000000-0005-0000-0000-000007400000}"/>
    <cellStyle name="40% - Accent3 2" xfId="55" xr:uid="{00000000-0005-0000-0000-000008400000}"/>
    <cellStyle name="40% - Accent3 2 10" xfId="10295" xr:uid="{00000000-0005-0000-0000-000009400000}"/>
    <cellStyle name="40% - Accent3 2 10 2" xfId="30775" xr:uid="{00000000-0005-0000-0000-00000A400000}"/>
    <cellStyle name="40% - Accent3 2 11" xfId="20535" xr:uid="{00000000-0005-0000-0000-00000B400000}"/>
    <cellStyle name="40% - Accent3 2 2" xfId="95" xr:uid="{00000000-0005-0000-0000-00000C400000}"/>
    <cellStyle name="40% - Accent3 2 2 10" xfId="20575" xr:uid="{00000000-0005-0000-0000-00000D400000}"/>
    <cellStyle name="40% - Accent3 2 2 2" xfId="175" xr:uid="{00000000-0005-0000-0000-00000E400000}"/>
    <cellStyle name="40% - Accent3 2 2 2 2" xfId="335" xr:uid="{00000000-0005-0000-0000-00000F400000}"/>
    <cellStyle name="40% - Accent3 2 2 2 2 2" xfId="655" xr:uid="{00000000-0005-0000-0000-000010400000}"/>
    <cellStyle name="40% - Accent3 2 2 2 2 2 2" xfId="1295" xr:uid="{00000000-0005-0000-0000-000011400000}"/>
    <cellStyle name="40% - Accent3 2 2 2 2 2 2 2" xfId="2575" xr:uid="{00000000-0005-0000-0000-000012400000}"/>
    <cellStyle name="40% - Accent3 2 2 2 2 2 2 2 2" xfId="5135" xr:uid="{00000000-0005-0000-0000-000013400000}"/>
    <cellStyle name="40% - Accent3 2 2 2 2 2 2 2 2 2" xfId="10255" xr:uid="{00000000-0005-0000-0000-000014400000}"/>
    <cellStyle name="40% - Accent3 2 2 2 2 2 2 2 2 2 2" xfId="20495" xr:uid="{00000000-0005-0000-0000-000015400000}"/>
    <cellStyle name="40% - Accent3 2 2 2 2 2 2 2 2 2 2 2" xfId="40975" xr:uid="{00000000-0005-0000-0000-000016400000}"/>
    <cellStyle name="40% - Accent3 2 2 2 2 2 2 2 2 2 3" xfId="30735" xr:uid="{00000000-0005-0000-0000-000017400000}"/>
    <cellStyle name="40% - Accent3 2 2 2 2 2 2 2 2 3" xfId="15375" xr:uid="{00000000-0005-0000-0000-000018400000}"/>
    <cellStyle name="40% - Accent3 2 2 2 2 2 2 2 2 3 2" xfId="35855" xr:uid="{00000000-0005-0000-0000-000019400000}"/>
    <cellStyle name="40% - Accent3 2 2 2 2 2 2 2 2 4" xfId="25615" xr:uid="{00000000-0005-0000-0000-00001A400000}"/>
    <cellStyle name="40% - Accent3 2 2 2 2 2 2 2 3" xfId="7695" xr:uid="{00000000-0005-0000-0000-00001B400000}"/>
    <cellStyle name="40% - Accent3 2 2 2 2 2 2 2 3 2" xfId="17935" xr:uid="{00000000-0005-0000-0000-00001C400000}"/>
    <cellStyle name="40% - Accent3 2 2 2 2 2 2 2 3 2 2" xfId="38415" xr:uid="{00000000-0005-0000-0000-00001D400000}"/>
    <cellStyle name="40% - Accent3 2 2 2 2 2 2 2 3 3" xfId="28175" xr:uid="{00000000-0005-0000-0000-00001E400000}"/>
    <cellStyle name="40% - Accent3 2 2 2 2 2 2 2 4" xfId="12815" xr:uid="{00000000-0005-0000-0000-00001F400000}"/>
    <cellStyle name="40% - Accent3 2 2 2 2 2 2 2 4 2" xfId="33295" xr:uid="{00000000-0005-0000-0000-000020400000}"/>
    <cellStyle name="40% - Accent3 2 2 2 2 2 2 2 5" xfId="23055" xr:uid="{00000000-0005-0000-0000-000021400000}"/>
    <cellStyle name="40% - Accent3 2 2 2 2 2 2 3" xfId="3855" xr:uid="{00000000-0005-0000-0000-000022400000}"/>
    <cellStyle name="40% - Accent3 2 2 2 2 2 2 3 2" xfId="8975" xr:uid="{00000000-0005-0000-0000-000023400000}"/>
    <cellStyle name="40% - Accent3 2 2 2 2 2 2 3 2 2" xfId="19215" xr:uid="{00000000-0005-0000-0000-000024400000}"/>
    <cellStyle name="40% - Accent3 2 2 2 2 2 2 3 2 2 2" xfId="39695" xr:uid="{00000000-0005-0000-0000-000025400000}"/>
    <cellStyle name="40% - Accent3 2 2 2 2 2 2 3 2 3" xfId="29455" xr:uid="{00000000-0005-0000-0000-000026400000}"/>
    <cellStyle name="40% - Accent3 2 2 2 2 2 2 3 3" xfId="14095" xr:uid="{00000000-0005-0000-0000-000027400000}"/>
    <cellStyle name="40% - Accent3 2 2 2 2 2 2 3 3 2" xfId="34575" xr:uid="{00000000-0005-0000-0000-000028400000}"/>
    <cellStyle name="40% - Accent3 2 2 2 2 2 2 3 4" xfId="24335" xr:uid="{00000000-0005-0000-0000-000029400000}"/>
    <cellStyle name="40% - Accent3 2 2 2 2 2 2 4" xfId="6415" xr:uid="{00000000-0005-0000-0000-00002A400000}"/>
    <cellStyle name="40% - Accent3 2 2 2 2 2 2 4 2" xfId="16655" xr:uid="{00000000-0005-0000-0000-00002B400000}"/>
    <cellStyle name="40% - Accent3 2 2 2 2 2 2 4 2 2" xfId="37135" xr:uid="{00000000-0005-0000-0000-00002C400000}"/>
    <cellStyle name="40% - Accent3 2 2 2 2 2 2 4 3" xfId="26895" xr:uid="{00000000-0005-0000-0000-00002D400000}"/>
    <cellStyle name="40% - Accent3 2 2 2 2 2 2 5" xfId="11535" xr:uid="{00000000-0005-0000-0000-00002E400000}"/>
    <cellStyle name="40% - Accent3 2 2 2 2 2 2 5 2" xfId="32015" xr:uid="{00000000-0005-0000-0000-00002F400000}"/>
    <cellStyle name="40% - Accent3 2 2 2 2 2 2 6" xfId="21775" xr:uid="{00000000-0005-0000-0000-000030400000}"/>
    <cellStyle name="40% - Accent3 2 2 2 2 2 3" xfId="1935" xr:uid="{00000000-0005-0000-0000-000031400000}"/>
    <cellStyle name="40% - Accent3 2 2 2 2 2 3 2" xfId="4495" xr:uid="{00000000-0005-0000-0000-000032400000}"/>
    <cellStyle name="40% - Accent3 2 2 2 2 2 3 2 2" xfId="9615" xr:uid="{00000000-0005-0000-0000-000033400000}"/>
    <cellStyle name="40% - Accent3 2 2 2 2 2 3 2 2 2" xfId="19855" xr:uid="{00000000-0005-0000-0000-000034400000}"/>
    <cellStyle name="40% - Accent3 2 2 2 2 2 3 2 2 2 2" xfId="40335" xr:uid="{00000000-0005-0000-0000-000035400000}"/>
    <cellStyle name="40% - Accent3 2 2 2 2 2 3 2 2 3" xfId="30095" xr:uid="{00000000-0005-0000-0000-000036400000}"/>
    <cellStyle name="40% - Accent3 2 2 2 2 2 3 2 3" xfId="14735" xr:uid="{00000000-0005-0000-0000-000037400000}"/>
    <cellStyle name="40% - Accent3 2 2 2 2 2 3 2 3 2" xfId="35215" xr:uid="{00000000-0005-0000-0000-000038400000}"/>
    <cellStyle name="40% - Accent3 2 2 2 2 2 3 2 4" xfId="24975" xr:uid="{00000000-0005-0000-0000-000039400000}"/>
    <cellStyle name="40% - Accent3 2 2 2 2 2 3 3" xfId="7055" xr:uid="{00000000-0005-0000-0000-00003A400000}"/>
    <cellStyle name="40% - Accent3 2 2 2 2 2 3 3 2" xfId="17295" xr:uid="{00000000-0005-0000-0000-00003B400000}"/>
    <cellStyle name="40% - Accent3 2 2 2 2 2 3 3 2 2" xfId="37775" xr:uid="{00000000-0005-0000-0000-00003C400000}"/>
    <cellStyle name="40% - Accent3 2 2 2 2 2 3 3 3" xfId="27535" xr:uid="{00000000-0005-0000-0000-00003D400000}"/>
    <cellStyle name="40% - Accent3 2 2 2 2 2 3 4" xfId="12175" xr:uid="{00000000-0005-0000-0000-00003E400000}"/>
    <cellStyle name="40% - Accent3 2 2 2 2 2 3 4 2" xfId="32655" xr:uid="{00000000-0005-0000-0000-00003F400000}"/>
    <cellStyle name="40% - Accent3 2 2 2 2 2 3 5" xfId="22415" xr:uid="{00000000-0005-0000-0000-000040400000}"/>
    <cellStyle name="40% - Accent3 2 2 2 2 2 4" xfId="3215" xr:uid="{00000000-0005-0000-0000-000041400000}"/>
    <cellStyle name="40% - Accent3 2 2 2 2 2 4 2" xfId="8335" xr:uid="{00000000-0005-0000-0000-000042400000}"/>
    <cellStyle name="40% - Accent3 2 2 2 2 2 4 2 2" xfId="18575" xr:uid="{00000000-0005-0000-0000-000043400000}"/>
    <cellStyle name="40% - Accent3 2 2 2 2 2 4 2 2 2" xfId="39055" xr:uid="{00000000-0005-0000-0000-000044400000}"/>
    <cellStyle name="40% - Accent3 2 2 2 2 2 4 2 3" xfId="28815" xr:uid="{00000000-0005-0000-0000-000045400000}"/>
    <cellStyle name="40% - Accent3 2 2 2 2 2 4 3" xfId="13455" xr:uid="{00000000-0005-0000-0000-000046400000}"/>
    <cellStyle name="40% - Accent3 2 2 2 2 2 4 3 2" xfId="33935" xr:uid="{00000000-0005-0000-0000-000047400000}"/>
    <cellStyle name="40% - Accent3 2 2 2 2 2 4 4" xfId="23695" xr:uid="{00000000-0005-0000-0000-000048400000}"/>
    <cellStyle name="40% - Accent3 2 2 2 2 2 5" xfId="5775" xr:uid="{00000000-0005-0000-0000-000049400000}"/>
    <cellStyle name="40% - Accent3 2 2 2 2 2 5 2" xfId="16015" xr:uid="{00000000-0005-0000-0000-00004A400000}"/>
    <cellStyle name="40% - Accent3 2 2 2 2 2 5 2 2" xfId="36495" xr:uid="{00000000-0005-0000-0000-00004B400000}"/>
    <cellStyle name="40% - Accent3 2 2 2 2 2 5 3" xfId="26255" xr:uid="{00000000-0005-0000-0000-00004C400000}"/>
    <cellStyle name="40% - Accent3 2 2 2 2 2 6" xfId="10895" xr:uid="{00000000-0005-0000-0000-00004D400000}"/>
    <cellStyle name="40% - Accent3 2 2 2 2 2 6 2" xfId="31375" xr:uid="{00000000-0005-0000-0000-00004E400000}"/>
    <cellStyle name="40% - Accent3 2 2 2 2 2 7" xfId="21135" xr:uid="{00000000-0005-0000-0000-00004F400000}"/>
    <cellStyle name="40% - Accent3 2 2 2 2 3" xfId="975" xr:uid="{00000000-0005-0000-0000-000050400000}"/>
    <cellStyle name="40% - Accent3 2 2 2 2 3 2" xfId="2255" xr:uid="{00000000-0005-0000-0000-000051400000}"/>
    <cellStyle name="40% - Accent3 2 2 2 2 3 2 2" xfId="4815" xr:uid="{00000000-0005-0000-0000-000052400000}"/>
    <cellStyle name="40% - Accent3 2 2 2 2 3 2 2 2" xfId="9935" xr:uid="{00000000-0005-0000-0000-000053400000}"/>
    <cellStyle name="40% - Accent3 2 2 2 2 3 2 2 2 2" xfId="20175" xr:uid="{00000000-0005-0000-0000-000054400000}"/>
    <cellStyle name="40% - Accent3 2 2 2 2 3 2 2 2 2 2" xfId="40655" xr:uid="{00000000-0005-0000-0000-000055400000}"/>
    <cellStyle name="40% - Accent3 2 2 2 2 3 2 2 2 3" xfId="30415" xr:uid="{00000000-0005-0000-0000-000056400000}"/>
    <cellStyle name="40% - Accent3 2 2 2 2 3 2 2 3" xfId="15055" xr:uid="{00000000-0005-0000-0000-000057400000}"/>
    <cellStyle name="40% - Accent3 2 2 2 2 3 2 2 3 2" xfId="35535" xr:uid="{00000000-0005-0000-0000-000058400000}"/>
    <cellStyle name="40% - Accent3 2 2 2 2 3 2 2 4" xfId="25295" xr:uid="{00000000-0005-0000-0000-000059400000}"/>
    <cellStyle name="40% - Accent3 2 2 2 2 3 2 3" xfId="7375" xr:uid="{00000000-0005-0000-0000-00005A400000}"/>
    <cellStyle name="40% - Accent3 2 2 2 2 3 2 3 2" xfId="17615" xr:uid="{00000000-0005-0000-0000-00005B400000}"/>
    <cellStyle name="40% - Accent3 2 2 2 2 3 2 3 2 2" xfId="38095" xr:uid="{00000000-0005-0000-0000-00005C400000}"/>
    <cellStyle name="40% - Accent3 2 2 2 2 3 2 3 3" xfId="27855" xr:uid="{00000000-0005-0000-0000-00005D400000}"/>
    <cellStyle name="40% - Accent3 2 2 2 2 3 2 4" xfId="12495" xr:uid="{00000000-0005-0000-0000-00005E400000}"/>
    <cellStyle name="40% - Accent3 2 2 2 2 3 2 4 2" xfId="32975" xr:uid="{00000000-0005-0000-0000-00005F400000}"/>
    <cellStyle name="40% - Accent3 2 2 2 2 3 2 5" xfId="22735" xr:uid="{00000000-0005-0000-0000-000060400000}"/>
    <cellStyle name="40% - Accent3 2 2 2 2 3 3" xfId="3535" xr:uid="{00000000-0005-0000-0000-000061400000}"/>
    <cellStyle name="40% - Accent3 2 2 2 2 3 3 2" xfId="8655" xr:uid="{00000000-0005-0000-0000-000062400000}"/>
    <cellStyle name="40% - Accent3 2 2 2 2 3 3 2 2" xfId="18895" xr:uid="{00000000-0005-0000-0000-000063400000}"/>
    <cellStyle name="40% - Accent3 2 2 2 2 3 3 2 2 2" xfId="39375" xr:uid="{00000000-0005-0000-0000-000064400000}"/>
    <cellStyle name="40% - Accent3 2 2 2 2 3 3 2 3" xfId="29135" xr:uid="{00000000-0005-0000-0000-000065400000}"/>
    <cellStyle name="40% - Accent3 2 2 2 2 3 3 3" xfId="13775" xr:uid="{00000000-0005-0000-0000-000066400000}"/>
    <cellStyle name="40% - Accent3 2 2 2 2 3 3 3 2" xfId="34255" xr:uid="{00000000-0005-0000-0000-000067400000}"/>
    <cellStyle name="40% - Accent3 2 2 2 2 3 3 4" xfId="24015" xr:uid="{00000000-0005-0000-0000-000068400000}"/>
    <cellStyle name="40% - Accent3 2 2 2 2 3 4" xfId="6095" xr:uid="{00000000-0005-0000-0000-000069400000}"/>
    <cellStyle name="40% - Accent3 2 2 2 2 3 4 2" xfId="16335" xr:uid="{00000000-0005-0000-0000-00006A400000}"/>
    <cellStyle name="40% - Accent3 2 2 2 2 3 4 2 2" xfId="36815" xr:uid="{00000000-0005-0000-0000-00006B400000}"/>
    <cellStyle name="40% - Accent3 2 2 2 2 3 4 3" xfId="26575" xr:uid="{00000000-0005-0000-0000-00006C400000}"/>
    <cellStyle name="40% - Accent3 2 2 2 2 3 5" xfId="11215" xr:uid="{00000000-0005-0000-0000-00006D400000}"/>
    <cellStyle name="40% - Accent3 2 2 2 2 3 5 2" xfId="31695" xr:uid="{00000000-0005-0000-0000-00006E400000}"/>
    <cellStyle name="40% - Accent3 2 2 2 2 3 6" xfId="21455" xr:uid="{00000000-0005-0000-0000-00006F400000}"/>
    <cellStyle name="40% - Accent3 2 2 2 2 4" xfId="1615" xr:uid="{00000000-0005-0000-0000-000070400000}"/>
    <cellStyle name="40% - Accent3 2 2 2 2 4 2" xfId="4175" xr:uid="{00000000-0005-0000-0000-000071400000}"/>
    <cellStyle name="40% - Accent3 2 2 2 2 4 2 2" xfId="9295" xr:uid="{00000000-0005-0000-0000-000072400000}"/>
    <cellStyle name="40% - Accent3 2 2 2 2 4 2 2 2" xfId="19535" xr:uid="{00000000-0005-0000-0000-000073400000}"/>
    <cellStyle name="40% - Accent3 2 2 2 2 4 2 2 2 2" xfId="40015" xr:uid="{00000000-0005-0000-0000-000074400000}"/>
    <cellStyle name="40% - Accent3 2 2 2 2 4 2 2 3" xfId="29775" xr:uid="{00000000-0005-0000-0000-000075400000}"/>
    <cellStyle name="40% - Accent3 2 2 2 2 4 2 3" xfId="14415" xr:uid="{00000000-0005-0000-0000-000076400000}"/>
    <cellStyle name="40% - Accent3 2 2 2 2 4 2 3 2" xfId="34895" xr:uid="{00000000-0005-0000-0000-000077400000}"/>
    <cellStyle name="40% - Accent3 2 2 2 2 4 2 4" xfId="24655" xr:uid="{00000000-0005-0000-0000-000078400000}"/>
    <cellStyle name="40% - Accent3 2 2 2 2 4 3" xfId="6735" xr:uid="{00000000-0005-0000-0000-000079400000}"/>
    <cellStyle name="40% - Accent3 2 2 2 2 4 3 2" xfId="16975" xr:uid="{00000000-0005-0000-0000-00007A400000}"/>
    <cellStyle name="40% - Accent3 2 2 2 2 4 3 2 2" xfId="37455" xr:uid="{00000000-0005-0000-0000-00007B400000}"/>
    <cellStyle name="40% - Accent3 2 2 2 2 4 3 3" xfId="27215" xr:uid="{00000000-0005-0000-0000-00007C400000}"/>
    <cellStyle name="40% - Accent3 2 2 2 2 4 4" xfId="11855" xr:uid="{00000000-0005-0000-0000-00007D400000}"/>
    <cellStyle name="40% - Accent3 2 2 2 2 4 4 2" xfId="32335" xr:uid="{00000000-0005-0000-0000-00007E400000}"/>
    <cellStyle name="40% - Accent3 2 2 2 2 4 5" xfId="22095" xr:uid="{00000000-0005-0000-0000-00007F400000}"/>
    <cellStyle name="40% - Accent3 2 2 2 2 5" xfId="2895" xr:uid="{00000000-0005-0000-0000-000080400000}"/>
    <cellStyle name="40% - Accent3 2 2 2 2 5 2" xfId="8015" xr:uid="{00000000-0005-0000-0000-000081400000}"/>
    <cellStyle name="40% - Accent3 2 2 2 2 5 2 2" xfId="18255" xr:uid="{00000000-0005-0000-0000-000082400000}"/>
    <cellStyle name="40% - Accent3 2 2 2 2 5 2 2 2" xfId="38735" xr:uid="{00000000-0005-0000-0000-000083400000}"/>
    <cellStyle name="40% - Accent3 2 2 2 2 5 2 3" xfId="28495" xr:uid="{00000000-0005-0000-0000-000084400000}"/>
    <cellStyle name="40% - Accent3 2 2 2 2 5 3" xfId="13135" xr:uid="{00000000-0005-0000-0000-000085400000}"/>
    <cellStyle name="40% - Accent3 2 2 2 2 5 3 2" xfId="33615" xr:uid="{00000000-0005-0000-0000-000086400000}"/>
    <cellStyle name="40% - Accent3 2 2 2 2 5 4" xfId="23375" xr:uid="{00000000-0005-0000-0000-000087400000}"/>
    <cellStyle name="40% - Accent3 2 2 2 2 6" xfId="5455" xr:uid="{00000000-0005-0000-0000-000088400000}"/>
    <cellStyle name="40% - Accent3 2 2 2 2 6 2" xfId="15695" xr:uid="{00000000-0005-0000-0000-000089400000}"/>
    <cellStyle name="40% - Accent3 2 2 2 2 6 2 2" xfId="36175" xr:uid="{00000000-0005-0000-0000-00008A400000}"/>
    <cellStyle name="40% - Accent3 2 2 2 2 6 3" xfId="25935" xr:uid="{00000000-0005-0000-0000-00008B400000}"/>
    <cellStyle name="40% - Accent3 2 2 2 2 7" xfId="10575" xr:uid="{00000000-0005-0000-0000-00008C400000}"/>
    <cellStyle name="40% - Accent3 2 2 2 2 7 2" xfId="31055" xr:uid="{00000000-0005-0000-0000-00008D400000}"/>
    <cellStyle name="40% - Accent3 2 2 2 2 8" xfId="20815" xr:uid="{00000000-0005-0000-0000-00008E400000}"/>
    <cellStyle name="40% - Accent3 2 2 2 3" xfId="495" xr:uid="{00000000-0005-0000-0000-00008F400000}"/>
    <cellStyle name="40% - Accent3 2 2 2 3 2" xfId="1135" xr:uid="{00000000-0005-0000-0000-000090400000}"/>
    <cellStyle name="40% - Accent3 2 2 2 3 2 2" xfId="2415" xr:uid="{00000000-0005-0000-0000-000091400000}"/>
    <cellStyle name="40% - Accent3 2 2 2 3 2 2 2" xfId="4975" xr:uid="{00000000-0005-0000-0000-000092400000}"/>
    <cellStyle name="40% - Accent3 2 2 2 3 2 2 2 2" xfId="10095" xr:uid="{00000000-0005-0000-0000-000093400000}"/>
    <cellStyle name="40% - Accent3 2 2 2 3 2 2 2 2 2" xfId="20335" xr:uid="{00000000-0005-0000-0000-000094400000}"/>
    <cellStyle name="40% - Accent3 2 2 2 3 2 2 2 2 2 2" xfId="40815" xr:uid="{00000000-0005-0000-0000-000095400000}"/>
    <cellStyle name="40% - Accent3 2 2 2 3 2 2 2 2 3" xfId="30575" xr:uid="{00000000-0005-0000-0000-000096400000}"/>
    <cellStyle name="40% - Accent3 2 2 2 3 2 2 2 3" xfId="15215" xr:uid="{00000000-0005-0000-0000-000097400000}"/>
    <cellStyle name="40% - Accent3 2 2 2 3 2 2 2 3 2" xfId="35695" xr:uid="{00000000-0005-0000-0000-000098400000}"/>
    <cellStyle name="40% - Accent3 2 2 2 3 2 2 2 4" xfId="25455" xr:uid="{00000000-0005-0000-0000-000099400000}"/>
    <cellStyle name="40% - Accent3 2 2 2 3 2 2 3" xfId="7535" xr:uid="{00000000-0005-0000-0000-00009A400000}"/>
    <cellStyle name="40% - Accent3 2 2 2 3 2 2 3 2" xfId="17775" xr:uid="{00000000-0005-0000-0000-00009B400000}"/>
    <cellStyle name="40% - Accent3 2 2 2 3 2 2 3 2 2" xfId="38255" xr:uid="{00000000-0005-0000-0000-00009C400000}"/>
    <cellStyle name="40% - Accent3 2 2 2 3 2 2 3 3" xfId="28015" xr:uid="{00000000-0005-0000-0000-00009D400000}"/>
    <cellStyle name="40% - Accent3 2 2 2 3 2 2 4" xfId="12655" xr:uid="{00000000-0005-0000-0000-00009E400000}"/>
    <cellStyle name="40% - Accent3 2 2 2 3 2 2 4 2" xfId="33135" xr:uid="{00000000-0005-0000-0000-00009F400000}"/>
    <cellStyle name="40% - Accent3 2 2 2 3 2 2 5" xfId="22895" xr:uid="{00000000-0005-0000-0000-0000A0400000}"/>
    <cellStyle name="40% - Accent3 2 2 2 3 2 3" xfId="3695" xr:uid="{00000000-0005-0000-0000-0000A1400000}"/>
    <cellStyle name="40% - Accent3 2 2 2 3 2 3 2" xfId="8815" xr:uid="{00000000-0005-0000-0000-0000A2400000}"/>
    <cellStyle name="40% - Accent3 2 2 2 3 2 3 2 2" xfId="19055" xr:uid="{00000000-0005-0000-0000-0000A3400000}"/>
    <cellStyle name="40% - Accent3 2 2 2 3 2 3 2 2 2" xfId="39535" xr:uid="{00000000-0005-0000-0000-0000A4400000}"/>
    <cellStyle name="40% - Accent3 2 2 2 3 2 3 2 3" xfId="29295" xr:uid="{00000000-0005-0000-0000-0000A5400000}"/>
    <cellStyle name="40% - Accent3 2 2 2 3 2 3 3" xfId="13935" xr:uid="{00000000-0005-0000-0000-0000A6400000}"/>
    <cellStyle name="40% - Accent3 2 2 2 3 2 3 3 2" xfId="34415" xr:uid="{00000000-0005-0000-0000-0000A7400000}"/>
    <cellStyle name="40% - Accent3 2 2 2 3 2 3 4" xfId="24175" xr:uid="{00000000-0005-0000-0000-0000A8400000}"/>
    <cellStyle name="40% - Accent3 2 2 2 3 2 4" xfId="6255" xr:uid="{00000000-0005-0000-0000-0000A9400000}"/>
    <cellStyle name="40% - Accent3 2 2 2 3 2 4 2" xfId="16495" xr:uid="{00000000-0005-0000-0000-0000AA400000}"/>
    <cellStyle name="40% - Accent3 2 2 2 3 2 4 2 2" xfId="36975" xr:uid="{00000000-0005-0000-0000-0000AB400000}"/>
    <cellStyle name="40% - Accent3 2 2 2 3 2 4 3" xfId="26735" xr:uid="{00000000-0005-0000-0000-0000AC400000}"/>
    <cellStyle name="40% - Accent3 2 2 2 3 2 5" xfId="11375" xr:uid="{00000000-0005-0000-0000-0000AD400000}"/>
    <cellStyle name="40% - Accent3 2 2 2 3 2 5 2" xfId="31855" xr:uid="{00000000-0005-0000-0000-0000AE400000}"/>
    <cellStyle name="40% - Accent3 2 2 2 3 2 6" xfId="21615" xr:uid="{00000000-0005-0000-0000-0000AF400000}"/>
    <cellStyle name="40% - Accent3 2 2 2 3 3" xfId="1775" xr:uid="{00000000-0005-0000-0000-0000B0400000}"/>
    <cellStyle name="40% - Accent3 2 2 2 3 3 2" xfId="4335" xr:uid="{00000000-0005-0000-0000-0000B1400000}"/>
    <cellStyle name="40% - Accent3 2 2 2 3 3 2 2" xfId="9455" xr:uid="{00000000-0005-0000-0000-0000B2400000}"/>
    <cellStyle name="40% - Accent3 2 2 2 3 3 2 2 2" xfId="19695" xr:uid="{00000000-0005-0000-0000-0000B3400000}"/>
    <cellStyle name="40% - Accent3 2 2 2 3 3 2 2 2 2" xfId="40175" xr:uid="{00000000-0005-0000-0000-0000B4400000}"/>
    <cellStyle name="40% - Accent3 2 2 2 3 3 2 2 3" xfId="29935" xr:uid="{00000000-0005-0000-0000-0000B5400000}"/>
    <cellStyle name="40% - Accent3 2 2 2 3 3 2 3" xfId="14575" xr:uid="{00000000-0005-0000-0000-0000B6400000}"/>
    <cellStyle name="40% - Accent3 2 2 2 3 3 2 3 2" xfId="35055" xr:uid="{00000000-0005-0000-0000-0000B7400000}"/>
    <cellStyle name="40% - Accent3 2 2 2 3 3 2 4" xfId="24815" xr:uid="{00000000-0005-0000-0000-0000B8400000}"/>
    <cellStyle name="40% - Accent3 2 2 2 3 3 3" xfId="6895" xr:uid="{00000000-0005-0000-0000-0000B9400000}"/>
    <cellStyle name="40% - Accent3 2 2 2 3 3 3 2" xfId="17135" xr:uid="{00000000-0005-0000-0000-0000BA400000}"/>
    <cellStyle name="40% - Accent3 2 2 2 3 3 3 2 2" xfId="37615" xr:uid="{00000000-0005-0000-0000-0000BB400000}"/>
    <cellStyle name="40% - Accent3 2 2 2 3 3 3 3" xfId="27375" xr:uid="{00000000-0005-0000-0000-0000BC400000}"/>
    <cellStyle name="40% - Accent3 2 2 2 3 3 4" xfId="12015" xr:uid="{00000000-0005-0000-0000-0000BD400000}"/>
    <cellStyle name="40% - Accent3 2 2 2 3 3 4 2" xfId="32495" xr:uid="{00000000-0005-0000-0000-0000BE400000}"/>
    <cellStyle name="40% - Accent3 2 2 2 3 3 5" xfId="22255" xr:uid="{00000000-0005-0000-0000-0000BF400000}"/>
    <cellStyle name="40% - Accent3 2 2 2 3 4" xfId="3055" xr:uid="{00000000-0005-0000-0000-0000C0400000}"/>
    <cellStyle name="40% - Accent3 2 2 2 3 4 2" xfId="8175" xr:uid="{00000000-0005-0000-0000-0000C1400000}"/>
    <cellStyle name="40% - Accent3 2 2 2 3 4 2 2" xfId="18415" xr:uid="{00000000-0005-0000-0000-0000C2400000}"/>
    <cellStyle name="40% - Accent3 2 2 2 3 4 2 2 2" xfId="38895" xr:uid="{00000000-0005-0000-0000-0000C3400000}"/>
    <cellStyle name="40% - Accent3 2 2 2 3 4 2 3" xfId="28655" xr:uid="{00000000-0005-0000-0000-0000C4400000}"/>
    <cellStyle name="40% - Accent3 2 2 2 3 4 3" xfId="13295" xr:uid="{00000000-0005-0000-0000-0000C5400000}"/>
    <cellStyle name="40% - Accent3 2 2 2 3 4 3 2" xfId="33775" xr:uid="{00000000-0005-0000-0000-0000C6400000}"/>
    <cellStyle name="40% - Accent3 2 2 2 3 4 4" xfId="23535" xr:uid="{00000000-0005-0000-0000-0000C7400000}"/>
    <cellStyle name="40% - Accent3 2 2 2 3 5" xfId="5615" xr:uid="{00000000-0005-0000-0000-0000C8400000}"/>
    <cellStyle name="40% - Accent3 2 2 2 3 5 2" xfId="15855" xr:uid="{00000000-0005-0000-0000-0000C9400000}"/>
    <cellStyle name="40% - Accent3 2 2 2 3 5 2 2" xfId="36335" xr:uid="{00000000-0005-0000-0000-0000CA400000}"/>
    <cellStyle name="40% - Accent3 2 2 2 3 5 3" xfId="26095" xr:uid="{00000000-0005-0000-0000-0000CB400000}"/>
    <cellStyle name="40% - Accent3 2 2 2 3 6" xfId="10735" xr:uid="{00000000-0005-0000-0000-0000CC400000}"/>
    <cellStyle name="40% - Accent3 2 2 2 3 6 2" xfId="31215" xr:uid="{00000000-0005-0000-0000-0000CD400000}"/>
    <cellStyle name="40% - Accent3 2 2 2 3 7" xfId="20975" xr:uid="{00000000-0005-0000-0000-0000CE400000}"/>
    <cellStyle name="40% - Accent3 2 2 2 4" xfId="815" xr:uid="{00000000-0005-0000-0000-0000CF400000}"/>
    <cellStyle name="40% - Accent3 2 2 2 4 2" xfId="2095" xr:uid="{00000000-0005-0000-0000-0000D0400000}"/>
    <cellStyle name="40% - Accent3 2 2 2 4 2 2" xfId="4655" xr:uid="{00000000-0005-0000-0000-0000D1400000}"/>
    <cellStyle name="40% - Accent3 2 2 2 4 2 2 2" xfId="9775" xr:uid="{00000000-0005-0000-0000-0000D2400000}"/>
    <cellStyle name="40% - Accent3 2 2 2 4 2 2 2 2" xfId="20015" xr:uid="{00000000-0005-0000-0000-0000D3400000}"/>
    <cellStyle name="40% - Accent3 2 2 2 4 2 2 2 2 2" xfId="40495" xr:uid="{00000000-0005-0000-0000-0000D4400000}"/>
    <cellStyle name="40% - Accent3 2 2 2 4 2 2 2 3" xfId="30255" xr:uid="{00000000-0005-0000-0000-0000D5400000}"/>
    <cellStyle name="40% - Accent3 2 2 2 4 2 2 3" xfId="14895" xr:uid="{00000000-0005-0000-0000-0000D6400000}"/>
    <cellStyle name="40% - Accent3 2 2 2 4 2 2 3 2" xfId="35375" xr:uid="{00000000-0005-0000-0000-0000D7400000}"/>
    <cellStyle name="40% - Accent3 2 2 2 4 2 2 4" xfId="25135" xr:uid="{00000000-0005-0000-0000-0000D8400000}"/>
    <cellStyle name="40% - Accent3 2 2 2 4 2 3" xfId="7215" xr:uid="{00000000-0005-0000-0000-0000D9400000}"/>
    <cellStyle name="40% - Accent3 2 2 2 4 2 3 2" xfId="17455" xr:uid="{00000000-0005-0000-0000-0000DA400000}"/>
    <cellStyle name="40% - Accent3 2 2 2 4 2 3 2 2" xfId="37935" xr:uid="{00000000-0005-0000-0000-0000DB400000}"/>
    <cellStyle name="40% - Accent3 2 2 2 4 2 3 3" xfId="27695" xr:uid="{00000000-0005-0000-0000-0000DC400000}"/>
    <cellStyle name="40% - Accent3 2 2 2 4 2 4" xfId="12335" xr:uid="{00000000-0005-0000-0000-0000DD400000}"/>
    <cellStyle name="40% - Accent3 2 2 2 4 2 4 2" xfId="32815" xr:uid="{00000000-0005-0000-0000-0000DE400000}"/>
    <cellStyle name="40% - Accent3 2 2 2 4 2 5" xfId="22575" xr:uid="{00000000-0005-0000-0000-0000DF400000}"/>
    <cellStyle name="40% - Accent3 2 2 2 4 3" xfId="3375" xr:uid="{00000000-0005-0000-0000-0000E0400000}"/>
    <cellStyle name="40% - Accent3 2 2 2 4 3 2" xfId="8495" xr:uid="{00000000-0005-0000-0000-0000E1400000}"/>
    <cellStyle name="40% - Accent3 2 2 2 4 3 2 2" xfId="18735" xr:uid="{00000000-0005-0000-0000-0000E2400000}"/>
    <cellStyle name="40% - Accent3 2 2 2 4 3 2 2 2" xfId="39215" xr:uid="{00000000-0005-0000-0000-0000E3400000}"/>
    <cellStyle name="40% - Accent3 2 2 2 4 3 2 3" xfId="28975" xr:uid="{00000000-0005-0000-0000-0000E4400000}"/>
    <cellStyle name="40% - Accent3 2 2 2 4 3 3" xfId="13615" xr:uid="{00000000-0005-0000-0000-0000E5400000}"/>
    <cellStyle name="40% - Accent3 2 2 2 4 3 3 2" xfId="34095" xr:uid="{00000000-0005-0000-0000-0000E6400000}"/>
    <cellStyle name="40% - Accent3 2 2 2 4 3 4" xfId="23855" xr:uid="{00000000-0005-0000-0000-0000E7400000}"/>
    <cellStyle name="40% - Accent3 2 2 2 4 4" xfId="5935" xr:uid="{00000000-0005-0000-0000-0000E8400000}"/>
    <cellStyle name="40% - Accent3 2 2 2 4 4 2" xfId="16175" xr:uid="{00000000-0005-0000-0000-0000E9400000}"/>
    <cellStyle name="40% - Accent3 2 2 2 4 4 2 2" xfId="36655" xr:uid="{00000000-0005-0000-0000-0000EA400000}"/>
    <cellStyle name="40% - Accent3 2 2 2 4 4 3" xfId="26415" xr:uid="{00000000-0005-0000-0000-0000EB400000}"/>
    <cellStyle name="40% - Accent3 2 2 2 4 5" xfId="11055" xr:uid="{00000000-0005-0000-0000-0000EC400000}"/>
    <cellStyle name="40% - Accent3 2 2 2 4 5 2" xfId="31535" xr:uid="{00000000-0005-0000-0000-0000ED400000}"/>
    <cellStyle name="40% - Accent3 2 2 2 4 6" xfId="21295" xr:uid="{00000000-0005-0000-0000-0000EE400000}"/>
    <cellStyle name="40% - Accent3 2 2 2 5" xfId="1455" xr:uid="{00000000-0005-0000-0000-0000EF400000}"/>
    <cellStyle name="40% - Accent3 2 2 2 5 2" xfId="4015" xr:uid="{00000000-0005-0000-0000-0000F0400000}"/>
    <cellStyle name="40% - Accent3 2 2 2 5 2 2" xfId="9135" xr:uid="{00000000-0005-0000-0000-0000F1400000}"/>
    <cellStyle name="40% - Accent3 2 2 2 5 2 2 2" xfId="19375" xr:uid="{00000000-0005-0000-0000-0000F2400000}"/>
    <cellStyle name="40% - Accent3 2 2 2 5 2 2 2 2" xfId="39855" xr:uid="{00000000-0005-0000-0000-0000F3400000}"/>
    <cellStyle name="40% - Accent3 2 2 2 5 2 2 3" xfId="29615" xr:uid="{00000000-0005-0000-0000-0000F4400000}"/>
    <cellStyle name="40% - Accent3 2 2 2 5 2 3" xfId="14255" xr:uid="{00000000-0005-0000-0000-0000F5400000}"/>
    <cellStyle name="40% - Accent3 2 2 2 5 2 3 2" xfId="34735" xr:uid="{00000000-0005-0000-0000-0000F6400000}"/>
    <cellStyle name="40% - Accent3 2 2 2 5 2 4" xfId="24495" xr:uid="{00000000-0005-0000-0000-0000F7400000}"/>
    <cellStyle name="40% - Accent3 2 2 2 5 3" xfId="6575" xr:uid="{00000000-0005-0000-0000-0000F8400000}"/>
    <cellStyle name="40% - Accent3 2 2 2 5 3 2" xfId="16815" xr:uid="{00000000-0005-0000-0000-0000F9400000}"/>
    <cellStyle name="40% - Accent3 2 2 2 5 3 2 2" xfId="37295" xr:uid="{00000000-0005-0000-0000-0000FA400000}"/>
    <cellStyle name="40% - Accent3 2 2 2 5 3 3" xfId="27055" xr:uid="{00000000-0005-0000-0000-0000FB400000}"/>
    <cellStyle name="40% - Accent3 2 2 2 5 4" xfId="11695" xr:uid="{00000000-0005-0000-0000-0000FC400000}"/>
    <cellStyle name="40% - Accent3 2 2 2 5 4 2" xfId="32175" xr:uid="{00000000-0005-0000-0000-0000FD400000}"/>
    <cellStyle name="40% - Accent3 2 2 2 5 5" xfId="21935" xr:uid="{00000000-0005-0000-0000-0000FE400000}"/>
    <cellStyle name="40% - Accent3 2 2 2 6" xfId="2735" xr:uid="{00000000-0005-0000-0000-0000FF400000}"/>
    <cellStyle name="40% - Accent3 2 2 2 6 2" xfId="7855" xr:uid="{00000000-0005-0000-0000-000000410000}"/>
    <cellStyle name="40% - Accent3 2 2 2 6 2 2" xfId="18095" xr:uid="{00000000-0005-0000-0000-000001410000}"/>
    <cellStyle name="40% - Accent3 2 2 2 6 2 2 2" xfId="38575" xr:uid="{00000000-0005-0000-0000-000002410000}"/>
    <cellStyle name="40% - Accent3 2 2 2 6 2 3" xfId="28335" xr:uid="{00000000-0005-0000-0000-000003410000}"/>
    <cellStyle name="40% - Accent3 2 2 2 6 3" xfId="12975" xr:uid="{00000000-0005-0000-0000-000004410000}"/>
    <cellStyle name="40% - Accent3 2 2 2 6 3 2" xfId="33455" xr:uid="{00000000-0005-0000-0000-000005410000}"/>
    <cellStyle name="40% - Accent3 2 2 2 6 4" xfId="23215" xr:uid="{00000000-0005-0000-0000-000006410000}"/>
    <cellStyle name="40% - Accent3 2 2 2 7" xfId="5295" xr:uid="{00000000-0005-0000-0000-000007410000}"/>
    <cellStyle name="40% - Accent3 2 2 2 7 2" xfId="15535" xr:uid="{00000000-0005-0000-0000-000008410000}"/>
    <cellStyle name="40% - Accent3 2 2 2 7 2 2" xfId="36015" xr:uid="{00000000-0005-0000-0000-000009410000}"/>
    <cellStyle name="40% - Accent3 2 2 2 7 3" xfId="25775" xr:uid="{00000000-0005-0000-0000-00000A410000}"/>
    <cellStyle name="40% - Accent3 2 2 2 8" xfId="10415" xr:uid="{00000000-0005-0000-0000-00000B410000}"/>
    <cellStyle name="40% - Accent3 2 2 2 8 2" xfId="30895" xr:uid="{00000000-0005-0000-0000-00000C410000}"/>
    <cellStyle name="40% - Accent3 2 2 2 9" xfId="20655" xr:uid="{00000000-0005-0000-0000-00000D410000}"/>
    <cellStyle name="40% - Accent3 2 2 3" xfId="255" xr:uid="{00000000-0005-0000-0000-00000E410000}"/>
    <cellStyle name="40% - Accent3 2 2 3 2" xfId="575" xr:uid="{00000000-0005-0000-0000-00000F410000}"/>
    <cellStyle name="40% - Accent3 2 2 3 2 2" xfId="1215" xr:uid="{00000000-0005-0000-0000-000010410000}"/>
    <cellStyle name="40% - Accent3 2 2 3 2 2 2" xfId="2495" xr:uid="{00000000-0005-0000-0000-000011410000}"/>
    <cellStyle name="40% - Accent3 2 2 3 2 2 2 2" xfId="5055" xr:uid="{00000000-0005-0000-0000-000012410000}"/>
    <cellStyle name="40% - Accent3 2 2 3 2 2 2 2 2" xfId="10175" xr:uid="{00000000-0005-0000-0000-000013410000}"/>
    <cellStyle name="40% - Accent3 2 2 3 2 2 2 2 2 2" xfId="20415" xr:uid="{00000000-0005-0000-0000-000014410000}"/>
    <cellStyle name="40% - Accent3 2 2 3 2 2 2 2 2 2 2" xfId="40895" xr:uid="{00000000-0005-0000-0000-000015410000}"/>
    <cellStyle name="40% - Accent3 2 2 3 2 2 2 2 2 3" xfId="30655" xr:uid="{00000000-0005-0000-0000-000016410000}"/>
    <cellStyle name="40% - Accent3 2 2 3 2 2 2 2 3" xfId="15295" xr:uid="{00000000-0005-0000-0000-000017410000}"/>
    <cellStyle name="40% - Accent3 2 2 3 2 2 2 2 3 2" xfId="35775" xr:uid="{00000000-0005-0000-0000-000018410000}"/>
    <cellStyle name="40% - Accent3 2 2 3 2 2 2 2 4" xfId="25535" xr:uid="{00000000-0005-0000-0000-000019410000}"/>
    <cellStyle name="40% - Accent3 2 2 3 2 2 2 3" xfId="7615" xr:uid="{00000000-0005-0000-0000-00001A410000}"/>
    <cellStyle name="40% - Accent3 2 2 3 2 2 2 3 2" xfId="17855" xr:uid="{00000000-0005-0000-0000-00001B410000}"/>
    <cellStyle name="40% - Accent3 2 2 3 2 2 2 3 2 2" xfId="38335" xr:uid="{00000000-0005-0000-0000-00001C410000}"/>
    <cellStyle name="40% - Accent3 2 2 3 2 2 2 3 3" xfId="28095" xr:uid="{00000000-0005-0000-0000-00001D410000}"/>
    <cellStyle name="40% - Accent3 2 2 3 2 2 2 4" xfId="12735" xr:uid="{00000000-0005-0000-0000-00001E410000}"/>
    <cellStyle name="40% - Accent3 2 2 3 2 2 2 4 2" xfId="33215" xr:uid="{00000000-0005-0000-0000-00001F410000}"/>
    <cellStyle name="40% - Accent3 2 2 3 2 2 2 5" xfId="22975" xr:uid="{00000000-0005-0000-0000-000020410000}"/>
    <cellStyle name="40% - Accent3 2 2 3 2 2 3" xfId="3775" xr:uid="{00000000-0005-0000-0000-000021410000}"/>
    <cellStyle name="40% - Accent3 2 2 3 2 2 3 2" xfId="8895" xr:uid="{00000000-0005-0000-0000-000022410000}"/>
    <cellStyle name="40% - Accent3 2 2 3 2 2 3 2 2" xfId="19135" xr:uid="{00000000-0005-0000-0000-000023410000}"/>
    <cellStyle name="40% - Accent3 2 2 3 2 2 3 2 2 2" xfId="39615" xr:uid="{00000000-0005-0000-0000-000024410000}"/>
    <cellStyle name="40% - Accent3 2 2 3 2 2 3 2 3" xfId="29375" xr:uid="{00000000-0005-0000-0000-000025410000}"/>
    <cellStyle name="40% - Accent3 2 2 3 2 2 3 3" xfId="14015" xr:uid="{00000000-0005-0000-0000-000026410000}"/>
    <cellStyle name="40% - Accent3 2 2 3 2 2 3 3 2" xfId="34495" xr:uid="{00000000-0005-0000-0000-000027410000}"/>
    <cellStyle name="40% - Accent3 2 2 3 2 2 3 4" xfId="24255" xr:uid="{00000000-0005-0000-0000-000028410000}"/>
    <cellStyle name="40% - Accent3 2 2 3 2 2 4" xfId="6335" xr:uid="{00000000-0005-0000-0000-000029410000}"/>
    <cellStyle name="40% - Accent3 2 2 3 2 2 4 2" xfId="16575" xr:uid="{00000000-0005-0000-0000-00002A410000}"/>
    <cellStyle name="40% - Accent3 2 2 3 2 2 4 2 2" xfId="37055" xr:uid="{00000000-0005-0000-0000-00002B410000}"/>
    <cellStyle name="40% - Accent3 2 2 3 2 2 4 3" xfId="26815" xr:uid="{00000000-0005-0000-0000-00002C410000}"/>
    <cellStyle name="40% - Accent3 2 2 3 2 2 5" xfId="11455" xr:uid="{00000000-0005-0000-0000-00002D410000}"/>
    <cellStyle name="40% - Accent3 2 2 3 2 2 5 2" xfId="31935" xr:uid="{00000000-0005-0000-0000-00002E410000}"/>
    <cellStyle name="40% - Accent3 2 2 3 2 2 6" xfId="21695" xr:uid="{00000000-0005-0000-0000-00002F410000}"/>
    <cellStyle name="40% - Accent3 2 2 3 2 3" xfId="1855" xr:uid="{00000000-0005-0000-0000-000030410000}"/>
    <cellStyle name="40% - Accent3 2 2 3 2 3 2" xfId="4415" xr:uid="{00000000-0005-0000-0000-000031410000}"/>
    <cellStyle name="40% - Accent3 2 2 3 2 3 2 2" xfId="9535" xr:uid="{00000000-0005-0000-0000-000032410000}"/>
    <cellStyle name="40% - Accent3 2 2 3 2 3 2 2 2" xfId="19775" xr:uid="{00000000-0005-0000-0000-000033410000}"/>
    <cellStyle name="40% - Accent3 2 2 3 2 3 2 2 2 2" xfId="40255" xr:uid="{00000000-0005-0000-0000-000034410000}"/>
    <cellStyle name="40% - Accent3 2 2 3 2 3 2 2 3" xfId="30015" xr:uid="{00000000-0005-0000-0000-000035410000}"/>
    <cellStyle name="40% - Accent3 2 2 3 2 3 2 3" xfId="14655" xr:uid="{00000000-0005-0000-0000-000036410000}"/>
    <cellStyle name="40% - Accent3 2 2 3 2 3 2 3 2" xfId="35135" xr:uid="{00000000-0005-0000-0000-000037410000}"/>
    <cellStyle name="40% - Accent3 2 2 3 2 3 2 4" xfId="24895" xr:uid="{00000000-0005-0000-0000-000038410000}"/>
    <cellStyle name="40% - Accent3 2 2 3 2 3 3" xfId="6975" xr:uid="{00000000-0005-0000-0000-000039410000}"/>
    <cellStyle name="40% - Accent3 2 2 3 2 3 3 2" xfId="17215" xr:uid="{00000000-0005-0000-0000-00003A410000}"/>
    <cellStyle name="40% - Accent3 2 2 3 2 3 3 2 2" xfId="37695" xr:uid="{00000000-0005-0000-0000-00003B410000}"/>
    <cellStyle name="40% - Accent3 2 2 3 2 3 3 3" xfId="27455" xr:uid="{00000000-0005-0000-0000-00003C410000}"/>
    <cellStyle name="40% - Accent3 2 2 3 2 3 4" xfId="12095" xr:uid="{00000000-0005-0000-0000-00003D410000}"/>
    <cellStyle name="40% - Accent3 2 2 3 2 3 4 2" xfId="32575" xr:uid="{00000000-0005-0000-0000-00003E410000}"/>
    <cellStyle name="40% - Accent3 2 2 3 2 3 5" xfId="22335" xr:uid="{00000000-0005-0000-0000-00003F410000}"/>
    <cellStyle name="40% - Accent3 2 2 3 2 4" xfId="3135" xr:uid="{00000000-0005-0000-0000-000040410000}"/>
    <cellStyle name="40% - Accent3 2 2 3 2 4 2" xfId="8255" xr:uid="{00000000-0005-0000-0000-000041410000}"/>
    <cellStyle name="40% - Accent3 2 2 3 2 4 2 2" xfId="18495" xr:uid="{00000000-0005-0000-0000-000042410000}"/>
    <cellStyle name="40% - Accent3 2 2 3 2 4 2 2 2" xfId="38975" xr:uid="{00000000-0005-0000-0000-000043410000}"/>
    <cellStyle name="40% - Accent3 2 2 3 2 4 2 3" xfId="28735" xr:uid="{00000000-0005-0000-0000-000044410000}"/>
    <cellStyle name="40% - Accent3 2 2 3 2 4 3" xfId="13375" xr:uid="{00000000-0005-0000-0000-000045410000}"/>
    <cellStyle name="40% - Accent3 2 2 3 2 4 3 2" xfId="33855" xr:uid="{00000000-0005-0000-0000-000046410000}"/>
    <cellStyle name="40% - Accent3 2 2 3 2 4 4" xfId="23615" xr:uid="{00000000-0005-0000-0000-000047410000}"/>
    <cellStyle name="40% - Accent3 2 2 3 2 5" xfId="5695" xr:uid="{00000000-0005-0000-0000-000048410000}"/>
    <cellStyle name="40% - Accent3 2 2 3 2 5 2" xfId="15935" xr:uid="{00000000-0005-0000-0000-000049410000}"/>
    <cellStyle name="40% - Accent3 2 2 3 2 5 2 2" xfId="36415" xr:uid="{00000000-0005-0000-0000-00004A410000}"/>
    <cellStyle name="40% - Accent3 2 2 3 2 5 3" xfId="26175" xr:uid="{00000000-0005-0000-0000-00004B410000}"/>
    <cellStyle name="40% - Accent3 2 2 3 2 6" xfId="10815" xr:uid="{00000000-0005-0000-0000-00004C410000}"/>
    <cellStyle name="40% - Accent3 2 2 3 2 6 2" xfId="31295" xr:uid="{00000000-0005-0000-0000-00004D410000}"/>
    <cellStyle name="40% - Accent3 2 2 3 2 7" xfId="21055" xr:uid="{00000000-0005-0000-0000-00004E410000}"/>
    <cellStyle name="40% - Accent3 2 2 3 3" xfId="895" xr:uid="{00000000-0005-0000-0000-00004F410000}"/>
    <cellStyle name="40% - Accent3 2 2 3 3 2" xfId="2175" xr:uid="{00000000-0005-0000-0000-000050410000}"/>
    <cellStyle name="40% - Accent3 2 2 3 3 2 2" xfId="4735" xr:uid="{00000000-0005-0000-0000-000051410000}"/>
    <cellStyle name="40% - Accent3 2 2 3 3 2 2 2" xfId="9855" xr:uid="{00000000-0005-0000-0000-000052410000}"/>
    <cellStyle name="40% - Accent3 2 2 3 3 2 2 2 2" xfId="20095" xr:uid="{00000000-0005-0000-0000-000053410000}"/>
    <cellStyle name="40% - Accent3 2 2 3 3 2 2 2 2 2" xfId="40575" xr:uid="{00000000-0005-0000-0000-000054410000}"/>
    <cellStyle name="40% - Accent3 2 2 3 3 2 2 2 3" xfId="30335" xr:uid="{00000000-0005-0000-0000-000055410000}"/>
    <cellStyle name="40% - Accent3 2 2 3 3 2 2 3" xfId="14975" xr:uid="{00000000-0005-0000-0000-000056410000}"/>
    <cellStyle name="40% - Accent3 2 2 3 3 2 2 3 2" xfId="35455" xr:uid="{00000000-0005-0000-0000-000057410000}"/>
    <cellStyle name="40% - Accent3 2 2 3 3 2 2 4" xfId="25215" xr:uid="{00000000-0005-0000-0000-000058410000}"/>
    <cellStyle name="40% - Accent3 2 2 3 3 2 3" xfId="7295" xr:uid="{00000000-0005-0000-0000-000059410000}"/>
    <cellStyle name="40% - Accent3 2 2 3 3 2 3 2" xfId="17535" xr:uid="{00000000-0005-0000-0000-00005A410000}"/>
    <cellStyle name="40% - Accent3 2 2 3 3 2 3 2 2" xfId="38015" xr:uid="{00000000-0005-0000-0000-00005B410000}"/>
    <cellStyle name="40% - Accent3 2 2 3 3 2 3 3" xfId="27775" xr:uid="{00000000-0005-0000-0000-00005C410000}"/>
    <cellStyle name="40% - Accent3 2 2 3 3 2 4" xfId="12415" xr:uid="{00000000-0005-0000-0000-00005D410000}"/>
    <cellStyle name="40% - Accent3 2 2 3 3 2 4 2" xfId="32895" xr:uid="{00000000-0005-0000-0000-00005E410000}"/>
    <cellStyle name="40% - Accent3 2 2 3 3 2 5" xfId="22655" xr:uid="{00000000-0005-0000-0000-00005F410000}"/>
    <cellStyle name="40% - Accent3 2 2 3 3 3" xfId="3455" xr:uid="{00000000-0005-0000-0000-000060410000}"/>
    <cellStyle name="40% - Accent3 2 2 3 3 3 2" xfId="8575" xr:uid="{00000000-0005-0000-0000-000061410000}"/>
    <cellStyle name="40% - Accent3 2 2 3 3 3 2 2" xfId="18815" xr:uid="{00000000-0005-0000-0000-000062410000}"/>
    <cellStyle name="40% - Accent3 2 2 3 3 3 2 2 2" xfId="39295" xr:uid="{00000000-0005-0000-0000-000063410000}"/>
    <cellStyle name="40% - Accent3 2 2 3 3 3 2 3" xfId="29055" xr:uid="{00000000-0005-0000-0000-000064410000}"/>
    <cellStyle name="40% - Accent3 2 2 3 3 3 3" xfId="13695" xr:uid="{00000000-0005-0000-0000-000065410000}"/>
    <cellStyle name="40% - Accent3 2 2 3 3 3 3 2" xfId="34175" xr:uid="{00000000-0005-0000-0000-000066410000}"/>
    <cellStyle name="40% - Accent3 2 2 3 3 3 4" xfId="23935" xr:uid="{00000000-0005-0000-0000-000067410000}"/>
    <cellStyle name="40% - Accent3 2 2 3 3 4" xfId="6015" xr:uid="{00000000-0005-0000-0000-000068410000}"/>
    <cellStyle name="40% - Accent3 2 2 3 3 4 2" xfId="16255" xr:uid="{00000000-0005-0000-0000-000069410000}"/>
    <cellStyle name="40% - Accent3 2 2 3 3 4 2 2" xfId="36735" xr:uid="{00000000-0005-0000-0000-00006A410000}"/>
    <cellStyle name="40% - Accent3 2 2 3 3 4 3" xfId="26495" xr:uid="{00000000-0005-0000-0000-00006B410000}"/>
    <cellStyle name="40% - Accent3 2 2 3 3 5" xfId="11135" xr:uid="{00000000-0005-0000-0000-00006C410000}"/>
    <cellStyle name="40% - Accent3 2 2 3 3 5 2" xfId="31615" xr:uid="{00000000-0005-0000-0000-00006D410000}"/>
    <cellStyle name="40% - Accent3 2 2 3 3 6" xfId="21375" xr:uid="{00000000-0005-0000-0000-00006E410000}"/>
    <cellStyle name="40% - Accent3 2 2 3 4" xfId="1535" xr:uid="{00000000-0005-0000-0000-00006F410000}"/>
    <cellStyle name="40% - Accent3 2 2 3 4 2" xfId="4095" xr:uid="{00000000-0005-0000-0000-000070410000}"/>
    <cellStyle name="40% - Accent3 2 2 3 4 2 2" xfId="9215" xr:uid="{00000000-0005-0000-0000-000071410000}"/>
    <cellStyle name="40% - Accent3 2 2 3 4 2 2 2" xfId="19455" xr:uid="{00000000-0005-0000-0000-000072410000}"/>
    <cellStyle name="40% - Accent3 2 2 3 4 2 2 2 2" xfId="39935" xr:uid="{00000000-0005-0000-0000-000073410000}"/>
    <cellStyle name="40% - Accent3 2 2 3 4 2 2 3" xfId="29695" xr:uid="{00000000-0005-0000-0000-000074410000}"/>
    <cellStyle name="40% - Accent3 2 2 3 4 2 3" xfId="14335" xr:uid="{00000000-0005-0000-0000-000075410000}"/>
    <cellStyle name="40% - Accent3 2 2 3 4 2 3 2" xfId="34815" xr:uid="{00000000-0005-0000-0000-000076410000}"/>
    <cellStyle name="40% - Accent3 2 2 3 4 2 4" xfId="24575" xr:uid="{00000000-0005-0000-0000-000077410000}"/>
    <cellStyle name="40% - Accent3 2 2 3 4 3" xfId="6655" xr:uid="{00000000-0005-0000-0000-000078410000}"/>
    <cellStyle name="40% - Accent3 2 2 3 4 3 2" xfId="16895" xr:uid="{00000000-0005-0000-0000-000079410000}"/>
    <cellStyle name="40% - Accent3 2 2 3 4 3 2 2" xfId="37375" xr:uid="{00000000-0005-0000-0000-00007A410000}"/>
    <cellStyle name="40% - Accent3 2 2 3 4 3 3" xfId="27135" xr:uid="{00000000-0005-0000-0000-00007B410000}"/>
    <cellStyle name="40% - Accent3 2 2 3 4 4" xfId="11775" xr:uid="{00000000-0005-0000-0000-00007C410000}"/>
    <cellStyle name="40% - Accent3 2 2 3 4 4 2" xfId="32255" xr:uid="{00000000-0005-0000-0000-00007D410000}"/>
    <cellStyle name="40% - Accent3 2 2 3 4 5" xfId="22015" xr:uid="{00000000-0005-0000-0000-00007E410000}"/>
    <cellStyle name="40% - Accent3 2 2 3 5" xfId="2815" xr:uid="{00000000-0005-0000-0000-00007F410000}"/>
    <cellStyle name="40% - Accent3 2 2 3 5 2" xfId="7935" xr:uid="{00000000-0005-0000-0000-000080410000}"/>
    <cellStyle name="40% - Accent3 2 2 3 5 2 2" xfId="18175" xr:uid="{00000000-0005-0000-0000-000081410000}"/>
    <cellStyle name="40% - Accent3 2 2 3 5 2 2 2" xfId="38655" xr:uid="{00000000-0005-0000-0000-000082410000}"/>
    <cellStyle name="40% - Accent3 2 2 3 5 2 3" xfId="28415" xr:uid="{00000000-0005-0000-0000-000083410000}"/>
    <cellStyle name="40% - Accent3 2 2 3 5 3" xfId="13055" xr:uid="{00000000-0005-0000-0000-000084410000}"/>
    <cellStyle name="40% - Accent3 2 2 3 5 3 2" xfId="33535" xr:uid="{00000000-0005-0000-0000-000085410000}"/>
    <cellStyle name="40% - Accent3 2 2 3 5 4" xfId="23295" xr:uid="{00000000-0005-0000-0000-000086410000}"/>
    <cellStyle name="40% - Accent3 2 2 3 6" xfId="5375" xr:uid="{00000000-0005-0000-0000-000087410000}"/>
    <cellStyle name="40% - Accent3 2 2 3 6 2" xfId="15615" xr:uid="{00000000-0005-0000-0000-000088410000}"/>
    <cellStyle name="40% - Accent3 2 2 3 6 2 2" xfId="36095" xr:uid="{00000000-0005-0000-0000-000089410000}"/>
    <cellStyle name="40% - Accent3 2 2 3 6 3" xfId="25855" xr:uid="{00000000-0005-0000-0000-00008A410000}"/>
    <cellStyle name="40% - Accent3 2 2 3 7" xfId="10495" xr:uid="{00000000-0005-0000-0000-00008B410000}"/>
    <cellStyle name="40% - Accent3 2 2 3 7 2" xfId="30975" xr:uid="{00000000-0005-0000-0000-00008C410000}"/>
    <cellStyle name="40% - Accent3 2 2 3 8" xfId="20735" xr:uid="{00000000-0005-0000-0000-00008D410000}"/>
    <cellStyle name="40% - Accent3 2 2 4" xfId="415" xr:uid="{00000000-0005-0000-0000-00008E410000}"/>
    <cellStyle name="40% - Accent3 2 2 4 2" xfId="1055" xr:uid="{00000000-0005-0000-0000-00008F410000}"/>
    <cellStyle name="40% - Accent3 2 2 4 2 2" xfId="2335" xr:uid="{00000000-0005-0000-0000-000090410000}"/>
    <cellStyle name="40% - Accent3 2 2 4 2 2 2" xfId="4895" xr:uid="{00000000-0005-0000-0000-000091410000}"/>
    <cellStyle name="40% - Accent3 2 2 4 2 2 2 2" xfId="10015" xr:uid="{00000000-0005-0000-0000-000092410000}"/>
    <cellStyle name="40% - Accent3 2 2 4 2 2 2 2 2" xfId="20255" xr:uid="{00000000-0005-0000-0000-000093410000}"/>
    <cellStyle name="40% - Accent3 2 2 4 2 2 2 2 2 2" xfId="40735" xr:uid="{00000000-0005-0000-0000-000094410000}"/>
    <cellStyle name="40% - Accent3 2 2 4 2 2 2 2 3" xfId="30495" xr:uid="{00000000-0005-0000-0000-000095410000}"/>
    <cellStyle name="40% - Accent3 2 2 4 2 2 2 3" xfId="15135" xr:uid="{00000000-0005-0000-0000-000096410000}"/>
    <cellStyle name="40% - Accent3 2 2 4 2 2 2 3 2" xfId="35615" xr:uid="{00000000-0005-0000-0000-000097410000}"/>
    <cellStyle name="40% - Accent3 2 2 4 2 2 2 4" xfId="25375" xr:uid="{00000000-0005-0000-0000-000098410000}"/>
    <cellStyle name="40% - Accent3 2 2 4 2 2 3" xfId="7455" xr:uid="{00000000-0005-0000-0000-000099410000}"/>
    <cellStyle name="40% - Accent3 2 2 4 2 2 3 2" xfId="17695" xr:uid="{00000000-0005-0000-0000-00009A410000}"/>
    <cellStyle name="40% - Accent3 2 2 4 2 2 3 2 2" xfId="38175" xr:uid="{00000000-0005-0000-0000-00009B410000}"/>
    <cellStyle name="40% - Accent3 2 2 4 2 2 3 3" xfId="27935" xr:uid="{00000000-0005-0000-0000-00009C410000}"/>
    <cellStyle name="40% - Accent3 2 2 4 2 2 4" xfId="12575" xr:uid="{00000000-0005-0000-0000-00009D410000}"/>
    <cellStyle name="40% - Accent3 2 2 4 2 2 4 2" xfId="33055" xr:uid="{00000000-0005-0000-0000-00009E410000}"/>
    <cellStyle name="40% - Accent3 2 2 4 2 2 5" xfId="22815" xr:uid="{00000000-0005-0000-0000-00009F410000}"/>
    <cellStyle name="40% - Accent3 2 2 4 2 3" xfId="3615" xr:uid="{00000000-0005-0000-0000-0000A0410000}"/>
    <cellStyle name="40% - Accent3 2 2 4 2 3 2" xfId="8735" xr:uid="{00000000-0005-0000-0000-0000A1410000}"/>
    <cellStyle name="40% - Accent3 2 2 4 2 3 2 2" xfId="18975" xr:uid="{00000000-0005-0000-0000-0000A2410000}"/>
    <cellStyle name="40% - Accent3 2 2 4 2 3 2 2 2" xfId="39455" xr:uid="{00000000-0005-0000-0000-0000A3410000}"/>
    <cellStyle name="40% - Accent3 2 2 4 2 3 2 3" xfId="29215" xr:uid="{00000000-0005-0000-0000-0000A4410000}"/>
    <cellStyle name="40% - Accent3 2 2 4 2 3 3" xfId="13855" xr:uid="{00000000-0005-0000-0000-0000A5410000}"/>
    <cellStyle name="40% - Accent3 2 2 4 2 3 3 2" xfId="34335" xr:uid="{00000000-0005-0000-0000-0000A6410000}"/>
    <cellStyle name="40% - Accent3 2 2 4 2 3 4" xfId="24095" xr:uid="{00000000-0005-0000-0000-0000A7410000}"/>
    <cellStyle name="40% - Accent3 2 2 4 2 4" xfId="6175" xr:uid="{00000000-0005-0000-0000-0000A8410000}"/>
    <cellStyle name="40% - Accent3 2 2 4 2 4 2" xfId="16415" xr:uid="{00000000-0005-0000-0000-0000A9410000}"/>
    <cellStyle name="40% - Accent3 2 2 4 2 4 2 2" xfId="36895" xr:uid="{00000000-0005-0000-0000-0000AA410000}"/>
    <cellStyle name="40% - Accent3 2 2 4 2 4 3" xfId="26655" xr:uid="{00000000-0005-0000-0000-0000AB410000}"/>
    <cellStyle name="40% - Accent3 2 2 4 2 5" xfId="11295" xr:uid="{00000000-0005-0000-0000-0000AC410000}"/>
    <cellStyle name="40% - Accent3 2 2 4 2 5 2" xfId="31775" xr:uid="{00000000-0005-0000-0000-0000AD410000}"/>
    <cellStyle name="40% - Accent3 2 2 4 2 6" xfId="21535" xr:uid="{00000000-0005-0000-0000-0000AE410000}"/>
    <cellStyle name="40% - Accent3 2 2 4 3" xfId="1695" xr:uid="{00000000-0005-0000-0000-0000AF410000}"/>
    <cellStyle name="40% - Accent3 2 2 4 3 2" xfId="4255" xr:uid="{00000000-0005-0000-0000-0000B0410000}"/>
    <cellStyle name="40% - Accent3 2 2 4 3 2 2" xfId="9375" xr:uid="{00000000-0005-0000-0000-0000B1410000}"/>
    <cellStyle name="40% - Accent3 2 2 4 3 2 2 2" xfId="19615" xr:uid="{00000000-0005-0000-0000-0000B2410000}"/>
    <cellStyle name="40% - Accent3 2 2 4 3 2 2 2 2" xfId="40095" xr:uid="{00000000-0005-0000-0000-0000B3410000}"/>
    <cellStyle name="40% - Accent3 2 2 4 3 2 2 3" xfId="29855" xr:uid="{00000000-0005-0000-0000-0000B4410000}"/>
    <cellStyle name="40% - Accent3 2 2 4 3 2 3" xfId="14495" xr:uid="{00000000-0005-0000-0000-0000B5410000}"/>
    <cellStyle name="40% - Accent3 2 2 4 3 2 3 2" xfId="34975" xr:uid="{00000000-0005-0000-0000-0000B6410000}"/>
    <cellStyle name="40% - Accent3 2 2 4 3 2 4" xfId="24735" xr:uid="{00000000-0005-0000-0000-0000B7410000}"/>
    <cellStyle name="40% - Accent3 2 2 4 3 3" xfId="6815" xr:uid="{00000000-0005-0000-0000-0000B8410000}"/>
    <cellStyle name="40% - Accent3 2 2 4 3 3 2" xfId="17055" xr:uid="{00000000-0005-0000-0000-0000B9410000}"/>
    <cellStyle name="40% - Accent3 2 2 4 3 3 2 2" xfId="37535" xr:uid="{00000000-0005-0000-0000-0000BA410000}"/>
    <cellStyle name="40% - Accent3 2 2 4 3 3 3" xfId="27295" xr:uid="{00000000-0005-0000-0000-0000BB410000}"/>
    <cellStyle name="40% - Accent3 2 2 4 3 4" xfId="11935" xr:uid="{00000000-0005-0000-0000-0000BC410000}"/>
    <cellStyle name="40% - Accent3 2 2 4 3 4 2" xfId="32415" xr:uid="{00000000-0005-0000-0000-0000BD410000}"/>
    <cellStyle name="40% - Accent3 2 2 4 3 5" xfId="22175" xr:uid="{00000000-0005-0000-0000-0000BE410000}"/>
    <cellStyle name="40% - Accent3 2 2 4 4" xfId="2975" xr:uid="{00000000-0005-0000-0000-0000BF410000}"/>
    <cellStyle name="40% - Accent3 2 2 4 4 2" xfId="8095" xr:uid="{00000000-0005-0000-0000-0000C0410000}"/>
    <cellStyle name="40% - Accent3 2 2 4 4 2 2" xfId="18335" xr:uid="{00000000-0005-0000-0000-0000C1410000}"/>
    <cellStyle name="40% - Accent3 2 2 4 4 2 2 2" xfId="38815" xr:uid="{00000000-0005-0000-0000-0000C2410000}"/>
    <cellStyle name="40% - Accent3 2 2 4 4 2 3" xfId="28575" xr:uid="{00000000-0005-0000-0000-0000C3410000}"/>
    <cellStyle name="40% - Accent3 2 2 4 4 3" xfId="13215" xr:uid="{00000000-0005-0000-0000-0000C4410000}"/>
    <cellStyle name="40% - Accent3 2 2 4 4 3 2" xfId="33695" xr:uid="{00000000-0005-0000-0000-0000C5410000}"/>
    <cellStyle name="40% - Accent3 2 2 4 4 4" xfId="23455" xr:uid="{00000000-0005-0000-0000-0000C6410000}"/>
    <cellStyle name="40% - Accent3 2 2 4 5" xfId="5535" xr:uid="{00000000-0005-0000-0000-0000C7410000}"/>
    <cellStyle name="40% - Accent3 2 2 4 5 2" xfId="15775" xr:uid="{00000000-0005-0000-0000-0000C8410000}"/>
    <cellStyle name="40% - Accent3 2 2 4 5 2 2" xfId="36255" xr:uid="{00000000-0005-0000-0000-0000C9410000}"/>
    <cellStyle name="40% - Accent3 2 2 4 5 3" xfId="26015" xr:uid="{00000000-0005-0000-0000-0000CA410000}"/>
    <cellStyle name="40% - Accent3 2 2 4 6" xfId="10655" xr:uid="{00000000-0005-0000-0000-0000CB410000}"/>
    <cellStyle name="40% - Accent3 2 2 4 6 2" xfId="31135" xr:uid="{00000000-0005-0000-0000-0000CC410000}"/>
    <cellStyle name="40% - Accent3 2 2 4 7" xfId="20895" xr:uid="{00000000-0005-0000-0000-0000CD410000}"/>
    <cellStyle name="40% - Accent3 2 2 5" xfId="735" xr:uid="{00000000-0005-0000-0000-0000CE410000}"/>
    <cellStyle name="40% - Accent3 2 2 5 2" xfId="2015" xr:uid="{00000000-0005-0000-0000-0000CF410000}"/>
    <cellStyle name="40% - Accent3 2 2 5 2 2" xfId="4575" xr:uid="{00000000-0005-0000-0000-0000D0410000}"/>
    <cellStyle name="40% - Accent3 2 2 5 2 2 2" xfId="9695" xr:uid="{00000000-0005-0000-0000-0000D1410000}"/>
    <cellStyle name="40% - Accent3 2 2 5 2 2 2 2" xfId="19935" xr:uid="{00000000-0005-0000-0000-0000D2410000}"/>
    <cellStyle name="40% - Accent3 2 2 5 2 2 2 2 2" xfId="40415" xr:uid="{00000000-0005-0000-0000-0000D3410000}"/>
    <cellStyle name="40% - Accent3 2 2 5 2 2 2 3" xfId="30175" xr:uid="{00000000-0005-0000-0000-0000D4410000}"/>
    <cellStyle name="40% - Accent3 2 2 5 2 2 3" xfId="14815" xr:uid="{00000000-0005-0000-0000-0000D5410000}"/>
    <cellStyle name="40% - Accent3 2 2 5 2 2 3 2" xfId="35295" xr:uid="{00000000-0005-0000-0000-0000D6410000}"/>
    <cellStyle name="40% - Accent3 2 2 5 2 2 4" xfId="25055" xr:uid="{00000000-0005-0000-0000-0000D7410000}"/>
    <cellStyle name="40% - Accent3 2 2 5 2 3" xfId="7135" xr:uid="{00000000-0005-0000-0000-0000D8410000}"/>
    <cellStyle name="40% - Accent3 2 2 5 2 3 2" xfId="17375" xr:uid="{00000000-0005-0000-0000-0000D9410000}"/>
    <cellStyle name="40% - Accent3 2 2 5 2 3 2 2" xfId="37855" xr:uid="{00000000-0005-0000-0000-0000DA410000}"/>
    <cellStyle name="40% - Accent3 2 2 5 2 3 3" xfId="27615" xr:uid="{00000000-0005-0000-0000-0000DB410000}"/>
    <cellStyle name="40% - Accent3 2 2 5 2 4" xfId="12255" xr:uid="{00000000-0005-0000-0000-0000DC410000}"/>
    <cellStyle name="40% - Accent3 2 2 5 2 4 2" xfId="32735" xr:uid="{00000000-0005-0000-0000-0000DD410000}"/>
    <cellStyle name="40% - Accent3 2 2 5 2 5" xfId="22495" xr:uid="{00000000-0005-0000-0000-0000DE410000}"/>
    <cellStyle name="40% - Accent3 2 2 5 3" xfId="3295" xr:uid="{00000000-0005-0000-0000-0000DF410000}"/>
    <cellStyle name="40% - Accent3 2 2 5 3 2" xfId="8415" xr:uid="{00000000-0005-0000-0000-0000E0410000}"/>
    <cellStyle name="40% - Accent3 2 2 5 3 2 2" xfId="18655" xr:uid="{00000000-0005-0000-0000-0000E1410000}"/>
    <cellStyle name="40% - Accent3 2 2 5 3 2 2 2" xfId="39135" xr:uid="{00000000-0005-0000-0000-0000E2410000}"/>
    <cellStyle name="40% - Accent3 2 2 5 3 2 3" xfId="28895" xr:uid="{00000000-0005-0000-0000-0000E3410000}"/>
    <cellStyle name="40% - Accent3 2 2 5 3 3" xfId="13535" xr:uid="{00000000-0005-0000-0000-0000E4410000}"/>
    <cellStyle name="40% - Accent3 2 2 5 3 3 2" xfId="34015" xr:uid="{00000000-0005-0000-0000-0000E5410000}"/>
    <cellStyle name="40% - Accent3 2 2 5 3 4" xfId="23775" xr:uid="{00000000-0005-0000-0000-0000E6410000}"/>
    <cellStyle name="40% - Accent3 2 2 5 4" xfId="5855" xr:uid="{00000000-0005-0000-0000-0000E7410000}"/>
    <cellStyle name="40% - Accent3 2 2 5 4 2" xfId="16095" xr:uid="{00000000-0005-0000-0000-0000E8410000}"/>
    <cellStyle name="40% - Accent3 2 2 5 4 2 2" xfId="36575" xr:uid="{00000000-0005-0000-0000-0000E9410000}"/>
    <cellStyle name="40% - Accent3 2 2 5 4 3" xfId="26335" xr:uid="{00000000-0005-0000-0000-0000EA410000}"/>
    <cellStyle name="40% - Accent3 2 2 5 5" xfId="10975" xr:uid="{00000000-0005-0000-0000-0000EB410000}"/>
    <cellStyle name="40% - Accent3 2 2 5 5 2" xfId="31455" xr:uid="{00000000-0005-0000-0000-0000EC410000}"/>
    <cellStyle name="40% - Accent3 2 2 5 6" xfId="21215" xr:uid="{00000000-0005-0000-0000-0000ED410000}"/>
    <cellStyle name="40% - Accent3 2 2 6" xfId="1375" xr:uid="{00000000-0005-0000-0000-0000EE410000}"/>
    <cellStyle name="40% - Accent3 2 2 6 2" xfId="3935" xr:uid="{00000000-0005-0000-0000-0000EF410000}"/>
    <cellStyle name="40% - Accent3 2 2 6 2 2" xfId="9055" xr:uid="{00000000-0005-0000-0000-0000F0410000}"/>
    <cellStyle name="40% - Accent3 2 2 6 2 2 2" xfId="19295" xr:uid="{00000000-0005-0000-0000-0000F1410000}"/>
    <cellStyle name="40% - Accent3 2 2 6 2 2 2 2" xfId="39775" xr:uid="{00000000-0005-0000-0000-0000F2410000}"/>
    <cellStyle name="40% - Accent3 2 2 6 2 2 3" xfId="29535" xr:uid="{00000000-0005-0000-0000-0000F3410000}"/>
    <cellStyle name="40% - Accent3 2 2 6 2 3" xfId="14175" xr:uid="{00000000-0005-0000-0000-0000F4410000}"/>
    <cellStyle name="40% - Accent3 2 2 6 2 3 2" xfId="34655" xr:uid="{00000000-0005-0000-0000-0000F5410000}"/>
    <cellStyle name="40% - Accent3 2 2 6 2 4" xfId="24415" xr:uid="{00000000-0005-0000-0000-0000F6410000}"/>
    <cellStyle name="40% - Accent3 2 2 6 3" xfId="6495" xr:uid="{00000000-0005-0000-0000-0000F7410000}"/>
    <cellStyle name="40% - Accent3 2 2 6 3 2" xfId="16735" xr:uid="{00000000-0005-0000-0000-0000F8410000}"/>
    <cellStyle name="40% - Accent3 2 2 6 3 2 2" xfId="37215" xr:uid="{00000000-0005-0000-0000-0000F9410000}"/>
    <cellStyle name="40% - Accent3 2 2 6 3 3" xfId="26975" xr:uid="{00000000-0005-0000-0000-0000FA410000}"/>
    <cellStyle name="40% - Accent3 2 2 6 4" xfId="11615" xr:uid="{00000000-0005-0000-0000-0000FB410000}"/>
    <cellStyle name="40% - Accent3 2 2 6 4 2" xfId="32095" xr:uid="{00000000-0005-0000-0000-0000FC410000}"/>
    <cellStyle name="40% - Accent3 2 2 6 5" xfId="21855" xr:uid="{00000000-0005-0000-0000-0000FD410000}"/>
    <cellStyle name="40% - Accent3 2 2 7" xfId="2655" xr:uid="{00000000-0005-0000-0000-0000FE410000}"/>
    <cellStyle name="40% - Accent3 2 2 7 2" xfId="7775" xr:uid="{00000000-0005-0000-0000-0000FF410000}"/>
    <cellStyle name="40% - Accent3 2 2 7 2 2" xfId="18015" xr:uid="{00000000-0005-0000-0000-000000420000}"/>
    <cellStyle name="40% - Accent3 2 2 7 2 2 2" xfId="38495" xr:uid="{00000000-0005-0000-0000-000001420000}"/>
    <cellStyle name="40% - Accent3 2 2 7 2 3" xfId="28255" xr:uid="{00000000-0005-0000-0000-000002420000}"/>
    <cellStyle name="40% - Accent3 2 2 7 3" xfId="12895" xr:uid="{00000000-0005-0000-0000-000003420000}"/>
    <cellStyle name="40% - Accent3 2 2 7 3 2" xfId="33375" xr:uid="{00000000-0005-0000-0000-000004420000}"/>
    <cellStyle name="40% - Accent3 2 2 7 4" xfId="23135" xr:uid="{00000000-0005-0000-0000-000005420000}"/>
    <cellStyle name="40% - Accent3 2 2 8" xfId="5215" xr:uid="{00000000-0005-0000-0000-000006420000}"/>
    <cellStyle name="40% - Accent3 2 2 8 2" xfId="15455" xr:uid="{00000000-0005-0000-0000-000007420000}"/>
    <cellStyle name="40% - Accent3 2 2 8 2 2" xfId="35935" xr:uid="{00000000-0005-0000-0000-000008420000}"/>
    <cellStyle name="40% - Accent3 2 2 8 3" xfId="25695" xr:uid="{00000000-0005-0000-0000-000009420000}"/>
    <cellStyle name="40% - Accent3 2 2 9" xfId="10335" xr:uid="{00000000-0005-0000-0000-00000A420000}"/>
    <cellStyle name="40% - Accent3 2 2 9 2" xfId="30815" xr:uid="{00000000-0005-0000-0000-00000B420000}"/>
    <cellStyle name="40% - Accent3 2 3" xfId="135" xr:uid="{00000000-0005-0000-0000-00000C420000}"/>
    <cellStyle name="40% - Accent3 2 3 2" xfId="295" xr:uid="{00000000-0005-0000-0000-00000D420000}"/>
    <cellStyle name="40% - Accent3 2 3 2 2" xfId="615" xr:uid="{00000000-0005-0000-0000-00000E420000}"/>
    <cellStyle name="40% - Accent3 2 3 2 2 2" xfId="1255" xr:uid="{00000000-0005-0000-0000-00000F420000}"/>
    <cellStyle name="40% - Accent3 2 3 2 2 2 2" xfId="2535" xr:uid="{00000000-0005-0000-0000-000010420000}"/>
    <cellStyle name="40% - Accent3 2 3 2 2 2 2 2" xfId="5095" xr:uid="{00000000-0005-0000-0000-000011420000}"/>
    <cellStyle name="40% - Accent3 2 3 2 2 2 2 2 2" xfId="10215" xr:uid="{00000000-0005-0000-0000-000012420000}"/>
    <cellStyle name="40% - Accent3 2 3 2 2 2 2 2 2 2" xfId="20455" xr:uid="{00000000-0005-0000-0000-000013420000}"/>
    <cellStyle name="40% - Accent3 2 3 2 2 2 2 2 2 2 2" xfId="40935" xr:uid="{00000000-0005-0000-0000-000014420000}"/>
    <cellStyle name="40% - Accent3 2 3 2 2 2 2 2 2 3" xfId="30695" xr:uid="{00000000-0005-0000-0000-000015420000}"/>
    <cellStyle name="40% - Accent3 2 3 2 2 2 2 2 3" xfId="15335" xr:uid="{00000000-0005-0000-0000-000016420000}"/>
    <cellStyle name="40% - Accent3 2 3 2 2 2 2 2 3 2" xfId="35815" xr:uid="{00000000-0005-0000-0000-000017420000}"/>
    <cellStyle name="40% - Accent3 2 3 2 2 2 2 2 4" xfId="25575" xr:uid="{00000000-0005-0000-0000-000018420000}"/>
    <cellStyle name="40% - Accent3 2 3 2 2 2 2 3" xfId="7655" xr:uid="{00000000-0005-0000-0000-000019420000}"/>
    <cellStyle name="40% - Accent3 2 3 2 2 2 2 3 2" xfId="17895" xr:uid="{00000000-0005-0000-0000-00001A420000}"/>
    <cellStyle name="40% - Accent3 2 3 2 2 2 2 3 2 2" xfId="38375" xr:uid="{00000000-0005-0000-0000-00001B420000}"/>
    <cellStyle name="40% - Accent3 2 3 2 2 2 2 3 3" xfId="28135" xr:uid="{00000000-0005-0000-0000-00001C420000}"/>
    <cellStyle name="40% - Accent3 2 3 2 2 2 2 4" xfId="12775" xr:uid="{00000000-0005-0000-0000-00001D420000}"/>
    <cellStyle name="40% - Accent3 2 3 2 2 2 2 4 2" xfId="33255" xr:uid="{00000000-0005-0000-0000-00001E420000}"/>
    <cellStyle name="40% - Accent3 2 3 2 2 2 2 5" xfId="23015" xr:uid="{00000000-0005-0000-0000-00001F420000}"/>
    <cellStyle name="40% - Accent3 2 3 2 2 2 3" xfId="3815" xr:uid="{00000000-0005-0000-0000-000020420000}"/>
    <cellStyle name="40% - Accent3 2 3 2 2 2 3 2" xfId="8935" xr:uid="{00000000-0005-0000-0000-000021420000}"/>
    <cellStyle name="40% - Accent3 2 3 2 2 2 3 2 2" xfId="19175" xr:uid="{00000000-0005-0000-0000-000022420000}"/>
    <cellStyle name="40% - Accent3 2 3 2 2 2 3 2 2 2" xfId="39655" xr:uid="{00000000-0005-0000-0000-000023420000}"/>
    <cellStyle name="40% - Accent3 2 3 2 2 2 3 2 3" xfId="29415" xr:uid="{00000000-0005-0000-0000-000024420000}"/>
    <cellStyle name="40% - Accent3 2 3 2 2 2 3 3" xfId="14055" xr:uid="{00000000-0005-0000-0000-000025420000}"/>
    <cellStyle name="40% - Accent3 2 3 2 2 2 3 3 2" xfId="34535" xr:uid="{00000000-0005-0000-0000-000026420000}"/>
    <cellStyle name="40% - Accent3 2 3 2 2 2 3 4" xfId="24295" xr:uid="{00000000-0005-0000-0000-000027420000}"/>
    <cellStyle name="40% - Accent3 2 3 2 2 2 4" xfId="6375" xr:uid="{00000000-0005-0000-0000-000028420000}"/>
    <cellStyle name="40% - Accent3 2 3 2 2 2 4 2" xfId="16615" xr:uid="{00000000-0005-0000-0000-000029420000}"/>
    <cellStyle name="40% - Accent3 2 3 2 2 2 4 2 2" xfId="37095" xr:uid="{00000000-0005-0000-0000-00002A420000}"/>
    <cellStyle name="40% - Accent3 2 3 2 2 2 4 3" xfId="26855" xr:uid="{00000000-0005-0000-0000-00002B420000}"/>
    <cellStyle name="40% - Accent3 2 3 2 2 2 5" xfId="11495" xr:uid="{00000000-0005-0000-0000-00002C420000}"/>
    <cellStyle name="40% - Accent3 2 3 2 2 2 5 2" xfId="31975" xr:uid="{00000000-0005-0000-0000-00002D420000}"/>
    <cellStyle name="40% - Accent3 2 3 2 2 2 6" xfId="21735" xr:uid="{00000000-0005-0000-0000-00002E420000}"/>
    <cellStyle name="40% - Accent3 2 3 2 2 3" xfId="1895" xr:uid="{00000000-0005-0000-0000-00002F420000}"/>
    <cellStyle name="40% - Accent3 2 3 2 2 3 2" xfId="4455" xr:uid="{00000000-0005-0000-0000-000030420000}"/>
    <cellStyle name="40% - Accent3 2 3 2 2 3 2 2" xfId="9575" xr:uid="{00000000-0005-0000-0000-000031420000}"/>
    <cellStyle name="40% - Accent3 2 3 2 2 3 2 2 2" xfId="19815" xr:uid="{00000000-0005-0000-0000-000032420000}"/>
    <cellStyle name="40% - Accent3 2 3 2 2 3 2 2 2 2" xfId="40295" xr:uid="{00000000-0005-0000-0000-000033420000}"/>
    <cellStyle name="40% - Accent3 2 3 2 2 3 2 2 3" xfId="30055" xr:uid="{00000000-0005-0000-0000-000034420000}"/>
    <cellStyle name="40% - Accent3 2 3 2 2 3 2 3" xfId="14695" xr:uid="{00000000-0005-0000-0000-000035420000}"/>
    <cellStyle name="40% - Accent3 2 3 2 2 3 2 3 2" xfId="35175" xr:uid="{00000000-0005-0000-0000-000036420000}"/>
    <cellStyle name="40% - Accent3 2 3 2 2 3 2 4" xfId="24935" xr:uid="{00000000-0005-0000-0000-000037420000}"/>
    <cellStyle name="40% - Accent3 2 3 2 2 3 3" xfId="7015" xr:uid="{00000000-0005-0000-0000-000038420000}"/>
    <cellStyle name="40% - Accent3 2 3 2 2 3 3 2" xfId="17255" xr:uid="{00000000-0005-0000-0000-000039420000}"/>
    <cellStyle name="40% - Accent3 2 3 2 2 3 3 2 2" xfId="37735" xr:uid="{00000000-0005-0000-0000-00003A420000}"/>
    <cellStyle name="40% - Accent3 2 3 2 2 3 3 3" xfId="27495" xr:uid="{00000000-0005-0000-0000-00003B420000}"/>
    <cellStyle name="40% - Accent3 2 3 2 2 3 4" xfId="12135" xr:uid="{00000000-0005-0000-0000-00003C420000}"/>
    <cellStyle name="40% - Accent3 2 3 2 2 3 4 2" xfId="32615" xr:uid="{00000000-0005-0000-0000-00003D420000}"/>
    <cellStyle name="40% - Accent3 2 3 2 2 3 5" xfId="22375" xr:uid="{00000000-0005-0000-0000-00003E420000}"/>
    <cellStyle name="40% - Accent3 2 3 2 2 4" xfId="3175" xr:uid="{00000000-0005-0000-0000-00003F420000}"/>
    <cellStyle name="40% - Accent3 2 3 2 2 4 2" xfId="8295" xr:uid="{00000000-0005-0000-0000-000040420000}"/>
    <cellStyle name="40% - Accent3 2 3 2 2 4 2 2" xfId="18535" xr:uid="{00000000-0005-0000-0000-000041420000}"/>
    <cellStyle name="40% - Accent3 2 3 2 2 4 2 2 2" xfId="39015" xr:uid="{00000000-0005-0000-0000-000042420000}"/>
    <cellStyle name="40% - Accent3 2 3 2 2 4 2 3" xfId="28775" xr:uid="{00000000-0005-0000-0000-000043420000}"/>
    <cellStyle name="40% - Accent3 2 3 2 2 4 3" xfId="13415" xr:uid="{00000000-0005-0000-0000-000044420000}"/>
    <cellStyle name="40% - Accent3 2 3 2 2 4 3 2" xfId="33895" xr:uid="{00000000-0005-0000-0000-000045420000}"/>
    <cellStyle name="40% - Accent3 2 3 2 2 4 4" xfId="23655" xr:uid="{00000000-0005-0000-0000-000046420000}"/>
    <cellStyle name="40% - Accent3 2 3 2 2 5" xfId="5735" xr:uid="{00000000-0005-0000-0000-000047420000}"/>
    <cellStyle name="40% - Accent3 2 3 2 2 5 2" xfId="15975" xr:uid="{00000000-0005-0000-0000-000048420000}"/>
    <cellStyle name="40% - Accent3 2 3 2 2 5 2 2" xfId="36455" xr:uid="{00000000-0005-0000-0000-000049420000}"/>
    <cellStyle name="40% - Accent3 2 3 2 2 5 3" xfId="26215" xr:uid="{00000000-0005-0000-0000-00004A420000}"/>
    <cellStyle name="40% - Accent3 2 3 2 2 6" xfId="10855" xr:uid="{00000000-0005-0000-0000-00004B420000}"/>
    <cellStyle name="40% - Accent3 2 3 2 2 6 2" xfId="31335" xr:uid="{00000000-0005-0000-0000-00004C420000}"/>
    <cellStyle name="40% - Accent3 2 3 2 2 7" xfId="21095" xr:uid="{00000000-0005-0000-0000-00004D420000}"/>
    <cellStyle name="40% - Accent3 2 3 2 3" xfId="935" xr:uid="{00000000-0005-0000-0000-00004E420000}"/>
    <cellStyle name="40% - Accent3 2 3 2 3 2" xfId="2215" xr:uid="{00000000-0005-0000-0000-00004F420000}"/>
    <cellStyle name="40% - Accent3 2 3 2 3 2 2" xfId="4775" xr:uid="{00000000-0005-0000-0000-000050420000}"/>
    <cellStyle name="40% - Accent3 2 3 2 3 2 2 2" xfId="9895" xr:uid="{00000000-0005-0000-0000-000051420000}"/>
    <cellStyle name="40% - Accent3 2 3 2 3 2 2 2 2" xfId="20135" xr:uid="{00000000-0005-0000-0000-000052420000}"/>
    <cellStyle name="40% - Accent3 2 3 2 3 2 2 2 2 2" xfId="40615" xr:uid="{00000000-0005-0000-0000-000053420000}"/>
    <cellStyle name="40% - Accent3 2 3 2 3 2 2 2 3" xfId="30375" xr:uid="{00000000-0005-0000-0000-000054420000}"/>
    <cellStyle name="40% - Accent3 2 3 2 3 2 2 3" xfId="15015" xr:uid="{00000000-0005-0000-0000-000055420000}"/>
    <cellStyle name="40% - Accent3 2 3 2 3 2 2 3 2" xfId="35495" xr:uid="{00000000-0005-0000-0000-000056420000}"/>
    <cellStyle name="40% - Accent3 2 3 2 3 2 2 4" xfId="25255" xr:uid="{00000000-0005-0000-0000-000057420000}"/>
    <cellStyle name="40% - Accent3 2 3 2 3 2 3" xfId="7335" xr:uid="{00000000-0005-0000-0000-000058420000}"/>
    <cellStyle name="40% - Accent3 2 3 2 3 2 3 2" xfId="17575" xr:uid="{00000000-0005-0000-0000-000059420000}"/>
    <cellStyle name="40% - Accent3 2 3 2 3 2 3 2 2" xfId="38055" xr:uid="{00000000-0005-0000-0000-00005A420000}"/>
    <cellStyle name="40% - Accent3 2 3 2 3 2 3 3" xfId="27815" xr:uid="{00000000-0005-0000-0000-00005B420000}"/>
    <cellStyle name="40% - Accent3 2 3 2 3 2 4" xfId="12455" xr:uid="{00000000-0005-0000-0000-00005C420000}"/>
    <cellStyle name="40% - Accent3 2 3 2 3 2 4 2" xfId="32935" xr:uid="{00000000-0005-0000-0000-00005D420000}"/>
    <cellStyle name="40% - Accent3 2 3 2 3 2 5" xfId="22695" xr:uid="{00000000-0005-0000-0000-00005E420000}"/>
    <cellStyle name="40% - Accent3 2 3 2 3 3" xfId="3495" xr:uid="{00000000-0005-0000-0000-00005F420000}"/>
    <cellStyle name="40% - Accent3 2 3 2 3 3 2" xfId="8615" xr:uid="{00000000-0005-0000-0000-000060420000}"/>
    <cellStyle name="40% - Accent3 2 3 2 3 3 2 2" xfId="18855" xr:uid="{00000000-0005-0000-0000-000061420000}"/>
    <cellStyle name="40% - Accent3 2 3 2 3 3 2 2 2" xfId="39335" xr:uid="{00000000-0005-0000-0000-000062420000}"/>
    <cellStyle name="40% - Accent3 2 3 2 3 3 2 3" xfId="29095" xr:uid="{00000000-0005-0000-0000-000063420000}"/>
    <cellStyle name="40% - Accent3 2 3 2 3 3 3" xfId="13735" xr:uid="{00000000-0005-0000-0000-000064420000}"/>
    <cellStyle name="40% - Accent3 2 3 2 3 3 3 2" xfId="34215" xr:uid="{00000000-0005-0000-0000-000065420000}"/>
    <cellStyle name="40% - Accent3 2 3 2 3 3 4" xfId="23975" xr:uid="{00000000-0005-0000-0000-000066420000}"/>
    <cellStyle name="40% - Accent3 2 3 2 3 4" xfId="6055" xr:uid="{00000000-0005-0000-0000-000067420000}"/>
    <cellStyle name="40% - Accent3 2 3 2 3 4 2" xfId="16295" xr:uid="{00000000-0005-0000-0000-000068420000}"/>
    <cellStyle name="40% - Accent3 2 3 2 3 4 2 2" xfId="36775" xr:uid="{00000000-0005-0000-0000-000069420000}"/>
    <cellStyle name="40% - Accent3 2 3 2 3 4 3" xfId="26535" xr:uid="{00000000-0005-0000-0000-00006A420000}"/>
    <cellStyle name="40% - Accent3 2 3 2 3 5" xfId="11175" xr:uid="{00000000-0005-0000-0000-00006B420000}"/>
    <cellStyle name="40% - Accent3 2 3 2 3 5 2" xfId="31655" xr:uid="{00000000-0005-0000-0000-00006C420000}"/>
    <cellStyle name="40% - Accent3 2 3 2 3 6" xfId="21415" xr:uid="{00000000-0005-0000-0000-00006D420000}"/>
    <cellStyle name="40% - Accent3 2 3 2 4" xfId="1575" xr:uid="{00000000-0005-0000-0000-00006E420000}"/>
    <cellStyle name="40% - Accent3 2 3 2 4 2" xfId="4135" xr:uid="{00000000-0005-0000-0000-00006F420000}"/>
    <cellStyle name="40% - Accent3 2 3 2 4 2 2" xfId="9255" xr:uid="{00000000-0005-0000-0000-000070420000}"/>
    <cellStyle name="40% - Accent3 2 3 2 4 2 2 2" xfId="19495" xr:uid="{00000000-0005-0000-0000-000071420000}"/>
    <cellStyle name="40% - Accent3 2 3 2 4 2 2 2 2" xfId="39975" xr:uid="{00000000-0005-0000-0000-000072420000}"/>
    <cellStyle name="40% - Accent3 2 3 2 4 2 2 3" xfId="29735" xr:uid="{00000000-0005-0000-0000-000073420000}"/>
    <cellStyle name="40% - Accent3 2 3 2 4 2 3" xfId="14375" xr:uid="{00000000-0005-0000-0000-000074420000}"/>
    <cellStyle name="40% - Accent3 2 3 2 4 2 3 2" xfId="34855" xr:uid="{00000000-0005-0000-0000-000075420000}"/>
    <cellStyle name="40% - Accent3 2 3 2 4 2 4" xfId="24615" xr:uid="{00000000-0005-0000-0000-000076420000}"/>
    <cellStyle name="40% - Accent3 2 3 2 4 3" xfId="6695" xr:uid="{00000000-0005-0000-0000-000077420000}"/>
    <cellStyle name="40% - Accent3 2 3 2 4 3 2" xfId="16935" xr:uid="{00000000-0005-0000-0000-000078420000}"/>
    <cellStyle name="40% - Accent3 2 3 2 4 3 2 2" xfId="37415" xr:uid="{00000000-0005-0000-0000-000079420000}"/>
    <cellStyle name="40% - Accent3 2 3 2 4 3 3" xfId="27175" xr:uid="{00000000-0005-0000-0000-00007A420000}"/>
    <cellStyle name="40% - Accent3 2 3 2 4 4" xfId="11815" xr:uid="{00000000-0005-0000-0000-00007B420000}"/>
    <cellStyle name="40% - Accent3 2 3 2 4 4 2" xfId="32295" xr:uid="{00000000-0005-0000-0000-00007C420000}"/>
    <cellStyle name="40% - Accent3 2 3 2 4 5" xfId="22055" xr:uid="{00000000-0005-0000-0000-00007D420000}"/>
    <cellStyle name="40% - Accent3 2 3 2 5" xfId="2855" xr:uid="{00000000-0005-0000-0000-00007E420000}"/>
    <cellStyle name="40% - Accent3 2 3 2 5 2" xfId="7975" xr:uid="{00000000-0005-0000-0000-00007F420000}"/>
    <cellStyle name="40% - Accent3 2 3 2 5 2 2" xfId="18215" xr:uid="{00000000-0005-0000-0000-000080420000}"/>
    <cellStyle name="40% - Accent3 2 3 2 5 2 2 2" xfId="38695" xr:uid="{00000000-0005-0000-0000-000081420000}"/>
    <cellStyle name="40% - Accent3 2 3 2 5 2 3" xfId="28455" xr:uid="{00000000-0005-0000-0000-000082420000}"/>
    <cellStyle name="40% - Accent3 2 3 2 5 3" xfId="13095" xr:uid="{00000000-0005-0000-0000-000083420000}"/>
    <cellStyle name="40% - Accent3 2 3 2 5 3 2" xfId="33575" xr:uid="{00000000-0005-0000-0000-000084420000}"/>
    <cellStyle name="40% - Accent3 2 3 2 5 4" xfId="23335" xr:uid="{00000000-0005-0000-0000-000085420000}"/>
    <cellStyle name="40% - Accent3 2 3 2 6" xfId="5415" xr:uid="{00000000-0005-0000-0000-000086420000}"/>
    <cellStyle name="40% - Accent3 2 3 2 6 2" xfId="15655" xr:uid="{00000000-0005-0000-0000-000087420000}"/>
    <cellStyle name="40% - Accent3 2 3 2 6 2 2" xfId="36135" xr:uid="{00000000-0005-0000-0000-000088420000}"/>
    <cellStyle name="40% - Accent3 2 3 2 6 3" xfId="25895" xr:uid="{00000000-0005-0000-0000-000089420000}"/>
    <cellStyle name="40% - Accent3 2 3 2 7" xfId="10535" xr:uid="{00000000-0005-0000-0000-00008A420000}"/>
    <cellStyle name="40% - Accent3 2 3 2 7 2" xfId="31015" xr:uid="{00000000-0005-0000-0000-00008B420000}"/>
    <cellStyle name="40% - Accent3 2 3 2 8" xfId="20775" xr:uid="{00000000-0005-0000-0000-00008C420000}"/>
    <cellStyle name="40% - Accent3 2 3 3" xfId="455" xr:uid="{00000000-0005-0000-0000-00008D420000}"/>
    <cellStyle name="40% - Accent3 2 3 3 2" xfId="1095" xr:uid="{00000000-0005-0000-0000-00008E420000}"/>
    <cellStyle name="40% - Accent3 2 3 3 2 2" xfId="2375" xr:uid="{00000000-0005-0000-0000-00008F420000}"/>
    <cellStyle name="40% - Accent3 2 3 3 2 2 2" xfId="4935" xr:uid="{00000000-0005-0000-0000-000090420000}"/>
    <cellStyle name="40% - Accent3 2 3 3 2 2 2 2" xfId="10055" xr:uid="{00000000-0005-0000-0000-000091420000}"/>
    <cellStyle name="40% - Accent3 2 3 3 2 2 2 2 2" xfId="20295" xr:uid="{00000000-0005-0000-0000-000092420000}"/>
    <cellStyle name="40% - Accent3 2 3 3 2 2 2 2 2 2" xfId="40775" xr:uid="{00000000-0005-0000-0000-000093420000}"/>
    <cellStyle name="40% - Accent3 2 3 3 2 2 2 2 3" xfId="30535" xr:uid="{00000000-0005-0000-0000-000094420000}"/>
    <cellStyle name="40% - Accent3 2 3 3 2 2 2 3" xfId="15175" xr:uid="{00000000-0005-0000-0000-000095420000}"/>
    <cellStyle name="40% - Accent3 2 3 3 2 2 2 3 2" xfId="35655" xr:uid="{00000000-0005-0000-0000-000096420000}"/>
    <cellStyle name="40% - Accent3 2 3 3 2 2 2 4" xfId="25415" xr:uid="{00000000-0005-0000-0000-000097420000}"/>
    <cellStyle name="40% - Accent3 2 3 3 2 2 3" xfId="7495" xr:uid="{00000000-0005-0000-0000-000098420000}"/>
    <cellStyle name="40% - Accent3 2 3 3 2 2 3 2" xfId="17735" xr:uid="{00000000-0005-0000-0000-000099420000}"/>
    <cellStyle name="40% - Accent3 2 3 3 2 2 3 2 2" xfId="38215" xr:uid="{00000000-0005-0000-0000-00009A420000}"/>
    <cellStyle name="40% - Accent3 2 3 3 2 2 3 3" xfId="27975" xr:uid="{00000000-0005-0000-0000-00009B420000}"/>
    <cellStyle name="40% - Accent3 2 3 3 2 2 4" xfId="12615" xr:uid="{00000000-0005-0000-0000-00009C420000}"/>
    <cellStyle name="40% - Accent3 2 3 3 2 2 4 2" xfId="33095" xr:uid="{00000000-0005-0000-0000-00009D420000}"/>
    <cellStyle name="40% - Accent3 2 3 3 2 2 5" xfId="22855" xr:uid="{00000000-0005-0000-0000-00009E420000}"/>
    <cellStyle name="40% - Accent3 2 3 3 2 3" xfId="3655" xr:uid="{00000000-0005-0000-0000-00009F420000}"/>
    <cellStyle name="40% - Accent3 2 3 3 2 3 2" xfId="8775" xr:uid="{00000000-0005-0000-0000-0000A0420000}"/>
    <cellStyle name="40% - Accent3 2 3 3 2 3 2 2" xfId="19015" xr:uid="{00000000-0005-0000-0000-0000A1420000}"/>
    <cellStyle name="40% - Accent3 2 3 3 2 3 2 2 2" xfId="39495" xr:uid="{00000000-0005-0000-0000-0000A2420000}"/>
    <cellStyle name="40% - Accent3 2 3 3 2 3 2 3" xfId="29255" xr:uid="{00000000-0005-0000-0000-0000A3420000}"/>
    <cellStyle name="40% - Accent3 2 3 3 2 3 3" xfId="13895" xr:uid="{00000000-0005-0000-0000-0000A4420000}"/>
    <cellStyle name="40% - Accent3 2 3 3 2 3 3 2" xfId="34375" xr:uid="{00000000-0005-0000-0000-0000A5420000}"/>
    <cellStyle name="40% - Accent3 2 3 3 2 3 4" xfId="24135" xr:uid="{00000000-0005-0000-0000-0000A6420000}"/>
    <cellStyle name="40% - Accent3 2 3 3 2 4" xfId="6215" xr:uid="{00000000-0005-0000-0000-0000A7420000}"/>
    <cellStyle name="40% - Accent3 2 3 3 2 4 2" xfId="16455" xr:uid="{00000000-0005-0000-0000-0000A8420000}"/>
    <cellStyle name="40% - Accent3 2 3 3 2 4 2 2" xfId="36935" xr:uid="{00000000-0005-0000-0000-0000A9420000}"/>
    <cellStyle name="40% - Accent3 2 3 3 2 4 3" xfId="26695" xr:uid="{00000000-0005-0000-0000-0000AA420000}"/>
    <cellStyle name="40% - Accent3 2 3 3 2 5" xfId="11335" xr:uid="{00000000-0005-0000-0000-0000AB420000}"/>
    <cellStyle name="40% - Accent3 2 3 3 2 5 2" xfId="31815" xr:uid="{00000000-0005-0000-0000-0000AC420000}"/>
    <cellStyle name="40% - Accent3 2 3 3 2 6" xfId="21575" xr:uid="{00000000-0005-0000-0000-0000AD420000}"/>
    <cellStyle name="40% - Accent3 2 3 3 3" xfId="1735" xr:uid="{00000000-0005-0000-0000-0000AE420000}"/>
    <cellStyle name="40% - Accent3 2 3 3 3 2" xfId="4295" xr:uid="{00000000-0005-0000-0000-0000AF420000}"/>
    <cellStyle name="40% - Accent3 2 3 3 3 2 2" xfId="9415" xr:uid="{00000000-0005-0000-0000-0000B0420000}"/>
    <cellStyle name="40% - Accent3 2 3 3 3 2 2 2" xfId="19655" xr:uid="{00000000-0005-0000-0000-0000B1420000}"/>
    <cellStyle name="40% - Accent3 2 3 3 3 2 2 2 2" xfId="40135" xr:uid="{00000000-0005-0000-0000-0000B2420000}"/>
    <cellStyle name="40% - Accent3 2 3 3 3 2 2 3" xfId="29895" xr:uid="{00000000-0005-0000-0000-0000B3420000}"/>
    <cellStyle name="40% - Accent3 2 3 3 3 2 3" xfId="14535" xr:uid="{00000000-0005-0000-0000-0000B4420000}"/>
    <cellStyle name="40% - Accent3 2 3 3 3 2 3 2" xfId="35015" xr:uid="{00000000-0005-0000-0000-0000B5420000}"/>
    <cellStyle name="40% - Accent3 2 3 3 3 2 4" xfId="24775" xr:uid="{00000000-0005-0000-0000-0000B6420000}"/>
    <cellStyle name="40% - Accent3 2 3 3 3 3" xfId="6855" xr:uid="{00000000-0005-0000-0000-0000B7420000}"/>
    <cellStyle name="40% - Accent3 2 3 3 3 3 2" xfId="17095" xr:uid="{00000000-0005-0000-0000-0000B8420000}"/>
    <cellStyle name="40% - Accent3 2 3 3 3 3 2 2" xfId="37575" xr:uid="{00000000-0005-0000-0000-0000B9420000}"/>
    <cellStyle name="40% - Accent3 2 3 3 3 3 3" xfId="27335" xr:uid="{00000000-0005-0000-0000-0000BA420000}"/>
    <cellStyle name="40% - Accent3 2 3 3 3 4" xfId="11975" xr:uid="{00000000-0005-0000-0000-0000BB420000}"/>
    <cellStyle name="40% - Accent3 2 3 3 3 4 2" xfId="32455" xr:uid="{00000000-0005-0000-0000-0000BC420000}"/>
    <cellStyle name="40% - Accent3 2 3 3 3 5" xfId="22215" xr:uid="{00000000-0005-0000-0000-0000BD420000}"/>
    <cellStyle name="40% - Accent3 2 3 3 4" xfId="3015" xr:uid="{00000000-0005-0000-0000-0000BE420000}"/>
    <cellStyle name="40% - Accent3 2 3 3 4 2" xfId="8135" xr:uid="{00000000-0005-0000-0000-0000BF420000}"/>
    <cellStyle name="40% - Accent3 2 3 3 4 2 2" xfId="18375" xr:uid="{00000000-0005-0000-0000-0000C0420000}"/>
    <cellStyle name="40% - Accent3 2 3 3 4 2 2 2" xfId="38855" xr:uid="{00000000-0005-0000-0000-0000C1420000}"/>
    <cellStyle name="40% - Accent3 2 3 3 4 2 3" xfId="28615" xr:uid="{00000000-0005-0000-0000-0000C2420000}"/>
    <cellStyle name="40% - Accent3 2 3 3 4 3" xfId="13255" xr:uid="{00000000-0005-0000-0000-0000C3420000}"/>
    <cellStyle name="40% - Accent3 2 3 3 4 3 2" xfId="33735" xr:uid="{00000000-0005-0000-0000-0000C4420000}"/>
    <cellStyle name="40% - Accent3 2 3 3 4 4" xfId="23495" xr:uid="{00000000-0005-0000-0000-0000C5420000}"/>
    <cellStyle name="40% - Accent3 2 3 3 5" xfId="5575" xr:uid="{00000000-0005-0000-0000-0000C6420000}"/>
    <cellStyle name="40% - Accent3 2 3 3 5 2" xfId="15815" xr:uid="{00000000-0005-0000-0000-0000C7420000}"/>
    <cellStyle name="40% - Accent3 2 3 3 5 2 2" xfId="36295" xr:uid="{00000000-0005-0000-0000-0000C8420000}"/>
    <cellStyle name="40% - Accent3 2 3 3 5 3" xfId="26055" xr:uid="{00000000-0005-0000-0000-0000C9420000}"/>
    <cellStyle name="40% - Accent3 2 3 3 6" xfId="10695" xr:uid="{00000000-0005-0000-0000-0000CA420000}"/>
    <cellStyle name="40% - Accent3 2 3 3 6 2" xfId="31175" xr:uid="{00000000-0005-0000-0000-0000CB420000}"/>
    <cellStyle name="40% - Accent3 2 3 3 7" xfId="20935" xr:uid="{00000000-0005-0000-0000-0000CC420000}"/>
    <cellStyle name="40% - Accent3 2 3 4" xfId="775" xr:uid="{00000000-0005-0000-0000-0000CD420000}"/>
    <cellStyle name="40% - Accent3 2 3 4 2" xfId="2055" xr:uid="{00000000-0005-0000-0000-0000CE420000}"/>
    <cellStyle name="40% - Accent3 2 3 4 2 2" xfId="4615" xr:uid="{00000000-0005-0000-0000-0000CF420000}"/>
    <cellStyle name="40% - Accent3 2 3 4 2 2 2" xfId="9735" xr:uid="{00000000-0005-0000-0000-0000D0420000}"/>
    <cellStyle name="40% - Accent3 2 3 4 2 2 2 2" xfId="19975" xr:uid="{00000000-0005-0000-0000-0000D1420000}"/>
    <cellStyle name="40% - Accent3 2 3 4 2 2 2 2 2" xfId="40455" xr:uid="{00000000-0005-0000-0000-0000D2420000}"/>
    <cellStyle name="40% - Accent3 2 3 4 2 2 2 3" xfId="30215" xr:uid="{00000000-0005-0000-0000-0000D3420000}"/>
    <cellStyle name="40% - Accent3 2 3 4 2 2 3" xfId="14855" xr:uid="{00000000-0005-0000-0000-0000D4420000}"/>
    <cellStyle name="40% - Accent3 2 3 4 2 2 3 2" xfId="35335" xr:uid="{00000000-0005-0000-0000-0000D5420000}"/>
    <cellStyle name="40% - Accent3 2 3 4 2 2 4" xfId="25095" xr:uid="{00000000-0005-0000-0000-0000D6420000}"/>
    <cellStyle name="40% - Accent3 2 3 4 2 3" xfId="7175" xr:uid="{00000000-0005-0000-0000-0000D7420000}"/>
    <cellStyle name="40% - Accent3 2 3 4 2 3 2" xfId="17415" xr:uid="{00000000-0005-0000-0000-0000D8420000}"/>
    <cellStyle name="40% - Accent3 2 3 4 2 3 2 2" xfId="37895" xr:uid="{00000000-0005-0000-0000-0000D9420000}"/>
    <cellStyle name="40% - Accent3 2 3 4 2 3 3" xfId="27655" xr:uid="{00000000-0005-0000-0000-0000DA420000}"/>
    <cellStyle name="40% - Accent3 2 3 4 2 4" xfId="12295" xr:uid="{00000000-0005-0000-0000-0000DB420000}"/>
    <cellStyle name="40% - Accent3 2 3 4 2 4 2" xfId="32775" xr:uid="{00000000-0005-0000-0000-0000DC420000}"/>
    <cellStyle name="40% - Accent3 2 3 4 2 5" xfId="22535" xr:uid="{00000000-0005-0000-0000-0000DD420000}"/>
    <cellStyle name="40% - Accent3 2 3 4 3" xfId="3335" xr:uid="{00000000-0005-0000-0000-0000DE420000}"/>
    <cellStyle name="40% - Accent3 2 3 4 3 2" xfId="8455" xr:uid="{00000000-0005-0000-0000-0000DF420000}"/>
    <cellStyle name="40% - Accent3 2 3 4 3 2 2" xfId="18695" xr:uid="{00000000-0005-0000-0000-0000E0420000}"/>
    <cellStyle name="40% - Accent3 2 3 4 3 2 2 2" xfId="39175" xr:uid="{00000000-0005-0000-0000-0000E1420000}"/>
    <cellStyle name="40% - Accent3 2 3 4 3 2 3" xfId="28935" xr:uid="{00000000-0005-0000-0000-0000E2420000}"/>
    <cellStyle name="40% - Accent3 2 3 4 3 3" xfId="13575" xr:uid="{00000000-0005-0000-0000-0000E3420000}"/>
    <cellStyle name="40% - Accent3 2 3 4 3 3 2" xfId="34055" xr:uid="{00000000-0005-0000-0000-0000E4420000}"/>
    <cellStyle name="40% - Accent3 2 3 4 3 4" xfId="23815" xr:uid="{00000000-0005-0000-0000-0000E5420000}"/>
    <cellStyle name="40% - Accent3 2 3 4 4" xfId="5895" xr:uid="{00000000-0005-0000-0000-0000E6420000}"/>
    <cellStyle name="40% - Accent3 2 3 4 4 2" xfId="16135" xr:uid="{00000000-0005-0000-0000-0000E7420000}"/>
    <cellStyle name="40% - Accent3 2 3 4 4 2 2" xfId="36615" xr:uid="{00000000-0005-0000-0000-0000E8420000}"/>
    <cellStyle name="40% - Accent3 2 3 4 4 3" xfId="26375" xr:uid="{00000000-0005-0000-0000-0000E9420000}"/>
    <cellStyle name="40% - Accent3 2 3 4 5" xfId="11015" xr:uid="{00000000-0005-0000-0000-0000EA420000}"/>
    <cellStyle name="40% - Accent3 2 3 4 5 2" xfId="31495" xr:uid="{00000000-0005-0000-0000-0000EB420000}"/>
    <cellStyle name="40% - Accent3 2 3 4 6" xfId="21255" xr:uid="{00000000-0005-0000-0000-0000EC420000}"/>
    <cellStyle name="40% - Accent3 2 3 5" xfId="1415" xr:uid="{00000000-0005-0000-0000-0000ED420000}"/>
    <cellStyle name="40% - Accent3 2 3 5 2" xfId="3975" xr:uid="{00000000-0005-0000-0000-0000EE420000}"/>
    <cellStyle name="40% - Accent3 2 3 5 2 2" xfId="9095" xr:uid="{00000000-0005-0000-0000-0000EF420000}"/>
    <cellStyle name="40% - Accent3 2 3 5 2 2 2" xfId="19335" xr:uid="{00000000-0005-0000-0000-0000F0420000}"/>
    <cellStyle name="40% - Accent3 2 3 5 2 2 2 2" xfId="39815" xr:uid="{00000000-0005-0000-0000-0000F1420000}"/>
    <cellStyle name="40% - Accent3 2 3 5 2 2 3" xfId="29575" xr:uid="{00000000-0005-0000-0000-0000F2420000}"/>
    <cellStyle name="40% - Accent3 2 3 5 2 3" xfId="14215" xr:uid="{00000000-0005-0000-0000-0000F3420000}"/>
    <cellStyle name="40% - Accent3 2 3 5 2 3 2" xfId="34695" xr:uid="{00000000-0005-0000-0000-0000F4420000}"/>
    <cellStyle name="40% - Accent3 2 3 5 2 4" xfId="24455" xr:uid="{00000000-0005-0000-0000-0000F5420000}"/>
    <cellStyle name="40% - Accent3 2 3 5 3" xfId="6535" xr:uid="{00000000-0005-0000-0000-0000F6420000}"/>
    <cellStyle name="40% - Accent3 2 3 5 3 2" xfId="16775" xr:uid="{00000000-0005-0000-0000-0000F7420000}"/>
    <cellStyle name="40% - Accent3 2 3 5 3 2 2" xfId="37255" xr:uid="{00000000-0005-0000-0000-0000F8420000}"/>
    <cellStyle name="40% - Accent3 2 3 5 3 3" xfId="27015" xr:uid="{00000000-0005-0000-0000-0000F9420000}"/>
    <cellStyle name="40% - Accent3 2 3 5 4" xfId="11655" xr:uid="{00000000-0005-0000-0000-0000FA420000}"/>
    <cellStyle name="40% - Accent3 2 3 5 4 2" xfId="32135" xr:uid="{00000000-0005-0000-0000-0000FB420000}"/>
    <cellStyle name="40% - Accent3 2 3 5 5" xfId="21895" xr:uid="{00000000-0005-0000-0000-0000FC420000}"/>
    <cellStyle name="40% - Accent3 2 3 6" xfId="2695" xr:uid="{00000000-0005-0000-0000-0000FD420000}"/>
    <cellStyle name="40% - Accent3 2 3 6 2" xfId="7815" xr:uid="{00000000-0005-0000-0000-0000FE420000}"/>
    <cellStyle name="40% - Accent3 2 3 6 2 2" xfId="18055" xr:uid="{00000000-0005-0000-0000-0000FF420000}"/>
    <cellStyle name="40% - Accent3 2 3 6 2 2 2" xfId="38535" xr:uid="{00000000-0005-0000-0000-000000430000}"/>
    <cellStyle name="40% - Accent3 2 3 6 2 3" xfId="28295" xr:uid="{00000000-0005-0000-0000-000001430000}"/>
    <cellStyle name="40% - Accent3 2 3 6 3" xfId="12935" xr:uid="{00000000-0005-0000-0000-000002430000}"/>
    <cellStyle name="40% - Accent3 2 3 6 3 2" xfId="33415" xr:uid="{00000000-0005-0000-0000-000003430000}"/>
    <cellStyle name="40% - Accent3 2 3 6 4" xfId="23175" xr:uid="{00000000-0005-0000-0000-000004430000}"/>
    <cellStyle name="40% - Accent3 2 3 7" xfId="5255" xr:uid="{00000000-0005-0000-0000-000005430000}"/>
    <cellStyle name="40% - Accent3 2 3 7 2" xfId="15495" xr:uid="{00000000-0005-0000-0000-000006430000}"/>
    <cellStyle name="40% - Accent3 2 3 7 2 2" xfId="35975" xr:uid="{00000000-0005-0000-0000-000007430000}"/>
    <cellStyle name="40% - Accent3 2 3 7 3" xfId="25735" xr:uid="{00000000-0005-0000-0000-000008430000}"/>
    <cellStyle name="40% - Accent3 2 3 8" xfId="10375" xr:uid="{00000000-0005-0000-0000-000009430000}"/>
    <cellStyle name="40% - Accent3 2 3 8 2" xfId="30855" xr:uid="{00000000-0005-0000-0000-00000A430000}"/>
    <cellStyle name="40% - Accent3 2 3 9" xfId="20615" xr:uid="{00000000-0005-0000-0000-00000B430000}"/>
    <cellStyle name="40% - Accent3 2 4" xfId="215" xr:uid="{00000000-0005-0000-0000-00000C430000}"/>
    <cellStyle name="40% - Accent3 2 4 2" xfId="535" xr:uid="{00000000-0005-0000-0000-00000D430000}"/>
    <cellStyle name="40% - Accent3 2 4 2 2" xfId="1175" xr:uid="{00000000-0005-0000-0000-00000E430000}"/>
    <cellStyle name="40% - Accent3 2 4 2 2 2" xfId="2455" xr:uid="{00000000-0005-0000-0000-00000F430000}"/>
    <cellStyle name="40% - Accent3 2 4 2 2 2 2" xfId="5015" xr:uid="{00000000-0005-0000-0000-000010430000}"/>
    <cellStyle name="40% - Accent3 2 4 2 2 2 2 2" xfId="10135" xr:uid="{00000000-0005-0000-0000-000011430000}"/>
    <cellStyle name="40% - Accent3 2 4 2 2 2 2 2 2" xfId="20375" xr:uid="{00000000-0005-0000-0000-000012430000}"/>
    <cellStyle name="40% - Accent3 2 4 2 2 2 2 2 2 2" xfId="40855" xr:uid="{00000000-0005-0000-0000-000013430000}"/>
    <cellStyle name="40% - Accent3 2 4 2 2 2 2 2 3" xfId="30615" xr:uid="{00000000-0005-0000-0000-000014430000}"/>
    <cellStyle name="40% - Accent3 2 4 2 2 2 2 3" xfId="15255" xr:uid="{00000000-0005-0000-0000-000015430000}"/>
    <cellStyle name="40% - Accent3 2 4 2 2 2 2 3 2" xfId="35735" xr:uid="{00000000-0005-0000-0000-000016430000}"/>
    <cellStyle name="40% - Accent3 2 4 2 2 2 2 4" xfId="25495" xr:uid="{00000000-0005-0000-0000-000017430000}"/>
    <cellStyle name="40% - Accent3 2 4 2 2 2 3" xfId="7575" xr:uid="{00000000-0005-0000-0000-000018430000}"/>
    <cellStyle name="40% - Accent3 2 4 2 2 2 3 2" xfId="17815" xr:uid="{00000000-0005-0000-0000-000019430000}"/>
    <cellStyle name="40% - Accent3 2 4 2 2 2 3 2 2" xfId="38295" xr:uid="{00000000-0005-0000-0000-00001A430000}"/>
    <cellStyle name="40% - Accent3 2 4 2 2 2 3 3" xfId="28055" xr:uid="{00000000-0005-0000-0000-00001B430000}"/>
    <cellStyle name="40% - Accent3 2 4 2 2 2 4" xfId="12695" xr:uid="{00000000-0005-0000-0000-00001C430000}"/>
    <cellStyle name="40% - Accent3 2 4 2 2 2 4 2" xfId="33175" xr:uid="{00000000-0005-0000-0000-00001D430000}"/>
    <cellStyle name="40% - Accent3 2 4 2 2 2 5" xfId="22935" xr:uid="{00000000-0005-0000-0000-00001E430000}"/>
    <cellStyle name="40% - Accent3 2 4 2 2 3" xfId="3735" xr:uid="{00000000-0005-0000-0000-00001F430000}"/>
    <cellStyle name="40% - Accent3 2 4 2 2 3 2" xfId="8855" xr:uid="{00000000-0005-0000-0000-000020430000}"/>
    <cellStyle name="40% - Accent3 2 4 2 2 3 2 2" xfId="19095" xr:uid="{00000000-0005-0000-0000-000021430000}"/>
    <cellStyle name="40% - Accent3 2 4 2 2 3 2 2 2" xfId="39575" xr:uid="{00000000-0005-0000-0000-000022430000}"/>
    <cellStyle name="40% - Accent3 2 4 2 2 3 2 3" xfId="29335" xr:uid="{00000000-0005-0000-0000-000023430000}"/>
    <cellStyle name="40% - Accent3 2 4 2 2 3 3" xfId="13975" xr:uid="{00000000-0005-0000-0000-000024430000}"/>
    <cellStyle name="40% - Accent3 2 4 2 2 3 3 2" xfId="34455" xr:uid="{00000000-0005-0000-0000-000025430000}"/>
    <cellStyle name="40% - Accent3 2 4 2 2 3 4" xfId="24215" xr:uid="{00000000-0005-0000-0000-000026430000}"/>
    <cellStyle name="40% - Accent3 2 4 2 2 4" xfId="6295" xr:uid="{00000000-0005-0000-0000-000027430000}"/>
    <cellStyle name="40% - Accent3 2 4 2 2 4 2" xfId="16535" xr:uid="{00000000-0005-0000-0000-000028430000}"/>
    <cellStyle name="40% - Accent3 2 4 2 2 4 2 2" xfId="37015" xr:uid="{00000000-0005-0000-0000-000029430000}"/>
    <cellStyle name="40% - Accent3 2 4 2 2 4 3" xfId="26775" xr:uid="{00000000-0005-0000-0000-00002A430000}"/>
    <cellStyle name="40% - Accent3 2 4 2 2 5" xfId="11415" xr:uid="{00000000-0005-0000-0000-00002B430000}"/>
    <cellStyle name="40% - Accent3 2 4 2 2 5 2" xfId="31895" xr:uid="{00000000-0005-0000-0000-00002C430000}"/>
    <cellStyle name="40% - Accent3 2 4 2 2 6" xfId="21655" xr:uid="{00000000-0005-0000-0000-00002D430000}"/>
    <cellStyle name="40% - Accent3 2 4 2 3" xfId="1815" xr:uid="{00000000-0005-0000-0000-00002E430000}"/>
    <cellStyle name="40% - Accent3 2 4 2 3 2" xfId="4375" xr:uid="{00000000-0005-0000-0000-00002F430000}"/>
    <cellStyle name="40% - Accent3 2 4 2 3 2 2" xfId="9495" xr:uid="{00000000-0005-0000-0000-000030430000}"/>
    <cellStyle name="40% - Accent3 2 4 2 3 2 2 2" xfId="19735" xr:uid="{00000000-0005-0000-0000-000031430000}"/>
    <cellStyle name="40% - Accent3 2 4 2 3 2 2 2 2" xfId="40215" xr:uid="{00000000-0005-0000-0000-000032430000}"/>
    <cellStyle name="40% - Accent3 2 4 2 3 2 2 3" xfId="29975" xr:uid="{00000000-0005-0000-0000-000033430000}"/>
    <cellStyle name="40% - Accent3 2 4 2 3 2 3" xfId="14615" xr:uid="{00000000-0005-0000-0000-000034430000}"/>
    <cellStyle name="40% - Accent3 2 4 2 3 2 3 2" xfId="35095" xr:uid="{00000000-0005-0000-0000-000035430000}"/>
    <cellStyle name="40% - Accent3 2 4 2 3 2 4" xfId="24855" xr:uid="{00000000-0005-0000-0000-000036430000}"/>
    <cellStyle name="40% - Accent3 2 4 2 3 3" xfId="6935" xr:uid="{00000000-0005-0000-0000-000037430000}"/>
    <cellStyle name="40% - Accent3 2 4 2 3 3 2" xfId="17175" xr:uid="{00000000-0005-0000-0000-000038430000}"/>
    <cellStyle name="40% - Accent3 2 4 2 3 3 2 2" xfId="37655" xr:uid="{00000000-0005-0000-0000-000039430000}"/>
    <cellStyle name="40% - Accent3 2 4 2 3 3 3" xfId="27415" xr:uid="{00000000-0005-0000-0000-00003A430000}"/>
    <cellStyle name="40% - Accent3 2 4 2 3 4" xfId="12055" xr:uid="{00000000-0005-0000-0000-00003B430000}"/>
    <cellStyle name="40% - Accent3 2 4 2 3 4 2" xfId="32535" xr:uid="{00000000-0005-0000-0000-00003C430000}"/>
    <cellStyle name="40% - Accent3 2 4 2 3 5" xfId="22295" xr:uid="{00000000-0005-0000-0000-00003D430000}"/>
    <cellStyle name="40% - Accent3 2 4 2 4" xfId="3095" xr:uid="{00000000-0005-0000-0000-00003E430000}"/>
    <cellStyle name="40% - Accent3 2 4 2 4 2" xfId="8215" xr:uid="{00000000-0005-0000-0000-00003F430000}"/>
    <cellStyle name="40% - Accent3 2 4 2 4 2 2" xfId="18455" xr:uid="{00000000-0005-0000-0000-000040430000}"/>
    <cellStyle name="40% - Accent3 2 4 2 4 2 2 2" xfId="38935" xr:uid="{00000000-0005-0000-0000-000041430000}"/>
    <cellStyle name="40% - Accent3 2 4 2 4 2 3" xfId="28695" xr:uid="{00000000-0005-0000-0000-000042430000}"/>
    <cellStyle name="40% - Accent3 2 4 2 4 3" xfId="13335" xr:uid="{00000000-0005-0000-0000-000043430000}"/>
    <cellStyle name="40% - Accent3 2 4 2 4 3 2" xfId="33815" xr:uid="{00000000-0005-0000-0000-000044430000}"/>
    <cellStyle name="40% - Accent3 2 4 2 4 4" xfId="23575" xr:uid="{00000000-0005-0000-0000-000045430000}"/>
    <cellStyle name="40% - Accent3 2 4 2 5" xfId="5655" xr:uid="{00000000-0005-0000-0000-000046430000}"/>
    <cellStyle name="40% - Accent3 2 4 2 5 2" xfId="15895" xr:uid="{00000000-0005-0000-0000-000047430000}"/>
    <cellStyle name="40% - Accent3 2 4 2 5 2 2" xfId="36375" xr:uid="{00000000-0005-0000-0000-000048430000}"/>
    <cellStyle name="40% - Accent3 2 4 2 5 3" xfId="26135" xr:uid="{00000000-0005-0000-0000-000049430000}"/>
    <cellStyle name="40% - Accent3 2 4 2 6" xfId="10775" xr:uid="{00000000-0005-0000-0000-00004A430000}"/>
    <cellStyle name="40% - Accent3 2 4 2 6 2" xfId="31255" xr:uid="{00000000-0005-0000-0000-00004B430000}"/>
    <cellStyle name="40% - Accent3 2 4 2 7" xfId="21015" xr:uid="{00000000-0005-0000-0000-00004C430000}"/>
    <cellStyle name="40% - Accent3 2 4 3" xfId="855" xr:uid="{00000000-0005-0000-0000-00004D430000}"/>
    <cellStyle name="40% - Accent3 2 4 3 2" xfId="2135" xr:uid="{00000000-0005-0000-0000-00004E430000}"/>
    <cellStyle name="40% - Accent3 2 4 3 2 2" xfId="4695" xr:uid="{00000000-0005-0000-0000-00004F430000}"/>
    <cellStyle name="40% - Accent3 2 4 3 2 2 2" xfId="9815" xr:uid="{00000000-0005-0000-0000-000050430000}"/>
    <cellStyle name="40% - Accent3 2 4 3 2 2 2 2" xfId="20055" xr:uid="{00000000-0005-0000-0000-000051430000}"/>
    <cellStyle name="40% - Accent3 2 4 3 2 2 2 2 2" xfId="40535" xr:uid="{00000000-0005-0000-0000-000052430000}"/>
    <cellStyle name="40% - Accent3 2 4 3 2 2 2 3" xfId="30295" xr:uid="{00000000-0005-0000-0000-000053430000}"/>
    <cellStyle name="40% - Accent3 2 4 3 2 2 3" xfId="14935" xr:uid="{00000000-0005-0000-0000-000054430000}"/>
    <cellStyle name="40% - Accent3 2 4 3 2 2 3 2" xfId="35415" xr:uid="{00000000-0005-0000-0000-000055430000}"/>
    <cellStyle name="40% - Accent3 2 4 3 2 2 4" xfId="25175" xr:uid="{00000000-0005-0000-0000-000056430000}"/>
    <cellStyle name="40% - Accent3 2 4 3 2 3" xfId="7255" xr:uid="{00000000-0005-0000-0000-000057430000}"/>
    <cellStyle name="40% - Accent3 2 4 3 2 3 2" xfId="17495" xr:uid="{00000000-0005-0000-0000-000058430000}"/>
    <cellStyle name="40% - Accent3 2 4 3 2 3 2 2" xfId="37975" xr:uid="{00000000-0005-0000-0000-000059430000}"/>
    <cellStyle name="40% - Accent3 2 4 3 2 3 3" xfId="27735" xr:uid="{00000000-0005-0000-0000-00005A430000}"/>
    <cellStyle name="40% - Accent3 2 4 3 2 4" xfId="12375" xr:uid="{00000000-0005-0000-0000-00005B430000}"/>
    <cellStyle name="40% - Accent3 2 4 3 2 4 2" xfId="32855" xr:uid="{00000000-0005-0000-0000-00005C430000}"/>
    <cellStyle name="40% - Accent3 2 4 3 2 5" xfId="22615" xr:uid="{00000000-0005-0000-0000-00005D430000}"/>
    <cellStyle name="40% - Accent3 2 4 3 3" xfId="3415" xr:uid="{00000000-0005-0000-0000-00005E430000}"/>
    <cellStyle name="40% - Accent3 2 4 3 3 2" xfId="8535" xr:uid="{00000000-0005-0000-0000-00005F430000}"/>
    <cellStyle name="40% - Accent3 2 4 3 3 2 2" xfId="18775" xr:uid="{00000000-0005-0000-0000-000060430000}"/>
    <cellStyle name="40% - Accent3 2 4 3 3 2 2 2" xfId="39255" xr:uid="{00000000-0005-0000-0000-000061430000}"/>
    <cellStyle name="40% - Accent3 2 4 3 3 2 3" xfId="29015" xr:uid="{00000000-0005-0000-0000-000062430000}"/>
    <cellStyle name="40% - Accent3 2 4 3 3 3" xfId="13655" xr:uid="{00000000-0005-0000-0000-000063430000}"/>
    <cellStyle name="40% - Accent3 2 4 3 3 3 2" xfId="34135" xr:uid="{00000000-0005-0000-0000-000064430000}"/>
    <cellStyle name="40% - Accent3 2 4 3 3 4" xfId="23895" xr:uid="{00000000-0005-0000-0000-000065430000}"/>
    <cellStyle name="40% - Accent3 2 4 3 4" xfId="5975" xr:uid="{00000000-0005-0000-0000-000066430000}"/>
    <cellStyle name="40% - Accent3 2 4 3 4 2" xfId="16215" xr:uid="{00000000-0005-0000-0000-000067430000}"/>
    <cellStyle name="40% - Accent3 2 4 3 4 2 2" xfId="36695" xr:uid="{00000000-0005-0000-0000-000068430000}"/>
    <cellStyle name="40% - Accent3 2 4 3 4 3" xfId="26455" xr:uid="{00000000-0005-0000-0000-000069430000}"/>
    <cellStyle name="40% - Accent3 2 4 3 5" xfId="11095" xr:uid="{00000000-0005-0000-0000-00006A430000}"/>
    <cellStyle name="40% - Accent3 2 4 3 5 2" xfId="31575" xr:uid="{00000000-0005-0000-0000-00006B430000}"/>
    <cellStyle name="40% - Accent3 2 4 3 6" xfId="21335" xr:uid="{00000000-0005-0000-0000-00006C430000}"/>
    <cellStyle name="40% - Accent3 2 4 4" xfId="1495" xr:uid="{00000000-0005-0000-0000-00006D430000}"/>
    <cellStyle name="40% - Accent3 2 4 4 2" xfId="4055" xr:uid="{00000000-0005-0000-0000-00006E430000}"/>
    <cellStyle name="40% - Accent3 2 4 4 2 2" xfId="9175" xr:uid="{00000000-0005-0000-0000-00006F430000}"/>
    <cellStyle name="40% - Accent3 2 4 4 2 2 2" xfId="19415" xr:uid="{00000000-0005-0000-0000-000070430000}"/>
    <cellStyle name="40% - Accent3 2 4 4 2 2 2 2" xfId="39895" xr:uid="{00000000-0005-0000-0000-000071430000}"/>
    <cellStyle name="40% - Accent3 2 4 4 2 2 3" xfId="29655" xr:uid="{00000000-0005-0000-0000-000072430000}"/>
    <cellStyle name="40% - Accent3 2 4 4 2 3" xfId="14295" xr:uid="{00000000-0005-0000-0000-000073430000}"/>
    <cellStyle name="40% - Accent3 2 4 4 2 3 2" xfId="34775" xr:uid="{00000000-0005-0000-0000-000074430000}"/>
    <cellStyle name="40% - Accent3 2 4 4 2 4" xfId="24535" xr:uid="{00000000-0005-0000-0000-000075430000}"/>
    <cellStyle name="40% - Accent3 2 4 4 3" xfId="6615" xr:uid="{00000000-0005-0000-0000-000076430000}"/>
    <cellStyle name="40% - Accent3 2 4 4 3 2" xfId="16855" xr:uid="{00000000-0005-0000-0000-000077430000}"/>
    <cellStyle name="40% - Accent3 2 4 4 3 2 2" xfId="37335" xr:uid="{00000000-0005-0000-0000-000078430000}"/>
    <cellStyle name="40% - Accent3 2 4 4 3 3" xfId="27095" xr:uid="{00000000-0005-0000-0000-000079430000}"/>
    <cellStyle name="40% - Accent3 2 4 4 4" xfId="11735" xr:uid="{00000000-0005-0000-0000-00007A430000}"/>
    <cellStyle name="40% - Accent3 2 4 4 4 2" xfId="32215" xr:uid="{00000000-0005-0000-0000-00007B430000}"/>
    <cellStyle name="40% - Accent3 2 4 4 5" xfId="21975" xr:uid="{00000000-0005-0000-0000-00007C430000}"/>
    <cellStyle name="40% - Accent3 2 4 5" xfId="2775" xr:uid="{00000000-0005-0000-0000-00007D430000}"/>
    <cellStyle name="40% - Accent3 2 4 5 2" xfId="7895" xr:uid="{00000000-0005-0000-0000-00007E430000}"/>
    <cellStyle name="40% - Accent3 2 4 5 2 2" xfId="18135" xr:uid="{00000000-0005-0000-0000-00007F430000}"/>
    <cellStyle name="40% - Accent3 2 4 5 2 2 2" xfId="38615" xr:uid="{00000000-0005-0000-0000-000080430000}"/>
    <cellStyle name="40% - Accent3 2 4 5 2 3" xfId="28375" xr:uid="{00000000-0005-0000-0000-000081430000}"/>
    <cellStyle name="40% - Accent3 2 4 5 3" xfId="13015" xr:uid="{00000000-0005-0000-0000-000082430000}"/>
    <cellStyle name="40% - Accent3 2 4 5 3 2" xfId="33495" xr:uid="{00000000-0005-0000-0000-000083430000}"/>
    <cellStyle name="40% - Accent3 2 4 5 4" xfId="23255" xr:uid="{00000000-0005-0000-0000-000084430000}"/>
    <cellStyle name="40% - Accent3 2 4 6" xfId="5335" xr:uid="{00000000-0005-0000-0000-000085430000}"/>
    <cellStyle name="40% - Accent3 2 4 6 2" xfId="15575" xr:uid="{00000000-0005-0000-0000-000086430000}"/>
    <cellStyle name="40% - Accent3 2 4 6 2 2" xfId="36055" xr:uid="{00000000-0005-0000-0000-000087430000}"/>
    <cellStyle name="40% - Accent3 2 4 6 3" xfId="25815" xr:uid="{00000000-0005-0000-0000-000088430000}"/>
    <cellStyle name="40% - Accent3 2 4 7" xfId="10455" xr:uid="{00000000-0005-0000-0000-000089430000}"/>
    <cellStyle name="40% - Accent3 2 4 7 2" xfId="30935" xr:uid="{00000000-0005-0000-0000-00008A430000}"/>
    <cellStyle name="40% - Accent3 2 4 8" xfId="20695" xr:uid="{00000000-0005-0000-0000-00008B430000}"/>
    <cellStyle name="40% - Accent3 2 5" xfId="375" xr:uid="{00000000-0005-0000-0000-00008C430000}"/>
    <cellStyle name="40% - Accent3 2 5 2" xfId="1015" xr:uid="{00000000-0005-0000-0000-00008D430000}"/>
    <cellStyle name="40% - Accent3 2 5 2 2" xfId="2295" xr:uid="{00000000-0005-0000-0000-00008E430000}"/>
    <cellStyle name="40% - Accent3 2 5 2 2 2" xfId="4855" xr:uid="{00000000-0005-0000-0000-00008F430000}"/>
    <cellStyle name="40% - Accent3 2 5 2 2 2 2" xfId="9975" xr:uid="{00000000-0005-0000-0000-000090430000}"/>
    <cellStyle name="40% - Accent3 2 5 2 2 2 2 2" xfId="20215" xr:uid="{00000000-0005-0000-0000-000091430000}"/>
    <cellStyle name="40% - Accent3 2 5 2 2 2 2 2 2" xfId="40695" xr:uid="{00000000-0005-0000-0000-000092430000}"/>
    <cellStyle name="40% - Accent3 2 5 2 2 2 2 3" xfId="30455" xr:uid="{00000000-0005-0000-0000-000093430000}"/>
    <cellStyle name="40% - Accent3 2 5 2 2 2 3" xfId="15095" xr:uid="{00000000-0005-0000-0000-000094430000}"/>
    <cellStyle name="40% - Accent3 2 5 2 2 2 3 2" xfId="35575" xr:uid="{00000000-0005-0000-0000-000095430000}"/>
    <cellStyle name="40% - Accent3 2 5 2 2 2 4" xfId="25335" xr:uid="{00000000-0005-0000-0000-000096430000}"/>
    <cellStyle name="40% - Accent3 2 5 2 2 3" xfId="7415" xr:uid="{00000000-0005-0000-0000-000097430000}"/>
    <cellStyle name="40% - Accent3 2 5 2 2 3 2" xfId="17655" xr:uid="{00000000-0005-0000-0000-000098430000}"/>
    <cellStyle name="40% - Accent3 2 5 2 2 3 2 2" xfId="38135" xr:uid="{00000000-0005-0000-0000-000099430000}"/>
    <cellStyle name="40% - Accent3 2 5 2 2 3 3" xfId="27895" xr:uid="{00000000-0005-0000-0000-00009A430000}"/>
    <cellStyle name="40% - Accent3 2 5 2 2 4" xfId="12535" xr:uid="{00000000-0005-0000-0000-00009B430000}"/>
    <cellStyle name="40% - Accent3 2 5 2 2 4 2" xfId="33015" xr:uid="{00000000-0005-0000-0000-00009C430000}"/>
    <cellStyle name="40% - Accent3 2 5 2 2 5" xfId="22775" xr:uid="{00000000-0005-0000-0000-00009D430000}"/>
    <cellStyle name="40% - Accent3 2 5 2 3" xfId="3575" xr:uid="{00000000-0005-0000-0000-00009E430000}"/>
    <cellStyle name="40% - Accent3 2 5 2 3 2" xfId="8695" xr:uid="{00000000-0005-0000-0000-00009F430000}"/>
    <cellStyle name="40% - Accent3 2 5 2 3 2 2" xfId="18935" xr:uid="{00000000-0005-0000-0000-0000A0430000}"/>
    <cellStyle name="40% - Accent3 2 5 2 3 2 2 2" xfId="39415" xr:uid="{00000000-0005-0000-0000-0000A1430000}"/>
    <cellStyle name="40% - Accent3 2 5 2 3 2 3" xfId="29175" xr:uid="{00000000-0005-0000-0000-0000A2430000}"/>
    <cellStyle name="40% - Accent3 2 5 2 3 3" xfId="13815" xr:uid="{00000000-0005-0000-0000-0000A3430000}"/>
    <cellStyle name="40% - Accent3 2 5 2 3 3 2" xfId="34295" xr:uid="{00000000-0005-0000-0000-0000A4430000}"/>
    <cellStyle name="40% - Accent3 2 5 2 3 4" xfId="24055" xr:uid="{00000000-0005-0000-0000-0000A5430000}"/>
    <cellStyle name="40% - Accent3 2 5 2 4" xfId="6135" xr:uid="{00000000-0005-0000-0000-0000A6430000}"/>
    <cellStyle name="40% - Accent3 2 5 2 4 2" xfId="16375" xr:uid="{00000000-0005-0000-0000-0000A7430000}"/>
    <cellStyle name="40% - Accent3 2 5 2 4 2 2" xfId="36855" xr:uid="{00000000-0005-0000-0000-0000A8430000}"/>
    <cellStyle name="40% - Accent3 2 5 2 4 3" xfId="26615" xr:uid="{00000000-0005-0000-0000-0000A9430000}"/>
    <cellStyle name="40% - Accent3 2 5 2 5" xfId="11255" xr:uid="{00000000-0005-0000-0000-0000AA430000}"/>
    <cellStyle name="40% - Accent3 2 5 2 5 2" xfId="31735" xr:uid="{00000000-0005-0000-0000-0000AB430000}"/>
    <cellStyle name="40% - Accent3 2 5 2 6" xfId="21495" xr:uid="{00000000-0005-0000-0000-0000AC430000}"/>
    <cellStyle name="40% - Accent3 2 5 3" xfId="1655" xr:uid="{00000000-0005-0000-0000-0000AD430000}"/>
    <cellStyle name="40% - Accent3 2 5 3 2" xfId="4215" xr:uid="{00000000-0005-0000-0000-0000AE430000}"/>
    <cellStyle name="40% - Accent3 2 5 3 2 2" xfId="9335" xr:uid="{00000000-0005-0000-0000-0000AF430000}"/>
    <cellStyle name="40% - Accent3 2 5 3 2 2 2" xfId="19575" xr:uid="{00000000-0005-0000-0000-0000B0430000}"/>
    <cellStyle name="40% - Accent3 2 5 3 2 2 2 2" xfId="40055" xr:uid="{00000000-0005-0000-0000-0000B1430000}"/>
    <cellStyle name="40% - Accent3 2 5 3 2 2 3" xfId="29815" xr:uid="{00000000-0005-0000-0000-0000B2430000}"/>
    <cellStyle name="40% - Accent3 2 5 3 2 3" xfId="14455" xr:uid="{00000000-0005-0000-0000-0000B3430000}"/>
    <cellStyle name="40% - Accent3 2 5 3 2 3 2" xfId="34935" xr:uid="{00000000-0005-0000-0000-0000B4430000}"/>
    <cellStyle name="40% - Accent3 2 5 3 2 4" xfId="24695" xr:uid="{00000000-0005-0000-0000-0000B5430000}"/>
    <cellStyle name="40% - Accent3 2 5 3 3" xfId="6775" xr:uid="{00000000-0005-0000-0000-0000B6430000}"/>
    <cellStyle name="40% - Accent3 2 5 3 3 2" xfId="17015" xr:uid="{00000000-0005-0000-0000-0000B7430000}"/>
    <cellStyle name="40% - Accent3 2 5 3 3 2 2" xfId="37495" xr:uid="{00000000-0005-0000-0000-0000B8430000}"/>
    <cellStyle name="40% - Accent3 2 5 3 3 3" xfId="27255" xr:uid="{00000000-0005-0000-0000-0000B9430000}"/>
    <cellStyle name="40% - Accent3 2 5 3 4" xfId="11895" xr:uid="{00000000-0005-0000-0000-0000BA430000}"/>
    <cellStyle name="40% - Accent3 2 5 3 4 2" xfId="32375" xr:uid="{00000000-0005-0000-0000-0000BB430000}"/>
    <cellStyle name="40% - Accent3 2 5 3 5" xfId="22135" xr:uid="{00000000-0005-0000-0000-0000BC430000}"/>
    <cellStyle name="40% - Accent3 2 5 4" xfId="2935" xr:uid="{00000000-0005-0000-0000-0000BD430000}"/>
    <cellStyle name="40% - Accent3 2 5 4 2" xfId="8055" xr:uid="{00000000-0005-0000-0000-0000BE430000}"/>
    <cellStyle name="40% - Accent3 2 5 4 2 2" xfId="18295" xr:uid="{00000000-0005-0000-0000-0000BF430000}"/>
    <cellStyle name="40% - Accent3 2 5 4 2 2 2" xfId="38775" xr:uid="{00000000-0005-0000-0000-0000C0430000}"/>
    <cellStyle name="40% - Accent3 2 5 4 2 3" xfId="28535" xr:uid="{00000000-0005-0000-0000-0000C1430000}"/>
    <cellStyle name="40% - Accent3 2 5 4 3" xfId="13175" xr:uid="{00000000-0005-0000-0000-0000C2430000}"/>
    <cellStyle name="40% - Accent3 2 5 4 3 2" xfId="33655" xr:uid="{00000000-0005-0000-0000-0000C3430000}"/>
    <cellStyle name="40% - Accent3 2 5 4 4" xfId="23415" xr:uid="{00000000-0005-0000-0000-0000C4430000}"/>
    <cellStyle name="40% - Accent3 2 5 5" xfId="5495" xr:uid="{00000000-0005-0000-0000-0000C5430000}"/>
    <cellStyle name="40% - Accent3 2 5 5 2" xfId="15735" xr:uid="{00000000-0005-0000-0000-0000C6430000}"/>
    <cellStyle name="40% - Accent3 2 5 5 2 2" xfId="36215" xr:uid="{00000000-0005-0000-0000-0000C7430000}"/>
    <cellStyle name="40% - Accent3 2 5 5 3" xfId="25975" xr:uid="{00000000-0005-0000-0000-0000C8430000}"/>
    <cellStyle name="40% - Accent3 2 5 6" xfId="10615" xr:uid="{00000000-0005-0000-0000-0000C9430000}"/>
    <cellStyle name="40% - Accent3 2 5 6 2" xfId="31095" xr:uid="{00000000-0005-0000-0000-0000CA430000}"/>
    <cellStyle name="40% - Accent3 2 5 7" xfId="20855" xr:uid="{00000000-0005-0000-0000-0000CB430000}"/>
    <cellStyle name="40% - Accent3 2 6" xfId="695" xr:uid="{00000000-0005-0000-0000-0000CC430000}"/>
    <cellStyle name="40% - Accent3 2 6 2" xfId="1975" xr:uid="{00000000-0005-0000-0000-0000CD430000}"/>
    <cellStyle name="40% - Accent3 2 6 2 2" xfId="4535" xr:uid="{00000000-0005-0000-0000-0000CE430000}"/>
    <cellStyle name="40% - Accent3 2 6 2 2 2" xfId="9655" xr:uid="{00000000-0005-0000-0000-0000CF430000}"/>
    <cellStyle name="40% - Accent3 2 6 2 2 2 2" xfId="19895" xr:uid="{00000000-0005-0000-0000-0000D0430000}"/>
    <cellStyle name="40% - Accent3 2 6 2 2 2 2 2" xfId="40375" xr:uid="{00000000-0005-0000-0000-0000D1430000}"/>
    <cellStyle name="40% - Accent3 2 6 2 2 2 3" xfId="30135" xr:uid="{00000000-0005-0000-0000-0000D2430000}"/>
    <cellStyle name="40% - Accent3 2 6 2 2 3" xfId="14775" xr:uid="{00000000-0005-0000-0000-0000D3430000}"/>
    <cellStyle name="40% - Accent3 2 6 2 2 3 2" xfId="35255" xr:uid="{00000000-0005-0000-0000-0000D4430000}"/>
    <cellStyle name="40% - Accent3 2 6 2 2 4" xfId="25015" xr:uid="{00000000-0005-0000-0000-0000D5430000}"/>
    <cellStyle name="40% - Accent3 2 6 2 3" xfId="7095" xr:uid="{00000000-0005-0000-0000-0000D6430000}"/>
    <cellStyle name="40% - Accent3 2 6 2 3 2" xfId="17335" xr:uid="{00000000-0005-0000-0000-0000D7430000}"/>
    <cellStyle name="40% - Accent3 2 6 2 3 2 2" xfId="37815" xr:uid="{00000000-0005-0000-0000-0000D8430000}"/>
    <cellStyle name="40% - Accent3 2 6 2 3 3" xfId="27575" xr:uid="{00000000-0005-0000-0000-0000D9430000}"/>
    <cellStyle name="40% - Accent3 2 6 2 4" xfId="12215" xr:uid="{00000000-0005-0000-0000-0000DA430000}"/>
    <cellStyle name="40% - Accent3 2 6 2 4 2" xfId="32695" xr:uid="{00000000-0005-0000-0000-0000DB430000}"/>
    <cellStyle name="40% - Accent3 2 6 2 5" xfId="22455" xr:uid="{00000000-0005-0000-0000-0000DC430000}"/>
    <cellStyle name="40% - Accent3 2 6 3" xfId="3255" xr:uid="{00000000-0005-0000-0000-0000DD430000}"/>
    <cellStyle name="40% - Accent3 2 6 3 2" xfId="8375" xr:uid="{00000000-0005-0000-0000-0000DE430000}"/>
    <cellStyle name="40% - Accent3 2 6 3 2 2" xfId="18615" xr:uid="{00000000-0005-0000-0000-0000DF430000}"/>
    <cellStyle name="40% - Accent3 2 6 3 2 2 2" xfId="39095" xr:uid="{00000000-0005-0000-0000-0000E0430000}"/>
    <cellStyle name="40% - Accent3 2 6 3 2 3" xfId="28855" xr:uid="{00000000-0005-0000-0000-0000E1430000}"/>
    <cellStyle name="40% - Accent3 2 6 3 3" xfId="13495" xr:uid="{00000000-0005-0000-0000-0000E2430000}"/>
    <cellStyle name="40% - Accent3 2 6 3 3 2" xfId="33975" xr:uid="{00000000-0005-0000-0000-0000E3430000}"/>
    <cellStyle name="40% - Accent3 2 6 3 4" xfId="23735" xr:uid="{00000000-0005-0000-0000-0000E4430000}"/>
    <cellStyle name="40% - Accent3 2 6 4" xfId="5815" xr:uid="{00000000-0005-0000-0000-0000E5430000}"/>
    <cellStyle name="40% - Accent3 2 6 4 2" xfId="16055" xr:uid="{00000000-0005-0000-0000-0000E6430000}"/>
    <cellStyle name="40% - Accent3 2 6 4 2 2" xfId="36535" xr:uid="{00000000-0005-0000-0000-0000E7430000}"/>
    <cellStyle name="40% - Accent3 2 6 4 3" xfId="26295" xr:uid="{00000000-0005-0000-0000-0000E8430000}"/>
    <cellStyle name="40% - Accent3 2 6 5" xfId="10935" xr:uid="{00000000-0005-0000-0000-0000E9430000}"/>
    <cellStyle name="40% - Accent3 2 6 5 2" xfId="31415" xr:uid="{00000000-0005-0000-0000-0000EA430000}"/>
    <cellStyle name="40% - Accent3 2 6 6" xfId="21175" xr:uid="{00000000-0005-0000-0000-0000EB430000}"/>
    <cellStyle name="40% - Accent3 2 7" xfId="1335" xr:uid="{00000000-0005-0000-0000-0000EC430000}"/>
    <cellStyle name="40% - Accent3 2 7 2" xfId="3895" xr:uid="{00000000-0005-0000-0000-0000ED430000}"/>
    <cellStyle name="40% - Accent3 2 7 2 2" xfId="9015" xr:uid="{00000000-0005-0000-0000-0000EE430000}"/>
    <cellStyle name="40% - Accent3 2 7 2 2 2" xfId="19255" xr:uid="{00000000-0005-0000-0000-0000EF430000}"/>
    <cellStyle name="40% - Accent3 2 7 2 2 2 2" xfId="39735" xr:uid="{00000000-0005-0000-0000-0000F0430000}"/>
    <cellStyle name="40% - Accent3 2 7 2 2 3" xfId="29495" xr:uid="{00000000-0005-0000-0000-0000F1430000}"/>
    <cellStyle name="40% - Accent3 2 7 2 3" xfId="14135" xr:uid="{00000000-0005-0000-0000-0000F2430000}"/>
    <cellStyle name="40% - Accent3 2 7 2 3 2" xfId="34615" xr:uid="{00000000-0005-0000-0000-0000F3430000}"/>
    <cellStyle name="40% - Accent3 2 7 2 4" xfId="24375" xr:uid="{00000000-0005-0000-0000-0000F4430000}"/>
    <cellStyle name="40% - Accent3 2 7 3" xfId="6455" xr:uid="{00000000-0005-0000-0000-0000F5430000}"/>
    <cellStyle name="40% - Accent3 2 7 3 2" xfId="16695" xr:uid="{00000000-0005-0000-0000-0000F6430000}"/>
    <cellStyle name="40% - Accent3 2 7 3 2 2" xfId="37175" xr:uid="{00000000-0005-0000-0000-0000F7430000}"/>
    <cellStyle name="40% - Accent3 2 7 3 3" xfId="26935" xr:uid="{00000000-0005-0000-0000-0000F8430000}"/>
    <cellStyle name="40% - Accent3 2 7 4" xfId="11575" xr:uid="{00000000-0005-0000-0000-0000F9430000}"/>
    <cellStyle name="40% - Accent3 2 7 4 2" xfId="32055" xr:uid="{00000000-0005-0000-0000-0000FA430000}"/>
    <cellStyle name="40% - Accent3 2 7 5" xfId="21815" xr:uid="{00000000-0005-0000-0000-0000FB430000}"/>
    <cellStyle name="40% - Accent3 2 8" xfId="2615" xr:uid="{00000000-0005-0000-0000-0000FC430000}"/>
    <cellStyle name="40% - Accent3 2 8 2" xfId="7735" xr:uid="{00000000-0005-0000-0000-0000FD430000}"/>
    <cellStyle name="40% - Accent3 2 8 2 2" xfId="17975" xr:uid="{00000000-0005-0000-0000-0000FE430000}"/>
    <cellStyle name="40% - Accent3 2 8 2 2 2" xfId="38455" xr:uid="{00000000-0005-0000-0000-0000FF430000}"/>
    <cellStyle name="40% - Accent3 2 8 2 3" xfId="28215" xr:uid="{00000000-0005-0000-0000-000000440000}"/>
    <cellStyle name="40% - Accent3 2 8 3" xfId="12855" xr:uid="{00000000-0005-0000-0000-000001440000}"/>
    <cellStyle name="40% - Accent3 2 8 3 2" xfId="33335" xr:uid="{00000000-0005-0000-0000-000002440000}"/>
    <cellStyle name="40% - Accent3 2 8 4" xfId="23095" xr:uid="{00000000-0005-0000-0000-000003440000}"/>
    <cellStyle name="40% - Accent3 2 9" xfId="5175" xr:uid="{00000000-0005-0000-0000-000004440000}"/>
    <cellStyle name="40% - Accent3 2 9 2" xfId="15415" xr:uid="{00000000-0005-0000-0000-000005440000}"/>
    <cellStyle name="40% - Accent3 2 9 2 2" xfId="35895" xr:uid="{00000000-0005-0000-0000-000006440000}"/>
    <cellStyle name="40% - Accent3 2 9 3" xfId="25655" xr:uid="{00000000-0005-0000-0000-000007440000}"/>
    <cellStyle name="40% - Accent3 3" xfId="75" xr:uid="{00000000-0005-0000-0000-000008440000}"/>
    <cellStyle name="40% - Accent3 3 10" xfId="20555" xr:uid="{00000000-0005-0000-0000-000009440000}"/>
    <cellStyle name="40% - Accent3 3 2" xfId="155" xr:uid="{00000000-0005-0000-0000-00000A440000}"/>
    <cellStyle name="40% - Accent3 3 2 2" xfId="315" xr:uid="{00000000-0005-0000-0000-00000B440000}"/>
    <cellStyle name="40% - Accent3 3 2 2 2" xfId="635" xr:uid="{00000000-0005-0000-0000-00000C440000}"/>
    <cellStyle name="40% - Accent3 3 2 2 2 2" xfId="1275" xr:uid="{00000000-0005-0000-0000-00000D440000}"/>
    <cellStyle name="40% - Accent3 3 2 2 2 2 2" xfId="2555" xr:uid="{00000000-0005-0000-0000-00000E440000}"/>
    <cellStyle name="40% - Accent3 3 2 2 2 2 2 2" xfId="5115" xr:uid="{00000000-0005-0000-0000-00000F440000}"/>
    <cellStyle name="40% - Accent3 3 2 2 2 2 2 2 2" xfId="10235" xr:uid="{00000000-0005-0000-0000-000010440000}"/>
    <cellStyle name="40% - Accent3 3 2 2 2 2 2 2 2 2" xfId="20475" xr:uid="{00000000-0005-0000-0000-000011440000}"/>
    <cellStyle name="40% - Accent3 3 2 2 2 2 2 2 2 2 2" xfId="40955" xr:uid="{00000000-0005-0000-0000-000012440000}"/>
    <cellStyle name="40% - Accent3 3 2 2 2 2 2 2 2 3" xfId="30715" xr:uid="{00000000-0005-0000-0000-000013440000}"/>
    <cellStyle name="40% - Accent3 3 2 2 2 2 2 2 3" xfId="15355" xr:uid="{00000000-0005-0000-0000-000014440000}"/>
    <cellStyle name="40% - Accent3 3 2 2 2 2 2 2 3 2" xfId="35835" xr:uid="{00000000-0005-0000-0000-000015440000}"/>
    <cellStyle name="40% - Accent3 3 2 2 2 2 2 2 4" xfId="25595" xr:uid="{00000000-0005-0000-0000-000016440000}"/>
    <cellStyle name="40% - Accent3 3 2 2 2 2 2 3" xfId="7675" xr:uid="{00000000-0005-0000-0000-000017440000}"/>
    <cellStyle name="40% - Accent3 3 2 2 2 2 2 3 2" xfId="17915" xr:uid="{00000000-0005-0000-0000-000018440000}"/>
    <cellStyle name="40% - Accent3 3 2 2 2 2 2 3 2 2" xfId="38395" xr:uid="{00000000-0005-0000-0000-000019440000}"/>
    <cellStyle name="40% - Accent3 3 2 2 2 2 2 3 3" xfId="28155" xr:uid="{00000000-0005-0000-0000-00001A440000}"/>
    <cellStyle name="40% - Accent3 3 2 2 2 2 2 4" xfId="12795" xr:uid="{00000000-0005-0000-0000-00001B440000}"/>
    <cellStyle name="40% - Accent3 3 2 2 2 2 2 4 2" xfId="33275" xr:uid="{00000000-0005-0000-0000-00001C440000}"/>
    <cellStyle name="40% - Accent3 3 2 2 2 2 2 5" xfId="23035" xr:uid="{00000000-0005-0000-0000-00001D440000}"/>
    <cellStyle name="40% - Accent3 3 2 2 2 2 3" xfId="3835" xr:uid="{00000000-0005-0000-0000-00001E440000}"/>
    <cellStyle name="40% - Accent3 3 2 2 2 2 3 2" xfId="8955" xr:uid="{00000000-0005-0000-0000-00001F440000}"/>
    <cellStyle name="40% - Accent3 3 2 2 2 2 3 2 2" xfId="19195" xr:uid="{00000000-0005-0000-0000-000020440000}"/>
    <cellStyle name="40% - Accent3 3 2 2 2 2 3 2 2 2" xfId="39675" xr:uid="{00000000-0005-0000-0000-000021440000}"/>
    <cellStyle name="40% - Accent3 3 2 2 2 2 3 2 3" xfId="29435" xr:uid="{00000000-0005-0000-0000-000022440000}"/>
    <cellStyle name="40% - Accent3 3 2 2 2 2 3 3" xfId="14075" xr:uid="{00000000-0005-0000-0000-000023440000}"/>
    <cellStyle name="40% - Accent3 3 2 2 2 2 3 3 2" xfId="34555" xr:uid="{00000000-0005-0000-0000-000024440000}"/>
    <cellStyle name="40% - Accent3 3 2 2 2 2 3 4" xfId="24315" xr:uid="{00000000-0005-0000-0000-000025440000}"/>
    <cellStyle name="40% - Accent3 3 2 2 2 2 4" xfId="6395" xr:uid="{00000000-0005-0000-0000-000026440000}"/>
    <cellStyle name="40% - Accent3 3 2 2 2 2 4 2" xfId="16635" xr:uid="{00000000-0005-0000-0000-000027440000}"/>
    <cellStyle name="40% - Accent3 3 2 2 2 2 4 2 2" xfId="37115" xr:uid="{00000000-0005-0000-0000-000028440000}"/>
    <cellStyle name="40% - Accent3 3 2 2 2 2 4 3" xfId="26875" xr:uid="{00000000-0005-0000-0000-000029440000}"/>
    <cellStyle name="40% - Accent3 3 2 2 2 2 5" xfId="11515" xr:uid="{00000000-0005-0000-0000-00002A440000}"/>
    <cellStyle name="40% - Accent3 3 2 2 2 2 5 2" xfId="31995" xr:uid="{00000000-0005-0000-0000-00002B440000}"/>
    <cellStyle name="40% - Accent3 3 2 2 2 2 6" xfId="21755" xr:uid="{00000000-0005-0000-0000-00002C440000}"/>
    <cellStyle name="40% - Accent3 3 2 2 2 3" xfId="1915" xr:uid="{00000000-0005-0000-0000-00002D440000}"/>
    <cellStyle name="40% - Accent3 3 2 2 2 3 2" xfId="4475" xr:uid="{00000000-0005-0000-0000-00002E440000}"/>
    <cellStyle name="40% - Accent3 3 2 2 2 3 2 2" xfId="9595" xr:uid="{00000000-0005-0000-0000-00002F440000}"/>
    <cellStyle name="40% - Accent3 3 2 2 2 3 2 2 2" xfId="19835" xr:uid="{00000000-0005-0000-0000-000030440000}"/>
    <cellStyle name="40% - Accent3 3 2 2 2 3 2 2 2 2" xfId="40315" xr:uid="{00000000-0005-0000-0000-000031440000}"/>
    <cellStyle name="40% - Accent3 3 2 2 2 3 2 2 3" xfId="30075" xr:uid="{00000000-0005-0000-0000-000032440000}"/>
    <cellStyle name="40% - Accent3 3 2 2 2 3 2 3" xfId="14715" xr:uid="{00000000-0005-0000-0000-000033440000}"/>
    <cellStyle name="40% - Accent3 3 2 2 2 3 2 3 2" xfId="35195" xr:uid="{00000000-0005-0000-0000-000034440000}"/>
    <cellStyle name="40% - Accent3 3 2 2 2 3 2 4" xfId="24955" xr:uid="{00000000-0005-0000-0000-000035440000}"/>
    <cellStyle name="40% - Accent3 3 2 2 2 3 3" xfId="7035" xr:uid="{00000000-0005-0000-0000-000036440000}"/>
    <cellStyle name="40% - Accent3 3 2 2 2 3 3 2" xfId="17275" xr:uid="{00000000-0005-0000-0000-000037440000}"/>
    <cellStyle name="40% - Accent3 3 2 2 2 3 3 2 2" xfId="37755" xr:uid="{00000000-0005-0000-0000-000038440000}"/>
    <cellStyle name="40% - Accent3 3 2 2 2 3 3 3" xfId="27515" xr:uid="{00000000-0005-0000-0000-000039440000}"/>
    <cellStyle name="40% - Accent3 3 2 2 2 3 4" xfId="12155" xr:uid="{00000000-0005-0000-0000-00003A440000}"/>
    <cellStyle name="40% - Accent3 3 2 2 2 3 4 2" xfId="32635" xr:uid="{00000000-0005-0000-0000-00003B440000}"/>
    <cellStyle name="40% - Accent3 3 2 2 2 3 5" xfId="22395" xr:uid="{00000000-0005-0000-0000-00003C440000}"/>
    <cellStyle name="40% - Accent3 3 2 2 2 4" xfId="3195" xr:uid="{00000000-0005-0000-0000-00003D440000}"/>
    <cellStyle name="40% - Accent3 3 2 2 2 4 2" xfId="8315" xr:uid="{00000000-0005-0000-0000-00003E440000}"/>
    <cellStyle name="40% - Accent3 3 2 2 2 4 2 2" xfId="18555" xr:uid="{00000000-0005-0000-0000-00003F440000}"/>
    <cellStyle name="40% - Accent3 3 2 2 2 4 2 2 2" xfId="39035" xr:uid="{00000000-0005-0000-0000-000040440000}"/>
    <cellStyle name="40% - Accent3 3 2 2 2 4 2 3" xfId="28795" xr:uid="{00000000-0005-0000-0000-000041440000}"/>
    <cellStyle name="40% - Accent3 3 2 2 2 4 3" xfId="13435" xr:uid="{00000000-0005-0000-0000-000042440000}"/>
    <cellStyle name="40% - Accent3 3 2 2 2 4 3 2" xfId="33915" xr:uid="{00000000-0005-0000-0000-000043440000}"/>
    <cellStyle name="40% - Accent3 3 2 2 2 4 4" xfId="23675" xr:uid="{00000000-0005-0000-0000-000044440000}"/>
    <cellStyle name="40% - Accent3 3 2 2 2 5" xfId="5755" xr:uid="{00000000-0005-0000-0000-000045440000}"/>
    <cellStyle name="40% - Accent3 3 2 2 2 5 2" xfId="15995" xr:uid="{00000000-0005-0000-0000-000046440000}"/>
    <cellStyle name="40% - Accent3 3 2 2 2 5 2 2" xfId="36475" xr:uid="{00000000-0005-0000-0000-000047440000}"/>
    <cellStyle name="40% - Accent3 3 2 2 2 5 3" xfId="26235" xr:uid="{00000000-0005-0000-0000-000048440000}"/>
    <cellStyle name="40% - Accent3 3 2 2 2 6" xfId="10875" xr:uid="{00000000-0005-0000-0000-000049440000}"/>
    <cellStyle name="40% - Accent3 3 2 2 2 6 2" xfId="31355" xr:uid="{00000000-0005-0000-0000-00004A440000}"/>
    <cellStyle name="40% - Accent3 3 2 2 2 7" xfId="21115" xr:uid="{00000000-0005-0000-0000-00004B440000}"/>
    <cellStyle name="40% - Accent3 3 2 2 3" xfId="955" xr:uid="{00000000-0005-0000-0000-00004C440000}"/>
    <cellStyle name="40% - Accent3 3 2 2 3 2" xfId="2235" xr:uid="{00000000-0005-0000-0000-00004D440000}"/>
    <cellStyle name="40% - Accent3 3 2 2 3 2 2" xfId="4795" xr:uid="{00000000-0005-0000-0000-00004E440000}"/>
    <cellStyle name="40% - Accent3 3 2 2 3 2 2 2" xfId="9915" xr:uid="{00000000-0005-0000-0000-00004F440000}"/>
    <cellStyle name="40% - Accent3 3 2 2 3 2 2 2 2" xfId="20155" xr:uid="{00000000-0005-0000-0000-000050440000}"/>
    <cellStyle name="40% - Accent3 3 2 2 3 2 2 2 2 2" xfId="40635" xr:uid="{00000000-0005-0000-0000-000051440000}"/>
    <cellStyle name="40% - Accent3 3 2 2 3 2 2 2 3" xfId="30395" xr:uid="{00000000-0005-0000-0000-000052440000}"/>
    <cellStyle name="40% - Accent3 3 2 2 3 2 2 3" xfId="15035" xr:uid="{00000000-0005-0000-0000-000053440000}"/>
    <cellStyle name="40% - Accent3 3 2 2 3 2 2 3 2" xfId="35515" xr:uid="{00000000-0005-0000-0000-000054440000}"/>
    <cellStyle name="40% - Accent3 3 2 2 3 2 2 4" xfId="25275" xr:uid="{00000000-0005-0000-0000-000055440000}"/>
    <cellStyle name="40% - Accent3 3 2 2 3 2 3" xfId="7355" xr:uid="{00000000-0005-0000-0000-000056440000}"/>
    <cellStyle name="40% - Accent3 3 2 2 3 2 3 2" xfId="17595" xr:uid="{00000000-0005-0000-0000-000057440000}"/>
    <cellStyle name="40% - Accent3 3 2 2 3 2 3 2 2" xfId="38075" xr:uid="{00000000-0005-0000-0000-000058440000}"/>
    <cellStyle name="40% - Accent3 3 2 2 3 2 3 3" xfId="27835" xr:uid="{00000000-0005-0000-0000-000059440000}"/>
    <cellStyle name="40% - Accent3 3 2 2 3 2 4" xfId="12475" xr:uid="{00000000-0005-0000-0000-00005A440000}"/>
    <cellStyle name="40% - Accent3 3 2 2 3 2 4 2" xfId="32955" xr:uid="{00000000-0005-0000-0000-00005B440000}"/>
    <cellStyle name="40% - Accent3 3 2 2 3 2 5" xfId="22715" xr:uid="{00000000-0005-0000-0000-00005C440000}"/>
    <cellStyle name="40% - Accent3 3 2 2 3 3" xfId="3515" xr:uid="{00000000-0005-0000-0000-00005D440000}"/>
    <cellStyle name="40% - Accent3 3 2 2 3 3 2" xfId="8635" xr:uid="{00000000-0005-0000-0000-00005E440000}"/>
    <cellStyle name="40% - Accent3 3 2 2 3 3 2 2" xfId="18875" xr:uid="{00000000-0005-0000-0000-00005F440000}"/>
    <cellStyle name="40% - Accent3 3 2 2 3 3 2 2 2" xfId="39355" xr:uid="{00000000-0005-0000-0000-000060440000}"/>
    <cellStyle name="40% - Accent3 3 2 2 3 3 2 3" xfId="29115" xr:uid="{00000000-0005-0000-0000-000061440000}"/>
    <cellStyle name="40% - Accent3 3 2 2 3 3 3" xfId="13755" xr:uid="{00000000-0005-0000-0000-000062440000}"/>
    <cellStyle name="40% - Accent3 3 2 2 3 3 3 2" xfId="34235" xr:uid="{00000000-0005-0000-0000-000063440000}"/>
    <cellStyle name="40% - Accent3 3 2 2 3 3 4" xfId="23995" xr:uid="{00000000-0005-0000-0000-000064440000}"/>
    <cellStyle name="40% - Accent3 3 2 2 3 4" xfId="6075" xr:uid="{00000000-0005-0000-0000-000065440000}"/>
    <cellStyle name="40% - Accent3 3 2 2 3 4 2" xfId="16315" xr:uid="{00000000-0005-0000-0000-000066440000}"/>
    <cellStyle name="40% - Accent3 3 2 2 3 4 2 2" xfId="36795" xr:uid="{00000000-0005-0000-0000-000067440000}"/>
    <cellStyle name="40% - Accent3 3 2 2 3 4 3" xfId="26555" xr:uid="{00000000-0005-0000-0000-000068440000}"/>
    <cellStyle name="40% - Accent3 3 2 2 3 5" xfId="11195" xr:uid="{00000000-0005-0000-0000-000069440000}"/>
    <cellStyle name="40% - Accent3 3 2 2 3 5 2" xfId="31675" xr:uid="{00000000-0005-0000-0000-00006A440000}"/>
    <cellStyle name="40% - Accent3 3 2 2 3 6" xfId="21435" xr:uid="{00000000-0005-0000-0000-00006B440000}"/>
    <cellStyle name="40% - Accent3 3 2 2 4" xfId="1595" xr:uid="{00000000-0005-0000-0000-00006C440000}"/>
    <cellStyle name="40% - Accent3 3 2 2 4 2" xfId="4155" xr:uid="{00000000-0005-0000-0000-00006D440000}"/>
    <cellStyle name="40% - Accent3 3 2 2 4 2 2" xfId="9275" xr:uid="{00000000-0005-0000-0000-00006E440000}"/>
    <cellStyle name="40% - Accent3 3 2 2 4 2 2 2" xfId="19515" xr:uid="{00000000-0005-0000-0000-00006F440000}"/>
    <cellStyle name="40% - Accent3 3 2 2 4 2 2 2 2" xfId="39995" xr:uid="{00000000-0005-0000-0000-000070440000}"/>
    <cellStyle name="40% - Accent3 3 2 2 4 2 2 3" xfId="29755" xr:uid="{00000000-0005-0000-0000-000071440000}"/>
    <cellStyle name="40% - Accent3 3 2 2 4 2 3" xfId="14395" xr:uid="{00000000-0005-0000-0000-000072440000}"/>
    <cellStyle name="40% - Accent3 3 2 2 4 2 3 2" xfId="34875" xr:uid="{00000000-0005-0000-0000-000073440000}"/>
    <cellStyle name="40% - Accent3 3 2 2 4 2 4" xfId="24635" xr:uid="{00000000-0005-0000-0000-000074440000}"/>
    <cellStyle name="40% - Accent3 3 2 2 4 3" xfId="6715" xr:uid="{00000000-0005-0000-0000-000075440000}"/>
    <cellStyle name="40% - Accent3 3 2 2 4 3 2" xfId="16955" xr:uid="{00000000-0005-0000-0000-000076440000}"/>
    <cellStyle name="40% - Accent3 3 2 2 4 3 2 2" xfId="37435" xr:uid="{00000000-0005-0000-0000-000077440000}"/>
    <cellStyle name="40% - Accent3 3 2 2 4 3 3" xfId="27195" xr:uid="{00000000-0005-0000-0000-000078440000}"/>
    <cellStyle name="40% - Accent3 3 2 2 4 4" xfId="11835" xr:uid="{00000000-0005-0000-0000-000079440000}"/>
    <cellStyle name="40% - Accent3 3 2 2 4 4 2" xfId="32315" xr:uid="{00000000-0005-0000-0000-00007A440000}"/>
    <cellStyle name="40% - Accent3 3 2 2 4 5" xfId="22075" xr:uid="{00000000-0005-0000-0000-00007B440000}"/>
    <cellStyle name="40% - Accent3 3 2 2 5" xfId="2875" xr:uid="{00000000-0005-0000-0000-00007C440000}"/>
    <cellStyle name="40% - Accent3 3 2 2 5 2" xfId="7995" xr:uid="{00000000-0005-0000-0000-00007D440000}"/>
    <cellStyle name="40% - Accent3 3 2 2 5 2 2" xfId="18235" xr:uid="{00000000-0005-0000-0000-00007E440000}"/>
    <cellStyle name="40% - Accent3 3 2 2 5 2 2 2" xfId="38715" xr:uid="{00000000-0005-0000-0000-00007F440000}"/>
    <cellStyle name="40% - Accent3 3 2 2 5 2 3" xfId="28475" xr:uid="{00000000-0005-0000-0000-000080440000}"/>
    <cellStyle name="40% - Accent3 3 2 2 5 3" xfId="13115" xr:uid="{00000000-0005-0000-0000-000081440000}"/>
    <cellStyle name="40% - Accent3 3 2 2 5 3 2" xfId="33595" xr:uid="{00000000-0005-0000-0000-000082440000}"/>
    <cellStyle name="40% - Accent3 3 2 2 5 4" xfId="23355" xr:uid="{00000000-0005-0000-0000-000083440000}"/>
    <cellStyle name="40% - Accent3 3 2 2 6" xfId="5435" xr:uid="{00000000-0005-0000-0000-000084440000}"/>
    <cellStyle name="40% - Accent3 3 2 2 6 2" xfId="15675" xr:uid="{00000000-0005-0000-0000-000085440000}"/>
    <cellStyle name="40% - Accent3 3 2 2 6 2 2" xfId="36155" xr:uid="{00000000-0005-0000-0000-000086440000}"/>
    <cellStyle name="40% - Accent3 3 2 2 6 3" xfId="25915" xr:uid="{00000000-0005-0000-0000-000087440000}"/>
    <cellStyle name="40% - Accent3 3 2 2 7" xfId="10555" xr:uid="{00000000-0005-0000-0000-000088440000}"/>
    <cellStyle name="40% - Accent3 3 2 2 7 2" xfId="31035" xr:uid="{00000000-0005-0000-0000-000089440000}"/>
    <cellStyle name="40% - Accent3 3 2 2 8" xfId="20795" xr:uid="{00000000-0005-0000-0000-00008A440000}"/>
    <cellStyle name="40% - Accent3 3 2 3" xfId="475" xr:uid="{00000000-0005-0000-0000-00008B440000}"/>
    <cellStyle name="40% - Accent3 3 2 3 2" xfId="1115" xr:uid="{00000000-0005-0000-0000-00008C440000}"/>
    <cellStyle name="40% - Accent3 3 2 3 2 2" xfId="2395" xr:uid="{00000000-0005-0000-0000-00008D440000}"/>
    <cellStyle name="40% - Accent3 3 2 3 2 2 2" xfId="4955" xr:uid="{00000000-0005-0000-0000-00008E440000}"/>
    <cellStyle name="40% - Accent3 3 2 3 2 2 2 2" xfId="10075" xr:uid="{00000000-0005-0000-0000-00008F440000}"/>
    <cellStyle name="40% - Accent3 3 2 3 2 2 2 2 2" xfId="20315" xr:uid="{00000000-0005-0000-0000-000090440000}"/>
    <cellStyle name="40% - Accent3 3 2 3 2 2 2 2 2 2" xfId="40795" xr:uid="{00000000-0005-0000-0000-000091440000}"/>
    <cellStyle name="40% - Accent3 3 2 3 2 2 2 2 3" xfId="30555" xr:uid="{00000000-0005-0000-0000-000092440000}"/>
    <cellStyle name="40% - Accent3 3 2 3 2 2 2 3" xfId="15195" xr:uid="{00000000-0005-0000-0000-000093440000}"/>
    <cellStyle name="40% - Accent3 3 2 3 2 2 2 3 2" xfId="35675" xr:uid="{00000000-0005-0000-0000-000094440000}"/>
    <cellStyle name="40% - Accent3 3 2 3 2 2 2 4" xfId="25435" xr:uid="{00000000-0005-0000-0000-000095440000}"/>
    <cellStyle name="40% - Accent3 3 2 3 2 2 3" xfId="7515" xr:uid="{00000000-0005-0000-0000-000096440000}"/>
    <cellStyle name="40% - Accent3 3 2 3 2 2 3 2" xfId="17755" xr:uid="{00000000-0005-0000-0000-000097440000}"/>
    <cellStyle name="40% - Accent3 3 2 3 2 2 3 2 2" xfId="38235" xr:uid="{00000000-0005-0000-0000-000098440000}"/>
    <cellStyle name="40% - Accent3 3 2 3 2 2 3 3" xfId="27995" xr:uid="{00000000-0005-0000-0000-000099440000}"/>
    <cellStyle name="40% - Accent3 3 2 3 2 2 4" xfId="12635" xr:uid="{00000000-0005-0000-0000-00009A440000}"/>
    <cellStyle name="40% - Accent3 3 2 3 2 2 4 2" xfId="33115" xr:uid="{00000000-0005-0000-0000-00009B440000}"/>
    <cellStyle name="40% - Accent3 3 2 3 2 2 5" xfId="22875" xr:uid="{00000000-0005-0000-0000-00009C440000}"/>
    <cellStyle name="40% - Accent3 3 2 3 2 3" xfId="3675" xr:uid="{00000000-0005-0000-0000-00009D440000}"/>
    <cellStyle name="40% - Accent3 3 2 3 2 3 2" xfId="8795" xr:uid="{00000000-0005-0000-0000-00009E440000}"/>
    <cellStyle name="40% - Accent3 3 2 3 2 3 2 2" xfId="19035" xr:uid="{00000000-0005-0000-0000-00009F440000}"/>
    <cellStyle name="40% - Accent3 3 2 3 2 3 2 2 2" xfId="39515" xr:uid="{00000000-0005-0000-0000-0000A0440000}"/>
    <cellStyle name="40% - Accent3 3 2 3 2 3 2 3" xfId="29275" xr:uid="{00000000-0005-0000-0000-0000A1440000}"/>
    <cellStyle name="40% - Accent3 3 2 3 2 3 3" xfId="13915" xr:uid="{00000000-0005-0000-0000-0000A2440000}"/>
    <cellStyle name="40% - Accent3 3 2 3 2 3 3 2" xfId="34395" xr:uid="{00000000-0005-0000-0000-0000A3440000}"/>
    <cellStyle name="40% - Accent3 3 2 3 2 3 4" xfId="24155" xr:uid="{00000000-0005-0000-0000-0000A4440000}"/>
    <cellStyle name="40% - Accent3 3 2 3 2 4" xfId="6235" xr:uid="{00000000-0005-0000-0000-0000A5440000}"/>
    <cellStyle name="40% - Accent3 3 2 3 2 4 2" xfId="16475" xr:uid="{00000000-0005-0000-0000-0000A6440000}"/>
    <cellStyle name="40% - Accent3 3 2 3 2 4 2 2" xfId="36955" xr:uid="{00000000-0005-0000-0000-0000A7440000}"/>
    <cellStyle name="40% - Accent3 3 2 3 2 4 3" xfId="26715" xr:uid="{00000000-0005-0000-0000-0000A8440000}"/>
    <cellStyle name="40% - Accent3 3 2 3 2 5" xfId="11355" xr:uid="{00000000-0005-0000-0000-0000A9440000}"/>
    <cellStyle name="40% - Accent3 3 2 3 2 5 2" xfId="31835" xr:uid="{00000000-0005-0000-0000-0000AA440000}"/>
    <cellStyle name="40% - Accent3 3 2 3 2 6" xfId="21595" xr:uid="{00000000-0005-0000-0000-0000AB440000}"/>
    <cellStyle name="40% - Accent3 3 2 3 3" xfId="1755" xr:uid="{00000000-0005-0000-0000-0000AC440000}"/>
    <cellStyle name="40% - Accent3 3 2 3 3 2" xfId="4315" xr:uid="{00000000-0005-0000-0000-0000AD440000}"/>
    <cellStyle name="40% - Accent3 3 2 3 3 2 2" xfId="9435" xr:uid="{00000000-0005-0000-0000-0000AE440000}"/>
    <cellStyle name="40% - Accent3 3 2 3 3 2 2 2" xfId="19675" xr:uid="{00000000-0005-0000-0000-0000AF440000}"/>
    <cellStyle name="40% - Accent3 3 2 3 3 2 2 2 2" xfId="40155" xr:uid="{00000000-0005-0000-0000-0000B0440000}"/>
    <cellStyle name="40% - Accent3 3 2 3 3 2 2 3" xfId="29915" xr:uid="{00000000-0005-0000-0000-0000B1440000}"/>
    <cellStyle name="40% - Accent3 3 2 3 3 2 3" xfId="14555" xr:uid="{00000000-0005-0000-0000-0000B2440000}"/>
    <cellStyle name="40% - Accent3 3 2 3 3 2 3 2" xfId="35035" xr:uid="{00000000-0005-0000-0000-0000B3440000}"/>
    <cellStyle name="40% - Accent3 3 2 3 3 2 4" xfId="24795" xr:uid="{00000000-0005-0000-0000-0000B4440000}"/>
    <cellStyle name="40% - Accent3 3 2 3 3 3" xfId="6875" xr:uid="{00000000-0005-0000-0000-0000B5440000}"/>
    <cellStyle name="40% - Accent3 3 2 3 3 3 2" xfId="17115" xr:uid="{00000000-0005-0000-0000-0000B6440000}"/>
    <cellStyle name="40% - Accent3 3 2 3 3 3 2 2" xfId="37595" xr:uid="{00000000-0005-0000-0000-0000B7440000}"/>
    <cellStyle name="40% - Accent3 3 2 3 3 3 3" xfId="27355" xr:uid="{00000000-0005-0000-0000-0000B8440000}"/>
    <cellStyle name="40% - Accent3 3 2 3 3 4" xfId="11995" xr:uid="{00000000-0005-0000-0000-0000B9440000}"/>
    <cellStyle name="40% - Accent3 3 2 3 3 4 2" xfId="32475" xr:uid="{00000000-0005-0000-0000-0000BA440000}"/>
    <cellStyle name="40% - Accent3 3 2 3 3 5" xfId="22235" xr:uid="{00000000-0005-0000-0000-0000BB440000}"/>
    <cellStyle name="40% - Accent3 3 2 3 4" xfId="3035" xr:uid="{00000000-0005-0000-0000-0000BC440000}"/>
    <cellStyle name="40% - Accent3 3 2 3 4 2" xfId="8155" xr:uid="{00000000-0005-0000-0000-0000BD440000}"/>
    <cellStyle name="40% - Accent3 3 2 3 4 2 2" xfId="18395" xr:uid="{00000000-0005-0000-0000-0000BE440000}"/>
    <cellStyle name="40% - Accent3 3 2 3 4 2 2 2" xfId="38875" xr:uid="{00000000-0005-0000-0000-0000BF440000}"/>
    <cellStyle name="40% - Accent3 3 2 3 4 2 3" xfId="28635" xr:uid="{00000000-0005-0000-0000-0000C0440000}"/>
    <cellStyle name="40% - Accent3 3 2 3 4 3" xfId="13275" xr:uid="{00000000-0005-0000-0000-0000C1440000}"/>
    <cellStyle name="40% - Accent3 3 2 3 4 3 2" xfId="33755" xr:uid="{00000000-0005-0000-0000-0000C2440000}"/>
    <cellStyle name="40% - Accent3 3 2 3 4 4" xfId="23515" xr:uid="{00000000-0005-0000-0000-0000C3440000}"/>
    <cellStyle name="40% - Accent3 3 2 3 5" xfId="5595" xr:uid="{00000000-0005-0000-0000-0000C4440000}"/>
    <cellStyle name="40% - Accent3 3 2 3 5 2" xfId="15835" xr:uid="{00000000-0005-0000-0000-0000C5440000}"/>
    <cellStyle name="40% - Accent3 3 2 3 5 2 2" xfId="36315" xr:uid="{00000000-0005-0000-0000-0000C6440000}"/>
    <cellStyle name="40% - Accent3 3 2 3 5 3" xfId="26075" xr:uid="{00000000-0005-0000-0000-0000C7440000}"/>
    <cellStyle name="40% - Accent3 3 2 3 6" xfId="10715" xr:uid="{00000000-0005-0000-0000-0000C8440000}"/>
    <cellStyle name="40% - Accent3 3 2 3 6 2" xfId="31195" xr:uid="{00000000-0005-0000-0000-0000C9440000}"/>
    <cellStyle name="40% - Accent3 3 2 3 7" xfId="20955" xr:uid="{00000000-0005-0000-0000-0000CA440000}"/>
    <cellStyle name="40% - Accent3 3 2 4" xfId="795" xr:uid="{00000000-0005-0000-0000-0000CB440000}"/>
    <cellStyle name="40% - Accent3 3 2 4 2" xfId="2075" xr:uid="{00000000-0005-0000-0000-0000CC440000}"/>
    <cellStyle name="40% - Accent3 3 2 4 2 2" xfId="4635" xr:uid="{00000000-0005-0000-0000-0000CD440000}"/>
    <cellStyle name="40% - Accent3 3 2 4 2 2 2" xfId="9755" xr:uid="{00000000-0005-0000-0000-0000CE440000}"/>
    <cellStyle name="40% - Accent3 3 2 4 2 2 2 2" xfId="19995" xr:uid="{00000000-0005-0000-0000-0000CF440000}"/>
    <cellStyle name="40% - Accent3 3 2 4 2 2 2 2 2" xfId="40475" xr:uid="{00000000-0005-0000-0000-0000D0440000}"/>
    <cellStyle name="40% - Accent3 3 2 4 2 2 2 3" xfId="30235" xr:uid="{00000000-0005-0000-0000-0000D1440000}"/>
    <cellStyle name="40% - Accent3 3 2 4 2 2 3" xfId="14875" xr:uid="{00000000-0005-0000-0000-0000D2440000}"/>
    <cellStyle name="40% - Accent3 3 2 4 2 2 3 2" xfId="35355" xr:uid="{00000000-0005-0000-0000-0000D3440000}"/>
    <cellStyle name="40% - Accent3 3 2 4 2 2 4" xfId="25115" xr:uid="{00000000-0005-0000-0000-0000D4440000}"/>
    <cellStyle name="40% - Accent3 3 2 4 2 3" xfId="7195" xr:uid="{00000000-0005-0000-0000-0000D5440000}"/>
    <cellStyle name="40% - Accent3 3 2 4 2 3 2" xfId="17435" xr:uid="{00000000-0005-0000-0000-0000D6440000}"/>
    <cellStyle name="40% - Accent3 3 2 4 2 3 2 2" xfId="37915" xr:uid="{00000000-0005-0000-0000-0000D7440000}"/>
    <cellStyle name="40% - Accent3 3 2 4 2 3 3" xfId="27675" xr:uid="{00000000-0005-0000-0000-0000D8440000}"/>
    <cellStyle name="40% - Accent3 3 2 4 2 4" xfId="12315" xr:uid="{00000000-0005-0000-0000-0000D9440000}"/>
    <cellStyle name="40% - Accent3 3 2 4 2 4 2" xfId="32795" xr:uid="{00000000-0005-0000-0000-0000DA440000}"/>
    <cellStyle name="40% - Accent3 3 2 4 2 5" xfId="22555" xr:uid="{00000000-0005-0000-0000-0000DB440000}"/>
    <cellStyle name="40% - Accent3 3 2 4 3" xfId="3355" xr:uid="{00000000-0005-0000-0000-0000DC440000}"/>
    <cellStyle name="40% - Accent3 3 2 4 3 2" xfId="8475" xr:uid="{00000000-0005-0000-0000-0000DD440000}"/>
    <cellStyle name="40% - Accent3 3 2 4 3 2 2" xfId="18715" xr:uid="{00000000-0005-0000-0000-0000DE440000}"/>
    <cellStyle name="40% - Accent3 3 2 4 3 2 2 2" xfId="39195" xr:uid="{00000000-0005-0000-0000-0000DF440000}"/>
    <cellStyle name="40% - Accent3 3 2 4 3 2 3" xfId="28955" xr:uid="{00000000-0005-0000-0000-0000E0440000}"/>
    <cellStyle name="40% - Accent3 3 2 4 3 3" xfId="13595" xr:uid="{00000000-0005-0000-0000-0000E1440000}"/>
    <cellStyle name="40% - Accent3 3 2 4 3 3 2" xfId="34075" xr:uid="{00000000-0005-0000-0000-0000E2440000}"/>
    <cellStyle name="40% - Accent3 3 2 4 3 4" xfId="23835" xr:uid="{00000000-0005-0000-0000-0000E3440000}"/>
    <cellStyle name="40% - Accent3 3 2 4 4" xfId="5915" xr:uid="{00000000-0005-0000-0000-0000E4440000}"/>
    <cellStyle name="40% - Accent3 3 2 4 4 2" xfId="16155" xr:uid="{00000000-0005-0000-0000-0000E5440000}"/>
    <cellStyle name="40% - Accent3 3 2 4 4 2 2" xfId="36635" xr:uid="{00000000-0005-0000-0000-0000E6440000}"/>
    <cellStyle name="40% - Accent3 3 2 4 4 3" xfId="26395" xr:uid="{00000000-0005-0000-0000-0000E7440000}"/>
    <cellStyle name="40% - Accent3 3 2 4 5" xfId="11035" xr:uid="{00000000-0005-0000-0000-0000E8440000}"/>
    <cellStyle name="40% - Accent3 3 2 4 5 2" xfId="31515" xr:uid="{00000000-0005-0000-0000-0000E9440000}"/>
    <cellStyle name="40% - Accent3 3 2 4 6" xfId="21275" xr:uid="{00000000-0005-0000-0000-0000EA440000}"/>
    <cellStyle name="40% - Accent3 3 2 5" xfId="1435" xr:uid="{00000000-0005-0000-0000-0000EB440000}"/>
    <cellStyle name="40% - Accent3 3 2 5 2" xfId="3995" xr:uid="{00000000-0005-0000-0000-0000EC440000}"/>
    <cellStyle name="40% - Accent3 3 2 5 2 2" xfId="9115" xr:uid="{00000000-0005-0000-0000-0000ED440000}"/>
    <cellStyle name="40% - Accent3 3 2 5 2 2 2" xfId="19355" xr:uid="{00000000-0005-0000-0000-0000EE440000}"/>
    <cellStyle name="40% - Accent3 3 2 5 2 2 2 2" xfId="39835" xr:uid="{00000000-0005-0000-0000-0000EF440000}"/>
    <cellStyle name="40% - Accent3 3 2 5 2 2 3" xfId="29595" xr:uid="{00000000-0005-0000-0000-0000F0440000}"/>
    <cellStyle name="40% - Accent3 3 2 5 2 3" xfId="14235" xr:uid="{00000000-0005-0000-0000-0000F1440000}"/>
    <cellStyle name="40% - Accent3 3 2 5 2 3 2" xfId="34715" xr:uid="{00000000-0005-0000-0000-0000F2440000}"/>
    <cellStyle name="40% - Accent3 3 2 5 2 4" xfId="24475" xr:uid="{00000000-0005-0000-0000-0000F3440000}"/>
    <cellStyle name="40% - Accent3 3 2 5 3" xfId="6555" xr:uid="{00000000-0005-0000-0000-0000F4440000}"/>
    <cellStyle name="40% - Accent3 3 2 5 3 2" xfId="16795" xr:uid="{00000000-0005-0000-0000-0000F5440000}"/>
    <cellStyle name="40% - Accent3 3 2 5 3 2 2" xfId="37275" xr:uid="{00000000-0005-0000-0000-0000F6440000}"/>
    <cellStyle name="40% - Accent3 3 2 5 3 3" xfId="27035" xr:uid="{00000000-0005-0000-0000-0000F7440000}"/>
    <cellStyle name="40% - Accent3 3 2 5 4" xfId="11675" xr:uid="{00000000-0005-0000-0000-0000F8440000}"/>
    <cellStyle name="40% - Accent3 3 2 5 4 2" xfId="32155" xr:uid="{00000000-0005-0000-0000-0000F9440000}"/>
    <cellStyle name="40% - Accent3 3 2 5 5" xfId="21915" xr:uid="{00000000-0005-0000-0000-0000FA440000}"/>
    <cellStyle name="40% - Accent3 3 2 6" xfId="2715" xr:uid="{00000000-0005-0000-0000-0000FB440000}"/>
    <cellStyle name="40% - Accent3 3 2 6 2" xfId="7835" xr:uid="{00000000-0005-0000-0000-0000FC440000}"/>
    <cellStyle name="40% - Accent3 3 2 6 2 2" xfId="18075" xr:uid="{00000000-0005-0000-0000-0000FD440000}"/>
    <cellStyle name="40% - Accent3 3 2 6 2 2 2" xfId="38555" xr:uid="{00000000-0005-0000-0000-0000FE440000}"/>
    <cellStyle name="40% - Accent3 3 2 6 2 3" xfId="28315" xr:uid="{00000000-0005-0000-0000-0000FF440000}"/>
    <cellStyle name="40% - Accent3 3 2 6 3" xfId="12955" xr:uid="{00000000-0005-0000-0000-000000450000}"/>
    <cellStyle name="40% - Accent3 3 2 6 3 2" xfId="33435" xr:uid="{00000000-0005-0000-0000-000001450000}"/>
    <cellStyle name="40% - Accent3 3 2 6 4" xfId="23195" xr:uid="{00000000-0005-0000-0000-000002450000}"/>
    <cellStyle name="40% - Accent3 3 2 7" xfId="5275" xr:uid="{00000000-0005-0000-0000-000003450000}"/>
    <cellStyle name="40% - Accent3 3 2 7 2" xfId="15515" xr:uid="{00000000-0005-0000-0000-000004450000}"/>
    <cellStyle name="40% - Accent3 3 2 7 2 2" xfId="35995" xr:uid="{00000000-0005-0000-0000-000005450000}"/>
    <cellStyle name="40% - Accent3 3 2 7 3" xfId="25755" xr:uid="{00000000-0005-0000-0000-000006450000}"/>
    <cellStyle name="40% - Accent3 3 2 8" xfId="10395" xr:uid="{00000000-0005-0000-0000-000007450000}"/>
    <cellStyle name="40% - Accent3 3 2 8 2" xfId="30875" xr:uid="{00000000-0005-0000-0000-000008450000}"/>
    <cellStyle name="40% - Accent3 3 2 9" xfId="20635" xr:uid="{00000000-0005-0000-0000-000009450000}"/>
    <cellStyle name="40% - Accent3 3 3" xfId="235" xr:uid="{00000000-0005-0000-0000-00000A450000}"/>
    <cellStyle name="40% - Accent3 3 3 2" xfId="555" xr:uid="{00000000-0005-0000-0000-00000B450000}"/>
    <cellStyle name="40% - Accent3 3 3 2 2" xfId="1195" xr:uid="{00000000-0005-0000-0000-00000C450000}"/>
    <cellStyle name="40% - Accent3 3 3 2 2 2" xfId="2475" xr:uid="{00000000-0005-0000-0000-00000D450000}"/>
    <cellStyle name="40% - Accent3 3 3 2 2 2 2" xfId="5035" xr:uid="{00000000-0005-0000-0000-00000E450000}"/>
    <cellStyle name="40% - Accent3 3 3 2 2 2 2 2" xfId="10155" xr:uid="{00000000-0005-0000-0000-00000F450000}"/>
    <cellStyle name="40% - Accent3 3 3 2 2 2 2 2 2" xfId="20395" xr:uid="{00000000-0005-0000-0000-000010450000}"/>
    <cellStyle name="40% - Accent3 3 3 2 2 2 2 2 2 2" xfId="40875" xr:uid="{00000000-0005-0000-0000-000011450000}"/>
    <cellStyle name="40% - Accent3 3 3 2 2 2 2 2 3" xfId="30635" xr:uid="{00000000-0005-0000-0000-000012450000}"/>
    <cellStyle name="40% - Accent3 3 3 2 2 2 2 3" xfId="15275" xr:uid="{00000000-0005-0000-0000-000013450000}"/>
    <cellStyle name="40% - Accent3 3 3 2 2 2 2 3 2" xfId="35755" xr:uid="{00000000-0005-0000-0000-000014450000}"/>
    <cellStyle name="40% - Accent3 3 3 2 2 2 2 4" xfId="25515" xr:uid="{00000000-0005-0000-0000-000015450000}"/>
    <cellStyle name="40% - Accent3 3 3 2 2 2 3" xfId="7595" xr:uid="{00000000-0005-0000-0000-000016450000}"/>
    <cellStyle name="40% - Accent3 3 3 2 2 2 3 2" xfId="17835" xr:uid="{00000000-0005-0000-0000-000017450000}"/>
    <cellStyle name="40% - Accent3 3 3 2 2 2 3 2 2" xfId="38315" xr:uid="{00000000-0005-0000-0000-000018450000}"/>
    <cellStyle name="40% - Accent3 3 3 2 2 2 3 3" xfId="28075" xr:uid="{00000000-0005-0000-0000-000019450000}"/>
    <cellStyle name="40% - Accent3 3 3 2 2 2 4" xfId="12715" xr:uid="{00000000-0005-0000-0000-00001A450000}"/>
    <cellStyle name="40% - Accent3 3 3 2 2 2 4 2" xfId="33195" xr:uid="{00000000-0005-0000-0000-00001B450000}"/>
    <cellStyle name="40% - Accent3 3 3 2 2 2 5" xfId="22955" xr:uid="{00000000-0005-0000-0000-00001C450000}"/>
    <cellStyle name="40% - Accent3 3 3 2 2 3" xfId="3755" xr:uid="{00000000-0005-0000-0000-00001D450000}"/>
    <cellStyle name="40% - Accent3 3 3 2 2 3 2" xfId="8875" xr:uid="{00000000-0005-0000-0000-00001E450000}"/>
    <cellStyle name="40% - Accent3 3 3 2 2 3 2 2" xfId="19115" xr:uid="{00000000-0005-0000-0000-00001F450000}"/>
    <cellStyle name="40% - Accent3 3 3 2 2 3 2 2 2" xfId="39595" xr:uid="{00000000-0005-0000-0000-000020450000}"/>
    <cellStyle name="40% - Accent3 3 3 2 2 3 2 3" xfId="29355" xr:uid="{00000000-0005-0000-0000-000021450000}"/>
    <cellStyle name="40% - Accent3 3 3 2 2 3 3" xfId="13995" xr:uid="{00000000-0005-0000-0000-000022450000}"/>
    <cellStyle name="40% - Accent3 3 3 2 2 3 3 2" xfId="34475" xr:uid="{00000000-0005-0000-0000-000023450000}"/>
    <cellStyle name="40% - Accent3 3 3 2 2 3 4" xfId="24235" xr:uid="{00000000-0005-0000-0000-000024450000}"/>
    <cellStyle name="40% - Accent3 3 3 2 2 4" xfId="6315" xr:uid="{00000000-0005-0000-0000-000025450000}"/>
    <cellStyle name="40% - Accent3 3 3 2 2 4 2" xfId="16555" xr:uid="{00000000-0005-0000-0000-000026450000}"/>
    <cellStyle name="40% - Accent3 3 3 2 2 4 2 2" xfId="37035" xr:uid="{00000000-0005-0000-0000-000027450000}"/>
    <cellStyle name="40% - Accent3 3 3 2 2 4 3" xfId="26795" xr:uid="{00000000-0005-0000-0000-000028450000}"/>
    <cellStyle name="40% - Accent3 3 3 2 2 5" xfId="11435" xr:uid="{00000000-0005-0000-0000-000029450000}"/>
    <cellStyle name="40% - Accent3 3 3 2 2 5 2" xfId="31915" xr:uid="{00000000-0005-0000-0000-00002A450000}"/>
    <cellStyle name="40% - Accent3 3 3 2 2 6" xfId="21675" xr:uid="{00000000-0005-0000-0000-00002B450000}"/>
    <cellStyle name="40% - Accent3 3 3 2 3" xfId="1835" xr:uid="{00000000-0005-0000-0000-00002C450000}"/>
    <cellStyle name="40% - Accent3 3 3 2 3 2" xfId="4395" xr:uid="{00000000-0005-0000-0000-00002D450000}"/>
    <cellStyle name="40% - Accent3 3 3 2 3 2 2" xfId="9515" xr:uid="{00000000-0005-0000-0000-00002E450000}"/>
    <cellStyle name="40% - Accent3 3 3 2 3 2 2 2" xfId="19755" xr:uid="{00000000-0005-0000-0000-00002F450000}"/>
    <cellStyle name="40% - Accent3 3 3 2 3 2 2 2 2" xfId="40235" xr:uid="{00000000-0005-0000-0000-000030450000}"/>
    <cellStyle name="40% - Accent3 3 3 2 3 2 2 3" xfId="29995" xr:uid="{00000000-0005-0000-0000-000031450000}"/>
    <cellStyle name="40% - Accent3 3 3 2 3 2 3" xfId="14635" xr:uid="{00000000-0005-0000-0000-000032450000}"/>
    <cellStyle name="40% - Accent3 3 3 2 3 2 3 2" xfId="35115" xr:uid="{00000000-0005-0000-0000-000033450000}"/>
    <cellStyle name="40% - Accent3 3 3 2 3 2 4" xfId="24875" xr:uid="{00000000-0005-0000-0000-000034450000}"/>
    <cellStyle name="40% - Accent3 3 3 2 3 3" xfId="6955" xr:uid="{00000000-0005-0000-0000-000035450000}"/>
    <cellStyle name="40% - Accent3 3 3 2 3 3 2" xfId="17195" xr:uid="{00000000-0005-0000-0000-000036450000}"/>
    <cellStyle name="40% - Accent3 3 3 2 3 3 2 2" xfId="37675" xr:uid="{00000000-0005-0000-0000-000037450000}"/>
    <cellStyle name="40% - Accent3 3 3 2 3 3 3" xfId="27435" xr:uid="{00000000-0005-0000-0000-000038450000}"/>
    <cellStyle name="40% - Accent3 3 3 2 3 4" xfId="12075" xr:uid="{00000000-0005-0000-0000-000039450000}"/>
    <cellStyle name="40% - Accent3 3 3 2 3 4 2" xfId="32555" xr:uid="{00000000-0005-0000-0000-00003A450000}"/>
    <cellStyle name="40% - Accent3 3 3 2 3 5" xfId="22315" xr:uid="{00000000-0005-0000-0000-00003B450000}"/>
    <cellStyle name="40% - Accent3 3 3 2 4" xfId="3115" xr:uid="{00000000-0005-0000-0000-00003C450000}"/>
    <cellStyle name="40% - Accent3 3 3 2 4 2" xfId="8235" xr:uid="{00000000-0005-0000-0000-00003D450000}"/>
    <cellStyle name="40% - Accent3 3 3 2 4 2 2" xfId="18475" xr:uid="{00000000-0005-0000-0000-00003E450000}"/>
    <cellStyle name="40% - Accent3 3 3 2 4 2 2 2" xfId="38955" xr:uid="{00000000-0005-0000-0000-00003F450000}"/>
    <cellStyle name="40% - Accent3 3 3 2 4 2 3" xfId="28715" xr:uid="{00000000-0005-0000-0000-000040450000}"/>
    <cellStyle name="40% - Accent3 3 3 2 4 3" xfId="13355" xr:uid="{00000000-0005-0000-0000-000041450000}"/>
    <cellStyle name="40% - Accent3 3 3 2 4 3 2" xfId="33835" xr:uid="{00000000-0005-0000-0000-000042450000}"/>
    <cellStyle name="40% - Accent3 3 3 2 4 4" xfId="23595" xr:uid="{00000000-0005-0000-0000-000043450000}"/>
    <cellStyle name="40% - Accent3 3 3 2 5" xfId="5675" xr:uid="{00000000-0005-0000-0000-000044450000}"/>
    <cellStyle name="40% - Accent3 3 3 2 5 2" xfId="15915" xr:uid="{00000000-0005-0000-0000-000045450000}"/>
    <cellStyle name="40% - Accent3 3 3 2 5 2 2" xfId="36395" xr:uid="{00000000-0005-0000-0000-000046450000}"/>
    <cellStyle name="40% - Accent3 3 3 2 5 3" xfId="26155" xr:uid="{00000000-0005-0000-0000-000047450000}"/>
    <cellStyle name="40% - Accent3 3 3 2 6" xfId="10795" xr:uid="{00000000-0005-0000-0000-000048450000}"/>
    <cellStyle name="40% - Accent3 3 3 2 6 2" xfId="31275" xr:uid="{00000000-0005-0000-0000-000049450000}"/>
    <cellStyle name="40% - Accent3 3 3 2 7" xfId="21035" xr:uid="{00000000-0005-0000-0000-00004A450000}"/>
    <cellStyle name="40% - Accent3 3 3 3" xfId="875" xr:uid="{00000000-0005-0000-0000-00004B450000}"/>
    <cellStyle name="40% - Accent3 3 3 3 2" xfId="2155" xr:uid="{00000000-0005-0000-0000-00004C450000}"/>
    <cellStyle name="40% - Accent3 3 3 3 2 2" xfId="4715" xr:uid="{00000000-0005-0000-0000-00004D450000}"/>
    <cellStyle name="40% - Accent3 3 3 3 2 2 2" xfId="9835" xr:uid="{00000000-0005-0000-0000-00004E450000}"/>
    <cellStyle name="40% - Accent3 3 3 3 2 2 2 2" xfId="20075" xr:uid="{00000000-0005-0000-0000-00004F450000}"/>
    <cellStyle name="40% - Accent3 3 3 3 2 2 2 2 2" xfId="40555" xr:uid="{00000000-0005-0000-0000-000050450000}"/>
    <cellStyle name="40% - Accent3 3 3 3 2 2 2 3" xfId="30315" xr:uid="{00000000-0005-0000-0000-000051450000}"/>
    <cellStyle name="40% - Accent3 3 3 3 2 2 3" xfId="14955" xr:uid="{00000000-0005-0000-0000-000052450000}"/>
    <cellStyle name="40% - Accent3 3 3 3 2 2 3 2" xfId="35435" xr:uid="{00000000-0005-0000-0000-000053450000}"/>
    <cellStyle name="40% - Accent3 3 3 3 2 2 4" xfId="25195" xr:uid="{00000000-0005-0000-0000-000054450000}"/>
    <cellStyle name="40% - Accent3 3 3 3 2 3" xfId="7275" xr:uid="{00000000-0005-0000-0000-000055450000}"/>
    <cellStyle name="40% - Accent3 3 3 3 2 3 2" xfId="17515" xr:uid="{00000000-0005-0000-0000-000056450000}"/>
    <cellStyle name="40% - Accent3 3 3 3 2 3 2 2" xfId="37995" xr:uid="{00000000-0005-0000-0000-000057450000}"/>
    <cellStyle name="40% - Accent3 3 3 3 2 3 3" xfId="27755" xr:uid="{00000000-0005-0000-0000-000058450000}"/>
    <cellStyle name="40% - Accent3 3 3 3 2 4" xfId="12395" xr:uid="{00000000-0005-0000-0000-000059450000}"/>
    <cellStyle name="40% - Accent3 3 3 3 2 4 2" xfId="32875" xr:uid="{00000000-0005-0000-0000-00005A450000}"/>
    <cellStyle name="40% - Accent3 3 3 3 2 5" xfId="22635" xr:uid="{00000000-0005-0000-0000-00005B450000}"/>
    <cellStyle name="40% - Accent3 3 3 3 3" xfId="3435" xr:uid="{00000000-0005-0000-0000-00005C450000}"/>
    <cellStyle name="40% - Accent3 3 3 3 3 2" xfId="8555" xr:uid="{00000000-0005-0000-0000-00005D450000}"/>
    <cellStyle name="40% - Accent3 3 3 3 3 2 2" xfId="18795" xr:uid="{00000000-0005-0000-0000-00005E450000}"/>
    <cellStyle name="40% - Accent3 3 3 3 3 2 2 2" xfId="39275" xr:uid="{00000000-0005-0000-0000-00005F450000}"/>
    <cellStyle name="40% - Accent3 3 3 3 3 2 3" xfId="29035" xr:uid="{00000000-0005-0000-0000-000060450000}"/>
    <cellStyle name="40% - Accent3 3 3 3 3 3" xfId="13675" xr:uid="{00000000-0005-0000-0000-000061450000}"/>
    <cellStyle name="40% - Accent3 3 3 3 3 3 2" xfId="34155" xr:uid="{00000000-0005-0000-0000-000062450000}"/>
    <cellStyle name="40% - Accent3 3 3 3 3 4" xfId="23915" xr:uid="{00000000-0005-0000-0000-000063450000}"/>
    <cellStyle name="40% - Accent3 3 3 3 4" xfId="5995" xr:uid="{00000000-0005-0000-0000-000064450000}"/>
    <cellStyle name="40% - Accent3 3 3 3 4 2" xfId="16235" xr:uid="{00000000-0005-0000-0000-000065450000}"/>
    <cellStyle name="40% - Accent3 3 3 3 4 2 2" xfId="36715" xr:uid="{00000000-0005-0000-0000-000066450000}"/>
    <cellStyle name="40% - Accent3 3 3 3 4 3" xfId="26475" xr:uid="{00000000-0005-0000-0000-000067450000}"/>
    <cellStyle name="40% - Accent3 3 3 3 5" xfId="11115" xr:uid="{00000000-0005-0000-0000-000068450000}"/>
    <cellStyle name="40% - Accent3 3 3 3 5 2" xfId="31595" xr:uid="{00000000-0005-0000-0000-000069450000}"/>
    <cellStyle name="40% - Accent3 3 3 3 6" xfId="21355" xr:uid="{00000000-0005-0000-0000-00006A450000}"/>
    <cellStyle name="40% - Accent3 3 3 4" xfId="1515" xr:uid="{00000000-0005-0000-0000-00006B450000}"/>
    <cellStyle name="40% - Accent3 3 3 4 2" xfId="4075" xr:uid="{00000000-0005-0000-0000-00006C450000}"/>
    <cellStyle name="40% - Accent3 3 3 4 2 2" xfId="9195" xr:uid="{00000000-0005-0000-0000-00006D450000}"/>
    <cellStyle name="40% - Accent3 3 3 4 2 2 2" xfId="19435" xr:uid="{00000000-0005-0000-0000-00006E450000}"/>
    <cellStyle name="40% - Accent3 3 3 4 2 2 2 2" xfId="39915" xr:uid="{00000000-0005-0000-0000-00006F450000}"/>
    <cellStyle name="40% - Accent3 3 3 4 2 2 3" xfId="29675" xr:uid="{00000000-0005-0000-0000-000070450000}"/>
    <cellStyle name="40% - Accent3 3 3 4 2 3" xfId="14315" xr:uid="{00000000-0005-0000-0000-000071450000}"/>
    <cellStyle name="40% - Accent3 3 3 4 2 3 2" xfId="34795" xr:uid="{00000000-0005-0000-0000-000072450000}"/>
    <cellStyle name="40% - Accent3 3 3 4 2 4" xfId="24555" xr:uid="{00000000-0005-0000-0000-000073450000}"/>
    <cellStyle name="40% - Accent3 3 3 4 3" xfId="6635" xr:uid="{00000000-0005-0000-0000-000074450000}"/>
    <cellStyle name="40% - Accent3 3 3 4 3 2" xfId="16875" xr:uid="{00000000-0005-0000-0000-000075450000}"/>
    <cellStyle name="40% - Accent3 3 3 4 3 2 2" xfId="37355" xr:uid="{00000000-0005-0000-0000-000076450000}"/>
    <cellStyle name="40% - Accent3 3 3 4 3 3" xfId="27115" xr:uid="{00000000-0005-0000-0000-000077450000}"/>
    <cellStyle name="40% - Accent3 3 3 4 4" xfId="11755" xr:uid="{00000000-0005-0000-0000-000078450000}"/>
    <cellStyle name="40% - Accent3 3 3 4 4 2" xfId="32235" xr:uid="{00000000-0005-0000-0000-000079450000}"/>
    <cellStyle name="40% - Accent3 3 3 4 5" xfId="21995" xr:uid="{00000000-0005-0000-0000-00007A450000}"/>
    <cellStyle name="40% - Accent3 3 3 5" xfId="2795" xr:uid="{00000000-0005-0000-0000-00007B450000}"/>
    <cellStyle name="40% - Accent3 3 3 5 2" xfId="7915" xr:uid="{00000000-0005-0000-0000-00007C450000}"/>
    <cellStyle name="40% - Accent3 3 3 5 2 2" xfId="18155" xr:uid="{00000000-0005-0000-0000-00007D450000}"/>
    <cellStyle name="40% - Accent3 3 3 5 2 2 2" xfId="38635" xr:uid="{00000000-0005-0000-0000-00007E450000}"/>
    <cellStyle name="40% - Accent3 3 3 5 2 3" xfId="28395" xr:uid="{00000000-0005-0000-0000-00007F450000}"/>
    <cellStyle name="40% - Accent3 3 3 5 3" xfId="13035" xr:uid="{00000000-0005-0000-0000-000080450000}"/>
    <cellStyle name="40% - Accent3 3 3 5 3 2" xfId="33515" xr:uid="{00000000-0005-0000-0000-000081450000}"/>
    <cellStyle name="40% - Accent3 3 3 5 4" xfId="23275" xr:uid="{00000000-0005-0000-0000-000082450000}"/>
    <cellStyle name="40% - Accent3 3 3 6" xfId="5355" xr:uid="{00000000-0005-0000-0000-000083450000}"/>
    <cellStyle name="40% - Accent3 3 3 6 2" xfId="15595" xr:uid="{00000000-0005-0000-0000-000084450000}"/>
    <cellStyle name="40% - Accent3 3 3 6 2 2" xfId="36075" xr:uid="{00000000-0005-0000-0000-000085450000}"/>
    <cellStyle name="40% - Accent3 3 3 6 3" xfId="25835" xr:uid="{00000000-0005-0000-0000-000086450000}"/>
    <cellStyle name="40% - Accent3 3 3 7" xfId="10475" xr:uid="{00000000-0005-0000-0000-000087450000}"/>
    <cellStyle name="40% - Accent3 3 3 7 2" xfId="30955" xr:uid="{00000000-0005-0000-0000-000088450000}"/>
    <cellStyle name="40% - Accent3 3 3 8" xfId="20715" xr:uid="{00000000-0005-0000-0000-000089450000}"/>
    <cellStyle name="40% - Accent3 3 4" xfId="395" xr:uid="{00000000-0005-0000-0000-00008A450000}"/>
    <cellStyle name="40% - Accent3 3 4 2" xfId="1035" xr:uid="{00000000-0005-0000-0000-00008B450000}"/>
    <cellStyle name="40% - Accent3 3 4 2 2" xfId="2315" xr:uid="{00000000-0005-0000-0000-00008C450000}"/>
    <cellStyle name="40% - Accent3 3 4 2 2 2" xfId="4875" xr:uid="{00000000-0005-0000-0000-00008D450000}"/>
    <cellStyle name="40% - Accent3 3 4 2 2 2 2" xfId="9995" xr:uid="{00000000-0005-0000-0000-00008E450000}"/>
    <cellStyle name="40% - Accent3 3 4 2 2 2 2 2" xfId="20235" xr:uid="{00000000-0005-0000-0000-00008F450000}"/>
    <cellStyle name="40% - Accent3 3 4 2 2 2 2 2 2" xfId="40715" xr:uid="{00000000-0005-0000-0000-000090450000}"/>
    <cellStyle name="40% - Accent3 3 4 2 2 2 2 3" xfId="30475" xr:uid="{00000000-0005-0000-0000-000091450000}"/>
    <cellStyle name="40% - Accent3 3 4 2 2 2 3" xfId="15115" xr:uid="{00000000-0005-0000-0000-000092450000}"/>
    <cellStyle name="40% - Accent3 3 4 2 2 2 3 2" xfId="35595" xr:uid="{00000000-0005-0000-0000-000093450000}"/>
    <cellStyle name="40% - Accent3 3 4 2 2 2 4" xfId="25355" xr:uid="{00000000-0005-0000-0000-000094450000}"/>
    <cellStyle name="40% - Accent3 3 4 2 2 3" xfId="7435" xr:uid="{00000000-0005-0000-0000-000095450000}"/>
    <cellStyle name="40% - Accent3 3 4 2 2 3 2" xfId="17675" xr:uid="{00000000-0005-0000-0000-000096450000}"/>
    <cellStyle name="40% - Accent3 3 4 2 2 3 2 2" xfId="38155" xr:uid="{00000000-0005-0000-0000-000097450000}"/>
    <cellStyle name="40% - Accent3 3 4 2 2 3 3" xfId="27915" xr:uid="{00000000-0005-0000-0000-000098450000}"/>
    <cellStyle name="40% - Accent3 3 4 2 2 4" xfId="12555" xr:uid="{00000000-0005-0000-0000-000099450000}"/>
    <cellStyle name="40% - Accent3 3 4 2 2 4 2" xfId="33035" xr:uid="{00000000-0005-0000-0000-00009A450000}"/>
    <cellStyle name="40% - Accent3 3 4 2 2 5" xfId="22795" xr:uid="{00000000-0005-0000-0000-00009B450000}"/>
    <cellStyle name="40% - Accent3 3 4 2 3" xfId="3595" xr:uid="{00000000-0005-0000-0000-00009C450000}"/>
    <cellStyle name="40% - Accent3 3 4 2 3 2" xfId="8715" xr:uid="{00000000-0005-0000-0000-00009D450000}"/>
    <cellStyle name="40% - Accent3 3 4 2 3 2 2" xfId="18955" xr:uid="{00000000-0005-0000-0000-00009E450000}"/>
    <cellStyle name="40% - Accent3 3 4 2 3 2 2 2" xfId="39435" xr:uid="{00000000-0005-0000-0000-00009F450000}"/>
    <cellStyle name="40% - Accent3 3 4 2 3 2 3" xfId="29195" xr:uid="{00000000-0005-0000-0000-0000A0450000}"/>
    <cellStyle name="40% - Accent3 3 4 2 3 3" xfId="13835" xr:uid="{00000000-0005-0000-0000-0000A1450000}"/>
    <cellStyle name="40% - Accent3 3 4 2 3 3 2" xfId="34315" xr:uid="{00000000-0005-0000-0000-0000A2450000}"/>
    <cellStyle name="40% - Accent3 3 4 2 3 4" xfId="24075" xr:uid="{00000000-0005-0000-0000-0000A3450000}"/>
    <cellStyle name="40% - Accent3 3 4 2 4" xfId="6155" xr:uid="{00000000-0005-0000-0000-0000A4450000}"/>
    <cellStyle name="40% - Accent3 3 4 2 4 2" xfId="16395" xr:uid="{00000000-0005-0000-0000-0000A5450000}"/>
    <cellStyle name="40% - Accent3 3 4 2 4 2 2" xfId="36875" xr:uid="{00000000-0005-0000-0000-0000A6450000}"/>
    <cellStyle name="40% - Accent3 3 4 2 4 3" xfId="26635" xr:uid="{00000000-0005-0000-0000-0000A7450000}"/>
    <cellStyle name="40% - Accent3 3 4 2 5" xfId="11275" xr:uid="{00000000-0005-0000-0000-0000A8450000}"/>
    <cellStyle name="40% - Accent3 3 4 2 5 2" xfId="31755" xr:uid="{00000000-0005-0000-0000-0000A9450000}"/>
    <cellStyle name="40% - Accent3 3 4 2 6" xfId="21515" xr:uid="{00000000-0005-0000-0000-0000AA450000}"/>
    <cellStyle name="40% - Accent3 3 4 3" xfId="1675" xr:uid="{00000000-0005-0000-0000-0000AB450000}"/>
    <cellStyle name="40% - Accent3 3 4 3 2" xfId="4235" xr:uid="{00000000-0005-0000-0000-0000AC450000}"/>
    <cellStyle name="40% - Accent3 3 4 3 2 2" xfId="9355" xr:uid="{00000000-0005-0000-0000-0000AD450000}"/>
    <cellStyle name="40% - Accent3 3 4 3 2 2 2" xfId="19595" xr:uid="{00000000-0005-0000-0000-0000AE450000}"/>
    <cellStyle name="40% - Accent3 3 4 3 2 2 2 2" xfId="40075" xr:uid="{00000000-0005-0000-0000-0000AF450000}"/>
    <cellStyle name="40% - Accent3 3 4 3 2 2 3" xfId="29835" xr:uid="{00000000-0005-0000-0000-0000B0450000}"/>
    <cellStyle name="40% - Accent3 3 4 3 2 3" xfId="14475" xr:uid="{00000000-0005-0000-0000-0000B1450000}"/>
    <cellStyle name="40% - Accent3 3 4 3 2 3 2" xfId="34955" xr:uid="{00000000-0005-0000-0000-0000B2450000}"/>
    <cellStyle name="40% - Accent3 3 4 3 2 4" xfId="24715" xr:uid="{00000000-0005-0000-0000-0000B3450000}"/>
    <cellStyle name="40% - Accent3 3 4 3 3" xfId="6795" xr:uid="{00000000-0005-0000-0000-0000B4450000}"/>
    <cellStyle name="40% - Accent3 3 4 3 3 2" xfId="17035" xr:uid="{00000000-0005-0000-0000-0000B5450000}"/>
    <cellStyle name="40% - Accent3 3 4 3 3 2 2" xfId="37515" xr:uid="{00000000-0005-0000-0000-0000B6450000}"/>
    <cellStyle name="40% - Accent3 3 4 3 3 3" xfId="27275" xr:uid="{00000000-0005-0000-0000-0000B7450000}"/>
    <cellStyle name="40% - Accent3 3 4 3 4" xfId="11915" xr:uid="{00000000-0005-0000-0000-0000B8450000}"/>
    <cellStyle name="40% - Accent3 3 4 3 4 2" xfId="32395" xr:uid="{00000000-0005-0000-0000-0000B9450000}"/>
    <cellStyle name="40% - Accent3 3 4 3 5" xfId="22155" xr:uid="{00000000-0005-0000-0000-0000BA450000}"/>
    <cellStyle name="40% - Accent3 3 4 4" xfId="2955" xr:uid="{00000000-0005-0000-0000-0000BB450000}"/>
    <cellStyle name="40% - Accent3 3 4 4 2" xfId="8075" xr:uid="{00000000-0005-0000-0000-0000BC450000}"/>
    <cellStyle name="40% - Accent3 3 4 4 2 2" xfId="18315" xr:uid="{00000000-0005-0000-0000-0000BD450000}"/>
    <cellStyle name="40% - Accent3 3 4 4 2 2 2" xfId="38795" xr:uid="{00000000-0005-0000-0000-0000BE450000}"/>
    <cellStyle name="40% - Accent3 3 4 4 2 3" xfId="28555" xr:uid="{00000000-0005-0000-0000-0000BF450000}"/>
    <cellStyle name="40% - Accent3 3 4 4 3" xfId="13195" xr:uid="{00000000-0005-0000-0000-0000C0450000}"/>
    <cellStyle name="40% - Accent3 3 4 4 3 2" xfId="33675" xr:uid="{00000000-0005-0000-0000-0000C1450000}"/>
    <cellStyle name="40% - Accent3 3 4 4 4" xfId="23435" xr:uid="{00000000-0005-0000-0000-0000C2450000}"/>
    <cellStyle name="40% - Accent3 3 4 5" xfId="5515" xr:uid="{00000000-0005-0000-0000-0000C3450000}"/>
    <cellStyle name="40% - Accent3 3 4 5 2" xfId="15755" xr:uid="{00000000-0005-0000-0000-0000C4450000}"/>
    <cellStyle name="40% - Accent3 3 4 5 2 2" xfId="36235" xr:uid="{00000000-0005-0000-0000-0000C5450000}"/>
    <cellStyle name="40% - Accent3 3 4 5 3" xfId="25995" xr:uid="{00000000-0005-0000-0000-0000C6450000}"/>
    <cellStyle name="40% - Accent3 3 4 6" xfId="10635" xr:uid="{00000000-0005-0000-0000-0000C7450000}"/>
    <cellStyle name="40% - Accent3 3 4 6 2" xfId="31115" xr:uid="{00000000-0005-0000-0000-0000C8450000}"/>
    <cellStyle name="40% - Accent3 3 4 7" xfId="20875" xr:uid="{00000000-0005-0000-0000-0000C9450000}"/>
    <cellStyle name="40% - Accent3 3 5" xfId="715" xr:uid="{00000000-0005-0000-0000-0000CA450000}"/>
    <cellStyle name="40% - Accent3 3 5 2" xfId="1995" xr:uid="{00000000-0005-0000-0000-0000CB450000}"/>
    <cellStyle name="40% - Accent3 3 5 2 2" xfId="4555" xr:uid="{00000000-0005-0000-0000-0000CC450000}"/>
    <cellStyle name="40% - Accent3 3 5 2 2 2" xfId="9675" xr:uid="{00000000-0005-0000-0000-0000CD450000}"/>
    <cellStyle name="40% - Accent3 3 5 2 2 2 2" xfId="19915" xr:uid="{00000000-0005-0000-0000-0000CE450000}"/>
    <cellStyle name="40% - Accent3 3 5 2 2 2 2 2" xfId="40395" xr:uid="{00000000-0005-0000-0000-0000CF450000}"/>
    <cellStyle name="40% - Accent3 3 5 2 2 2 3" xfId="30155" xr:uid="{00000000-0005-0000-0000-0000D0450000}"/>
    <cellStyle name="40% - Accent3 3 5 2 2 3" xfId="14795" xr:uid="{00000000-0005-0000-0000-0000D1450000}"/>
    <cellStyle name="40% - Accent3 3 5 2 2 3 2" xfId="35275" xr:uid="{00000000-0005-0000-0000-0000D2450000}"/>
    <cellStyle name="40% - Accent3 3 5 2 2 4" xfId="25035" xr:uid="{00000000-0005-0000-0000-0000D3450000}"/>
    <cellStyle name="40% - Accent3 3 5 2 3" xfId="7115" xr:uid="{00000000-0005-0000-0000-0000D4450000}"/>
    <cellStyle name="40% - Accent3 3 5 2 3 2" xfId="17355" xr:uid="{00000000-0005-0000-0000-0000D5450000}"/>
    <cellStyle name="40% - Accent3 3 5 2 3 2 2" xfId="37835" xr:uid="{00000000-0005-0000-0000-0000D6450000}"/>
    <cellStyle name="40% - Accent3 3 5 2 3 3" xfId="27595" xr:uid="{00000000-0005-0000-0000-0000D7450000}"/>
    <cellStyle name="40% - Accent3 3 5 2 4" xfId="12235" xr:uid="{00000000-0005-0000-0000-0000D8450000}"/>
    <cellStyle name="40% - Accent3 3 5 2 4 2" xfId="32715" xr:uid="{00000000-0005-0000-0000-0000D9450000}"/>
    <cellStyle name="40% - Accent3 3 5 2 5" xfId="22475" xr:uid="{00000000-0005-0000-0000-0000DA450000}"/>
    <cellStyle name="40% - Accent3 3 5 3" xfId="3275" xr:uid="{00000000-0005-0000-0000-0000DB450000}"/>
    <cellStyle name="40% - Accent3 3 5 3 2" xfId="8395" xr:uid="{00000000-0005-0000-0000-0000DC450000}"/>
    <cellStyle name="40% - Accent3 3 5 3 2 2" xfId="18635" xr:uid="{00000000-0005-0000-0000-0000DD450000}"/>
    <cellStyle name="40% - Accent3 3 5 3 2 2 2" xfId="39115" xr:uid="{00000000-0005-0000-0000-0000DE450000}"/>
    <cellStyle name="40% - Accent3 3 5 3 2 3" xfId="28875" xr:uid="{00000000-0005-0000-0000-0000DF450000}"/>
    <cellStyle name="40% - Accent3 3 5 3 3" xfId="13515" xr:uid="{00000000-0005-0000-0000-0000E0450000}"/>
    <cellStyle name="40% - Accent3 3 5 3 3 2" xfId="33995" xr:uid="{00000000-0005-0000-0000-0000E1450000}"/>
    <cellStyle name="40% - Accent3 3 5 3 4" xfId="23755" xr:uid="{00000000-0005-0000-0000-0000E2450000}"/>
    <cellStyle name="40% - Accent3 3 5 4" xfId="5835" xr:uid="{00000000-0005-0000-0000-0000E3450000}"/>
    <cellStyle name="40% - Accent3 3 5 4 2" xfId="16075" xr:uid="{00000000-0005-0000-0000-0000E4450000}"/>
    <cellStyle name="40% - Accent3 3 5 4 2 2" xfId="36555" xr:uid="{00000000-0005-0000-0000-0000E5450000}"/>
    <cellStyle name="40% - Accent3 3 5 4 3" xfId="26315" xr:uid="{00000000-0005-0000-0000-0000E6450000}"/>
    <cellStyle name="40% - Accent3 3 5 5" xfId="10955" xr:uid="{00000000-0005-0000-0000-0000E7450000}"/>
    <cellStyle name="40% - Accent3 3 5 5 2" xfId="31435" xr:uid="{00000000-0005-0000-0000-0000E8450000}"/>
    <cellStyle name="40% - Accent3 3 5 6" xfId="21195" xr:uid="{00000000-0005-0000-0000-0000E9450000}"/>
    <cellStyle name="40% - Accent3 3 6" xfId="1355" xr:uid="{00000000-0005-0000-0000-0000EA450000}"/>
    <cellStyle name="40% - Accent3 3 6 2" xfId="3915" xr:uid="{00000000-0005-0000-0000-0000EB450000}"/>
    <cellStyle name="40% - Accent3 3 6 2 2" xfId="9035" xr:uid="{00000000-0005-0000-0000-0000EC450000}"/>
    <cellStyle name="40% - Accent3 3 6 2 2 2" xfId="19275" xr:uid="{00000000-0005-0000-0000-0000ED450000}"/>
    <cellStyle name="40% - Accent3 3 6 2 2 2 2" xfId="39755" xr:uid="{00000000-0005-0000-0000-0000EE450000}"/>
    <cellStyle name="40% - Accent3 3 6 2 2 3" xfId="29515" xr:uid="{00000000-0005-0000-0000-0000EF450000}"/>
    <cellStyle name="40% - Accent3 3 6 2 3" xfId="14155" xr:uid="{00000000-0005-0000-0000-0000F0450000}"/>
    <cellStyle name="40% - Accent3 3 6 2 3 2" xfId="34635" xr:uid="{00000000-0005-0000-0000-0000F1450000}"/>
    <cellStyle name="40% - Accent3 3 6 2 4" xfId="24395" xr:uid="{00000000-0005-0000-0000-0000F2450000}"/>
    <cellStyle name="40% - Accent3 3 6 3" xfId="6475" xr:uid="{00000000-0005-0000-0000-0000F3450000}"/>
    <cellStyle name="40% - Accent3 3 6 3 2" xfId="16715" xr:uid="{00000000-0005-0000-0000-0000F4450000}"/>
    <cellStyle name="40% - Accent3 3 6 3 2 2" xfId="37195" xr:uid="{00000000-0005-0000-0000-0000F5450000}"/>
    <cellStyle name="40% - Accent3 3 6 3 3" xfId="26955" xr:uid="{00000000-0005-0000-0000-0000F6450000}"/>
    <cellStyle name="40% - Accent3 3 6 4" xfId="11595" xr:uid="{00000000-0005-0000-0000-0000F7450000}"/>
    <cellStyle name="40% - Accent3 3 6 4 2" xfId="32075" xr:uid="{00000000-0005-0000-0000-0000F8450000}"/>
    <cellStyle name="40% - Accent3 3 6 5" xfId="21835" xr:uid="{00000000-0005-0000-0000-0000F9450000}"/>
    <cellStyle name="40% - Accent3 3 7" xfId="2635" xr:uid="{00000000-0005-0000-0000-0000FA450000}"/>
    <cellStyle name="40% - Accent3 3 7 2" xfId="7755" xr:uid="{00000000-0005-0000-0000-0000FB450000}"/>
    <cellStyle name="40% - Accent3 3 7 2 2" xfId="17995" xr:uid="{00000000-0005-0000-0000-0000FC450000}"/>
    <cellStyle name="40% - Accent3 3 7 2 2 2" xfId="38475" xr:uid="{00000000-0005-0000-0000-0000FD450000}"/>
    <cellStyle name="40% - Accent3 3 7 2 3" xfId="28235" xr:uid="{00000000-0005-0000-0000-0000FE450000}"/>
    <cellStyle name="40% - Accent3 3 7 3" xfId="12875" xr:uid="{00000000-0005-0000-0000-0000FF450000}"/>
    <cellStyle name="40% - Accent3 3 7 3 2" xfId="33355" xr:uid="{00000000-0005-0000-0000-000000460000}"/>
    <cellStyle name="40% - Accent3 3 7 4" xfId="23115" xr:uid="{00000000-0005-0000-0000-000001460000}"/>
    <cellStyle name="40% - Accent3 3 8" xfId="5195" xr:uid="{00000000-0005-0000-0000-000002460000}"/>
    <cellStyle name="40% - Accent3 3 8 2" xfId="15435" xr:uid="{00000000-0005-0000-0000-000003460000}"/>
    <cellStyle name="40% - Accent3 3 8 2 2" xfId="35915" xr:uid="{00000000-0005-0000-0000-000004460000}"/>
    <cellStyle name="40% - Accent3 3 8 3" xfId="25675" xr:uid="{00000000-0005-0000-0000-000005460000}"/>
    <cellStyle name="40% - Accent3 3 9" xfId="10315" xr:uid="{00000000-0005-0000-0000-000006460000}"/>
    <cellStyle name="40% - Accent3 3 9 2" xfId="30795" xr:uid="{00000000-0005-0000-0000-000007460000}"/>
    <cellStyle name="40% - Accent3 4" xfId="115" xr:uid="{00000000-0005-0000-0000-000008460000}"/>
    <cellStyle name="40% - Accent3 4 2" xfId="275" xr:uid="{00000000-0005-0000-0000-000009460000}"/>
    <cellStyle name="40% - Accent3 4 2 2" xfId="595" xr:uid="{00000000-0005-0000-0000-00000A460000}"/>
    <cellStyle name="40% - Accent3 4 2 2 2" xfId="1235" xr:uid="{00000000-0005-0000-0000-00000B460000}"/>
    <cellStyle name="40% - Accent3 4 2 2 2 2" xfId="2515" xr:uid="{00000000-0005-0000-0000-00000C460000}"/>
    <cellStyle name="40% - Accent3 4 2 2 2 2 2" xfId="5075" xr:uid="{00000000-0005-0000-0000-00000D460000}"/>
    <cellStyle name="40% - Accent3 4 2 2 2 2 2 2" xfId="10195" xr:uid="{00000000-0005-0000-0000-00000E460000}"/>
    <cellStyle name="40% - Accent3 4 2 2 2 2 2 2 2" xfId="20435" xr:uid="{00000000-0005-0000-0000-00000F460000}"/>
    <cellStyle name="40% - Accent3 4 2 2 2 2 2 2 2 2" xfId="40915" xr:uid="{00000000-0005-0000-0000-000010460000}"/>
    <cellStyle name="40% - Accent3 4 2 2 2 2 2 2 3" xfId="30675" xr:uid="{00000000-0005-0000-0000-000011460000}"/>
    <cellStyle name="40% - Accent3 4 2 2 2 2 2 3" xfId="15315" xr:uid="{00000000-0005-0000-0000-000012460000}"/>
    <cellStyle name="40% - Accent3 4 2 2 2 2 2 3 2" xfId="35795" xr:uid="{00000000-0005-0000-0000-000013460000}"/>
    <cellStyle name="40% - Accent3 4 2 2 2 2 2 4" xfId="25555" xr:uid="{00000000-0005-0000-0000-000014460000}"/>
    <cellStyle name="40% - Accent3 4 2 2 2 2 3" xfId="7635" xr:uid="{00000000-0005-0000-0000-000015460000}"/>
    <cellStyle name="40% - Accent3 4 2 2 2 2 3 2" xfId="17875" xr:uid="{00000000-0005-0000-0000-000016460000}"/>
    <cellStyle name="40% - Accent3 4 2 2 2 2 3 2 2" xfId="38355" xr:uid="{00000000-0005-0000-0000-000017460000}"/>
    <cellStyle name="40% - Accent3 4 2 2 2 2 3 3" xfId="28115" xr:uid="{00000000-0005-0000-0000-000018460000}"/>
    <cellStyle name="40% - Accent3 4 2 2 2 2 4" xfId="12755" xr:uid="{00000000-0005-0000-0000-000019460000}"/>
    <cellStyle name="40% - Accent3 4 2 2 2 2 4 2" xfId="33235" xr:uid="{00000000-0005-0000-0000-00001A460000}"/>
    <cellStyle name="40% - Accent3 4 2 2 2 2 5" xfId="22995" xr:uid="{00000000-0005-0000-0000-00001B460000}"/>
    <cellStyle name="40% - Accent3 4 2 2 2 3" xfId="3795" xr:uid="{00000000-0005-0000-0000-00001C460000}"/>
    <cellStyle name="40% - Accent3 4 2 2 2 3 2" xfId="8915" xr:uid="{00000000-0005-0000-0000-00001D460000}"/>
    <cellStyle name="40% - Accent3 4 2 2 2 3 2 2" xfId="19155" xr:uid="{00000000-0005-0000-0000-00001E460000}"/>
    <cellStyle name="40% - Accent3 4 2 2 2 3 2 2 2" xfId="39635" xr:uid="{00000000-0005-0000-0000-00001F460000}"/>
    <cellStyle name="40% - Accent3 4 2 2 2 3 2 3" xfId="29395" xr:uid="{00000000-0005-0000-0000-000020460000}"/>
    <cellStyle name="40% - Accent3 4 2 2 2 3 3" xfId="14035" xr:uid="{00000000-0005-0000-0000-000021460000}"/>
    <cellStyle name="40% - Accent3 4 2 2 2 3 3 2" xfId="34515" xr:uid="{00000000-0005-0000-0000-000022460000}"/>
    <cellStyle name="40% - Accent3 4 2 2 2 3 4" xfId="24275" xr:uid="{00000000-0005-0000-0000-000023460000}"/>
    <cellStyle name="40% - Accent3 4 2 2 2 4" xfId="6355" xr:uid="{00000000-0005-0000-0000-000024460000}"/>
    <cellStyle name="40% - Accent3 4 2 2 2 4 2" xfId="16595" xr:uid="{00000000-0005-0000-0000-000025460000}"/>
    <cellStyle name="40% - Accent3 4 2 2 2 4 2 2" xfId="37075" xr:uid="{00000000-0005-0000-0000-000026460000}"/>
    <cellStyle name="40% - Accent3 4 2 2 2 4 3" xfId="26835" xr:uid="{00000000-0005-0000-0000-000027460000}"/>
    <cellStyle name="40% - Accent3 4 2 2 2 5" xfId="11475" xr:uid="{00000000-0005-0000-0000-000028460000}"/>
    <cellStyle name="40% - Accent3 4 2 2 2 5 2" xfId="31955" xr:uid="{00000000-0005-0000-0000-000029460000}"/>
    <cellStyle name="40% - Accent3 4 2 2 2 6" xfId="21715" xr:uid="{00000000-0005-0000-0000-00002A460000}"/>
    <cellStyle name="40% - Accent3 4 2 2 3" xfId="1875" xr:uid="{00000000-0005-0000-0000-00002B460000}"/>
    <cellStyle name="40% - Accent3 4 2 2 3 2" xfId="4435" xr:uid="{00000000-0005-0000-0000-00002C460000}"/>
    <cellStyle name="40% - Accent3 4 2 2 3 2 2" xfId="9555" xr:uid="{00000000-0005-0000-0000-00002D460000}"/>
    <cellStyle name="40% - Accent3 4 2 2 3 2 2 2" xfId="19795" xr:uid="{00000000-0005-0000-0000-00002E460000}"/>
    <cellStyle name="40% - Accent3 4 2 2 3 2 2 2 2" xfId="40275" xr:uid="{00000000-0005-0000-0000-00002F460000}"/>
    <cellStyle name="40% - Accent3 4 2 2 3 2 2 3" xfId="30035" xr:uid="{00000000-0005-0000-0000-000030460000}"/>
    <cellStyle name="40% - Accent3 4 2 2 3 2 3" xfId="14675" xr:uid="{00000000-0005-0000-0000-000031460000}"/>
    <cellStyle name="40% - Accent3 4 2 2 3 2 3 2" xfId="35155" xr:uid="{00000000-0005-0000-0000-000032460000}"/>
    <cellStyle name="40% - Accent3 4 2 2 3 2 4" xfId="24915" xr:uid="{00000000-0005-0000-0000-000033460000}"/>
    <cellStyle name="40% - Accent3 4 2 2 3 3" xfId="6995" xr:uid="{00000000-0005-0000-0000-000034460000}"/>
    <cellStyle name="40% - Accent3 4 2 2 3 3 2" xfId="17235" xr:uid="{00000000-0005-0000-0000-000035460000}"/>
    <cellStyle name="40% - Accent3 4 2 2 3 3 2 2" xfId="37715" xr:uid="{00000000-0005-0000-0000-000036460000}"/>
    <cellStyle name="40% - Accent3 4 2 2 3 3 3" xfId="27475" xr:uid="{00000000-0005-0000-0000-000037460000}"/>
    <cellStyle name="40% - Accent3 4 2 2 3 4" xfId="12115" xr:uid="{00000000-0005-0000-0000-000038460000}"/>
    <cellStyle name="40% - Accent3 4 2 2 3 4 2" xfId="32595" xr:uid="{00000000-0005-0000-0000-000039460000}"/>
    <cellStyle name="40% - Accent3 4 2 2 3 5" xfId="22355" xr:uid="{00000000-0005-0000-0000-00003A460000}"/>
    <cellStyle name="40% - Accent3 4 2 2 4" xfId="3155" xr:uid="{00000000-0005-0000-0000-00003B460000}"/>
    <cellStyle name="40% - Accent3 4 2 2 4 2" xfId="8275" xr:uid="{00000000-0005-0000-0000-00003C460000}"/>
    <cellStyle name="40% - Accent3 4 2 2 4 2 2" xfId="18515" xr:uid="{00000000-0005-0000-0000-00003D460000}"/>
    <cellStyle name="40% - Accent3 4 2 2 4 2 2 2" xfId="38995" xr:uid="{00000000-0005-0000-0000-00003E460000}"/>
    <cellStyle name="40% - Accent3 4 2 2 4 2 3" xfId="28755" xr:uid="{00000000-0005-0000-0000-00003F460000}"/>
    <cellStyle name="40% - Accent3 4 2 2 4 3" xfId="13395" xr:uid="{00000000-0005-0000-0000-000040460000}"/>
    <cellStyle name="40% - Accent3 4 2 2 4 3 2" xfId="33875" xr:uid="{00000000-0005-0000-0000-000041460000}"/>
    <cellStyle name="40% - Accent3 4 2 2 4 4" xfId="23635" xr:uid="{00000000-0005-0000-0000-000042460000}"/>
    <cellStyle name="40% - Accent3 4 2 2 5" xfId="5715" xr:uid="{00000000-0005-0000-0000-000043460000}"/>
    <cellStyle name="40% - Accent3 4 2 2 5 2" xfId="15955" xr:uid="{00000000-0005-0000-0000-000044460000}"/>
    <cellStyle name="40% - Accent3 4 2 2 5 2 2" xfId="36435" xr:uid="{00000000-0005-0000-0000-000045460000}"/>
    <cellStyle name="40% - Accent3 4 2 2 5 3" xfId="26195" xr:uid="{00000000-0005-0000-0000-000046460000}"/>
    <cellStyle name="40% - Accent3 4 2 2 6" xfId="10835" xr:uid="{00000000-0005-0000-0000-000047460000}"/>
    <cellStyle name="40% - Accent3 4 2 2 6 2" xfId="31315" xr:uid="{00000000-0005-0000-0000-000048460000}"/>
    <cellStyle name="40% - Accent3 4 2 2 7" xfId="21075" xr:uid="{00000000-0005-0000-0000-000049460000}"/>
    <cellStyle name="40% - Accent3 4 2 3" xfId="915" xr:uid="{00000000-0005-0000-0000-00004A460000}"/>
    <cellStyle name="40% - Accent3 4 2 3 2" xfId="2195" xr:uid="{00000000-0005-0000-0000-00004B460000}"/>
    <cellStyle name="40% - Accent3 4 2 3 2 2" xfId="4755" xr:uid="{00000000-0005-0000-0000-00004C460000}"/>
    <cellStyle name="40% - Accent3 4 2 3 2 2 2" xfId="9875" xr:uid="{00000000-0005-0000-0000-00004D460000}"/>
    <cellStyle name="40% - Accent3 4 2 3 2 2 2 2" xfId="20115" xr:uid="{00000000-0005-0000-0000-00004E460000}"/>
    <cellStyle name="40% - Accent3 4 2 3 2 2 2 2 2" xfId="40595" xr:uid="{00000000-0005-0000-0000-00004F460000}"/>
    <cellStyle name="40% - Accent3 4 2 3 2 2 2 3" xfId="30355" xr:uid="{00000000-0005-0000-0000-000050460000}"/>
    <cellStyle name="40% - Accent3 4 2 3 2 2 3" xfId="14995" xr:uid="{00000000-0005-0000-0000-000051460000}"/>
    <cellStyle name="40% - Accent3 4 2 3 2 2 3 2" xfId="35475" xr:uid="{00000000-0005-0000-0000-000052460000}"/>
    <cellStyle name="40% - Accent3 4 2 3 2 2 4" xfId="25235" xr:uid="{00000000-0005-0000-0000-000053460000}"/>
    <cellStyle name="40% - Accent3 4 2 3 2 3" xfId="7315" xr:uid="{00000000-0005-0000-0000-000054460000}"/>
    <cellStyle name="40% - Accent3 4 2 3 2 3 2" xfId="17555" xr:uid="{00000000-0005-0000-0000-000055460000}"/>
    <cellStyle name="40% - Accent3 4 2 3 2 3 2 2" xfId="38035" xr:uid="{00000000-0005-0000-0000-000056460000}"/>
    <cellStyle name="40% - Accent3 4 2 3 2 3 3" xfId="27795" xr:uid="{00000000-0005-0000-0000-000057460000}"/>
    <cellStyle name="40% - Accent3 4 2 3 2 4" xfId="12435" xr:uid="{00000000-0005-0000-0000-000058460000}"/>
    <cellStyle name="40% - Accent3 4 2 3 2 4 2" xfId="32915" xr:uid="{00000000-0005-0000-0000-000059460000}"/>
    <cellStyle name="40% - Accent3 4 2 3 2 5" xfId="22675" xr:uid="{00000000-0005-0000-0000-00005A460000}"/>
    <cellStyle name="40% - Accent3 4 2 3 3" xfId="3475" xr:uid="{00000000-0005-0000-0000-00005B460000}"/>
    <cellStyle name="40% - Accent3 4 2 3 3 2" xfId="8595" xr:uid="{00000000-0005-0000-0000-00005C460000}"/>
    <cellStyle name="40% - Accent3 4 2 3 3 2 2" xfId="18835" xr:uid="{00000000-0005-0000-0000-00005D460000}"/>
    <cellStyle name="40% - Accent3 4 2 3 3 2 2 2" xfId="39315" xr:uid="{00000000-0005-0000-0000-00005E460000}"/>
    <cellStyle name="40% - Accent3 4 2 3 3 2 3" xfId="29075" xr:uid="{00000000-0005-0000-0000-00005F460000}"/>
    <cellStyle name="40% - Accent3 4 2 3 3 3" xfId="13715" xr:uid="{00000000-0005-0000-0000-000060460000}"/>
    <cellStyle name="40% - Accent3 4 2 3 3 3 2" xfId="34195" xr:uid="{00000000-0005-0000-0000-000061460000}"/>
    <cellStyle name="40% - Accent3 4 2 3 3 4" xfId="23955" xr:uid="{00000000-0005-0000-0000-000062460000}"/>
    <cellStyle name="40% - Accent3 4 2 3 4" xfId="6035" xr:uid="{00000000-0005-0000-0000-000063460000}"/>
    <cellStyle name="40% - Accent3 4 2 3 4 2" xfId="16275" xr:uid="{00000000-0005-0000-0000-000064460000}"/>
    <cellStyle name="40% - Accent3 4 2 3 4 2 2" xfId="36755" xr:uid="{00000000-0005-0000-0000-000065460000}"/>
    <cellStyle name="40% - Accent3 4 2 3 4 3" xfId="26515" xr:uid="{00000000-0005-0000-0000-000066460000}"/>
    <cellStyle name="40% - Accent3 4 2 3 5" xfId="11155" xr:uid="{00000000-0005-0000-0000-000067460000}"/>
    <cellStyle name="40% - Accent3 4 2 3 5 2" xfId="31635" xr:uid="{00000000-0005-0000-0000-000068460000}"/>
    <cellStyle name="40% - Accent3 4 2 3 6" xfId="21395" xr:uid="{00000000-0005-0000-0000-000069460000}"/>
    <cellStyle name="40% - Accent3 4 2 4" xfId="1555" xr:uid="{00000000-0005-0000-0000-00006A460000}"/>
    <cellStyle name="40% - Accent3 4 2 4 2" xfId="4115" xr:uid="{00000000-0005-0000-0000-00006B460000}"/>
    <cellStyle name="40% - Accent3 4 2 4 2 2" xfId="9235" xr:uid="{00000000-0005-0000-0000-00006C460000}"/>
    <cellStyle name="40% - Accent3 4 2 4 2 2 2" xfId="19475" xr:uid="{00000000-0005-0000-0000-00006D460000}"/>
    <cellStyle name="40% - Accent3 4 2 4 2 2 2 2" xfId="39955" xr:uid="{00000000-0005-0000-0000-00006E460000}"/>
    <cellStyle name="40% - Accent3 4 2 4 2 2 3" xfId="29715" xr:uid="{00000000-0005-0000-0000-00006F460000}"/>
    <cellStyle name="40% - Accent3 4 2 4 2 3" xfId="14355" xr:uid="{00000000-0005-0000-0000-000070460000}"/>
    <cellStyle name="40% - Accent3 4 2 4 2 3 2" xfId="34835" xr:uid="{00000000-0005-0000-0000-000071460000}"/>
    <cellStyle name="40% - Accent3 4 2 4 2 4" xfId="24595" xr:uid="{00000000-0005-0000-0000-000072460000}"/>
    <cellStyle name="40% - Accent3 4 2 4 3" xfId="6675" xr:uid="{00000000-0005-0000-0000-000073460000}"/>
    <cellStyle name="40% - Accent3 4 2 4 3 2" xfId="16915" xr:uid="{00000000-0005-0000-0000-000074460000}"/>
    <cellStyle name="40% - Accent3 4 2 4 3 2 2" xfId="37395" xr:uid="{00000000-0005-0000-0000-000075460000}"/>
    <cellStyle name="40% - Accent3 4 2 4 3 3" xfId="27155" xr:uid="{00000000-0005-0000-0000-000076460000}"/>
    <cellStyle name="40% - Accent3 4 2 4 4" xfId="11795" xr:uid="{00000000-0005-0000-0000-000077460000}"/>
    <cellStyle name="40% - Accent3 4 2 4 4 2" xfId="32275" xr:uid="{00000000-0005-0000-0000-000078460000}"/>
    <cellStyle name="40% - Accent3 4 2 4 5" xfId="22035" xr:uid="{00000000-0005-0000-0000-000079460000}"/>
    <cellStyle name="40% - Accent3 4 2 5" xfId="2835" xr:uid="{00000000-0005-0000-0000-00007A460000}"/>
    <cellStyle name="40% - Accent3 4 2 5 2" xfId="7955" xr:uid="{00000000-0005-0000-0000-00007B460000}"/>
    <cellStyle name="40% - Accent3 4 2 5 2 2" xfId="18195" xr:uid="{00000000-0005-0000-0000-00007C460000}"/>
    <cellStyle name="40% - Accent3 4 2 5 2 2 2" xfId="38675" xr:uid="{00000000-0005-0000-0000-00007D460000}"/>
    <cellStyle name="40% - Accent3 4 2 5 2 3" xfId="28435" xr:uid="{00000000-0005-0000-0000-00007E460000}"/>
    <cellStyle name="40% - Accent3 4 2 5 3" xfId="13075" xr:uid="{00000000-0005-0000-0000-00007F460000}"/>
    <cellStyle name="40% - Accent3 4 2 5 3 2" xfId="33555" xr:uid="{00000000-0005-0000-0000-000080460000}"/>
    <cellStyle name="40% - Accent3 4 2 5 4" xfId="23315" xr:uid="{00000000-0005-0000-0000-000081460000}"/>
    <cellStyle name="40% - Accent3 4 2 6" xfId="5395" xr:uid="{00000000-0005-0000-0000-000082460000}"/>
    <cellStyle name="40% - Accent3 4 2 6 2" xfId="15635" xr:uid="{00000000-0005-0000-0000-000083460000}"/>
    <cellStyle name="40% - Accent3 4 2 6 2 2" xfId="36115" xr:uid="{00000000-0005-0000-0000-000084460000}"/>
    <cellStyle name="40% - Accent3 4 2 6 3" xfId="25875" xr:uid="{00000000-0005-0000-0000-000085460000}"/>
    <cellStyle name="40% - Accent3 4 2 7" xfId="10515" xr:uid="{00000000-0005-0000-0000-000086460000}"/>
    <cellStyle name="40% - Accent3 4 2 7 2" xfId="30995" xr:uid="{00000000-0005-0000-0000-000087460000}"/>
    <cellStyle name="40% - Accent3 4 2 8" xfId="20755" xr:uid="{00000000-0005-0000-0000-000088460000}"/>
    <cellStyle name="40% - Accent3 4 3" xfId="435" xr:uid="{00000000-0005-0000-0000-000089460000}"/>
    <cellStyle name="40% - Accent3 4 3 2" xfId="1075" xr:uid="{00000000-0005-0000-0000-00008A460000}"/>
    <cellStyle name="40% - Accent3 4 3 2 2" xfId="2355" xr:uid="{00000000-0005-0000-0000-00008B460000}"/>
    <cellStyle name="40% - Accent3 4 3 2 2 2" xfId="4915" xr:uid="{00000000-0005-0000-0000-00008C460000}"/>
    <cellStyle name="40% - Accent3 4 3 2 2 2 2" xfId="10035" xr:uid="{00000000-0005-0000-0000-00008D460000}"/>
    <cellStyle name="40% - Accent3 4 3 2 2 2 2 2" xfId="20275" xr:uid="{00000000-0005-0000-0000-00008E460000}"/>
    <cellStyle name="40% - Accent3 4 3 2 2 2 2 2 2" xfId="40755" xr:uid="{00000000-0005-0000-0000-00008F460000}"/>
    <cellStyle name="40% - Accent3 4 3 2 2 2 2 3" xfId="30515" xr:uid="{00000000-0005-0000-0000-000090460000}"/>
    <cellStyle name="40% - Accent3 4 3 2 2 2 3" xfId="15155" xr:uid="{00000000-0005-0000-0000-000091460000}"/>
    <cellStyle name="40% - Accent3 4 3 2 2 2 3 2" xfId="35635" xr:uid="{00000000-0005-0000-0000-000092460000}"/>
    <cellStyle name="40% - Accent3 4 3 2 2 2 4" xfId="25395" xr:uid="{00000000-0005-0000-0000-000093460000}"/>
    <cellStyle name="40% - Accent3 4 3 2 2 3" xfId="7475" xr:uid="{00000000-0005-0000-0000-000094460000}"/>
    <cellStyle name="40% - Accent3 4 3 2 2 3 2" xfId="17715" xr:uid="{00000000-0005-0000-0000-000095460000}"/>
    <cellStyle name="40% - Accent3 4 3 2 2 3 2 2" xfId="38195" xr:uid="{00000000-0005-0000-0000-000096460000}"/>
    <cellStyle name="40% - Accent3 4 3 2 2 3 3" xfId="27955" xr:uid="{00000000-0005-0000-0000-000097460000}"/>
    <cellStyle name="40% - Accent3 4 3 2 2 4" xfId="12595" xr:uid="{00000000-0005-0000-0000-000098460000}"/>
    <cellStyle name="40% - Accent3 4 3 2 2 4 2" xfId="33075" xr:uid="{00000000-0005-0000-0000-000099460000}"/>
    <cellStyle name="40% - Accent3 4 3 2 2 5" xfId="22835" xr:uid="{00000000-0005-0000-0000-00009A460000}"/>
    <cellStyle name="40% - Accent3 4 3 2 3" xfId="3635" xr:uid="{00000000-0005-0000-0000-00009B460000}"/>
    <cellStyle name="40% - Accent3 4 3 2 3 2" xfId="8755" xr:uid="{00000000-0005-0000-0000-00009C460000}"/>
    <cellStyle name="40% - Accent3 4 3 2 3 2 2" xfId="18995" xr:uid="{00000000-0005-0000-0000-00009D460000}"/>
    <cellStyle name="40% - Accent3 4 3 2 3 2 2 2" xfId="39475" xr:uid="{00000000-0005-0000-0000-00009E460000}"/>
    <cellStyle name="40% - Accent3 4 3 2 3 2 3" xfId="29235" xr:uid="{00000000-0005-0000-0000-00009F460000}"/>
    <cellStyle name="40% - Accent3 4 3 2 3 3" xfId="13875" xr:uid="{00000000-0005-0000-0000-0000A0460000}"/>
    <cellStyle name="40% - Accent3 4 3 2 3 3 2" xfId="34355" xr:uid="{00000000-0005-0000-0000-0000A1460000}"/>
    <cellStyle name="40% - Accent3 4 3 2 3 4" xfId="24115" xr:uid="{00000000-0005-0000-0000-0000A2460000}"/>
    <cellStyle name="40% - Accent3 4 3 2 4" xfId="6195" xr:uid="{00000000-0005-0000-0000-0000A3460000}"/>
    <cellStyle name="40% - Accent3 4 3 2 4 2" xfId="16435" xr:uid="{00000000-0005-0000-0000-0000A4460000}"/>
    <cellStyle name="40% - Accent3 4 3 2 4 2 2" xfId="36915" xr:uid="{00000000-0005-0000-0000-0000A5460000}"/>
    <cellStyle name="40% - Accent3 4 3 2 4 3" xfId="26675" xr:uid="{00000000-0005-0000-0000-0000A6460000}"/>
    <cellStyle name="40% - Accent3 4 3 2 5" xfId="11315" xr:uid="{00000000-0005-0000-0000-0000A7460000}"/>
    <cellStyle name="40% - Accent3 4 3 2 5 2" xfId="31795" xr:uid="{00000000-0005-0000-0000-0000A8460000}"/>
    <cellStyle name="40% - Accent3 4 3 2 6" xfId="21555" xr:uid="{00000000-0005-0000-0000-0000A9460000}"/>
    <cellStyle name="40% - Accent3 4 3 3" xfId="1715" xr:uid="{00000000-0005-0000-0000-0000AA460000}"/>
    <cellStyle name="40% - Accent3 4 3 3 2" xfId="4275" xr:uid="{00000000-0005-0000-0000-0000AB460000}"/>
    <cellStyle name="40% - Accent3 4 3 3 2 2" xfId="9395" xr:uid="{00000000-0005-0000-0000-0000AC460000}"/>
    <cellStyle name="40% - Accent3 4 3 3 2 2 2" xfId="19635" xr:uid="{00000000-0005-0000-0000-0000AD460000}"/>
    <cellStyle name="40% - Accent3 4 3 3 2 2 2 2" xfId="40115" xr:uid="{00000000-0005-0000-0000-0000AE460000}"/>
    <cellStyle name="40% - Accent3 4 3 3 2 2 3" xfId="29875" xr:uid="{00000000-0005-0000-0000-0000AF460000}"/>
    <cellStyle name="40% - Accent3 4 3 3 2 3" xfId="14515" xr:uid="{00000000-0005-0000-0000-0000B0460000}"/>
    <cellStyle name="40% - Accent3 4 3 3 2 3 2" xfId="34995" xr:uid="{00000000-0005-0000-0000-0000B1460000}"/>
    <cellStyle name="40% - Accent3 4 3 3 2 4" xfId="24755" xr:uid="{00000000-0005-0000-0000-0000B2460000}"/>
    <cellStyle name="40% - Accent3 4 3 3 3" xfId="6835" xr:uid="{00000000-0005-0000-0000-0000B3460000}"/>
    <cellStyle name="40% - Accent3 4 3 3 3 2" xfId="17075" xr:uid="{00000000-0005-0000-0000-0000B4460000}"/>
    <cellStyle name="40% - Accent3 4 3 3 3 2 2" xfId="37555" xr:uid="{00000000-0005-0000-0000-0000B5460000}"/>
    <cellStyle name="40% - Accent3 4 3 3 3 3" xfId="27315" xr:uid="{00000000-0005-0000-0000-0000B6460000}"/>
    <cellStyle name="40% - Accent3 4 3 3 4" xfId="11955" xr:uid="{00000000-0005-0000-0000-0000B7460000}"/>
    <cellStyle name="40% - Accent3 4 3 3 4 2" xfId="32435" xr:uid="{00000000-0005-0000-0000-0000B8460000}"/>
    <cellStyle name="40% - Accent3 4 3 3 5" xfId="22195" xr:uid="{00000000-0005-0000-0000-0000B9460000}"/>
    <cellStyle name="40% - Accent3 4 3 4" xfId="2995" xr:uid="{00000000-0005-0000-0000-0000BA460000}"/>
    <cellStyle name="40% - Accent3 4 3 4 2" xfId="8115" xr:uid="{00000000-0005-0000-0000-0000BB460000}"/>
    <cellStyle name="40% - Accent3 4 3 4 2 2" xfId="18355" xr:uid="{00000000-0005-0000-0000-0000BC460000}"/>
    <cellStyle name="40% - Accent3 4 3 4 2 2 2" xfId="38835" xr:uid="{00000000-0005-0000-0000-0000BD460000}"/>
    <cellStyle name="40% - Accent3 4 3 4 2 3" xfId="28595" xr:uid="{00000000-0005-0000-0000-0000BE460000}"/>
    <cellStyle name="40% - Accent3 4 3 4 3" xfId="13235" xr:uid="{00000000-0005-0000-0000-0000BF460000}"/>
    <cellStyle name="40% - Accent3 4 3 4 3 2" xfId="33715" xr:uid="{00000000-0005-0000-0000-0000C0460000}"/>
    <cellStyle name="40% - Accent3 4 3 4 4" xfId="23475" xr:uid="{00000000-0005-0000-0000-0000C1460000}"/>
    <cellStyle name="40% - Accent3 4 3 5" xfId="5555" xr:uid="{00000000-0005-0000-0000-0000C2460000}"/>
    <cellStyle name="40% - Accent3 4 3 5 2" xfId="15795" xr:uid="{00000000-0005-0000-0000-0000C3460000}"/>
    <cellStyle name="40% - Accent3 4 3 5 2 2" xfId="36275" xr:uid="{00000000-0005-0000-0000-0000C4460000}"/>
    <cellStyle name="40% - Accent3 4 3 5 3" xfId="26035" xr:uid="{00000000-0005-0000-0000-0000C5460000}"/>
    <cellStyle name="40% - Accent3 4 3 6" xfId="10675" xr:uid="{00000000-0005-0000-0000-0000C6460000}"/>
    <cellStyle name="40% - Accent3 4 3 6 2" xfId="31155" xr:uid="{00000000-0005-0000-0000-0000C7460000}"/>
    <cellStyle name="40% - Accent3 4 3 7" xfId="20915" xr:uid="{00000000-0005-0000-0000-0000C8460000}"/>
    <cellStyle name="40% - Accent3 4 4" xfId="755" xr:uid="{00000000-0005-0000-0000-0000C9460000}"/>
    <cellStyle name="40% - Accent3 4 4 2" xfId="2035" xr:uid="{00000000-0005-0000-0000-0000CA460000}"/>
    <cellStyle name="40% - Accent3 4 4 2 2" xfId="4595" xr:uid="{00000000-0005-0000-0000-0000CB460000}"/>
    <cellStyle name="40% - Accent3 4 4 2 2 2" xfId="9715" xr:uid="{00000000-0005-0000-0000-0000CC460000}"/>
    <cellStyle name="40% - Accent3 4 4 2 2 2 2" xfId="19955" xr:uid="{00000000-0005-0000-0000-0000CD460000}"/>
    <cellStyle name="40% - Accent3 4 4 2 2 2 2 2" xfId="40435" xr:uid="{00000000-0005-0000-0000-0000CE460000}"/>
    <cellStyle name="40% - Accent3 4 4 2 2 2 3" xfId="30195" xr:uid="{00000000-0005-0000-0000-0000CF460000}"/>
    <cellStyle name="40% - Accent3 4 4 2 2 3" xfId="14835" xr:uid="{00000000-0005-0000-0000-0000D0460000}"/>
    <cellStyle name="40% - Accent3 4 4 2 2 3 2" xfId="35315" xr:uid="{00000000-0005-0000-0000-0000D1460000}"/>
    <cellStyle name="40% - Accent3 4 4 2 2 4" xfId="25075" xr:uid="{00000000-0005-0000-0000-0000D2460000}"/>
    <cellStyle name="40% - Accent3 4 4 2 3" xfId="7155" xr:uid="{00000000-0005-0000-0000-0000D3460000}"/>
    <cellStyle name="40% - Accent3 4 4 2 3 2" xfId="17395" xr:uid="{00000000-0005-0000-0000-0000D4460000}"/>
    <cellStyle name="40% - Accent3 4 4 2 3 2 2" xfId="37875" xr:uid="{00000000-0005-0000-0000-0000D5460000}"/>
    <cellStyle name="40% - Accent3 4 4 2 3 3" xfId="27635" xr:uid="{00000000-0005-0000-0000-0000D6460000}"/>
    <cellStyle name="40% - Accent3 4 4 2 4" xfId="12275" xr:uid="{00000000-0005-0000-0000-0000D7460000}"/>
    <cellStyle name="40% - Accent3 4 4 2 4 2" xfId="32755" xr:uid="{00000000-0005-0000-0000-0000D8460000}"/>
    <cellStyle name="40% - Accent3 4 4 2 5" xfId="22515" xr:uid="{00000000-0005-0000-0000-0000D9460000}"/>
    <cellStyle name="40% - Accent3 4 4 3" xfId="3315" xr:uid="{00000000-0005-0000-0000-0000DA460000}"/>
    <cellStyle name="40% - Accent3 4 4 3 2" xfId="8435" xr:uid="{00000000-0005-0000-0000-0000DB460000}"/>
    <cellStyle name="40% - Accent3 4 4 3 2 2" xfId="18675" xr:uid="{00000000-0005-0000-0000-0000DC460000}"/>
    <cellStyle name="40% - Accent3 4 4 3 2 2 2" xfId="39155" xr:uid="{00000000-0005-0000-0000-0000DD460000}"/>
    <cellStyle name="40% - Accent3 4 4 3 2 3" xfId="28915" xr:uid="{00000000-0005-0000-0000-0000DE460000}"/>
    <cellStyle name="40% - Accent3 4 4 3 3" xfId="13555" xr:uid="{00000000-0005-0000-0000-0000DF460000}"/>
    <cellStyle name="40% - Accent3 4 4 3 3 2" xfId="34035" xr:uid="{00000000-0005-0000-0000-0000E0460000}"/>
    <cellStyle name="40% - Accent3 4 4 3 4" xfId="23795" xr:uid="{00000000-0005-0000-0000-0000E1460000}"/>
    <cellStyle name="40% - Accent3 4 4 4" xfId="5875" xr:uid="{00000000-0005-0000-0000-0000E2460000}"/>
    <cellStyle name="40% - Accent3 4 4 4 2" xfId="16115" xr:uid="{00000000-0005-0000-0000-0000E3460000}"/>
    <cellStyle name="40% - Accent3 4 4 4 2 2" xfId="36595" xr:uid="{00000000-0005-0000-0000-0000E4460000}"/>
    <cellStyle name="40% - Accent3 4 4 4 3" xfId="26355" xr:uid="{00000000-0005-0000-0000-0000E5460000}"/>
    <cellStyle name="40% - Accent3 4 4 5" xfId="10995" xr:uid="{00000000-0005-0000-0000-0000E6460000}"/>
    <cellStyle name="40% - Accent3 4 4 5 2" xfId="31475" xr:uid="{00000000-0005-0000-0000-0000E7460000}"/>
    <cellStyle name="40% - Accent3 4 4 6" xfId="21235" xr:uid="{00000000-0005-0000-0000-0000E8460000}"/>
    <cellStyle name="40% - Accent3 4 5" xfId="1395" xr:uid="{00000000-0005-0000-0000-0000E9460000}"/>
    <cellStyle name="40% - Accent3 4 5 2" xfId="3955" xr:uid="{00000000-0005-0000-0000-0000EA460000}"/>
    <cellStyle name="40% - Accent3 4 5 2 2" xfId="9075" xr:uid="{00000000-0005-0000-0000-0000EB460000}"/>
    <cellStyle name="40% - Accent3 4 5 2 2 2" xfId="19315" xr:uid="{00000000-0005-0000-0000-0000EC460000}"/>
    <cellStyle name="40% - Accent3 4 5 2 2 2 2" xfId="39795" xr:uid="{00000000-0005-0000-0000-0000ED460000}"/>
    <cellStyle name="40% - Accent3 4 5 2 2 3" xfId="29555" xr:uid="{00000000-0005-0000-0000-0000EE460000}"/>
    <cellStyle name="40% - Accent3 4 5 2 3" xfId="14195" xr:uid="{00000000-0005-0000-0000-0000EF460000}"/>
    <cellStyle name="40% - Accent3 4 5 2 3 2" xfId="34675" xr:uid="{00000000-0005-0000-0000-0000F0460000}"/>
    <cellStyle name="40% - Accent3 4 5 2 4" xfId="24435" xr:uid="{00000000-0005-0000-0000-0000F1460000}"/>
    <cellStyle name="40% - Accent3 4 5 3" xfId="6515" xr:uid="{00000000-0005-0000-0000-0000F2460000}"/>
    <cellStyle name="40% - Accent3 4 5 3 2" xfId="16755" xr:uid="{00000000-0005-0000-0000-0000F3460000}"/>
    <cellStyle name="40% - Accent3 4 5 3 2 2" xfId="37235" xr:uid="{00000000-0005-0000-0000-0000F4460000}"/>
    <cellStyle name="40% - Accent3 4 5 3 3" xfId="26995" xr:uid="{00000000-0005-0000-0000-0000F5460000}"/>
    <cellStyle name="40% - Accent3 4 5 4" xfId="11635" xr:uid="{00000000-0005-0000-0000-0000F6460000}"/>
    <cellStyle name="40% - Accent3 4 5 4 2" xfId="32115" xr:uid="{00000000-0005-0000-0000-0000F7460000}"/>
    <cellStyle name="40% - Accent3 4 5 5" xfId="21875" xr:uid="{00000000-0005-0000-0000-0000F8460000}"/>
    <cellStyle name="40% - Accent3 4 6" xfId="2675" xr:uid="{00000000-0005-0000-0000-0000F9460000}"/>
    <cellStyle name="40% - Accent3 4 6 2" xfId="7795" xr:uid="{00000000-0005-0000-0000-0000FA460000}"/>
    <cellStyle name="40% - Accent3 4 6 2 2" xfId="18035" xr:uid="{00000000-0005-0000-0000-0000FB460000}"/>
    <cellStyle name="40% - Accent3 4 6 2 2 2" xfId="38515" xr:uid="{00000000-0005-0000-0000-0000FC460000}"/>
    <cellStyle name="40% - Accent3 4 6 2 3" xfId="28275" xr:uid="{00000000-0005-0000-0000-0000FD460000}"/>
    <cellStyle name="40% - Accent3 4 6 3" xfId="12915" xr:uid="{00000000-0005-0000-0000-0000FE460000}"/>
    <cellStyle name="40% - Accent3 4 6 3 2" xfId="33395" xr:uid="{00000000-0005-0000-0000-0000FF460000}"/>
    <cellStyle name="40% - Accent3 4 6 4" xfId="23155" xr:uid="{00000000-0005-0000-0000-000000470000}"/>
    <cellStyle name="40% - Accent3 4 7" xfId="5235" xr:uid="{00000000-0005-0000-0000-000001470000}"/>
    <cellStyle name="40% - Accent3 4 7 2" xfId="15475" xr:uid="{00000000-0005-0000-0000-000002470000}"/>
    <cellStyle name="40% - Accent3 4 7 2 2" xfId="35955" xr:uid="{00000000-0005-0000-0000-000003470000}"/>
    <cellStyle name="40% - Accent3 4 7 3" xfId="25715" xr:uid="{00000000-0005-0000-0000-000004470000}"/>
    <cellStyle name="40% - Accent3 4 8" xfId="10355" xr:uid="{00000000-0005-0000-0000-000005470000}"/>
    <cellStyle name="40% - Accent3 4 8 2" xfId="30835" xr:uid="{00000000-0005-0000-0000-000006470000}"/>
    <cellStyle name="40% - Accent3 4 9" xfId="20595" xr:uid="{00000000-0005-0000-0000-000007470000}"/>
    <cellStyle name="40% - Accent3 5" xfId="195" xr:uid="{00000000-0005-0000-0000-000008470000}"/>
    <cellStyle name="40% - Accent3 5 2" xfId="515" xr:uid="{00000000-0005-0000-0000-000009470000}"/>
    <cellStyle name="40% - Accent3 5 2 2" xfId="1155" xr:uid="{00000000-0005-0000-0000-00000A470000}"/>
    <cellStyle name="40% - Accent3 5 2 2 2" xfId="2435" xr:uid="{00000000-0005-0000-0000-00000B470000}"/>
    <cellStyle name="40% - Accent3 5 2 2 2 2" xfId="4995" xr:uid="{00000000-0005-0000-0000-00000C470000}"/>
    <cellStyle name="40% - Accent3 5 2 2 2 2 2" xfId="10115" xr:uid="{00000000-0005-0000-0000-00000D470000}"/>
    <cellStyle name="40% - Accent3 5 2 2 2 2 2 2" xfId="20355" xr:uid="{00000000-0005-0000-0000-00000E470000}"/>
    <cellStyle name="40% - Accent3 5 2 2 2 2 2 2 2" xfId="40835" xr:uid="{00000000-0005-0000-0000-00000F470000}"/>
    <cellStyle name="40% - Accent3 5 2 2 2 2 2 3" xfId="30595" xr:uid="{00000000-0005-0000-0000-000010470000}"/>
    <cellStyle name="40% - Accent3 5 2 2 2 2 3" xfId="15235" xr:uid="{00000000-0005-0000-0000-000011470000}"/>
    <cellStyle name="40% - Accent3 5 2 2 2 2 3 2" xfId="35715" xr:uid="{00000000-0005-0000-0000-000012470000}"/>
    <cellStyle name="40% - Accent3 5 2 2 2 2 4" xfId="25475" xr:uid="{00000000-0005-0000-0000-000013470000}"/>
    <cellStyle name="40% - Accent3 5 2 2 2 3" xfId="7555" xr:uid="{00000000-0005-0000-0000-000014470000}"/>
    <cellStyle name="40% - Accent3 5 2 2 2 3 2" xfId="17795" xr:uid="{00000000-0005-0000-0000-000015470000}"/>
    <cellStyle name="40% - Accent3 5 2 2 2 3 2 2" xfId="38275" xr:uid="{00000000-0005-0000-0000-000016470000}"/>
    <cellStyle name="40% - Accent3 5 2 2 2 3 3" xfId="28035" xr:uid="{00000000-0005-0000-0000-000017470000}"/>
    <cellStyle name="40% - Accent3 5 2 2 2 4" xfId="12675" xr:uid="{00000000-0005-0000-0000-000018470000}"/>
    <cellStyle name="40% - Accent3 5 2 2 2 4 2" xfId="33155" xr:uid="{00000000-0005-0000-0000-000019470000}"/>
    <cellStyle name="40% - Accent3 5 2 2 2 5" xfId="22915" xr:uid="{00000000-0005-0000-0000-00001A470000}"/>
    <cellStyle name="40% - Accent3 5 2 2 3" xfId="3715" xr:uid="{00000000-0005-0000-0000-00001B470000}"/>
    <cellStyle name="40% - Accent3 5 2 2 3 2" xfId="8835" xr:uid="{00000000-0005-0000-0000-00001C470000}"/>
    <cellStyle name="40% - Accent3 5 2 2 3 2 2" xfId="19075" xr:uid="{00000000-0005-0000-0000-00001D470000}"/>
    <cellStyle name="40% - Accent3 5 2 2 3 2 2 2" xfId="39555" xr:uid="{00000000-0005-0000-0000-00001E470000}"/>
    <cellStyle name="40% - Accent3 5 2 2 3 2 3" xfId="29315" xr:uid="{00000000-0005-0000-0000-00001F470000}"/>
    <cellStyle name="40% - Accent3 5 2 2 3 3" xfId="13955" xr:uid="{00000000-0005-0000-0000-000020470000}"/>
    <cellStyle name="40% - Accent3 5 2 2 3 3 2" xfId="34435" xr:uid="{00000000-0005-0000-0000-000021470000}"/>
    <cellStyle name="40% - Accent3 5 2 2 3 4" xfId="24195" xr:uid="{00000000-0005-0000-0000-000022470000}"/>
    <cellStyle name="40% - Accent3 5 2 2 4" xfId="6275" xr:uid="{00000000-0005-0000-0000-000023470000}"/>
    <cellStyle name="40% - Accent3 5 2 2 4 2" xfId="16515" xr:uid="{00000000-0005-0000-0000-000024470000}"/>
    <cellStyle name="40% - Accent3 5 2 2 4 2 2" xfId="36995" xr:uid="{00000000-0005-0000-0000-000025470000}"/>
    <cellStyle name="40% - Accent3 5 2 2 4 3" xfId="26755" xr:uid="{00000000-0005-0000-0000-000026470000}"/>
    <cellStyle name="40% - Accent3 5 2 2 5" xfId="11395" xr:uid="{00000000-0005-0000-0000-000027470000}"/>
    <cellStyle name="40% - Accent3 5 2 2 5 2" xfId="31875" xr:uid="{00000000-0005-0000-0000-000028470000}"/>
    <cellStyle name="40% - Accent3 5 2 2 6" xfId="21635" xr:uid="{00000000-0005-0000-0000-000029470000}"/>
    <cellStyle name="40% - Accent3 5 2 3" xfId="1795" xr:uid="{00000000-0005-0000-0000-00002A470000}"/>
    <cellStyle name="40% - Accent3 5 2 3 2" xfId="4355" xr:uid="{00000000-0005-0000-0000-00002B470000}"/>
    <cellStyle name="40% - Accent3 5 2 3 2 2" xfId="9475" xr:uid="{00000000-0005-0000-0000-00002C470000}"/>
    <cellStyle name="40% - Accent3 5 2 3 2 2 2" xfId="19715" xr:uid="{00000000-0005-0000-0000-00002D470000}"/>
    <cellStyle name="40% - Accent3 5 2 3 2 2 2 2" xfId="40195" xr:uid="{00000000-0005-0000-0000-00002E470000}"/>
    <cellStyle name="40% - Accent3 5 2 3 2 2 3" xfId="29955" xr:uid="{00000000-0005-0000-0000-00002F470000}"/>
    <cellStyle name="40% - Accent3 5 2 3 2 3" xfId="14595" xr:uid="{00000000-0005-0000-0000-000030470000}"/>
    <cellStyle name="40% - Accent3 5 2 3 2 3 2" xfId="35075" xr:uid="{00000000-0005-0000-0000-000031470000}"/>
    <cellStyle name="40% - Accent3 5 2 3 2 4" xfId="24835" xr:uid="{00000000-0005-0000-0000-000032470000}"/>
    <cellStyle name="40% - Accent3 5 2 3 3" xfId="6915" xr:uid="{00000000-0005-0000-0000-000033470000}"/>
    <cellStyle name="40% - Accent3 5 2 3 3 2" xfId="17155" xr:uid="{00000000-0005-0000-0000-000034470000}"/>
    <cellStyle name="40% - Accent3 5 2 3 3 2 2" xfId="37635" xr:uid="{00000000-0005-0000-0000-000035470000}"/>
    <cellStyle name="40% - Accent3 5 2 3 3 3" xfId="27395" xr:uid="{00000000-0005-0000-0000-000036470000}"/>
    <cellStyle name="40% - Accent3 5 2 3 4" xfId="12035" xr:uid="{00000000-0005-0000-0000-000037470000}"/>
    <cellStyle name="40% - Accent3 5 2 3 4 2" xfId="32515" xr:uid="{00000000-0005-0000-0000-000038470000}"/>
    <cellStyle name="40% - Accent3 5 2 3 5" xfId="22275" xr:uid="{00000000-0005-0000-0000-000039470000}"/>
    <cellStyle name="40% - Accent3 5 2 4" xfId="3075" xr:uid="{00000000-0005-0000-0000-00003A470000}"/>
    <cellStyle name="40% - Accent3 5 2 4 2" xfId="8195" xr:uid="{00000000-0005-0000-0000-00003B470000}"/>
    <cellStyle name="40% - Accent3 5 2 4 2 2" xfId="18435" xr:uid="{00000000-0005-0000-0000-00003C470000}"/>
    <cellStyle name="40% - Accent3 5 2 4 2 2 2" xfId="38915" xr:uid="{00000000-0005-0000-0000-00003D470000}"/>
    <cellStyle name="40% - Accent3 5 2 4 2 3" xfId="28675" xr:uid="{00000000-0005-0000-0000-00003E470000}"/>
    <cellStyle name="40% - Accent3 5 2 4 3" xfId="13315" xr:uid="{00000000-0005-0000-0000-00003F470000}"/>
    <cellStyle name="40% - Accent3 5 2 4 3 2" xfId="33795" xr:uid="{00000000-0005-0000-0000-000040470000}"/>
    <cellStyle name="40% - Accent3 5 2 4 4" xfId="23555" xr:uid="{00000000-0005-0000-0000-000041470000}"/>
    <cellStyle name="40% - Accent3 5 2 5" xfId="5635" xr:uid="{00000000-0005-0000-0000-000042470000}"/>
    <cellStyle name="40% - Accent3 5 2 5 2" xfId="15875" xr:uid="{00000000-0005-0000-0000-000043470000}"/>
    <cellStyle name="40% - Accent3 5 2 5 2 2" xfId="36355" xr:uid="{00000000-0005-0000-0000-000044470000}"/>
    <cellStyle name="40% - Accent3 5 2 5 3" xfId="26115" xr:uid="{00000000-0005-0000-0000-000045470000}"/>
    <cellStyle name="40% - Accent3 5 2 6" xfId="10755" xr:uid="{00000000-0005-0000-0000-000046470000}"/>
    <cellStyle name="40% - Accent3 5 2 6 2" xfId="31235" xr:uid="{00000000-0005-0000-0000-000047470000}"/>
    <cellStyle name="40% - Accent3 5 2 7" xfId="20995" xr:uid="{00000000-0005-0000-0000-000048470000}"/>
    <cellStyle name="40% - Accent3 5 3" xfId="835" xr:uid="{00000000-0005-0000-0000-000049470000}"/>
    <cellStyle name="40% - Accent3 5 3 2" xfId="2115" xr:uid="{00000000-0005-0000-0000-00004A470000}"/>
    <cellStyle name="40% - Accent3 5 3 2 2" xfId="4675" xr:uid="{00000000-0005-0000-0000-00004B470000}"/>
    <cellStyle name="40% - Accent3 5 3 2 2 2" xfId="9795" xr:uid="{00000000-0005-0000-0000-00004C470000}"/>
    <cellStyle name="40% - Accent3 5 3 2 2 2 2" xfId="20035" xr:uid="{00000000-0005-0000-0000-00004D470000}"/>
    <cellStyle name="40% - Accent3 5 3 2 2 2 2 2" xfId="40515" xr:uid="{00000000-0005-0000-0000-00004E470000}"/>
    <cellStyle name="40% - Accent3 5 3 2 2 2 3" xfId="30275" xr:uid="{00000000-0005-0000-0000-00004F470000}"/>
    <cellStyle name="40% - Accent3 5 3 2 2 3" xfId="14915" xr:uid="{00000000-0005-0000-0000-000050470000}"/>
    <cellStyle name="40% - Accent3 5 3 2 2 3 2" xfId="35395" xr:uid="{00000000-0005-0000-0000-000051470000}"/>
    <cellStyle name="40% - Accent3 5 3 2 2 4" xfId="25155" xr:uid="{00000000-0005-0000-0000-000052470000}"/>
    <cellStyle name="40% - Accent3 5 3 2 3" xfId="7235" xr:uid="{00000000-0005-0000-0000-000053470000}"/>
    <cellStyle name="40% - Accent3 5 3 2 3 2" xfId="17475" xr:uid="{00000000-0005-0000-0000-000054470000}"/>
    <cellStyle name="40% - Accent3 5 3 2 3 2 2" xfId="37955" xr:uid="{00000000-0005-0000-0000-000055470000}"/>
    <cellStyle name="40% - Accent3 5 3 2 3 3" xfId="27715" xr:uid="{00000000-0005-0000-0000-000056470000}"/>
    <cellStyle name="40% - Accent3 5 3 2 4" xfId="12355" xr:uid="{00000000-0005-0000-0000-000057470000}"/>
    <cellStyle name="40% - Accent3 5 3 2 4 2" xfId="32835" xr:uid="{00000000-0005-0000-0000-000058470000}"/>
    <cellStyle name="40% - Accent3 5 3 2 5" xfId="22595" xr:uid="{00000000-0005-0000-0000-000059470000}"/>
    <cellStyle name="40% - Accent3 5 3 3" xfId="3395" xr:uid="{00000000-0005-0000-0000-00005A470000}"/>
    <cellStyle name="40% - Accent3 5 3 3 2" xfId="8515" xr:uid="{00000000-0005-0000-0000-00005B470000}"/>
    <cellStyle name="40% - Accent3 5 3 3 2 2" xfId="18755" xr:uid="{00000000-0005-0000-0000-00005C470000}"/>
    <cellStyle name="40% - Accent3 5 3 3 2 2 2" xfId="39235" xr:uid="{00000000-0005-0000-0000-00005D470000}"/>
    <cellStyle name="40% - Accent3 5 3 3 2 3" xfId="28995" xr:uid="{00000000-0005-0000-0000-00005E470000}"/>
    <cellStyle name="40% - Accent3 5 3 3 3" xfId="13635" xr:uid="{00000000-0005-0000-0000-00005F470000}"/>
    <cellStyle name="40% - Accent3 5 3 3 3 2" xfId="34115" xr:uid="{00000000-0005-0000-0000-000060470000}"/>
    <cellStyle name="40% - Accent3 5 3 3 4" xfId="23875" xr:uid="{00000000-0005-0000-0000-000061470000}"/>
    <cellStyle name="40% - Accent3 5 3 4" xfId="5955" xr:uid="{00000000-0005-0000-0000-000062470000}"/>
    <cellStyle name="40% - Accent3 5 3 4 2" xfId="16195" xr:uid="{00000000-0005-0000-0000-000063470000}"/>
    <cellStyle name="40% - Accent3 5 3 4 2 2" xfId="36675" xr:uid="{00000000-0005-0000-0000-000064470000}"/>
    <cellStyle name="40% - Accent3 5 3 4 3" xfId="26435" xr:uid="{00000000-0005-0000-0000-000065470000}"/>
    <cellStyle name="40% - Accent3 5 3 5" xfId="11075" xr:uid="{00000000-0005-0000-0000-000066470000}"/>
    <cellStyle name="40% - Accent3 5 3 5 2" xfId="31555" xr:uid="{00000000-0005-0000-0000-000067470000}"/>
    <cellStyle name="40% - Accent3 5 3 6" xfId="21315" xr:uid="{00000000-0005-0000-0000-000068470000}"/>
    <cellStyle name="40% - Accent3 5 4" xfId="1475" xr:uid="{00000000-0005-0000-0000-000069470000}"/>
    <cellStyle name="40% - Accent3 5 4 2" xfId="4035" xr:uid="{00000000-0005-0000-0000-00006A470000}"/>
    <cellStyle name="40% - Accent3 5 4 2 2" xfId="9155" xr:uid="{00000000-0005-0000-0000-00006B470000}"/>
    <cellStyle name="40% - Accent3 5 4 2 2 2" xfId="19395" xr:uid="{00000000-0005-0000-0000-00006C470000}"/>
    <cellStyle name="40% - Accent3 5 4 2 2 2 2" xfId="39875" xr:uid="{00000000-0005-0000-0000-00006D470000}"/>
    <cellStyle name="40% - Accent3 5 4 2 2 3" xfId="29635" xr:uid="{00000000-0005-0000-0000-00006E470000}"/>
    <cellStyle name="40% - Accent3 5 4 2 3" xfId="14275" xr:uid="{00000000-0005-0000-0000-00006F470000}"/>
    <cellStyle name="40% - Accent3 5 4 2 3 2" xfId="34755" xr:uid="{00000000-0005-0000-0000-000070470000}"/>
    <cellStyle name="40% - Accent3 5 4 2 4" xfId="24515" xr:uid="{00000000-0005-0000-0000-000071470000}"/>
    <cellStyle name="40% - Accent3 5 4 3" xfId="6595" xr:uid="{00000000-0005-0000-0000-000072470000}"/>
    <cellStyle name="40% - Accent3 5 4 3 2" xfId="16835" xr:uid="{00000000-0005-0000-0000-000073470000}"/>
    <cellStyle name="40% - Accent3 5 4 3 2 2" xfId="37315" xr:uid="{00000000-0005-0000-0000-000074470000}"/>
    <cellStyle name="40% - Accent3 5 4 3 3" xfId="27075" xr:uid="{00000000-0005-0000-0000-000075470000}"/>
    <cellStyle name="40% - Accent3 5 4 4" xfId="11715" xr:uid="{00000000-0005-0000-0000-000076470000}"/>
    <cellStyle name="40% - Accent3 5 4 4 2" xfId="32195" xr:uid="{00000000-0005-0000-0000-000077470000}"/>
    <cellStyle name="40% - Accent3 5 4 5" xfId="21955" xr:uid="{00000000-0005-0000-0000-000078470000}"/>
    <cellStyle name="40% - Accent3 5 5" xfId="2755" xr:uid="{00000000-0005-0000-0000-000079470000}"/>
    <cellStyle name="40% - Accent3 5 5 2" xfId="7875" xr:uid="{00000000-0005-0000-0000-00007A470000}"/>
    <cellStyle name="40% - Accent3 5 5 2 2" xfId="18115" xr:uid="{00000000-0005-0000-0000-00007B470000}"/>
    <cellStyle name="40% - Accent3 5 5 2 2 2" xfId="38595" xr:uid="{00000000-0005-0000-0000-00007C470000}"/>
    <cellStyle name="40% - Accent3 5 5 2 3" xfId="28355" xr:uid="{00000000-0005-0000-0000-00007D470000}"/>
    <cellStyle name="40% - Accent3 5 5 3" xfId="12995" xr:uid="{00000000-0005-0000-0000-00007E470000}"/>
    <cellStyle name="40% - Accent3 5 5 3 2" xfId="33475" xr:uid="{00000000-0005-0000-0000-00007F470000}"/>
    <cellStyle name="40% - Accent3 5 5 4" xfId="23235" xr:uid="{00000000-0005-0000-0000-000080470000}"/>
    <cellStyle name="40% - Accent3 5 6" xfId="5315" xr:uid="{00000000-0005-0000-0000-000081470000}"/>
    <cellStyle name="40% - Accent3 5 6 2" xfId="15555" xr:uid="{00000000-0005-0000-0000-000082470000}"/>
    <cellStyle name="40% - Accent3 5 6 2 2" xfId="36035" xr:uid="{00000000-0005-0000-0000-000083470000}"/>
    <cellStyle name="40% - Accent3 5 6 3" xfId="25795" xr:uid="{00000000-0005-0000-0000-000084470000}"/>
    <cellStyle name="40% - Accent3 5 7" xfId="10435" xr:uid="{00000000-0005-0000-0000-000085470000}"/>
    <cellStyle name="40% - Accent3 5 7 2" xfId="30915" xr:uid="{00000000-0005-0000-0000-000086470000}"/>
    <cellStyle name="40% - Accent3 5 8" xfId="20675" xr:uid="{00000000-0005-0000-0000-000087470000}"/>
    <cellStyle name="40% - Accent3 6" xfId="355" xr:uid="{00000000-0005-0000-0000-000088470000}"/>
    <cellStyle name="40% - Accent3 6 2" xfId="995" xr:uid="{00000000-0005-0000-0000-000089470000}"/>
    <cellStyle name="40% - Accent3 6 2 2" xfId="2275" xr:uid="{00000000-0005-0000-0000-00008A470000}"/>
    <cellStyle name="40% - Accent3 6 2 2 2" xfId="4835" xr:uid="{00000000-0005-0000-0000-00008B470000}"/>
    <cellStyle name="40% - Accent3 6 2 2 2 2" xfId="9955" xr:uid="{00000000-0005-0000-0000-00008C470000}"/>
    <cellStyle name="40% - Accent3 6 2 2 2 2 2" xfId="20195" xr:uid="{00000000-0005-0000-0000-00008D470000}"/>
    <cellStyle name="40% - Accent3 6 2 2 2 2 2 2" xfId="40675" xr:uid="{00000000-0005-0000-0000-00008E470000}"/>
    <cellStyle name="40% - Accent3 6 2 2 2 2 3" xfId="30435" xr:uid="{00000000-0005-0000-0000-00008F470000}"/>
    <cellStyle name="40% - Accent3 6 2 2 2 3" xfId="15075" xr:uid="{00000000-0005-0000-0000-000090470000}"/>
    <cellStyle name="40% - Accent3 6 2 2 2 3 2" xfId="35555" xr:uid="{00000000-0005-0000-0000-000091470000}"/>
    <cellStyle name="40% - Accent3 6 2 2 2 4" xfId="25315" xr:uid="{00000000-0005-0000-0000-000092470000}"/>
    <cellStyle name="40% - Accent3 6 2 2 3" xfId="7395" xr:uid="{00000000-0005-0000-0000-000093470000}"/>
    <cellStyle name="40% - Accent3 6 2 2 3 2" xfId="17635" xr:uid="{00000000-0005-0000-0000-000094470000}"/>
    <cellStyle name="40% - Accent3 6 2 2 3 2 2" xfId="38115" xr:uid="{00000000-0005-0000-0000-000095470000}"/>
    <cellStyle name="40% - Accent3 6 2 2 3 3" xfId="27875" xr:uid="{00000000-0005-0000-0000-000096470000}"/>
    <cellStyle name="40% - Accent3 6 2 2 4" xfId="12515" xr:uid="{00000000-0005-0000-0000-000097470000}"/>
    <cellStyle name="40% - Accent3 6 2 2 4 2" xfId="32995" xr:uid="{00000000-0005-0000-0000-000098470000}"/>
    <cellStyle name="40% - Accent3 6 2 2 5" xfId="22755" xr:uid="{00000000-0005-0000-0000-000099470000}"/>
    <cellStyle name="40% - Accent3 6 2 3" xfId="3555" xr:uid="{00000000-0005-0000-0000-00009A470000}"/>
    <cellStyle name="40% - Accent3 6 2 3 2" xfId="8675" xr:uid="{00000000-0005-0000-0000-00009B470000}"/>
    <cellStyle name="40% - Accent3 6 2 3 2 2" xfId="18915" xr:uid="{00000000-0005-0000-0000-00009C470000}"/>
    <cellStyle name="40% - Accent3 6 2 3 2 2 2" xfId="39395" xr:uid="{00000000-0005-0000-0000-00009D470000}"/>
    <cellStyle name="40% - Accent3 6 2 3 2 3" xfId="29155" xr:uid="{00000000-0005-0000-0000-00009E470000}"/>
    <cellStyle name="40% - Accent3 6 2 3 3" xfId="13795" xr:uid="{00000000-0005-0000-0000-00009F470000}"/>
    <cellStyle name="40% - Accent3 6 2 3 3 2" xfId="34275" xr:uid="{00000000-0005-0000-0000-0000A0470000}"/>
    <cellStyle name="40% - Accent3 6 2 3 4" xfId="24035" xr:uid="{00000000-0005-0000-0000-0000A1470000}"/>
    <cellStyle name="40% - Accent3 6 2 4" xfId="6115" xr:uid="{00000000-0005-0000-0000-0000A2470000}"/>
    <cellStyle name="40% - Accent3 6 2 4 2" xfId="16355" xr:uid="{00000000-0005-0000-0000-0000A3470000}"/>
    <cellStyle name="40% - Accent3 6 2 4 2 2" xfId="36835" xr:uid="{00000000-0005-0000-0000-0000A4470000}"/>
    <cellStyle name="40% - Accent3 6 2 4 3" xfId="26595" xr:uid="{00000000-0005-0000-0000-0000A5470000}"/>
    <cellStyle name="40% - Accent3 6 2 5" xfId="11235" xr:uid="{00000000-0005-0000-0000-0000A6470000}"/>
    <cellStyle name="40% - Accent3 6 2 5 2" xfId="31715" xr:uid="{00000000-0005-0000-0000-0000A7470000}"/>
    <cellStyle name="40% - Accent3 6 2 6" xfId="21475" xr:uid="{00000000-0005-0000-0000-0000A8470000}"/>
    <cellStyle name="40% - Accent3 6 3" xfId="1635" xr:uid="{00000000-0005-0000-0000-0000A9470000}"/>
    <cellStyle name="40% - Accent3 6 3 2" xfId="4195" xr:uid="{00000000-0005-0000-0000-0000AA470000}"/>
    <cellStyle name="40% - Accent3 6 3 2 2" xfId="9315" xr:uid="{00000000-0005-0000-0000-0000AB470000}"/>
    <cellStyle name="40% - Accent3 6 3 2 2 2" xfId="19555" xr:uid="{00000000-0005-0000-0000-0000AC470000}"/>
    <cellStyle name="40% - Accent3 6 3 2 2 2 2" xfId="40035" xr:uid="{00000000-0005-0000-0000-0000AD470000}"/>
    <cellStyle name="40% - Accent3 6 3 2 2 3" xfId="29795" xr:uid="{00000000-0005-0000-0000-0000AE470000}"/>
    <cellStyle name="40% - Accent3 6 3 2 3" xfId="14435" xr:uid="{00000000-0005-0000-0000-0000AF470000}"/>
    <cellStyle name="40% - Accent3 6 3 2 3 2" xfId="34915" xr:uid="{00000000-0005-0000-0000-0000B0470000}"/>
    <cellStyle name="40% - Accent3 6 3 2 4" xfId="24675" xr:uid="{00000000-0005-0000-0000-0000B1470000}"/>
    <cellStyle name="40% - Accent3 6 3 3" xfId="6755" xr:uid="{00000000-0005-0000-0000-0000B2470000}"/>
    <cellStyle name="40% - Accent3 6 3 3 2" xfId="16995" xr:uid="{00000000-0005-0000-0000-0000B3470000}"/>
    <cellStyle name="40% - Accent3 6 3 3 2 2" xfId="37475" xr:uid="{00000000-0005-0000-0000-0000B4470000}"/>
    <cellStyle name="40% - Accent3 6 3 3 3" xfId="27235" xr:uid="{00000000-0005-0000-0000-0000B5470000}"/>
    <cellStyle name="40% - Accent3 6 3 4" xfId="11875" xr:uid="{00000000-0005-0000-0000-0000B6470000}"/>
    <cellStyle name="40% - Accent3 6 3 4 2" xfId="32355" xr:uid="{00000000-0005-0000-0000-0000B7470000}"/>
    <cellStyle name="40% - Accent3 6 3 5" xfId="22115" xr:uid="{00000000-0005-0000-0000-0000B8470000}"/>
    <cellStyle name="40% - Accent3 6 4" xfId="2915" xr:uid="{00000000-0005-0000-0000-0000B9470000}"/>
    <cellStyle name="40% - Accent3 6 4 2" xfId="8035" xr:uid="{00000000-0005-0000-0000-0000BA470000}"/>
    <cellStyle name="40% - Accent3 6 4 2 2" xfId="18275" xr:uid="{00000000-0005-0000-0000-0000BB470000}"/>
    <cellStyle name="40% - Accent3 6 4 2 2 2" xfId="38755" xr:uid="{00000000-0005-0000-0000-0000BC470000}"/>
    <cellStyle name="40% - Accent3 6 4 2 3" xfId="28515" xr:uid="{00000000-0005-0000-0000-0000BD470000}"/>
    <cellStyle name="40% - Accent3 6 4 3" xfId="13155" xr:uid="{00000000-0005-0000-0000-0000BE470000}"/>
    <cellStyle name="40% - Accent3 6 4 3 2" xfId="33635" xr:uid="{00000000-0005-0000-0000-0000BF470000}"/>
    <cellStyle name="40% - Accent3 6 4 4" xfId="23395" xr:uid="{00000000-0005-0000-0000-0000C0470000}"/>
    <cellStyle name="40% - Accent3 6 5" xfId="5475" xr:uid="{00000000-0005-0000-0000-0000C1470000}"/>
    <cellStyle name="40% - Accent3 6 5 2" xfId="15715" xr:uid="{00000000-0005-0000-0000-0000C2470000}"/>
    <cellStyle name="40% - Accent3 6 5 2 2" xfId="36195" xr:uid="{00000000-0005-0000-0000-0000C3470000}"/>
    <cellStyle name="40% - Accent3 6 5 3" xfId="25955" xr:uid="{00000000-0005-0000-0000-0000C4470000}"/>
    <cellStyle name="40% - Accent3 6 6" xfId="10595" xr:uid="{00000000-0005-0000-0000-0000C5470000}"/>
    <cellStyle name="40% - Accent3 6 6 2" xfId="31075" xr:uid="{00000000-0005-0000-0000-0000C6470000}"/>
    <cellStyle name="40% - Accent3 6 7" xfId="20835" xr:uid="{00000000-0005-0000-0000-0000C7470000}"/>
    <cellStyle name="40% - Accent3 7" xfId="675" xr:uid="{00000000-0005-0000-0000-0000C8470000}"/>
    <cellStyle name="40% - Accent3 7 2" xfId="1955" xr:uid="{00000000-0005-0000-0000-0000C9470000}"/>
    <cellStyle name="40% - Accent3 7 2 2" xfId="4515" xr:uid="{00000000-0005-0000-0000-0000CA470000}"/>
    <cellStyle name="40% - Accent3 7 2 2 2" xfId="9635" xr:uid="{00000000-0005-0000-0000-0000CB470000}"/>
    <cellStyle name="40% - Accent3 7 2 2 2 2" xfId="19875" xr:uid="{00000000-0005-0000-0000-0000CC470000}"/>
    <cellStyle name="40% - Accent3 7 2 2 2 2 2" xfId="40355" xr:uid="{00000000-0005-0000-0000-0000CD470000}"/>
    <cellStyle name="40% - Accent3 7 2 2 2 3" xfId="30115" xr:uid="{00000000-0005-0000-0000-0000CE470000}"/>
    <cellStyle name="40% - Accent3 7 2 2 3" xfId="14755" xr:uid="{00000000-0005-0000-0000-0000CF470000}"/>
    <cellStyle name="40% - Accent3 7 2 2 3 2" xfId="35235" xr:uid="{00000000-0005-0000-0000-0000D0470000}"/>
    <cellStyle name="40% - Accent3 7 2 2 4" xfId="24995" xr:uid="{00000000-0005-0000-0000-0000D1470000}"/>
    <cellStyle name="40% - Accent3 7 2 3" xfId="7075" xr:uid="{00000000-0005-0000-0000-0000D2470000}"/>
    <cellStyle name="40% - Accent3 7 2 3 2" xfId="17315" xr:uid="{00000000-0005-0000-0000-0000D3470000}"/>
    <cellStyle name="40% - Accent3 7 2 3 2 2" xfId="37795" xr:uid="{00000000-0005-0000-0000-0000D4470000}"/>
    <cellStyle name="40% - Accent3 7 2 3 3" xfId="27555" xr:uid="{00000000-0005-0000-0000-0000D5470000}"/>
    <cellStyle name="40% - Accent3 7 2 4" xfId="12195" xr:uid="{00000000-0005-0000-0000-0000D6470000}"/>
    <cellStyle name="40% - Accent3 7 2 4 2" xfId="32675" xr:uid="{00000000-0005-0000-0000-0000D7470000}"/>
    <cellStyle name="40% - Accent3 7 2 5" xfId="22435" xr:uid="{00000000-0005-0000-0000-0000D8470000}"/>
    <cellStyle name="40% - Accent3 7 3" xfId="3235" xr:uid="{00000000-0005-0000-0000-0000D9470000}"/>
    <cellStyle name="40% - Accent3 7 3 2" xfId="8355" xr:uid="{00000000-0005-0000-0000-0000DA470000}"/>
    <cellStyle name="40% - Accent3 7 3 2 2" xfId="18595" xr:uid="{00000000-0005-0000-0000-0000DB470000}"/>
    <cellStyle name="40% - Accent3 7 3 2 2 2" xfId="39075" xr:uid="{00000000-0005-0000-0000-0000DC470000}"/>
    <cellStyle name="40% - Accent3 7 3 2 3" xfId="28835" xr:uid="{00000000-0005-0000-0000-0000DD470000}"/>
    <cellStyle name="40% - Accent3 7 3 3" xfId="13475" xr:uid="{00000000-0005-0000-0000-0000DE470000}"/>
    <cellStyle name="40% - Accent3 7 3 3 2" xfId="33955" xr:uid="{00000000-0005-0000-0000-0000DF470000}"/>
    <cellStyle name="40% - Accent3 7 3 4" xfId="23715" xr:uid="{00000000-0005-0000-0000-0000E0470000}"/>
    <cellStyle name="40% - Accent3 7 4" xfId="5795" xr:uid="{00000000-0005-0000-0000-0000E1470000}"/>
    <cellStyle name="40% - Accent3 7 4 2" xfId="16035" xr:uid="{00000000-0005-0000-0000-0000E2470000}"/>
    <cellStyle name="40% - Accent3 7 4 2 2" xfId="36515" xr:uid="{00000000-0005-0000-0000-0000E3470000}"/>
    <cellStyle name="40% - Accent3 7 4 3" xfId="26275" xr:uid="{00000000-0005-0000-0000-0000E4470000}"/>
    <cellStyle name="40% - Accent3 7 5" xfId="10915" xr:uid="{00000000-0005-0000-0000-0000E5470000}"/>
    <cellStyle name="40% - Accent3 7 5 2" xfId="31395" xr:uid="{00000000-0005-0000-0000-0000E6470000}"/>
    <cellStyle name="40% - Accent3 7 6" xfId="21155" xr:uid="{00000000-0005-0000-0000-0000E7470000}"/>
    <cellStyle name="40% - Accent3 8" xfId="1315" xr:uid="{00000000-0005-0000-0000-0000E8470000}"/>
    <cellStyle name="40% - Accent3 8 2" xfId="3875" xr:uid="{00000000-0005-0000-0000-0000E9470000}"/>
    <cellStyle name="40% - Accent3 8 2 2" xfId="8995" xr:uid="{00000000-0005-0000-0000-0000EA470000}"/>
    <cellStyle name="40% - Accent3 8 2 2 2" xfId="19235" xr:uid="{00000000-0005-0000-0000-0000EB470000}"/>
    <cellStyle name="40% - Accent3 8 2 2 2 2" xfId="39715" xr:uid="{00000000-0005-0000-0000-0000EC470000}"/>
    <cellStyle name="40% - Accent3 8 2 2 3" xfId="29475" xr:uid="{00000000-0005-0000-0000-0000ED470000}"/>
    <cellStyle name="40% - Accent3 8 2 3" xfId="14115" xr:uid="{00000000-0005-0000-0000-0000EE470000}"/>
    <cellStyle name="40% - Accent3 8 2 3 2" xfId="34595" xr:uid="{00000000-0005-0000-0000-0000EF470000}"/>
    <cellStyle name="40% - Accent3 8 2 4" xfId="24355" xr:uid="{00000000-0005-0000-0000-0000F0470000}"/>
    <cellStyle name="40% - Accent3 8 3" xfId="6435" xr:uid="{00000000-0005-0000-0000-0000F1470000}"/>
    <cellStyle name="40% - Accent3 8 3 2" xfId="16675" xr:uid="{00000000-0005-0000-0000-0000F2470000}"/>
    <cellStyle name="40% - Accent3 8 3 2 2" xfId="37155" xr:uid="{00000000-0005-0000-0000-0000F3470000}"/>
    <cellStyle name="40% - Accent3 8 3 3" xfId="26915" xr:uid="{00000000-0005-0000-0000-0000F4470000}"/>
    <cellStyle name="40% - Accent3 8 4" xfId="11555" xr:uid="{00000000-0005-0000-0000-0000F5470000}"/>
    <cellStyle name="40% - Accent3 8 4 2" xfId="32035" xr:uid="{00000000-0005-0000-0000-0000F6470000}"/>
    <cellStyle name="40% - Accent3 8 5" xfId="21795" xr:uid="{00000000-0005-0000-0000-0000F7470000}"/>
    <cellStyle name="40% - Accent3 9" xfId="2595" xr:uid="{00000000-0005-0000-0000-0000F8470000}"/>
    <cellStyle name="40% - Accent3 9 2" xfId="7715" xr:uid="{00000000-0005-0000-0000-0000F9470000}"/>
    <cellStyle name="40% - Accent3 9 2 2" xfId="17955" xr:uid="{00000000-0005-0000-0000-0000FA470000}"/>
    <cellStyle name="40% - Accent3 9 2 2 2" xfId="38435" xr:uid="{00000000-0005-0000-0000-0000FB470000}"/>
    <cellStyle name="40% - Accent3 9 2 3" xfId="28195" xr:uid="{00000000-0005-0000-0000-0000FC470000}"/>
    <cellStyle name="40% - Accent3 9 3" xfId="12835" xr:uid="{00000000-0005-0000-0000-0000FD470000}"/>
    <cellStyle name="40% - Accent3 9 3 2" xfId="33315" xr:uid="{00000000-0005-0000-0000-0000FE470000}"/>
    <cellStyle name="40% - Accent3 9 4" xfId="23075" xr:uid="{00000000-0005-0000-0000-0000FF470000}"/>
    <cellStyle name="40% - Accent4 10" xfId="5158" xr:uid="{00000000-0005-0000-0000-000000480000}"/>
    <cellStyle name="40% - Accent4 10 2" xfId="15398" xr:uid="{00000000-0005-0000-0000-000001480000}"/>
    <cellStyle name="40% - Accent4 10 2 2" xfId="35878" xr:uid="{00000000-0005-0000-0000-000002480000}"/>
    <cellStyle name="40% - Accent4 10 3" xfId="25638" xr:uid="{00000000-0005-0000-0000-000003480000}"/>
    <cellStyle name="40% - Accent4 11" xfId="10278" xr:uid="{00000000-0005-0000-0000-000004480000}"/>
    <cellStyle name="40% - Accent4 11 2" xfId="30758" xr:uid="{00000000-0005-0000-0000-000005480000}"/>
    <cellStyle name="40% - Accent4 12" xfId="20518" xr:uid="{00000000-0005-0000-0000-000006480000}"/>
    <cellStyle name="40% - Accent4 13" xfId="36" xr:uid="{00000000-0005-0000-0000-000007480000}"/>
    <cellStyle name="40% - Accent4 2" xfId="58" xr:uid="{00000000-0005-0000-0000-000008480000}"/>
    <cellStyle name="40% - Accent4 2 10" xfId="10298" xr:uid="{00000000-0005-0000-0000-000009480000}"/>
    <cellStyle name="40% - Accent4 2 10 2" xfId="30778" xr:uid="{00000000-0005-0000-0000-00000A480000}"/>
    <cellStyle name="40% - Accent4 2 11" xfId="20538" xr:uid="{00000000-0005-0000-0000-00000B480000}"/>
    <cellStyle name="40% - Accent4 2 2" xfId="98" xr:uid="{00000000-0005-0000-0000-00000C480000}"/>
    <cellStyle name="40% - Accent4 2 2 10" xfId="20578" xr:uid="{00000000-0005-0000-0000-00000D480000}"/>
    <cellStyle name="40% - Accent4 2 2 2" xfId="178" xr:uid="{00000000-0005-0000-0000-00000E480000}"/>
    <cellStyle name="40% - Accent4 2 2 2 2" xfId="338" xr:uid="{00000000-0005-0000-0000-00000F480000}"/>
    <cellStyle name="40% - Accent4 2 2 2 2 2" xfId="658" xr:uid="{00000000-0005-0000-0000-000010480000}"/>
    <cellStyle name="40% - Accent4 2 2 2 2 2 2" xfId="1298" xr:uid="{00000000-0005-0000-0000-000011480000}"/>
    <cellStyle name="40% - Accent4 2 2 2 2 2 2 2" xfId="2578" xr:uid="{00000000-0005-0000-0000-000012480000}"/>
    <cellStyle name="40% - Accent4 2 2 2 2 2 2 2 2" xfId="5138" xr:uid="{00000000-0005-0000-0000-000013480000}"/>
    <cellStyle name="40% - Accent4 2 2 2 2 2 2 2 2 2" xfId="10258" xr:uid="{00000000-0005-0000-0000-000014480000}"/>
    <cellStyle name="40% - Accent4 2 2 2 2 2 2 2 2 2 2" xfId="20498" xr:uid="{00000000-0005-0000-0000-000015480000}"/>
    <cellStyle name="40% - Accent4 2 2 2 2 2 2 2 2 2 2 2" xfId="40978" xr:uid="{00000000-0005-0000-0000-000016480000}"/>
    <cellStyle name="40% - Accent4 2 2 2 2 2 2 2 2 2 3" xfId="30738" xr:uid="{00000000-0005-0000-0000-000017480000}"/>
    <cellStyle name="40% - Accent4 2 2 2 2 2 2 2 2 3" xfId="15378" xr:uid="{00000000-0005-0000-0000-000018480000}"/>
    <cellStyle name="40% - Accent4 2 2 2 2 2 2 2 2 3 2" xfId="35858" xr:uid="{00000000-0005-0000-0000-000019480000}"/>
    <cellStyle name="40% - Accent4 2 2 2 2 2 2 2 2 4" xfId="25618" xr:uid="{00000000-0005-0000-0000-00001A480000}"/>
    <cellStyle name="40% - Accent4 2 2 2 2 2 2 2 3" xfId="7698" xr:uid="{00000000-0005-0000-0000-00001B480000}"/>
    <cellStyle name="40% - Accent4 2 2 2 2 2 2 2 3 2" xfId="17938" xr:uid="{00000000-0005-0000-0000-00001C480000}"/>
    <cellStyle name="40% - Accent4 2 2 2 2 2 2 2 3 2 2" xfId="38418" xr:uid="{00000000-0005-0000-0000-00001D480000}"/>
    <cellStyle name="40% - Accent4 2 2 2 2 2 2 2 3 3" xfId="28178" xr:uid="{00000000-0005-0000-0000-00001E480000}"/>
    <cellStyle name="40% - Accent4 2 2 2 2 2 2 2 4" xfId="12818" xr:uid="{00000000-0005-0000-0000-00001F480000}"/>
    <cellStyle name="40% - Accent4 2 2 2 2 2 2 2 4 2" xfId="33298" xr:uid="{00000000-0005-0000-0000-000020480000}"/>
    <cellStyle name="40% - Accent4 2 2 2 2 2 2 2 5" xfId="23058" xr:uid="{00000000-0005-0000-0000-000021480000}"/>
    <cellStyle name="40% - Accent4 2 2 2 2 2 2 3" xfId="3858" xr:uid="{00000000-0005-0000-0000-000022480000}"/>
    <cellStyle name="40% - Accent4 2 2 2 2 2 2 3 2" xfId="8978" xr:uid="{00000000-0005-0000-0000-000023480000}"/>
    <cellStyle name="40% - Accent4 2 2 2 2 2 2 3 2 2" xfId="19218" xr:uid="{00000000-0005-0000-0000-000024480000}"/>
    <cellStyle name="40% - Accent4 2 2 2 2 2 2 3 2 2 2" xfId="39698" xr:uid="{00000000-0005-0000-0000-000025480000}"/>
    <cellStyle name="40% - Accent4 2 2 2 2 2 2 3 2 3" xfId="29458" xr:uid="{00000000-0005-0000-0000-000026480000}"/>
    <cellStyle name="40% - Accent4 2 2 2 2 2 2 3 3" xfId="14098" xr:uid="{00000000-0005-0000-0000-000027480000}"/>
    <cellStyle name="40% - Accent4 2 2 2 2 2 2 3 3 2" xfId="34578" xr:uid="{00000000-0005-0000-0000-000028480000}"/>
    <cellStyle name="40% - Accent4 2 2 2 2 2 2 3 4" xfId="24338" xr:uid="{00000000-0005-0000-0000-000029480000}"/>
    <cellStyle name="40% - Accent4 2 2 2 2 2 2 4" xfId="6418" xr:uid="{00000000-0005-0000-0000-00002A480000}"/>
    <cellStyle name="40% - Accent4 2 2 2 2 2 2 4 2" xfId="16658" xr:uid="{00000000-0005-0000-0000-00002B480000}"/>
    <cellStyle name="40% - Accent4 2 2 2 2 2 2 4 2 2" xfId="37138" xr:uid="{00000000-0005-0000-0000-00002C480000}"/>
    <cellStyle name="40% - Accent4 2 2 2 2 2 2 4 3" xfId="26898" xr:uid="{00000000-0005-0000-0000-00002D480000}"/>
    <cellStyle name="40% - Accent4 2 2 2 2 2 2 5" xfId="11538" xr:uid="{00000000-0005-0000-0000-00002E480000}"/>
    <cellStyle name="40% - Accent4 2 2 2 2 2 2 5 2" xfId="32018" xr:uid="{00000000-0005-0000-0000-00002F480000}"/>
    <cellStyle name="40% - Accent4 2 2 2 2 2 2 6" xfId="21778" xr:uid="{00000000-0005-0000-0000-000030480000}"/>
    <cellStyle name="40% - Accent4 2 2 2 2 2 3" xfId="1938" xr:uid="{00000000-0005-0000-0000-000031480000}"/>
    <cellStyle name="40% - Accent4 2 2 2 2 2 3 2" xfId="4498" xr:uid="{00000000-0005-0000-0000-000032480000}"/>
    <cellStyle name="40% - Accent4 2 2 2 2 2 3 2 2" xfId="9618" xr:uid="{00000000-0005-0000-0000-000033480000}"/>
    <cellStyle name="40% - Accent4 2 2 2 2 2 3 2 2 2" xfId="19858" xr:uid="{00000000-0005-0000-0000-000034480000}"/>
    <cellStyle name="40% - Accent4 2 2 2 2 2 3 2 2 2 2" xfId="40338" xr:uid="{00000000-0005-0000-0000-000035480000}"/>
    <cellStyle name="40% - Accent4 2 2 2 2 2 3 2 2 3" xfId="30098" xr:uid="{00000000-0005-0000-0000-000036480000}"/>
    <cellStyle name="40% - Accent4 2 2 2 2 2 3 2 3" xfId="14738" xr:uid="{00000000-0005-0000-0000-000037480000}"/>
    <cellStyle name="40% - Accent4 2 2 2 2 2 3 2 3 2" xfId="35218" xr:uid="{00000000-0005-0000-0000-000038480000}"/>
    <cellStyle name="40% - Accent4 2 2 2 2 2 3 2 4" xfId="24978" xr:uid="{00000000-0005-0000-0000-000039480000}"/>
    <cellStyle name="40% - Accent4 2 2 2 2 2 3 3" xfId="7058" xr:uid="{00000000-0005-0000-0000-00003A480000}"/>
    <cellStyle name="40% - Accent4 2 2 2 2 2 3 3 2" xfId="17298" xr:uid="{00000000-0005-0000-0000-00003B480000}"/>
    <cellStyle name="40% - Accent4 2 2 2 2 2 3 3 2 2" xfId="37778" xr:uid="{00000000-0005-0000-0000-00003C480000}"/>
    <cellStyle name="40% - Accent4 2 2 2 2 2 3 3 3" xfId="27538" xr:uid="{00000000-0005-0000-0000-00003D480000}"/>
    <cellStyle name="40% - Accent4 2 2 2 2 2 3 4" xfId="12178" xr:uid="{00000000-0005-0000-0000-00003E480000}"/>
    <cellStyle name="40% - Accent4 2 2 2 2 2 3 4 2" xfId="32658" xr:uid="{00000000-0005-0000-0000-00003F480000}"/>
    <cellStyle name="40% - Accent4 2 2 2 2 2 3 5" xfId="22418" xr:uid="{00000000-0005-0000-0000-000040480000}"/>
    <cellStyle name="40% - Accent4 2 2 2 2 2 4" xfId="3218" xr:uid="{00000000-0005-0000-0000-000041480000}"/>
    <cellStyle name="40% - Accent4 2 2 2 2 2 4 2" xfId="8338" xr:uid="{00000000-0005-0000-0000-000042480000}"/>
    <cellStyle name="40% - Accent4 2 2 2 2 2 4 2 2" xfId="18578" xr:uid="{00000000-0005-0000-0000-000043480000}"/>
    <cellStyle name="40% - Accent4 2 2 2 2 2 4 2 2 2" xfId="39058" xr:uid="{00000000-0005-0000-0000-000044480000}"/>
    <cellStyle name="40% - Accent4 2 2 2 2 2 4 2 3" xfId="28818" xr:uid="{00000000-0005-0000-0000-000045480000}"/>
    <cellStyle name="40% - Accent4 2 2 2 2 2 4 3" xfId="13458" xr:uid="{00000000-0005-0000-0000-000046480000}"/>
    <cellStyle name="40% - Accent4 2 2 2 2 2 4 3 2" xfId="33938" xr:uid="{00000000-0005-0000-0000-000047480000}"/>
    <cellStyle name="40% - Accent4 2 2 2 2 2 4 4" xfId="23698" xr:uid="{00000000-0005-0000-0000-000048480000}"/>
    <cellStyle name="40% - Accent4 2 2 2 2 2 5" xfId="5778" xr:uid="{00000000-0005-0000-0000-000049480000}"/>
    <cellStyle name="40% - Accent4 2 2 2 2 2 5 2" xfId="16018" xr:uid="{00000000-0005-0000-0000-00004A480000}"/>
    <cellStyle name="40% - Accent4 2 2 2 2 2 5 2 2" xfId="36498" xr:uid="{00000000-0005-0000-0000-00004B480000}"/>
    <cellStyle name="40% - Accent4 2 2 2 2 2 5 3" xfId="26258" xr:uid="{00000000-0005-0000-0000-00004C480000}"/>
    <cellStyle name="40% - Accent4 2 2 2 2 2 6" xfId="10898" xr:uid="{00000000-0005-0000-0000-00004D480000}"/>
    <cellStyle name="40% - Accent4 2 2 2 2 2 6 2" xfId="31378" xr:uid="{00000000-0005-0000-0000-00004E480000}"/>
    <cellStyle name="40% - Accent4 2 2 2 2 2 7" xfId="21138" xr:uid="{00000000-0005-0000-0000-00004F480000}"/>
    <cellStyle name="40% - Accent4 2 2 2 2 3" xfId="978" xr:uid="{00000000-0005-0000-0000-000050480000}"/>
    <cellStyle name="40% - Accent4 2 2 2 2 3 2" xfId="2258" xr:uid="{00000000-0005-0000-0000-000051480000}"/>
    <cellStyle name="40% - Accent4 2 2 2 2 3 2 2" xfId="4818" xr:uid="{00000000-0005-0000-0000-000052480000}"/>
    <cellStyle name="40% - Accent4 2 2 2 2 3 2 2 2" xfId="9938" xr:uid="{00000000-0005-0000-0000-000053480000}"/>
    <cellStyle name="40% - Accent4 2 2 2 2 3 2 2 2 2" xfId="20178" xr:uid="{00000000-0005-0000-0000-000054480000}"/>
    <cellStyle name="40% - Accent4 2 2 2 2 3 2 2 2 2 2" xfId="40658" xr:uid="{00000000-0005-0000-0000-000055480000}"/>
    <cellStyle name="40% - Accent4 2 2 2 2 3 2 2 2 3" xfId="30418" xr:uid="{00000000-0005-0000-0000-000056480000}"/>
    <cellStyle name="40% - Accent4 2 2 2 2 3 2 2 3" xfId="15058" xr:uid="{00000000-0005-0000-0000-000057480000}"/>
    <cellStyle name="40% - Accent4 2 2 2 2 3 2 2 3 2" xfId="35538" xr:uid="{00000000-0005-0000-0000-000058480000}"/>
    <cellStyle name="40% - Accent4 2 2 2 2 3 2 2 4" xfId="25298" xr:uid="{00000000-0005-0000-0000-000059480000}"/>
    <cellStyle name="40% - Accent4 2 2 2 2 3 2 3" xfId="7378" xr:uid="{00000000-0005-0000-0000-00005A480000}"/>
    <cellStyle name="40% - Accent4 2 2 2 2 3 2 3 2" xfId="17618" xr:uid="{00000000-0005-0000-0000-00005B480000}"/>
    <cellStyle name="40% - Accent4 2 2 2 2 3 2 3 2 2" xfId="38098" xr:uid="{00000000-0005-0000-0000-00005C480000}"/>
    <cellStyle name="40% - Accent4 2 2 2 2 3 2 3 3" xfId="27858" xr:uid="{00000000-0005-0000-0000-00005D480000}"/>
    <cellStyle name="40% - Accent4 2 2 2 2 3 2 4" xfId="12498" xr:uid="{00000000-0005-0000-0000-00005E480000}"/>
    <cellStyle name="40% - Accent4 2 2 2 2 3 2 4 2" xfId="32978" xr:uid="{00000000-0005-0000-0000-00005F480000}"/>
    <cellStyle name="40% - Accent4 2 2 2 2 3 2 5" xfId="22738" xr:uid="{00000000-0005-0000-0000-000060480000}"/>
    <cellStyle name="40% - Accent4 2 2 2 2 3 3" xfId="3538" xr:uid="{00000000-0005-0000-0000-000061480000}"/>
    <cellStyle name="40% - Accent4 2 2 2 2 3 3 2" xfId="8658" xr:uid="{00000000-0005-0000-0000-000062480000}"/>
    <cellStyle name="40% - Accent4 2 2 2 2 3 3 2 2" xfId="18898" xr:uid="{00000000-0005-0000-0000-000063480000}"/>
    <cellStyle name="40% - Accent4 2 2 2 2 3 3 2 2 2" xfId="39378" xr:uid="{00000000-0005-0000-0000-000064480000}"/>
    <cellStyle name="40% - Accent4 2 2 2 2 3 3 2 3" xfId="29138" xr:uid="{00000000-0005-0000-0000-000065480000}"/>
    <cellStyle name="40% - Accent4 2 2 2 2 3 3 3" xfId="13778" xr:uid="{00000000-0005-0000-0000-000066480000}"/>
    <cellStyle name="40% - Accent4 2 2 2 2 3 3 3 2" xfId="34258" xr:uid="{00000000-0005-0000-0000-000067480000}"/>
    <cellStyle name="40% - Accent4 2 2 2 2 3 3 4" xfId="24018" xr:uid="{00000000-0005-0000-0000-000068480000}"/>
    <cellStyle name="40% - Accent4 2 2 2 2 3 4" xfId="6098" xr:uid="{00000000-0005-0000-0000-000069480000}"/>
    <cellStyle name="40% - Accent4 2 2 2 2 3 4 2" xfId="16338" xr:uid="{00000000-0005-0000-0000-00006A480000}"/>
    <cellStyle name="40% - Accent4 2 2 2 2 3 4 2 2" xfId="36818" xr:uid="{00000000-0005-0000-0000-00006B480000}"/>
    <cellStyle name="40% - Accent4 2 2 2 2 3 4 3" xfId="26578" xr:uid="{00000000-0005-0000-0000-00006C480000}"/>
    <cellStyle name="40% - Accent4 2 2 2 2 3 5" xfId="11218" xr:uid="{00000000-0005-0000-0000-00006D480000}"/>
    <cellStyle name="40% - Accent4 2 2 2 2 3 5 2" xfId="31698" xr:uid="{00000000-0005-0000-0000-00006E480000}"/>
    <cellStyle name="40% - Accent4 2 2 2 2 3 6" xfId="21458" xr:uid="{00000000-0005-0000-0000-00006F480000}"/>
    <cellStyle name="40% - Accent4 2 2 2 2 4" xfId="1618" xr:uid="{00000000-0005-0000-0000-000070480000}"/>
    <cellStyle name="40% - Accent4 2 2 2 2 4 2" xfId="4178" xr:uid="{00000000-0005-0000-0000-000071480000}"/>
    <cellStyle name="40% - Accent4 2 2 2 2 4 2 2" xfId="9298" xr:uid="{00000000-0005-0000-0000-000072480000}"/>
    <cellStyle name="40% - Accent4 2 2 2 2 4 2 2 2" xfId="19538" xr:uid="{00000000-0005-0000-0000-000073480000}"/>
    <cellStyle name="40% - Accent4 2 2 2 2 4 2 2 2 2" xfId="40018" xr:uid="{00000000-0005-0000-0000-000074480000}"/>
    <cellStyle name="40% - Accent4 2 2 2 2 4 2 2 3" xfId="29778" xr:uid="{00000000-0005-0000-0000-000075480000}"/>
    <cellStyle name="40% - Accent4 2 2 2 2 4 2 3" xfId="14418" xr:uid="{00000000-0005-0000-0000-000076480000}"/>
    <cellStyle name="40% - Accent4 2 2 2 2 4 2 3 2" xfId="34898" xr:uid="{00000000-0005-0000-0000-000077480000}"/>
    <cellStyle name="40% - Accent4 2 2 2 2 4 2 4" xfId="24658" xr:uid="{00000000-0005-0000-0000-000078480000}"/>
    <cellStyle name="40% - Accent4 2 2 2 2 4 3" xfId="6738" xr:uid="{00000000-0005-0000-0000-000079480000}"/>
    <cellStyle name="40% - Accent4 2 2 2 2 4 3 2" xfId="16978" xr:uid="{00000000-0005-0000-0000-00007A480000}"/>
    <cellStyle name="40% - Accent4 2 2 2 2 4 3 2 2" xfId="37458" xr:uid="{00000000-0005-0000-0000-00007B480000}"/>
    <cellStyle name="40% - Accent4 2 2 2 2 4 3 3" xfId="27218" xr:uid="{00000000-0005-0000-0000-00007C480000}"/>
    <cellStyle name="40% - Accent4 2 2 2 2 4 4" xfId="11858" xr:uid="{00000000-0005-0000-0000-00007D480000}"/>
    <cellStyle name="40% - Accent4 2 2 2 2 4 4 2" xfId="32338" xr:uid="{00000000-0005-0000-0000-00007E480000}"/>
    <cellStyle name="40% - Accent4 2 2 2 2 4 5" xfId="22098" xr:uid="{00000000-0005-0000-0000-00007F480000}"/>
    <cellStyle name="40% - Accent4 2 2 2 2 5" xfId="2898" xr:uid="{00000000-0005-0000-0000-000080480000}"/>
    <cellStyle name="40% - Accent4 2 2 2 2 5 2" xfId="8018" xr:uid="{00000000-0005-0000-0000-000081480000}"/>
    <cellStyle name="40% - Accent4 2 2 2 2 5 2 2" xfId="18258" xr:uid="{00000000-0005-0000-0000-000082480000}"/>
    <cellStyle name="40% - Accent4 2 2 2 2 5 2 2 2" xfId="38738" xr:uid="{00000000-0005-0000-0000-000083480000}"/>
    <cellStyle name="40% - Accent4 2 2 2 2 5 2 3" xfId="28498" xr:uid="{00000000-0005-0000-0000-000084480000}"/>
    <cellStyle name="40% - Accent4 2 2 2 2 5 3" xfId="13138" xr:uid="{00000000-0005-0000-0000-000085480000}"/>
    <cellStyle name="40% - Accent4 2 2 2 2 5 3 2" xfId="33618" xr:uid="{00000000-0005-0000-0000-000086480000}"/>
    <cellStyle name="40% - Accent4 2 2 2 2 5 4" xfId="23378" xr:uid="{00000000-0005-0000-0000-000087480000}"/>
    <cellStyle name="40% - Accent4 2 2 2 2 6" xfId="5458" xr:uid="{00000000-0005-0000-0000-000088480000}"/>
    <cellStyle name="40% - Accent4 2 2 2 2 6 2" xfId="15698" xr:uid="{00000000-0005-0000-0000-000089480000}"/>
    <cellStyle name="40% - Accent4 2 2 2 2 6 2 2" xfId="36178" xr:uid="{00000000-0005-0000-0000-00008A480000}"/>
    <cellStyle name="40% - Accent4 2 2 2 2 6 3" xfId="25938" xr:uid="{00000000-0005-0000-0000-00008B480000}"/>
    <cellStyle name="40% - Accent4 2 2 2 2 7" xfId="10578" xr:uid="{00000000-0005-0000-0000-00008C480000}"/>
    <cellStyle name="40% - Accent4 2 2 2 2 7 2" xfId="31058" xr:uid="{00000000-0005-0000-0000-00008D480000}"/>
    <cellStyle name="40% - Accent4 2 2 2 2 8" xfId="20818" xr:uid="{00000000-0005-0000-0000-00008E480000}"/>
    <cellStyle name="40% - Accent4 2 2 2 3" xfId="498" xr:uid="{00000000-0005-0000-0000-00008F480000}"/>
    <cellStyle name="40% - Accent4 2 2 2 3 2" xfId="1138" xr:uid="{00000000-0005-0000-0000-000090480000}"/>
    <cellStyle name="40% - Accent4 2 2 2 3 2 2" xfId="2418" xr:uid="{00000000-0005-0000-0000-000091480000}"/>
    <cellStyle name="40% - Accent4 2 2 2 3 2 2 2" xfId="4978" xr:uid="{00000000-0005-0000-0000-000092480000}"/>
    <cellStyle name="40% - Accent4 2 2 2 3 2 2 2 2" xfId="10098" xr:uid="{00000000-0005-0000-0000-000093480000}"/>
    <cellStyle name="40% - Accent4 2 2 2 3 2 2 2 2 2" xfId="20338" xr:uid="{00000000-0005-0000-0000-000094480000}"/>
    <cellStyle name="40% - Accent4 2 2 2 3 2 2 2 2 2 2" xfId="40818" xr:uid="{00000000-0005-0000-0000-000095480000}"/>
    <cellStyle name="40% - Accent4 2 2 2 3 2 2 2 2 3" xfId="30578" xr:uid="{00000000-0005-0000-0000-000096480000}"/>
    <cellStyle name="40% - Accent4 2 2 2 3 2 2 2 3" xfId="15218" xr:uid="{00000000-0005-0000-0000-000097480000}"/>
    <cellStyle name="40% - Accent4 2 2 2 3 2 2 2 3 2" xfId="35698" xr:uid="{00000000-0005-0000-0000-000098480000}"/>
    <cellStyle name="40% - Accent4 2 2 2 3 2 2 2 4" xfId="25458" xr:uid="{00000000-0005-0000-0000-000099480000}"/>
    <cellStyle name="40% - Accent4 2 2 2 3 2 2 3" xfId="7538" xr:uid="{00000000-0005-0000-0000-00009A480000}"/>
    <cellStyle name="40% - Accent4 2 2 2 3 2 2 3 2" xfId="17778" xr:uid="{00000000-0005-0000-0000-00009B480000}"/>
    <cellStyle name="40% - Accent4 2 2 2 3 2 2 3 2 2" xfId="38258" xr:uid="{00000000-0005-0000-0000-00009C480000}"/>
    <cellStyle name="40% - Accent4 2 2 2 3 2 2 3 3" xfId="28018" xr:uid="{00000000-0005-0000-0000-00009D480000}"/>
    <cellStyle name="40% - Accent4 2 2 2 3 2 2 4" xfId="12658" xr:uid="{00000000-0005-0000-0000-00009E480000}"/>
    <cellStyle name="40% - Accent4 2 2 2 3 2 2 4 2" xfId="33138" xr:uid="{00000000-0005-0000-0000-00009F480000}"/>
    <cellStyle name="40% - Accent4 2 2 2 3 2 2 5" xfId="22898" xr:uid="{00000000-0005-0000-0000-0000A0480000}"/>
    <cellStyle name="40% - Accent4 2 2 2 3 2 3" xfId="3698" xr:uid="{00000000-0005-0000-0000-0000A1480000}"/>
    <cellStyle name="40% - Accent4 2 2 2 3 2 3 2" xfId="8818" xr:uid="{00000000-0005-0000-0000-0000A2480000}"/>
    <cellStyle name="40% - Accent4 2 2 2 3 2 3 2 2" xfId="19058" xr:uid="{00000000-0005-0000-0000-0000A3480000}"/>
    <cellStyle name="40% - Accent4 2 2 2 3 2 3 2 2 2" xfId="39538" xr:uid="{00000000-0005-0000-0000-0000A4480000}"/>
    <cellStyle name="40% - Accent4 2 2 2 3 2 3 2 3" xfId="29298" xr:uid="{00000000-0005-0000-0000-0000A5480000}"/>
    <cellStyle name="40% - Accent4 2 2 2 3 2 3 3" xfId="13938" xr:uid="{00000000-0005-0000-0000-0000A6480000}"/>
    <cellStyle name="40% - Accent4 2 2 2 3 2 3 3 2" xfId="34418" xr:uid="{00000000-0005-0000-0000-0000A7480000}"/>
    <cellStyle name="40% - Accent4 2 2 2 3 2 3 4" xfId="24178" xr:uid="{00000000-0005-0000-0000-0000A8480000}"/>
    <cellStyle name="40% - Accent4 2 2 2 3 2 4" xfId="6258" xr:uid="{00000000-0005-0000-0000-0000A9480000}"/>
    <cellStyle name="40% - Accent4 2 2 2 3 2 4 2" xfId="16498" xr:uid="{00000000-0005-0000-0000-0000AA480000}"/>
    <cellStyle name="40% - Accent4 2 2 2 3 2 4 2 2" xfId="36978" xr:uid="{00000000-0005-0000-0000-0000AB480000}"/>
    <cellStyle name="40% - Accent4 2 2 2 3 2 4 3" xfId="26738" xr:uid="{00000000-0005-0000-0000-0000AC480000}"/>
    <cellStyle name="40% - Accent4 2 2 2 3 2 5" xfId="11378" xr:uid="{00000000-0005-0000-0000-0000AD480000}"/>
    <cellStyle name="40% - Accent4 2 2 2 3 2 5 2" xfId="31858" xr:uid="{00000000-0005-0000-0000-0000AE480000}"/>
    <cellStyle name="40% - Accent4 2 2 2 3 2 6" xfId="21618" xr:uid="{00000000-0005-0000-0000-0000AF480000}"/>
    <cellStyle name="40% - Accent4 2 2 2 3 3" xfId="1778" xr:uid="{00000000-0005-0000-0000-0000B0480000}"/>
    <cellStyle name="40% - Accent4 2 2 2 3 3 2" xfId="4338" xr:uid="{00000000-0005-0000-0000-0000B1480000}"/>
    <cellStyle name="40% - Accent4 2 2 2 3 3 2 2" xfId="9458" xr:uid="{00000000-0005-0000-0000-0000B2480000}"/>
    <cellStyle name="40% - Accent4 2 2 2 3 3 2 2 2" xfId="19698" xr:uid="{00000000-0005-0000-0000-0000B3480000}"/>
    <cellStyle name="40% - Accent4 2 2 2 3 3 2 2 2 2" xfId="40178" xr:uid="{00000000-0005-0000-0000-0000B4480000}"/>
    <cellStyle name="40% - Accent4 2 2 2 3 3 2 2 3" xfId="29938" xr:uid="{00000000-0005-0000-0000-0000B5480000}"/>
    <cellStyle name="40% - Accent4 2 2 2 3 3 2 3" xfId="14578" xr:uid="{00000000-0005-0000-0000-0000B6480000}"/>
    <cellStyle name="40% - Accent4 2 2 2 3 3 2 3 2" xfId="35058" xr:uid="{00000000-0005-0000-0000-0000B7480000}"/>
    <cellStyle name="40% - Accent4 2 2 2 3 3 2 4" xfId="24818" xr:uid="{00000000-0005-0000-0000-0000B8480000}"/>
    <cellStyle name="40% - Accent4 2 2 2 3 3 3" xfId="6898" xr:uid="{00000000-0005-0000-0000-0000B9480000}"/>
    <cellStyle name="40% - Accent4 2 2 2 3 3 3 2" xfId="17138" xr:uid="{00000000-0005-0000-0000-0000BA480000}"/>
    <cellStyle name="40% - Accent4 2 2 2 3 3 3 2 2" xfId="37618" xr:uid="{00000000-0005-0000-0000-0000BB480000}"/>
    <cellStyle name="40% - Accent4 2 2 2 3 3 3 3" xfId="27378" xr:uid="{00000000-0005-0000-0000-0000BC480000}"/>
    <cellStyle name="40% - Accent4 2 2 2 3 3 4" xfId="12018" xr:uid="{00000000-0005-0000-0000-0000BD480000}"/>
    <cellStyle name="40% - Accent4 2 2 2 3 3 4 2" xfId="32498" xr:uid="{00000000-0005-0000-0000-0000BE480000}"/>
    <cellStyle name="40% - Accent4 2 2 2 3 3 5" xfId="22258" xr:uid="{00000000-0005-0000-0000-0000BF480000}"/>
    <cellStyle name="40% - Accent4 2 2 2 3 4" xfId="3058" xr:uid="{00000000-0005-0000-0000-0000C0480000}"/>
    <cellStyle name="40% - Accent4 2 2 2 3 4 2" xfId="8178" xr:uid="{00000000-0005-0000-0000-0000C1480000}"/>
    <cellStyle name="40% - Accent4 2 2 2 3 4 2 2" xfId="18418" xr:uid="{00000000-0005-0000-0000-0000C2480000}"/>
    <cellStyle name="40% - Accent4 2 2 2 3 4 2 2 2" xfId="38898" xr:uid="{00000000-0005-0000-0000-0000C3480000}"/>
    <cellStyle name="40% - Accent4 2 2 2 3 4 2 3" xfId="28658" xr:uid="{00000000-0005-0000-0000-0000C4480000}"/>
    <cellStyle name="40% - Accent4 2 2 2 3 4 3" xfId="13298" xr:uid="{00000000-0005-0000-0000-0000C5480000}"/>
    <cellStyle name="40% - Accent4 2 2 2 3 4 3 2" xfId="33778" xr:uid="{00000000-0005-0000-0000-0000C6480000}"/>
    <cellStyle name="40% - Accent4 2 2 2 3 4 4" xfId="23538" xr:uid="{00000000-0005-0000-0000-0000C7480000}"/>
    <cellStyle name="40% - Accent4 2 2 2 3 5" xfId="5618" xr:uid="{00000000-0005-0000-0000-0000C8480000}"/>
    <cellStyle name="40% - Accent4 2 2 2 3 5 2" xfId="15858" xr:uid="{00000000-0005-0000-0000-0000C9480000}"/>
    <cellStyle name="40% - Accent4 2 2 2 3 5 2 2" xfId="36338" xr:uid="{00000000-0005-0000-0000-0000CA480000}"/>
    <cellStyle name="40% - Accent4 2 2 2 3 5 3" xfId="26098" xr:uid="{00000000-0005-0000-0000-0000CB480000}"/>
    <cellStyle name="40% - Accent4 2 2 2 3 6" xfId="10738" xr:uid="{00000000-0005-0000-0000-0000CC480000}"/>
    <cellStyle name="40% - Accent4 2 2 2 3 6 2" xfId="31218" xr:uid="{00000000-0005-0000-0000-0000CD480000}"/>
    <cellStyle name="40% - Accent4 2 2 2 3 7" xfId="20978" xr:uid="{00000000-0005-0000-0000-0000CE480000}"/>
    <cellStyle name="40% - Accent4 2 2 2 4" xfId="818" xr:uid="{00000000-0005-0000-0000-0000CF480000}"/>
    <cellStyle name="40% - Accent4 2 2 2 4 2" xfId="2098" xr:uid="{00000000-0005-0000-0000-0000D0480000}"/>
    <cellStyle name="40% - Accent4 2 2 2 4 2 2" xfId="4658" xr:uid="{00000000-0005-0000-0000-0000D1480000}"/>
    <cellStyle name="40% - Accent4 2 2 2 4 2 2 2" xfId="9778" xr:uid="{00000000-0005-0000-0000-0000D2480000}"/>
    <cellStyle name="40% - Accent4 2 2 2 4 2 2 2 2" xfId="20018" xr:uid="{00000000-0005-0000-0000-0000D3480000}"/>
    <cellStyle name="40% - Accent4 2 2 2 4 2 2 2 2 2" xfId="40498" xr:uid="{00000000-0005-0000-0000-0000D4480000}"/>
    <cellStyle name="40% - Accent4 2 2 2 4 2 2 2 3" xfId="30258" xr:uid="{00000000-0005-0000-0000-0000D5480000}"/>
    <cellStyle name="40% - Accent4 2 2 2 4 2 2 3" xfId="14898" xr:uid="{00000000-0005-0000-0000-0000D6480000}"/>
    <cellStyle name="40% - Accent4 2 2 2 4 2 2 3 2" xfId="35378" xr:uid="{00000000-0005-0000-0000-0000D7480000}"/>
    <cellStyle name="40% - Accent4 2 2 2 4 2 2 4" xfId="25138" xr:uid="{00000000-0005-0000-0000-0000D8480000}"/>
    <cellStyle name="40% - Accent4 2 2 2 4 2 3" xfId="7218" xr:uid="{00000000-0005-0000-0000-0000D9480000}"/>
    <cellStyle name="40% - Accent4 2 2 2 4 2 3 2" xfId="17458" xr:uid="{00000000-0005-0000-0000-0000DA480000}"/>
    <cellStyle name="40% - Accent4 2 2 2 4 2 3 2 2" xfId="37938" xr:uid="{00000000-0005-0000-0000-0000DB480000}"/>
    <cellStyle name="40% - Accent4 2 2 2 4 2 3 3" xfId="27698" xr:uid="{00000000-0005-0000-0000-0000DC480000}"/>
    <cellStyle name="40% - Accent4 2 2 2 4 2 4" xfId="12338" xr:uid="{00000000-0005-0000-0000-0000DD480000}"/>
    <cellStyle name="40% - Accent4 2 2 2 4 2 4 2" xfId="32818" xr:uid="{00000000-0005-0000-0000-0000DE480000}"/>
    <cellStyle name="40% - Accent4 2 2 2 4 2 5" xfId="22578" xr:uid="{00000000-0005-0000-0000-0000DF480000}"/>
    <cellStyle name="40% - Accent4 2 2 2 4 3" xfId="3378" xr:uid="{00000000-0005-0000-0000-0000E0480000}"/>
    <cellStyle name="40% - Accent4 2 2 2 4 3 2" xfId="8498" xr:uid="{00000000-0005-0000-0000-0000E1480000}"/>
    <cellStyle name="40% - Accent4 2 2 2 4 3 2 2" xfId="18738" xr:uid="{00000000-0005-0000-0000-0000E2480000}"/>
    <cellStyle name="40% - Accent4 2 2 2 4 3 2 2 2" xfId="39218" xr:uid="{00000000-0005-0000-0000-0000E3480000}"/>
    <cellStyle name="40% - Accent4 2 2 2 4 3 2 3" xfId="28978" xr:uid="{00000000-0005-0000-0000-0000E4480000}"/>
    <cellStyle name="40% - Accent4 2 2 2 4 3 3" xfId="13618" xr:uid="{00000000-0005-0000-0000-0000E5480000}"/>
    <cellStyle name="40% - Accent4 2 2 2 4 3 3 2" xfId="34098" xr:uid="{00000000-0005-0000-0000-0000E6480000}"/>
    <cellStyle name="40% - Accent4 2 2 2 4 3 4" xfId="23858" xr:uid="{00000000-0005-0000-0000-0000E7480000}"/>
    <cellStyle name="40% - Accent4 2 2 2 4 4" xfId="5938" xr:uid="{00000000-0005-0000-0000-0000E8480000}"/>
    <cellStyle name="40% - Accent4 2 2 2 4 4 2" xfId="16178" xr:uid="{00000000-0005-0000-0000-0000E9480000}"/>
    <cellStyle name="40% - Accent4 2 2 2 4 4 2 2" xfId="36658" xr:uid="{00000000-0005-0000-0000-0000EA480000}"/>
    <cellStyle name="40% - Accent4 2 2 2 4 4 3" xfId="26418" xr:uid="{00000000-0005-0000-0000-0000EB480000}"/>
    <cellStyle name="40% - Accent4 2 2 2 4 5" xfId="11058" xr:uid="{00000000-0005-0000-0000-0000EC480000}"/>
    <cellStyle name="40% - Accent4 2 2 2 4 5 2" xfId="31538" xr:uid="{00000000-0005-0000-0000-0000ED480000}"/>
    <cellStyle name="40% - Accent4 2 2 2 4 6" xfId="21298" xr:uid="{00000000-0005-0000-0000-0000EE480000}"/>
    <cellStyle name="40% - Accent4 2 2 2 5" xfId="1458" xr:uid="{00000000-0005-0000-0000-0000EF480000}"/>
    <cellStyle name="40% - Accent4 2 2 2 5 2" xfId="4018" xr:uid="{00000000-0005-0000-0000-0000F0480000}"/>
    <cellStyle name="40% - Accent4 2 2 2 5 2 2" xfId="9138" xr:uid="{00000000-0005-0000-0000-0000F1480000}"/>
    <cellStyle name="40% - Accent4 2 2 2 5 2 2 2" xfId="19378" xr:uid="{00000000-0005-0000-0000-0000F2480000}"/>
    <cellStyle name="40% - Accent4 2 2 2 5 2 2 2 2" xfId="39858" xr:uid="{00000000-0005-0000-0000-0000F3480000}"/>
    <cellStyle name="40% - Accent4 2 2 2 5 2 2 3" xfId="29618" xr:uid="{00000000-0005-0000-0000-0000F4480000}"/>
    <cellStyle name="40% - Accent4 2 2 2 5 2 3" xfId="14258" xr:uid="{00000000-0005-0000-0000-0000F5480000}"/>
    <cellStyle name="40% - Accent4 2 2 2 5 2 3 2" xfId="34738" xr:uid="{00000000-0005-0000-0000-0000F6480000}"/>
    <cellStyle name="40% - Accent4 2 2 2 5 2 4" xfId="24498" xr:uid="{00000000-0005-0000-0000-0000F7480000}"/>
    <cellStyle name="40% - Accent4 2 2 2 5 3" xfId="6578" xr:uid="{00000000-0005-0000-0000-0000F8480000}"/>
    <cellStyle name="40% - Accent4 2 2 2 5 3 2" xfId="16818" xr:uid="{00000000-0005-0000-0000-0000F9480000}"/>
    <cellStyle name="40% - Accent4 2 2 2 5 3 2 2" xfId="37298" xr:uid="{00000000-0005-0000-0000-0000FA480000}"/>
    <cellStyle name="40% - Accent4 2 2 2 5 3 3" xfId="27058" xr:uid="{00000000-0005-0000-0000-0000FB480000}"/>
    <cellStyle name="40% - Accent4 2 2 2 5 4" xfId="11698" xr:uid="{00000000-0005-0000-0000-0000FC480000}"/>
    <cellStyle name="40% - Accent4 2 2 2 5 4 2" xfId="32178" xr:uid="{00000000-0005-0000-0000-0000FD480000}"/>
    <cellStyle name="40% - Accent4 2 2 2 5 5" xfId="21938" xr:uid="{00000000-0005-0000-0000-0000FE480000}"/>
    <cellStyle name="40% - Accent4 2 2 2 6" xfId="2738" xr:uid="{00000000-0005-0000-0000-0000FF480000}"/>
    <cellStyle name="40% - Accent4 2 2 2 6 2" xfId="7858" xr:uid="{00000000-0005-0000-0000-000000490000}"/>
    <cellStyle name="40% - Accent4 2 2 2 6 2 2" xfId="18098" xr:uid="{00000000-0005-0000-0000-000001490000}"/>
    <cellStyle name="40% - Accent4 2 2 2 6 2 2 2" xfId="38578" xr:uid="{00000000-0005-0000-0000-000002490000}"/>
    <cellStyle name="40% - Accent4 2 2 2 6 2 3" xfId="28338" xr:uid="{00000000-0005-0000-0000-000003490000}"/>
    <cellStyle name="40% - Accent4 2 2 2 6 3" xfId="12978" xr:uid="{00000000-0005-0000-0000-000004490000}"/>
    <cellStyle name="40% - Accent4 2 2 2 6 3 2" xfId="33458" xr:uid="{00000000-0005-0000-0000-000005490000}"/>
    <cellStyle name="40% - Accent4 2 2 2 6 4" xfId="23218" xr:uid="{00000000-0005-0000-0000-000006490000}"/>
    <cellStyle name="40% - Accent4 2 2 2 7" xfId="5298" xr:uid="{00000000-0005-0000-0000-000007490000}"/>
    <cellStyle name="40% - Accent4 2 2 2 7 2" xfId="15538" xr:uid="{00000000-0005-0000-0000-000008490000}"/>
    <cellStyle name="40% - Accent4 2 2 2 7 2 2" xfId="36018" xr:uid="{00000000-0005-0000-0000-000009490000}"/>
    <cellStyle name="40% - Accent4 2 2 2 7 3" xfId="25778" xr:uid="{00000000-0005-0000-0000-00000A490000}"/>
    <cellStyle name="40% - Accent4 2 2 2 8" xfId="10418" xr:uid="{00000000-0005-0000-0000-00000B490000}"/>
    <cellStyle name="40% - Accent4 2 2 2 8 2" xfId="30898" xr:uid="{00000000-0005-0000-0000-00000C490000}"/>
    <cellStyle name="40% - Accent4 2 2 2 9" xfId="20658" xr:uid="{00000000-0005-0000-0000-00000D490000}"/>
    <cellStyle name="40% - Accent4 2 2 3" xfId="258" xr:uid="{00000000-0005-0000-0000-00000E490000}"/>
    <cellStyle name="40% - Accent4 2 2 3 2" xfId="578" xr:uid="{00000000-0005-0000-0000-00000F490000}"/>
    <cellStyle name="40% - Accent4 2 2 3 2 2" xfId="1218" xr:uid="{00000000-0005-0000-0000-000010490000}"/>
    <cellStyle name="40% - Accent4 2 2 3 2 2 2" xfId="2498" xr:uid="{00000000-0005-0000-0000-000011490000}"/>
    <cellStyle name="40% - Accent4 2 2 3 2 2 2 2" xfId="5058" xr:uid="{00000000-0005-0000-0000-000012490000}"/>
    <cellStyle name="40% - Accent4 2 2 3 2 2 2 2 2" xfId="10178" xr:uid="{00000000-0005-0000-0000-000013490000}"/>
    <cellStyle name="40% - Accent4 2 2 3 2 2 2 2 2 2" xfId="20418" xr:uid="{00000000-0005-0000-0000-000014490000}"/>
    <cellStyle name="40% - Accent4 2 2 3 2 2 2 2 2 2 2" xfId="40898" xr:uid="{00000000-0005-0000-0000-000015490000}"/>
    <cellStyle name="40% - Accent4 2 2 3 2 2 2 2 2 3" xfId="30658" xr:uid="{00000000-0005-0000-0000-000016490000}"/>
    <cellStyle name="40% - Accent4 2 2 3 2 2 2 2 3" xfId="15298" xr:uid="{00000000-0005-0000-0000-000017490000}"/>
    <cellStyle name="40% - Accent4 2 2 3 2 2 2 2 3 2" xfId="35778" xr:uid="{00000000-0005-0000-0000-000018490000}"/>
    <cellStyle name="40% - Accent4 2 2 3 2 2 2 2 4" xfId="25538" xr:uid="{00000000-0005-0000-0000-000019490000}"/>
    <cellStyle name="40% - Accent4 2 2 3 2 2 2 3" xfId="7618" xr:uid="{00000000-0005-0000-0000-00001A490000}"/>
    <cellStyle name="40% - Accent4 2 2 3 2 2 2 3 2" xfId="17858" xr:uid="{00000000-0005-0000-0000-00001B490000}"/>
    <cellStyle name="40% - Accent4 2 2 3 2 2 2 3 2 2" xfId="38338" xr:uid="{00000000-0005-0000-0000-00001C490000}"/>
    <cellStyle name="40% - Accent4 2 2 3 2 2 2 3 3" xfId="28098" xr:uid="{00000000-0005-0000-0000-00001D490000}"/>
    <cellStyle name="40% - Accent4 2 2 3 2 2 2 4" xfId="12738" xr:uid="{00000000-0005-0000-0000-00001E490000}"/>
    <cellStyle name="40% - Accent4 2 2 3 2 2 2 4 2" xfId="33218" xr:uid="{00000000-0005-0000-0000-00001F490000}"/>
    <cellStyle name="40% - Accent4 2 2 3 2 2 2 5" xfId="22978" xr:uid="{00000000-0005-0000-0000-000020490000}"/>
    <cellStyle name="40% - Accent4 2 2 3 2 2 3" xfId="3778" xr:uid="{00000000-0005-0000-0000-000021490000}"/>
    <cellStyle name="40% - Accent4 2 2 3 2 2 3 2" xfId="8898" xr:uid="{00000000-0005-0000-0000-000022490000}"/>
    <cellStyle name="40% - Accent4 2 2 3 2 2 3 2 2" xfId="19138" xr:uid="{00000000-0005-0000-0000-000023490000}"/>
    <cellStyle name="40% - Accent4 2 2 3 2 2 3 2 2 2" xfId="39618" xr:uid="{00000000-0005-0000-0000-000024490000}"/>
    <cellStyle name="40% - Accent4 2 2 3 2 2 3 2 3" xfId="29378" xr:uid="{00000000-0005-0000-0000-000025490000}"/>
    <cellStyle name="40% - Accent4 2 2 3 2 2 3 3" xfId="14018" xr:uid="{00000000-0005-0000-0000-000026490000}"/>
    <cellStyle name="40% - Accent4 2 2 3 2 2 3 3 2" xfId="34498" xr:uid="{00000000-0005-0000-0000-000027490000}"/>
    <cellStyle name="40% - Accent4 2 2 3 2 2 3 4" xfId="24258" xr:uid="{00000000-0005-0000-0000-000028490000}"/>
    <cellStyle name="40% - Accent4 2 2 3 2 2 4" xfId="6338" xr:uid="{00000000-0005-0000-0000-000029490000}"/>
    <cellStyle name="40% - Accent4 2 2 3 2 2 4 2" xfId="16578" xr:uid="{00000000-0005-0000-0000-00002A490000}"/>
    <cellStyle name="40% - Accent4 2 2 3 2 2 4 2 2" xfId="37058" xr:uid="{00000000-0005-0000-0000-00002B490000}"/>
    <cellStyle name="40% - Accent4 2 2 3 2 2 4 3" xfId="26818" xr:uid="{00000000-0005-0000-0000-00002C490000}"/>
    <cellStyle name="40% - Accent4 2 2 3 2 2 5" xfId="11458" xr:uid="{00000000-0005-0000-0000-00002D490000}"/>
    <cellStyle name="40% - Accent4 2 2 3 2 2 5 2" xfId="31938" xr:uid="{00000000-0005-0000-0000-00002E490000}"/>
    <cellStyle name="40% - Accent4 2 2 3 2 2 6" xfId="21698" xr:uid="{00000000-0005-0000-0000-00002F490000}"/>
    <cellStyle name="40% - Accent4 2 2 3 2 3" xfId="1858" xr:uid="{00000000-0005-0000-0000-000030490000}"/>
    <cellStyle name="40% - Accent4 2 2 3 2 3 2" xfId="4418" xr:uid="{00000000-0005-0000-0000-000031490000}"/>
    <cellStyle name="40% - Accent4 2 2 3 2 3 2 2" xfId="9538" xr:uid="{00000000-0005-0000-0000-000032490000}"/>
    <cellStyle name="40% - Accent4 2 2 3 2 3 2 2 2" xfId="19778" xr:uid="{00000000-0005-0000-0000-000033490000}"/>
    <cellStyle name="40% - Accent4 2 2 3 2 3 2 2 2 2" xfId="40258" xr:uid="{00000000-0005-0000-0000-000034490000}"/>
    <cellStyle name="40% - Accent4 2 2 3 2 3 2 2 3" xfId="30018" xr:uid="{00000000-0005-0000-0000-000035490000}"/>
    <cellStyle name="40% - Accent4 2 2 3 2 3 2 3" xfId="14658" xr:uid="{00000000-0005-0000-0000-000036490000}"/>
    <cellStyle name="40% - Accent4 2 2 3 2 3 2 3 2" xfId="35138" xr:uid="{00000000-0005-0000-0000-000037490000}"/>
    <cellStyle name="40% - Accent4 2 2 3 2 3 2 4" xfId="24898" xr:uid="{00000000-0005-0000-0000-000038490000}"/>
    <cellStyle name="40% - Accent4 2 2 3 2 3 3" xfId="6978" xr:uid="{00000000-0005-0000-0000-000039490000}"/>
    <cellStyle name="40% - Accent4 2 2 3 2 3 3 2" xfId="17218" xr:uid="{00000000-0005-0000-0000-00003A490000}"/>
    <cellStyle name="40% - Accent4 2 2 3 2 3 3 2 2" xfId="37698" xr:uid="{00000000-0005-0000-0000-00003B490000}"/>
    <cellStyle name="40% - Accent4 2 2 3 2 3 3 3" xfId="27458" xr:uid="{00000000-0005-0000-0000-00003C490000}"/>
    <cellStyle name="40% - Accent4 2 2 3 2 3 4" xfId="12098" xr:uid="{00000000-0005-0000-0000-00003D490000}"/>
    <cellStyle name="40% - Accent4 2 2 3 2 3 4 2" xfId="32578" xr:uid="{00000000-0005-0000-0000-00003E490000}"/>
    <cellStyle name="40% - Accent4 2 2 3 2 3 5" xfId="22338" xr:uid="{00000000-0005-0000-0000-00003F490000}"/>
    <cellStyle name="40% - Accent4 2 2 3 2 4" xfId="3138" xr:uid="{00000000-0005-0000-0000-000040490000}"/>
    <cellStyle name="40% - Accent4 2 2 3 2 4 2" xfId="8258" xr:uid="{00000000-0005-0000-0000-000041490000}"/>
    <cellStyle name="40% - Accent4 2 2 3 2 4 2 2" xfId="18498" xr:uid="{00000000-0005-0000-0000-000042490000}"/>
    <cellStyle name="40% - Accent4 2 2 3 2 4 2 2 2" xfId="38978" xr:uid="{00000000-0005-0000-0000-000043490000}"/>
    <cellStyle name="40% - Accent4 2 2 3 2 4 2 3" xfId="28738" xr:uid="{00000000-0005-0000-0000-000044490000}"/>
    <cellStyle name="40% - Accent4 2 2 3 2 4 3" xfId="13378" xr:uid="{00000000-0005-0000-0000-000045490000}"/>
    <cellStyle name="40% - Accent4 2 2 3 2 4 3 2" xfId="33858" xr:uid="{00000000-0005-0000-0000-000046490000}"/>
    <cellStyle name="40% - Accent4 2 2 3 2 4 4" xfId="23618" xr:uid="{00000000-0005-0000-0000-000047490000}"/>
    <cellStyle name="40% - Accent4 2 2 3 2 5" xfId="5698" xr:uid="{00000000-0005-0000-0000-000048490000}"/>
    <cellStyle name="40% - Accent4 2 2 3 2 5 2" xfId="15938" xr:uid="{00000000-0005-0000-0000-000049490000}"/>
    <cellStyle name="40% - Accent4 2 2 3 2 5 2 2" xfId="36418" xr:uid="{00000000-0005-0000-0000-00004A490000}"/>
    <cellStyle name="40% - Accent4 2 2 3 2 5 3" xfId="26178" xr:uid="{00000000-0005-0000-0000-00004B490000}"/>
    <cellStyle name="40% - Accent4 2 2 3 2 6" xfId="10818" xr:uid="{00000000-0005-0000-0000-00004C490000}"/>
    <cellStyle name="40% - Accent4 2 2 3 2 6 2" xfId="31298" xr:uid="{00000000-0005-0000-0000-00004D490000}"/>
    <cellStyle name="40% - Accent4 2 2 3 2 7" xfId="21058" xr:uid="{00000000-0005-0000-0000-00004E490000}"/>
    <cellStyle name="40% - Accent4 2 2 3 3" xfId="898" xr:uid="{00000000-0005-0000-0000-00004F490000}"/>
    <cellStyle name="40% - Accent4 2 2 3 3 2" xfId="2178" xr:uid="{00000000-0005-0000-0000-000050490000}"/>
    <cellStyle name="40% - Accent4 2 2 3 3 2 2" xfId="4738" xr:uid="{00000000-0005-0000-0000-000051490000}"/>
    <cellStyle name="40% - Accent4 2 2 3 3 2 2 2" xfId="9858" xr:uid="{00000000-0005-0000-0000-000052490000}"/>
    <cellStyle name="40% - Accent4 2 2 3 3 2 2 2 2" xfId="20098" xr:uid="{00000000-0005-0000-0000-000053490000}"/>
    <cellStyle name="40% - Accent4 2 2 3 3 2 2 2 2 2" xfId="40578" xr:uid="{00000000-0005-0000-0000-000054490000}"/>
    <cellStyle name="40% - Accent4 2 2 3 3 2 2 2 3" xfId="30338" xr:uid="{00000000-0005-0000-0000-000055490000}"/>
    <cellStyle name="40% - Accent4 2 2 3 3 2 2 3" xfId="14978" xr:uid="{00000000-0005-0000-0000-000056490000}"/>
    <cellStyle name="40% - Accent4 2 2 3 3 2 2 3 2" xfId="35458" xr:uid="{00000000-0005-0000-0000-000057490000}"/>
    <cellStyle name="40% - Accent4 2 2 3 3 2 2 4" xfId="25218" xr:uid="{00000000-0005-0000-0000-000058490000}"/>
    <cellStyle name="40% - Accent4 2 2 3 3 2 3" xfId="7298" xr:uid="{00000000-0005-0000-0000-000059490000}"/>
    <cellStyle name="40% - Accent4 2 2 3 3 2 3 2" xfId="17538" xr:uid="{00000000-0005-0000-0000-00005A490000}"/>
    <cellStyle name="40% - Accent4 2 2 3 3 2 3 2 2" xfId="38018" xr:uid="{00000000-0005-0000-0000-00005B490000}"/>
    <cellStyle name="40% - Accent4 2 2 3 3 2 3 3" xfId="27778" xr:uid="{00000000-0005-0000-0000-00005C490000}"/>
    <cellStyle name="40% - Accent4 2 2 3 3 2 4" xfId="12418" xr:uid="{00000000-0005-0000-0000-00005D490000}"/>
    <cellStyle name="40% - Accent4 2 2 3 3 2 4 2" xfId="32898" xr:uid="{00000000-0005-0000-0000-00005E490000}"/>
    <cellStyle name="40% - Accent4 2 2 3 3 2 5" xfId="22658" xr:uid="{00000000-0005-0000-0000-00005F490000}"/>
    <cellStyle name="40% - Accent4 2 2 3 3 3" xfId="3458" xr:uid="{00000000-0005-0000-0000-000060490000}"/>
    <cellStyle name="40% - Accent4 2 2 3 3 3 2" xfId="8578" xr:uid="{00000000-0005-0000-0000-000061490000}"/>
    <cellStyle name="40% - Accent4 2 2 3 3 3 2 2" xfId="18818" xr:uid="{00000000-0005-0000-0000-000062490000}"/>
    <cellStyle name="40% - Accent4 2 2 3 3 3 2 2 2" xfId="39298" xr:uid="{00000000-0005-0000-0000-000063490000}"/>
    <cellStyle name="40% - Accent4 2 2 3 3 3 2 3" xfId="29058" xr:uid="{00000000-0005-0000-0000-000064490000}"/>
    <cellStyle name="40% - Accent4 2 2 3 3 3 3" xfId="13698" xr:uid="{00000000-0005-0000-0000-000065490000}"/>
    <cellStyle name="40% - Accent4 2 2 3 3 3 3 2" xfId="34178" xr:uid="{00000000-0005-0000-0000-000066490000}"/>
    <cellStyle name="40% - Accent4 2 2 3 3 3 4" xfId="23938" xr:uid="{00000000-0005-0000-0000-000067490000}"/>
    <cellStyle name="40% - Accent4 2 2 3 3 4" xfId="6018" xr:uid="{00000000-0005-0000-0000-000068490000}"/>
    <cellStyle name="40% - Accent4 2 2 3 3 4 2" xfId="16258" xr:uid="{00000000-0005-0000-0000-000069490000}"/>
    <cellStyle name="40% - Accent4 2 2 3 3 4 2 2" xfId="36738" xr:uid="{00000000-0005-0000-0000-00006A490000}"/>
    <cellStyle name="40% - Accent4 2 2 3 3 4 3" xfId="26498" xr:uid="{00000000-0005-0000-0000-00006B490000}"/>
    <cellStyle name="40% - Accent4 2 2 3 3 5" xfId="11138" xr:uid="{00000000-0005-0000-0000-00006C490000}"/>
    <cellStyle name="40% - Accent4 2 2 3 3 5 2" xfId="31618" xr:uid="{00000000-0005-0000-0000-00006D490000}"/>
    <cellStyle name="40% - Accent4 2 2 3 3 6" xfId="21378" xr:uid="{00000000-0005-0000-0000-00006E490000}"/>
    <cellStyle name="40% - Accent4 2 2 3 4" xfId="1538" xr:uid="{00000000-0005-0000-0000-00006F490000}"/>
    <cellStyle name="40% - Accent4 2 2 3 4 2" xfId="4098" xr:uid="{00000000-0005-0000-0000-000070490000}"/>
    <cellStyle name="40% - Accent4 2 2 3 4 2 2" xfId="9218" xr:uid="{00000000-0005-0000-0000-000071490000}"/>
    <cellStyle name="40% - Accent4 2 2 3 4 2 2 2" xfId="19458" xr:uid="{00000000-0005-0000-0000-000072490000}"/>
    <cellStyle name="40% - Accent4 2 2 3 4 2 2 2 2" xfId="39938" xr:uid="{00000000-0005-0000-0000-000073490000}"/>
    <cellStyle name="40% - Accent4 2 2 3 4 2 2 3" xfId="29698" xr:uid="{00000000-0005-0000-0000-000074490000}"/>
    <cellStyle name="40% - Accent4 2 2 3 4 2 3" xfId="14338" xr:uid="{00000000-0005-0000-0000-000075490000}"/>
    <cellStyle name="40% - Accent4 2 2 3 4 2 3 2" xfId="34818" xr:uid="{00000000-0005-0000-0000-000076490000}"/>
    <cellStyle name="40% - Accent4 2 2 3 4 2 4" xfId="24578" xr:uid="{00000000-0005-0000-0000-000077490000}"/>
    <cellStyle name="40% - Accent4 2 2 3 4 3" xfId="6658" xr:uid="{00000000-0005-0000-0000-000078490000}"/>
    <cellStyle name="40% - Accent4 2 2 3 4 3 2" xfId="16898" xr:uid="{00000000-0005-0000-0000-000079490000}"/>
    <cellStyle name="40% - Accent4 2 2 3 4 3 2 2" xfId="37378" xr:uid="{00000000-0005-0000-0000-00007A490000}"/>
    <cellStyle name="40% - Accent4 2 2 3 4 3 3" xfId="27138" xr:uid="{00000000-0005-0000-0000-00007B490000}"/>
    <cellStyle name="40% - Accent4 2 2 3 4 4" xfId="11778" xr:uid="{00000000-0005-0000-0000-00007C490000}"/>
    <cellStyle name="40% - Accent4 2 2 3 4 4 2" xfId="32258" xr:uid="{00000000-0005-0000-0000-00007D490000}"/>
    <cellStyle name="40% - Accent4 2 2 3 4 5" xfId="22018" xr:uid="{00000000-0005-0000-0000-00007E490000}"/>
    <cellStyle name="40% - Accent4 2 2 3 5" xfId="2818" xr:uid="{00000000-0005-0000-0000-00007F490000}"/>
    <cellStyle name="40% - Accent4 2 2 3 5 2" xfId="7938" xr:uid="{00000000-0005-0000-0000-000080490000}"/>
    <cellStyle name="40% - Accent4 2 2 3 5 2 2" xfId="18178" xr:uid="{00000000-0005-0000-0000-000081490000}"/>
    <cellStyle name="40% - Accent4 2 2 3 5 2 2 2" xfId="38658" xr:uid="{00000000-0005-0000-0000-000082490000}"/>
    <cellStyle name="40% - Accent4 2 2 3 5 2 3" xfId="28418" xr:uid="{00000000-0005-0000-0000-000083490000}"/>
    <cellStyle name="40% - Accent4 2 2 3 5 3" xfId="13058" xr:uid="{00000000-0005-0000-0000-000084490000}"/>
    <cellStyle name="40% - Accent4 2 2 3 5 3 2" xfId="33538" xr:uid="{00000000-0005-0000-0000-000085490000}"/>
    <cellStyle name="40% - Accent4 2 2 3 5 4" xfId="23298" xr:uid="{00000000-0005-0000-0000-000086490000}"/>
    <cellStyle name="40% - Accent4 2 2 3 6" xfId="5378" xr:uid="{00000000-0005-0000-0000-000087490000}"/>
    <cellStyle name="40% - Accent4 2 2 3 6 2" xfId="15618" xr:uid="{00000000-0005-0000-0000-000088490000}"/>
    <cellStyle name="40% - Accent4 2 2 3 6 2 2" xfId="36098" xr:uid="{00000000-0005-0000-0000-000089490000}"/>
    <cellStyle name="40% - Accent4 2 2 3 6 3" xfId="25858" xr:uid="{00000000-0005-0000-0000-00008A490000}"/>
    <cellStyle name="40% - Accent4 2 2 3 7" xfId="10498" xr:uid="{00000000-0005-0000-0000-00008B490000}"/>
    <cellStyle name="40% - Accent4 2 2 3 7 2" xfId="30978" xr:uid="{00000000-0005-0000-0000-00008C490000}"/>
    <cellStyle name="40% - Accent4 2 2 3 8" xfId="20738" xr:uid="{00000000-0005-0000-0000-00008D490000}"/>
    <cellStyle name="40% - Accent4 2 2 4" xfId="418" xr:uid="{00000000-0005-0000-0000-00008E490000}"/>
    <cellStyle name="40% - Accent4 2 2 4 2" xfId="1058" xr:uid="{00000000-0005-0000-0000-00008F490000}"/>
    <cellStyle name="40% - Accent4 2 2 4 2 2" xfId="2338" xr:uid="{00000000-0005-0000-0000-000090490000}"/>
    <cellStyle name="40% - Accent4 2 2 4 2 2 2" xfId="4898" xr:uid="{00000000-0005-0000-0000-000091490000}"/>
    <cellStyle name="40% - Accent4 2 2 4 2 2 2 2" xfId="10018" xr:uid="{00000000-0005-0000-0000-000092490000}"/>
    <cellStyle name="40% - Accent4 2 2 4 2 2 2 2 2" xfId="20258" xr:uid="{00000000-0005-0000-0000-000093490000}"/>
    <cellStyle name="40% - Accent4 2 2 4 2 2 2 2 2 2" xfId="40738" xr:uid="{00000000-0005-0000-0000-000094490000}"/>
    <cellStyle name="40% - Accent4 2 2 4 2 2 2 2 3" xfId="30498" xr:uid="{00000000-0005-0000-0000-000095490000}"/>
    <cellStyle name="40% - Accent4 2 2 4 2 2 2 3" xfId="15138" xr:uid="{00000000-0005-0000-0000-000096490000}"/>
    <cellStyle name="40% - Accent4 2 2 4 2 2 2 3 2" xfId="35618" xr:uid="{00000000-0005-0000-0000-000097490000}"/>
    <cellStyle name="40% - Accent4 2 2 4 2 2 2 4" xfId="25378" xr:uid="{00000000-0005-0000-0000-000098490000}"/>
    <cellStyle name="40% - Accent4 2 2 4 2 2 3" xfId="7458" xr:uid="{00000000-0005-0000-0000-000099490000}"/>
    <cellStyle name="40% - Accent4 2 2 4 2 2 3 2" xfId="17698" xr:uid="{00000000-0005-0000-0000-00009A490000}"/>
    <cellStyle name="40% - Accent4 2 2 4 2 2 3 2 2" xfId="38178" xr:uid="{00000000-0005-0000-0000-00009B490000}"/>
    <cellStyle name="40% - Accent4 2 2 4 2 2 3 3" xfId="27938" xr:uid="{00000000-0005-0000-0000-00009C490000}"/>
    <cellStyle name="40% - Accent4 2 2 4 2 2 4" xfId="12578" xr:uid="{00000000-0005-0000-0000-00009D490000}"/>
    <cellStyle name="40% - Accent4 2 2 4 2 2 4 2" xfId="33058" xr:uid="{00000000-0005-0000-0000-00009E490000}"/>
    <cellStyle name="40% - Accent4 2 2 4 2 2 5" xfId="22818" xr:uid="{00000000-0005-0000-0000-00009F490000}"/>
    <cellStyle name="40% - Accent4 2 2 4 2 3" xfId="3618" xr:uid="{00000000-0005-0000-0000-0000A0490000}"/>
    <cellStyle name="40% - Accent4 2 2 4 2 3 2" xfId="8738" xr:uid="{00000000-0005-0000-0000-0000A1490000}"/>
    <cellStyle name="40% - Accent4 2 2 4 2 3 2 2" xfId="18978" xr:uid="{00000000-0005-0000-0000-0000A2490000}"/>
    <cellStyle name="40% - Accent4 2 2 4 2 3 2 2 2" xfId="39458" xr:uid="{00000000-0005-0000-0000-0000A3490000}"/>
    <cellStyle name="40% - Accent4 2 2 4 2 3 2 3" xfId="29218" xr:uid="{00000000-0005-0000-0000-0000A4490000}"/>
    <cellStyle name="40% - Accent4 2 2 4 2 3 3" xfId="13858" xr:uid="{00000000-0005-0000-0000-0000A5490000}"/>
    <cellStyle name="40% - Accent4 2 2 4 2 3 3 2" xfId="34338" xr:uid="{00000000-0005-0000-0000-0000A6490000}"/>
    <cellStyle name="40% - Accent4 2 2 4 2 3 4" xfId="24098" xr:uid="{00000000-0005-0000-0000-0000A7490000}"/>
    <cellStyle name="40% - Accent4 2 2 4 2 4" xfId="6178" xr:uid="{00000000-0005-0000-0000-0000A8490000}"/>
    <cellStyle name="40% - Accent4 2 2 4 2 4 2" xfId="16418" xr:uid="{00000000-0005-0000-0000-0000A9490000}"/>
    <cellStyle name="40% - Accent4 2 2 4 2 4 2 2" xfId="36898" xr:uid="{00000000-0005-0000-0000-0000AA490000}"/>
    <cellStyle name="40% - Accent4 2 2 4 2 4 3" xfId="26658" xr:uid="{00000000-0005-0000-0000-0000AB490000}"/>
    <cellStyle name="40% - Accent4 2 2 4 2 5" xfId="11298" xr:uid="{00000000-0005-0000-0000-0000AC490000}"/>
    <cellStyle name="40% - Accent4 2 2 4 2 5 2" xfId="31778" xr:uid="{00000000-0005-0000-0000-0000AD490000}"/>
    <cellStyle name="40% - Accent4 2 2 4 2 6" xfId="21538" xr:uid="{00000000-0005-0000-0000-0000AE490000}"/>
    <cellStyle name="40% - Accent4 2 2 4 3" xfId="1698" xr:uid="{00000000-0005-0000-0000-0000AF490000}"/>
    <cellStyle name="40% - Accent4 2 2 4 3 2" xfId="4258" xr:uid="{00000000-0005-0000-0000-0000B0490000}"/>
    <cellStyle name="40% - Accent4 2 2 4 3 2 2" xfId="9378" xr:uid="{00000000-0005-0000-0000-0000B1490000}"/>
    <cellStyle name="40% - Accent4 2 2 4 3 2 2 2" xfId="19618" xr:uid="{00000000-0005-0000-0000-0000B2490000}"/>
    <cellStyle name="40% - Accent4 2 2 4 3 2 2 2 2" xfId="40098" xr:uid="{00000000-0005-0000-0000-0000B3490000}"/>
    <cellStyle name="40% - Accent4 2 2 4 3 2 2 3" xfId="29858" xr:uid="{00000000-0005-0000-0000-0000B4490000}"/>
    <cellStyle name="40% - Accent4 2 2 4 3 2 3" xfId="14498" xr:uid="{00000000-0005-0000-0000-0000B5490000}"/>
    <cellStyle name="40% - Accent4 2 2 4 3 2 3 2" xfId="34978" xr:uid="{00000000-0005-0000-0000-0000B6490000}"/>
    <cellStyle name="40% - Accent4 2 2 4 3 2 4" xfId="24738" xr:uid="{00000000-0005-0000-0000-0000B7490000}"/>
    <cellStyle name="40% - Accent4 2 2 4 3 3" xfId="6818" xr:uid="{00000000-0005-0000-0000-0000B8490000}"/>
    <cellStyle name="40% - Accent4 2 2 4 3 3 2" xfId="17058" xr:uid="{00000000-0005-0000-0000-0000B9490000}"/>
    <cellStyle name="40% - Accent4 2 2 4 3 3 2 2" xfId="37538" xr:uid="{00000000-0005-0000-0000-0000BA490000}"/>
    <cellStyle name="40% - Accent4 2 2 4 3 3 3" xfId="27298" xr:uid="{00000000-0005-0000-0000-0000BB490000}"/>
    <cellStyle name="40% - Accent4 2 2 4 3 4" xfId="11938" xr:uid="{00000000-0005-0000-0000-0000BC490000}"/>
    <cellStyle name="40% - Accent4 2 2 4 3 4 2" xfId="32418" xr:uid="{00000000-0005-0000-0000-0000BD490000}"/>
    <cellStyle name="40% - Accent4 2 2 4 3 5" xfId="22178" xr:uid="{00000000-0005-0000-0000-0000BE490000}"/>
    <cellStyle name="40% - Accent4 2 2 4 4" xfId="2978" xr:uid="{00000000-0005-0000-0000-0000BF490000}"/>
    <cellStyle name="40% - Accent4 2 2 4 4 2" xfId="8098" xr:uid="{00000000-0005-0000-0000-0000C0490000}"/>
    <cellStyle name="40% - Accent4 2 2 4 4 2 2" xfId="18338" xr:uid="{00000000-0005-0000-0000-0000C1490000}"/>
    <cellStyle name="40% - Accent4 2 2 4 4 2 2 2" xfId="38818" xr:uid="{00000000-0005-0000-0000-0000C2490000}"/>
    <cellStyle name="40% - Accent4 2 2 4 4 2 3" xfId="28578" xr:uid="{00000000-0005-0000-0000-0000C3490000}"/>
    <cellStyle name="40% - Accent4 2 2 4 4 3" xfId="13218" xr:uid="{00000000-0005-0000-0000-0000C4490000}"/>
    <cellStyle name="40% - Accent4 2 2 4 4 3 2" xfId="33698" xr:uid="{00000000-0005-0000-0000-0000C5490000}"/>
    <cellStyle name="40% - Accent4 2 2 4 4 4" xfId="23458" xr:uid="{00000000-0005-0000-0000-0000C6490000}"/>
    <cellStyle name="40% - Accent4 2 2 4 5" xfId="5538" xr:uid="{00000000-0005-0000-0000-0000C7490000}"/>
    <cellStyle name="40% - Accent4 2 2 4 5 2" xfId="15778" xr:uid="{00000000-0005-0000-0000-0000C8490000}"/>
    <cellStyle name="40% - Accent4 2 2 4 5 2 2" xfId="36258" xr:uid="{00000000-0005-0000-0000-0000C9490000}"/>
    <cellStyle name="40% - Accent4 2 2 4 5 3" xfId="26018" xr:uid="{00000000-0005-0000-0000-0000CA490000}"/>
    <cellStyle name="40% - Accent4 2 2 4 6" xfId="10658" xr:uid="{00000000-0005-0000-0000-0000CB490000}"/>
    <cellStyle name="40% - Accent4 2 2 4 6 2" xfId="31138" xr:uid="{00000000-0005-0000-0000-0000CC490000}"/>
    <cellStyle name="40% - Accent4 2 2 4 7" xfId="20898" xr:uid="{00000000-0005-0000-0000-0000CD490000}"/>
    <cellStyle name="40% - Accent4 2 2 5" xfId="738" xr:uid="{00000000-0005-0000-0000-0000CE490000}"/>
    <cellStyle name="40% - Accent4 2 2 5 2" xfId="2018" xr:uid="{00000000-0005-0000-0000-0000CF490000}"/>
    <cellStyle name="40% - Accent4 2 2 5 2 2" xfId="4578" xr:uid="{00000000-0005-0000-0000-0000D0490000}"/>
    <cellStyle name="40% - Accent4 2 2 5 2 2 2" xfId="9698" xr:uid="{00000000-0005-0000-0000-0000D1490000}"/>
    <cellStyle name="40% - Accent4 2 2 5 2 2 2 2" xfId="19938" xr:uid="{00000000-0005-0000-0000-0000D2490000}"/>
    <cellStyle name="40% - Accent4 2 2 5 2 2 2 2 2" xfId="40418" xr:uid="{00000000-0005-0000-0000-0000D3490000}"/>
    <cellStyle name="40% - Accent4 2 2 5 2 2 2 3" xfId="30178" xr:uid="{00000000-0005-0000-0000-0000D4490000}"/>
    <cellStyle name="40% - Accent4 2 2 5 2 2 3" xfId="14818" xr:uid="{00000000-0005-0000-0000-0000D5490000}"/>
    <cellStyle name="40% - Accent4 2 2 5 2 2 3 2" xfId="35298" xr:uid="{00000000-0005-0000-0000-0000D6490000}"/>
    <cellStyle name="40% - Accent4 2 2 5 2 2 4" xfId="25058" xr:uid="{00000000-0005-0000-0000-0000D7490000}"/>
    <cellStyle name="40% - Accent4 2 2 5 2 3" xfId="7138" xr:uid="{00000000-0005-0000-0000-0000D8490000}"/>
    <cellStyle name="40% - Accent4 2 2 5 2 3 2" xfId="17378" xr:uid="{00000000-0005-0000-0000-0000D9490000}"/>
    <cellStyle name="40% - Accent4 2 2 5 2 3 2 2" xfId="37858" xr:uid="{00000000-0005-0000-0000-0000DA490000}"/>
    <cellStyle name="40% - Accent4 2 2 5 2 3 3" xfId="27618" xr:uid="{00000000-0005-0000-0000-0000DB490000}"/>
    <cellStyle name="40% - Accent4 2 2 5 2 4" xfId="12258" xr:uid="{00000000-0005-0000-0000-0000DC490000}"/>
    <cellStyle name="40% - Accent4 2 2 5 2 4 2" xfId="32738" xr:uid="{00000000-0005-0000-0000-0000DD490000}"/>
    <cellStyle name="40% - Accent4 2 2 5 2 5" xfId="22498" xr:uid="{00000000-0005-0000-0000-0000DE490000}"/>
    <cellStyle name="40% - Accent4 2 2 5 3" xfId="3298" xr:uid="{00000000-0005-0000-0000-0000DF490000}"/>
    <cellStyle name="40% - Accent4 2 2 5 3 2" xfId="8418" xr:uid="{00000000-0005-0000-0000-0000E0490000}"/>
    <cellStyle name="40% - Accent4 2 2 5 3 2 2" xfId="18658" xr:uid="{00000000-0005-0000-0000-0000E1490000}"/>
    <cellStyle name="40% - Accent4 2 2 5 3 2 2 2" xfId="39138" xr:uid="{00000000-0005-0000-0000-0000E2490000}"/>
    <cellStyle name="40% - Accent4 2 2 5 3 2 3" xfId="28898" xr:uid="{00000000-0005-0000-0000-0000E3490000}"/>
    <cellStyle name="40% - Accent4 2 2 5 3 3" xfId="13538" xr:uid="{00000000-0005-0000-0000-0000E4490000}"/>
    <cellStyle name="40% - Accent4 2 2 5 3 3 2" xfId="34018" xr:uid="{00000000-0005-0000-0000-0000E5490000}"/>
    <cellStyle name="40% - Accent4 2 2 5 3 4" xfId="23778" xr:uid="{00000000-0005-0000-0000-0000E6490000}"/>
    <cellStyle name="40% - Accent4 2 2 5 4" xfId="5858" xr:uid="{00000000-0005-0000-0000-0000E7490000}"/>
    <cellStyle name="40% - Accent4 2 2 5 4 2" xfId="16098" xr:uid="{00000000-0005-0000-0000-0000E8490000}"/>
    <cellStyle name="40% - Accent4 2 2 5 4 2 2" xfId="36578" xr:uid="{00000000-0005-0000-0000-0000E9490000}"/>
    <cellStyle name="40% - Accent4 2 2 5 4 3" xfId="26338" xr:uid="{00000000-0005-0000-0000-0000EA490000}"/>
    <cellStyle name="40% - Accent4 2 2 5 5" xfId="10978" xr:uid="{00000000-0005-0000-0000-0000EB490000}"/>
    <cellStyle name="40% - Accent4 2 2 5 5 2" xfId="31458" xr:uid="{00000000-0005-0000-0000-0000EC490000}"/>
    <cellStyle name="40% - Accent4 2 2 5 6" xfId="21218" xr:uid="{00000000-0005-0000-0000-0000ED490000}"/>
    <cellStyle name="40% - Accent4 2 2 6" xfId="1378" xr:uid="{00000000-0005-0000-0000-0000EE490000}"/>
    <cellStyle name="40% - Accent4 2 2 6 2" xfId="3938" xr:uid="{00000000-0005-0000-0000-0000EF490000}"/>
    <cellStyle name="40% - Accent4 2 2 6 2 2" xfId="9058" xr:uid="{00000000-0005-0000-0000-0000F0490000}"/>
    <cellStyle name="40% - Accent4 2 2 6 2 2 2" xfId="19298" xr:uid="{00000000-0005-0000-0000-0000F1490000}"/>
    <cellStyle name="40% - Accent4 2 2 6 2 2 2 2" xfId="39778" xr:uid="{00000000-0005-0000-0000-0000F2490000}"/>
    <cellStyle name="40% - Accent4 2 2 6 2 2 3" xfId="29538" xr:uid="{00000000-0005-0000-0000-0000F3490000}"/>
    <cellStyle name="40% - Accent4 2 2 6 2 3" xfId="14178" xr:uid="{00000000-0005-0000-0000-0000F4490000}"/>
    <cellStyle name="40% - Accent4 2 2 6 2 3 2" xfId="34658" xr:uid="{00000000-0005-0000-0000-0000F5490000}"/>
    <cellStyle name="40% - Accent4 2 2 6 2 4" xfId="24418" xr:uid="{00000000-0005-0000-0000-0000F6490000}"/>
    <cellStyle name="40% - Accent4 2 2 6 3" xfId="6498" xr:uid="{00000000-0005-0000-0000-0000F7490000}"/>
    <cellStyle name="40% - Accent4 2 2 6 3 2" xfId="16738" xr:uid="{00000000-0005-0000-0000-0000F8490000}"/>
    <cellStyle name="40% - Accent4 2 2 6 3 2 2" xfId="37218" xr:uid="{00000000-0005-0000-0000-0000F9490000}"/>
    <cellStyle name="40% - Accent4 2 2 6 3 3" xfId="26978" xr:uid="{00000000-0005-0000-0000-0000FA490000}"/>
    <cellStyle name="40% - Accent4 2 2 6 4" xfId="11618" xr:uid="{00000000-0005-0000-0000-0000FB490000}"/>
    <cellStyle name="40% - Accent4 2 2 6 4 2" xfId="32098" xr:uid="{00000000-0005-0000-0000-0000FC490000}"/>
    <cellStyle name="40% - Accent4 2 2 6 5" xfId="21858" xr:uid="{00000000-0005-0000-0000-0000FD490000}"/>
    <cellStyle name="40% - Accent4 2 2 7" xfId="2658" xr:uid="{00000000-0005-0000-0000-0000FE490000}"/>
    <cellStyle name="40% - Accent4 2 2 7 2" xfId="7778" xr:uid="{00000000-0005-0000-0000-0000FF490000}"/>
    <cellStyle name="40% - Accent4 2 2 7 2 2" xfId="18018" xr:uid="{00000000-0005-0000-0000-0000004A0000}"/>
    <cellStyle name="40% - Accent4 2 2 7 2 2 2" xfId="38498" xr:uid="{00000000-0005-0000-0000-0000014A0000}"/>
    <cellStyle name="40% - Accent4 2 2 7 2 3" xfId="28258" xr:uid="{00000000-0005-0000-0000-0000024A0000}"/>
    <cellStyle name="40% - Accent4 2 2 7 3" xfId="12898" xr:uid="{00000000-0005-0000-0000-0000034A0000}"/>
    <cellStyle name="40% - Accent4 2 2 7 3 2" xfId="33378" xr:uid="{00000000-0005-0000-0000-0000044A0000}"/>
    <cellStyle name="40% - Accent4 2 2 7 4" xfId="23138" xr:uid="{00000000-0005-0000-0000-0000054A0000}"/>
    <cellStyle name="40% - Accent4 2 2 8" xfId="5218" xr:uid="{00000000-0005-0000-0000-0000064A0000}"/>
    <cellStyle name="40% - Accent4 2 2 8 2" xfId="15458" xr:uid="{00000000-0005-0000-0000-0000074A0000}"/>
    <cellStyle name="40% - Accent4 2 2 8 2 2" xfId="35938" xr:uid="{00000000-0005-0000-0000-0000084A0000}"/>
    <cellStyle name="40% - Accent4 2 2 8 3" xfId="25698" xr:uid="{00000000-0005-0000-0000-0000094A0000}"/>
    <cellStyle name="40% - Accent4 2 2 9" xfId="10338" xr:uid="{00000000-0005-0000-0000-00000A4A0000}"/>
    <cellStyle name="40% - Accent4 2 2 9 2" xfId="30818" xr:uid="{00000000-0005-0000-0000-00000B4A0000}"/>
    <cellStyle name="40% - Accent4 2 3" xfId="138" xr:uid="{00000000-0005-0000-0000-00000C4A0000}"/>
    <cellStyle name="40% - Accent4 2 3 2" xfId="298" xr:uid="{00000000-0005-0000-0000-00000D4A0000}"/>
    <cellStyle name="40% - Accent4 2 3 2 2" xfId="618" xr:uid="{00000000-0005-0000-0000-00000E4A0000}"/>
    <cellStyle name="40% - Accent4 2 3 2 2 2" xfId="1258" xr:uid="{00000000-0005-0000-0000-00000F4A0000}"/>
    <cellStyle name="40% - Accent4 2 3 2 2 2 2" xfId="2538" xr:uid="{00000000-0005-0000-0000-0000104A0000}"/>
    <cellStyle name="40% - Accent4 2 3 2 2 2 2 2" xfId="5098" xr:uid="{00000000-0005-0000-0000-0000114A0000}"/>
    <cellStyle name="40% - Accent4 2 3 2 2 2 2 2 2" xfId="10218" xr:uid="{00000000-0005-0000-0000-0000124A0000}"/>
    <cellStyle name="40% - Accent4 2 3 2 2 2 2 2 2 2" xfId="20458" xr:uid="{00000000-0005-0000-0000-0000134A0000}"/>
    <cellStyle name="40% - Accent4 2 3 2 2 2 2 2 2 2 2" xfId="40938" xr:uid="{00000000-0005-0000-0000-0000144A0000}"/>
    <cellStyle name="40% - Accent4 2 3 2 2 2 2 2 2 3" xfId="30698" xr:uid="{00000000-0005-0000-0000-0000154A0000}"/>
    <cellStyle name="40% - Accent4 2 3 2 2 2 2 2 3" xfId="15338" xr:uid="{00000000-0005-0000-0000-0000164A0000}"/>
    <cellStyle name="40% - Accent4 2 3 2 2 2 2 2 3 2" xfId="35818" xr:uid="{00000000-0005-0000-0000-0000174A0000}"/>
    <cellStyle name="40% - Accent4 2 3 2 2 2 2 2 4" xfId="25578" xr:uid="{00000000-0005-0000-0000-0000184A0000}"/>
    <cellStyle name="40% - Accent4 2 3 2 2 2 2 3" xfId="7658" xr:uid="{00000000-0005-0000-0000-0000194A0000}"/>
    <cellStyle name="40% - Accent4 2 3 2 2 2 2 3 2" xfId="17898" xr:uid="{00000000-0005-0000-0000-00001A4A0000}"/>
    <cellStyle name="40% - Accent4 2 3 2 2 2 2 3 2 2" xfId="38378" xr:uid="{00000000-0005-0000-0000-00001B4A0000}"/>
    <cellStyle name="40% - Accent4 2 3 2 2 2 2 3 3" xfId="28138" xr:uid="{00000000-0005-0000-0000-00001C4A0000}"/>
    <cellStyle name="40% - Accent4 2 3 2 2 2 2 4" xfId="12778" xr:uid="{00000000-0005-0000-0000-00001D4A0000}"/>
    <cellStyle name="40% - Accent4 2 3 2 2 2 2 4 2" xfId="33258" xr:uid="{00000000-0005-0000-0000-00001E4A0000}"/>
    <cellStyle name="40% - Accent4 2 3 2 2 2 2 5" xfId="23018" xr:uid="{00000000-0005-0000-0000-00001F4A0000}"/>
    <cellStyle name="40% - Accent4 2 3 2 2 2 3" xfId="3818" xr:uid="{00000000-0005-0000-0000-0000204A0000}"/>
    <cellStyle name="40% - Accent4 2 3 2 2 2 3 2" xfId="8938" xr:uid="{00000000-0005-0000-0000-0000214A0000}"/>
    <cellStyle name="40% - Accent4 2 3 2 2 2 3 2 2" xfId="19178" xr:uid="{00000000-0005-0000-0000-0000224A0000}"/>
    <cellStyle name="40% - Accent4 2 3 2 2 2 3 2 2 2" xfId="39658" xr:uid="{00000000-0005-0000-0000-0000234A0000}"/>
    <cellStyle name="40% - Accent4 2 3 2 2 2 3 2 3" xfId="29418" xr:uid="{00000000-0005-0000-0000-0000244A0000}"/>
    <cellStyle name="40% - Accent4 2 3 2 2 2 3 3" xfId="14058" xr:uid="{00000000-0005-0000-0000-0000254A0000}"/>
    <cellStyle name="40% - Accent4 2 3 2 2 2 3 3 2" xfId="34538" xr:uid="{00000000-0005-0000-0000-0000264A0000}"/>
    <cellStyle name="40% - Accent4 2 3 2 2 2 3 4" xfId="24298" xr:uid="{00000000-0005-0000-0000-0000274A0000}"/>
    <cellStyle name="40% - Accent4 2 3 2 2 2 4" xfId="6378" xr:uid="{00000000-0005-0000-0000-0000284A0000}"/>
    <cellStyle name="40% - Accent4 2 3 2 2 2 4 2" xfId="16618" xr:uid="{00000000-0005-0000-0000-0000294A0000}"/>
    <cellStyle name="40% - Accent4 2 3 2 2 2 4 2 2" xfId="37098" xr:uid="{00000000-0005-0000-0000-00002A4A0000}"/>
    <cellStyle name="40% - Accent4 2 3 2 2 2 4 3" xfId="26858" xr:uid="{00000000-0005-0000-0000-00002B4A0000}"/>
    <cellStyle name="40% - Accent4 2 3 2 2 2 5" xfId="11498" xr:uid="{00000000-0005-0000-0000-00002C4A0000}"/>
    <cellStyle name="40% - Accent4 2 3 2 2 2 5 2" xfId="31978" xr:uid="{00000000-0005-0000-0000-00002D4A0000}"/>
    <cellStyle name="40% - Accent4 2 3 2 2 2 6" xfId="21738" xr:uid="{00000000-0005-0000-0000-00002E4A0000}"/>
    <cellStyle name="40% - Accent4 2 3 2 2 3" xfId="1898" xr:uid="{00000000-0005-0000-0000-00002F4A0000}"/>
    <cellStyle name="40% - Accent4 2 3 2 2 3 2" xfId="4458" xr:uid="{00000000-0005-0000-0000-0000304A0000}"/>
    <cellStyle name="40% - Accent4 2 3 2 2 3 2 2" xfId="9578" xr:uid="{00000000-0005-0000-0000-0000314A0000}"/>
    <cellStyle name="40% - Accent4 2 3 2 2 3 2 2 2" xfId="19818" xr:uid="{00000000-0005-0000-0000-0000324A0000}"/>
    <cellStyle name="40% - Accent4 2 3 2 2 3 2 2 2 2" xfId="40298" xr:uid="{00000000-0005-0000-0000-0000334A0000}"/>
    <cellStyle name="40% - Accent4 2 3 2 2 3 2 2 3" xfId="30058" xr:uid="{00000000-0005-0000-0000-0000344A0000}"/>
    <cellStyle name="40% - Accent4 2 3 2 2 3 2 3" xfId="14698" xr:uid="{00000000-0005-0000-0000-0000354A0000}"/>
    <cellStyle name="40% - Accent4 2 3 2 2 3 2 3 2" xfId="35178" xr:uid="{00000000-0005-0000-0000-0000364A0000}"/>
    <cellStyle name="40% - Accent4 2 3 2 2 3 2 4" xfId="24938" xr:uid="{00000000-0005-0000-0000-0000374A0000}"/>
    <cellStyle name="40% - Accent4 2 3 2 2 3 3" xfId="7018" xr:uid="{00000000-0005-0000-0000-0000384A0000}"/>
    <cellStyle name="40% - Accent4 2 3 2 2 3 3 2" xfId="17258" xr:uid="{00000000-0005-0000-0000-0000394A0000}"/>
    <cellStyle name="40% - Accent4 2 3 2 2 3 3 2 2" xfId="37738" xr:uid="{00000000-0005-0000-0000-00003A4A0000}"/>
    <cellStyle name="40% - Accent4 2 3 2 2 3 3 3" xfId="27498" xr:uid="{00000000-0005-0000-0000-00003B4A0000}"/>
    <cellStyle name="40% - Accent4 2 3 2 2 3 4" xfId="12138" xr:uid="{00000000-0005-0000-0000-00003C4A0000}"/>
    <cellStyle name="40% - Accent4 2 3 2 2 3 4 2" xfId="32618" xr:uid="{00000000-0005-0000-0000-00003D4A0000}"/>
    <cellStyle name="40% - Accent4 2 3 2 2 3 5" xfId="22378" xr:uid="{00000000-0005-0000-0000-00003E4A0000}"/>
    <cellStyle name="40% - Accent4 2 3 2 2 4" xfId="3178" xr:uid="{00000000-0005-0000-0000-00003F4A0000}"/>
    <cellStyle name="40% - Accent4 2 3 2 2 4 2" xfId="8298" xr:uid="{00000000-0005-0000-0000-0000404A0000}"/>
    <cellStyle name="40% - Accent4 2 3 2 2 4 2 2" xfId="18538" xr:uid="{00000000-0005-0000-0000-0000414A0000}"/>
    <cellStyle name="40% - Accent4 2 3 2 2 4 2 2 2" xfId="39018" xr:uid="{00000000-0005-0000-0000-0000424A0000}"/>
    <cellStyle name="40% - Accent4 2 3 2 2 4 2 3" xfId="28778" xr:uid="{00000000-0005-0000-0000-0000434A0000}"/>
    <cellStyle name="40% - Accent4 2 3 2 2 4 3" xfId="13418" xr:uid="{00000000-0005-0000-0000-0000444A0000}"/>
    <cellStyle name="40% - Accent4 2 3 2 2 4 3 2" xfId="33898" xr:uid="{00000000-0005-0000-0000-0000454A0000}"/>
    <cellStyle name="40% - Accent4 2 3 2 2 4 4" xfId="23658" xr:uid="{00000000-0005-0000-0000-0000464A0000}"/>
    <cellStyle name="40% - Accent4 2 3 2 2 5" xfId="5738" xr:uid="{00000000-0005-0000-0000-0000474A0000}"/>
    <cellStyle name="40% - Accent4 2 3 2 2 5 2" xfId="15978" xr:uid="{00000000-0005-0000-0000-0000484A0000}"/>
    <cellStyle name="40% - Accent4 2 3 2 2 5 2 2" xfId="36458" xr:uid="{00000000-0005-0000-0000-0000494A0000}"/>
    <cellStyle name="40% - Accent4 2 3 2 2 5 3" xfId="26218" xr:uid="{00000000-0005-0000-0000-00004A4A0000}"/>
    <cellStyle name="40% - Accent4 2 3 2 2 6" xfId="10858" xr:uid="{00000000-0005-0000-0000-00004B4A0000}"/>
    <cellStyle name="40% - Accent4 2 3 2 2 6 2" xfId="31338" xr:uid="{00000000-0005-0000-0000-00004C4A0000}"/>
    <cellStyle name="40% - Accent4 2 3 2 2 7" xfId="21098" xr:uid="{00000000-0005-0000-0000-00004D4A0000}"/>
    <cellStyle name="40% - Accent4 2 3 2 3" xfId="938" xr:uid="{00000000-0005-0000-0000-00004E4A0000}"/>
    <cellStyle name="40% - Accent4 2 3 2 3 2" xfId="2218" xr:uid="{00000000-0005-0000-0000-00004F4A0000}"/>
    <cellStyle name="40% - Accent4 2 3 2 3 2 2" xfId="4778" xr:uid="{00000000-0005-0000-0000-0000504A0000}"/>
    <cellStyle name="40% - Accent4 2 3 2 3 2 2 2" xfId="9898" xr:uid="{00000000-0005-0000-0000-0000514A0000}"/>
    <cellStyle name="40% - Accent4 2 3 2 3 2 2 2 2" xfId="20138" xr:uid="{00000000-0005-0000-0000-0000524A0000}"/>
    <cellStyle name="40% - Accent4 2 3 2 3 2 2 2 2 2" xfId="40618" xr:uid="{00000000-0005-0000-0000-0000534A0000}"/>
    <cellStyle name="40% - Accent4 2 3 2 3 2 2 2 3" xfId="30378" xr:uid="{00000000-0005-0000-0000-0000544A0000}"/>
    <cellStyle name="40% - Accent4 2 3 2 3 2 2 3" xfId="15018" xr:uid="{00000000-0005-0000-0000-0000554A0000}"/>
    <cellStyle name="40% - Accent4 2 3 2 3 2 2 3 2" xfId="35498" xr:uid="{00000000-0005-0000-0000-0000564A0000}"/>
    <cellStyle name="40% - Accent4 2 3 2 3 2 2 4" xfId="25258" xr:uid="{00000000-0005-0000-0000-0000574A0000}"/>
    <cellStyle name="40% - Accent4 2 3 2 3 2 3" xfId="7338" xr:uid="{00000000-0005-0000-0000-0000584A0000}"/>
    <cellStyle name="40% - Accent4 2 3 2 3 2 3 2" xfId="17578" xr:uid="{00000000-0005-0000-0000-0000594A0000}"/>
    <cellStyle name="40% - Accent4 2 3 2 3 2 3 2 2" xfId="38058" xr:uid="{00000000-0005-0000-0000-00005A4A0000}"/>
    <cellStyle name="40% - Accent4 2 3 2 3 2 3 3" xfId="27818" xr:uid="{00000000-0005-0000-0000-00005B4A0000}"/>
    <cellStyle name="40% - Accent4 2 3 2 3 2 4" xfId="12458" xr:uid="{00000000-0005-0000-0000-00005C4A0000}"/>
    <cellStyle name="40% - Accent4 2 3 2 3 2 4 2" xfId="32938" xr:uid="{00000000-0005-0000-0000-00005D4A0000}"/>
    <cellStyle name="40% - Accent4 2 3 2 3 2 5" xfId="22698" xr:uid="{00000000-0005-0000-0000-00005E4A0000}"/>
    <cellStyle name="40% - Accent4 2 3 2 3 3" xfId="3498" xr:uid="{00000000-0005-0000-0000-00005F4A0000}"/>
    <cellStyle name="40% - Accent4 2 3 2 3 3 2" xfId="8618" xr:uid="{00000000-0005-0000-0000-0000604A0000}"/>
    <cellStyle name="40% - Accent4 2 3 2 3 3 2 2" xfId="18858" xr:uid="{00000000-0005-0000-0000-0000614A0000}"/>
    <cellStyle name="40% - Accent4 2 3 2 3 3 2 2 2" xfId="39338" xr:uid="{00000000-0005-0000-0000-0000624A0000}"/>
    <cellStyle name="40% - Accent4 2 3 2 3 3 2 3" xfId="29098" xr:uid="{00000000-0005-0000-0000-0000634A0000}"/>
    <cellStyle name="40% - Accent4 2 3 2 3 3 3" xfId="13738" xr:uid="{00000000-0005-0000-0000-0000644A0000}"/>
    <cellStyle name="40% - Accent4 2 3 2 3 3 3 2" xfId="34218" xr:uid="{00000000-0005-0000-0000-0000654A0000}"/>
    <cellStyle name="40% - Accent4 2 3 2 3 3 4" xfId="23978" xr:uid="{00000000-0005-0000-0000-0000664A0000}"/>
    <cellStyle name="40% - Accent4 2 3 2 3 4" xfId="6058" xr:uid="{00000000-0005-0000-0000-0000674A0000}"/>
    <cellStyle name="40% - Accent4 2 3 2 3 4 2" xfId="16298" xr:uid="{00000000-0005-0000-0000-0000684A0000}"/>
    <cellStyle name="40% - Accent4 2 3 2 3 4 2 2" xfId="36778" xr:uid="{00000000-0005-0000-0000-0000694A0000}"/>
    <cellStyle name="40% - Accent4 2 3 2 3 4 3" xfId="26538" xr:uid="{00000000-0005-0000-0000-00006A4A0000}"/>
    <cellStyle name="40% - Accent4 2 3 2 3 5" xfId="11178" xr:uid="{00000000-0005-0000-0000-00006B4A0000}"/>
    <cellStyle name="40% - Accent4 2 3 2 3 5 2" xfId="31658" xr:uid="{00000000-0005-0000-0000-00006C4A0000}"/>
    <cellStyle name="40% - Accent4 2 3 2 3 6" xfId="21418" xr:uid="{00000000-0005-0000-0000-00006D4A0000}"/>
    <cellStyle name="40% - Accent4 2 3 2 4" xfId="1578" xr:uid="{00000000-0005-0000-0000-00006E4A0000}"/>
    <cellStyle name="40% - Accent4 2 3 2 4 2" xfId="4138" xr:uid="{00000000-0005-0000-0000-00006F4A0000}"/>
    <cellStyle name="40% - Accent4 2 3 2 4 2 2" xfId="9258" xr:uid="{00000000-0005-0000-0000-0000704A0000}"/>
    <cellStyle name="40% - Accent4 2 3 2 4 2 2 2" xfId="19498" xr:uid="{00000000-0005-0000-0000-0000714A0000}"/>
    <cellStyle name="40% - Accent4 2 3 2 4 2 2 2 2" xfId="39978" xr:uid="{00000000-0005-0000-0000-0000724A0000}"/>
    <cellStyle name="40% - Accent4 2 3 2 4 2 2 3" xfId="29738" xr:uid="{00000000-0005-0000-0000-0000734A0000}"/>
    <cellStyle name="40% - Accent4 2 3 2 4 2 3" xfId="14378" xr:uid="{00000000-0005-0000-0000-0000744A0000}"/>
    <cellStyle name="40% - Accent4 2 3 2 4 2 3 2" xfId="34858" xr:uid="{00000000-0005-0000-0000-0000754A0000}"/>
    <cellStyle name="40% - Accent4 2 3 2 4 2 4" xfId="24618" xr:uid="{00000000-0005-0000-0000-0000764A0000}"/>
    <cellStyle name="40% - Accent4 2 3 2 4 3" xfId="6698" xr:uid="{00000000-0005-0000-0000-0000774A0000}"/>
    <cellStyle name="40% - Accent4 2 3 2 4 3 2" xfId="16938" xr:uid="{00000000-0005-0000-0000-0000784A0000}"/>
    <cellStyle name="40% - Accent4 2 3 2 4 3 2 2" xfId="37418" xr:uid="{00000000-0005-0000-0000-0000794A0000}"/>
    <cellStyle name="40% - Accent4 2 3 2 4 3 3" xfId="27178" xr:uid="{00000000-0005-0000-0000-00007A4A0000}"/>
    <cellStyle name="40% - Accent4 2 3 2 4 4" xfId="11818" xr:uid="{00000000-0005-0000-0000-00007B4A0000}"/>
    <cellStyle name="40% - Accent4 2 3 2 4 4 2" xfId="32298" xr:uid="{00000000-0005-0000-0000-00007C4A0000}"/>
    <cellStyle name="40% - Accent4 2 3 2 4 5" xfId="22058" xr:uid="{00000000-0005-0000-0000-00007D4A0000}"/>
    <cellStyle name="40% - Accent4 2 3 2 5" xfId="2858" xr:uid="{00000000-0005-0000-0000-00007E4A0000}"/>
    <cellStyle name="40% - Accent4 2 3 2 5 2" xfId="7978" xr:uid="{00000000-0005-0000-0000-00007F4A0000}"/>
    <cellStyle name="40% - Accent4 2 3 2 5 2 2" xfId="18218" xr:uid="{00000000-0005-0000-0000-0000804A0000}"/>
    <cellStyle name="40% - Accent4 2 3 2 5 2 2 2" xfId="38698" xr:uid="{00000000-0005-0000-0000-0000814A0000}"/>
    <cellStyle name="40% - Accent4 2 3 2 5 2 3" xfId="28458" xr:uid="{00000000-0005-0000-0000-0000824A0000}"/>
    <cellStyle name="40% - Accent4 2 3 2 5 3" xfId="13098" xr:uid="{00000000-0005-0000-0000-0000834A0000}"/>
    <cellStyle name="40% - Accent4 2 3 2 5 3 2" xfId="33578" xr:uid="{00000000-0005-0000-0000-0000844A0000}"/>
    <cellStyle name="40% - Accent4 2 3 2 5 4" xfId="23338" xr:uid="{00000000-0005-0000-0000-0000854A0000}"/>
    <cellStyle name="40% - Accent4 2 3 2 6" xfId="5418" xr:uid="{00000000-0005-0000-0000-0000864A0000}"/>
    <cellStyle name="40% - Accent4 2 3 2 6 2" xfId="15658" xr:uid="{00000000-0005-0000-0000-0000874A0000}"/>
    <cellStyle name="40% - Accent4 2 3 2 6 2 2" xfId="36138" xr:uid="{00000000-0005-0000-0000-0000884A0000}"/>
    <cellStyle name="40% - Accent4 2 3 2 6 3" xfId="25898" xr:uid="{00000000-0005-0000-0000-0000894A0000}"/>
    <cellStyle name="40% - Accent4 2 3 2 7" xfId="10538" xr:uid="{00000000-0005-0000-0000-00008A4A0000}"/>
    <cellStyle name="40% - Accent4 2 3 2 7 2" xfId="31018" xr:uid="{00000000-0005-0000-0000-00008B4A0000}"/>
    <cellStyle name="40% - Accent4 2 3 2 8" xfId="20778" xr:uid="{00000000-0005-0000-0000-00008C4A0000}"/>
    <cellStyle name="40% - Accent4 2 3 3" xfId="458" xr:uid="{00000000-0005-0000-0000-00008D4A0000}"/>
    <cellStyle name="40% - Accent4 2 3 3 2" xfId="1098" xr:uid="{00000000-0005-0000-0000-00008E4A0000}"/>
    <cellStyle name="40% - Accent4 2 3 3 2 2" xfId="2378" xr:uid="{00000000-0005-0000-0000-00008F4A0000}"/>
    <cellStyle name="40% - Accent4 2 3 3 2 2 2" xfId="4938" xr:uid="{00000000-0005-0000-0000-0000904A0000}"/>
    <cellStyle name="40% - Accent4 2 3 3 2 2 2 2" xfId="10058" xr:uid="{00000000-0005-0000-0000-0000914A0000}"/>
    <cellStyle name="40% - Accent4 2 3 3 2 2 2 2 2" xfId="20298" xr:uid="{00000000-0005-0000-0000-0000924A0000}"/>
    <cellStyle name="40% - Accent4 2 3 3 2 2 2 2 2 2" xfId="40778" xr:uid="{00000000-0005-0000-0000-0000934A0000}"/>
    <cellStyle name="40% - Accent4 2 3 3 2 2 2 2 3" xfId="30538" xr:uid="{00000000-0005-0000-0000-0000944A0000}"/>
    <cellStyle name="40% - Accent4 2 3 3 2 2 2 3" xfId="15178" xr:uid="{00000000-0005-0000-0000-0000954A0000}"/>
    <cellStyle name="40% - Accent4 2 3 3 2 2 2 3 2" xfId="35658" xr:uid="{00000000-0005-0000-0000-0000964A0000}"/>
    <cellStyle name="40% - Accent4 2 3 3 2 2 2 4" xfId="25418" xr:uid="{00000000-0005-0000-0000-0000974A0000}"/>
    <cellStyle name="40% - Accent4 2 3 3 2 2 3" xfId="7498" xr:uid="{00000000-0005-0000-0000-0000984A0000}"/>
    <cellStyle name="40% - Accent4 2 3 3 2 2 3 2" xfId="17738" xr:uid="{00000000-0005-0000-0000-0000994A0000}"/>
    <cellStyle name="40% - Accent4 2 3 3 2 2 3 2 2" xfId="38218" xr:uid="{00000000-0005-0000-0000-00009A4A0000}"/>
    <cellStyle name="40% - Accent4 2 3 3 2 2 3 3" xfId="27978" xr:uid="{00000000-0005-0000-0000-00009B4A0000}"/>
    <cellStyle name="40% - Accent4 2 3 3 2 2 4" xfId="12618" xr:uid="{00000000-0005-0000-0000-00009C4A0000}"/>
    <cellStyle name="40% - Accent4 2 3 3 2 2 4 2" xfId="33098" xr:uid="{00000000-0005-0000-0000-00009D4A0000}"/>
    <cellStyle name="40% - Accent4 2 3 3 2 2 5" xfId="22858" xr:uid="{00000000-0005-0000-0000-00009E4A0000}"/>
    <cellStyle name="40% - Accent4 2 3 3 2 3" xfId="3658" xr:uid="{00000000-0005-0000-0000-00009F4A0000}"/>
    <cellStyle name="40% - Accent4 2 3 3 2 3 2" xfId="8778" xr:uid="{00000000-0005-0000-0000-0000A04A0000}"/>
    <cellStyle name="40% - Accent4 2 3 3 2 3 2 2" xfId="19018" xr:uid="{00000000-0005-0000-0000-0000A14A0000}"/>
    <cellStyle name="40% - Accent4 2 3 3 2 3 2 2 2" xfId="39498" xr:uid="{00000000-0005-0000-0000-0000A24A0000}"/>
    <cellStyle name="40% - Accent4 2 3 3 2 3 2 3" xfId="29258" xr:uid="{00000000-0005-0000-0000-0000A34A0000}"/>
    <cellStyle name="40% - Accent4 2 3 3 2 3 3" xfId="13898" xr:uid="{00000000-0005-0000-0000-0000A44A0000}"/>
    <cellStyle name="40% - Accent4 2 3 3 2 3 3 2" xfId="34378" xr:uid="{00000000-0005-0000-0000-0000A54A0000}"/>
    <cellStyle name="40% - Accent4 2 3 3 2 3 4" xfId="24138" xr:uid="{00000000-0005-0000-0000-0000A64A0000}"/>
    <cellStyle name="40% - Accent4 2 3 3 2 4" xfId="6218" xr:uid="{00000000-0005-0000-0000-0000A74A0000}"/>
    <cellStyle name="40% - Accent4 2 3 3 2 4 2" xfId="16458" xr:uid="{00000000-0005-0000-0000-0000A84A0000}"/>
    <cellStyle name="40% - Accent4 2 3 3 2 4 2 2" xfId="36938" xr:uid="{00000000-0005-0000-0000-0000A94A0000}"/>
    <cellStyle name="40% - Accent4 2 3 3 2 4 3" xfId="26698" xr:uid="{00000000-0005-0000-0000-0000AA4A0000}"/>
    <cellStyle name="40% - Accent4 2 3 3 2 5" xfId="11338" xr:uid="{00000000-0005-0000-0000-0000AB4A0000}"/>
    <cellStyle name="40% - Accent4 2 3 3 2 5 2" xfId="31818" xr:uid="{00000000-0005-0000-0000-0000AC4A0000}"/>
    <cellStyle name="40% - Accent4 2 3 3 2 6" xfId="21578" xr:uid="{00000000-0005-0000-0000-0000AD4A0000}"/>
    <cellStyle name="40% - Accent4 2 3 3 3" xfId="1738" xr:uid="{00000000-0005-0000-0000-0000AE4A0000}"/>
    <cellStyle name="40% - Accent4 2 3 3 3 2" xfId="4298" xr:uid="{00000000-0005-0000-0000-0000AF4A0000}"/>
    <cellStyle name="40% - Accent4 2 3 3 3 2 2" xfId="9418" xr:uid="{00000000-0005-0000-0000-0000B04A0000}"/>
    <cellStyle name="40% - Accent4 2 3 3 3 2 2 2" xfId="19658" xr:uid="{00000000-0005-0000-0000-0000B14A0000}"/>
    <cellStyle name="40% - Accent4 2 3 3 3 2 2 2 2" xfId="40138" xr:uid="{00000000-0005-0000-0000-0000B24A0000}"/>
    <cellStyle name="40% - Accent4 2 3 3 3 2 2 3" xfId="29898" xr:uid="{00000000-0005-0000-0000-0000B34A0000}"/>
    <cellStyle name="40% - Accent4 2 3 3 3 2 3" xfId="14538" xr:uid="{00000000-0005-0000-0000-0000B44A0000}"/>
    <cellStyle name="40% - Accent4 2 3 3 3 2 3 2" xfId="35018" xr:uid="{00000000-0005-0000-0000-0000B54A0000}"/>
    <cellStyle name="40% - Accent4 2 3 3 3 2 4" xfId="24778" xr:uid="{00000000-0005-0000-0000-0000B64A0000}"/>
    <cellStyle name="40% - Accent4 2 3 3 3 3" xfId="6858" xr:uid="{00000000-0005-0000-0000-0000B74A0000}"/>
    <cellStyle name="40% - Accent4 2 3 3 3 3 2" xfId="17098" xr:uid="{00000000-0005-0000-0000-0000B84A0000}"/>
    <cellStyle name="40% - Accent4 2 3 3 3 3 2 2" xfId="37578" xr:uid="{00000000-0005-0000-0000-0000B94A0000}"/>
    <cellStyle name="40% - Accent4 2 3 3 3 3 3" xfId="27338" xr:uid="{00000000-0005-0000-0000-0000BA4A0000}"/>
    <cellStyle name="40% - Accent4 2 3 3 3 4" xfId="11978" xr:uid="{00000000-0005-0000-0000-0000BB4A0000}"/>
    <cellStyle name="40% - Accent4 2 3 3 3 4 2" xfId="32458" xr:uid="{00000000-0005-0000-0000-0000BC4A0000}"/>
    <cellStyle name="40% - Accent4 2 3 3 3 5" xfId="22218" xr:uid="{00000000-0005-0000-0000-0000BD4A0000}"/>
    <cellStyle name="40% - Accent4 2 3 3 4" xfId="3018" xr:uid="{00000000-0005-0000-0000-0000BE4A0000}"/>
    <cellStyle name="40% - Accent4 2 3 3 4 2" xfId="8138" xr:uid="{00000000-0005-0000-0000-0000BF4A0000}"/>
    <cellStyle name="40% - Accent4 2 3 3 4 2 2" xfId="18378" xr:uid="{00000000-0005-0000-0000-0000C04A0000}"/>
    <cellStyle name="40% - Accent4 2 3 3 4 2 2 2" xfId="38858" xr:uid="{00000000-0005-0000-0000-0000C14A0000}"/>
    <cellStyle name="40% - Accent4 2 3 3 4 2 3" xfId="28618" xr:uid="{00000000-0005-0000-0000-0000C24A0000}"/>
    <cellStyle name="40% - Accent4 2 3 3 4 3" xfId="13258" xr:uid="{00000000-0005-0000-0000-0000C34A0000}"/>
    <cellStyle name="40% - Accent4 2 3 3 4 3 2" xfId="33738" xr:uid="{00000000-0005-0000-0000-0000C44A0000}"/>
    <cellStyle name="40% - Accent4 2 3 3 4 4" xfId="23498" xr:uid="{00000000-0005-0000-0000-0000C54A0000}"/>
    <cellStyle name="40% - Accent4 2 3 3 5" xfId="5578" xr:uid="{00000000-0005-0000-0000-0000C64A0000}"/>
    <cellStyle name="40% - Accent4 2 3 3 5 2" xfId="15818" xr:uid="{00000000-0005-0000-0000-0000C74A0000}"/>
    <cellStyle name="40% - Accent4 2 3 3 5 2 2" xfId="36298" xr:uid="{00000000-0005-0000-0000-0000C84A0000}"/>
    <cellStyle name="40% - Accent4 2 3 3 5 3" xfId="26058" xr:uid="{00000000-0005-0000-0000-0000C94A0000}"/>
    <cellStyle name="40% - Accent4 2 3 3 6" xfId="10698" xr:uid="{00000000-0005-0000-0000-0000CA4A0000}"/>
    <cellStyle name="40% - Accent4 2 3 3 6 2" xfId="31178" xr:uid="{00000000-0005-0000-0000-0000CB4A0000}"/>
    <cellStyle name="40% - Accent4 2 3 3 7" xfId="20938" xr:uid="{00000000-0005-0000-0000-0000CC4A0000}"/>
    <cellStyle name="40% - Accent4 2 3 4" xfId="778" xr:uid="{00000000-0005-0000-0000-0000CD4A0000}"/>
    <cellStyle name="40% - Accent4 2 3 4 2" xfId="2058" xr:uid="{00000000-0005-0000-0000-0000CE4A0000}"/>
    <cellStyle name="40% - Accent4 2 3 4 2 2" xfId="4618" xr:uid="{00000000-0005-0000-0000-0000CF4A0000}"/>
    <cellStyle name="40% - Accent4 2 3 4 2 2 2" xfId="9738" xr:uid="{00000000-0005-0000-0000-0000D04A0000}"/>
    <cellStyle name="40% - Accent4 2 3 4 2 2 2 2" xfId="19978" xr:uid="{00000000-0005-0000-0000-0000D14A0000}"/>
    <cellStyle name="40% - Accent4 2 3 4 2 2 2 2 2" xfId="40458" xr:uid="{00000000-0005-0000-0000-0000D24A0000}"/>
    <cellStyle name="40% - Accent4 2 3 4 2 2 2 3" xfId="30218" xr:uid="{00000000-0005-0000-0000-0000D34A0000}"/>
    <cellStyle name="40% - Accent4 2 3 4 2 2 3" xfId="14858" xr:uid="{00000000-0005-0000-0000-0000D44A0000}"/>
    <cellStyle name="40% - Accent4 2 3 4 2 2 3 2" xfId="35338" xr:uid="{00000000-0005-0000-0000-0000D54A0000}"/>
    <cellStyle name="40% - Accent4 2 3 4 2 2 4" xfId="25098" xr:uid="{00000000-0005-0000-0000-0000D64A0000}"/>
    <cellStyle name="40% - Accent4 2 3 4 2 3" xfId="7178" xr:uid="{00000000-0005-0000-0000-0000D74A0000}"/>
    <cellStyle name="40% - Accent4 2 3 4 2 3 2" xfId="17418" xr:uid="{00000000-0005-0000-0000-0000D84A0000}"/>
    <cellStyle name="40% - Accent4 2 3 4 2 3 2 2" xfId="37898" xr:uid="{00000000-0005-0000-0000-0000D94A0000}"/>
    <cellStyle name="40% - Accent4 2 3 4 2 3 3" xfId="27658" xr:uid="{00000000-0005-0000-0000-0000DA4A0000}"/>
    <cellStyle name="40% - Accent4 2 3 4 2 4" xfId="12298" xr:uid="{00000000-0005-0000-0000-0000DB4A0000}"/>
    <cellStyle name="40% - Accent4 2 3 4 2 4 2" xfId="32778" xr:uid="{00000000-0005-0000-0000-0000DC4A0000}"/>
    <cellStyle name="40% - Accent4 2 3 4 2 5" xfId="22538" xr:uid="{00000000-0005-0000-0000-0000DD4A0000}"/>
    <cellStyle name="40% - Accent4 2 3 4 3" xfId="3338" xr:uid="{00000000-0005-0000-0000-0000DE4A0000}"/>
    <cellStyle name="40% - Accent4 2 3 4 3 2" xfId="8458" xr:uid="{00000000-0005-0000-0000-0000DF4A0000}"/>
    <cellStyle name="40% - Accent4 2 3 4 3 2 2" xfId="18698" xr:uid="{00000000-0005-0000-0000-0000E04A0000}"/>
    <cellStyle name="40% - Accent4 2 3 4 3 2 2 2" xfId="39178" xr:uid="{00000000-0005-0000-0000-0000E14A0000}"/>
    <cellStyle name="40% - Accent4 2 3 4 3 2 3" xfId="28938" xr:uid="{00000000-0005-0000-0000-0000E24A0000}"/>
    <cellStyle name="40% - Accent4 2 3 4 3 3" xfId="13578" xr:uid="{00000000-0005-0000-0000-0000E34A0000}"/>
    <cellStyle name="40% - Accent4 2 3 4 3 3 2" xfId="34058" xr:uid="{00000000-0005-0000-0000-0000E44A0000}"/>
    <cellStyle name="40% - Accent4 2 3 4 3 4" xfId="23818" xr:uid="{00000000-0005-0000-0000-0000E54A0000}"/>
    <cellStyle name="40% - Accent4 2 3 4 4" xfId="5898" xr:uid="{00000000-0005-0000-0000-0000E64A0000}"/>
    <cellStyle name="40% - Accent4 2 3 4 4 2" xfId="16138" xr:uid="{00000000-0005-0000-0000-0000E74A0000}"/>
    <cellStyle name="40% - Accent4 2 3 4 4 2 2" xfId="36618" xr:uid="{00000000-0005-0000-0000-0000E84A0000}"/>
    <cellStyle name="40% - Accent4 2 3 4 4 3" xfId="26378" xr:uid="{00000000-0005-0000-0000-0000E94A0000}"/>
    <cellStyle name="40% - Accent4 2 3 4 5" xfId="11018" xr:uid="{00000000-0005-0000-0000-0000EA4A0000}"/>
    <cellStyle name="40% - Accent4 2 3 4 5 2" xfId="31498" xr:uid="{00000000-0005-0000-0000-0000EB4A0000}"/>
    <cellStyle name="40% - Accent4 2 3 4 6" xfId="21258" xr:uid="{00000000-0005-0000-0000-0000EC4A0000}"/>
    <cellStyle name="40% - Accent4 2 3 5" xfId="1418" xr:uid="{00000000-0005-0000-0000-0000ED4A0000}"/>
    <cellStyle name="40% - Accent4 2 3 5 2" xfId="3978" xr:uid="{00000000-0005-0000-0000-0000EE4A0000}"/>
    <cellStyle name="40% - Accent4 2 3 5 2 2" xfId="9098" xr:uid="{00000000-0005-0000-0000-0000EF4A0000}"/>
    <cellStyle name="40% - Accent4 2 3 5 2 2 2" xfId="19338" xr:uid="{00000000-0005-0000-0000-0000F04A0000}"/>
    <cellStyle name="40% - Accent4 2 3 5 2 2 2 2" xfId="39818" xr:uid="{00000000-0005-0000-0000-0000F14A0000}"/>
    <cellStyle name="40% - Accent4 2 3 5 2 2 3" xfId="29578" xr:uid="{00000000-0005-0000-0000-0000F24A0000}"/>
    <cellStyle name="40% - Accent4 2 3 5 2 3" xfId="14218" xr:uid="{00000000-0005-0000-0000-0000F34A0000}"/>
    <cellStyle name="40% - Accent4 2 3 5 2 3 2" xfId="34698" xr:uid="{00000000-0005-0000-0000-0000F44A0000}"/>
    <cellStyle name="40% - Accent4 2 3 5 2 4" xfId="24458" xr:uid="{00000000-0005-0000-0000-0000F54A0000}"/>
    <cellStyle name="40% - Accent4 2 3 5 3" xfId="6538" xr:uid="{00000000-0005-0000-0000-0000F64A0000}"/>
    <cellStyle name="40% - Accent4 2 3 5 3 2" xfId="16778" xr:uid="{00000000-0005-0000-0000-0000F74A0000}"/>
    <cellStyle name="40% - Accent4 2 3 5 3 2 2" xfId="37258" xr:uid="{00000000-0005-0000-0000-0000F84A0000}"/>
    <cellStyle name="40% - Accent4 2 3 5 3 3" xfId="27018" xr:uid="{00000000-0005-0000-0000-0000F94A0000}"/>
    <cellStyle name="40% - Accent4 2 3 5 4" xfId="11658" xr:uid="{00000000-0005-0000-0000-0000FA4A0000}"/>
    <cellStyle name="40% - Accent4 2 3 5 4 2" xfId="32138" xr:uid="{00000000-0005-0000-0000-0000FB4A0000}"/>
    <cellStyle name="40% - Accent4 2 3 5 5" xfId="21898" xr:uid="{00000000-0005-0000-0000-0000FC4A0000}"/>
    <cellStyle name="40% - Accent4 2 3 6" xfId="2698" xr:uid="{00000000-0005-0000-0000-0000FD4A0000}"/>
    <cellStyle name="40% - Accent4 2 3 6 2" xfId="7818" xr:uid="{00000000-0005-0000-0000-0000FE4A0000}"/>
    <cellStyle name="40% - Accent4 2 3 6 2 2" xfId="18058" xr:uid="{00000000-0005-0000-0000-0000FF4A0000}"/>
    <cellStyle name="40% - Accent4 2 3 6 2 2 2" xfId="38538" xr:uid="{00000000-0005-0000-0000-0000004B0000}"/>
    <cellStyle name="40% - Accent4 2 3 6 2 3" xfId="28298" xr:uid="{00000000-0005-0000-0000-0000014B0000}"/>
    <cellStyle name="40% - Accent4 2 3 6 3" xfId="12938" xr:uid="{00000000-0005-0000-0000-0000024B0000}"/>
    <cellStyle name="40% - Accent4 2 3 6 3 2" xfId="33418" xr:uid="{00000000-0005-0000-0000-0000034B0000}"/>
    <cellStyle name="40% - Accent4 2 3 6 4" xfId="23178" xr:uid="{00000000-0005-0000-0000-0000044B0000}"/>
    <cellStyle name="40% - Accent4 2 3 7" xfId="5258" xr:uid="{00000000-0005-0000-0000-0000054B0000}"/>
    <cellStyle name="40% - Accent4 2 3 7 2" xfId="15498" xr:uid="{00000000-0005-0000-0000-0000064B0000}"/>
    <cellStyle name="40% - Accent4 2 3 7 2 2" xfId="35978" xr:uid="{00000000-0005-0000-0000-0000074B0000}"/>
    <cellStyle name="40% - Accent4 2 3 7 3" xfId="25738" xr:uid="{00000000-0005-0000-0000-0000084B0000}"/>
    <cellStyle name="40% - Accent4 2 3 8" xfId="10378" xr:uid="{00000000-0005-0000-0000-0000094B0000}"/>
    <cellStyle name="40% - Accent4 2 3 8 2" xfId="30858" xr:uid="{00000000-0005-0000-0000-00000A4B0000}"/>
    <cellStyle name="40% - Accent4 2 3 9" xfId="20618" xr:uid="{00000000-0005-0000-0000-00000B4B0000}"/>
    <cellStyle name="40% - Accent4 2 4" xfId="218" xr:uid="{00000000-0005-0000-0000-00000C4B0000}"/>
    <cellStyle name="40% - Accent4 2 4 2" xfId="538" xr:uid="{00000000-0005-0000-0000-00000D4B0000}"/>
    <cellStyle name="40% - Accent4 2 4 2 2" xfId="1178" xr:uid="{00000000-0005-0000-0000-00000E4B0000}"/>
    <cellStyle name="40% - Accent4 2 4 2 2 2" xfId="2458" xr:uid="{00000000-0005-0000-0000-00000F4B0000}"/>
    <cellStyle name="40% - Accent4 2 4 2 2 2 2" xfId="5018" xr:uid="{00000000-0005-0000-0000-0000104B0000}"/>
    <cellStyle name="40% - Accent4 2 4 2 2 2 2 2" xfId="10138" xr:uid="{00000000-0005-0000-0000-0000114B0000}"/>
    <cellStyle name="40% - Accent4 2 4 2 2 2 2 2 2" xfId="20378" xr:uid="{00000000-0005-0000-0000-0000124B0000}"/>
    <cellStyle name="40% - Accent4 2 4 2 2 2 2 2 2 2" xfId="40858" xr:uid="{00000000-0005-0000-0000-0000134B0000}"/>
    <cellStyle name="40% - Accent4 2 4 2 2 2 2 2 3" xfId="30618" xr:uid="{00000000-0005-0000-0000-0000144B0000}"/>
    <cellStyle name="40% - Accent4 2 4 2 2 2 2 3" xfId="15258" xr:uid="{00000000-0005-0000-0000-0000154B0000}"/>
    <cellStyle name="40% - Accent4 2 4 2 2 2 2 3 2" xfId="35738" xr:uid="{00000000-0005-0000-0000-0000164B0000}"/>
    <cellStyle name="40% - Accent4 2 4 2 2 2 2 4" xfId="25498" xr:uid="{00000000-0005-0000-0000-0000174B0000}"/>
    <cellStyle name="40% - Accent4 2 4 2 2 2 3" xfId="7578" xr:uid="{00000000-0005-0000-0000-0000184B0000}"/>
    <cellStyle name="40% - Accent4 2 4 2 2 2 3 2" xfId="17818" xr:uid="{00000000-0005-0000-0000-0000194B0000}"/>
    <cellStyle name="40% - Accent4 2 4 2 2 2 3 2 2" xfId="38298" xr:uid="{00000000-0005-0000-0000-00001A4B0000}"/>
    <cellStyle name="40% - Accent4 2 4 2 2 2 3 3" xfId="28058" xr:uid="{00000000-0005-0000-0000-00001B4B0000}"/>
    <cellStyle name="40% - Accent4 2 4 2 2 2 4" xfId="12698" xr:uid="{00000000-0005-0000-0000-00001C4B0000}"/>
    <cellStyle name="40% - Accent4 2 4 2 2 2 4 2" xfId="33178" xr:uid="{00000000-0005-0000-0000-00001D4B0000}"/>
    <cellStyle name="40% - Accent4 2 4 2 2 2 5" xfId="22938" xr:uid="{00000000-0005-0000-0000-00001E4B0000}"/>
    <cellStyle name="40% - Accent4 2 4 2 2 3" xfId="3738" xr:uid="{00000000-0005-0000-0000-00001F4B0000}"/>
    <cellStyle name="40% - Accent4 2 4 2 2 3 2" xfId="8858" xr:uid="{00000000-0005-0000-0000-0000204B0000}"/>
    <cellStyle name="40% - Accent4 2 4 2 2 3 2 2" xfId="19098" xr:uid="{00000000-0005-0000-0000-0000214B0000}"/>
    <cellStyle name="40% - Accent4 2 4 2 2 3 2 2 2" xfId="39578" xr:uid="{00000000-0005-0000-0000-0000224B0000}"/>
    <cellStyle name="40% - Accent4 2 4 2 2 3 2 3" xfId="29338" xr:uid="{00000000-0005-0000-0000-0000234B0000}"/>
    <cellStyle name="40% - Accent4 2 4 2 2 3 3" xfId="13978" xr:uid="{00000000-0005-0000-0000-0000244B0000}"/>
    <cellStyle name="40% - Accent4 2 4 2 2 3 3 2" xfId="34458" xr:uid="{00000000-0005-0000-0000-0000254B0000}"/>
    <cellStyle name="40% - Accent4 2 4 2 2 3 4" xfId="24218" xr:uid="{00000000-0005-0000-0000-0000264B0000}"/>
    <cellStyle name="40% - Accent4 2 4 2 2 4" xfId="6298" xr:uid="{00000000-0005-0000-0000-0000274B0000}"/>
    <cellStyle name="40% - Accent4 2 4 2 2 4 2" xfId="16538" xr:uid="{00000000-0005-0000-0000-0000284B0000}"/>
    <cellStyle name="40% - Accent4 2 4 2 2 4 2 2" xfId="37018" xr:uid="{00000000-0005-0000-0000-0000294B0000}"/>
    <cellStyle name="40% - Accent4 2 4 2 2 4 3" xfId="26778" xr:uid="{00000000-0005-0000-0000-00002A4B0000}"/>
    <cellStyle name="40% - Accent4 2 4 2 2 5" xfId="11418" xr:uid="{00000000-0005-0000-0000-00002B4B0000}"/>
    <cellStyle name="40% - Accent4 2 4 2 2 5 2" xfId="31898" xr:uid="{00000000-0005-0000-0000-00002C4B0000}"/>
    <cellStyle name="40% - Accent4 2 4 2 2 6" xfId="21658" xr:uid="{00000000-0005-0000-0000-00002D4B0000}"/>
    <cellStyle name="40% - Accent4 2 4 2 3" xfId="1818" xr:uid="{00000000-0005-0000-0000-00002E4B0000}"/>
    <cellStyle name="40% - Accent4 2 4 2 3 2" xfId="4378" xr:uid="{00000000-0005-0000-0000-00002F4B0000}"/>
    <cellStyle name="40% - Accent4 2 4 2 3 2 2" xfId="9498" xr:uid="{00000000-0005-0000-0000-0000304B0000}"/>
    <cellStyle name="40% - Accent4 2 4 2 3 2 2 2" xfId="19738" xr:uid="{00000000-0005-0000-0000-0000314B0000}"/>
    <cellStyle name="40% - Accent4 2 4 2 3 2 2 2 2" xfId="40218" xr:uid="{00000000-0005-0000-0000-0000324B0000}"/>
    <cellStyle name="40% - Accent4 2 4 2 3 2 2 3" xfId="29978" xr:uid="{00000000-0005-0000-0000-0000334B0000}"/>
    <cellStyle name="40% - Accent4 2 4 2 3 2 3" xfId="14618" xr:uid="{00000000-0005-0000-0000-0000344B0000}"/>
    <cellStyle name="40% - Accent4 2 4 2 3 2 3 2" xfId="35098" xr:uid="{00000000-0005-0000-0000-0000354B0000}"/>
    <cellStyle name="40% - Accent4 2 4 2 3 2 4" xfId="24858" xr:uid="{00000000-0005-0000-0000-0000364B0000}"/>
    <cellStyle name="40% - Accent4 2 4 2 3 3" xfId="6938" xr:uid="{00000000-0005-0000-0000-0000374B0000}"/>
    <cellStyle name="40% - Accent4 2 4 2 3 3 2" xfId="17178" xr:uid="{00000000-0005-0000-0000-0000384B0000}"/>
    <cellStyle name="40% - Accent4 2 4 2 3 3 2 2" xfId="37658" xr:uid="{00000000-0005-0000-0000-0000394B0000}"/>
    <cellStyle name="40% - Accent4 2 4 2 3 3 3" xfId="27418" xr:uid="{00000000-0005-0000-0000-00003A4B0000}"/>
    <cellStyle name="40% - Accent4 2 4 2 3 4" xfId="12058" xr:uid="{00000000-0005-0000-0000-00003B4B0000}"/>
    <cellStyle name="40% - Accent4 2 4 2 3 4 2" xfId="32538" xr:uid="{00000000-0005-0000-0000-00003C4B0000}"/>
    <cellStyle name="40% - Accent4 2 4 2 3 5" xfId="22298" xr:uid="{00000000-0005-0000-0000-00003D4B0000}"/>
    <cellStyle name="40% - Accent4 2 4 2 4" xfId="3098" xr:uid="{00000000-0005-0000-0000-00003E4B0000}"/>
    <cellStyle name="40% - Accent4 2 4 2 4 2" xfId="8218" xr:uid="{00000000-0005-0000-0000-00003F4B0000}"/>
    <cellStyle name="40% - Accent4 2 4 2 4 2 2" xfId="18458" xr:uid="{00000000-0005-0000-0000-0000404B0000}"/>
    <cellStyle name="40% - Accent4 2 4 2 4 2 2 2" xfId="38938" xr:uid="{00000000-0005-0000-0000-0000414B0000}"/>
    <cellStyle name="40% - Accent4 2 4 2 4 2 3" xfId="28698" xr:uid="{00000000-0005-0000-0000-0000424B0000}"/>
    <cellStyle name="40% - Accent4 2 4 2 4 3" xfId="13338" xr:uid="{00000000-0005-0000-0000-0000434B0000}"/>
    <cellStyle name="40% - Accent4 2 4 2 4 3 2" xfId="33818" xr:uid="{00000000-0005-0000-0000-0000444B0000}"/>
    <cellStyle name="40% - Accent4 2 4 2 4 4" xfId="23578" xr:uid="{00000000-0005-0000-0000-0000454B0000}"/>
    <cellStyle name="40% - Accent4 2 4 2 5" xfId="5658" xr:uid="{00000000-0005-0000-0000-0000464B0000}"/>
    <cellStyle name="40% - Accent4 2 4 2 5 2" xfId="15898" xr:uid="{00000000-0005-0000-0000-0000474B0000}"/>
    <cellStyle name="40% - Accent4 2 4 2 5 2 2" xfId="36378" xr:uid="{00000000-0005-0000-0000-0000484B0000}"/>
    <cellStyle name="40% - Accent4 2 4 2 5 3" xfId="26138" xr:uid="{00000000-0005-0000-0000-0000494B0000}"/>
    <cellStyle name="40% - Accent4 2 4 2 6" xfId="10778" xr:uid="{00000000-0005-0000-0000-00004A4B0000}"/>
    <cellStyle name="40% - Accent4 2 4 2 6 2" xfId="31258" xr:uid="{00000000-0005-0000-0000-00004B4B0000}"/>
    <cellStyle name="40% - Accent4 2 4 2 7" xfId="21018" xr:uid="{00000000-0005-0000-0000-00004C4B0000}"/>
    <cellStyle name="40% - Accent4 2 4 3" xfId="858" xr:uid="{00000000-0005-0000-0000-00004D4B0000}"/>
    <cellStyle name="40% - Accent4 2 4 3 2" xfId="2138" xr:uid="{00000000-0005-0000-0000-00004E4B0000}"/>
    <cellStyle name="40% - Accent4 2 4 3 2 2" xfId="4698" xr:uid="{00000000-0005-0000-0000-00004F4B0000}"/>
    <cellStyle name="40% - Accent4 2 4 3 2 2 2" xfId="9818" xr:uid="{00000000-0005-0000-0000-0000504B0000}"/>
    <cellStyle name="40% - Accent4 2 4 3 2 2 2 2" xfId="20058" xr:uid="{00000000-0005-0000-0000-0000514B0000}"/>
    <cellStyle name="40% - Accent4 2 4 3 2 2 2 2 2" xfId="40538" xr:uid="{00000000-0005-0000-0000-0000524B0000}"/>
    <cellStyle name="40% - Accent4 2 4 3 2 2 2 3" xfId="30298" xr:uid="{00000000-0005-0000-0000-0000534B0000}"/>
    <cellStyle name="40% - Accent4 2 4 3 2 2 3" xfId="14938" xr:uid="{00000000-0005-0000-0000-0000544B0000}"/>
    <cellStyle name="40% - Accent4 2 4 3 2 2 3 2" xfId="35418" xr:uid="{00000000-0005-0000-0000-0000554B0000}"/>
    <cellStyle name="40% - Accent4 2 4 3 2 2 4" xfId="25178" xr:uid="{00000000-0005-0000-0000-0000564B0000}"/>
    <cellStyle name="40% - Accent4 2 4 3 2 3" xfId="7258" xr:uid="{00000000-0005-0000-0000-0000574B0000}"/>
    <cellStyle name="40% - Accent4 2 4 3 2 3 2" xfId="17498" xr:uid="{00000000-0005-0000-0000-0000584B0000}"/>
    <cellStyle name="40% - Accent4 2 4 3 2 3 2 2" xfId="37978" xr:uid="{00000000-0005-0000-0000-0000594B0000}"/>
    <cellStyle name="40% - Accent4 2 4 3 2 3 3" xfId="27738" xr:uid="{00000000-0005-0000-0000-00005A4B0000}"/>
    <cellStyle name="40% - Accent4 2 4 3 2 4" xfId="12378" xr:uid="{00000000-0005-0000-0000-00005B4B0000}"/>
    <cellStyle name="40% - Accent4 2 4 3 2 4 2" xfId="32858" xr:uid="{00000000-0005-0000-0000-00005C4B0000}"/>
    <cellStyle name="40% - Accent4 2 4 3 2 5" xfId="22618" xr:uid="{00000000-0005-0000-0000-00005D4B0000}"/>
    <cellStyle name="40% - Accent4 2 4 3 3" xfId="3418" xr:uid="{00000000-0005-0000-0000-00005E4B0000}"/>
    <cellStyle name="40% - Accent4 2 4 3 3 2" xfId="8538" xr:uid="{00000000-0005-0000-0000-00005F4B0000}"/>
    <cellStyle name="40% - Accent4 2 4 3 3 2 2" xfId="18778" xr:uid="{00000000-0005-0000-0000-0000604B0000}"/>
    <cellStyle name="40% - Accent4 2 4 3 3 2 2 2" xfId="39258" xr:uid="{00000000-0005-0000-0000-0000614B0000}"/>
    <cellStyle name="40% - Accent4 2 4 3 3 2 3" xfId="29018" xr:uid="{00000000-0005-0000-0000-0000624B0000}"/>
    <cellStyle name="40% - Accent4 2 4 3 3 3" xfId="13658" xr:uid="{00000000-0005-0000-0000-0000634B0000}"/>
    <cellStyle name="40% - Accent4 2 4 3 3 3 2" xfId="34138" xr:uid="{00000000-0005-0000-0000-0000644B0000}"/>
    <cellStyle name="40% - Accent4 2 4 3 3 4" xfId="23898" xr:uid="{00000000-0005-0000-0000-0000654B0000}"/>
    <cellStyle name="40% - Accent4 2 4 3 4" xfId="5978" xr:uid="{00000000-0005-0000-0000-0000664B0000}"/>
    <cellStyle name="40% - Accent4 2 4 3 4 2" xfId="16218" xr:uid="{00000000-0005-0000-0000-0000674B0000}"/>
    <cellStyle name="40% - Accent4 2 4 3 4 2 2" xfId="36698" xr:uid="{00000000-0005-0000-0000-0000684B0000}"/>
    <cellStyle name="40% - Accent4 2 4 3 4 3" xfId="26458" xr:uid="{00000000-0005-0000-0000-0000694B0000}"/>
    <cellStyle name="40% - Accent4 2 4 3 5" xfId="11098" xr:uid="{00000000-0005-0000-0000-00006A4B0000}"/>
    <cellStyle name="40% - Accent4 2 4 3 5 2" xfId="31578" xr:uid="{00000000-0005-0000-0000-00006B4B0000}"/>
    <cellStyle name="40% - Accent4 2 4 3 6" xfId="21338" xr:uid="{00000000-0005-0000-0000-00006C4B0000}"/>
    <cellStyle name="40% - Accent4 2 4 4" xfId="1498" xr:uid="{00000000-0005-0000-0000-00006D4B0000}"/>
    <cellStyle name="40% - Accent4 2 4 4 2" xfId="4058" xr:uid="{00000000-0005-0000-0000-00006E4B0000}"/>
    <cellStyle name="40% - Accent4 2 4 4 2 2" xfId="9178" xr:uid="{00000000-0005-0000-0000-00006F4B0000}"/>
    <cellStyle name="40% - Accent4 2 4 4 2 2 2" xfId="19418" xr:uid="{00000000-0005-0000-0000-0000704B0000}"/>
    <cellStyle name="40% - Accent4 2 4 4 2 2 2 2" xfId="39898" xr:uid="{00000000-0005-0000-0000-0000714B0000}"/>
    <cellStyle name="40% - Accent4 2 4 4 2 2 3" xfId="29658" xr:uid="{00000000-0005-0000-0000-0000724B0000}"/>
    <cellStyle name="40% - Accent4 2 4 4 2 3" xfId="14298" xr:uid="{00000000-0005-0000-0000-0000734B0000}"/>
    <cellStyle name="40% - Accent4 2 4 4 2 3 2" xfId="34778" xr:uid="{00000000-0005-0000-0000-0000744B0000}"/>
    <cellStyle name="40% - Accent4 2 4 4 2 4" xfId="24538" xr:uid="{00000000-0005-0000-0000-0000754B0000}"/>
    <cellStyle name="40% - Accent4 2 4 4 3" xfId="6618" xr:uid="{00000000-0005-0000-0000-0000764B0000}"/>
    <cellStyle name="40% - Accent4 2 4 4 3 2" xfId="16858" xr:uid="{00000000-0005-0000-0000-0000774B0000}"/>
    <cellStyle name="40% - Accent4 2 4 4 3 2 2" xfId="37338" xr:uid="{00000000-0005-0000-0000-0000784B0000}"/>
    <cellStyle name="40% - Accent4 2 4 4 3 3" xfId="27098" xr:uid="{00000000-0005-0000-0000-0000794B0000}"/>
    <cellStyle name="40% - Accent4 2 4 4 4" xfId="11738" xr:uid="{00000000-0005-0000-0000-00007A4B0000}"/>
    <cellStyle name="40% - Accent4 2 4 4 4 2" xfId="32218" xr:uid="{00000000-0005-0000-0000-00007B4B0000}"/>
    <cellStyle name="40% - Accent4 2 4 4 5" xfId="21978" xr:uid="{00000000-0005-0000-0000-00007C4B0000}"/>
    <cellStyle name="40% - Accent4 2 4 5" xfId="2778" xr:uid="{00000000-0005-0000-0000-00007D4B0000}"/>
    <cellStyle name="40% - Accent4 2 4 5 2" xfId="7898" xr:uid="{00000000-0005-0000-0000-00007E4B0000}"/>
    <cellStyle name="40% - Accent4 2 4 5 2 2" xfId="18138" xr:uid="{00000000-0005-0000-0000-00007F4B0000}"/>
    <cellStyle name="40% - Accent4 2 4 5 2 2 2" xfId="38618" xr:uid="{00000000-0005-0000-0000-0000804B0000}"/>
    <cellStyle name="40% - Accent4 2 4 5 2 3" xfId="28378" xr:uid="{00000000-0005-0000-0000-0000814B0000}"/>
    <cellStyle name="40% - Accent4 2 4 5 3" xfId="13018" xr:uid="{00000000-0005-0000-0000-0000824B0000}"/>
    <cellStyle name="40% - Accent4 2 4 5 3 2" xfId="33498" xr:uid="{00000000-0005-0000-0000-0000834B0000}"/>
    <cellStyle name="40% - Accent4 2 4 5 4" xfId="23258" xr:uid="{00000000-0005-0000-0000-0000844B0000}"/>
    <cellStyle name="40% - Accent4 2 4 6" xfId="5338" xr:uid="{00000000-0005-0000-0000-0000854B0000}"/>
    <cellStyle name="40% - Accent4 2 4 6 2" xfId="15578" xr:uid="{00000000-0005-0000-0000-0000864B0000}"/>
    <cellStyle name="40% - Accent4 2 4 6 2 2" xfId="36058" xr:uid="{00000000-0005-0000-0000-0000874B0000}"/>
    <cellStyle name="40% - Accent4 2 4 6 3" xfId="25818" xr:uid="{00000000-0005-0000-0000-0000884B0000}"/>
    <cellStyle name="40% - Accent4 2 4 7" xfId="10458" xr:uid="{00000000-0005-0000-0000-0000894B0000}"/>
    <cellStyle name="40% - Accent4 2 4 7 2" xfId="30938" xr:uid="{00000000-0005-0000-0000-00008A4B0000}"/>
    <cellStyle name="40% - Accent4 2 4 8" xfId="20698" xr:uid="{00000000-0005-0000-0000-00008B4B0000}"/>
    <cellStyle name="40% - Accent4 2 5" xfId="378" xr:uid="{00000000-0005-0000-0000-00008C4B0000}"/>
    <cellStyle name="40% - Accent4 2 5 2" xfId="1018" xr:uid="{00000000-0005-0000-0000-00008D4B0000}"/>
    <cellStyle name="40% - Accent4 2 5 2 2" xfId="2298" xr:uid="{00000000-0005-0000-0000-00008E4B0000}"/>
    <cellStyle name="40% - Accent4 2 5 2 2 2" xfId="4858" xr:uid="{00000000-0005-0000-0000-00008F4B0000}"/>
    <cellStyle name="40% - Accent4 2 5 2 2 2 2" xfId="9978" xr:uid="{00000000-0005-0000-0000-0000904B0000}"/>
    <cellStyle name="40% - Accent4 2 5 2 2 2 2 2" xfId="20218" xr:uid="{00000000-0005-0000-0000-0000914B0000}"/>
    <cellStyle name="40% - Accent4 2 5 2 2 2 2 2 2" xfId="40698" xr:uid="{00000000-0005-0000-0000-0000924B0000}"/>
    <cellStyle name="40% - Accent4 2 5 2 2 2 2 3" xfId="30458" xr:uid="{00000000-0005-0000-0000-0000934B0000}"/>
    <cellStyle name="40% - Accent4 2 5 2 2 2 3" xfId="15098" xr:uid="{00000000-0005-0000-0000-0000944B0000}"/>
    <cellStyle name="40% - Accent4 2 5 2 2 2 3 2" xfId="35578" xr:uid="{00000000-0005-0000-0000-0000954B0000}"/>
    <cellStyle name="40% - Accent4 2 5 2 2 2 4" xfId="25338" xr:uid="{00000000-0005-0000-0000-0000964B0000}"/>
    <cellStyle name="40% - Accent4 2 5 2 2 3" xfId="7418" xr:uid="{00000000-0005-0000-0000-0000974B0000}"/>
    <cellStyle name="40% - Accent4 2 5 2 2 3 2" xfId="17658" xr:uid="{00000000-0005-0000-0000-0000984B0000}"/>
    <cellStyle name="40% - Accent4 2 5 2 2 3 2 2" xfId="38138" xr:uid="{00000000-0005-0000-0000-0000994B0000}"/>
    <cellStyle name="40% - Accent4 2 5 2 2 3 3" xfId="27898" xr:uid="{00000000-0005-0000-0000-00009A4B0000}"/>
    <cellStyle name="40% - Accent4 2 5 2 2 4" xfId="12538" xr:uid="{00000000-0005-0000-0000-00009B4B0000}"/>
    <cellStyle name="40% - Accent4 2 5 2 2 4 2" xfId="33018" xr:uid="{00000000-0005-0000-0000-00009C4B0000}"/>
    <cellStyle name="40% - Accent4 2 5 2 2 5" xfId="22778" xr:uid="{00000000-0005-0000-0000-00009D4B0000}"/>
    <cellStyle name="40% - Accent4 2 5 2 3" xfId="3578" xr:uid="{00000000-0005-0000-0000-00009E4B0000}"/>
    <cellStyle name="40% - Accent4 2 5 2 3 2" xfId="8698" xr:uid="{00000000-0005-0000-0000-00009F4B0000}"/>
    <cellStyle name="40% - Accent4 2 5 2 3 2 2" xfId="18938" xr:uid="{00000000-0005-0000-0000-0000A04B0000}"/>
    <cellStyle name="40% - Accent4 2 5 2 3 2 2 2" xfId="39418" xr:uid="{00000000-0005-0000-0000-0000A14B0000}"/>
    <cellStyle name="40% - Accent4 2 5 2 3 2 3" xfId="29178" xr:uid="{00000000-0005-0000-0000-0000A24B0000}"/>
    <cellStyle name="40% - Accent4 2 5 2 3 3" xfId="13818" xr:uid="{00000000-0005-0000-0000-0000A34B0000}"/>
    <cellStyle name="40% - Accent4 2 5 2 3 3 2" xfId="34298" xr:uid="{00000000-0005-0000-0000-0000A44B0000}"/>
    <cellStyle name="40% - Accent4 2 5 2 3 4" xfId="24058" xr:uid="{00000000-0005-0000-0000-0000A54B0000}"/>
    <cellStyle name="40% - Accent4 2 5 2 4" xfId="6138" xr:uid="{00000000-0005-0000-0000-0000A64B0000}"/>
    <cellStyle name="40% - Accent4 2 5 2 4 2" xfId="16378" xr:uid="{00000000-0005-0000-0000-0000A74B0000}"/>
    <cellStyle name="40% - Accent4 2 5 2 4 2 2" xfId="36858" xr:uid="{00000000-0005-0000-0000-0000A84B0000}"/>
    <cellStyle name="40% - Accent4 2 5 2 4 3" xfId="26618" xr:uid="{00000000-0005-0000-0000-0000A94B0000}"/>
    <cellStyle name="40% - Accent4 2 5 2 5" xfId="11258" xr:uid="{00000000-0005-0000-0000-0000AA4B0000}"/>
    <cellStyle name="40% - Accent4 2 5 2 5 2" xfId="31738" xr:uid="{00000000-0005-0000-0000-0000AB4B0000}"/>
    <cellStyle name="40% - Accent4 2 5 2 6" xfId="21498" xr:uid="{00000000-0005-0000-0000-0000AC4B0000}"/>
    <cellStyle name="40% - Accent4 2 5 3" xfId="1658" xr:uid="{00000000-0005-0000-0000-0000AD4B0000}"/>
    <cellStyle name="40% - Accent4 2 5 3 2" xfId="4218" xr:uid="{00000000-0005-0000-0000-0000AE4B0000}"/>
    <cellStyle name="40% - Accent4 2 5 3 2 2" xfId="9338" xr:uid="{00000000-0005-0000-0000-0000AF4B0000}"/>
    <cellStyle name="40% - Accent4 2 5 3 2 2 2" xfId="19578" xr:uid="{00000000-0005-0000-0000-0000B04B0000}"/>
    <cellStyle name="40% - Accent4 2 5 3 2 2 2 2" xfId="40058" xr:uid="{00000000-0005-0000-0000-0000B14B0000}"/>
    <cellStyle name="40% - Accent4 2 5 3 2 2 3" xfId="29818" xr:uid="{00000000-0005-0000-0000-0000B24B0000}"/>
    <cellStyle name="40% - Accent4 2 5 3 2 3" xfId="14458" xr:uid="{00000000-0005-0000-0000-0000B34B0000}"/>
    <cellStyle name="40% - Accent4 2 5 3 2 3 2" xfId="34938" xr:uid="{00000000-0005-0000-0000-0000B44B0000}"/>
    <cellStyle name="40% - Accent4 2 5 3 2 4" xfId="24698" xr:uid="{00000000-0005-0000-0000-0000B54B0000}"/>
    <cellStyle name="40% - Accent4 2 5 3 3" xfId="6778" xr:uid="{00000000-0005-0000-0000-0000B64B0000}"/>
    <cellStyle name="40% - Accent4 2 5 3 3 2" xfId="17018" xr:uid="{00000000-0005-0000-0000-0000B74B0000}"/>
    <cellStyle name="40% - Accent4 2 5 3 3 2 2" xfId="37498" xr:uid="{00000000-0005-0000-0000-0000B84B0000}"/>
    <cellStyle name="40% - Accent4 2 5 3 3 3" xfId="27258" xr:uid="{00000000-0005-0000-0000-0000B94B0000}"/>
    <cellStyle name="40% - Accent4 2 5 3 4" xfId="11898" xr:uid="{00000000-0005-0000-0000-0000BA4B0000}"/>
    <cellStyle name="40% - Accent4 2 5 3 4 2" xfId="32378" xr:uid="{00000000-0005-0000-0000-0000BB4B0000}"/>
    <cellStyle name="40% - Accent4 2 5 3 5" xfId="22138" xr:uid="{00000000-0005-0000-0000-0000BC4B0000}"/>
    <cellStyle name="40% - Accent4 2 5 4" xfId="2938" xr:uid="{00000000-0005-0000-0000-0000BD4B0000}"/>
    <cellStyle name="40% - Accent4 2 5 4 2" xfId="8058" xr:uid="{00000000-0005-0000-0000-0000BE4B0000}"/>
    <cellStyle name="40% - Accent4 2 5 4 2 2" xfId="18298" xr:uid="{00000000-0005-0000-0000-0000BF4B0000}"/>
    <cellStyle name="40% - Accent4 2 5 4 2 2 2" xfId="38778" xr:uid="{00000000-0005-0000-0000-0000C04B0000}"/>
    <cellStyle name="40% - Accent4 2 5 4 2 3" xfId="28538" xr:uid="{00000000-0005-0000-0000-0000C14B0000}"/>
    <cellStyle name="40% - Accent4 2 5 4 3" xfId="13178" xr:uid="{00000000-0005-0000-0000-0000C24B0000}"/>
    <cellStyle name="40% - Accent4 2 5 4 3 2" xfId="33658" xr:uid="{00000000-0005-0000-0000-0000C34B0000}"/>
    <cellStyle name="40% - Accent4 2 5 4 4" xfId="23418" xr:uid="{00000000-0005-0000-0000-0000C44B0000}"/>
    <cellStyle name="40% - Accent4 2 5 5" xfId="5498" xr:uid="{00000000-0005-0000-0000-0000C54B0000}"/>
    <cellStyle name="40% - Accent4 2 5 5 2" xfId="15738" xr:uid="{00000000-0005-0000-0000-0000C64B0000}"/>
    <cellStyle name="40% - Accent4 2 5 5 2 2" xfId="36218" xr:uid="{00000000-0005-0000-0000-0000C74B0000}"/>
    <cellStyle name="40% - Accent4 2 5 5 3" xfId="25978" xr:uid="{00000000-0005-0000-0000-0000C84B0000}"/>
    <cellStyle name="40% - Accent4 2 5 6" xfId="10618" xr:uid="{00000000-0005-0000-0000-0000C94B0000}"/>
    <cellStyle name="40% - Accent4 2 5 6 2" xfId="31098" xr:uid="{00000000-0005-0000-0000-0000CA4B0000}"/>
    <cellStyle name="40% - Accent4 2 5 7" xfId="20858" xr:uid="{00000000-0005-0000-0000-0000CB4B0000}"/>
    <cellStyle name="40% - Accent4 2 6" xfId="698" xr:uid="{00000000-0005-0000-0000-0000CC4B0000}"/>
    <cellStyle name="40% - Accent4 2 6 2" xfId="1978" xr:uid="{00000000-0005-0000-0000-0000CD4B0000}"/>
    <cellStyle name="40% - Accent4 2 6 2 2" xfId="4538" xr:uid="{00000000-0005-0000-0000-0000CE4B0000}"/>
    <cellStyle name="40% - Accent4 2 6 2 2 2" xfId="9658" xr:uid="{00000000-0005-0000-0000-0000CF4B0000}"/>
    <cellStyle name="40% - Accent4 2 6 2 2 2 2" xfId="19898" xr:uid="{00000000-0005-0000-0000-0000D04B0000}"/>
    <cellStyle name="40% - Accent4 2 6 2 2 2 2 2" xfId="40378" xr:uid="{00000000-0005-0000-0000-0000D14B0000}"/>
    <cellStyle name="40% - Accent4 2 6 2 2 2 3" xfId="30138" xr:uid="{00000000-0005-0000-0000-0000D24B0000}"/>
    <cellStyle name="40% - Accent4 2 6 2 2 3" xfId="14778" xr:uid="{00000000-0005-0000-0000-0000D34B0000}"/>
    <cellStyle name="40% - Accent4 2 6 2 2 3 2" xfId="35258" xr:uid="{00000000-0005-0000-0000-0000D44B0000}"/>
    <cellStyle name="40% - Accent4 2 6 2 2 4" xfId="25018" xr:uid="{00000000-0005-0000-0000-0000D54B0000}"/>
    <cellStyle name="40% - Accent4 2 6 2 3" xfId="7098" xr:uid="{00000000-0005-0000-0000-0000D64B0000}"/>
    <cellStyle name="40% - Accent4 2 6 2 3 2" xfId="17338" xr:uid="{00000000-0005-0000-0000-0000D74B0000}"/>
    <cellStyle name="40% - Accent4 2 6 2 3 2 2" xfId="37818" xr:uid="{00000000-0005-0000-0000-0000D84B0000}"/>
    <cellStyle name="40% - Accent4 2 6 2 3 3" xfId="27578" xr:uid="{00000000-0005-0000-0000-0000D94B0000}"/>
    <cellStyle name="40% - Accent4 2 6 2 4" xfId="12218" xr:uid="{00000000-0005-0000-0000-0000DA4B0000}"/>
    <cellStyle name="40% - Accent4 2 6 2 4 2" xfId="32698" xr:uid="{00000000-0005-0000-0000-0000DB4B0000}"/>
    <cellStyle name="40% - Accent4 2 6 2 5" xfId="22458" xr:uid="{00000000-0005-0000-0000-0000DC4B0000}"/>
    <cellStyle name="40% - Accent4 2 6 3" xfId="3258" xr:uid="{00000000-0005-0000-0000-0000DD4B0000}"/>
    <cellStyle name="40% - Accent4 2 6 3 2" xfId="8378" xr:uid="{00000000-0005-0000-0000-0000DE4B0000}"/>
    <cellStyle name="40% - Accent4 2 6 3 2 2" xfId="18618" xr:uid="{00000000-0005-0000-0000-0000DF4B0000}"/>
    <cellStyle name="40% - Accent4 2 6 3 2 2 2" xfId="39098" xr:uid="{00000000-0005-0000-0000-0000E04B0000}"/>
    <cellStyle name="40% - Accent4 2 6 3 2 3" xfId="28858" xr:uid="{00000000-0005-0000-0000-0000E14B0000}"/>
    <cellStyle name="40% - Accent4 2 6 3 3" xfId="13498" xr:uid="{00000000-0005-0000-0000-0000E24B0000}"/>
    <cellStyle name="40% - Accent4 2 6 3 3 2" xfId="33978" xr:uid="{00000000-0005-0000-0000-0000E34B0000}"/>
    <cellStyle name="40% - Accent4 2 6 3 4" xfId="23738" xr:uid="{00000000-0005-0000-0000-0000E44B0000}"/>
    <cellStyle name="40% - Accent4 2 6 4" xfId="5818" xr:uid="{00000000-0005-0000-0000-0000E54B0000}"/>
    <cellStyle name="40% - Accent4 2 6 4 2" xfId="16058" xr:uid="{00000000-0005-0000-0000-0000E64B0000}"/>
    <cellStyle name="40% - Accent4 2 6 4 2 2" xfId="36538" xr:uid="{00000000-0005-0000-0000-0000E74B0000}"/>
    <cellStyle name="40% - Accent4 2 6 4 3" xfId="26298" xr:uid="{00000000-0005-0000-0000-0000E84B0000}"/>
    <cellStyle name="40% - Accent4 2 6 5" xfId="10938" xr:uid="{00000000-0005-0000-0000-0000E94B0000}"/>
    <cellStyle name="40% - Accent4 2 6 5 2" xfId="31418" xr:uid="{00000000-0005-0000-0000-0000EA4B0000}"/>
    <cellStyle name="40% - Accent4 2 6 6" xfId="21178" xr:uid="{00000000-0005-0000-0000-0000EB4B0000}"/>
    <cellStyle name="40% - Accent4 2 7" xfId="1338" xr:uid="{00000000-0005-0000-0000-0000EC4B0000}"/>
    <cellStyle name="40% - Accent4 2 7 2" xfId="3898" xr:uid="{00000000-0005-0000-0000-0000ED4B0000}"/>
    <cellStyle name="40% - Accent4 2 7 2 2" xfId="9018" xr:uid="{00000000-0005-0000-0000-0000EE4B0000}"/>
    <cellStyle name="40% - Accent4 2 7 2 2 2" xfId="19258" xr:uid="{00000000-0005-0000-0000-0000EF4B0000}"/>
    <cellStyle name="40% - Accent4 2 7 2 2 2 2" xfId="39738" xr:uid="{00000000-0005-0000-0000-0000F04B0000}"/>
    <cellStyle name="40% - Accent4 2 7 2 2 3" xfId="29498" xr:uid="{00000000-0005-0000-0000-0000F14B0000}"/>
    <cellStyle name="40% - Accent4 2 7 2 3" xfId="14138" xr:uid="{00000000-0005-0000-0000-0000F24B0000}"/>
    <cellStyle name="40% - Accent4 2 7 2 3 2" xfId="34618" xr:uid="{00000000-0005-0000-0000-0000F34B0000}"/>
    <cellStyle name="40% - Accent4 2 7 2 4" xfId="24378" xr:uid="{00000000-0005-0000-0000-0000F44B0000}"/>
    <cellStyle name="40% - Accent4 2 7 3" xfId="6458" xr:uid="{00000000-0005-0000-0000-0000F54B0000}"/>
    <cellStyle name="40% - Accent4 2 7 3 2" xfId="16698" xr:uid="{00000000-0005-0000-0000-0000F64B0000}"/>
    <cellStyle name="40% - Accent4 2 7 3 2 2" xfId="37178" xr:uid="{00000000-0005-0000-0000-0000F74B0000}"/>
    <cellStyle name="40% - Accent4 2 7 3 3" xfId="26938" xr:uid="{00000000-0005-0000-0000-0000F84B0000}"/>
    <cellStyle name="40% - Accent4 2 7 4" xfId="11578" xr:uid="{00000000-0005-0000-0000-0000F94B0000}"/>
    <cellStyle name="40% - Accent4 2 7 4 2" xfId="32058" xr:uid="{00000000-0005-0000-0000-0000FA4B0000}"/>
    <cellStyle name="40% - Accent4 2 7 5" xfId="21818" xr:uid="{00000000-0005-0000-0000-0000FB4B0000}"/>
    <cellStyle name="40% - Accent4 2 8" xfId="2618" xr:uid="{00000000-0005-0000-0000-0000FC4B0000}"/>
    <cellStyle name="40% - Accent4 2 8 2" xfId="7738" xr:uid="{00000000-0005-0000-0000-0000FD4B0000}"/>
    <cellStyle name="40% - Accent4 2 8 2 2" xfId="17978" xr:uid="{00000000-0005-0000-0000-0000FE4B0000}"/>
    <cellStyle name="40% - Accent4 2 8 2 2 2" xfId="38458" xr:uid="{00000000-0005-0000-0000-0000FF4B0000}"/>
    <cellStyle name="40% - Accent4 2 8 2 3" xfId="28218" xr:uid="{00000000-0005-0000-0000-0000004C0000}"/>
    <cellStyle name="40% - Accent4 2 8 3" xfId="12858" xr:uid="{00000000-0005-0000-0000-0000014C0000}"/>
    <cellStyle name="40% - Accent4 2 8 3 2" xfId="33338" xr:uid="{00000000-0005-0000-0000-0000024C0000}"/>
    <cellStyle name="40% - Accent4 2 8 4" xfId="23098" xr:uid="{00000000-0005-0000-0000-0000034C0000}"/>
    <cellStyle name="40% - Accent4 2 9" xfId="5178" xr:uid="{00000000-0005-0000-0000-0000044C0000}"/>
    <cellStyle name="40% - Accent4 2 9 2" xfId="15418" xr:uid="{00000000-0005-0000-0000-0000054C0000}"/>
    <cellStyle name="40% - Accent4 2 9 2 2" xfId="35898" xr:uid="{00000000-0005-0000-0000-0000064C0000}"/>
    <cellStyle name="40% - Accent4 2 9 3" xfId="25658" xr:uid="{00000000-0005-0000-0000-0000074C0000}"/>
    <cellStyle name="40% - Accent4 3" xfId="78" xr:uid="{00000000-0005-0000-0000-0000084C0000}"/>
    <cellStyle name="40% - Accent4 3 10" xfId="20558" xr:uid="{00000000-0005-0000-0000-0000094C0000}"/>
    <cellStyle name="40% - Accent4 3 2" xfId="158" xr:uid="{00000000-0005-0000-0000-00000A4C0000}"/>
    <cellStyle name="40% - Accent4 3 2 2" xfId="318" xr:uid="{00000000-0005-0000-0000-00000B4C0000}"/>
    <cellStyle name="40% - Accent4 3 2 2 2" xfId="638" xr:uid="{00000000-0005-0000-0000-00000C4C0000}"/>
    <cellStyle name="40% - Accent4 3 2 2 2 2" xfId="1278" xr:uid="{00000000-0005-0000-0000-00000D4C0000}"/>
    <cellStyle name="40% - Accent4 3 2 2 2 2 2" xfId="2558" xr:uid="{00000000-0005-0000-0000-00000E4C0000}"/>
    <cellStyle name="40% - Accent4 3 2 2 2 2 2 2" xfId="5118" xr:uid="{00000000-0005-0000-0000-00000F4C0000}"/>
    <cellStyle name="40% - Accent4 3 2 2 2 2 2 2 2" xfId="10238" xr:uid="{00000000-0005-0000-0000-0000104C0000}"/>
    <cellStyle name="40% - Accent4 3 2 2 2 2 2 2 2 2" xfId="20478" xr:uid="{00000000-0005-0000-0000-0000114C0000}"/>
    <cellStyle name="40% - Accent4 3 2 2 2 2 2 2 2 2 2" xfId="40958" xr:uid="{00000000-0005-0000-0000-0000124C0000}"/>
    <cellStyle name="40% - Accent4 3 2 2 2 2 2 2 2 3" xfId="30718" xr:uid="{00000000-0005-0000-0000-0000134C0000}"/>
    <cellStyle name="40% - Accent4 3 2 2 2 2 2 2 3" xfId="15358" xr:uid="{00000000-0005-0000-0000-0000144C0000}"/>
    <cellStyle name="40% - Accent4 3 2 2 2 2 2 2 3 2" xfId="35838" xr:uid="{00000000-0005-0000-0000-0000154C0000}"/>
    <cellStyle name="40% - Accent4 3 2 2 2 2 2 2 4" xfId="25598" xr:uid="{00000000-0005-0000-0000-0000164C0000}"/>
    <cellStyle name="40% - Accent4 3 2 2 2 2 2 3" xfId="7678" xr:uid="{00000000-0005-0000-0000-0000174C0000}"/>
    <cellStyle name="40% - Accent4 3 2 2 2 2 2 3 2" xfId="17918" xr:uid="{00000000-0005-0000-0000-0000184C0000}"/>
    <cellStyle name="40% - Accent4 3 2 2 2 2 2 3 2 2" xfId="38398" xr:uid="{00000000-0005-0000-0000-0000194C0000}"/>
    <cellStyle name="40% - Accent4 3 2 2 2 2 2 3 3" xfId="28158" xr:uid="{00000000-0005-0000-0000-00001A4C0000}"/>
    <cellStyle name="40% - Accent4 3 2 2 2 2 2 4" xfId="12798" xr:uid="{00000000-0005-0000-0000-00001B4C0000}"/>
    <cellStyle name="40% - Accent4 3 2 2 2 2 2 4 2" xfId="33278" xr:uid="{00000000-0005-0000-0000-00001C4C0000}"/>
    <cellStyle name="40% - Accent4 3 2 2 2 2 2 5" xfId="23038" xr:uid="{00000000-0005-0000-0000-00001D4C0000}"/>
    <cellStyle name="40% - Accent4 3 2 2 2 2 3" xfId="3838" xr:uid="{00000000-0005-0000-0000-00001E4C0000}"/>
    <cellStyle name="40% - Accent4 3 2 2 2 2 3 2" xfId="8958" xr:uid="{00000000-0005-0000-0000-00001F4C0000}"/>
    <cellStyle name="40% - Accent4 3 2 2 2 2 3 2 2" xfId="19198" xr:uid="{00000000-0005-0000-0000-0000204C0000}"/>
    <cellStyle name="40% - Accent4 3 2 2 2 2 3 2 2 2" xfId="39678" xr:uid="{00000000-0005-0000-0000-0000214C0000}"/>
    <cellStyle name="40% - Accent4 3 2 2 2 2 3 2 3" xfId="29438" xr:uid="{00000000-0005-0000-0000-0000224C0000}"/>
    <cellStyle name="40% - Accent4 3 2 2 2 2 3 3" xfId="14078" xr:uid="{00000000-0005-0000-0000-0000234C0000}"/>
    <cellStyle name="40% - Accent4 3 2 2 2 2 3 3 2" xfId="34558" xr:uid="{00000000-0005-0000-0000-0000244C0000}"/>
    <cellStyle name="40% - Accent4 3 2 2 2 2 3 4" xfId="24318" xr:uid="{00000000-0005-0000-0000-0000254C0000}"/>
    <cellStyle name="40% - Accent4 3 2 2 2 2 4" xfId="6398" xr:uid="{00000000-0005-0000-0000-0000264C0000}"/>
    <cellStyle name="40% - Accent4 3 2 2 2 2 4 2" xfId="16638" xr:uid="{00000000-0005-0000-0000-0000274C0000}"/>
    <cellStyle name="40% - Accent4 3 2 2 2 2 4 2 2" xfId="37118" xr:uid="{00000000-0005-0000-0000-0000284C0000}"/>
    <cellStyle name="40% - Accent4 3 2 2 2 2 4 3" xfId="26878" xr:uid="{00000000-0005-0000-0000-0000294C0000}"/>
    <cellStyle name="40% - Accent4 3 2 2 2 2 5" xfId="11518" xr:uid="{00000000-0005-0000-0000-00002A4C0000}"/>
    <cellStyle name="40% - Accent4 3 2 2 2 2 5 2" xfId="31998" xr:uid="{00000000-0005-0000-0000-00002B4C0000}"/>
    <cellStyle name="40% - Accent4 3 2 2 2 2 6" xfId="21758" xr:uid="{00000000-0005-0000-0000-00002C4C0000}"/>
    <cellStyle name="40% - Accent4 3 2 2 2 3" xfId="1918" xr:uid="{00000000-0005-0000-0000-00002D4C0000}"/>
    <cellStyle name="40% - Accent4 3 2 2 2 3 2" xfId="4478" xr:uid="{00000000-0005-0000-0000-00002E4C0000}"/>
    <cellStyle name="40% - Accent4 3 2 2 2 3 2 2" xfId="9598" xr:uid="{00000000-0005-0000-0000-00002F4C0000}"/>
    <cellStyle name="40% - Accent4 3 2 2 2 3 2 2 2" xfId="19838" xr:uid="{00000000-0005-0000-0000-0000304C0000}"/>
    <cellStyle name="40% - Accent4 3 2 2 2 3 2 2 2 2" xfId="40318" xr:uid="{00000000-0005-0000-0000-0000314C0000}"/>
    <cellStyle name="40% - Accent4 3 2 2 2 3 2 2 3" xfId="30078" xr:uid="{00000000-0005-0000-0000-0000324C0000}"/>
    <cellStyle name="40% - Accent4 3 2 2 2 3 2 3" xfId="14718" xr:uid="{00000000-0005-0000-0000-0000334C0000}"/>
    <cellStyle name="40% - Accent4 3 2 2 2 3 2 3 2" xfId="35198" xr:uid="{00000000-0005-0000-0000-0000344C0000}"/>
    <cellStyle name="40% - Accent4 3 2 2 2 3 2 4" xfId="24958" xr:uid="{00000000-0005-0000-0000-0000354C0000}"/>
    <cellStyle name="40% - Accent4 3 2 2 2 3 3" xfId="7038" xr:uid="{00000000-0005-0000-0000-0000364C0000}"/>
    <cellStyle name="40% - Accent4 3 2 2 2 3 3 2" xfId="17278" xr:uid="{00000000-0005-0000-0000-0000374C0000}"/>
    <cellStyle name="40% - Accent4 3 2 2 2 3 3 2 2" xfId="37758" xr:uid="{00000000-0005-0000-0000-0000384C0000}"/>
    <cellStyle name="40% - Accent4 3 2 2 2 3 3 3" xfId="27518" xr:uid="{00000000-0005-0000-0000-0000394C0000}"/>
    <cellStyle name="40% - Accent4 3 2 2 2 3 4" xfId="12158" xr:uid="{00000000-0005-0000-0000-00003A4C0000}"/>
    <cellStyle name="40% - Accent4 3 2 2 2 3 4 2" xfId="32638" xr:uid="{00000000-0005-0000-0000-00003B4C0000}"/>
    <cellStyle name="40% - Accent4 3 2 2 2 3 5" xfId="22398" xr:uid="{00000000-0005-0000-0000-00003C4C0000}"/>
    <cellStyle name="40% - Accent4 3 2 2 2 4" xfId="3198" xr:uid="{00000000-0005-0000-0000-00003D4C0000}"/>
    <cellStyle name="40% - Accent4 3 2 2 2 4 2" xfId="8318" xr:uid="{00000000-0005-0000-0000-00003E4C0000}"/>
    <cellStyle name="40% - Accent4 3 2 2 2 4 2 2" xfId="18558" xr:uid="{00000000-0005-0000-0000-00003F4C0000}"/>
    <cellStyle name="40% - Accent4 3 2 2 2 4 2 2 2" xfId="39038" xr:uid="{00000000-0005-0000-0000-0000404C0000}"/>
    <cellStyle name="40% - Accent4 3 2 2 2 4 2 3" xfId="28798" xr:uid="{00000000-0005-0000-0000-0000414C0000}"/>
    <cellStyle name="40% - Accent4 3 2 2 2 4 3" xfId="13438" xr:uid="{00000000-0005-0000-0000-0000424C0000}"/>
    <cellStyle name="40% - Accent4 3 2 2 2 4 3 2" xfId="33918" xr:uid="{00000000-0005-0000-0000-0000434C0000}"/>
    <cellStyle name="40% - Accent4 3 2 2 2 4 4" xfId="23678" xr:uid="{00000000-0005-0000-0000-0000444C0000}"/>
    <cellStyle name="40% - Accent4 3 2 2 2 5" xfId="5758" xr:uid="{00000000-0005-0000-0000-0000454C0000}"/>
    <cellStyle name="40% - Accent4 3 2 2 2 5 2" xfId="15998" xr:uid="{00000000-0005-0000-0000-0000464C0000}"/>
    <cellStyle name="40% - Accent4 3 2 2 2 5 2 2" xfId="36478" xr:uid="{00000000-0005-0000-0000-0000474C0000}"/>
    <cellStyle name="40% - Accent4 3 2 2 2 5 3" xfId="26238" xr:uid="{00000000-0005-0000-0000-0000484C0000}"/>
    <cellStyle name="40% - Accent4 3 2 2 2 6" xfId="10878" xr:uid="{00000000-0005-0000-0000-0000494C0000}"/>
    <cellStyle name="40% - Accent4 3 2 2 2 6 2" xfId="31358" xr:uid="{00000000-0005-0000-0000-00004A4C0000}"/>
    <cellStyle name="40% - Accent4 3 2 2 2 7" xfId="21118" xr:uid="{00000000-0005-0000-0000-00004B4C0000}"/>
    <cellStyle name="40% - Accent4 3 2 2 3" xfId="958" xr:uid="{00000000-0005-0000-0000-00004C4C0000}"/>
    <cellStyle name="40% - Accent4 3 2 2 3 2" xfId="2238" xr:uid="{00000000-0005-0000-0000-00004D4C0000}"/>
    <cellStyle name="40% - Accent4 3 2 2 3 2 2" xfId="4798" xr:uid="{00000000-0005-0000-0000-00004E4C0000}"/>
    <cellStyle name="40% - Accent4 3 2 2 3 2 2 2" xfId="9918" xr:uid="{00000000-0005-0000-0000-00004F4C0000}"/>
    <cellStyle name="40% - Accent4 3 2 2 3 2 2 2 2" xfId="20158" xr:uid="{00000000-0005-0000-0000-0000504C0000}"/>
    <cellStyle name="40% - Accent4 3 2 2 3 2 2 2 2 2" xfId="40638" xr:uid="{00000000-0005-0000-0000-0000514C0000}"/>
    <cellStyle name="40% - Accent4 3 2 2 3 2 2 2 3" xfId="30398" xr:uid="{00000000-0005-0000-0000-0000524C0000}"/>
    <cellStyle name="40% - Accent4 3 2 2 3 2 2 3" xfId="15038" xr:uid="{00000000-0005-0000-0000-0000534C0000}"/>
    <cellStyle name="40% - Accent4 3 2 2 3 2 2 3 2" xfId="35518" xr:uid="{00000000-0005-0000-0000-0000544C0000}"/>
    <cellStyle name="40% - Accent4 3 2 2 3 2 2 4" xfId="25278" xr:uid="{00000000-0005-0000-0000-0000554C0000}"/>
    <cellStyle name="40% - Accent4 3 2 2 3 2 3" xfId="7358" xr:uid="{00000000-0005-0000-0000-0000564C0000}"/>
    <cellStyle name="40% - Accent4 3 2 2 3 2 3 2" xfId="17598" xr:uid="{00000000-0005-0000-0000-0000574C0000}"/>
    <cellStyle name="40% - Accent4 3 2 2 3 2 3 2 2" xfId="38078" xr:uid="{00000000-0005-0000-0000-0000584C0000}"/>
    <cellStyle name="40% - Accent4 3 2 2 3 2 3 3" xfId="27838" xr:uid="{00000000-0005-0000-0000-0000594C0000}"/>
    <cellStyle name="40% - Accent4 3 2 2 3 2 4" xfId="12478" xr:uid="{00000000-0005-0000-0000-00005A4C0000}"/>
    <cellStyle name="40% - Accent4 3 2 2 3 2 4 2" xfId="32958" xr:uid="{00000000-0005-0000-0000-00005B4C0000}"/>
    <cellStyle name="40% - Accent4 3 2 2 3 2 5" xfId="22718" xr:uid="{00000000-0005-0000-0000-00005C4C0000}"/>
    <cellStyle name="40% - Accent4 3 2 2 3 3" xfId="3518" xr:uid="{00000000-0005-0000-0000-00005D4C0000}"/>
    <cellStyle name="40% - Accent4 3 2 2 3 3 2" xfId="8638" xr:uid="{00000000-0005-0000-0000-00005E4C0000}"/>
    <cellStyle name="40% - Accent4 3 2 2 3 3 2 2" xfId="18878" xr:uid="{00000000-0005-0000-0000-00005F4C0000}"/>
    <cellStyle name="40% - Accent4 3 2 2 3 3 2 2 2" xfId="39358" xr:uid="{00000000-0005-0000-0000-0000604C0000}"/>
    <cellStyle name="40% - Accent4 3 2 2 3 3 2 3" xfId="29118" xr:uid="{00000000-0005-0000-0000-0000614C0000}"/>
    <cellStyle name="40% - Accent4 3 2 2 3 3 3" xfId="13758" xr:uid="{00000000-0005-0000-0000-0000624C0000}"/>
    <cellStyle name="40% - Accent4 3 2 2 3 3 3 2" xfId="34238" xr:uid="{00000000-0005-0000-0000-0000634C0000}"/>
    <cellStyle name="40% - Accent4 3 2 2 3 3 4" xfId="23998" xr:uid="{00000000-0005-0000-0000-0000644C0000}"/>
    <cellStyle name="40% - Accent4 3 2 2 3 4" xfId="6078" xr:uid="{00000000-0005-0000-0000-0000654C0000}"/>
    <cellStyle name="40% - Accent4 3 2 2 3 4 2" xfId="16318" xr:uid="{00000000-0005-0000-0000-0000664C0000}"/>
    <cellStyle name="40% - Accent4 3 2 2 3 4 2 2" xfId="36798" xr:uid="{00000000-0005-0000-0000-0000674C0000}"/>
    <cellStyle name="40% - Accent4 3 2 2 3 4 3" xfId="26558" xr:uid="{00000000-0005-0000-0000-0000684C0000}"/>
    <cellStyle name="40% - Accent4 3 2 2 3 5" xfId="11198" xr:uid="{00000000-0005-0000-0000-0000694C0000}"/>
    <cellStyle name="40% - Accent4 3 2 2 3 5 2" xfId="31678" xr:uid="{00000000-0005-0000-0000-00006A4C0000}"/>
    <cellStyle name="40% - Accent4 3 2 2 3 6" xfId="21438" xr:uid="{00000000-0005-0000-0000-00006B4C0000}"/>
    <cellStyle name="40% - Accent4 3 2 2 4" xfId="1598" xr:uid="{00000000-0005-0000-0000-00006C4C0000}"/>
    <cellStyle name="40% - Accent4 3 2 2 4 2" xfId="4158" xr:uid="{00000000-0005-0000-0000-00006D4C0000}"/>
    <cellStyle name="40% - Accent4 3 2 2 4 2 2" xfId="9278" xr:uid="{00000000-0005-0000-0000-00006E4C0000}"/>
    <cellStyle name="40% - Accent4 3 2 2 4 2 2 2" xfId="19518" xr:uid="{00000000-0005-0000-0000-00006F4C0000}"/>
    <cellStyle name="40% - Accent4 3 2 2 4 2 2 2 2" xfId="39998" xr:uid="{00000000-0005-0000-0000-0000704C0000}"/>
    <cellStyle name="40% - Accent4 3 2 2 4 2 2 3" xfId="29758" xr:uid="{00000000-0005-0000-0000-0000714C0000}"/>
    <cellStyle name="40% - Accent4 3 2 2 4 2 3" xfId="14398" xr:uid="{00000000-0005-0000-0000-0000724C0000}"/>
    <cellStyle name="40% - Accent4 3 2 2 4 2 3 2" xfId="34878" xr:uid="{00000000-0005-0000-0000-0000734C0000}"/>
    <cellStyle name="40% - Accent4 3 2 2 4 2 4" xfId="24638" xr:uid="{00000000-0005-0000-0000-0000744C0000}"/>
    <cellStyle name="40% - Accent4 3 2 2 4 3" xfId="6718" xr:uid="{00000000-0005-0000-0000-0000754C0000}"/>
    <cellStyle name="40% - Accent4 3 2 2 4 3 2" xfId="16958" xr:uid="{00000000-0005-0000-0000-0000764C0000}"/>
    <cellStyle name="40% - Accent4 3 2 2 4 3 2 2" xfId="37438" xr:uid="{00000000-0005-0000-0000-0000774C0000}"/>
    <cellStyle name="40% - Accent4 3 2 2 4 3 3" xfId="27198" xr:uid="{00000000-0005-0000-0000-0000784C0000}"/>
    <cellStyle name="40% - Accent4 3 2 2 4 4" xfId="11838" xr:uid="{00000000-0005-0000-0000-0000794C0000}"/>
    <cellStyle name="40% - Accent4 3 2 2 4 4 2" xfId="32318" xr:uid="{00000000-0005-0000-0000-00007A4C0000}"/>
    <cellStyle name="40% - Accent4 3 2 2 4 5" xfId="22078" xr:uid="{00000000-0005-0000-0000-00007B4C0000}"/>
    <cellStyle name="40% - Accent4 3 2 2 5" xfId="2878" xr:uid="{00000000-0005-0000-0000-00007C4C0000}"/>
    <cellStyle name="40% - Accent4 3 2 2 5 2" xfId="7998" xr:uid="{00000000-0005-0000-0000-00007D4C0000}"/>
    <cellStyle name="40% - Accent4 3 2 2 5 2 2" xfId="18238" xr:uid="{00000000-0005-0000-0000-00007E4C0000}"/>
    <cellStyle name="40% - Accent4 3 2 2 5 2 2 2" xfId="38718" xr:uid="{00000000-0005-0000-0000-00007F4C0000}"/>
    <cellStyle name="40% - Accent4 3 2 2 5 2 3" xfId="28478" xr:uid="{00000000-0005-0000-0000-0000804C0000}"/>
    <cellStyle name="40% - Accent4 3 2 2 5 3" xfId="13118" xr:uid="{00000000-0005-0000-0000-0000814C0000}"/>
    <cellStyle name="40% - Accent4 3 2 2 5 3 2" xfId="33598" xr:uid="{00000000-0005-0000-0000-0000824C0000}"/>
    <cellStyle name="40% - Accent4 3 2 2 5 4" xfId="23358" xr:uid="{00000000-0005-0000-0000-0000834C0000}"/>
    <cellStyle name="40% - Accent4 3 2 2 6" xfId="5438" xr:uid="{00000000-0005-0000-0000-0000844C0000}"/>
    <cellStyle name="40% - Accent4 3 2 2 6 2" xfId="15678" xr:uid="{00000000-0005-0000-0000-0000854C0000}"/>
    <cellStyle name="40% - Accent4 3 2 2 6 2 2" xfId="36158" xr:uid="{00000000-0005-0000-0000-0000864C0000}"/>
    <cellStyle name="40% - Accent4 3 2 2 6 3" xfId="25918" xr:uid="{00000000-0005-0000-0000-0000874C0000}"/>
    <cellStyle name="40% - Accent4 3 2 2 7" xfId="10558" xr:uid="{00000000-0005-0000-0000-0000884C0000}"/>
    <cellStyle name="40% - Accent4 3 2 2 7 2" xfId="31038" xr:uid="{00000000-0005-0000-0000-0000894C0000}"/>
    <cellStyle name="40% - Accent4 3 2 2 8" xfId="20798" xr:uid="{00000000-0005-0000-0000-00008A4C0000}"/>
    <cellStyle name="40% - Accent4 3 2 3" xfId="478" xr:uid="{00000000-0005-0000-0000-00008B4C0000}"/>
    <cellStyle name="40% - Accent4 3 2 3 2" xfId="1118" xr:uid="{00000000-0005-0000-0000-00008C4C0000}"/>
    <cellStyle name="40% - Accent4 3 2 3 2 2" xfId="2398" xr:uid="{00000000-0005-0000-0000-00008D4C0000}"/>
    <cellStyle name="40% - Accent4 3 2 3 2 2 2" xfId="4958" xr:uid="{00000000-0005-0000-0000-00008E4C0000}"/>
    <cellStyle name="40% - Accent4 3 2 3 2 2 2 2" xfId="10078" xr:uid="{00000000-0005-0000-0000-00008F4C0000}"/>
    <cellStyle name="40% - Accent4 3 2 3 2 2 2 2 2" xfId="20318" xr:uid="{00000000-0005-0000-0000-0000904C0000}"/>
    <cellStyle name="40% - Accent4 3 2 3 2 2 2 2 2 2" xfId="40798" xr:uid="{00000000-0005-0000-0000-0000914C0000}"/>
    <cellStyle name="40% - Accent4 3 2 3 2 2 2 2 3" xfId="30558" xr:uid="{00000000-0005-0000-0000-0000924C0000}"/>
    <cellStyle name="40% - Accent4 3 2 3 2 2 2 3" xfId="15198" xr:uid="{00000000-0005-0000-0000-0000934C0000}"/>
    <cellStyle name="40% - Accent4 3 2 3 2 2 2 3 2" xfId="35678" xr:uid="{00000000-0005-0000-0000-0000944C0000}"/>
    <cellStyle name="40% - Accent4 3 2 3 2 2 2 4" xfId="25438" xr:uid="{00000000-0005-0000-0000-0000954C0000}"/>
    <cellStyle name="40% - Accent4 3 2 3 2 2 3" xfId="7518" xr:uid="{00000000-0005-0000-0000-0000964C0000}"/>
    <cellStyle name="40% - Accent4 3 2 3 2 2 3 2" xfId="17758" xr:uid="{00000000-0005-0000-0000-0000974C0000}"/>
    <cellStyle name="40% - Accent4 3 2 3 2 2 3 2 2" xfId="38238" xr:uid="{00000000-0005-0000-0000-0000984C0000}"/>
    <cellStyle name="40% - Accent4 3 2 3 2 2 3 3" xfId="27998" xr:uid="{00000000-0005-0000-0000-0000994C0000}"/>
    <cellStyle name="40% - Accent4 3 2 3 2 2 4" xfId="12638" xr:uid="{00000000-0005-0000-0000-00009A4C0000}"/>
    <cellStyle name="40% - Accent4 3 2 3 2 2 4 2" xfId="33118" xr:uid="{00000000-0005-0000-0000-00009B4C0000}"/>
    <cellStyle name="40% - Accent4 3 2 3 2 2 5" xfId="22878" xr:uid="{00000000-0005-0000-0000-00009C4C0000}"/>
    <cellStyle name="40% - Accent4 3 2 3 2 3" xfId="3678" xr:uid="{00000000-0005-0000-0000-00009D4C0000}"/>
    <cellStyle name="40% - Accent4 3 2 3 2 3 2" xfId="8798" xr:uid="{00000000-0005-0000-0000-00009E4C0000}"/>
    <cellStyle name="40% - Accent4 3 2 3 2 3 2 2" xfId="19038" xr:uid="{00000000-0005-0000-0000-00009F4C0000}"/>
    <cellStyle name="40% - Accent4 3 2 3 2 3 2 2 2" xfId="39518" xr:uid="{00000000-0005-0000-0000-0000A04C0000}"/>
    <cellStyle name="40% - Accent4 3 2 3 2 3 2 3" xfId="29278" xr:uid="{00000000-0005-0000-0000-0000A14C0000}"/>
    <cellStyle name="40% - Accent4 3 2 3 2 3 3" xfId="13918" xr:uid="{00000000-0005-0000-0000-0000A24C0000}"/>
    <cellStyle name="40% - Accent4 3 2 3 2 3 3 2" xfId="34398" xr:uid="{00000000-0005-0000-0000-0000A34C0000}"/>
    <cellStyle name="40% - Accent4 3 2 3 2 3 4" xfId="24158" xr:uid="{00000000-0005-0000-0000-0000A44C0000}"/>
    <cellStyle name="40% - Accent4 3 2 3 2 4" xfId="6238" xr:uid="{00000000-0005-0000-0000-0000A54C0000}"/>
    <cellStyle name="40% - Accent4 3 2 3 2 4 2" xfId="16478" xr:uid="{00000000-0005-0000-0000-0000A64C0000}"/>
    <cellStyle name="40% - Accent4 3 2 3 2 4 2 2" xfId="36958" xr:uid="{00000000-0005-0000-0000-0000A74C0000}"/>
    <cellStyle name="40% - Accent4 3 2 3 2 4 3" xfId="26718" xr:uid="{00000000-0005-0000-0000-0000A84C0000}"/>
    <cellStyle name="40% - Accent4 3 2 3 2 5" xfId="11358" xr:uid="{00000000-0005-0000-0000-0000A94C0000}"/>
    <cellStyle name="40% - Accent4 3 2 3 2 5 2" xfId="31838" xr:uid="{00000000-0005-0000-0000-0000AA4C0000}"/>
    <cellStyle name="40% - Accent4 3 2 3 2 6" xfId="21598" xr:uid="{00000000-0005-0000-0000-0000AB4C0000}"/>
    <cellStyle name="40% - Accent4 3 2 3 3" xfId="1758" xr:uid="{00000000-0005-0000-0000-0000AC4C0000}"/>
    <cellStyle name="40% - Accent4 3 2 3 3 2" xfId="4318" xr:uid="{00000000-0005-0000-0000-0000AD4C0000}"/>
    <cellStyle name="40% - Accent4 3 2 3 3 2 2" xfId="9438" xr:uid="{00000000-0005-0000-0000-0000AE4C0000}"/>
    <cellStyle name="40% - Accent4 3 2 3 3 2 2 2" xfId="19678" xr:uid="{00000000-0005-0000-0000-0000AF4C0000}"/>
    <cellStyle name="40% - Accent4 3 2 3 3 2 2 2 2" xfId="40158" xr:uid="{00000000-0005-0000-0000-0000B04C0000}"/>
    <cellStyle name="40% - Accent4 3 2 3 3 2 2 3" xfId="29918" xr:uid="{00000000-0005-0000-0000-0000B14C0000}"/>
    <cellStyle name="40% - Accent4 3 2 3 3 2 3" xfId="14558" xr:uid="{00000000-0005-0000-0000-0000B24C0000}"/>
    <cellStyle name="40% - Accent4 3 2 3 3 2 3 2" xfId="35038" xr:uid="{00000000-0005-0000-0000-0000B34C0000}"/>
    <cellStyle name="40% - Accent4 3 2 3 3 2 4" xfId="24798" xr:uid="{00000000-0005-0000-0000-0000B44C0000}"/>
    <cellStyle name="40% - Accent4 3 2 3 3 3" xfId="6878" xr:uid="{00000000-0005-0000-0000-0000B54C0000}"/>
    <cellStyle name="40% - Accent4 3 2 3 3 3 2" xfId="17118" xr:uid="{00000000-0005-0000-0000-0000B64C0000}"/>
    <cellStyle name="40% - Accent4 3 2 3 3 3 2 2" xfId="37598" xr:uid="{00000000-0005-0000-0000-0000B74C0000}"/>
    <cellStyle name="40% - Accent4 3 2 3 3 3 3" xfId="27358" xr:uid="{00000000-0005-0000-0000-0000B84C0000}"/>
    <cellStyle name="40% - Accent4 3 2 3 3 4" xfId="11998" xr:uid="{00000000-0005-0000-0000-0000B94C0000}"/>
    <cellStyle name="40% - Accent4 3 2 3 3 4 2" xfId="32478" xr:uid="{00000000-0005-0000-0000-0000BA4C0000}"/>
    <cellStyle name="40% - Accent4 3 2 3 3 5" xfId="22238" xr:uid="{00000000-0005-0000-0000-0000BB4C0000}"/>
    <cellStyle name="40% - Accent4 3 2 3 4" xfId="3038" xr:uid="{00000000-0005-0000-0000-0000BC4C0000}"/>
    <cellStyle name="40% - Accent4 3 2 3 4 2" xfId="8158" xr:uid="{00000000-0005-0000-0000-0000BD4C0000}"/>
    <cellStyle name="40% - Accent4 3 2 3 4 2 2" xfId="18398" xr:uid="{00000000-0005-0000-0000-0000BE4C0000}"/>
    <cellStyle name="40% - Accent4 3 2 3 4 2 2 2" xfId="38878" xr:uid="{00000000-0005-0000-0000-0000BF4C0000}"/>
    <cellStyle name="40% - Accent4 3 2 3 4 2 3" xfId="28638" xr:uid="{00000000-0005-0000-0000-0000C04C0000}"/>
    <cellStyle name="40% - Accent4 3 2 3 4 3" xfId="13278" xr:uid="{00000000-0005-0000-0000-0000C14C0000}"/>
    <cellStyle name="40% - Accent4 3 2 3 4 3 2" xfId="33758" xr:uid="{00000000-0005-0000-0000-0000C24C0000}"/>
    <cellStyle name="40% - Accent4 3 2 3 4 4" xfId="23518" xr:uid="{00000000-0005-0000-0000-0000C34C0000}"/>
    <cellStyle name="40% - Accent4 3 2 3 5" xfId="5598" xr:uid="{00000000-0005-0000-0000-0000C44C0000}"/>
    <cellStyle name="40% - Accent4 3 2 3 5 2" xfId="15838" xr:uid="{00000000-0005-0000-0000-0000C54C0000}"/>
    <cellStyle name="40% - Accent4 3 2 3 5 2 2" xfId="36318" xr:uid="{00000000-0005-0000-0000-0000C64C0000}"/>
    <cellStyle name="40% - Accent4 3 2 3 5 3" xfId="26078" xr:uid="{00000000-0005-0000-0000-0000C74C0000}"/>
    <cellStyle name="40% - Accent4 3 2 3 6" xfId="10718" xr:uid="{00000000-0005-0000-0000-0000C84C0000}"/>
    <cellStyle name="40% - Accent4 3 2 3 6 2" xfId="31198" xr:uid="{00000000-0005-0000-0000-0000C94C0000}"/>
    <cellStyle name="40% - Accent4 3 2 3 7" xfId="20958" xr:uid="{00000000-0005-0000-0000-0000CA4C0000}"/>
    <cellStyle name="40% - Accent4 3 2 4" xfId="798" xr:uid="{00000000-0005-0000-0000-0000CB4C0000}"/>
    <cellStyle name="40% - Accent4 3 2 4 2" xfId="2078" xr:uid="{00000000-0005-0000-0000-0000CC4C0000}"/>
    <cellStyle name="40% - Accent4 3 2 4 2 2" xfId="4638" xr:uid="{00000000-0005-0000-0000-0000CD4C0000}"/>
    <cellStyle name="40% - Accent4 3 2 4 2 2 2" xfId="9758" xr:uid="{00000000-0005-0000-0000-0000CE4C0000}"/>
    <cellStyle name="40% - Accent4 3 2 4 2 2 2 2" xfId="19998" xr:uid="{00000000-0005-0000-0000-0000CF4C0000}"/>
    <cellStyle name="40% - Accent4 3 2 4 2 2 2 2 2" xfId="40478" xr:uid="{00000000-0005-0000-0000-0000D04C0000}"/>
    <cellStyle name="40% - Accent4 3 2 4 2 2 2 3" xfId="30238" xr:uid="{00000000-0005-0000-0000-0000D14C0000}"/>
    <cellStyle name="40% - Accent4 3 2 4 2 2 3" xfId="14878" xr:uid="{00000000-0005-0000-0000-0000D24C0000}"/>
    <cellStyle name="40% - Accent4 3 2 4 2 2 3 2" xfId="35358" xr:uid="{00000000-0005-0000-0000-0000D34C0000}"/>
    <cellStyle name="40% - Accent4 3 2 4 2 2 4" xfId="25118" xr:uid="{00000000-0005-0000-0000-0000D44C0000}"/>
    <cellStyle name="40% - Accent4 3 2 4 2 3" xfId="7198" xr:uid="{00000000-0005-0000-0000-0000D54C0000}"/>
    <cellStyle name="40% - Accent4 3 2 4 2 3 2" xfId="17438" xr:uid="{00000000-0005-0000-0000-0000D64C0000}"/>
    <cellStyle name="40% - Accent4 3 2 4 2 3 2 2" xfId="37918" xr:uid="{00000000-0005-0000-0000-0000D74C0000}"/>
    <cellStyle name="40% - Accent4 3 2 4 2 3 3" xfId="27678" xr:uid="{00000000-0005-0000-0000-0000D84C0000}"/>
    <cellStyle name="40% - Accent4 3 2 4 2 4" xfId="12318" xr:uid="{00000000-0005-0000-0000-0000D94C0000}"/>
    <cellStyle name="40% - Accent4 3 2 4 2 4 2" xfId="32798" xr:uid="{00000000-0005-0000-0000-0000DA4C0000}"/>
    <cellStyle name="40% - Accent4 3 2 4 2 5" xfId="22558" xr:uid="{00000000-0005-0000-0000-0000DB4C0000}"/>
    <cellStyle name="40% - Accent4 3 2 4 3" xfId="3358" xr:uid="{00000000-0005-0000-0000-0000DC4C0000}"/>
    <cellStyle name="40% - Accent4 3 2 4 3 2" xfId="8478" xr:uid="{00000000-0005-0000-0000-0000DD4C0000}"/>
    <cellStyle name="40% - Accent4 3 2 4 3 2 2" xfId="18718" xr:uid="{00000000-0005-0000-0000-0000DE4C0000}"/>
    <cellStyle name="40% - Accent4 3 2 4 3 2 2 2" xfId="39198" xr:uid="{00000000-0005-0000-0000-0000DF4C0000}"/>
    <cellStyle name="40% - Accent4 3 2 4 3 2 3" xfId="28958" xr:uid="{00000000-0005-0000-0000-0000E04C0000}"/>
    <cellStyle name="40% - Accent4 3 2 4 3 3" xfId="13598" xr:uid="{00000000-0005-0000-0000-0000E14C0000}"/>
    <cellStyle name="40% - Accent4 3 2 4 3 3 2" xfId="34078" xr:uid="{00000000-0005-0000-0000-0000E24C0000}"/>
    <cellStyle name="40% - Accent4 3 2 4 3 4" xfId="23838" xr:uid="{00000000-0005-0000-0000-0000E34C0000}"/>
    <cellStyle name="40% - Accent4 3 2 4 4" xfId="5918" xr:uid="{00000000-0005-0000-0000-0000E44C0000}"/>
    <cellStyle name="40% - Accent4 3 2 4 4 2" xfId="16158" xr:uid="{00000000-0005-0000-0000-0000E54C0000}"/>
    <cellStyle name="40% - Accent4 3 2 4 4 2 2" xfId="36638" xr:uid="{00000000-0005-0000-0000-0000E64C0000}"/>
    <cellStyle name="40% - Accent4 3 2 4 4 3" xfId="26398" xr:uid="{00000000-0005-0000-0000-0000E74C0000}"/>
    <cellStyle name="40% - Accent4 3 2 4 5" xfId="11038" xr:uid="{00000000-0005-0000-0000-0000E84C0000}"/>
    <cellStyle name="40% - Accent4 3 2 4 5 2" xfId="31518" xr:uid="{00000000-0005-0000-0000-0000E94C0000}"/>
    <cellStyle name="40% - Accent4 3 2 4 6" xfId="21278" xr:uid="{00000000-0005-0000-0000-0000EA4C0000}"/>
    <cellStyle name="40% - Accent4 3 2 5" xfId="1438" xr:uid="{00000000-0005-0000-0000-0000EB4C0000}"/>
    <cellStyle name="40% - Accent4 3 2 5 2" xfId="3998" xr:uid="{00000000-0005-0000-0000-0000EC4C0000}"/>
    <cellStyle name="40% - Accent4 3 2 5 2 2" xfId="9118" xr:uid="{00000000-0005-0000-0000-0000ED4C0000}"/>
    <cellStyle name="40% - Accent4 3 2 5 2 2 2" xfId="19358" xr:uid="{00000000-0005-0000-0000-0000EE4C0000}"/>
    <cellStyle name="40% - Accent4 3 2 5 2 2 2 2" xfId="39838" xr:uid="{00000000-0005-0000-0000-0000EF4C0000}"/>
    <cellStyle name="40% - Accent4 3 2 5 2 2 3" xfId="29598" xr:uid="{00000000-0005-0000-0000-0000F04C0000}"/>
    <cellStyle name="40% - Accent4 3 2 5 2 3" xfId="14238" xr:uid="{00000000-0005-0000-0000-0000F14C0000}"/>
    <cellStyle name="40% - Accent4 3 2 5 2 3 2" xfId="34718" xr:uid="{00000000-0005-0000-0000-0000F24C0000}"/>
    <cellStyle name="40% - Accent4 3 2 5 2 4" xfId="24478" xr:uid="{00000000-0005-0000-0000-0000F34C0000}"/>
    <cellStyle name="40% - Accent4 3 2 5 3" xfId="6558" xr:uid="{00000000-0005-0000-0000-0000F44C0000}"/>
    <cellStyle name="40% - Accent4 3 2 5 3 2" xfId="16798" xr:uid="{00000000-0005-0000-0000-0000F54C0000}"/>
    <cellStyle name="40% - Accent4 3 2 5 3 2 2" xfId="37278" xr:uid="{00000000-0005-0000-0000-0000F64C0000}"/>
    <cellStyle name="40% - Accent4 3 2 5 3 3" xfId="27038" xr:uid="{00000000-0005-0000-0000-0000F74C0000}"/>
    <cellStyle name="40% - Accent4 3 2 5 4" xfId="11678" xr:uid="{00000000-0005-0000-0000-0000F84C0000}"/>
    <cellStyle name="40% - Accent4 3 2 5 4 2" xfId="32158" xr:uid="{00000000-0005-0000-0000-0000F94C0000}"/>
    <cellStyle name="40% - Accent4 3 2 5 5" xfId="21918" xr:uid="{00000000-0005-0000-0000-0000FA4C0000}"/>
    <cellStyle name="40% - Accent4 3 2 6" xfId="2718" xr:uid="{00000000-0005-0000-0000-0000FB4C0000}"/>
    <cellStyle name="40% - Accent4 3 2 6 2" xfId="7838" xr:uid="{00000000-0005-0000-0000-0000FC4C0000}"/>
    <cellStyle name="40% - Accent4 3 2 6 2 2" xfId="18078" xr:uid="{00000000-0005-0000-0000-0000FD4C0000}"/>
    <cellStyle name="40% - Accent4 3 2 6 2 2 2" xfId="38558" xr:uid="{00000000-0005-0000-0000-0000FE4C0000}"/>
    <cellStyle name="40% - Accent4 3 2 6 2 3" xfId="28318" xr:uid="{00000000-0005-0000-0000-0000FF4C0000}"/>
    <cellStyle name="40% - Accent4 3 2 6 3" xfId="12958" xr:uid="{00000000-0005-0000-0000-0000004D0000}"/>
    <cellStyle name="40% - Accent4 3 2 6 3 2" xfId="33438" xr:uid="{00000000-0005-0000-0000-0000014D0000}"/>
    <cellStyle name="40% - Accent4 3 2 6 4" xfId="23198" xr:uid="{00000000-0005-0000-0000-0000024D0000}"/>
    <cellStyle name="40% - Accent4 3 2 7" xfId="5278" xr:uid="{00000000-0005-0000-0000-0000034D0000}"/>
    <cellStyle name="40% - Accent4 3 2 7 2" xfId="15518" xr:uid="{00000000-0005-0000-0000-0000044D0000}"/>
    <cellStyle name="40% - Accent4 3 2 7 2 2" xfId="35998" xr:uid="{00000000-0005-0000-0000-0000054D0000}"/>
    <cellStyle name="40% - Accent4 3 2 7 3" xfId="25758" xr:uid="{00000000-0005-0000-0000-0000064D0000}"/>
    <cellStyle name="40% - Accent4 3 2 8" xfId="10398" xr:uid="{00000000-0005-0000-0000-0000074D0000}"/>
    <cellStyle name="40% - Accent4 3 2 8 2" xfId="30878" xr:uid="{00000000-0005-0000-0000-0000084D0000}"/>
    <cellStyle name="40% - Accent4 3 2 9" xfId="20638" xr:uid="{00000000-0005-0000-0000-0000094D0000}"/>
    <cellStyle name="40% - Accent4 3 3" xfId="238" xr:uid="{00000000-0005-0000-0000-00000A4D0000}"/>
    <cellStyle name="40% - Accent4 3 3 2" xfId="558" xr:uid="{00000000-0005-0000-0000-00000B4D0000}"/>
    <cellStyle name="40% - Accent4 3 3 2 2" xfId="1198" xr:uid="{00000000-0005-0000-0000-00000C4D0000}"/>
    <cellStyle name="40% - Accent4 3 3 2 2 2" xfId="2478" xr:uid="{00000000-0005-0000-0000-00000D4D0000}"/>
    <cellStyle name="40% - Accent4 3 3 2 2 2 2" xfId="5038" xr:uid="{00000000-0005-0000-0000-00000E4D0000}"/>
    <cellStyle name="40% - Accent4 3 3 2 2 2 2 2" xfId="10158" xr:uid="{00000000-0005-0000-0000-00000F4D0000}"/>
    <cellStyle name="40% - Accent4 3 3 2 2 2 2 2 2" xfId="20398" xr:uid="{00000000-0005-0000-0000-0000104D0000}"/>
    <cellStyle name="40% - Accent4 3 3 2 2 2 2 2 2 2" xfId="40878" xr:uid="{00000000-0005-0000-0000-0000114D0000}"/>
    <cellStyle name="40% - Accent4 3 3 2 2 2 2 2 3" xfId="30638" xr:uid="{00000000-0005-0000-0000-0000124D0000}"/>
    <cellStyle name="40% - Accent4 3 3 2 2 2 2 3" xfId="15278" xr:uid="{00000000-0005-0000-0000-0000134D0000}"/>
    <cellStyle name="40% - Accent4 3 3 2 2 2 2 3 2" xfId="35758" xr:uid="{00000000-0005-0000-0000-0000144D0000}"/>
    <cellStyle name="40% - Accent4 3 3 2 2 2 2 4" xfId="25518" xr:uid="{00000000-0005-0000-0000-0000154D0000}"/>
    <cellStyle name="40% - Accent4 3 3 2 2 2 3" xfId="7598" xr:uid="{00000000-0005-0000-0000-0000164D0000}"/>
    <cellStyle name="40% - Accent4 3 3 2 2 2 3 2" xfId="17838" xr:uid="{00000000-0005-0000-0000-0000174D0000}"/>
    <cellStyle name="40% - Accent4 3 3 2 2 2 3 2 2" xfId="38318" xr:uid="{00000000-0005-0000-0000-0000184D0000}"/>
    <cellStyle name="40% - Accent4 3 3 2 2 2 3 3" xfId="28078" xr:uid="{00000000-0005-0000-0000-0000194D0000}"/>
    <cellStyle name="40% - Accent4 3 3 2 2 2 4" xfId="12718" xr:uid="{00000000-0005-0000-0000-00001A4D0000}"/>
    <cellStyle name="40% - Accent4 3 3 2 2 2 4 2" xfId="33198" xr:uid="{00000000-0005-0000-0000-00001B4D0000}"/>
    <cellStyle name="40% - Accent4 3 3 2 2 2 5" xfId="22958" xr:uid="{00000000-0005-0000-0000-00001C4D0000}"/>
    <cellStyle name="40% - Accent4 3 3 2 2 3" xfId="3758" xr:uid="{00000000-0005-0000-0000-00001D4D0000}"/>
    <cellStyle name="40% - Accent4 3 3 2 2 3 2" xfId="8878" xr:uid="{00000000-0005-0000-0000-00001E4D0000}"/>
    <cellStyle name="40% - Accent4 3 3 2 2 3 2 2" xfId="19118" xr:uid="{00000000-0005-0000-0000-00001F4D0000}"/>
    <cellStyle name="40% - Accent4 3 3 2 2 3 2 2 2" xfId="39598" xr:uid="{00000000-0005-0000-0000-0000204D0000}"/>
    <cellStyle name="40% - Accent4 3 3 2 2 3 2 3" xfId="29358" xr:uid="{00000000-0005-0000-0000-0000214D0000}"/>
    <cellStyle name="40% - Accent4 3 3 2 2 3 3" xfId="13998" xr:uid="{00000000-0005-0000-0000-0000224D0000}"/>
    <cellStyle name="40% - Accent4 3 3 2 2 3 3 2" xfId="34478" xr:uid="{00000000-0005-0000-0000-0000234D0000}"/>
    <cellStyle name="40% - Accent4 3 3 2 2 3 4" xfId="24238" xr:uid="{00000000-0005-0000-0000-0000244D0000}"/>
    <cellStyle name="40% - Accent4 3 3 2 2 4" xfId="6318" xr:uid="{00000000-0005-0000-0000-0000254D0000}"/>
    <cellStyle name="40% - Accent4 3 3 2 2 4 2" xfId="16558" xr:uid="{00000000-0005-0000-0000-0000264D0000}"/>
    <cellStyle name="40% - Accent4 3 3 2 2 4 2 2" xfId="37038" xr:uid="{00000000-0005-0000-0000-0000274D0000}"/>
    <cellStyle name="40% - Accent4 3 3 2 2 4 3" xfId="26798" xr:uid="{00000000-0005-0000-0000-0000284D0000}"/>
    <cellStyle name="40% - Accent4 3 3 2 2 5" xfId="11438" xr:uid="{00000000-0005-0000-0000-0000294D0000}"/>
    <cellStyle name="40% - Accent4 3 3 2 2 5 2" xfId="31918" xr:uid="{00000000-0005-0000-0000-00002A4D0000}"/>
    <cellStyle name="40% - Accent4 3 3 2 2 6" xfId="21678" xr:uid="{00000000-0005-0000-0000-00002B4D0000}"/>
    <cellStyle name="40% - Accent4 3 3 2 3" xfId="1838" xr:uid="{00000000-0005-0000-0000-00002C4D0000}"/>
    <cellStyle name="40% - Accent4 3 3 2 3 2" xfId="4398" xr:uid="{00000000-0005-0000-0000-00002D4D0000}"/>
    <cellStyle name="40% - Accent4 3 3 2 3 2 2" xfId="9518" xr:uid="{00000000-0005-0000-0000-00002E4D0000}"/>
    <cellStyle name="40% - Accent4 3 3 2 3 2 2 2" xfId="19758" xr:uid="{00000000-0005-0000-0000-00002F4D0000}"/>
    <cellStyle name="40% - Accent4 3 3 2 3 2 2 2 2" xfId="40238" xr:uid="{00000000-0005-0000-0000-0000304D0000}"/>
    <cellStyle name="40% - Accent4 3 3 2 3 2 2 3" xfId="29998" xr:uid="{00000000-0005-0000-0000-0000314D0000}"/>
    <cellStyle name="40% - Accent4 3 3 2 3 2 3" xfId="14638" xr:uid="{00000000-0005-0000-0000-0000324D0000}"/>
    <cellStyle name="40% - Accent4 3 3 2 3 2 3 2" xfId="35118" xr:uid="{00000000-0005-0000-0000-0000334D0000}"/>
    <cellStyle name="40% - Accent4 3 3 2 3 2 4" xfId="24878" xr:uid="{00000000-0005-0000-0000-0000344D0000}"/>
    <cellStyle name="40% - Accent4 3 3 2 3 3" xfId="6958" xr:uid="{00000000-0005-0000-0000-0000354D0000}"/>
    <cellStyle name="40% - Accent4 3 3 2 3 3 2" xfId="17198" xr:uid="{00000000-0005-0000-0000-0000364D0000}"/>
    <cellStyle name="40% - Accent4 3 3 2 3 3 2 2" xfId="37678" xr:uid="{00000000-0005-0000-0000-0000374D0000}"/>
    <cellStyle name="40% - Accent4 3 3 2 3 3 3" xfId="27438" xr:uid="{00000000-0005-0000-0000-0000384D0000}"/>
    <cellStyle name="40% - Accent4 3 3 2 3 4" xfId="12078" xr:uid="{00000000-0005-0000-0000-0000394D0000}"/>
    <cellStyle name="40% - Accent4 3 3 2 3 4 2" xfId="32558" xr:uid="{00000000-0005-0000-0000-00003A4D0000}"/>
    <cellStyle name="40% - Accent4 3 3 2 3 5" xfId="22318" xr:uid="{00000000-0005-0000-0000-00003B4D0000}"/>
    <cellStyle name="40% - Accent4 3 3 2 4" xfId="3118" xr:uid="{00000000-0005-0000-0000-00003C4D0000}"/>
    <cellStyle name="40% - Accent4 3 3 2 4 2" xfId="8238" xr:uid="{00000000-0005-0000-0000-00003D4D0000}"/>
    <cellStyle name="40% - Accent4 3 3 2 4 2 2" xfId="18478" xr:uid="{00000000-0005-0000-0000-00003E4D0000}"/>
    <cellStyle name="40% - Accent4 3 3 2 4 2 2 2" xfId="38958" xr:uid="{00000000-0005-0000-0000-00003F4D0000}"/>
    <cellStyle name="40% - Accent4 3 3 2 4 2 3" xfId="28718" xr:uid="{00000000-0005-0000-0000-0000404D0000}"/>
    <cellStyle name="40% - Accent4 3 3 2 4 3" xfId="13358" xr:uid="{00000000-0005-0000-0000-0000414D0000}"/>
    <cellStyle name="40% - Accent4 3 3 2 4 3 2" xfId="33838" xr:uid="{00000000-0005-0000-0000-0000424D0000}"/>
    <cellStyle name="40% - Accent4 3 3 2 4 4" xfId="23598" xr:uid="{00000000-0005-0000-0000-0000434D0000}"/>
    <cellStyle name="40% - Accent4 3 3 2 5" xfId="5678" xr:uid="{00000000-0005-0000-0000-0000444D0000}"/>
    <cellStyle name="40% - Accent4 3 3 2 5 2" xfId="15918" xr:uid="{00000000-0005-0000-0000-0000454D0000}"/>
    <cellStyle name="40% - Accent4 3 3 2 5 2 2" xfId="36398" xr:uid="{00000000-0005-0000-0000-0000464D0000}"/>
    <cellStyle name="40% - Accent4 3 3 2 5 3" xfId="26158" xr:uid="{00000000-0005-0000-0000-0000474D0000}"/>
    <cellStyle name="40% - Accent4 3 3 2 6" xfId="10798" xr:uid="{00000000-0005-0000-0000-0000484D0000}"/>
    <cellStyle name="40% - Accent4 3 3 2 6 2" xfId="31278" xr:uid="{00000000-0005-0000-0000-0000494D0000}"/>
    <cellStyle name="40% - Accent4 3 3 2 7" xfId="21038" xr:uid="{00000000-0005-0000-0000-00004A4D0000}"/>
    <cellStyle name="40% - Accent4 3 3 3" xfId="878" xr:uid="{00000000-0005-0000-0000-00004B4D0000}"/>
    <cellStyle name="40% - Accent4 3 3 3 2" xfId="2158" xr:uid="{00000000-0005-0000-0000-00004C4D0000}"/>
    <cellStyle name="40% - Accent4 3 3 3 2 2" xfId="4718" xr:uid="{00000000-0005-0000-0000-00004D4D0000}"/>
    <cellStyle name="40% - Accent4 3 3 3 2 2 2" xfId="9838" xr:uid="{00000000-0005-0000-0000-00004E4D0000}"/>
    <cellStyle name="40% - Accent4 3 3 3 2 2 2 2" xfId="20078" xr:uid="{00000000-0005-0000-0000-00004F4D0000}"/>
    <cellStyle name="40% - Accent4 3 3 3 2 2 2 2 2" xfId="40558" xr:uid="{00000000-0005-0000-0000-0000504D0000}"/>
    <cellStyle name="40% - Accent4 3 3 3 2 2 2 3" xfId="30318" xr:uid="{00000000-0005-0000-0000-0000514D0000}"/>
    <cellStyle name="40% - Accent4 3 3 3 2 2 3" xfId="14958" xr:uid="{00000000-0005-0000-0000-0000524D0000}"/>
    <cellStyle name="40% - Accent4 3 3 3 2 2 3 2" xfId="35438" xr:uid="{00000000-0005-0000-0000-0000534D0000}"/>
    <cellStyle name="40% - Accent4 3 3 3 2 2 4" xfId="25198" xr:uid="{00000000-0005-0000-0000-0000544D0000}"/>
    <cellStyle name="40% - Accent4 3 3 3 2 3" xfId="7278" xr:uid="{00000000-0005-0000-0000-0000554D0000}"/>
    <cellStyle name="40% - Accent4 3 3 3 2 3 2" xfId="17518" xr:uid="{00000000-0005-0000-0000-0000564D0000}"/>
    <cellStyle name="40% - Accent4 3 3 3 2 3 2 2" xfId="37998" xr:uid="{00000000-0005-0000-0000-0000574D0000}"/>
    <cellStyle name="40% - Accent4 3 3 3 2 3 3" xfId="27758" xr:uid="{00000000-0005-0000-0000-0000584D0000}"/>
    <cellStyle name="40% - Accent4 3 3 3 2 4" xfId="12398" xr:uid="{00000000-0005-0000-0000-0000594D0000}"/>
    <cellStyle name="40% - Accent4 3 3 3 2 4 2" xfId="32878" xr:uid="{00000000-0005-0000-0000-00005A4D0000}"/>
    <cellStyle name="40% - Accent4 3 3 3 2 5" xfId="22638" xr:uid="{00000000-0005-0000-0000-00005B4D0000}"/>
    <cellStyle name="40% - Accent4 3 3 3 3" xfId="3438" xr:uid="{00000000-0005-0000-0000-00005C4D0000}"/>
    <cellStyle name="40% - Accent4 3 3 3 3 2" xfId="8558" xr:uid="{00000000-0005-0000-0000-00005D4D0000}"/>
    <cellStyle name="40% - Accent4 3 3 3 3 2 2" xfId="18798" xr:uid="{00000000-0005-0000-0000-00005E4D0000}"/>
    <cellStyle name="40% - Accent4 3 3 3 3 2 2 2" xfId="39278" xr:uid="{00000000-0005-0000-0000-00005F4D0000}"/>
    <cellStyle name="40% - Accent4 3 3 3 3 2 3" xfId="29038" xr:uid="{00000000-0005-0000-0000-0000604D0000}"/>
    <cellStyle name="40% - Accent4 3 3 3 3 3" xfId="13678" xr:uid="{00000000-0005-0000-0000-0000614D0000}"/>
    <cellStyle name="40% - Accent4 3 3 3 3 3 2" xfId="34158" xr:uid="{00000000-0005-0000-0000-0000624D0000}"/>
    <cellStyle name="40% - Accent4 3 3 3 3 4" xfId="23918" xr:uid="{00000000-0005-0000-0000-0000634D0000}"/>
    <cellStyle name="40% - Accent4 3 3 3 4" xfId="5998" xr:uid="{00000000-0005-0000-0000-0000644D0000}"/>
    <cellStyle name="40% - Accent4 3 3 3 4 2" xfId="16238" xr:uid="{00000000-0005-0000-0000-0000654D0000}"/>
    <cellStyle name="40% - Accent4 3 3 3 4 2 2" xfId="36718" xr:uid="{00000000-0005-0000-0000-0000664D0000}"/>
    <cellStyle name="40% - Accent4 3 3 3 4 3" xfId="26478" xr:uid="{00000000-0005-0000-0000-0000674D0000}"/>
    <cellStyle name="40% - Accent4 3 3 3 5" xfId="11118" xr:uid="{00000000-0005-0000-0000-0000684D0000}"/>
    <cellStyle name="40% - Accent4 3 3 3 5 2" xfId="31598" xr:uid="{00000000-0005-0000-0000-0000694D0000}"/>
    <cellStyle name="40% - Accent4 3 3 3 6" xfId="21358" xr:uid="{00000000-0005-0000-0000-00006A4D0000}"/>
    <cellStyle name="40% - Accent4 3 3 4" xfId="1518" xr:uid="{00000000-0005-0000-0000-00006B4D0000}"/>
    <cellStyle name="40% - Accent4 3 3 4 2" xfId="4078" xr:uid="{00000000-0005-0000-0000-00006C4D0000}"/>
    <cellStyle name="40% - Accent4 3 3 4 2 2" xfId="9198" xr:uid="{00000000-0005-0000-0000-00006D4D0000}"/>
    <cellStyle name="40% - Accent4 3 3 4 2 2 2" xfId="19438" xr:uid="{00000000-0005-0000-0000-00006E4D0000}"/>
    <cellStyle name="40% - Accent4 3 3 4 2 2 2 2" xfId="39918" xr:uid="{00000000-0005-0000-0000-00006F4D0000}"/>
    <cellStyle name="40% - Accent4 3 3 4 2 2 3" xfId="29678" xr:uid="{00000000-0005-0000-0000-0000704D0000}"/>
    <cellStyle name="40% - Accent4 3 3 4 2 3" xfId="14318" xr:uid="{00000000-0005-0000-0000-0000714D0000}"/>
    <cellStyle name="40% - Accent4 3 3 4 2 3 2" xfId="34798" xr:uid="{00000000-0005-0000-0000-0000724D0000}"/>
    <cellStyle name="40% - Accent4 3 3 4 2 4" xfId="24558" xr:uid="{00000000-0005-0000-0000-0000734D0000}"/>
    <cellStyle name="40% - Accent4 3 3 4 3" xfId="6638" xr:uid="{00000000-0005-0000-0000-0000744D0000}"/>
    <cellStyle name="40% - Accent4 3 3 4 3 2" xfId="16878" xr:uid="{00000000-0005-0000-0000-0000754D0000}"/>
    <cellStyle name="40% - Accent4 3 3 4 3 2 2" xfId="37358" xr:uid="{00000000-0005-0000-0000-0000764D0000}"/>
    <cellStyle name="40% - Accent4 3 3 4 3 3" xfId="27118" xr:uid="{00000000-0005-0000-0000-0000774D0000}"/>
    <cellStyle name="40% - Accent4 3 3 4 4" xfId="11758" xr:uid="{00000000-0005-0000-0000-0000784D0000}"/>
    <cellStyle name="40% - Accent4 3 3 4 4 2" xfId="32238" xr:uid="{00000000-0005-0000-0000-0000794D0000}"/>
    <cellStyle name="40% - Accent4 3 3 4 5" xfId="21998" xr:uid="{00000000-0005-0000-0000-00007A4D0000}"/>
    <cellStyle name="40% - Accent4 3 3 5" xfId="2798" xr:uid="{00000000-0005-0000-0000-00007B4D0000}"/>
    <cellStyle name="40% - Accent4 3 3 5 2" xfId="7918" xr:uid="{00000000-0005-0000-0000-00007C4D0000}"/>
    <cellStyle name="40% - Accent4 3 3 5 2 2" xfId="18158" xr:uid="{00000000-0005-0000-0000-00007D4D0000}"/>
    <cellStyle name="40% - Accent4 3 3 5 2 2 2" xfId="38638" xr:uid="{00000000-0005-0000-0000-00007E4D0000}"/>
    <cellStyle name="40% - Accent4 3 3 5 2 3" xfId="28398" xr:uid="{00000000-0005-0000-0000-00007F4D0000}"/>
    <cellStyle name="40% - Accent4 3 3 5 3" xfId="13038" xr:uid="{00000000-0005-0000-0000-0000804D0000}"/>
    <cellStyle name="40% - Accent4 3 3 5 3 2" xfId="33518" xr:uid="{00000000-0005-0000-0000-0000814D0000}"/>
    <cellStyle name="40% - Accent4 3 3 5 4" xfId="23278" xr:uid="{00000000-0005-0000-0000-0000824D0000}"/>
    <cellStyle name="40% - Accent4 3 3 6" xfId="5358" xr:uid="{00000000-0005-0000-0000-0000834D0000}"/>
    <cellStyle name="40% - Accent4 3 3 6 2" xfId="15598" xr:uid="{00000000-0005-0000-0000-0000844D0000}"/>
    <cellStyle name="40% - Accent4 3 3 6 2 2" xfId="36078" xr:uid="{00000000-0005-0000-0000-0000854D0000}"/>
    <cellStyle name="40% - Accent4 3 3 6 3" xfId="25838" xr:uid="{00000000-0005-0000-0000-0000864D0000}"/>
    <cellStyle name="40% - Accent4 3 3 7" xfId="10478" xr:uid="{00000000-0005-0000-0000-0000874D0000}"/>
    <cellStyle name="40% - Accent4 3 3 7 2" xfId="30958" xr:uid="{00000000-0005-0000-0000-0000884D0000}"/>
    <cellStyle name="40% - Accent4 3 3 8" xfId="20718" xr:uid="{00000000-0005-0000-0000-0000894D0000}"/>
    <cellStyle name="40% - Accent4 3 4" xfId="398" xr:uid="{00000000-0005-0000-0000-00008A4D0000}"/>
    <cellStyle name="40% - Accent4 3 4 2" xfId="1038" xr:uid="{00000000-0005-0000-0000-00008B4D0000}"/>
    <cellStyle name="40% - Accent4 3 4 2 2" xfId="2318" xr:uid="{00000000-0005-0000-0000-00008C4D0000}"/>
    <cellStyle name="40% - Accent4 3 4 2 2 2" xfId="4878" xr:uid="{00000000-0005-0000-0000-00008D4D0000}"/>
    <cellStyle name="40% - Accent4 3 4 2 2 2 2" xfId="9998" xr:uid="{00000000-0005-0000-0000-00008E4D0000}"/>
    <cellStyle name="40% - Accent4 3 4 2 2 2 2 2" xfId="20238" xr:uid="{00000000-0005-0000-0000-00008F4D0000}"/>
    <cellStyle name="40% - Accent4 3 4 2 2 2 2 2 2" xfId="40718" xr:uid="{00000000-0005-0000-0000-0000904D0000}"/>
    <cellStyle name="40% - Accent4 3 4 2 2 2 2 3" xfId="30478" xr:uid="{00000000-0005-0000-0000-0000914D0000}"/>
    <cellStyle name="40% - Accent4 3 4 2 2 2 3" xfId="15118" xr:uid="{00000000-0005-0000-0000-0000924D0000}"/>
    <cellStyle name="40% - Accent4 3 4 2 2 2 3 2" xfId="35598" xr:uid="{00000000-0005-0000-0000-0000934D0000}"/>
    <cellStyle name="40% - Accent4 3 4 2 2 2 4" xfId="25358" xr:uid="{00000000-0005-0000-0000-0000944D0000}"/>
    <cellStyle name="40% - Accent4 3 4 2 2 3" xfId="7438" xr:uid="{00000000-0005-0000-0000-0000954D0000}"/>
    <cellStyle name="40% - Accent4 3 4 2 2 3 2" xfId="17678" xr:uid="{00000000-0005-0000-0000-0000964D0000}"/>
    <cellStyle name="40% - Accent4 3 4 2 2 3 2 2" xfId="38158" xr:uid="{00000000-0005-0000-0000-0000974D0000}"/>
    <cellStyle name="40% - Accent4 3 4 2 2 3 3" xfId="27918" xr:uid="{00000000-0005-0000-0000-0000984D0000}"/>
    <cellStyle name="40% - Accent4 3 4 2 2 4" xfId="12558" xr:uid="{00000000-0005-0000-0000-0000994D0000}"/>
    <cellStyle name="40% - Accent4 3 4 2 2 4 2" xfId="33038" xr:uid="{00000000-0005-0000-0000-00009A4D0000}"/>
    <cellStyle name="40% - Accent4 3 4 2 2 5" xfId="22798" xr:uid="{00000000-0005-0000-0000-00009B4D0000}"/>
    <cellStyle name="40% - Accent4 3 4 2 3" xfId="3598" xr:uid="{00000000-0005-0000-0000-00009C4D0000}"/>
    <cellStyle name="40% - Accent4 3 4 2 3 2" xfId="8718" xr:uid="{00000000-0005-0000-0000-00009D4D0000}"/>
    <cellStyle name="40% - Accent4 3 4 2 3 2 2" xfId="18958" xr:uid="{00000000-0005-0000-0000-00009E4D0000}"/>
    <cellStyle name="40% - Accent4 3 4 2 3 2 2 2" xfId="39438" xr:uid="{00000000-0005-0000-0000-00009F4D0000}"/>
    <cellStyle name="40% - Accent4 3 4 2 3 2 3" xfId="29198" xr:uid="{00000000-0005-0000-0000-0000A04D0000}"/>
    <cellStyle name="40% - Accent4 3 4 2 3 3" xfId="13838" xr:uid="{00000000-0005-0000-0000-0000A14D0000}"/>
    <cellStyle name="40% - Accent4 3 4 2 3 3 2" xfId="34318" xr:uid="{00000000-0005-0000-0000-0000A24D0000}"/>
    <cellStyle name="40% - Accent4 3 4 2 3 4" xfId="24078" xr:uid="{00000000-0005-0000-0000-0000A34D0000}"/>
    <cellStyle name="40% - Accent4 3 4 2 4" xfId="6158" xr:uid="{00000000-0005-0000-0000-0000A44D0000}"/>
    <cellStyle name="40% - Accent4 3 4 2 4 2" xfId="16398" xr:uid="{00000000-0005-0000-0000-0000A54D0000}"/>
    <cellStyle name="40% - Accent4 3 4 2 4 2 2" xfId="36878" xr:uid="{00000000-0005-0000-0000-0000A64D0000}"/>
    <cellStyle name="40% - Accent4 3 4 2 4 3" xfId="26638" xr:uid="{00000000-0005-0000-0000-0000A74D0000}"/>
    <cellStyle name="40% - Accent4 3 4 2 5" xfId="11278" xr:uid="{00000000-0005-0000-0000-0000A84D0000}"/>
    <cellStyle name="40% - Accent4 3 4 2 5 2" xfId="31758" xr:uid="{00000000-0005-0000-0000-0000A94D0000}"/>
    <cellStyle name="40% - Accent4 3 4 2 6" xfId="21518" xr:uid="{00000000-0005-0000-0000-0000AA4D0000}"/>
    <cellStyle name="40% - Accent4 3 4 3" xfId="1678" xr:uid="{00000000-0005-0000-0000-0000AB4D0000}"/>
    <cellStyle name="40% - Accent4 3 4 3 2" xfId="4238" xr:uid="{00000000-0005-0000-0000-0000AC4D0000}"/>
    <cellStyle name="40% - Accent4 3 4 3 2 2" xfId="9358" xr:uid="{00000000-0005-0000-0000-0000AD4D0000}"/>
    <cellStyle name="40% - Accent4 3 4 3 2 2 2" xfId="19598" xr:uid="{00000000-0005-0000-0000-0000AE4D0000}"/>
    <cellStyle name="40% - Accent4 3 4 3 2 2 2 2" xfId="40078" xr:uid="{00000000-0005-0000-0000-0000AF4D0000}"/>
    <cellStyle name="40% - Accent4 3 4 3 2 2 3" xfId="29838" xr:uid="{00000000-0005-0000-0000-0000B04D0000}"/>
    <cellStyle name="40% - Accent4 3 4 3 2 3" xfId="14478" xr:uid="{00000000-0005-0000-0000-0000B14D0000}"/>
    <cellStyle name="40% - Accent4 3 4 3 2 3 2" xfId="34958" xr:uid="{00000000-0005-0000-0000-0000B24D0000}"/>
    <cellStyle name="40% - Accent4 3 4 3 2 4" xfId="24718" xr:uid="{00000000-0005-0000-0000-0000B34D0000}"/>
    <cellStyle name="40% - Accent4 3 4 3 3" xfId="6798" xr:uid="{00000000-0005-0000-0000-0000B44D0000}"/>
    <cellStyle name="40% - Accent4 3 4 3 3 2" xfId="17038" xr:uid="{00000000-0005-0000-0000-0000B54D0000}"/>
    <cellStyle name="40% - Accent4 3 4 3 3 2 2" xfId="37518" xr:uid="{00000000-0005-0000-0000-0000B64D0000}"/>
    <cellStyle name="40% - Accent4 3 4 3 3 3" xfId="27278" xr:uid="{00000000-0005-0000-0000-0000B74D0000}"/>
    <cellStyle name="40% - Accent4 3 4 3 4" xfId="11918" xr:uid="{00000000-0005-0000-0000-0000B84D0000}"/>
    <cellStyle name="40% - Accent4 3 4 3 4 2" xfId="32398" xr:uid="{00000000-0005-0000-0000-0000B94D0000}"/>
    <cellStyle name="40% - Accent4 3 4 3 5" xfId="22158" xr:uid="{00000000-0005-0000-0000-0000BA4D0000}"/>
    <cellStyle name="40% - Accent4 3 4 4" xfId="2958" xr:uid="{00000000-0005-0000-0000-0000BB4D0000}"/>
    <cellStyle name="40% - Accent4 3 4 4 2" xfId="8078" xr:uid="{00000000-0005-0000-0000-0000BC4D0000}"/>
    <cellStyle name="40% - Accent4 3 4 4 2 2" xfId="18318" xr:uid="{00000000-0005-0000-0000-0000BD4D0000}"/>
    <cellStyle name="40% - Accent4 3 4 4 2 2 2" xfId="38798" xr:uid="{00000000-0005-0000-0000-0000BE4D0000}"/>
    <cellStyle name="40% - Accent4 3 4 4 2 3" xfId="28558" xr:uid="{00000000-0005-0000-0000-0000BF4D0000}"/>
    <cellStyle name="40% - Accent4 3 4 4 3" xfId="13198" xr:uid="{00000000-0005-0000-0000-0000C04D0000}"/>
    <cellStyle name="40% - Accent4 3 4 4 3 2" xfId="33678" xr:uid="{00000000-0005-0000-0000-0000C14D0000}"/>
    <cellStyle name="40% - Accent4 3 4 4 4" xfId="23438" xr:uid="{00000000-0005-0000-0000-0000C24D0000}"/>
    <cellStyle name="40% - Accent4 3 4 5" xfId="5518" xr:uid="{00000000-0005-0000-0000-0000C34D0000}"/>
    <cellStyle name="40% - Accent4 3 4 5 2" xfId="15758" xr:uid="{00000000-0005-0000-0000-0000C44D0000}"/>
    <cellStyle name="40% - Accent4 3 4 5 2 2" xfId="36238" xr:uid="{00000000-0005-0000-0000-0000C54D0000}"/>
    <cellStyle name="40% - Accent4 3 4 5 3" xfId="25998" xr:uid="{00000000-0005-0000-0000-0000C64D0000}"/>
    <cellStyle name="40% - Accent4 3 4 6" xfId="10638" xr:uid="{00000000-0005-0000-0000-0000C74D0000}"/>
    <cellStyle name="40% - Accent4 3 4 6 2" xfId="31118" xr:uid="{00000000-0005-0000-0000-0000C84D0000}"/>
    <cellStyle name="40% - Accent4 3 4 7" xfId="20878" xr:uid="{00000000-0005-0000-0000-0000C94D0000}"/>
    <cellStyle name="40% - Accent4 3 5" xfId="718" xr:uid="{00000000-0005-0000-0000-0000CA4D0000}"/>
    <cellStyle name="40% - Accent4 3 5 2" xfId="1998" xr:uid="{00000000-0005-0000-0000-0000CB4D0000}"/>
    <cellStyle name="40% - Accent4 3 5 2 2" xfId="4558" xr:uid="{00000000-0005-0000-0000-0000CC4D0000}"/>
    <cellStyle name="40% - Accent4 3 5 2 2 2" xfId="9678" xr:uid="{00000000-0005-0000-0000-0000CD4D0000}"/>
    <cellStyle name="40% - Accent4 3 5 2 2 2 2" xfId="19918" xr:uid="{00000000-0005-0000-0000-0000CE4D0000}"/>
    <cellStyle name="40% - Accent4 3 5 2 2 2 2 2" xfId="40398" xr:uid="{00000000-0005-0000-0000-0000CF4D0000}"/>
    <cellStyle name="40% - Accent4 3 5 2 2 2 3" xfId="30158" xr:uid="{00000000-0005-0000-0000-0000D04D0000}"/>
    <cellStyle name="40% - Accent4 3 5 2 2 3" xfId="14798" xr:uid="{00000000-0005-0000-0000-0000D14D0000}"/>
    <cellStyle name="40% - Accent4 3 5 2 2 3 2" xfId="35278" xr:uid="{00000000-0005-0000-0000-0000D24D0000}"/>
    <cellStyle name="40% - Accent4 3 5 2 2 4" xfId="25038" xr:uid="{00000000-0005-0000-0000-0000D34D0000}"/>
    <cellStyle name="40% - Accent4 3 5 2 3" xfId="7118" xr:uid="{00000000-0005-0000-0000-0000D44D0000}"/>
    <cellStyle name="40% - Accent4 3 5 2 3 2" xfId="17358" xr:uid="{00000000-0005-0000-0000-0000D54D0000}"/>
    <cellStyle name="40% - Accent4 3 5 2 3 2 2" xfId="37838" xr:uid="{00000000-0005-0000-0000-0000D64D0000}"/>
    <cellStyle name="40% - Accent4 3 5 2 3 3" xfId="27598" xr:uid="{00000000-0005-0000-0000-0000D74D0000}"/>
    <cellStyle name="40% - Accent4 3 5 2 4" xfId="12238" xr:uid="{00000000-0005-0000-0000-0000D84D0000}"/>
    <cellStyle name="40% - Accent4 3 5 2 4 2" xfId="32718" xr:uid="{00000000-0005-0000-0000-0000D94D0000}"/>
    <cellStyle name="40% - Accent4 3 5 2 5" xfId="22478" xr:uid="{00000000-0005-0000-0000-0000DA4D0000}"/>
    <cellStyle name="40% - Accent4 3 5 3" xfId="3278" xr:uid="{00000000-0005-0000-0000-0000DB4D0000}"/>
    <cellStyle name="40% - Accent4 3 5 3 2" xfId="8398" xr:uid="{00000000-0005-0000-0000-0000DC4D0000}"/>
    <cellStyle name="40% - Accent4 3 5 3 2 2" xfId="18638" xr:uid="{00000000-0005-0000-0000-0000DD4D0000}"/>
    <cellStyle name="40% - Accent4 3 5 3 2 2 2" xfId="39118" xr:uid="{00000000-0005-0000-0000-0000DE4D0000}"/>
    <cellStyle name="40% - Accent4 3 5 3 2 3" xfId="28878" xr:uid="{00000000-0005-0000-0000-0000DF4D0000}"/>
    <cellStyle name="40% - Accent4 3 5 3 3" xfId="13518" xr:uid="{00000000-0005-0000-0000-0000E04D0000}"/>
    <cellStyle name="40% - Accent4 3 5 3 3 2" xfId="33998" xr:uid="{00000000-0005-0000-0000-0000E14D0000}"/>
    <cellStyle name="40% - Accent4 3 5 3 4" xfId="23758" xr:uid="{00000000-0005-0000-0000-0000E24D0000}"/>
    <cellStyle name="40% - Accent4 3 5 4" xfId="5838" xr:uid="{00000000-0005-0000-0000-0000E34D0000}"/>
    <cellStyle name="40% - Accent4 3 5 4 2" xfId="16078" xr:uid="{00000000-0005-0000-0000-0000E44D0000}"/>
    <cellStyle name="40% - Accent4 3 5 4 2 2" xfId="36558" xr:uid="{00000000-0005-0000-0000-0000E54D0000}"/>
    <cellStyle name="40% - Accent4 3 5 4 3" xfId="26318" xr:uid="{00000000-0005-0000-0000-0000E64D0000}"/>
    <cellStyle name="40% - Accent4 3 5 5" xfId="10958" xr:uid="{00000000-0005-0000-0000-0000E74D0000}"/>
    <cellStyle name="40% - Accent4 3 5 5 2" xfId="31438" xr:uid="{00000000-0005-0000-0000-0000E84D0000}"/>
    <cellStyle name="40% - Accent4 3 5 6" xfId="21198" xr:uid="{00000000-0005-0000-0000-0000E94D0000}"/>
    <cellStyle name="40% - Accent4 3 6" xfId="1358" xr:uid="{00000000-0005-0000-0000-0000EA4D0000}"/>
    <cellStyle name="40% - Accent4 3 6 2" xfId="3918" xr:uid="{00000000-0005-0000-0000-0000EB4D0000}"/>
    <cellStyle name="40% - Accent4 3 6 2 2" xfId="9038" xr:uid="{00000000-0005-0000-0000-0000EC4D0000}"/>
    <cellStyle name="40% - Accent4 3 6 2 2 2" xfId="19278" xr:uid="{00000000-0005-0000-0000-0000ED4D0000}"/>
    <cellStyle name="40% - Accent4 3 6 2 2 2 2" xfId="39758" xr:uid="{00000000-0005-0000-0000-0000EE4D0000}"/>
    <cellStyle name="40% - Accent4 3 6 2 2 3" xfId="29518" xr:uid="{00000000-0005-0000-0000-0000EF4D0000}"/>
    <cellStyle name="40% - Accent4 3 6 2 3" xfId="14158" xr:uid="{00000000-0005-0000-0000-0000F04D0000}"/>
    <cellStyle name="40% - Accent4 3 6 2 3 2" xfId="34638" xr:uid="{00000000-0005-0000-0000-0000F14D0000}"/>
    <cellStyle name="40% - Accent4 3 6 2 4" xfId="24398" xr:uid="{00000000-0005-0000-0000-0000F24D0000}"/>
    <cellStyle name="40% - Accent4 3 6 3" xfId="6478" xr:uid="{00000000-0005-0000-0000-0000F34D0000}"/>
    <cellStyle name="40% - Accent4 3 6 3 2" xfId="16718" xr:uid="{00000000-0005-0000-0000-0000F44D0000}"/>
    <cellStyle name="40% - Accent4 3 6 3 2 2" xfId="37198" xr:uid="{00000000-0005-0000-0000-0000F54D0000}"/>
    <cellStyle name="40% - Accent4 3 6 3 3" xfId="26958" xr:uid="{00000000-0005-0000-0000-0000F64D0000}"/>
    <cellStyle name="40% - Accent4 3 6 4" xfId="11598" xr:uid="{00000000-0005-0000-0000-0000F74D0000}"/>
    <cellStyle name="40% - Accent4 3 6 4 2" xfId="32078" xr:uid="{00000000-0005-0000-0000-0000F84D0000}"/>
    <cellStyle name="40% - Accent4 3 6 5" xfId="21838" xr:uid="{00000000-0005-0000-0000-0000F94D0000}"/>
    <cellStyle name="40% - Accent4 3 7" xfId="2638" xr:uid="{00000000-0005-0000-0000-0000FA4D0000}"/>
    <cellStyle name="40% - Accent4 3 7 2" xfId="7758" xr:uid="{00000000-0005-0000-0000-0000FB4D0000}"/>
    <cellStyle name="40% - Accent4 3 7 2 2" xfId="17998" xr:uid="{00000000-0005-0000-0000-0000FC4D0000}"/>
    <cellStyle name="40% - Accent4 3 7 2 2 2" xfId="38478" xr:uid="{00000000-0005-0000-0000-0000FD4D0000}"/>
    <cellStyle name="40% - Accent4 3 7 2 3" xfId="28238" xr:uid="{00000000-0005-0000-0000-0000FE4D0000}"/>
    <cellStyle name="40% - Accent4 3 7 3" xfId="12878" xr:uid="{00000000-0005-0000-0000-0000FF4D0000}"/>
    <cellStyle name="40% - Accent4 3 7 3 2" xfId="33358" xr:uid="{00000000-0005-0000-0000-0000004E0000}"/>
    <cellStyle name="40% - Accent4 3 7 4" xfId="23118" xr:uid="{00000000-0005-0000-0000-0000014E0000}"/>
    <cellStyle name="40% - Accent4 3 8" xfId="5198" xr:uid="{00000000-0005-0000-0000-0000024E0000}"/>
    <cellStyle name="40% - Accent4 3 8 2" xfId="15438" xr:uid="{00000000-0005-0000-0000-0000034E0000}"/>
    <cellStyle name="40% - Accent4 3 8 2 2" xfId="35918" xr:uid="{00000000-0005-0000-0000-0000044E0000}"/>
    <cellStyle name="40% - Accent4 3 8 3" xfId="25678" xr:uid="{00000000-0005-0000-0000-0000054E0000}"/>
    <cellStyle name="40% - Accent4 3 9" xfId="10318" xr:uid="{00000000-0005-0000-0000-0000064E0000}"/>
    <cellStyle name="40% - Accent4 3 9 2" xfId="30798" xr:uid="{00000000-0005-0000-0000-0000074E0000}"/>
    <cellStyle name="40% - Accent4 4" xfId="118" xr:uid="{00000000-0005-0000-0000-0000084E0000}"/>
    <cellStyle name="40% - Accent4 4 2" xfId="278" xr:uid="{00000000-0005-0000-0000-0000094E0000}"/>
    <cellStyle name="40% - Accent4 4 2 2" xfId="598" xr:uid="{00000000-0005-0000-0000-00000A4E0000}"/>
    <cellStyle name="40% - Accent4 4 2 2 2" xfId="1238" xr:uid="{00000000-0005-0000-0000-00000B4E0000}"/>
    <cellStyle name="40% - Accent4 4 2 2 2 2" xfId="2518" xr:uid="{00000000-0005-0000-0000-00000C4E0000}"/>
    <cellStyle name="40% - Accent4 4 2 2 2 2 2" xfId="5078" xr:uid="{00000000-0005-0000-0000-00000D4E0000}"/>
    <cellStyle name="40% - Accent4 4 2 2 2 2 2 2" xfId="10198" xr:uid="{00000000-0005-0000-0000-00000E4E0000}"/>
    <cellStyle name="40% - Accent4 4 2 2 2 2 2 2 2" xfId="20438" xr:uid="{00000000-0005-0000-0000-00000F4E0000}"/>
    <cellStyle name="40% - Accent4 4 2 2 2 2 2 2 2 2" xfId="40918" xr:uid="{00000000-0005-0000-0000-0000104E0000}"/>
    <cellStyle name="40% - Accent4 4 2 2 2 2 2 2 3" xfId="30678" xr:uid="{00000000-0005-0000-0000-0000114E0000}"/>
    <cellStyle name="40% - Accent4 4 2 2 2 2 2 3" xfId="15318" xr:uid="{00000000-0005-0000-0000-0000124E0000}"/>
    <cellStyle name="40% - Accent4 4 2 2 2 2 2 3 2" xfId="35798" xr:uid="{00000000-0005-0000-0000-0000134E0000}"/>
    <cellStyle name="40% - Accent4 4 2 2 2 2 2 4" xfId="25558" xr:uid="{00000000-0005-0000-0000-0000144E0000}"/>
    <cellStyle name="40% - Accent4 4 2 2 2 2 3" xfId="7638" xr:uid="{00000000-0005-0000-0000-0000154E0000}"/>
    <cellStyle name="40% - Accent4 4 2 2 2 2 3 2" xfId="17878" xr:uid="{00000000-0005-0000-0000-0000164E0000}"/>
    <cellStyle name="40% - Accent4 4 2 2 2 2 3 2 2" xfId="38358" xr:uid="{00000000-0005-0000-0000-0000174E0000}"/>
    <cellStyle name="40% - Accent4 4 2 2 2 2 3 3" xfId="28118" xr:uid="{00000000-0005-0000-0000-0000184E0000}"/>
    <cellStyle name="40% - Accent4 4 2 2 2 2 4" xfId="12758" xr:uid="{00000000-0005-0000-0000-0000194E0000}"/>
    <cellStyle name="40% - Accent4 4 2 2 2 2 4 2" xfId="33238" xr:uid="{00000000-0005-0000-0000-00001A4E0000}"/>
    <cellStyle name="40% - Accent4 4 2 2 2 2 5" xfId="22998" xr:uid="{00000000-0005-0000-0000-00001B4E0000}"/>
    <cellStyle name="40% - Accent4 4 2 2 2 3" xfId="3798" xr:uid="{00000000-0005-0000-0000-00001C4E0000}"/>
    <cellStyle name="40% - Accent4 4 2 2 2 3 2" xfId="8918" xr:uid="{00000000-0005-0000-0000-00001D4E0000}"/>
    <cellStyle name="40% - Accent4 4 2 2 2 3 2 2" xfId="19158" xr:uid="{00000000-0005-0000-0000-00001E4E0000}"/>
    <cellStyle name="40% - Accent4 4 2 2 2 3 2 2 2" xfId="39638" xr:uid="{00000000-0005-0000-0000-00001F4E0000}"/>
    <cellStyle name="40% - Accent4 4 2 2 2 3 2 3" xfId="29398" xr:uid="{00000000-0005-0000-0000-0000204E0000}"/>
    <cellStyle name="40% - Accent4 4 2 2 2 3 3" xfId="14038" xr:uid="{00000000-0005-0000-0000-0000214E0000}"/>
    <cellStyle name="40% - Accent4 4 2 2 2 3 3 2" xfId="34518" xr:uid="{00000000-0005-0000-0000-0000224E0000}"/>
    <cellStyle name="40% - Accent4 4 2 2 2 3 4" xfId="24278" xr:uid="{00000000-0005-0000-0000-0000234E0000}"/>
    <cellStyle name="40% - Accent4 4 2 2 2 4" xfId="6358" xr:uid="{00000000-0005-0000-0000-0000244E0000}"/>
    <cellStyle name="40% - Accent4 4 2 2 2 4 2" xfId="16598" xr:uid="{00000000-0005-0000-0000-0000254E0000}"/>
    <cellStyle name="40% - Accent4 4 2 2 2 4 2 2" xfId="37078" xr:uid="{00000000-0005-0000-0000-0000264E0000}"/>
    <cellStyle name="40% - Accent4 4 2 2 2 4 3" xfId="26838" xr:uid="{00000000-0005-0000-0000-0000274E0000}"/>
    <cellStyle name="40% - Accent4 4 2 2 2 5" xfId="11478" xr:uid="{00000000-0005-0000-0000-0000284E0000}"/>
    <cellStyle name="40% - Accent4 4 2 2 2 5 2" xfId="31958" xr:uid="{00000000-0005-0000-0000-0000294E0000}"/>
    <cellStyle name="40% - Accent4 4 2 2 2 6" xfId="21718" xr:uid="{00000000-0005-0000-0000-00002A4E0000}"/>
    <cellStyle name="40% - Accent4 4 2 2 3" xfId="1878" xr:uid="{00000000-0005-0000-0000-00002B4E0000}"/>
    <cellStyle name="40% - Accent4 4 2 2 3 2" xfId="4438" xr:uid="{00000000-0005-0000-0000-00002C4E0000}"/>
    <cellStyle name="40% - Accent4 4 2 2 3 2 2" xfId="9558" xr:uid="{00000000-0005-0000-0000-00002D4E0000}"/>
    <cellStyle name="40% - Accent4 4 2 2 3 2 2 2" xfId="19798" xr:uid="{00000000-0005-0000-0000-00002E4E0000}"/>
    <cellStyle name="40% - Accent4 4 2 2 3 2 2 2 2" xfId="40278" xr:uid="{00000000-0005-0000-0000-00002F4E0000}"/>
    <cellStyle name="40% - Accent4 4 2 2 3 2 2 3" xfId="30038" xr:uid="{00000000-0005-0000-0000-0000304E0000}"/>
    <cellStyle name="40% - Accent4 4 2 2 3 2 3" xfId="14678" xr:uid="{00000000-0005-0000-0000-0000314E0000}"/>
    <cellStyle name="40% - Accent4 4 2 2 3 2 3 2" xfId="35158" xr:uid="{00000000-0005-0000-0000-0000324E0000}"/>
    <cellStyle name="40% - Accent4 4 2 2 3 2 4" xfId="24918" xr:uid="{00000000-0005-0000-0000-0000334E0000}"/>
    <cellStyle name="40% - Accent4 4 2 2 3 3" xfId="6998" xr:uid="{00000000-0005-0000-0000-0000344E0000}"/>
    <cellStyle name="40% - Accent4 4 2 2 3 3 2" xfId="17238" xr:uid="{00000000-0005-0000-0000-0000354E0000}"/>
    <cellStyle name="40% - Accent4 4 2 2 3 3 2 2" xfId="37718" xr:uid="{00000000-0005-0000-0000-0000364E0000}"/>
    <cellStyle name="40% - Accent4 4 2 2 3 3 3" xfId="27478" xr:uid="{00000000-0005-0000-0000-0000374E0000}"/>
    <cellStyle name="40% - Accent4 4 2 2 3 4" xfId="12118" xr:uid="{00000000-0005-0000-0000-0000384E0000}"/>
    <cellStyle name="40% - Accent4 4 2 2 3 4 2" xfId="32598" xr:uid="{00000000-0005-0000-0000-0000394E0000}"/>
    <cellStyle name="40% - Accent4 4 2 2 3 5" xfId="22358" xr:uid="{00000000-0005-0000-0000-00003A4E0000}"/>
    <cellStyle name="40% - Accent4 4 2 2 4" xfId="3158" xr:uid="{00000000-0005-0000-0000-00003B4E0000}"/>
    <cellStyle name="40% - Accent4 4 2 2 4 2" xfId="8278" xr:uid="{00000000-0005-0000-0000-00003C4E0000}"/>
    <cellStyle name="40% - Accent4 4 2 2 4 2 2" xfId="18518" xr:uid="{00000000-0005-0000-0000-00003D4E0000}"/>
    <cellStyle name="40% - Accent4 4 2 2 4 2 2 2" xfId="38998" xr:uid="{00000000-0005-0000-0000-00003E4E0000}"/>
    <cellStyle name="40% - Accent4 4 2 2 4 2 3" xfId="28758" xr:uid="{00000000-0005-0000-0000-00003F4E0000}"/>
    <cellStyle name="40% - Accent4 4 2 2 4 3" xfId="13398" xr:uid="{00000000-0005-0000-0000-0000404E0000}"/>
    <cellStyle name="40% - Accent4 4 2 2 4 3 2" xfId="33878" xr:uid="{00000000-0005-0000-0000-0000414E0000}"/>
    <cellStyle name="40% - Accent4 4 2 2 4 4" xfId="23638" xr:uid="{00000000-0005-0000-0000-0000424E0000}"/>
    <cellStyle name="40% - Accent4 4 2 2 5" xfId="5718" xr:uid="{00000000-0005-0000-0000-0000434E0000}"/>
    <cellStyle name="40% - Accent4 4 2 2 5 2" xfId="15958" xr:uid="{00000000-0005-0000-0000-0000444E0000}"/>
    <cellStyle name="40% - Accent4 4 2 2 5 2 2" xfId="36438" xr:uid="{00000000-0005-0000-0000-0000454E0000}"/>
    <cellStyle name="40% - Accent4 4 2 2 5 3" xfId="26198" xr:uid="{00000000-0005-0000-0000-0000464E0000}"/>
    <cellStyle name="40% - Accent4 4 2 2 6" xfId="10838" xr:uid="{00000000-0005-0000-0000-0000474E0000}"/>
    <cellStyle name="40% - Accent4 4 2 2 6 2" xfId="31318" xr:uid="{00000000-0005-0000-0000-0000484E0000}"/>
    <cellStyle name="40% - Accent4 4 2 2 7" xfId="21078" xr:uid="{00000000-0005-0000-0000-0000494E0000}"/>
    <cellStyle name="40% - Accent4 4 2 3" xfId="918" xr:uid="{00000000-0005-0000-0000-00004A4E0000}"/>
    <cellStyle name="40% - Accent4 4 2 3 2" xfId="2198" xr:uid="{00000000-0005-0000-0000-00004B4E0000}"/>
    <cellStyle name="40% - Accent4 4 2 3 2 2" xfId="4758" xr:uid="{00000000-0005-0000-0000-00004C4E0000}"/>
    <cellStyle name="40% - Accent4 4 2 3 2 2 2" xfId="9878" xr:uid="{00000000-0005-0000-0000-00004D4E0000}"/>
    <cellStyle name="40% - Accent4 4 2 3 2 2 2 2" xfId="20118" xr:uid="{00000000-0005-0000-0000-00004E4E0000}"/>
    <cellStyle name="40% - Accent4 4 2 3 2 2 2 2 2" xfId="40598" xr:uid="{00000000-0005-0000-0000-00004F4E0000}"/>
    <cellStyle name="40% - Accent4 4 2 3 2 2 2 3" xfId="30358" xr:uid="{00000000-0005-0000-0000-0000504E0000}"/>
    <cellStyle name="40% - Accent4 4 2 3 2 2 3" xfId="14998" xr:uid="{00000000-0005-0000-0000-0000514E0000}"/>
    <cellStyle name="40% - Accent4 4 2 3 2 2 3 2" xfId="35478" xr:uid="{00000000-0005-0000-0000-0000524E0000}"/>
    <cellStyle name="40% - Accent4 4 2 3 2 2 4" xfId="25238" xr:uid="{00000000-0005-0000-0000-0000534E0000}"/>
    <cellStyle name="40% - Accent4 4 2 3 2 3" xfId="7318" xr:uid="{00000000-0005-0000-0000-0000544E0000}"/>
    <cellStyle name="40% - Accent4 4 2 3 2 3 2" xfId="17558" xr:uid="{00000000-0005-0000-0000-0000554E0000}"/>
    <cellStyle name="40% - Accent4 4 2 3 2 3 2 2" xfId="38038" xr:uid="{00000000-0005-0000-0000-0000564E0000}"/>
    <cellStyle name="40% - Accent4 4 2 3 2 3 3" xfId="27798" xr:uid="{00000000-0005-0000-0000-0000574E0000}"/>
    <cellStyle name="40% - Accent4 4 2 3 2 4" xfId="12438" xr:uid="{00000000-0005-0000-0000-0000584E0000}"/>
    <cellStyle name="40% - Accent4 4 2 3 2 4 2" xfId="32918" xr:uid="{00000000-0005-0000-0000-0000594E0000}"/>
    <cellStyle name="40% - Accent4 4 2 3 2 5" xfId="22678" xr:uid="{00000000-0005-0000-0000-00005A4E0000}"/>
    <cellStyle name="40% - Accent4 4 2 3 3" xfId="3478" xr:uid="{00000000-0005-0000-0000-00005B4E0000}"/>
    <cellStyle name="40% - Accent4 4 2 3 3 2" xfId="8598" xr:uid="{00000000-0005-0000-0000-00005C4E0000}"/>
    <cellStyle name="40% - Accent4 4 2 3 3 2 2" xfId="18838" xr:uid="{00000000-0005-0000-0000-00005D4E0000}"/>
    <cellStyle name="40% - Accent4 4 2 3 3 2 2 2" xfId="39318" xr:uid="{00000000-0005-0000-0000-00005E4E0000}"/>
    <cellStyle name="40% - Accent4 4 2 3 3 2 3" xfId="29078" xr:uid="{00000000-0005-0000-0000-00005F4E0000}"/>
    <cellStyle name="40% - Accent4 4 2 3 3 3" xfId="13718" xr:uid="{00000000-0005-0000-0000-0000604E0000}"/>
    <cellStyle name="40% - Accent4 4 2 3 3 3 2" xfId="34198" xr:uid="{00000000-0005-0000-0000-0000614E0000}"/>
    <cellStyle name="40% - Accent4 4 2 3 3 4" xfId="23958" xr:uid="{00000000-0005-0000-0000-0000624E0000}"/>
    <cellStyle name="40% - Accent4 4 2 3 4" xfId="6038" xr:uid="{00000000-0005-0000-0000-0000634E0000}"/>
    <cellStyle name="40% - Accent4 4 2 3 4 2" xfId="16278" xr:uid="{00000000-0005-0000-0000-0000644E0000}"/>
    <cellStyle name="40% - Accent4 4 2 3 4 2 2" xfId="36758" xr:uid="{00000000-0005-0000-0000-0000654E0000}"/>
    <cellStyle name="40% - Accent4 4 2 3 4 3" xfId="26518" xr:uid="{00000000-0005-0000-0000-0000664E0000}"/>
    <cellStyle name="40% - Accent4 4 2 3 5" xfId="11158" xr:uid="{00000000-0005-0000-0000-0000674E0000}"/>
    <cellStyle name="40% - Accent4 4 2 3 5 2" xfId="31638" xr:uid="{00000000-0005-0000-0000-0000684E0000}"/>
    <cellStyle name="40% - Accent4 4 2 3 6" xfId="21398" xr:uid="{00000000-0005-0000-0000-0000694E0000}"/>
    <cellStyle name="40% - Accent4 4 2 4" xfId="1558" xr:uid="{00000000-0005-0000-0000-00006A4E0000}"/>
    <cellStyle name="40% - Accent4 4 2 4 2" xfId="4118" xr:uid="{00000000-0005-0000-0000-00006B4E0000}"/>
    <cellStyle name="40% - Accent4 4 2 4 2 2" xfId="9238" xr:uid="{00000000-0005-0000-0000-00006C4E0000}"/>
    <cellStyle name="40% - Accent4 4 2 4 2 2 2" xfId="19478" xr:uid="{00000000-0005-0000-0000-00006D4E0000}"/>
    <cellStyle name="40% - Accent4 4 2 4 2 2 2 2" xfId="39958" xr:uid="{00000000-0005-0000-0000-00006E4E0000}"/>
    <cellStyle name="40% - Accent4 4 2 4 2 2 3" xfId="29718" xr:uid="{00000000-0005-0000-0000-00006F4E0000}"/>
    <cellStyle name="40% - Accent4 4 2 4 2 3" xfId="14358" xr:uid="{00000000-0005-0000-0000-0000704E0000}"/>
    <cellStyle name="40% - Accent4 4 2 4 2 3 2" xfId="34838" xr:uid="{00000000-0005-0000-0000-0000714E0000}"/>
    <cellStyle name="40% - Accent4 4 2 4 2 4" xfId="24598" xr:uid="{00000000-0005-0000-0000-0000724E0000}"/>
    <cellStyle name="40% - Accent4 4 2 4 3" xfId="6678" xr:uid="{00000000-0005-0000-0000-0000734E0000}"/>
    <cellStyle name="40% - Accent4 4 2 4 3 2" xfId="16918" xr:uid="{00000000-0005-0000-0000-0000744E0000}"/>
    <cellStyle name="40% - Accent4 4 2 4 3 2 2" xfId="37398" xr:uid="{00000000-0005-0000-0000-0000754E0000}"/>
    <cellStyle name="40% - Accent4 4 2 4 3 3" xfId="27158" xr:uid="{00000000-0005-0000-0000-0000764E0000}"/>
    <cellStyle name="40% - Accent4 4 2 4 4" xfId="11798" xr:uid="{00000000-0005-0000-0000-0000774E0000}"/>
    <cellStyle name="40% - Accent4 4 2 4 4 2" xfId="32278" xr:uid="{00000000-0005-0000-0000-0000784E0000}"/>
    <cellStyle name="40% - Accent4 4 2 4 5" xfId="22038" xr:uid="{00000000-0005-0000-0000-0000794E0000}"/>
    <cellStyle name="40% - Accent4 4 2 5" xfId="2838" xr:uid="{00000000-0005-0000-0000-00007A4E0000}"/>
    <cellStyle name="40% - Accent4 4 2 5 2" xfId="7958" xr:uid="{00000000-0005-0000-0000-00007B4E0000}"/>
    <cellStyle name="40% - Accent4 4 2 5 2 2" xfId="18198" xr:uid="{00000000-0005-0000-0000-00007C4E0000}"/>
    <cellStyle name="40% - Accent4 4 2 5 2 2 2" xfId="38678" xr:uid="{00000000-0005-0000-0000-00007D4E0000}"/>
    <cellStyle name="40% - Accent4 4 2 5 2 3" xfId="28438" xr:uid="{00000000-0005-0000-0000-00007E4E0000}"/>
    <cellStyle name="40% - Accent4 4 2 5 3" xfId="13078" xr:uid="{00000000-0005-0000-0000-00007F4E0000}"/>
    <cellStyle name="40% - Accent4 4 2 5 3 2" xfId="33558" xr:uid="{00000000-0005-0000-0000-0000804E0000}"/>
    <cellStyle name="40% - Accent4 4 2 5 4" xfId="23318" xr:uid="{00000000-0005-0000-0000-0000814E0000}"/>
    <cellStyle name="40% - Accent4 4 2 6" xfId="5398" xr:uid="{00000000-0005-0000-0000-0000824E0000}"/>
    <cellStyle name="40% - Accent4 4 2 6 2" xfId="15638" xr:uid="{00000000-0005-0000-0000-0000834E0000}"/>
    <cellStyle name="40% - Accent4 4 2 6 2 2" xfId="36118" xr:uid="{00000000-0005-0000-0000-0000844E0000}"/>
    <cellStyle name="40% - Accent4 4 2 6 3" xfId="25878" xr:uid="{00000000-0005-0000-0000-0000854E0000}"/>
    <cellStyle name="40% - Accent4 4 2 7" xfId="10518" xr:uid="{00000000-0005-0000-0000-0000864E0000}"/>
    <cellStyle name="40% - Accent4 4 2 7 2" xfId="30998" xr:uid="{00000000-0005-0000-0000-0000874E0000}"/>
    <cellStyle name="40% - Accent4 4 2 8" xfId="20758" xr:uid="{00000000-0005-0000-0000-0000884E0000}"/>
    <cellStyle name="40% - Accent4 4 3" xfId="438" xr:uid="{00000000-0005-0000-0000-0000894E0000}"/>
    <cellStyle name="40% - Accent4 4 3 2" xfId="1078" xr:uid="{00000000-0005-0000-0000-00008A4E0000}"/>
    <cellStyle name="40% - Accent4 4 3 2 2" xfId="2358" xr:uid="{00000000-0005-0000-0000-00008B4E0000}"/>
    <cellStyle name="40% - Accent4 4 3 2 2 2" xfId="4918" xr:uid="{00000000-0005-0000-0000-00008C4E0000}"/>
    <cellStyle name="40% - Accent4 4 3 2 2 2 2" xfId="10038" xr:uid="{00000000-0005-0000-0000-00008D4E0000}"/>
    <cellStyle name="40% - Accent4 4 3 2 2 2 2 2" xfId="20278" xr:uid="{00000000-0005-0000-0000-00008E4E0000}"/>
    <cellStyle name="40% - Accent4 4 3 2 2 2 2 2 2" xfId="40758" xr:uid="{00000000-0005-0000-0000-00008F4E0000}"/>
    <cellStyle name="40% - Accent4 4 3 2 2 2 2 3" xfId="30518" xr:uid="{00000000-0005-0000-0000-0000904E0000}"/>
    <cellStyle name="40% - Accent4 4 3 2 2 2 3" xfId="15158" xr:uid="{00000000-0005-0000-0000-0000914E0000}"/>
    <cellStyle name="40% - Accent4 4 3 2 2 2 3 2" xfId="35638" xr:uid="{00000000-0005-0000-0000-0000924E0000}"/>
    <cellStyle name="40% - Accent4 4 3 2 2 2 4" xfId="25398" xr:uid="{00000000-0005-0000-0000-0000934E0000}"/>
    <cellStyle name="40% - Accent4 4 3 2 2 3" xfId="7478" xr:uid="{00000000-0005-0000-0000-0000944E0000}"/>
    <cellStyle name="40% - Accent4 4 3 2 2 3 2" xfId="17718" xr:uid="{00000000-0005-0000-0000-0000954E0000}"/>
    <cellStyle name="40% - Accent4 4 3 2 2 3 2 2" xfId="38198" xr:uid="{00000000-0005-0000-0000-0000964E0000}"/>
    <cellStyle name="40% - Accent4 4 3 2 2 3 3" xfId="27958" xr:uid="{00000000-0005-0000-0000-0000974E0000}"/>
    <cellStyle name="40% - Accent4 4 3 2 2 4" xfId="12598" xr:uid="{00000000-0005-0000-0000-0000984E0000}"/>
    <cellStyle name="40% - Accent4 4 3 2 2 4 2" xfId="33078" xr:uid="{00000000-0005-0000-0000-0000994E0000}"/>
    <cellStyle name="40% - Accent4 4 3 2 2 5" xfId="22838" xr:uid="{00000000-0005-0000-0000-00009A4E0000}"/>
    <cellStyle name="40% - Accent4 4 3 2 3" xfId="3638" xr:uid="{00000000-0005-0000-0000-00009B4E0000}"/>
    <cellStyle name="40% - Accent4 4 3 2 3 2" xfId="8758" xr:uid="{00000000-0005-0000-0000-00009C4E0000}"/>
    <cellStyle name="40% - Accent4 4 3 2 3 2 2" xfId="18998" xr:uid="{00000000-0005-0000-0000-00009D4E0000}"/>
    <cellStyle name="40% - Accent4 4 3 2 3 2 2 2" xfId="39478" xr:uid="{00000000-0005-0000-0000-00009E4E0000}"/>
    <cellStyle name="40% - Accent4 4 3 2 3 2 3" xfId="29238" xr:uid="{00000000-0005-0000-0000-00009F4E0000}"/>
    <cellStyle name="40% - Accent4 4 3 2 3 3" xfId="13878" xr:uid="{00000000-0005-0000-0000-0000A04E0000}"/>
    <cellStyle name="40% - Accent4 4 3 2 3 3 2" xfId="34358" xr:uid="{00000000-0005-0000-0000-0000A14E0000}"/>
    <cellStyle name="40% - Accent4 4 3 2 3 4" xfId="24118" xr:uid="{00000000-0005-0000-0000-0000A24E0000}"/>
    <cellStyle name="40% - Accent4 4 3 2 4" xfId="6198" xr:uid="{00000000-0005-0000-0000-0000A34E0000}"/>
    <cellStyle name="40% - Accent4 4 3 2 4 2" xfId="16438" xr:uid="{00000000-0005-0000-0000-0000A44E0000}"/>
    <cellStyle name="40% - Accent4 4 3 2 4 2 2" xfId="36918" xr:uid="{00000000-0005-0000-0000-0000A54E0000}"/>
    <cellStyle name="40% - Accent4 4 3 2 4 3" xfId="26678" xr:uid="{00000000-0005-0000-0000-0000A64E0000}"/>
    <cellStyle name="40% - Accent4 4 3 2 5" xfId="11318" xr:uid="{00000000-0005-0000-0000-0000A74E0000}"/>
    <cellStyle name="40% - Accent4 4 3 2 5 2" xfId="31798" xr:uid="{00000000-0005-0000-0000-0000A84E0000}"/>
    <cellStyle name="40% - Accent4 4 3 2 6" xfId="21558" xr:uid="{00000000-0005-0000-0000-0000A94E0000}"/>
    <cellStyle name="40% - Accent4 4 3 3" xfId="1718" xr:uid="{00000000-0005-0000-0000-0000AA4E0000}"/>
    <cellStyle name="40% - Accent4 4 3 3 2" xfId="4278" xr:uid="{00000000-0005-0000-0000-0000AB4E0000}"/>
    <cellStyle name="40% - Accent4 4 3 3 2 2" xfId="9398" xr:uid="{00000000-0005-0000-0000-0000AC4E0000}"/>
    <cellStyle name="40% - Accent4 4 3 3 2 2 2" xfId="19638" xr:uid="{00000000-0005-0000-0000-0000AD4E0000}"/>
    <cellStyle name="40% - Accent4 4 3 3 2 2 2 2" xfId="40118" xr:uid="{00000000-0005-0000-0000-0000AE4E0000}"/>
    <cellStyle name="40% - Accent4 4 3 3 2 2 3" xfId="29878" xr:uid="{00000000-0005-0000-0000-0000AF4E0000}"/>
    <cellStyle name="40% - Accent4 4 3 3 2 3" xfId="14518" xr:uid="{00000000-0005-0000-0000-0000B04E0000}"/>
    <cellStyle name="40% - Accent4 4 3 3 2 3 2" xfId="34998" xr:uid="{00000000-0005-0000-0000-0000B14E0000}"/>
    <cellStyle name="40% - Accent4 4 3 3 2 4" xfId="24758" xr:uid="{00000000-0005-0000-0000-0000B24E0000}"/>
    <cellStyle name="40% - Accent4 4 3 3 3" xfId="6838" xr:uid="{00000000-0005-0000-0000-0000B34E0000}"/>
    <cellStyle name="40% - Accent4 4 3 3 3 2" xfId="17078" xr:uid="{00000000-0005-0000-0000-0000B44E0000}"/>
    <cellStyle name="40% - Accent4 4 3 3 3 2 2" xfId="37558" xr:uid="{00000000-0005-0000-0000-0000B54E0000}"/>
    <cellStyle name="40% - Accent4 4 3 3 3 3" xfId="27318" xr:uid="{00000000-0005-0000-0000-0000B64E0000}"/>
    <cellStyle name="40% - Accent4 4 3 3 4" xfId="11958" xr:uid="{00000000-0005-0000-0000-0000B74E0000}"/>
    <cellStyle name="40% - Accent4 4 3 3 4 2" xfId="32438" xr:uid="{00000000-0005-0000-0000-0000B84E0000}"/>
    <cellStyle name="40% - Accent4 4 3 3 5" xfId="22198" xr:uid="{00000000-0005-0000-0000-0000B94E0000}"/>
    <cellStyle name="40% - Accent4 4 3 4" xfId="2998" xr:uid="{00000000-0005-0000-0000-0000BA4E0000}"/>
    <cellStyle name="40% - Accent4 4 3 4 2" xfId="8118" xr:uid="{00000000-0005-0000-0000-0000BB4E0000}"/>
    <cellStyle name="40% - Accent4 4 3 4 2 2" xfId="18358" xr:uid="{00000000-0005-0000-0000-0000BC4E0000}"/>
    <cellStyle name="40% - Accent4 4 3 4 2 2 2" xfId="38838" xr:uid="{00000000-0005-0000-0000-0000BD4E0000}"/>
    <cellStyle name="40% - Accent4 4 3 4 2 3" xfId="28598" xr:uid="{00000000-0005-0000-0000-0000BE4E0000}"/>
    <cellStyle name="40% - Accent4 4 3 4 3" xfId="13238" xr:uid="{00000000-0005-0000-0000-0000BF4E0000}"/>
    <cellStyle name="40% - Accent4 4 3 4 3 2" xfId="33718" xr:uid="{00000000-0005-0000-0000-0000C04E0000}"/>
    <cellStyle name="40% - Accent4 4 3 4 4" xfId="23478" xr:uid="{00000000-0005-0000-0000-0000C14E0000}"/>
    <cellStyle name="40% - Accent4 4 3 5" xfId="5558" xr:uid="{00000000-0005-0000-0000-0000C24E0000}"/>
    <cellStyle name="40% - Accent4 4 3 5 2" xfId="15798" xr:uid="{00000000-0005-0000-0000-0000C34E0000}"/>
    <cellStyle name="40% - Accent4 4 3 5 2 2" xfId="36278" xr:uid="{00000000-0005-0000-0000-0000C44E0000}"/>
    <cellStyle name="40% - Accent4 4 3 5 3" xfId="26038" xr:uid="{00000000-0005-0000-0000-0000C54E0000}"/>
    <cellStyle name="40% - Accent4 4 3 6" xfId="10678" xr:uid="{00000000-0005-0000-0000-0000C64E0000}"/>
    <cellStyle name="40% - Accent4 4 3 6 2" xfId="31158" xr:uid="{00000000-0005-0000-0000-0000C74E0000}"/>
    <cellStyle name="40% - Accent4 4 3 7" xfId="20918" xr:uid="{00000000-0005-0000-0000-0000C84E0000}"/>
    <cellStyle name="40% - Accent4 4 4" xfId="758" xr:uid="{00000000-0005-0000-0000-0000C94E0000}"/>
    <cellStyle name="40% - Accent4 4 4 2" xfId="2038" xr:uid="{00000000-0005-0000-0000-0000CA4E0000}"/>
    <cellStyle name="40% - Accent4 4 4 2 2" xfId="4598" xr:uid="{00000000-0005-0000-0000-0000CB4E0000}"/>
    <cellStyle name="40% - Accent4 4 4 2 2 2" xfId="9718" xr:uid="{00000000-0005-0000-0000-0000CC4E0000}"/>
    <cellStyle name="40% - Accent4 4 4 2 2 2 2" xfId="19958" xr:uid="{00000000-0005-0000-0000-0000CD4E0000}"/>
    <cellStyle name="40% - Accent4 4 4 2 2 2 2 2" xfId="40438" xr:uid="{00000000-0005-0000-0000-0000CE4E0000}"/>
    <cellStyle name="40% - Accent4 4 4 2 2 2 3" xfId="30198" xr:uid="{00000000-0005-0000-0000-0000CF4E0000}"/>
    <cellStyle name="40% - Accent4 4 4 2 2 3" xfId="14838" xr:uid="{00000000-0005-0000-0000-0000D04E0000}"/>
    <cellStyle name="40% - Accent4 4 4 2 2 3 2" xfId="35318" xr:uid="{00000000-0005-0000-0000-0000D14E0000}"/>
    <cellStyle name="40% - Accent4 4 4 2 2 4" xfId="25078" xr:uid="{00000000-0005-0000-0000-0000D24E0000}"/>
    <cellStyle name="40% - Accent4 4 4 2 3" xfId="7158" xr:uid="{00000000-0005-0000-0000-0000D34E0000}"/>
    <cellStyle name="40% - Accent4 4 4 2 3 2" xfId="17398" xr:uid="{00000000-0005-0000-0000-0000D44E0000}"/>
    <cellStyle name="40% - Accent4 4 4 2 3 2 2" xfId="37878" xr:uid="{00000000-0005-0000-0000-0000D54E0000}"/>
    <cellStyle name="40% - Accent4 4 4 2 3 3" xfId="27638" xr:uid="{00000000-0005-0000-0000-0000D64E0000}"/>
    <cellStyle name="40% - Accent4 4 4 2 4" xfId="12278" xr:uid="{00000000-0005-0000-0000-0000D74E0000}"/>
    <cellStyle name="40% - Accent4 4 4 2 4 2" xfId="32758" xr:uid="{00000000-0005-0000-0000-0000D84E0000}"/>
    <cellStyle name="40% - Accent4 4 4 2 5" xfId="22518" xr:uid="{00000000-0005-0000-0000-0000D94E0000}"/>
    <cellStyle name="40% - Accent4 4 4 3" xfId="3318" xr:uid="{00000000-0005-0000-0000-0000DA4E0000}"/>
    <cellStyle name="40% - Accent4 4 4 3 2" xfId="8438" xr:uid="{00000000-0005-0000-0000-0000DB4E0000}"/>
    <cellStyle name="40% - Accent4 4 4 3 2 2" xfId="18678" xr:uid="{00000000-0005-0000-0000-0000DC4E0000}"/>
    <cellStyle name="40% - Accent4 4 4 3 2 2 2" xfId="39158" xr:uid="{00000000-0005-0000-0000-0000DD4E0000}"/>
    <cellStyle name="40% - Accent4 4 4 3 2 3" xfId="28918" xr:uid="{00000000-0005-0000-0000-0000DE4E0000}"/>
    <cellStyle name="40% - Accent4 4 4 3 3" xfId="13558" xr:uid="{00000000-0005-0000-0000-0000DF4E0000}"/>
    <cellStyle name="40% - Accent4 4 4 3 3 2" xfId="34038" xr:uid="{00000000-0005-0000-0000-0000E04E0000}"/>
    <cellStyle name="40% - Accent4 4 4 3 4" xfId="23798" xr:uid="{00000000-0005-0000-0000-0000E14E0000}"/>
    <cellStyle name="40% - Accent4 4 4 4" xfId="5878" xr:uid="{00000000-0005-0000-0000-0000E24E0000}"/>
    <cellStyle name="40% - Accent4 4 4 4 2" xfId="16118" xr:uid="{00000000-0005-0000-0000-0000E34E0000}"/>
    <cellStyle name="40% - Accent4 4 4 4 2 2" xfId="36598" xr:uid="{00000000-0005-0000-0000-0000E44E0000}"/>
    <cellStyle name="40% - Accent4 4 4 4 3" xfId="26358" xr:uid="{00000000-0005-0000-0000-0000E54E0000}"/>
    <cellStyle name="40% - Accent4 4 4 5" xfId="10998" xr:uid="{00000000-0005-0000-0000-0000E64E0000}"/>
    <cellStyle name="40% - Accent4 4 4 5 2" xfId="31478" xr:uid="{00000000-0005-0000-0000-0000E74E0000}"/>
    <cellStyle name="40% - Accent4 4 4 6" xfId="21238" xr:uid="{00000000-0005-0000-0000-0000E84E0000}"/>
    <cellStyle name="40% - Accent4 4 5" xfId="1398" xr:uid="{00000000-0005-0000-0000-0000E94E0000}"/>
    <cellStyle name="40% - Accent4 4 5 2" xfId="3958" xr:uid="{00000000-0005-0000-0000-0000EA4E0000}"/>
    <cellStyle name="40% - Accent4 4 5 2 2" xfId="9078" xr:uid="{00000000-0005-0000-0000-0000EB4E0000}"/>
    <cellStyle name="40% - Accent4 4 5 2 2 2" xfId="19318" xr:uid="{00000000-0005-0000-0000-0000EC4E0000}"/>
    <cellStyle name="40% - Accent4 4 5 2 2 2 2" xfId="39798" xr:uid="{00000000-0005-0000-0000-0000ED4E0000}"/>
    <cellStyle name="40% - Accent4 4 5 2 2 3" xfId="29558" xr:uid="{00000000-0005-0000-0000-0000EE4E0000}"/>
    <cellStyle name="40% - Accent4 4 5 2 3" xfId="14198" xr:uid="{00000000-0005-0000-0000-0000EF4E0000}"/>
    <cellStyle name="40% - Accent4 4 5 2 3 2" xfId="34678" xr:uid="{00000000-0005-0000-0000-0000F04E0000}"/>
    <cellStyle name="40% - Accent4 4 5 2 4" xfId="24438" xr:uid="{00000000-0005-0000-0000-0000F14E0000}"/>
    <cellStyle name="40% - Accent4 4 5 3" xfId="6518" xr:uid="{00000000-0005-0000-0000-0000F24E0000}"/>
    <cellStyle name="40% - Accent4 4 5 3 2" xfId="16758" xr:uid="{00000000-0005-0000-0000-0000F34E0000}"/>
    <cellStyle name="40% - Accent4 4 5 3 2 2" xfId="37238" xr:uid="{00000000-0005-0000-0000-0000F44E0000}"/>
    <cellStyle name="40% - Accent4 4 5 3 3" xfId="26998" xr:uid="{00000000-0005-0000-0000-0000F54E0000}"/>
    <cellStyle name="40% - Accent4 4 5 4" xfId="11638" xr:uid="{00000000-0005-0000-0000-0000F64E0000}"/>
    <cellStyle name="40% - Accent4 4 5 4 2" xfId="32118" xr:uid="{00000000-0005-0000-0000-0000F74E0000}"/>
    <cellStyle name="40% - Accent4 4 5 5" xfId="21878" xr:uid="{00000000-0005-0000-0000-0000F84E0000}"/>
    <cellStyle name="40% - Accent4 4 6" xfId="2678" xr:uid="{00000000-0005-0000-0000-0000F94E0000}"/>
    <cellStyle name="40% - Accent4 4 6 2" xfId="7798" xr:uid="{00000000-0005-0000-0000-0000FA4E0000}"/>
    <cellStyle name="40% - Accent4 4 6 2 2" xfId="18038" xr:uid="{00000000-0005-0000-0000-0000FB4E0000}"/>
    <cellStyle name="40% - Accent4 4 6 2 2 2" xfId="38518" xr:uid="{00000000-0005-0000-0000-0000FC4E0000}"/>
    <cellStyle name="40% - Accent4 4 6 2 3" xfId="28278" xr:uid="{00000000-0005-0000-0000-0000FD4E0000}"/>
    <cellStyle name="40% - Accent4 4 6 3" xfId="12918" xr:uid="{00000000-0005-0000-0000-0000FE4E0000}"/>
    <cellStyle name="40% - Accent4 4 6 3 2" xfId="33398" xr:uid="{00000000-0005-0000-0000-0000FF4E0000}"/>
    <cellStyle name="40% - Accent4 4 6 4" xfId="23158" xr:uid="{00000000-0005-0000-0000-0000004F0000}"/>
    <cellStyle name="40% - Accent4 4 7" xfId="5238" xr:uid="{00000000-0005-0000-0000-0000014F0000}"/>
    <cellStyle name="40% - Accent4 4 7 2" xfId="15478" xr:uid="{00000000-0005-0000-0000-0000024F0000}"/>
    <cellStyle name="40% - Accent4 4 7 2 2" xfId="35958" xr:uid="{00000000-0005-0000-0000-0000034F0000}"/>
    <cellStyle name="40% - Accent4 4 7 3" xfId="25718" xr:uid="{00000000-0005-0000-0000-0000044F0000}"/>
    <cellStyle name="40% - Accent4 4 8" xfId="10358" xr:uid="{00000000-0005-0000-0000-0000054F0000}"/>
    <cellStyle name="40% - Accent4 4 8 2" xfId="30838" xr:uid="{00000000-0005-0000-0000-0000064F0000}"/>
    <cellStyle name="40% - Accent4 4 9" xfId="20598" xr:uid="{00000000-0005-0000-0000-0000074F0000}"/>
    <cellStyle name="40% - Accent4 5" xfId="198" xr:uid="{00000000-0005-0000-0000-0000084F0000}"/>
    <cellStyle name="40% - Accent4 5 2" xfId="518" xr:uid="{00000000-0005-0000-0000-0000094F0000}"/>
    <cellStyle name="40% - Accent4 5 2 2" xfId="1158" xr:uid="{00000000-0005-0000-0000-00000A4F0000}"/>
    <cellStyle name="40% - Accent4 5 2 2 2" xfId="2438" xr:uid="{00000000-0005-0000-0000-00000B4F0000}"/>
    <cellStyle name="40% - Accent4 5 2 2 2 2" xfId="4998" xr:uid="{00000000-0005-0000-0000-00000C4F0000}"/>
    <cellStyle name="40% - Accent4 5 2 2 2 2 2" xfId="10118" xr:uid="{00000000-0005-0000-0000-00000D4F0000}"/>
    <cellStyle name="40% - Accent4 5 2 2 2 2 2 2" xfId="20358" xr:uid="{00000000-0005-0000-0000-00000E4F0000}"/>
    <cellStyle name="40% - Accent4 5 2 2 2 2 2 2 2" xfId="40838" xr:uid="{00000000-0005-0000-0000-00000F4F0000}"/>
    <cellStyle name="40% - Accent4 5 2 2 2 2 2 3" xfId="30598" xr:uid="{00000000-0005-0000-0000-0000104F0000}"/>
    <cellStyle name="40% - Accent4 5 2 2 2 2 3" xfId="15238" xr:uid="{00000000-0005-0000-0000-0000114F0000}"/>
    <cellStyle name="40% - Accent4 5 2 2 2 2 3 2" xfId="35718" xr:uid="{00000000-0005-0000-0000-0000124F0000}"/>
    <cellStyle name="40% - Accent4 5 2 2 2 2 4" xfId="25478" xr:uid="{00000000-0005-0000-0000-0000134F0000}"/>
    <cellStyle name="40% - Accent4 5 2 2 2 3" xfId="7558" xr:uid="{00000000-0005-0000-0000-0000144F0000}"/>
    <cellStyle name="40% - Accent4 5 2 2 2 3 2" xfId="17798" xr:uid="{00000000-0005-0000-0000-0000154F0000}"/>
    <cellStyle name="40% - Accent4 5 2 2 2 3 2 2" xfId="38278" xr:uid="{00000000-0005-0000-0000-0000164F0000}"/>
    <cellStyle name="40% - Accent4 5 2 2 2 3 3" xfId="28038" xr:uid="{00000000-0005-0000-0000-0000174F0000}"/>
    <cellStyle name="40% - Accent4 5 2 2 2 4" xfId="12678" xr:uid="{00000000-0005-0000-0000-0000184F0000}"/>
    <cellStyle name="40% - Accent4 5 2 2 2 4 2" xfId="33158" xr:uid="{00000000-0005-0000-0000-0000194F0000}"/>
    <cellStyle name="40% - Accent4 5 2 2 2 5" xfId="22918" xr:uid="{00000000-0005-0000-0000-00001A4F0000}"/>
    <cellStyle name="40% - Accent4 5 2 2 3" xfId="3718" xr:uid="{00000000-0005-0000-0000-00001B4F0000}"/>
    <cellStyle name="40% - Accent4 5 2 2 3 2" xfId="8838" xr:uid="{00000000-0005-0000-0000-00001C4F0000}"/>
    <cellStyle name="40% - Accent4 5 2 2 3 2 2" xfId="19078" xr:uid="{00000000-0005-0000-0000-00001D4F0000}"/>
    <cellStyle name="40% - Accent4 5 2 2 3 2 2 2" xfId="39558" xr:uid="{00000000-0005-0000-0000-00001E4F0000}"/>
    <cellStyle name="40% - Accent4 5 2 2 3 2 3" xfId="29318" xr:uid="{00000000-0005-0000-0000-00001F4F0000}"/>
    <cellStyle name="40% - Accent4 5 2 2 3 3" xfId="13958" xr:uid="{00000000-0005-0000-0000-0000204F0000}"/>
    <cellStyle name="40% - Accent4 5 2 2 3 3 2" xfId="34438" xr:uid="{00000000-0005-0000-0000-0000214F0000}"/>
    <cellStyle name="40% - Accent4 5 2 2 3 4" xfId="24198" xr:uid="{00000000-0005-0000-0000-0000224F0000}"/>
    <cellStyle name="40% - Accent4 5 2 2 4" xfId="6278" xr:uid="{00000000-0005-0000-0000-0000234F0000}"/>
    <cellStyle name="40% - Accent4 5 2 2 4 2" xfId="16518" xr:uid="{00000000-0005-0000-0000-0000244F0000}"/>
    <cellStyle name="40% - Accent4 5 2 2 4 2 2" xfId="36998" xr:uid="{00000000-0005-0000-0000-0000254F0000}"/>
    <cellStyle name="40% - Accent4 5 2 2 4 3" xfId="26758" xr:uid="{00000000-0005-0000-0000-0000264F0000}"/>
    <cellStyle name="40% - Accent4 5 2 2 5" xfId="11398" xr:uid="{00000000-0005-0000-0000-0000274F0000}"/>
    <cellStyle name="40% - Accent4 5 2 2 5 2" xfId="31878" xr:uid="{00000000-0005-0000-0000-0000284F0000}"/>
    <cellStyle name="40% - Accent4 5 2 2 6" xfId="21638" xr:uid="{00000000-0005-0000-0000-0000294F0000}"/>
    <cellStyle name="40% - Accent4 5 2 3" xfId="1798" xr:uid="{00000000-0005-0000-0000-00002A4F0000}"/>
    <cellStyle name="40% - Accent4 5 2 3 2" xfId="4358" xr:uid="{00000000-0005-0000-0000-00002B4F0000}"/>
    <cellStyle name="40% - Accent4 5 2 3 2 2" xfId="9478" xr:uid="{00000000-0005-0000-0000-00002C4F0000}"/>
    <cellStyle name="40% - Accent4 5 2 3 2 2 2" xfId="19718" xr:uid="{00000000-0005-0000-0000-00002D4F0000}"/>
    <cellStyle name="40% - Accent4 5 2 3 2 2 2 2" xfId="40198" xr:uid="{00000000-0005-0000-0000-00002E4F0000}"/>
    <cellStyle name="40% - Accent4 5 2 3 2 2 3" xfId="29958" xr:uid="{00000000-0005-0000-0000-00002F4F0000}"/>
    <cellStyle name="40% - Accent4 5 2 3 2 3" xfId="14598" xr:uid="{00000000-0005-0000-0000-0000304F0000}"/>
    <cellStyle name="40% - Accent4 5 2 3 2 3 2" xfId="35078" xr:uid="{00000000-0005-0000-0000-0000314F0000}"/>
    <cellStyle name="40% - Accent4 5 2 3 2 4" xfId="24838" xr:uid="{00000000-0005-0000-0000-0000324F0000}"/>
    <cellStyle name="40% - Accent4 5 2 3 3" xfId="6918" xr:uid="{00000000-0005-0000-0000-0000334F0000}"/>
    <cellStyle name="40% - Accent4 5 2 3 3 2" xfId="17158" xr:uid="{00000000-0005-0000-0000-0000344F0000}"/>
    <cellStyle name="40% - Accent4 5 2 3 3 2 2" xfId="37638" xr:uid="{00000000-0005-0000-0000-0000354F0000}"/>
    <cellStyle name="40% - Accent4 5 2 3 3 3" xfId="27398" xr:uid="{00000000-0005-0000-0000-0000364F0000}"/>
    <cellStyle name="40% - Accent4 5 2 3 4" xfId="12038" xr:uid="{00000000-0005-0000-0000-0000374F0000}"/>
    <cellStyle name="40% - Accent4 5 2 3 4 2" xfId="32518" xr:uid="{00000000-0005-0000-0000-0000384F0000}"/>
    <cellStyle name="40% - Accent4 5 2 3 5" xfId="22278" xr:uid="{00000000-0005-0000-0000-0000394F0000}"/>
    <cellStyle name="40% - Accent4 5 2 4" xfId="3078" xr:uid="{00000000-0005-0000-0000-00003A4F0000}"/>
    <cellStyle name="40% - Accent4 5 2 4 2" xfId="8198" xr:uid="{00000000-0005-0000-0000-00003B4F0000}"/>
    <cellStyle name="40% - Accent4 5 2 4 2 2" xfId="18438" xr:uid="{00000000-0005-0000-0000-00003C4F0000}"/>
    <cellStyle name="40% - Accent4 5 2 4 2 2 2" xfId="38918" xr:uid="{00000000-0005-0000-0000-00003D4F0000}"/>
    <cellStyle name="40% - Accent4 5 2 4 2 3" xfId="28678" xr:uid="{00000000-0005-0000-0000-00003E4F0000}"/>
    <cellStyle name="40% - Accent4 5 2 4 3" xfId="13318" xr:uid="{00000000-0005-0000-0000-00003F4F0000}"/>
    <cellStyle name="40% - Accent4 5 2 4 3 2" xfId="33798" xr:uid="{00000000-0005-0000-0000-0000404F0000}"/>
    <cellStyle name="40% - Accent4 5 2 4 4" xfId="23558" xr:uid="{00000000-0005-0000-0000-0000414F0000}"/>
    <cellStyle name="40% - Accent4 5 2 5" xfId="5638" xr:uid="{00000000-0005-0000-0000-0000424F0000}"/>
    <cellStyle name="40% - Accent4 5 2 5 2" xfId="15878" xr:uid="{00000000-0005-0000-0000-0000434F0000}"/>
    <cellStyle name="40% - Accent4 5 2 5 2 2" xfId="36358" xr:uid="{00000000-0005-0000-0000-0000444F0000}"/>
    <cellStyle name="40% - Accent4 5 2 5 3" xfId="26118" xr:uid="{00000000-0005-0000-0000-0000454F0000}"/>
    <cellStyle name="40% - Accent4 5 2 6" xfId="10758" xr:uid="{00000000-0005-0000-0000-0000464F0000}"/>
    <cellStyle name="40% - Accent4 5 2 6 2" xfId="31238" xr:uid="{00000000-0005-0000-0000-0000474F0000}"/>
    <cellStyle name="40% - Accent4 5 2 7" xfId="20998" xr:uid="{00000000-0005-0000-0000-0000484F0000}"/>
    <cellStyle name="40% - Accent4 5 3" xfId="838" xr:uid="{00000000-0005-0000-0000-0000494F0000}"/>
    <cellStyle name="40% - Accent4 5 3 2" xfId="2118" xr:uid="{00000000-0005-0000-0000-00004A4F0000}"/>
    <cellStyle name="40% - Accent4 5 3 2 2" xfId="4678" xr:uid="{00000000-0005-0000-0000-00004B4F0000}"/>
    <cellStyle name="40% - Accent4 5 3 2 2 2" xfId="9798" xr:uid="{00000000-0005-0000-0000-00004C4F0000}"/>
    <cellStyle name="40% - Accent4 5 3 2 2 2 2" xfId="20038" xr:uid="{00000000-0005-0000-0000-00004D4F0000}"/>
    <cellStyle name="40% - Accent4 5 3 2 2 2 2 2" xfId="40518" xr:uid="{00000000-0005-0000-0000-00004E4F0000}"/>
    <cellStyle name="40% - Accent4 5 3 2 2 2 3" xfId="30278" xr:uid="{00000000-0005-0000-0000-00004F4F0000}"/>
    <cellStyle name="40% - Accent4 5 3 2 2 3" xfId="14918" xr:uid="{00000000-0005-0000-0000-0000504F0000}"/>
    <cellStyle name="40% - Accent4 5 3 2 2 3 2" xfId="35398" xr:uid="{00000000-0005-0000-0000-0000514F0000}"/>
    <cellStyle name="40% - Accent4 5 3 2 2 4" xfId="25158" xr:uid="{00000000-0005-0000-0000-0000524F0000}"/>
    <cellStyle name="40% - Accent4 5 3 2 3" xfId="7238" xr:uid="{00000000-0005-0000-0000-0000534F0000}"/>
    <cellStyle name="40% - Accent4 5 3 2 3 2" xfId="17478" xr:uid="{00000000-0005-0000-0000-0000544F0000}"/>
    <cellStyle name="40% - Accent4 5 3 2 3 2 2" xfId="37958" xr:uid="{00000000-0005-0000-0000-0000554F0000}"/>
    <cellStyle name="40% - Accent4 5 3 2 3 3" xfId="27718" xr:uid="{00000000-0005-0000-0000-0000564F0000}"/>
    <cellStyle name="40% - Accent4 5 3 2 4" xfId="12358" xr:uid="{00000000-0005-0000-0000-0000574F0000}"/>
    <cellStyle name="40% - Accent4 5 3 2 4 2" xfId="32838" xr:uid="{00000000-0005-0000-0000-0000584F0000}"/>
    <cellStyle name="40% - Accent4 5 3 2 5" xfId="22598" xr:uid="{00000000-0005-0000-0000-0000594F0000}"/>
    <cellStyle name="40% - Accent4 5 3 3" xfId="3398" xr:uid="{00000000-0005-0000-0000-00005A4F0000}"/>
    <cellStyle name="40% - Accent4 5 3 3 2" xfId="8518" xr:uid="{00000000-0005-0000-0000-00005B4F0000}"/>
    <cellStyle name="40% - Accent4 5 3 3 2 2" xfId="18758" xr:uid="{00000000-0005-0000-0000-00005C4F0000}"/>
    <cellStyle name="40% - Accent4 5 3 3 2 2 2" xfId="39238" xr:uid="{00000000-0005-0000-0000-00005D4F0000}"/>
    <cellStyle name="40% - Accent4 5 3 3 2 3" xfId="28998" xr:uid="{00000000-0005-0000-0000-00005E4F0000}"/>
    <cellStyle name="40% - Accent4 5 3 3 3" xfId="13638" xr:uid="{00000000-0005-0000-0000-00005F4F0000}"/>
    <cellStyle name="40% - Accent4 5 3 3 3 2" xfId="34118" xr:uid="{00000000-0005-0000-0000-0000604F0000}"/>
    <cellStyle name="40% - Accent4 5 3 3 4" xfId="23878" xr:uid="{00000000-0005-0000-0000-0000614F0000}"/>
    <cellStyle name="40% - Accent4 5 3 4" xfId="5958" xr:uid="{00000000-0005-0000-0000-0000624F0000}"/>
    <cellStyle name="40% - Accent4 5 3 4 2" xfId="16198" xr:uid="{00000000-0005-0000-0000-0000634F0000}"/>
    <cellStyle name="40% - Accent4 5 3 4 2 2" xfId="36678" xr:uid="{00000000-0005-0000-0000-0000644F0000}"/>
    <cellStyle name="40% - Accent4 5 3 4 3" xfId="26438" xr:uid="{00000000-0005-0000-0000-0000654F0000}"/>
    <cellStyle name="40% - Accent4 5 3 5" xfId="11078" xr:uid="{00000000-0005-0000-0000-0000664F0000}"/>
    <cellStyle name="40% - Accent4 5 3 5 2" xfId="31558" xr:uid="{00000000-0005-0000-0000-0000674F0000}"/>
    <cellStyle name="40% - Accent4 5 3 6" xfId="21318" xr:uid="{00000000-0005-0000-0000-0000684F0000}"/>
    <cellStyle name="40% - Accent4 5 4" xfId="1478" xr:uid="{00000000-0005-0000-0000-0000694F0000}"/>
    <cellStyle name="40% - Accent4 5 4 2" xfId="4038" xr:uid="{00000000-0005-0000-0000-00006A4F0000}"/>
    <cellStyle name="40% - Accent4 5 4 2 2" xfId="9158" xr:uid="{00000000-0005-0000-0000-00006B4F0000}"/>
    <cellStyle name="40% - Accent4 5 4 2 2 2" xfId="19398" xr:uid="{00000000-0005-0000-0000-00006C4F0000}"/>
    <cellStyle name="40% - Accent4 5 4 2 2 2 2" xfId="39878" xr:uid="{00000000-0005-0000-0000-00006D4F0000}"/>
    <cellStyle name="40% - Accent4 5 4 2 2 3" xfId="29638" xr:uid="{00000000-0005-0000-0000-00006E4F0000}"/>
    <cellStyle name="40% - Accent4 5 4 2 3" xfId="14278" xr:uid="{00000000-0005-0000-0000-00006F4F0000}"/>
    <cellStyle name="40% - Accent4 5 4 2 3 2" xfId="34758" xr:uid="{00000000-0005-0000-0000-0000704F0000}"/>
    <cellStyle name="40% - Accent4 5 4 2 4" xfId="24518" xr:uid="{00000000-0005-0000-0000-0000714F0000}"/>
    <cellStyle name="40% - Accent4 5 4 3" xfId="6598" xr:uid="{00000000-0005-0000-0000-0000724F0000}"/>
    <cellStyle name="40% - Accent4 5 4 3 2" xfId="16838" xr:uid="{00000000-0005-0000-0000-0000734F0000}"/>
    <cellStyle name="40% - Accent4 5 4 3 2 2" xfId="37318" xr:uid="{00000000-0005-0000-0000-0000744F0000}"/>
    <cellStyle name="40% - Accent4 5 4 3 3" xfId="27078" xr:uid="{00000000-0005-0000-0000-0000754F0000}"/>
    <cellStyle name="40% - Accent4 5 4 4" xfId="11718" xr:uid="{00000000-0005-0000-0000-0000764F0000}"/>
    <cellStyle name="40% - Accent4 5 4 4 2" xfId="32198" xr:uid="{00000000-0005-0000-0000-0000774F0000}"/>
    <cellStyle name="40% - Accent4 5 4 5" xfId="21958" xr:uid="{00000000-0005-0000-0000-0000784F0000}"/>
    <cellStyle name="40% - Accent4 5 5" xfId="2758" xr:uid="{00000000-0005-0000-0000-0000794F0000}"/>
    <cellStyle name="40% - Accent4 5 5 2" xfId="7878" xr:uid="{00000000-0005-0000-0000-00007A4F0000}"/>
    <cellStyle name="40% - Accent4 5 5 2 2" xfId="18118" xr:uid="{00000000-0005-0000-0000-00007B4F0000}"/>
    <cellStyle name="40% - Accent4 5 5 2 2 2" xfId="38598" xr:uid="{00000000-0005-0000-0000-00007C4F0000}"/>
    <cellStyle name="40% - Accent4 5 5 2 3" xfId="28358" xr:uid="{00000000-0005-0000-0000-00007D4F0000}"/>
    <cellStyle name="40% - Accent4 5 5 3" xfId="12998" xr:uid="{00000000-0005-0000-0000-00007E4F0000}"/>
    <cellStyle name="40% - Accent4 5 5 3 2" xfId="33478" xr:uid="{00000000-0005-0000-0000-00007F4F0000}"/>
    <cellStyle name="40% - Accent4 5 5 4" xfId="23238" xr:uid="{00000000-0005-0000-0000-0000804F0000}"/>
    <cellStyle name="40% - Accent4 5 6" xfId="5318" xr:uid="{00000000-0005-0000-0000-0000814F0000}"/>
    <cellStyle name="40% - Accent4 5 6 2" xfId="15558" xr:uid="{00000000-0005-0000-0000-0000824F0000}"/>
    <cellStyle name="40% - Accent4 5 6 2 2" xfId="36038" xr:uid="{00000000-0005-0000-0000-0000834F0000}"/>
    <cellStyle name="40% - Accent4 5 6 3" xfId="25798" xr:uid="{00000000-0005-0000-0000-0000844F0000}"/>
    <cellStyle name="40% - Accent4 5 7" xfId="10438" xr:uid="{00000000-0005-0000-0000-0000854F0000}"/>
    <cellStyle name="40% - Accent4 5 7 2" xfId="30918" xr:uid="{00000000-0005-0000-0000-0000864F0000}"/>
    <cellStyle name="40% - Accent4 5 8" xfId="20678" xr:uid="{00000000-0005-0000-0000-0000874F0000}"/>
    <cellStyle name="40% - Accent4 6" xfId="358" xr:uid="{00000000-0005-0000-0000-0000884F0000}"/>
    <cellStyle name="40% - Accent4 6 2" xfId="998" xr:uid="{00000000-0005-0000-0000-0000894F0000}"/>
    <cellStyle name="40% - Accent4 6 2 2" xfId="2278" xr:uid="{00000000-0005-0000-0000-00008A4F0000}"/>
    <cellStyle name="40% - Accent4 6 2 2 2" xfId="4838" xr:uid="{00000000-0005-0000-0000-00008B4F0000}"/>
    <cellStyle name="40% - Accent4 6 2 2 2 2" xfId="9958" xr:uid="{00000000-0005-0000-0000-00008C4F0000}"/>
    <cellStyle name="40% - Accent4 6 2 2 2 2 2" xfId="20198" xr:uid="{00000000-0005-0000-0000-00008D4F0000}"/>
    <cellStyle name="40% - Accent4 6 2 2 2 2 2 2" xfId="40678" xr:uid="{00000000-0005-0000-0000-00008E4F0000}"/>
    <cellStyle name="40% - Accent4 6 2 2 2 2 3" xfId="30438" xr:uid="{00000000-0005-0000-0000-00008F4F0000}"/>
    <cellStyle name="40% - Accent4 6 2 2 2 3" xfId="15078" xr:uid="{00000000-0005-0000-0000-0000904F0000}"/>
    <cellStyle name="40% - Accent4 6 2 2 2 3 2" xfId="35558" xr:uid="{00000000-0005-0000-0000-0000914F0000}"/>
    <cellStyle name="40% - Accent4 6 2 2 2 4" xfId="25318" xr:uid="{00000000-0005-0000-0000-0000924F0000}"/>
    <cellStyle name="40% - Accent4 6 2 2 3" xfId="7398" xr:uid="{00000000-0005-0000-0000-0000934F0000}"/>
    <cellStyle name="40% - Accent4 6 2 2 3 2" xfId="17638" xr:uid="{00000000-0005-0000-0000-0000944F0000}"/>
    <cellStyle name="40% - Accent4 6 2 2 3 2 2" xfId="38118" xr:uid="{00000000-0005-0000-0000-0000954F0000}"/>
    <cellStyle name="40% - Accent4 6 2 2 3 3" xfId="27878" xr:uid="{00000000-0005-0000-0000-0000964F0000}"/>
    <cellStyle name="40% - Accent4 6 2 2 4" xfId="12518" xr:uid="{00000000-0005-0000-0000-0000974F0000}"/>
    <cellStyle name="40% - Accent4 6 2 2 4 2" xfId="32998" xr:uid="{00000000-0005-0000-0000-0000984F0000}"/>
    <cellStyle name="40% - Accent4 6 2 2 5" xfId="22758" xr:uid="{00000000-0005-0000-0000-0000994F0000}"/>
    <cellStyle name="40% - Accent4 6 2 3" xfId="3558" xr:uid="{00000000-0005-0000-0000-00009A4F0000}"/>
    <cellStyle name="40% - Accent4 6 2 3 2" xfId="8678" xr:uid="{00000000-0005-0000-0000-00009B4F0000}"/>
    <cellStyle name="40% - Accent4 6 2 3 2 2" xfId="18918" xr:uid="{00000000-0005-0000-0000-00009C4F0000}"/>
    <cellStyle name="40% - Accent4 6 2 3 2 2 2" xfId="39398" xr:uid="{00000000-0005-0000-0000-00009D4F0000}"/>
    <cellStyle name="40% - Accent4 6 2 3 2 3" xfId="29158" xr:uid="{00000000-0005-0000-0000-00009E4F0000}"/>
    <cellStyle name="40% - Accent4 6 2 3 3" xfId="13798" xr:uid="{00000000-0005-0000-0000-00009F4F0000}"/>
    <cellStyle name="40% - Accent4 6 2 3 3 2" xfId="34278" xr:uid="{00000000-0005-0000-0000-0000A04F0000}"/>
    <cellStyle name="40% - Accent4 6 2 3 4" xfId="24038" xr:uid="{00000000-0005-0000-0000-0000A14F0000}"/>
    <cellStyle name="40% - Accent4 6 2 4" xfId="6118" xr:uid="{00000000-0005-0000-0000-0000A24F0000}"/>
    <cellStyle name="40% - Accent4 6 2 4 2" xfId="16358" xr:uid="{00000000-0005-0000-0000-0000A34F0000}"/>
    <cellStyle name="40% - Accent4 6 2 4 2 2" xfId="36838" xr:uid="{00000000-0005-0000-0000-0000A44F0000}"/>
    <cellStyle name="40% - Accent4 6 2 4 3" xfId="26598" xr:uid="{00000000-0005-0000-0000-0000A54F0000}"/>
    <cellStyle name="40% - Accent4 6 2 5" xfId="11238" xr:uid="{00000000-0005-0000-0000-0000A64F0000}"/>
    <cellStyle name="40% - Accent4 6 2 5 2" xfId="31718" xr:uid="{00000000-0005-0000-0000-0000A74F0000}"/>
    <cellStyle name="40% - Accent4 6 2 6" xfId="21478" xr:uid="{00000000-0005-0000-0000-0000A84F0000}"/>
    <cellStyle name="40% - Accent4 6 3" xfId="1638" xr:uid="{00000000-0005-0000-0000-0000A94F0000}"/>
    <cellStyle name="40% - Accent4 6 3 2" xfId="4198" xr:uid="{00000000-0005-0000-0000-0000AA4F0000}"/>
    <cellStyle name="40% - Accent4 6 3 2 2" xfId="9318" xr:uid="{00000000-0005-0000-0000-0000AB4F0000}"/>
    <cellStyle name="40% - Accent4 6 3 2 2 2" xfId="19558" xr:uid="{00000000-0005-0000-0000-0000AC4F0000}"/>
    <cellStyle name="40% - Accent4 6 3 2 2 2 2" xfId="40038" xr:uid="{00000000-0005-0000-0000-0000AD4F0000}"/>
    <cellStyle name="40% - Accent4 6 3 2 2 3" xfId="29798" xr:uid="{00000000-0005-0000-0000-0000AE4F0000}"/>
    <cellStyle name="40% - Accent4 6 3 2 3" xfId="14438" xr:uid="{00000000-0005-0000-0000-0000AF4F0000}"/>
    <cellStyle name="40% - Accent4 6 3 2 3 2" xfId="34918" xr:uid="{00000000-0005-0000-0000-0000B04F0000}"/>
    <cellStyle name="40% - Accent4 6 3 2 4" xfId="24678" xr:uid="{00000000-0005-0000-0000-0000B14F0000}"/>
    <cellStyle name="40% - Accent4 6 3 3" xfId="6758" xr:uid="{00000000-0005-0000-0000-0000B24F0000}"/>
    <cellStyle name="40% - Accent4 6 3 3 2" xfId="16998" xr:uid="{00000000-0005-0000-0000-0000B34F0000}"/>
    <cellStyle name="40% - Accent4 6 3 3 2 2" xfId="37478" xr:uid="{00000000-0005-0000-0000-0000B44F0000}"/>
    <cellStyle name="40% - Accent4 6 3 3 3" xfId="27238" xr:uid="{00000000-0005-0000-0000-0000B54F0000}"/>
    <cellStyle name="40% - Accent4 6 3 4" xfId="11878" xr:uid="{00000000-0005-0000-0000-0000B64F0000}"/>
    <cellStyle name="40% - Accent4 6 3 4 2" xfId="32358" xr:uid="{00000000-0005-0000-0000-0000B74F0000}"/>
    <cellStyle name="40% - Accent4 6 3 5" xfId="22118" xr:uid="{00000000-0005-0000-0000-0000B84F0000}"/>
    <cellStyle name="40% - Accent4 6 4" xfId="2918" xr:uid="{00000000-0005-0000-0000-0000B94F0000}"/>
    <cellStyle name="40% - Accent4 6 4 2" xfId="8038" xr:uid="{00000000-0005-0000-0000-0000BA4F0000}"/>
    <cellStyle name="40% - Accent4 6 4 2 2" xfId="18278" xr:uid="{00000000-0005-0000-0000-0000BB4F0000}"/>
    <cellStyle name="40% - Accent4 6 4 2 2 2" xfId="38758" xr:uid="{00000000-0005-0000-0000-0000BC4F0000}"/>
    <cellStyle name="40% - Accent4 6 4 2 3" xfId="28518" xr:uid="{00000000-0005-0000-0000-0000BD4F0000}"/>
    <cellStyle name="40% - Accent4 6 4 3" xfId="13158" xr:uid="{00000000-0005-0000-0000-0000BE4F0000}"/>
    <cellStyle name="40% - Accent4 6 4 3 2" xfId="33638" xr:uid="{00000000-0005-0000-0000-0000BF4F0000}"/>
    <cellStyle name="40% - Accent4 6 4 4" xfId="23398" xr:uid="{00000000-0005-0000-0000-0000C04F0000}"/>
    <cellStyle name="40% - Accent4 6 5" xfId="5478" xr:uid="{00000000-0005-0000-0000-0000C14F0000}"/>
    <cellStyle name="40% - Accent4 6 5 2" xfId="15718" xr:uid="{00000000-0005-0000-0000-0000C24F0000}"/>
    <cellStyle name="40% - Accent4 6 5 2 2" xfId="36198" xr:uid="{00000000-0005-0000-0000-0000C34F0000}"/>
    <cellStyle name="40% - Accent4 6 5 3" xfId="25958" xr:uid="{00000000-0005-0000-0000-0000C44F0000}"/>
    <cellStyle name="40% - Accent4 6 6" xfId="10598" xr:uid="{00000000-0005-0000-0000-0000C54F0000}"/>
    <cellStyle name="40% - Accent4 6 6 2" xfId="31078" xr:uid="{00000000-0005-0000-0000-0000C64F0000}"/>
    <cellStyle name="40% - Accent4 6 7" xfId="20838" xr:uid="{00000000-0005-0000-0000-0000C74F0000}"/>
    <cellStyle name="40% - Accent4 7" xfId="678" xr:uid="{00000000-0005-0000-0000-0000C84F0000}"/>
    <cellStyle name="40% - Accent4 7 2" xfId="1958" xr:uid="{00000000-0005-0000-0000-0000C94F0000}"/>
    <cellStyle name="40% - Accent4 7 2 2" xfId="4518" xr:uid="{00000000-0005-0000-0000-0000CA4F0000}"/>
    <cellStyle name="40% - Accent4 7 2 2 2" xfId="9638" xr:uid="{00000000-0005-0000-0000-0000CB4F0000}"/>
    <cellStyle name="40% - Accent4 7 2 2 2 2" xfId="19878" xr:uid="{00000000-0005-0000-0000-0000CC4F0000}"/>
    <cellStyle name="40% - Accent4 7 2 2 2 2 2" xfId="40358" xr:uid="{00000000-0005-0000-0000-0000CD4F0000}"/>
    <cellStyle name="40% - Accent4 7 2 2 2 3" xfId="30118" xr:uid="{00000000-0005-0000-0000-0000CE4F0000}"/>
    <cellStyle name="40% - Accent4 7 2 2 3" xfId="14758" xr:uid="{00000000-0005-0000-0000-0000CF4F0000}"/>
    <cellStyle name="40% - Accent4 7 2 2 3 2" xfId="35238" xr:uid="{00000000-0005-0000-0000-0000D04F0000}"/>
    <cellStyle name="40% - Accent4 7 2 2 4" xfId="24998" xr:uid="{00000000-0005-0000-0000-0000D14F0000}"/>
    <cellStyle name="40% - Accent4 7 2 3" xfId="7078" xr:uid="{00000000-0005-0000-0000-0000D24F0000}"/>
    <cellStyle name="40% - Accent4 7 2 3 2" xfId="17318" xr:uid="{00000000-0005-0000-0000-0000D34F0000}"/>
    <cellStyle name="40% - Accent4 7 2 3 2 2" xfId="37798" xr:uid="{00000000-0005-0000-0000-0000D44F0000}"/>
    <cellStyle name="40% - Accent4 7 2 3 3" xfId="27558" xr:uid="{00000000-0005-0000-0000-0000D54F0000}"/>
    <cellStyle name="40% - Accent4 7 2 4" xfId="12198" xr:uid="{00000000-0005-0000-0000-0000D64F0000}"/>
    <cellStyle name="40% - Accent4 7 2 4 2" xfId="32678" xr:uid="{00000000-0005-0000-0000-0000D74F0000}"/>
    <cellStyle name="40% - Accent4 7 2 5" xfId="22438" xr:uid="{00000000-0005-0000-0000-0000D84F0000}"/>
    <cellStyle name="40% - Accent4 7 3" xfId="3238" xr:uid="{00000000-0005-0000-0000-0000D94F0000}"/>
    <cellStyle name="40% - Accent4 7 3 2" xfId="8358" xr:uid="{00000000-0005-0000-0000-0000DA4F0000}"/>
    <cellStyle name="40% - Accent4 7 3 2 2" xfId="18598" xr:uid="{00000000-0005-0000-0000-0000DB4F0000}"/>
    <cellStyle name="40% - Accent4 7 3 2 2 2" xfId="39078" xr:uid="{00000000-0005-0000-0000-0000DC4F0000}"/>
    <cellStyle name="40% - Accent4 7 3 2 3" xfId="28838" xr:uid="{00000000-0005-0000-0000-0000DD4F0000}"/>
    <cellStyle name="40% - Accent4 7 3 3" xfId="13478" xr:uid="{00000000-0005-0000-0000-0000DE4F0000}"/>
    <cellStyle name="40% - Accent4 7 3 3 2" xfId="33958" xr:uid="{00000000-0005-0000-0000-0000DF4F0000}"/>
    <cellStyle name="40% - Accent4 7 3 4" xfId="23718" xr:uid="{00000000-0005-0000-0000-0000E04F0000}"/>
    <cellStyle name="40% - Accent4 7 4" xfId="5798" xr:uid="{00000000-0005-0000-0000-0000E14F0000}"/>
    <cellStyle name="40% - Accent4 7 4 2" xfId="16038" xr:uid="{00000000-0005-0000-0000-0000E24F0000}"/>
    <cellStyle name="40% - Accent4 7 4 2 2" xfId="36518" xr:uid="{00000000-0005-0000-0000-0000E34F0000}"/>
    <cellStyle name="40% - Accent4 7 4 3" xfId="26278" xr:uid="{00000000-0005-0000-0000-0000E44F0000}"/>
    <cellStyle name="40% - Accent4 7 5" xfId="10918" xr:uid="{00000000-0005-0000-0000-0000E54F0000}"/>
    <cellStyle name="40% - Accent4 7 5 2" xfId="31398" xr:uid="{00000000-0005-0000-0000-0000E64F0000}"/>
    <cellStyle name="40% - Accent4 7 6" xfId="21158" xr:uid="{00000000-0005-0000-0000-0000E74F0000}"/>
    <cellStyle name="40% - Accent4 8" xfId="1318" xr:uid="{00000000-0005-0000-0000-0000E84F0000}"/>
    <cellStyle name="40% - Accent4 8 2" xfId="3878" xr:uid="{00000000-0005-0000-0000-0000E94F0000}"/>
    <cellStyle name="40% - Accent4 8 2 2" xfId="8998" xr:uid="{00000000-0005-0000-0000-0000EA4F0000}"/>
    <cellStyle name="40% - Accent4 8 2 2 2" xfId="19238" xr:uid="{00000000-0005-0000-0000-0000EB4F0000}"/>
    <cellStyle name="40% - Accent4 8 2 2 2 2" xfId="39718" xr:uid="{00000000-0005-0000-0000-0000EC4F0000}"/>
    <cellStyle name="40% - Accent4 8 2 2 3" xfId="29478" xr:uid="{00000000-0005-0000-0000-0000ED4F0000}"/>
    <cellStyle name="40% - Accent4 8 2 3" xfId="14118" xr:uid="{00000000-0005-0000-0000-0000EE4F0000}"/>
    <cellStyle name="40% - Accent4 8 2 3 2" xfId="34598" xr:uid="{00000000-0005-0000-0000-0000EF4F0000}"/>
    <cellStyle name="40% - Accent4 8 2 4" xfId="24358" xr:uid="{00000000-0005-0000-0000-0000F04F0000}"/>
    <cellStyle name="40% - Accent4 8 3" xfId="6438" xr:uid="{00000000-0005-0000-0000-0000F14F0000}"/>
    <cellStyle name="40% - Accent4 8 3 2" xfId="16678" xr:uid="{00000000-0005-0000-0000-0000F24F0000}"/>
    <cellStyle name="40% - Accent4 8 3 2 2" xfId="37158" xr:uid="{00000000-0005-0000-0000-0000F34F0000}"/>
    <cellStyle name="40% - Accent4 8 3 3" xfId="26918" xr:uid="{00000000-0005-0000-0000-0000F44F0000}"/>
    <cellStyle name="40% - Accent4 8 4" xfId="11558" xr:uid="{00000000-0005-0000-0000-0000F54F0000}"/>
    <cellStyle name="40% - Accent4 8 4 2" xfId="32038" xr:uid="{00000000-0005-0000-0000-0000F64F0000}"/>
    <cellStyle name="40% - Accent4 8 5" xfId="21798" xr:uid="{00000000-0005-0000-0000-0000F74F0000}"/>
    <cellStyle name="40% - Accent4 9" xfId="2598" xr:uid="{00000000-0005-0000-0000-0000F84F0000}"/>
    <cellStyle name="40% - Accent4 9 2" xfId="7718" xr:uid="{00000000-0005-0000-0000-0000F94F0000}"/>
    <cellStyle name="40% - Accent4 9 2 2" xfId="17958" xr:uid="{00000000-0005-0000-0000-0000FA4F0000}"/>
    <cellStyle name="40% - Accent4 9 2 2 2" xfId="38438" xr:uid="{00000000-0005-0000-0000-0000FB4F0000}"/>
    <cellStyle name="40% - Accent4 9 2 3" xfId="28198" xr:uid="{00000000-0005-0000-0000-0000FC4F0000}"/>
    <cellStyle name="40% - Accent4 9 3" xfId="12838" xr:uid="{00000000-0005-0000-0000-0000FD4F0000}"/>
    <cellStyle name="40% - Accent4 9 3 2" xfId="33318" xr:uid="{00000000-0005-0000-0000-0000FE4F0000}"/>
    <cellStyle name="40% - Accent4 9 4" xfId="23078" xr:uid="{00000000-0005-0000-0000-0000FF4F0000}"/>
    <cellStyle name="40% - Accent5 10" xfId="5161" xr:uid="{00000000-0005-0000-0000-000000500000}"/>
    <cellStyle name="40% - Accent5 10 2" xfId="15401" xr:uid="{00000000-0005-0000-0000-000001500000}"/>
    <cellStyle name="40% - Accent5 10 2 2" xfId="35881" xr:uid="{00000000-0005-0000-0000-000002500000}"/>
    <cellStyle name="40% - Accent5 10 3" xfId="25641" xr:uid="{00000000-0005-0000-0000-000003500000}"/>
    <cellStyle name="40% - Accent5 11" xfId="10281" xr:uid="{00000000-0005-0000-0000-000004500000}"/>
    <cellStyle name="40% - Accent5 11 2" xfId="30761" xr:uid="{00000000-0005-0000-0000-000005500000}"/>
    <cellStyle name="40% - Accent5 12" xfId="20521" xr:uid="{00000000-0005-0000-0000-000006500000}"/>
    <cellStyle name="40% - Accent5 13" xfId="40" xr:uid="{00000000-0005-0000-0000-000007500000}"/>
    <cellStyle name="40% - Accent5 2" xfId="61" xr:uid="{00000000-0005-0000-0000-000008500000}"/>
    <cellStyle name="40% - Accent5 2 10" xfId="10301" xr:uid="{00000000-0005-0000-0000-000009500000}"/>
    <cellStyle name="40% - Accent5 2 10 2" xfId="30781" xr:uid="{00000000-0005-0000-0000-00000A500000}"/>
    <cellStyle name="40% - Accent5 2 11" xfId="20541" xr:uid="{00000000-0005-0000-0000-00000B500000}"/>
    <cellStyle name="40% - Accent5 2 2" xfId="101" xr:uid="{00000000-0005-0000-0000-00000C500000}"/>
    <cellStyle name="40% - Accent5 2 2 10" xfId="20581" xr:uid="{00000000-0005-0000-0000-00000D500000}"/>
    <cellStyle name="40% - Accent5 2 2 2" xfId="181" xr:uid="{00000000-0005-0000-0000-00000E500000}"/>
    <cellStyle name="40% - Accent5 2 2 2 2" xfId="341" xr:uid="{00000000-0005-0000-0000-00000F500000}"/>
    <cellStyle name="40% - Accent5 2 2 2 2 2" xfId="661" xr:uid="{00000000-0005-0000-0000-000010500000}"/>
    <cellStyle name="40% - Accent5 2 2 2 2 2 2" xfId="1301" xr:uid="{00000000-0005-0000-0000-000011500000}"/>
    <cellStyle name="40% - Accent5 2 2 2 2 2 2 2" xfId="2581" xr:uid="{00000000-0005-0000-0000-000012500000}"/>
    <cellStyle name="40% - Accent5 2 2 2 2 2 2 2 2" xfId="5141" xr:uid="{00000000-0005-0000-0000-000013500000}"/>
    <cellStyle name="40% - Accent5 2 2 2 2 2 2 2 2 2" xfId="10261" xr:uid="{00000000-0005-0000-0000-000014500000}"/>
    <cellStyle name="40% - Accent5 2 2 2 2 2 2 2 2 2 2" xfId="20501" xr:uid="{00000000-0005-0000-0000-000015500000}"/>
    <cellStyle name="40% - Accent5 2 2 2 2 2 2 2 2 2 2 2" xfId="40981" xr:uid="{00000000-0005-0000-0000-000016500000}"/>
    <cellStyle name="40% - Accent5 2 2 2 2 2 2 2 2 2 3" xfId="30741" xr:uid="{00000000-0005-0000-0000-000017500000}"/>
    <cellStyle name="40% - Accent5 2 2 2 2 2 2 2 2 3" xfId="15381" xr:uid="{00000000-0005-0000-0000-000018500000}"/>
    <cellStyle name="40% - Accent5 2 2 2 2 2 2 2 2 3 2" xfId="35861" xr:uid="{00000000-0005-0000-0000-000019500000}"/>
    <cellStyle name="40% - Accent5 2 2 2 2 2 2 2 2 4" xfId="25621" xr:uid="{00000000-0005-0000-0000-00001A500000}"/>
    <cellStyle name="40% - Accent5 2 2 2 2 2 2 2 3" xfId="7701" xr:uid="{00000000-0005-0000-0000-00001B500000}"/>
    <cellStyle name="40% - Accent5 2 2 2 2 2 2 2 3 2" xfId="17941" xr:uid="{00000000-0005-0000-0000-00001C500000}"/>
    <cellStyle name="40% - Accent5 2 2 2 2 2 2 2 3 2 2" xfId="38421" xr:uid="{00000000-0005-0000-0000-00001D500000}"/>
    <cellStyle name="40% - Accent5 2 2 2 2 2 2 2 3 3" xfId="28181" xr:uid="{00000000-0005-0000-0000-00001E500000}"/>
    <cellStyle name="40% - Accent5 2 2 2 2 2 2 2 4" xfId="12821" xr:uid="{00000000-0005-0000-0000-00001F500000}"/>
    <cellStyle name="40% - Accent5 2 2 2 2 2 2 2 4 2" xfId="33301" xr:uid="{00000000-0005-0000-0000-000020500000}"/>
    <cellStyle name="40% - Accent5 2 2 2 2 2 2 2 5" xfId="23061" xr:uid="{00000000-0005-0000-0000-000021500000}"/>
    <cellStyle name="40% - Accent5 2 2 2 2 2 2 3" xfId="3861" xr:uid="{00000000-0005-0000-0000-000022500000}"/>
    <cellStyle name="40% - Accent5 2 2 2 2 2 2 3 2" xfId="8981" xr:uid="{00000000-0005-0000-0000-000023500000}"/>
    <cellStyle name="40% - Accent5 2 2 2 2 2 2 3 2 2" xfId="19221" xr:uid="{00000000-0005-0000-0000-000024500000}"/>
    <cellStyle name="40% - Accent5 2 2 2 2 2 2 3 2 2 2" xfId="39701" xr:uid="{00000000-0005-0000-0000-000025500000}"/>
    <cellStyle name="40% - Accent5 2 2 2 2 2 2 3 2 3" xfId="29461" xr:uid="{00000000-0005-0000-0000-000026500000}"/>
    <cellStyle name="40% - Accent5 2 2 2 2 2 2 3 3" xfId="14101" xr:uid="{00000000-0005-0000-0000-000027500000}"/>
    <cellStyle name="40% - Accent5 2 2 2 2 2 2 3 3 2" xfId="34581" xr:uid="{00000000-0005-0000-0000-000028500000}"/>
    <cellStyle name="40% - Accent5 2 2 2 2 2 2 3 4" xfId="24341" xr:uid="{00000000-0005-0000-0000-000029500000}"/>
    <cellStyle name="40% - Accent5 2 2 2 2 2 2 4" xfId="6421" xr:uid="{00000000-0005-0000-0000-00002A500000}"/>
    <cellStyle name="40% - Accent5 2 2 2 2 2 2 4 2" xfId="16661" xr:uid="{00000000-0005-0000-0000-00002B500000}"/>
    <cellStyle name="40% - Accent5 2 2 2 2 2 2 4 2 2" xfId="37141" xr:uid="{00000000-0005-0000-0000-00002C500000}"/>
    <cellStyle name="40% - Accent5 2 2 2 2 2 2 4 3" xfId="26901" xr:uid="{00000000-0005-0000-0000-00002D500000}"/>
    <cellStyle name="40% - Accent5 2 2 2 2 2 2 5" xfId="11541" xr:uid="{00000000-0005-0000-0000-00002E500000}"/>
    <cellStyle name="40% - Accent5 2 2 2 2 2 2 5 2" xfId="32021" xr:uid="{00000000-0005-0000-0000-00002F500000}"/>
    <cellStyle name="40% - Accent5 2 2 2 2 2 2 6" xfId="21781" xr:uid="{00000000-0005-0000-0000-000030500000}"/>
    <cellStyle name="40% - Accent5 2 2 2 2 2 3" xfId="1941" xr:uid="{00000000-0005-0000-0000-000031500000}"/>
    <cellStyle name="40% - Accent5 2 2 2 2 2 3 2" xfId="4501" xr:uid="{00000000-0005-0000-0000-000032500000}"/>
    <cellStyle name="40% - Accent5 2 2 2 2 2 3 2 2" xfId="9621" xr:uid="{00000000-0005-0000-0000-000033500000}"/>
    <cellStyle name="40% - Accent5 2 2 2 2 2 3 2 2 2" xfId="19861" xr:uid="{00000000-0005-0000-0000-000034500000}"/>
    <cellStyle name="40% - Accent5 2 2 2 2 2 3 2 2 2 2" xfId="40341" xr:uid="{00000000-0005-0000-0000-000035500000}"/>
    <cellStyle name="40% - Accent5 2 2 2 2 2 3 2 2 3" xfId="30101" xr:uid="{00000000-0005-0000-0000-000036500000}"/>
    <cellStyle name="40% - Accent5 2 2 2 2 2 3 2 3" xfId="14741" xr:uid="{00000000-0005-0000-0000-000037500000}"/>
    <cellStyle name="40% - Accent5 2 2 2 2 2 3 2 3 2" xfId="35221" xr:uid="{00000000-0005-0000-0000-000038500000}"/>
    <cellStyle name="40% - Accent5 2 2 2 2 2 3 2 4" xfId="24981" xr:uid="{00000000-0005-0000-0000-000039500000}"/>
    <cellStyle name="40% - Accent5 2 2 2 2 2 3 3" xfId="7061" xr:uid="{00000000-0005-0000-0000-00003A500000}"/>
    <cellStyle name="40% - Accent5 2 2 2 2 2 3 3 2" xfId="17301" xr:uid="{00000000-0005-0000-0000-00003B500000}"/>
    <cellStyle name="40% - Accent5 2 2 2 2 2 3 3 2 2" xfId="37781" xr:uid="{00000000-0005-0000-0000-00003C500000}"/>
    <cellStyle name="40% - Accent5 2 2 2 2 2 3 3 3" xfId="27541" xr:uid="{00000000-0005-0000-0000-00003D500000}"/>
    <cellStyle name="40% - Accent5 2 2 2 2 2 3 4" xfId="12181" xr:uid="{00000000-0005-0000-0000-00003E500000}"/>
    <cellStyle name="40% - Accent5 2 2 2 2 2 3 4 2" xfId="32661" xr:uid="{00000000-0005-0000-0000-00003F500000}"/>
    <cellStyle name="40% - Accent5 2 2 2 2 2 3 5" xfId="22421" xr:uid="{00000000-0005-0000-0000-000040500000}"/>
    <cellStyle name="40% - Accent5 2 2 2 2 2 4" xfId="3221" xr:uid="{00000000-0005-0000-0000-000041500000}"/>
    <cellStyle name="40% - Accent5 2 2 2 2 2 4 2" xfId="8341" xr:uid="{00000000-0005-0000-0000-000042500000}"/>
    <cellStyle name="40% - Accent5 2 2 2 2 2 4 2 2" xfId="18581" xr:uid="{00000000-0005-0000-0000-000043500000}"/>
    <cellStyle name="40% - Accent5 2 2 2 2 2 4 2 2 2" xfId="39061" xr:uid="{00000000-0005-0000-0000-000044500000}"/>
    <cellStyle name="40% - Accent5 2 2 2 2 2 4 2 3" xfId="28821" xr:uid="{00000000-0005-0000-0000-000045500000}"/>
    <cellStyle name="40% - Accent5 2 2 2 2 2 4 3" xfId="13461" xr:uid="{00000000-0005-0000-0000-000046500000}"/>
    <cellStyle name="40% - Accent5 2 2 2 2 2 4 3 2" xfId="33941" xr:uid="{00000000-0005-0000-0000-000047500000}"/>
    <cellStyle name="40% - Accent5 2 2 2 2 2 4 4" xfId="23701" xr:uid="{00000000-0005-0000-0000-000048500000}"/>
    <cellStyle name="40% - Accent5 2 2 2 2 2 5" xfId="5781" xr:uid="{00000000-0005-0000-0000-000049500000}"/>
    <cellStyle name="40% - Accent5 2 2 2 2 2 5 2" xfId="16021" xr:uid="{00000000-0005-0000-0000-00004A500000}"/>
    <cellStyle name="40% - Accent5 2 2 2 2 2 5 2 2" xfId="36501" xr:uid="{00000000-0005-0000-0000-00004B500000}"/>
    <cellStyle name="40% - Accent5 2 2 2 2 2 5 3" xfId="26261" xr:uid="{00000000-0005-0000-0000-00004C500000}"/>
    <cellStyle name="40% - Accent5 2 2 2 2 2 6" xfId="10901" xr:uid="{00000000-0005-0000-0000-00004D500000}"/>
    <cellStyle name="40% - Accent5 2 2 2 2 2 6 2" xfId="31381" xr:uid="{00000000-0005-0000-0000-00004E500000}"/>
    <cellStyle name="40% - Accent5 2 2 2 2 2 7" xfId="21141" xr:uid="{00000000-0005-0000-0000-00004F500000}"/>
    <cellStyle name="40% - Accent5 2 2 2 2 3" xfId="981" xr:uid="{00000000-0005-0000-0000-000050500000}"/>
    <cellStyle name="40% - Accent5 2 2 2 2 3 2" xfId="2261" xr:uid="{00000000-0005-0000-0000-000051500000}"/>
    <cellStyle name="40% - Accent5 2 2 2 2 3 2 2" xfId="4821" xr:uid="{00000000-0005-0000-0000-000052500000}"/>
    <cellStyle name="40% - Accent5 2 2 2 2 3 2 2 2" xfId="9941" xr:uid="{00000000-0005-0000-0000-000053500000}"/>
    <cellStyle name="40% - Accent5 2 2 2 2 3 2 2 2 2" xfId="20181" xr:uid="{00000000-0005-0000-0000-000054500000}"/>
    <cellStyle name="40% - Accent5 2 2 2 2 3 2 2 2 2 2" xfId="40661" xr:uid="{00000000-0005-0000-0000-000055500000}"/>
    <cellStyle name="40% - Accent5 2 2 2 2 3 2 2 2 3" xfId="30421" xr:uid="{00000000-0005-0000-0000-000056500000}"/>
    <cellStyle name="40% - Accent5 2 2 2 2 3 2 2 3" xfId="15061" xr:uid="{00000000-0005-0000-0000-000057500000}"/>
    <cellStyle name="40% - Accent5 2 2 2 2 3 2 2 3 2" xfId="35541" xr:uid="{00000000-0005-0000-0000-000058500000}"/>
    <cellStyle name="40% - Accent5 2 2 2 2 3 2 2 4" xfId="25301" xr:uid="{00000000-0005-0000-0000-000059500000}"/>
    <cellStyle name="40% - Accent5 2 2 2 2 3 2 3" xfId="7381" xr:uid="{00000000-0005-0000-0000-00005A500000}"/>
    <cellStyle name="40% - Accent5 2 2 2 2 3 2 3 2" xfId="17621" xr:uid="{00000000-0005-0000-0000-00005B500000}"/>
    <cellStyle name="40% - Accent5 2 2 2 2 3 2 3 2 2" xfId="38101" xr:uid="{00000000-0005-0000-0000-00005C500000}"/>
    <cellStyle name="40% - Accent5 2 2 2 2 3 2 3 3" xfId="27861" xr:uid="{00000000-0005-0000-0000-00005D500000}"/>
    <cellStyle name="40% - Accent5 2 2 2 2 3 2 4" xfId="12501" xr:uid="{00000000-0005-0000-0000-00005E500000}"/>
    <cellStyle name="40% - Accent5 2 2 2 2 3 2 4 2" xfId="32981" xr:uid="{00000000-0005-0000-0000-00005F500000}"/>
    <cellStyle name="40% - Accent5 2 2 2 2 3 2 5" xfId="22741" xr:uid="{00000000-0005-0000-0000-000060500000}"/>
    <cellStyle name="40% - Accent5 2 2 2 2 3 3" xfId="3541" xr:uid="{00000000-0005-0000-0000-000061500000}"/>
    <cellStyle name="40% - Accent5 2 2 2 2 3 3 2" xfId="8661" xr:uid="{00000000-0005-0000-0000-000062500000}"/>
    <cellStyle name="40% - Accent5 2 2 2 2 3 3 2 2" xfId="18901" xr:uid="{00000000-0005-0000-0000-000063500000}"/>
    <cellStyle name="40% - Accent5 2 2 2 2 3 3 2 2 2" xfId="39381" xr:uid="{00000000-0005-0000-0000-000064500000}"/>
    <cellStyle name="40% - Accent5 2 2 2 2 3 3 2 3" xfId="29141" xr:uid="{00000000-0005-0000-0000-000065500000}"/>
    <cellStyle name="40% - Accent5 2 2 2 2 3 3 3" xfId="13781" xr:uid="{00000000-0005-0000-0000-000066500000}"/>
    <cellStyle name="40% - Accent5 2 2 2 2 3 3 3 2" xfId="34261" xr:uid="{00000000-0005-0000-0000-000067500000}"/>
    <cellStyle name="40% - Accent5 2 2 2 2 3 3 4" xfId="24021" xr:uid="{00000000-0005-0000-0000-000068500000}"/>
    <cellStyle name="40% - Accent5 2 2 2 2 3 4" xfId="6101" xr:uid="{00000000-0005-0000-0000-000069500000}"/>
    <cellStyle name="40% - Accent5 2 2 2 2 3 4 2" xfId="16341" xr:uid="{00000000-0005-0000-0000-00006A500000}"/>
    <cellStyle name="40% - Accent5 2 2 2 2 3 4 2 2" xfId="36821" xr:uid="{00000000-0005-0000-0000-00006B500000}"/>
    <cellStyle name="40% - Accent5 2 2 2 2 3 4 3" xfId="26581" xr:uid="{00000000-0005-0000-0000-00006C500000}"/>
    <cellStyle name="40% - Accent5 2 2 2 2 3 5" xfId="11221" xr:uid="{00000000-0005-0000-0000-00006D500000}"/>
    <cellStyle name="40% - Accent5 2 2 2 2 3 5 2" xfId="31701" xr:uid="{00000000-0005-0000-0000-00006E500000}"/>
    <cellStyle name="40% - Accent5 2 2 2 2 3 6" xfId="21461" xr:uid="{00000000-0005-0000-0000-00006F500000}"/>
    <cellStyle name="40% - Accent5 2 2 2 2 4" xfId="1621" xr:uid="{00000000-0005-0000-0000-000070500000}"/>
    <cellStyle name="40% - Accent5 2 2 2 2 4 2" xfId="4181" xr:uid="{00000000-0005-0000-0000-000071500000}"/>
    <cellStyle name="40% - Accent5 2 2 2 2 4 2 2" xfId="9301" xr:uid="{00000000-0005-0000-0000-000072500000}"/>
    <cellStyle name="40% - Accent5 2 2 2 2 4 2 2 2" xfId="19541" xr:uid="{00000000-0005-0000-0000-000073500000}"/>
    <cellStyle name="40% - Accent5 2 2 2 2 4 2 2 2 2" xfId="40021" xr:uid="{00000000-0005-0000-0000-000074500000}"/>
    <cellStyle name="40% - Accent5 2 2 2 2 4 2 2 3" xfId="29781" xr:uid="{00000000-0005-0000-0000-000075500000}"/>
    <cellStyle name="40% - Accent5 2 2 2 2 4 2 3" xfId="14421" xr:uid="{00000000-0005-0000-0000-000076500000}"/>
    <cellStyle name="40% - Accent5 2 2 2 2 4 2 3 2" xfId="34901" xr:uid="{00000000-0005-0000-0000-000077500000}"/>
    <cellStyle name="40% - Accent5 2 2 2 2 4 2 4" xfId="24661" xr:uid="{00000000-0005-0000-0000-000078500000}"/>
    <cellStyle name="40% - Accent5 2 2 2 2 4 3" xfId="6741" xr:uid="{00000000-0005-0000-0000-000079500000}"/>
    <cellStyle name="40% - Accent5 2 2 2 2 4 3 2" xfId="16981" xr:uid="{00000000-0005-0000-0000-00007A500000}"/>
    <cellStyle name="40% - Accent5 2 2 2 2 4 3 2 2" xfId="37461" xr:uid="{00000000-0005-0000-0000-00007B500000}"/>
    <cellStyle name="40% - Accent5 2 2 2 2 4 3 3" xfId="27221" xr:uid="{00000000-0005-0000-0000-00007C500000}"/>
    <cellStyle name="40% - Accent5 2 2 2 2 4 4" xfId="11861" xr:uid="{00000000-0005-0000-0000-00007D500000}"/>
    <cellStyle name="40% - Accent5 2 2 2 2 4 4 2" xfId="32341" xr:uid="{00000000-0005-0000-0000-00007E500000}"/>
    <cellStyle name="40% - Accent5 2 2 2 2 4 5" xfId="22101" xr:uid="{00000000-0005-0000-0000-00007F500000}"/>
    <cellStyle name="40% - Accent5 2 2 2 2 5" xfId="2901" xr:uid="{00000000-0005-0000-0000-000080500000}"/>
    <cellStyle name="40% - Accent5 2 2 2 2 5 2" xfId="8021" xr:uid="{00000000-0005-0000-0000-000081500000}"/>
    <cellStyle name="40% - Accent5 2 2 2 2 5 2 2" xfId="18261" xr:uid="{00000000-0005-0000-0000-000082500000}"/>
    <cellStyle name="40% - Accent5 2 2 2 2 5 2 2 2" xfId="38741" xr:uid="{00000000-0005-0000-0000-000083500000}"/>
    <cellStyle name="40% - Accent5 2 2 2 2 5 2 3" xfId="28501" xr:uid="{00000000-0005-0000-0000-000084500000}"/>
    <cellStyle name="40% - Accent5 2 2 2 2 5 3" xfId="13141" xr:uid="{00000000-0005-0000-0000-000085500000}"/>
    <cellStyle name="40% - Accent5 2 2 2 2 5 3 2" xfId="33621" xr:uid="{00000000-0005-0000-0000-000086500000}"/>
    <cellStyle name="40% - Accent5 2 2 2 2 5 4" xfId="23381" xr:uid="{00000000-0005-0000-0000-000087500000}"/>
    <cellStyle name="40% - Accent5 2 2 2 2 6" xfId="5461" xr:uid="{00000000-0005-0000-0000-000088500000}"/>
    <cellStyle name="40% - Accent5 2 2 2 2 6 2" xfId="15701" xr:uid="{00000000-0005-0000-0000-000089500000}"/>
    <cellStyle name="40% - Accent5 2 2 2 2 6 2 2" xfId="36181" xr:uid="{00000000-0005-0000-0000-00008A500000}"/>
    <cellStyle name="40% - Accent5 2 2 2 2 6 3" xfId="25941" xr:uid="{00000000-0005-0000-0000-00008B500000}"/>
    <cellStyle name="40% - Accent5 2 2 2 2 7" xfId="10581" xr:uid="{00000000-0005-0000-0000-00008C500000}"/>
    <cellStyle name="40% - Accent5 2 2 2 2 7 2" xfId="31061" xr:uid="{00000000-0005-0000-0000-00008D500000}"/>
    <cellStyle name="40% - Accent5 2 2 2 2 8" xfId="20821" xr:uid="{00000000-0005-0000-0000-00008E500000}"/>
    <cellStyle name="40% - Accent5 2 2 2 3" xfId="501" xr:uid="{00000000-0005-0000-0000-00008F500000}"/>
    <cellStyle name="40% - Accent5 2 2 2 3 2" xfId="1141" xr:uid="{00000000-0005-0000-0000-000090500000}"/>
    <cellStyle name="40% - Accent5 2 2 2 3 2 2" xfId="2421" xr:uid="{00000000-0005-0000-0000-000091500000}"/>
    <cellStyle name="40% - Accent5 2 2 2 3 2 2 2" xfId="4981" xr:uid="{00000000-0005-0000-0000-000092500000}"/>
    <cellStyle name="40% - Accent5 2 2 2 3 2 2 2 2" xfId="10101" xr:uid="{00000000-0005-0000-0000-000093500000}"/>
    <cellStyle name="40% - Accent5 2 2 2 3 2 2 2 2 2" xfId="20341" xr:uid="{00000000-0005-0000-0000-000094500000}"/>
    <cellStyle name="40% - Accent5 2 2 2 3 2 2 2 2 2 2" xfId="40821" xr:uid="{00000000-0005-0000-0000-000095500000}"/>
    <cellStyle name="40% - Accent5 2 2 2 3 2 2 2 2 3" xfId="30581" xr:uid="{00000000-0005-0000-0000-000096500000}"/>
    <cellStyle name="40% - Accent5 2 2 2 3 2 2 2 3" xfId="15221" xr:uid="{00000000-0005-0000-0000-000097500000}"/>
    <cellStyle name="40% - Accent5 2 2 2 3 2 2 2 3 2" xfId="35701" xr:uid="{00000000-0005-0000-0000-000098500000}"/>
    <cellStyle name="40% - Accent5 2 2 2 3 2 2 2 4" xfId="25461" xr:uid="{00000000-0005-0000-0000-000099500000}"/>
    <cellStyle name="40% - Accent5 2 2 2 3 2 2 3" xfId="7541" xr:uid="{00000000-0005-0000-0000-00009A500000}"/>
    <cellStyle name="40% - Accent5 2 2 2 3 2 2 3 2" xfId="17781" xr:uid="{00000000-0005-0000-0000-00009B500000}"/>
    <cellStyle name="40% - Accent5 2 2 2 3 2 2 3 2 2" xfId="38261" xr:uid="{00000000-0005-0000-0000-00009C500000}"/>
    <cellStyle name="40% - Accent5 2 2 2 3 2 2 3 3" xfId="28021" xr:uid="{00000000-0005-0000-0000-00009D500000}"/>
    <cellStyle name="40% - Accent5 2 2 2 3 2 2 4" xfId="12661" xr:uid="{00000000-0005-0000-0000-00009E500000}"/>
    <cellStyle name="40% - Accent5 2 2 2 3 2 2 4 2" xfId="33141" xr:uid="{00000000-0005-0000-0000-00009F500000}"/>
    <cellStyle name="40% - Accent5 2 2 2 3 2 2 5" xfId="22901" xr:uid="{00000000-0005-0000-0000-0000A0500000}"/>
    <cellStyle name="40% - Accent5 2 2 2 3 2 3" xfId="3701" xr:uid="{00000000-0005-0000-0000-0000A1500000}"/>
    <cellStyle name="40% - Accent5 2 2 2 3 2 3 2" xfId="8821" xr:uid="{00000000-0005-0000-0000-0000A2500000}"/>
    <cellStyle name="40% - Accent5 2 2 2 3 2 3 2 2" xfId="19061" xr:uid="{00000000-0005-0000-0000-0000A3500000}"/>
    <cellStyle name="40% - Accent5 2 2 2 3 2 3 2 2 2" xfId="39541" xr:uid="{00000000-0005-0000-0000-0000A4500000}"/>
    <cellStyle name="40% - Accent5 2 2 2 3 2 3 2 3" xfId="29301" xr:uid="{00000000-0005-0000-0000-0000A5500000}"/>
    <cellStyle name="40% - Accent5 2 2 2 3 2 3 3" xfId="13941" xr:uid="{00000000-0005-0000-0000-0000A6500000}"/>
    <cellStyle name="40% - Accent5 2 2 2 3 2 3 3 2" xfId="34421" xr:uid="{00000000-0005-0000-0000-0000A7500000}"/>
    <cellStyle name="40% - Accent5 2 2 2 3 2 3 4" xfId="24181" xr:uid="{00000000-0005-0000-0000-0000A8500000}"/>
    <cellStyle name="40% - Accent5 2 2 2 3 2 4" xfId="6261" xr:uid="{00000000-0005-0000-0000-0000A9500000}"/>
    <cellStyle name="40% - Accent5 2 2 2 3 2 4 2" xfId="16501" xr:uid="{00000000-0005-0000-0000-0000AA500000}"/>
    <cellStyle name="40% - Accent5 2 2 2 3 2 4 2 2" xfId="36981" xr:uid="{00000000-0005-0000-0000-0000AB500000}"/>
    <cellStyle name="40% - Accent5 2 2 2 3 2 4 3" xfId="26741" xr:uid="{00000000-0005-0000-0000-0000AC500000}"/>
    <cellStyle name="40% - Accent5 2 2 2 3 2 5" xfId="11381" xr:uid="{00000000-0005-0000-0000-0000AD500000}"/>
    <cellStyle name="40% - Accent5 2 2 2 3 2 5 2" xfId="31861" xr:uid="{00000000-0005-0000-0000-0000AE500000}"/>
    <cellStyle name="40% - Accent5 2 2 2 3 2 6" xfId="21621" xr:uid="{00000000-0005-0000-0000-0000AF500000}"/>
    <cellStyle name="40% - Accent5 2 2 2 3 3" xfId="1781" xr:uid="{00000000-0005-0000-0000-0000B0500000}"/>
    <cellStyle name="40% - Accent5 2 2 2 3 3 2" xfId="4341" xr:uid="{00000000-0005-0000-0000-0000B1500000}"/>
    <cellStyle name="40% - Accent5 2 2 2 3 3 2 2" xfId="9461" xr:uid="{00000000-0005-0000-0000-0000B2500000}"/>
    <cellStyle name="40% - Accent5 2 2 2 3 3 2 2 2" xfId="19701" xr:uid="{00000000-0005-0000-0000-0000B3500000}"/>
    <cellStyle name="40% - Accent5 2 2 2 3 3 2 2 2 2" xfId="40181" xr:uid="{00000000-0005-0000-0000-0000B4500000}"/>
    <cellStyle name="40% - Accent5 2 2 2 3 3 2 2 3" xfId="29941" xr:uid="{00000000-0005-0000-0000-0000B5500000}"/>
    <cellStyle name="40% - Accent5 2 2 2 3 3 2 3" xfId="14581" xr:uid="{00000000-0005-0000-0000-0000B6500000}"/>
    <cellStyle name="40% - Accent5 2 2 2 3 3 2 3 2" xfId="35061" xr:uid="{00000000-0005-0000-0000-0000B7500000}"/>
    <cellStyle name="40% - Accent5 2 2 2 3 3 2 4" xfId="24821" xr:uid="{00000000-0005-0000-0000-0000B8500000}"/>
    <cellStyle name="40% - Accent5 2 2 2 3 3 3" xfId="6901" xr:uid="{00000000-0005-0000-0000-0000B9500000}"/>
    <cellStyle name="40% - Accent5 2 2 2 3 3 3 2" xfId="17141" xr:uid="{00000000-0005-0000-0000-0000BA500000}"/>
    <cellStyle name="40% - Accent5 2 2 2 3 3 3 2 2" xfId="37621" xr:uid="{00000000-0005-0000-0000-0000BB500000}"/>
    <cellStyle name="40% - Accent5 2 2 2 3 3 3 3" xfId="27381" xr:uid="{00000000-0005-0000-0000-0000BC500000}"/>
    <cellStyle name="40% - Accent5 2 2 2 3 3 4" xfId="12021" xr:uid="{00000000-0005-0000-0000-0000BD500000}"/>
    <cellStyle name="40% - Accent5 2 2 2 3 3 4 2" xfId="32501" xr:uid="{00000000-0005-0000-0000-0000BE500000}"/>
    <cellStyle name="40% - Accent5 2 2 2 3 3 5" xfId="22261" xr:uid="{00000000-0005-0000-0000-0000BF500000}"/>
    <cellStyle name="40% - Accent5 2 2 2 3 4" xfId="3061" xr:uid="{00000000-0005-0000-0000-0000C0500000}"/>
    <cellStyle name="40% - Accent5 2 2 2 3 4 2" xfId="8181" xr:uid="{00000000-0005-0000-0000-0000C1500000}"/>
    <cellStyle name="40% - Accent5 2 2 2 3 4 2 2" xfId="18421" xr:uid="{00000000-0005-0000-0000-0000C2500000}"/>
    <cellStyle name="40% - Accent5 2 2 2 3 4 2 2 2" xfId="38901" xr:uid="{00000000-0005-0000-0000-0000C3500000}"/>
    <cellStyle name="40% - Accent5 2 2 2 3 4 2 3" xfId="28661" xr:uid="{00000000-0005-0000-0000-0000C4500000}"/>
    <cellStyle name="40% - Accent5 2 2 2 3 4 3" xfId="13301" xr:uid="{00000000-0005-0000-0000-0000C5500000}"/>
    <cellStyle name="40% - Accent5 2 2 2 3 4 3 2" xfId="33781" xr:uid="{00000000-0005-0000-0000-0000C6500000}"/>
    <cellStyle name="40% - Accent5 2 2 2 3 4 4" xfId="23541" xr:uid="{00000000-0005-0000-0000-0000C7500000}"/>
    <cellStyle name="40% - Accent5 2 2 2 3 5" xfId="5621" xr:uid="{00000000-0005-0000-0000-0000C8500000}"/>
    <cellStyle name="40% - Accent5 2 2 2 3 5 2" xfId="15861" xr:uid="{00000000-0005-0000-0000-0000C9500000}"/>
    <cellStyle name="40% - Accent5 2 2 2 3 5 2 2" xfId="36341" xr:uid="{00000000-0005-0000-0000-0000CA500000}"/>
    <cellStyle name="40% - Accent5 2 2 2 3 5 3" xfId="26101" xr:uid="{00000000-0005-0000-0000-0000CB500000}"/>
    <cellStyle name="40% - Accent5 2 2 2 3 6" xfId="10741" xr:uid="{00000000-0005-0000-0000-0000CC500000}"/>
    <cellStyle name="40% - Accent5 2 2 2 3 6 2" xfId="31221" xr:uid="{00000000-0005-0000-0000-0000CD500000}"/>
    <cellStyle name="40% - Accent5 2 2 2 3 7" xfId="20981" xr:uid="{00000000-0005-0000-0000-0000CE500000}"/>
    <cellStyle name="40% - Accent5 2 2 2 4" xfId="821" xr:uid="{00000000-0005-0000-0000-0000CF500000}"/>
    <cellStyle name="40% - Accent5 2 2 2 4 2" xfId="2101" xr:uid="{00000000-0005-0000-0000-0000D0500000}"/>
    <cellStyle name="40% - Accent5 2 2 2 4 2 2" xfId="4661" xr:uid="{00000000-0005-0000-0000-0000D1500000}"/>
    <cellStyle name="40% - Accent5 2 2 2 4 2 2 2" xfId="9781" xr:uid="{00000000-0005-0000-0000-0000D2500000}"/>
    <cellStyle name="40% - Accent5 2 2 2 4 2 2 2 2" xfId="20021" xr:uid="{00000000-0005-0000-0000-0000D3500000}"/>
    <cellStyle name="40% - Accent5 2 2 2 4 2 2 2 2 2" xfId="40501" xr:uid="{00000000-0005-0000-0000-0000D4500000}"/>
    <cellStyle name="40% - Accent5 2 2 2 4 2 2 2 3" xfId="30261" xr:uid="{00000000-0005-0000-0000-0000D5500000}"/>
    <cellStyle name="40% - Accent5 2 2 2 4 2 2 3" xfId="14901" xr:uid="{00000000-0005-0000-0000-0000D6500000}"/>
    <cellStyle name="40% - Accent5 2 2 2 4 2 2 3 2" xfId="35381" xr:uid="{00000000-0005-0000-0000-0000D7500000}"/>
    <cellStyle name="40% - Accent5 2 2 2 4 2 2 4" xfId="25141" xr:uid="{00000000-0005-0000-0000-0000D8500000}"/>
    <cellStyle name="40% - Accent5 2 2 2 4 2 3" xfId="7221" xr:uid="{00000000-0005-0000-0000-0000D9500000}"/>
    <cellStyle name="40% - Accent5 2 2 2 4 2 3 2" xfId="17461" xr:uid="{00000000-0005-0000-0000-0000DA500000}"/>
    <cellStyle name="40% - Accent5 2 2 2 4 2 3 2 2" xfId="37941" xr:uid="{00000000-0005-0000-0000-0000DB500000}"/>
    <cellStyle name="40% - Accent5 2 2 2 4 2 3 3" xfId="27701" xr:uid="{00000000-0005-0000-0000-0000DC500000}"/>
    <cellStyle name="40% - Accent5 2 2 2 4 2 4" xfId="12341" xr:uid="{00000000-0005-0000-0000-0000DD500000}"/>
    <cellStyle name="40% - Accent5 2 2 2 4 2 4 2" xfId="32821" xr:uid="{00000000-0005-0000-0000-0000DE500000}"/>
    <cellStyle name="40% - Accent5 2 2 2 4 2 5" xfId="22581" xr:uid="{00000000-0005-0000-0000-0000DF500000}"/>
    <cellStyle name="40% - Accent5 2 2 2 4 3" xfId="3381" xr:uid="{00000000-0005-0000-0000-0000E0500000}"/>
    <cellStyle name="40% - Accent5 2 2 2 4 3 2" xfId="8501" xr:uid="{00000000-0005-0000-0000-0000E1500000}"/>
    <cellStyle name="40% - Accent5 2 2 2 4 3 2 2" xfId="18741" xr:uid="{00000000-0005-0000-0000-0000E2500000}"/>
    <cellStyle name="40% - Accent5 2 2 2 4 3 2 2 2" xfId="39221" xr:uid="{00000000-0005-0000-0000-0000E3500000}"/>
    <cellStyle name="40% - Accent5 2 2 2 4 3 2 3" xfId="28981" xr:uid="{00000000-0005-0000-0000-0000E4500000}"/>
    <cellStyle name="40% - Accent5 2 2 2 4 3 3" xfId="13621" xr:uid="{00000000-0005-0000-0000-0000E5500000}"/>
    <cellStyle name="40% - Accent5 2 2 2 4 3 3 2" xfId="34101" xr:uid="{00000000-0005-0000-0000-0000E6500000}"/>
    <cellStyle name="40% - Accent5 2 2 2 4 3 4" xfId="23861" xr:uid="{00000000-0005-0000-0000-0000E7500000}"/>
    <cellStyle name="40% - Accent5 2 2 2 4 4" xfId="5941" xr:uid="{00000000-0005-0000-0000-0000E8500000}"/>
    <cellStyle name="40% - Accent5 2 2 2 4 4 2" xfId="16181" xr:uid="{00000000-0005-0000-0000-0000E9500000}"/>
    <cellStyle name="40% - Accent5 2 2 2 4 4 2 2" xfId="36661" xr:uid="{00000000-0005-0000-0000-0000EA500000}"/>
    <cellStyle name="40% - Accent5 2 2 2 4 4 3" xfId="26421" xr:uid="{00000000-0005-0000-0000-0000EB500000}"/>
    <cellStyle name="40% - Accent5 2 2 2 4 5" xfId="11061" xr:uid="{00000000-0005-0000-0000-0000EC500000}"/>
    <cellStyle name="40% - Accent5 2 2 2 4 5 2" xfId="31541" xr:uid="{00000000-0005-0000-0000-0000ED500000}"/>
    <cellStyle name="40% - Accent5 2 2 2 4 6" xfId="21301" xr:uid="{00000000-0005-0000-0000-0000EE500000}"/>
    <cellStyle name="40% - Accent5 2 2 2 5" xfId="1461" xr:uid="{00000000-0005-0000-0000-0000EF500000}"/>
    <cellStyle name="40% - Accent5 2 2 2 5 2" xfId="4021" xr:uid="{00000000-0005-0000-0000-0000F0500000}"/>
    <cellStyle name="40% - Accent5 2 2 2 5 2 2" xfId="9141" xr:uid="{00000000-0005-0000-0000-0000F1500000}"/>
    <cellStyle name="40% - Accent5 2 2 2 5 2 2 2" xfId="19381" xr:uid="{00000000-0005-0000-0000-0000F2500000}"/>
    <cellStyle name="40% - Accent5 2 2 2 5 2 2 2 2" xfId="39861" xr:uid="{00000000-0005-0000-0000-0000F3500000}"/>
    <cellStyle name="40% - Accent5 2 2 2 5 2 2 3" xfId="29621" xr:uid="{00000000-0005-0000-0000-0000F4500000}"/>
    <cellStyle name="40% - Accent5 2 2 2 5 2 3" xfId="14261" xr:uid="{00000000-0005-0000-0000-0000F5500000}"/>
    <cellStyle name="40% - Accent5 2 2 2 5 2 3 2" xfId="34741" xr:uid="{00000000-0005-0000-0000-0000F6500000}"/>
    <cellStyle name="40% - Accent5 2 2 2 5 2 4" xfId="24501" xr:uid="{00000000-0005-0000-0000-0000F7500000}"/>
    <cellStyle name="40% - Accent5 2 2 2 5 3" xfId="6581" xr:uid="{00000000-0005-0000-0000-0000F8500000}"/>
    <cellStyle name="40% - Accent5 2 2 2 5 3 2" xfId="16821" xr:uid="{00000000-0005-0000-0000-0000F9500000}"/>
    <cellStyle name="40% - Accent5 2 2 2 5 3 2 2" xfId="37301" xr:uid="{00000000-0005-0000-0000-0000FA500000}"/>
    <cellStyle name="40% - Accent5 2 2 2 5 3 3" xfId="27061" xr:uid="{00000000-0005-0000-0000-0000FB500000}"/>
    <cellStyle name="40% - Accent5 2 2 2 5 4" xfId="11701" xr:uid="{00000000-0005-0000-0000-0000FC500000}"/>
    <cellStyle name="40% - Accent5 2 2 2 5 4 2" xfId="32181" xr:uid="{00000000-0005-0000-0000-0000FD500000}"/>
    <cellStyle name="40% - Accent5 2 2 2 5 5" xfId="21941" xr:uid="{00000000-0005-0000-0000-0000FE500000}"/>
    <cellStyle name="40% - Accent5 2 2 2 6" xfId="2741" xr:uid="{00000000-0005-0000-0000-0000FF500000}"/>
    <cellStyle name="40% - Accent5 2 2 2 6 2" xfId="7861" xr:uid="{00000000-0005-0000-0000-000000510000}"/>
    <cellStyle name="40% - Accent5 2 2 2 6 2 2" xfId="18101" xr:uid="{00000000-0005-0000-0000-000001510000}"/>
    <cellStyle name="40% - Accent5 2 2 2 6 2 2 2" xfId="38581" xr:uid="{00000000-0005-0000-0000-000002510000}"/>
    <cellStyle name="40% - Accent5 2 2 2 6 2 3" xfId="28341" xr:uid="{00000000-0005-0000-0000-000003510000}"/>
    <cellStyle name="40% - Accent5 2 2 2 6 3" xfId="12981" xr:uid="{00000000-0005-0000-0000-000004510000}"/>
    <cellStyle name="40% - Accent5 2 2 2 6 3 2" xfId="33461" xr:uid="{00000000-0005-0000-0000-000005510000}"/>
    <cellStyle name="40% - Accent5 2 2 2 6 4" xfId="23221" xr:uid="{00000000-0005-0000-0000-000006510000}"/>
    <cellStyle name="40% - Accent5 2 2 2 7" xfId="5301" xr:uid="{00000000-0005-0000-0000-000007510000}"/>
    <cellStyle name="40% - Accent5 2 2 2 7 2" xfId="15541" xr:uid="{00000000-0005-0000-0000-000008510000}"/>
    <cellStyle name="40% - Accent5 2 2 2 7 2 2" xfId="36021" xr:uid="{00000000-0005-0000-0000-000009510000}"/>
    <cellStyle name="40% - Accent5 2 2 2 7 3" xfId="25781" xr:uid="{00000000-0005-0000-0000-00000A510000}"/>
    <cellStyle name="40% - Accent5 2 2 2 8" xfId="10421" xr:uid="{00000000-0005-0000-0000-00000B510000}"/>
    <cellStyle name="40% - Accent5 2 2 2 8 2" xfId="30901" xr:uid="{00000000-0005-0000-0000-00000C510000}"/>
    <cellStyle name="40% - Accent5 2 2 2 9" xfId="20661" xr:uid="{00000000-0005-0000-0000-00000D510000}"/>
    <cellStyle name="40% - Accent5 2 2 3" xfId="261" xr:uid="{00000000-0005-0000-0000-00000E510000}"/>
    <cellStyle name="40% - Accent5 2 2 3 2" xfId="581" xr:uid="{00000000-0005-0000-0000-00000F510000}"/>
    <cellStyle name="40% - Accent5 2 2 3 2 2" xfId="1221" xr:uid="{00000000-0005-0000-0000-000010510000}"/>
    <cellStyle name="40% - Accent5 2 2 3 2 2 2" xfId="2501" xr:uid="{00000000-0005-0000-0000-000011510000}"/>
    <cellStyle name="40% - Accent5 2 2 3 2 2 2 2" xfId="5061" xr:uid="{00000000-0005-0000-0000-000012510000}"/>
    <cellStyle name="40% - Accent5 2 2 3 2 2 2 2 2" xfId="10181" xr:uid="{00000000-0005-0000-0000-000013510000}"/>
    <cellStyle name="40% - Accent5 2 2 3 2 2 2 2 2 2" xfId="20421" xr:uid="{00000000-0005-0000-0000-000014510000}"/>
    <cellStyle name="40% - Accent5 2 2 3 2 2 2 2 2 2 2" xfId="40901" xr:uid="{00000000-0005-0000-0000-000015510000}"/>
    <cellStyle name="40% - Accent5 2 2 3 2 2 2 2 2 3" xfId="30661" xr:uid="{00000000-0005-0000-0000-000016510000}"/>
    <cellStyle name="40% - Accent5 2 2 3 2 2 2 2 3" xfId="15301" xr:uid="{00000000-0005-0000-0000-000017510000}"/>
    <cellStyle name="40% - Accent5 2 2 3 2 2 2 2 3 2" xfId="35781" xr:uid="{00000000-0005-0000-0000-000018510000}"/>
    <cellStyle name="40% - Accent5 2 2 3 2 2 2 2 4" xfId="25541" xr:uid="{00000000-0005-0000-0000-000019510000}"/>
    <cellStyle name="40% - Accent5 2 2 3 2 2 2 3" xfId="7621" xr:uid="{00000000-0005-0000-0000-00001A510000}"/>
    <cellStyle name="40% - Accent5 2 2 3 2 2 2 3 2" xfId="17861" xr:uid="{00000000-0005-0000-0000-00001B510000}"/>
    <cellStyle name="40% - Accent5 2 2 3 2 2 2 3 2 2" xfId="38341" xr:uid="{00000000-0005-0000-0000-00001C510000}"/>
    <cellStyle name="40% - Accent5 2 2 3 2 2 2 3 3" xfId="28101" xr:uid="{00000000-0005-0000-0000-00001D510000}"/>
    <cellStyle name="40% - Accent5 2 2 3 2 2 2 4" xfId="12741" xr:uid="{00000000-0005-0000-0000-00001E510000}"/>
    <cellStyle name="40% - Accent5 2 2 3 2 2 2 4 2" xfId="33221" xr:uid="{00000000-0005-0000-0000-00001F510000}"/>
    <cellStyle name="40% - Accent5 2 2 3 2 2 2 5" xfId="22981" xr:uid="{00000000-0005-0000-0000-000020510000}"/>
    <cellStyle name="40% - Accent5 2 2 3 2 2 3" xfId="3781" xr:uid="{00000000-0005-0000-0000-000021510000}"/>
    <cellStyle name="40% - Accent5 2 2 3 2 2 3 2" xfId="8901" xr:uid="{00000000-0005-0000-0000-000022510000}"/>
    <cellStyle name="40% - Accent5 2 2 3 2 2 3 2 2" xfId="19141" xr:uid="{00000000-0005-0000-0000-000023510000}"/>
    <cellStyle name="40% - Accent5 2 2 3 2 2 3 2 2 2" xfId="39621" xr:uid="{00000000-0005-0000-0000-000024510000}"/>
    <cellStyle name="40% - Accent5 2 2 3 2 2 3 2 3" xfId="29381" xr:uid="{00000000-0005-0000-0000-000025510000}"/>
    <cellStyle name="40% - Accent5 2 2 3 2 2 3 3" xfId="14021" xr:uid="{00000000-0005-0000-0000-000026510000}"/>
    <cellStyle name="40% - Accent5 2 2 3 2 2 3 3 2" xfId="34501" xr:uid="{00000000-0005-0000-0000-000027510000}"/>
    <cellStyle name="40% - Accent5 2 2 3 2 2 3 4" xfId="24261" xr:uid="{00000000-0005-0000-0000-000028510000}"/>
    <cellStyle name="40% - Accent5 2 2 3 2 2 4" xfId="6341" xr:uid="{00000000-0005-0000-0000-000029510000}"/>
    <cellStyle name="40% - Accent5 2 2 3 2 2 4 2" xfId="16581" xr:uid="{00000000-0005-0000-0000-00002A510000}"/>
    <cellStyle name="40% - Accent5 2 2 3 2 2 4 2 2" xfId="37061" xr:uid="{00000000-0005-0000-0000-00002B510000}"/>
    <cellStyle name="40% - Accent5 2 2 3 2 2 4 3" xfId="26821" xr:uid="{00000000-0005-0000-0000-00002C510000}"/>
    <cellStyle name="40% - Accent5 2 2 3 2 2 5" xfId="11461" xr:uid="{00000000-0005-0000-0000-00002D510000}"/>
    <cellStyle name="40% - Accent5 2 2 3 2 2 5 2" xfId="31941" xr:uid="{00000000-0005-0000-0000-00002E510000}"/>
    <cellStyle name="40% - Accent5 2 2 3 2 2 6" xfId="21701" xr:uid="{00000000-0005-0000-0000-00002F510000}"/>
    <cellStyle name="40% - Accent5 2 2 3 2 3" xfId="1861" xr:uid="{00000000-0005-0000-0000-000030510000}"/>
    <cellStyle name="40% - Accent5 2 2 3 2 3 2" xfId="4421" xr:uid="{00000000-0005-0000-0000-000031510000}"/>
    <cellStyle name="40% - Accent5 2 2 3 2 3 2 2" xfId="9541" xr:uid="{00000000-0005-0000-0000-000032510000}"/>
    <cellStyle name="40% - Accent5 2 2 3 2 3 2 2 2" xfId="19781" xr:uid="{00000000-0005-0000-0000-000033510000}"/>
    <cellStyle name="40% - Accent5 2 2 3 2 3 2 2 2 2" xfId="40261" xr:uid="{00000000-0005-0000-0000-000034510000}"/>
    <cellStyle name="40% - Accent5 2 2 3 2 3 2 2 3" xfId="30021" xr:uid="{00000000-0005-0000-0000-000035510000}"/>
    <cellStyle name="40% - Accent5 2 2 3 2 3 2 3" xfId="14661" xr:uid="{00000000-0005-0000-0000-000036510000}"/>
    <cellStyle name="40% - Accent5 2 2 3 2 3 2 3 2" xfId="35141" xr:uid="{00000000-0005-0000-0000-000037510000}"/>
    <cellStyle name="40% - Accent5 2 2 3 2 3 2 4" xfId="24901" xr:uid="{00000000-0005-0000-0000-000038510000}"/>
    <cellStyle name="40% - Accent5 2 2 3 2 3 3" xfId="6981" xr:uid="{00000000-0005-0000-0000-000039510000}"/>
    <cellStyle name="40% - Accent5 2 2 3 2 3 3 2" xfId="17221" xr:uid="{00000000-0005-0000-0000-00003A510000}"/>
    <cellStyle name="40% - Accent5 2 2 3 2 3 3 2 2" xfId="37701" xr:uid="{00000000-0005-0000-0000-00003B510000}"/>
    <cellStyle name="40% - Accent5 2 2 3 2 3 3 3" xfId="27461" xr:uid="{00000000-0005-0000-0000-00003C510000}"/>
    <cellStyle name="40% - Accent5 2 2 3 2 3 4" xfId="12101" xr:uid="{00000000-0005-0000-0000-00003D510000}"/>
    <cellStyle name="40% - Accent5 2 2 3 2 3 4 2" xfId="32581" xr:uid="{00000000-0005-0000-0000-00003E510000}"/>
    <cellStyle name="40% - Accent5 2 2 3 2 3 5" xfId="22341" xr:uid="{00000000-0005-0000-0000-00003F510000}"/>
    <cellStyle name="40% - Accent5 2 2 3 2 4" xfId="3141" xr:uid="{00000000-0005-0000-0000-000040510000}"/>
    <cellStyle name="40% - Accent5 2 2 3 2 4 2" xfId="8261" xr:uid="{00000000-0005-0000-0000-000041510000}"/>
    <cellStyle name="40% - Accent5 2 2 3 2 4 2 2" xfId="18501" xr:uid="{00000000-0005-0000-0000-000042510000}"/>
    <cellStyle name="40% - Accent5 2 2 3 2 4 2 2 2" xfId="38981" xr:uid="{00000000-0005-0000-0000-000043510000}"/>
    <cellStyle name="40% - Accent5 2 2 3 2 4 2 3" xfId="28741" xr:uid="{00000000-0005-0000-0000-000044510000}"/>
    <cellStyle name="40% - Accent5 2 2 3 2 4 3" xfId="13381" xr:uid="{00000000-0005-0000-0000-000045510000}"/>
    <cellStyle name="40% - Accent5 2 2 3 2 4 3 2" xfId="33861" xr:uid="{00000000-0005-0000-0000-000046510000}"/>
    <cellStyle name="40% - Accent5 2 2 3 2 4 4" xfId="23621" xr:uid="{00000000-0005-0000-0000-000047510000}"/>
    <cellStyle name="40% - Accent5 2 2 3 2 5" xfId="5701" xr:uid="{00000000-0005-0000-0000-000048510000}"/>
    <cellStyle name="40% - Accent5 2 2 3 2 5 2" xfId="15941" xr:uid="{00000000-0005-0000-0000-000049510000}"/>
    <cellStyle name="40% - Accent5 2 2 3 2 5 2 2" xfId="36421" xr:uid="{00000000-0005-0000-0000-00004A510000}"/>
    <cellStyle name="40% - Accent5 2 2 3 2 5 3" xfId="26181" xr:uid="{00000000-0005-0000-0000-00004B510000}"/>
    <cellStyle name="40% - Accent5 2 2 3 2 6" xfId="10821" xr:uid="{00000000-0005-0000-0000-00004C510000}"/>
    <cellStyle name="40% - Accent5 2 2 3 2 6 2" xfId="31301" xr:uid="{00000000-0005-0000-0000-00004D510000}"/>
    <cellStyle name="40% - Accent5 2 2 3 2 7" xfId="21061" xr:uid="{00000000-0005-0000-0000-00004E510000}"/>
    <cellStyle name="40% - Accent5 2 2 3 3" xfId="901" xr:uid="{00000000-0005-0000-0000-00004F510000}"/>
    <cellStyle name="40% - Accent5 2 2 3 3 2" xfId="2181" xr:uid="{00000000-0005-0000-0000-000050510000}"/>
    <cellStyle name="40% - Accent5 2 2 3 3 2 2" xfId="4741" xr:uid="{00000000-0005-0000-0000-000051510000}"/>
    <cellStyle name="40% - Accent5 2 2 3 3 2 2 2" xfId="9861" xr:uid="{00000000-0005-0000-0000-000052510000}"/>
    <cellStyle name="40% - Accent5 2 2 3 3 2 2 2 2" xfId="20101" xr:uid="{00000000-0005-0000-0000-000053510000}"/>
    <cellStyle name="40% - Accent5 2 2 3 3 2 2 2 2 2" xfId="40581" xr:uid="{00000000-0005-0000-0000-000054510000}"/>
    <cellStyle name="40% - Accent5 2 2 3 3 2 2 2 3" xfId="30341" xr:uid="{00000000-0005-0000-0000-000055510000}"/>
    <cellStyle name="40% - Accent5 2 2 3 3 2 2 3" xfId="14981" xr:uid="{00000000-0005-0000-0000-000056510000}"/>
    <cellStyle name="40% - Accent5 2 2 3 3 2 2 3 2" xfId="35461" xr:uid="{00000000-0005-0000-0000-000057510000}"/>
    <cellStyle name="40% - Accent5 2 2 3 3 2 2 4" xfId="25221" xr:uid="{00000000-0005-0000-0000-000058510000}"/>
    <cellStyle name="40% - Accent5 2 2 3 3 2 3" xfId="7301" xr:uid="{00000000-0005-0000-0000-000059510000}"/>
    <cellStyle name="40% - Accent5 2 2 3 3 2 3 2" xfId="17541" xr:uid="{00000000-0005-0000-0000-00005A510000}"/>
    <cellStyle name="40% - Accent5 2 2 3 3 2 3 2 2" xfId="38021" xr:uid="{00000000-0005-0000-0000-00005B510000}"/>
    <cellStyle name="40% - Accent5 2 2 3 3 2 3 3" xfId="27781" xr:uid="{00000000-0005-0000-0000-00005C510000}"/>
    <cellStyle name="40% - Accent5 2 2 3 3 2 4" xfId="12421" xr:uid="{00000000-0005-0000-0000-00005D510000}"/>
    <cellStyle name="40% - Accent5 2 2 3 3 2 4 2" xfId="32901" xr:uid="{00000000-0005-0000-0000-00005E510000}"/>
    <cellStyle name="40% - Accent5 2 2 3 3 2 5" xfId="22661" xr:uid="{00000000-0005-0000-0000-00005F510000}"/>
    <cellStyle name="40% - Accent5 2 2 3 3 3" xfId="3461" xr:uid="{00000000-0005-0000-0000-000060510000}"/>
    <cellStyle name="40% - Accent5 2 2 3 3 3 2" xfId="8581" xr:uid="{00000000-0005-0000-0000-000061510000}"/>
    <cellStyle name="40% - Accent5 2 2 3 3 3 2 2" xfId="18821" xr:uid="{00000000-0005-0000-0000-000062510000}"/>
    <cellStyle name="40% - Accent5 2 2 3 3 3 2 2 2" xfId="39301" xr:uid="{00000000-0005-0000-0000-000063510000}"/>
    <cellStyle name="40% - Accent5 2 2 3 3 3 2 3" xfId="29061" xr:uid="{00000000-0005-0000-0000-000064510000}"/>
    <cellStyle name="40% - Accent5 2 2 3 3 3 3" xfId="13701" xr:uid="{00000000-0005-0000-0000-000065510000}"/>
    <cellStyle name="40% - Accent5 2 2 3 3 3 3 2" xfId="34181" xr:uid="{00000000-0005-0000-0000-000066510000}"/>
    <cellStyle name="40% - Accent5 2 2 3 3 3 4" xfId="23941" xr:uid="{00000000-0005-0000-0000-000067510000}"/>
    <cellStyle name="40% - Accent5 2 2 3 3 4" xfId="6021" xr:uid="{00000000-0005-0000-0000-000068510000}"/>
    <cellStyle name="40% - Accent5 2 2 3 3 4 2" xfId="16261" xr:uid="{00000000-0005-0000-0000-000069510000}"/>
    <cellStyle name="40% - Accent5 2 2 3 3 4 2 2" xfId="36741" xr:uid="{00000000-0005-0000-0000-00006A510000}"/>
    <cellStyle name="40% - Accent5 2 2 3 3 4 3" xfId="26501" xr:uid="{00000000-0005-0000-0000-00006B510000}"/>
    <cellStyle name="40% - Accent5 2 2 3 3 5" xfId="11141" xr:uid="{00000000-0005-0000-0000-00006C510000}"/>
    <cellStyle name="40% - Accent5 2 2 3 3 5 2" xfId="31621" xr:uid="{00000000-0005-0000-0000-00006D510000}"/>
    <cellStyle name="40% - Accent5 2 2 3 3 6" xfId="21381" xr:uid="{00000000-0005-0000-0000-00006E510000}"/>
    <cellStyle name="40% - Accent5 2 2 3 4" xfId="1541" xr:uid="{00000000-0005-0000-0000-00006F510000}"/>
    <cellStyle name="40% - Accent5 2 2 3 4 2" xfId="4101" xr:uid="{00000000-0005-0000-0000-000070510000}"/>
    <cellStyle name="40% - Accent5 2 2 3 4 2 2" xfId="9221" xr:uid="{00000000-0005-0000-0000-000071510000}"/>
    <cellStyle name="40% - Accent5 2 2 3 4 2 2 2" xfId="19461" xr:uid="{00000000-0005-0000-0000-000072510000}"/>
    <cellStyle name="40% - Accent5 2 2 3 4 2 2 2 2" xfId="39941" xr:uid="{00000000-0005-0000-0000-000073510000}"/>
    <cellStyle name="40% - Accent5 2 2 3 4 2 2 3" xfId="29701" xr:uid="{00000000-0005-0000-0000-000074510000}"/>
    <cellStyle name="40% - Accent5 2 2 3 4 2 3" xfId="14341" xr:uid="{00000000-0005-0000-0000-000075510000}"/>
    <cellStyle name="40% - Accent5 2 2 3 4 2 3 2" xfId="34821" xr:uid="{00000000-0005-0000-0000-000076510000}"/>
    <cellStyle name="40% - Accent5 2 2 3 4 2 4" xfId="24581" xr:uid="{00000000-0005-0000-0000-000077510000}"/>
    <cellStyle name="40% - Accent5 2 2 3 4 3" xfId="6661" xr:uid="{00000000-0005-0000-0000-000078510000}"/>
    <cellStyle name="40% - Accent5 2 2 3 4 3 2" xfId="16901" xr:uid="{00000000-0005-0000-0000-000079510000}"/>
    <cellStyle name="40% - Accent5 2 2 3 4 3 2 2" xfId="37381" xr:uid="{00000000-0005-0000-0000-00007A510000}"/>
    <cellStyle name="40% - Accent5 2 2 3 4 3 3" xfId="27141" xr:uid="{00000000-0005-0000-0000-00007B510000}"/>
    <cellStyle name="40% - Accent5 2 2 3 4 4" xfId="11781" xr:uid="{00000000-0005-0000-0000-00007C510000}"/>
    <cellStyle name="40% - Accent5 2 2 3 4 4 2" xfId="32261" xr:uid="{00000000-0005-0000-0000-00007D510000}"/>
    <cellStyle name="40% - Accent5 2 2 3 4 5" xfId="22021" xr:uid="{00000000-0005-0000-0000-00007E510000}"/>
    <cellStyle name="40% - Accent5 2 2 3 5" xfId="2821" xr:uid="{00000000-0005-0000-0000-00007F510000}"/>
    <cellStyle name="40% - Accent5 2 2 3 5 2" xfId="7941" xr:uid="{00000000-0005-0000-0000-000080510000}"/>
    <cellStyle name="40% - Accent5 2 2 3 5 2 2" xfId="18181" xr:uid="{00000000-0005-0000-0000-000081510000}"/>
    <cellStyle name="40% - Accent5 2 2 3 5 2 2 2" xfId="38661" xr:uid="{00000000-0005-0000-0000-000082510000}"/>
    <cellStyle name="40% - Accent5 2 2 3 5 2 3" xfId="28421" xr:uid="{00000000-0005-0000-0000-000083510000}"/>
    <cellStyle name="40% - Accent5 2 2 3 5 3" xfId="13061" xr:uid="{00000000-0005-0000-0000-000084510000}"/>
    <cellStyle name="40% - Accent5 2 2 3 5 3 2" xfId="33541" xr:uid="{00000000-0005-0000-0000-000085510000}"/>
    <cellStyle name="40% - Accent5 2 2 3 5 4" xfId="23301" xr:uid="{00000000-0005-0000-0000-000086510000}"/>
    <cellStyle name="40% - Accent5 2 2 3 6" xfId="5381" xr:uid="{00000000-0005-0000-0000-000087510000}"/>
    <cellStyle name="40% - Accent5 2 2 3 6 2" xfId="15621" xr:uid="{00000000-0005-0000-0000-000088510000}"/>
    <cellStyle name="40% - Accent5 2 2 3 6 2 2" xfId="36101" xr:uid="{00000000-0005-0000-0000-000089510000}"/>
    <cellStyle name="40% - Accent5 2 2 3 6 3" xfId="25861" xr:uid="{00000000-0005-0000-0000-00008A510000}"/>
    <cellStyle name="40% - Accent5 2 2 3 7" xfId="10501" xr:uid="{00000000-0005-0000-0000-00008B510000}"/>
    <cellStyle name="40% - Accent5 2 2 3 7 2" xfId="30981" xr:uid="{00000000-0005-0000-0000-00008C510000}"/>
    <cellStyle name="40% - Accent5 2 2 3 8" xfId="20741" xr:uid="{00000000-0005-0000-0000-00008D510000}"/>
    <cellStyle name="40% - Accent5 2 2 4" xfId="421" xr:uid="{00000000-0005-0000-0000-00008E510000}"/>
    <cellStyle name="40% - Accent5 2 2 4 2" xfId="1061" xr:uid="{00000000-0005-0000-0000-00008F510000}"/>
    <cellStyle name="40% - Accent5 2 2 4 2 2" xfId="2341" xr:uid="{00000000-0005-0000-0000-000090510000}"/>
    <cellStyle name="40% - Accent5 2 2 4 2 2 2" xfId="4901" xr:uid="{00000000-0005-0000-0000-000091510000}"/>
    <cellStyle name="40% - Accent5 2 2 4 2 2 2 2" xfId="10021" xr:uid="{00000000-0005-0000-0000-000092510000}"/>
    <cellStyle name="40% - Accent5 2 2 4 2 2 2 2 2" xfId="20261" xr:uid="{00000000-0005-0000-0000-000093510000}"/>
    <cellStyle name="40% - Accent5 2 2 4 2 2 2 2 2 2" xfId="40741" xr:uid="{00000000-0005-0000-0000-000094510000}"/>
    <cellStyle name="40% - Accent5 2 2 4 2 2 2 2 3" xfId="30501" xr:uid="{00000000-0005-0000-0000-000095510000}"/>
    <cellStyle name="40% - Accent5 2 2 4 2 2 2 3" xfId="15141" xr:uid="{00000000-0005-0000-0000-000096510000}"/>
    <cellStyle name="40% - Accent5 2 2 4 2 2 2 3 2" xfId="35621" xr:uid="{00000000-0005-0000-0000-000097510000}"/>
    <cellStyle name="40% - Accent5 2 2 4 2 2 2 4" xfId="25381" xr:uid="{00000000-0005-0000-0000-000098510000}"/>
    <cellStyle name="40% - Accent5 2 2 4 2 2 3" xfId="7461" xr:uid="{00000000-0005-0000-0000-000099510000}"/>
    <cellStyle name="40% - Accent5 2 2 4 2 2 3 2" xfId="17701" xr:uid="{00000000-0005-0000-0000-00009A510000}"/>
    <cellStyle name="40% - Accent5 2 2 4 2 2 3 2 2" xfId="38181" xr:uid="{00000000-0005-0000-0000-00009B510000}"/>
    <cellStyle name="40% - Accent5 2 2 4 2 2 3 3" xfId="27941" xr:uid="{00000000-0005-0000-0000-00009C510000}"/>
    <cellStyle name="40% - Accent5 2 2 4 2 2 4" xfId="12581" xr:uid="{00000000-0005-0000-0000-00009D510000}"/>
    <cellStyle name="40% - Accent5 2 2 4 2 2 4 2" xfId="33061" xr:uid="{00000000-0005-0000-0000-00009E510000}"/>
    <cellStyle name="40% - Accent5 2 2 4 2 2 5" xfId="22821" xr:uid="{00000000-0005-0000-0000-00009F510000}"/>
    <cellStyle name="40% - Accent5 2 2 4 2 3" xfId="3621" xr:uid="{00000000-0005-0000-0000-0000A0510000}"/>
    <cellStyle name="40% - Accent5 2 2 4 2 3 2" xfId="8741" xr:uid="{00000000-0005-0000-0000-0000A1510000}"/>
    <cellStyle name="40% - Accent5 2 2 4 2 3 2 2" xfId="18981" xr:uid="{00000000-0005-0000-0000-0000A2510000}"/>
    <cellStyle name="40% - Accent5 2 2 4 2 3 2 2 2" xfId="39461" xr:uid="{00000000-0005-0000-0000-0000A3510000}"/>
    <cellStyle name="40% - Accent5 2 2 4 2 3 2 3" xfId="29221" xr:uid="{00000000-0005-0000-0000-0000A4510000}"/>
    <cellStyle name="40% - Accent5 2 2 4 2 3 3" xfId="13861" xr:uid="{00000000-0005-0000-0000-0000A5510000}"/>
    <cellStyle name="40% - Accent5 2 2 4 2 3 3 2" xfId="34341" xr:uid="{00000000-0005-0000-0000-0000A6510000}"/>
    <cellStyle name="40% - Accent5 2 2 4 2 3 4" xfId="24101" xr:uid="{00000000-0005-0000-0000-0000A7510000}"/>
    <cellStyle name="40% - Accent5 2 2 4 2 4" xfId="6181" xr:uid="{00000000-0005-0000-0000-0000A8510000}"/>
    <cellStyle name="40% - Accent5 2 2 4 2 4 2" xfId="16421" xr:uid="{00000000-0005-0000-0000-0000A9510000}"/>
    <cellStyle name="40% - Accent5 2 2 4 2 4 2 2" xfId="36901" xr:uid="{00000000-0005-0000-0000-0000AA510000}"/>
    <cellStyle name="40% - Accent5 2 2 4 2 4 3" xfId="26661" xr:uid="{00000000-0005-0000-0000-0000AB510000}"/>
    <cellStyle name="40% - Accent5 2 2 4 2 5" xfId="11301" xr:uid="{00000000-0005-0000-0000-0000AC510000}"/>
    <cellStyle name="40% - Accent5 2 2 4 2 5 2" xfId="31781" xr:uid="{00000000-0005-0000-0000-0000AD510000}"/>
    <cellStyle name="40% - Accent5 2 2 4 2 6" xfId="21541" xr:uid="{00000000-0005-0000-0000-0000AE510000}"/>
    <cellStyle name="40% - Accent5 2 2 4 3" xfId="1701" xr:uid="{00000000-0005-0000-0000-0000AF510000}"/>
    <cellStyle name="40% - Accent5 2 2 4 3 2" xfId="4261" xr:uid="{00000000-0005-0000-0000-0000B0510000}"/>
    <cellStyle name="40% - Accent5 2 2 4 3 2 2" xfId="9381" xr:uid="{00000000-0005-0000-0000-0000B1510000}"/>
    <cellStyle name="40% - Accent5 2 2 4 3 2 2 2" xfId="19621" xr:uid="{00000000-0005-0000-0000-0000B2510000}"/>
    <cellStyle name="40% - Accent5 2 2 4 3 2 2 2 2" xfId="40101" xr:uid="{00000000-0005-0000-0000-0000B3510000}"/>
    <cellStyle name="40% - Accent5 2 2 4 3 2 2 3" xfId="29861" xr:uid="{00000000-0005-0000-0000-0000B4510000}"/>
    <cellStyle name="40% - Accent5 2 2 4 3 2 3" xfId="14501" xr:uid="{00000000-0005-0000-0000-0000B5510000}"/>
    <cellStyle name="40% - Accent5 2 2 4 3 2 3 2" xfId="34981" xr:uid="{00000000-0005-0000-0000-0000B6510000}"/>
    <cellStyle name="40% - Accent5 2 2 4 3 2 4" xfId="24741" xr:uid="{00000000-0005-0000-0000-0000B7510000}"/>
    <cellStyle name="40% - Accent5 2 2 4 3 3" xfId="6821" xr:uid="{00000000-0005-0000-0000-0000B8510000}"/>
    <cellStyle name="40% - Accent5 2 2 4 3 3 2" xfId="17061" xr:uid="{00000000-0005-0000-0000-0000B9510000}"/>
    <cellStyle name="40% - Accent5 2 2 4 3 3 2 2" xfId="37541" xr:uid="{00000000-0005-0000-0000-0000BA510000}"/>
    <cellStyle name="40% - Accent5 2 2 4 3 3 3" xfId="27301" xr:uid="{00000000-0005-0000-0000-0000BB510000}"/>
    <cellStyle name="40% - Accent5 2 2 4 3 4" xfId="11941" xr:uid="{00000000-0005-0000-0000-0000BC510000}"/>
    <cellStyle name="40% - Accent5 2 2 4 3 4 2" xfId="32421" xr:uid="{00000000-0005-0000-0000-0000BD510000}"/>
    <cellStyle name="40% - Accent5 2 2 4 3 5" xfId="22181" xr:uid="{00000000-0005-0000-0000-0000BE510000}"/>
    <cellStyle name="40% - Accent5 2 2 4 4" xfId="2981" xr:uid="{00000000-0005-0000-0000-0000BF510000}"/>
    <cellStyle name="40% - Accent5 2 2 4 4 2" xfId="8101" xr:uid="{00000000-0005-0000-0000-0000C0510000}"/>
    <cellStyle name="40% - Accent5 2 2 4 4 2 2" xfId="18341" xr:uid="{00000000-0005-0000-0000-0000C1510000}"/>
    <cellStyle name="40% - Accent5 2 2 4 4 2 2 2" xfId="38821" xr:uid="{00000000-0005-0000-0000-0000C2510000}"/>
    <cellStyle name="40% - Accent5 2 2 4 4 2 3" xfId="28581" xr:uid="{00000000-0005-0000-0000-0000C3510000}"/>
    <cellStyle name="40% - Accent5 2 2 4 4 3" xfId="13221" xr:uid="{00000000-0005-0000-0000-0000C4510000}"/>
    <cellStyle name="40% - Accent5 2 2 4 4 3 2" xfId="33701" xr:uid="{00000000-0005-0000-0000-0000C5510000}"/>
    <cellStyle name="40% - Accent5 2 2 4 4 4" xfId="23461" xr:uid="{00000000-0005-0000-0000-0000C6510000}"/>
    <cellStyle name="40% - Accent5 2 2 4 5" xfId="5541" xr:uid="{00000000-0005-0000-0000-0000C7510000}"/>
    <cellStyle name="40% - Accent5 2 2 4 5 2" xfId="15781" xr:uid="{00000000-0005-0000-0000-0000C8510000}"/>
    <cellStyle name="40% - Accent5 2 2 4 5 2 2" xfId="36261" xr:uid="{00000000-0005-0000-0000-0000C9510000}"/>
    <cellStyle name="40% - Accent5 2 2 4 5 3" xfId="26021" xr:uid="{00000000-0005-0000-0000-0000CA510000}"/>
    <cellStyle name="40% - Accent5 2 2 4 6" xfId="10661" xr:uid="{00000000-0005-0000-0000-0000CB510000}"/>
    <cellStyle name="40% - Accent5 2 2 4 6 2" xfId="31141" xr:uid="{00000000-0005-0000-0000-0000CC510000}"/>
    <cellStyle name="40% - Accent5 2 2 4 7" xfId="20901" xr:uid="{00000000-0005-0000-0000-0000CD510000}"/>
    <cellStyle name="40% - Accent5 2 2 5" xfId="741" xr:uid="{00000000-0005-0000-0000-0000CE510000}"/>
    <cellStyle name="40% - Accent5 2 2 5 2" xfId="2021" xr:uid="{00000000-0005-0000-0000-0000CF510000}"/>
    <cellStyle name="40% - Accent5 2 2 5 2 2" xfId="4581" xr:uid="{00000000-0005-0000-0000-0000D0510000}"/>
    <cellStyle name="40% - Accent5 2 2 5 2 2 2" xfId="9701" xr:uid="{00000000-0005-0000-0000-0000D1510000}"/>
    <cellStyle name="40% - Accent5 2 2 5 2 2 2 2" xfId="19941" xr:uid="{00000000-0005-0000-0000-0000D2510000}"/>
    <cellStyle name="40% - Accent5 2 2 5 2 2 2 2 2" xfId="40421" xr:uid="{00000000-0005-0000-0000-0000D3510000}"/>
    <cellStyle name="40% - Accent5 2 2 5 2 2 2 3" xfId="30181" xr:uid="{00000000-0005-0000-0000-0000D4510000}"/>
    <cellStyle name="40% - Accent5 2 2 5 2 2 3" xfId="14821" xr:uid="{00000000-0005-0000-0000-0000D5510000}"/>
    <cellStyle name="40% - Accent5 2 2 5 2 2 3 2" xfId="35301" xr:uid="{00000000-0005-0000-0000-0000D6510000}"/>
    <cellStyle name="40% - Accent5 2 2 5 2 2 4" xfId="25061" xr:uid="{00000000-0005-0000-0000-0000D7510000}"/>
    <cellStyle name="40% - Accent5 2 2 5 2 3" xfId="7141" xr:uid="{00000000-0005-0000-0000-0000D8510000}"/>
    <cellStyle name="40% - Accent5 2 2 5 2 3 2" xfId="17381" xr:uid="{00000000-0005-0000-0000-0000D9510000}"/>
    <cellStyle name="40% - Accent5 2 2 5 2 3 2 2" xfId="37861" xr:uid="{00000000-0005-0000-0000-0000DA510000}"/>
    <cellStyle name="40% - Accent5 2 2 5 2 3 3" xfId="27621" xr:uid="{00000000-0005-0000-0000-0000DB510000}"/>
    <cellStyle name="40% - Accent5 2 2 5 2 4" xfId="12261" xr:uid="{00000000-0005-0000-0000-0000DC510000}"/>
    <cellStyle name="40% - Accent5 2 2 5 2 4 2" xfId="32741" xr:uid="{00000000-0005-0000-0000-0000DD510000}"/>
    <cellStyle name="40% - Accent5 2 2 5 2 5" xfId="22501" xr:uid="{00000000-0005-0000-0000-0000DE510000}"/>
    <cellStyle name="40% - Accent5 2 2 5 3" xfId="3301" xr:uid="{00000000-0005-0000-0000-0000DF510000}"/>
    <cellStyle name="40% - Accent5 2 2 5 3 2" xfId="8421" xr:uid="{00000000-0005-0000-0000-0000E0510000}"/>
    <cellStyle name="40% - Accent5 2 2 5 3 2 2" xfId="18661" xr:uid="{00000000-0005-0000-0000-0000E1510000}"/>
    <cellStyle name="40% - Accent5 2 2 5 3 2 2 2" xfId="39141" xr:uid="{00000000-0005-0000-0000-0000E2510000}"/>
    <cellStyle name="40% - Accent5 2 2 5 3 2 3" xfId="28901" xr:uid="{00000000-0005-0000-0000-0000E3510000}"/>
    <cellStyle name="40% - Accent5 2 2 5 3 3" xfId="13541" xr:uid="{00000000-0005-0000-0000-0000E4510000}"/>
    <cellStyle name="40% - Accent5 2 2 5 3 3 2" xfId="34021" xr:uid="{00000000-0005-0000-0000-0000E5510000}"/>
    <cellStyle name="40% - Accent5 2 2 5 3 4" xfId="23781" xr:uid="{00000000-0005-0000-0000-0000E6510000}"/>
    <cellStyle name="40% - Accent5 2 2 5 4" xfId="5861" xr:uid="{00000000-0005-0000-0000-0000E7510000}"/>
    <cellStyle name="40% - Accent5 2 2 5 4 2" xfId="16101" xr:uid="{00000000-0005-0000-0000-0000E8510000}"/>
    <cellStyle name="40% - Accent5 2 2 5 4 2 2" xfId="36581" xr:uid="{00000000-0005-0000-0000-0000E9510000}"/>
    <cellStyle name="40% - Accent5 2 2 5 4 3" xfId="26341" xr:uid="{00000000-0005-0000-0000-0000EA510000}"/>
    <cellStyle name="40% - Accent5 2 2 5 5" xfId="10981" xr:uid="{00000000-0005-0000-0000-0000EB510000}"/>
    <cellStyle name="40% - Accent5 2 2 5 5 2" xfId="31461" xr:uid="{00000000-0005-0000-0000-0000EC510000}"/>
    <cellStyle name="40% - Accent5 2 2 5 6" xfId="21221" xr:uid="{00000000-0005-0000-0000-0000ED510000}"/>
    <cellStyle name="40% - Accent5 2 2 6" xfId="1381" xr:uid="{00000000-0005-0000-0000-0000EE510000}"/>
    <cellStyle name="40% - Accent5 2 2 6 2" xfId="3941" xr:uid="{00000000-0005-0000-0000-0000EF510000}"/>
    <cellStyle name="40% - Accent5 2 2 6 2 2" xfId="9061" xr:uid="{00000000-0005-0000-0000-0000F0510000}"/>
    <cellStyle name="40% - Accent5 2 2 6 2 2 2" xfId="19301" xr:uid="{00000000-0005-0000-0000-0000F1510000}"/>
    <cellStyle name="40% - Accent5 2 2 6 2 2 2 2" xfId="39781" xr:uid="{00000000-0005-0000-0000-0000F2510000}"/>
    <cellStyle name="40% - Accent5 2 2 6 2 2 3" xfId="29541" xr:uid="{00000000-0005-0000-0000-0000F3510000}"/>
    <cellStyle name="40% - Accent5 2 2 6 2 3" xfId="14181" xr:uid="{00000000-0005-0000-0000-0000F4510000}"/>
    <cellStyle name="40% - Accent5 2 2 6 2 3 2" xfId="34661" xr:uid="{00000000-0005-0000-0000-0000F5510000}"/>
    <cellStyle name="40% - Accent5 2 2 6 2 4" xfId="24421" xr:uid="{00000000-0005-0000-0000-0000F6510000}"/>
    <cellStyle name="40% - Accent5 2 2 6 3" xfId="6501" xr:uid="{00000000-0005-0000-0000-0000F7510000}"/>
    <cellStyle name="40% - Accent5 2 2 6 3 2" xfId="16741" xr:uid="{00000000-0005-0000-0000-0000F8510000}"/>
    <cellStyle name="40% - Accent5 2 2 6 3 2 2" xfId="37221" xr:uid="{00000000-0005-0000-0000-0000F9510000}"/>
    <cellStyle name="40% - Accent5 2 2 6 3 3" xfId="26981" xr:uid="{00000000-0005-0000-0000-0000FA510000}"/>
    <cellStyle name="40% - Accent5 2 2 6 4" xfId="11621" xr:uid="{00000000-0005-0000-0000-0000FB510000}"/>
    <cellStyle name="40% - Accent5 2 2 6 4 2" xfId="32101" xr:uid="{00000000-0005-0000-0000-0000FC510000}"/>
    <cellStyle name="40% - Accent5 2 2 6 5" xfId="21861" xr:uid="{00000000-0005-0000-0000-0000FD510000}"/>
    <cellStyle name="40% - Accent5 2 2 7" xfId="2661" xr:uid="{00000000-0005-0000-0000-0000FE510000}"/>
    <cellStyle name="40% - Accent5 2 2 7 2" xfId="7781" xr:uid="{00000000-0005-0000-0000-0000FF510000}"/>
    <cellStyle name="40% - Accent5 2 2 7 2 2" xfId="18021" xr:uid="{00000000-0005-0000-0000-000000520000}"/>
    <cellStyle name="40% - Accent5 2 2 7 2 2 2" xfId="38501" xr:uid="{00000000-0005-0000-0000-000001520000}"/>
    <cellStyle name="40% - Accent5 2 2 7 2 3" xfId="28261" xr:uid="{00000000-0005-0000-0000-000002520000}"/>
    <cellStyle name="40% - Accent5 2 2 7 3" xfId="12901" xr:uid="{00000000-0005-0000-0000-000003520000}"/>
    <cellStyle name="40% - Accent5 2 2 7 3 2" xfId="33381" xr:uid="{00000000-0005-0000-0000-000004520000}"/>
    <cellStyle name="40% - Accent5 2 2 7 4" xfId="23141" xr:uid="{00000000-0005-0000-0000-000005520000}"/>
    <cellStyle name="40% - Accent5 2 2 8" xfId="5221" xr:uid="{00000000-0005-0000-0000-000006520000}"/>
    <cellStyle name="40% - Accent5 2 2 8 2" xfId="15461" xr:uid="{00000000-0005-0000-0000-000007520000}"/>
    <cellStyle name="40% - Accent5 2 2 8 2 2" xfId="35941" xr:uid="{00000000-0005-0000-0000-000008520000}"/>
    <cellStyle name="40% - Accent5 2 2 8 3" xfId="25701" xr:uid="{00000000-0005-0000-0000-000009520000}"/>
    <cellStyle name="40% - Accent5 2 2 9" xfId="10341" xr:uid="{00000000-0005-0000-0000-00000A520000}"/>
    <cellStyle name="40% - Accent5 2 2 9 2" xfId="30821" xr:uid="{00000000-0005-0000-0000-00000B520000}"/>
    <cellStyle name="40% - Accent5 2 3" xfId="141" xr:uid="{00000000-0005-0000-0000-00000C520000}"/>
    <cellStyle name="40% - Accent5 2 3 2" xfId="301" xr:uid="{00000000-0005-0000-0000-00000D520000}"/>
    <cellStyle name="40% - Accent5 2 3 2 2" xfId="621" xr:uid="{00000000-0005-0000-0000-00000E520000}"/>
    <cellStyle name="40% - Accent5 2 3 2 2 2" xfId="1261" xr:uid="{00000000-0005-0000-0000-00000F520000}"/>
    <cellStyle name="40% - Accent5 2 3 2 2 2 2" xfId="2541" xr:uid="{00000000-0005-0000-0000-000010520000}"/>
    <cellStyle name="40% - Accent5 2 3 2 2 2 2 2" xfId="5101" xr:uid="{00000000-0005-0000-0000-000011520000}"/>
    <cellStyle name="40% - Accent5 2 3 2 2 2 2 2 2" xfId="10221" xr:uid="{00000000-0005-0000-0000-000012520000}"/>
    <cellStyle name="40% - Accent5 2 3 2 2 2 2 2 2 2" xfId="20461" xr:uid="{00000000-0005-0000-0000-000013520000}"/>
    <cellStyle name="40% - Accent5 2 3 2 2 2 2 2 2 2 2" xfId="40941" xr:uid="{00000000-0005-0000-0000-000014520000}"/>
    <cellStyle name="40% - Accent5 2 3 2 2 2 2 2 2 3" xfId="30701" xr:uid="{00000000-0005-0000-0000-000015520000}"/>
    <cellStyle name="40% - Accent5 2 3 2 2 2 2 2 3" xfId="15341" xr:uid="{00000000-0005-0000-0000-000016520000}"/>
    <cellStyle name="40% - Accent5 2 3 2 2 2 2 2 3 2" xfId="35821" xr:uid="{00000000-0005-0000-0000-000017520000}"/>
    <cellStyle name="40% - Accent5 2 3 2 2 2 2 2 4" xfId="25581" xr:uid="{00000000-0005-0000-0000-000018520000}"/>
    <cellStyle name="40% - Accent5 2 3 2 2 2 2 3" xfId="7661" xr:uid="{00000000-0005-0000-0000-000019520000}"/>
    <cellStyle name="40% - Accent5 2 3 2 2 2 2 3 2" xfId="17901" xr:uid="{00000000-0005-0000-0000-00001A520000}"/>
    <cellStyle name="40% - Accent5 2 3 2 2 2 2 3 2 2" xfId="38381" xr:uid="{00000000-0005-0000-0000-00001B520000}"/>
    <cellStyle name="40% - Accent5 2 3 2 2 2 2 3 3" xfId="28141" xr:uid="{00000000-0005-0000-0000-00001C520000}"/>
    <cellStyle name="40% - Accent5 2 3 2 2 2 2 4" xfId="12781" xr:uid="{00000000-0005-0000-0000-00001D520000}"/>
    <cellStyle name="40% - Accent5 2 3 2 2 2 2 4 2" xfId="33261" xr:uid="{00000000-0005-0000-0000-00001E520000}"/>
    <cellStyle name="40% - Accent5 2 3 2 2 2 2 5" xfId="23021" xr:uid="{00000000-0005-0000-0000-00001F520000}"/>
    <cellStyle name="40% - Accent5 2 3 2 2 2 3" xfId="3821" xr:uid="{00000000-0005-0000-0000-000020520000}"/>
    <cellStyle name="40% - Accent5 2 3 2 2 2 3 2" xfId="8941" xr:uid="{00000000-0005-0000-0000-000021520000}"/>
    <cellStyle name="40% - Accent5 2 3 2 2 2 3 2 2" xfId="19181" xr:uid="{00000000-0005-0000-0000-000022520000}"/>
    <cellStyle name="40% - Accent5 2 3 2 2 2 3 2 2 2" xfId="39661" xr:uid="{00000000-0005-0000-0000-000023520000}"/>
    <cellStyle name="40% - Accent5 2 3 2 2 2 3 2 3" xfId="29421" xr:uid="{00000000-0005-0000-0000-000024520000}"/>
    <cellStyle name="40% - Accent5 2 3 2 2 2 3 3" xfId="14061" xr:uid="{00000000-0005-0000-0000-000025520000}"/>
    <cellStyle name="40% - Accent5 2 3 2 2 2 3 3 2" xfId="34541" xr:uid="{00000000-0005-0000-0000-000026520000}"/>
    <cellStyle name="40% - Accent5 2 3 2 2 2 3 4" xfId="24301" xr:uid="{00000000-0005-0000-0000-000027520000}"/>
    <cellStyle name="40% - Accent5 2 3 2 2 2 4" xfId="6381" xr:uid="{00000000-0005-0000-0000-000028520000}"/>
    <cellStyle name="40% - Accent5 2 3 2 2 2 4 2" xfId="16621" xr:uid="{00000000-0005-0000-0000-000029520000}"/>
    <cellStyle name="40% - Accent5 2 3 2 2 2 4 2 2" xfId="37101" xr:uid="{00000000-0005-0000-0000-00002A520000}"/>
    <cellStyle name="40% - Accent5 2 3 2 2 2 4 3" xfId="26861" xr:uid="{00000000-0005-0000-0000-00002B520000}"/>
    <cellStyle name="40% - Accent5 2 3 2 2 2 5" xfId="11501" xr:uid="{00000000-0005-0000-0000-00002C520000}"/>
    <cellStyle name="40% - Accent5 2 3 2 2 2 5 2" xfId="31981" xr:uid="{00000000-0005-0000-0000-00002D520000}"/>
    <cellStyle name="40% - Accent5 2 3 2 2 2 6" xfId="21741" xr:uid="{00000000-0005-0000-0000-00002E520000}"/>
    <cellStyle name="40% - Accent5 2 3 2 2 3" xfId="1901" xr:uid="{00000000-0005-0000-0000-00002F520000}"/>
    <cellStyle name="40% - Accent5 2 3 2 2 3 2" xfId="4461" xr:uid="{00000000-0005-0000-0000-000030520000}"/>
    <cellStyle name="40% - Accent5 2 3 2 2 3 2 2" xfId="9581" xr:uid="{00000000-0005-0000-0000-000031520000}"/>
    <cellStyle name="40% - Accent5 2 3 2 2 3 2 2 2" xfId="19821" xr:uid="{00000000-0005-0000-0000-000032520000}"/>
    <cellStyle name="40% - Accent5 2 3 2 2 3 2 2 2 2" xfId="40301" xr:uid="{00000000-0005-0000-0000-000033520000}"/>
    <cellStyle name="40% - Accent5 2 3 2 2 3 2 2 3" xfId="30061" xr:uid="{00000000-0005-0000-0000-000034520000}"/>
    <cellStyle name="40% - Accent5 2 3 2 2 3 2 3" xfId="14701" xr:uid="{00000000-0005-0000-0000-000035520000}"/>
    <cellStyle name="40% - Accent5 2 3 2 2 3 2 3 2" xfId="35181" xr:uid="{00000000-0005-0000-0000-000036520000}"/>
    <cellStyle name="40% - Accent5 2 3 2 2 3 2 4" xfId="24941" xr:uid="{00000000-0005-0000-0000-000037520000}"/>
    <cellStyle name="40% - Accent5 2 3 2 2 3 3" xfId="7021" xr:uid="{00000000-0005-0000-0000-000038520000}"/>
    <cellStyle name="40% - Accent5 2 3 2 2 3 3 2" xfId="17261" xr:uid="{00000000-0005-0000-0000-000039520000}"/>
    <cellStyle name="40% - Accent5 2 3 2 2 3 3 2 2" xfId="37741" xr:uid="{00000000-0005-0000-0000-00003A520000}"/>
    <cellStyle name="40% - Accent5 2 3 2 2 3 3 3" xfId="27501" xr:uid="{00000000-0005-0000-0000-00003B520000}"/>
    <cellStyle name="40% - Accent5 2 3 2 2 3 4" xfId="12141" xr:uid="{00000000-0005-0000-0000-00003C520000}"/>
    <cellStyle name="40% - Accent5 2 3 2 2 3 4 2" xfId="32621" xr:uid="{00000000-0005-0000-0000-00003D520000}"/>
    <cellStyle name="40% - Accent5 2 3 2 2 3 5" xfId="22381" xr:uid="{00000000-0005-0000-0000-00003E520000}"/>
    <cellStyle name="40% - Accent5 2 3 2 2 4" xfId="3181" xr:uid="{00000000-0005-0000-0000-00003F520000}"/>
    <cellStyle name="40% - Accent5 2 3 2 2 4 2" xfId="8301" xr:uid="{00000000-0005-0000-0000-000040520000}"/>
    <cellStyle name="40% - Accent5 2 3 2 2 4 2 2" xfId="18541" xr:uid="{00000000-0005-0000-0000-000041520000}"/>
    <cellStyle name="40% - Accent5 2 3 2 2 4 2 2 2" xfId="39021" xr:uid="{00000000-0005-0000-0000-000042520000}"/>
    <cellStyle name="40% - Accent5 2 3 2 2 4 2 3" xfId="28781" xr:uid="{00000000-0005-0000-0000-000043520000}"/>
    <cellStyle name="40% - Accent5 2 3 2 2 4 3" xfId="13421" xr:uid="{00000000-0005-0000-0000-000044520000}"/>
    <cellStyle name="40% - Accent5 2 3 2 2 4 3 2" xfId="33901" xr:uid="{00000000-0005-0000-0000-000045520000}"/>
    <cellStyle name="40% - Accent5 2 3 2 2 4 4" xfId="23661" xr:uid="{00000000-0005-0000-0000-000046520000}"/>
    <cellStyle name="40% - Accent5 2 3 2 2 5" xfId="5741" xr:uid="{00000000-0005-0000-0000-000047520000}"/>
    <cellStyle name="40% - Accent5 2 3 2 2 5 2" xfId="15981" xr:uid="{00000000-0005-0000-0000-000048520000}"/>
    <cellStyle name="40% - Accent5 2 3 2 2 5 2 2" xfId="36461" xr:uid="{00000000-0005-0000-0000-000049520000}"/>
    <cellStyle name="40% - Accent5 2 3 2 2 5 3" xfId="26221" xr:uid="{00000000-0005-0000-0000-00004A520000}"/>
    <cellStyle name="40% - Accent5 2 3 2 2 6" xfId="10861" xr:uid="{00000000-0005-0000-0000-00004B520000}"/>
    <cellStyle name="40% - Accent5 2 3 2 2 6 2" xfId="31341" xr:uid="{00000000-0005-0000-0000-00004C520000}"/>
    <cellStyle name="40% - Accent5 2 3 2 2 7" xfId="21101" xr:uid="{00000000-0005-0000-0000-00004D520000}"/>
    <cellStyle name="40% - Accent5 2 3 2 3" xfId="941" xr:uid="{00000000-0005-0000-0000-00004E520000}"/>
    <cellStyle name="40% - Accent5 2 3 2 3 2" xfId="2221" xr:uid="{00000000-0005-0000-0000-00004F520000}"/>
    <cellStyle name="40% - Accent5 2 3 2 3 2 2" xfId="4781" xr:uid="{00000000-0005-0000-0000-000050520000}"/>
    <cellStyle name="40% - Accent5 2 3 2 3 2 2 2" xfId="9901" xr:uid="{00000000-0005-0000-0000-000051520000}"/>
    <cellStyle name="40% - Accent5 2 3 2 3 2 2 2 2" xfId="20141" xr:uid="{00000000-0005-0000-0000-000052520000}"/>
    <cellStyle name="40% - Accent5 2 3 2 3 2 2 2 2 2" xfId="40621" xr:uid="{00000000-0005-0000-0000-000053520000}"/>
    <cellStyle name="40% - Accent5 2 3 2 3 2 2 2 3" xfId="30381" xr:uid="{00000000-0005-0000-0000-000054520000}"/>
    <cellStyle name="40% - Accent5 2 3 2 3 2 2 3" xfId="15021" xr:uid="{00000000-0005-0000-0000-000055520000}"/>
    <cellStyle name="40% - Accent5 2 3 2 3 2 2 3 2" xfId="35501" xr:uid="{00000000-0005-0000-0000-000056520000}"/>
    <cellStyle name="40% - Accent5 2 3 2 3 2 2 4" xfId="25261" xr:uid="{00000000-0005-0000-0000-000057520000}"/>
    <cellStyle name="40% - Accent5 2 3 2 3 2 3" xfId="7341" xr:uid="{00000000-0005-0000-0000-000058520000}"/>
    <cellStyle name="40% - Accent5 2 3 2 3 2 3 2" xfId="17581" xr:uid="{00000000-0005-0000-0000-000059520000}"/>
    <cellStyle name="40% - Accent5 2 3 2 3 2 3 2 2" xfId="38061" xr:uid="{00000000-0005-0000-0000-00005A520000}"/>
    <cellStyle name="40% - Accent5 2 3 2 3 2 3 3" xfId="27821" xr:uid="{00000000-0005-0000-0000-00005B520000}"/>
    <cellStyle name="40% - Accent5 2 3 2 3 2 4" xfId="12461" xr:uid="{00000000-0005-0000-0000-00005C520000}"/>
    <cellStyle name="40% - Accent5 2 3 2 3 2 4 2" xfId="32941" xr:uid="{00000000-0005-0000-0000-00005D520000}"/>
    <cellStyle name="40% - Accent5 2 3 2 3 2 5" xfId="22701" xr:uid="{00000000-0005-0000-0000-00005E520000}"/>
    <cellStyle name="40% - Accent5 2 3 2 3 3" xfId="3501" xr:uid="{00000000-0005-0000-0000-00005F520000}"/>
    <cellStyle name="40% - Accent5 2 3 2 3 3 2" xfId="8621" xr:uid="{00000000-0005-0000-0000-000060520000}"/>
    <cellStyle name="40% - Accent5 2 3 2 3 3 2 2" xfId="18861" xr:uid="{00000000-0005-0000-0000-000061520000}"/>
    <cellStyle name="40% - Accent5 2 3 2 3 3 2 2 2" xfId="39341" xr:uid="{00000000-0005-0000-0000-000062520000}"/>
    <cellStyle name="40% - Accent5 2 3 2 3 3 2 3" xfId="29101" xr:uid="{00000000-0005-0000-0000-000063520000}"/>
    <cellStyle name="40% - Accent5 2 3 2 3 3 3" xfId="13741" xr:uid="{00000000-0005-0000-0000-000064520000}"/>
    <cellStyle name="40% - Accent5 2 3 2 3 3 3 2" xfId="34221" xr:uid="{00000000-0005-0000-0000-000065520000}"/>
    <cellStyle name="40% - Accent5 2 3 2 3 3 4" xfId="23981" xr:uid="{00000000-0005-0000-0000-000066520000}"/>
    <cellStyle name="40% - Accent5 2 3 2 3 4" xfId="6061" xr:uid="{00000000-0005-0000-0000-000067520000}"/>
    <cellStyle name="40% - Accent5 2 3 2 3 4 2" xfId="16301" xr:uid="{00000000-0005-0000-0000-000068520000}"/>
    <cellStyle name="40% - Accent5 2 3 2 3 4 2 2" xfId="36781" xr:uid="{00000000-0005-0000-0000-000069520000}"/>
    <cellStyle name="40% - Accent5 2 3 2 3 4 3" xfId="26541" xr:uid="{00000000-0005-0000-0000-00006A520000}"/>
    <cellStyle name="40% - Accent5 2 3 2 3 5" xfId="11181" xr:uid="{00000000-0005-0000-0000-00006B520000}"/>
    <cellStyle name="40% - Accent5 2 3 2 3 5 2" xfId="31661" xr:uid="{00000000-0005-0000-0000-00006C520000}"/>
    <cellStyle name="40% - Accent5 2 3 2 3 6" xfId="21421" xr:uid="{00000000-0005-0000-0000-00006D520000}"/>
    <cellStyle name="40% - Accent5 2 3 2 4" xfId="1581" xr:uid="{00000000-0005-0000-0000-00006E520000}"/>
    <cellStyle name="40% - Accent5 2 3 2 4 2" xfId="4141" xr:uid="{00000000-0005-0000-0000-00006F520000}"/>
    <cellStyle name="40% - Accent5 2 3 2 4 2 2" xfId="9261" xr:uid="{00000000-0005-0000-0000-000070520000}"/>
    <cellStyle name="40% - Accent5 2 3 2 4 2 2 2" xfId="19501" xr:uid="{00000000-0005-0000-0000-000071520000}"/>
    <cellStyle name="40% - Accent5 2 3 2 4 2 2 2 2" xfId="39981" xr:uid="{00000000-0005-0000-0000-000072520000}"/>
    <cellStyle name="40% - Accent5 2 3 2 4 2 2 3" xfId="29741" xr:uid="{00000000-0005-0000-0000-000073520000}"/>
    <cellStyle name="40% - Accent5 2 3 2 4 2 3" xfId="14381" xr:uid="{00000000-0005-0000-0000-000074520000}"/>
    <cellStyle name="40% - Accent5 2 3 2 4 2 3 2" xfId="34861" xr:uid="{00000000-0005-0000-0000-000075520000}"/>
    <cellStyle name="40% - Accent5 2 3 2 4 2 4" xfId="24621" xr:uid="{00000000-0005-0000-0000-000076520000}"/>
    <cellStyle name="40% - Accent5 2 3 2 4 3" xfId="6701" xr:uid="{00000000-0005-0000-0000-000077520000}"/>
    <cellStyle name="40% - Accent5 2 3 2 4 3 2" xfId="16941" xr:uid="{00000000-0005-0000-0000-000078520000}"/>
    <cellStyle name="40% - Accent5 2 3 2 4 3 2 2" xfId="37421" xr:uid="{00000000-0005-0000-0000-000079520000}"/>
    <cellStyle name="40% - Accent5 2 3 2 4 3 3" xfId="27181" xr:uid="{00000000-0005-0000-0000-00007A520000}"/>
    <cellStyle name="40% - Accent5 2 3 2 4 4" xfId="11821" xr:uid="{00000000-0005-0000-0000-00007B520000}"/>
    <cellStyle name="40% - Accent5 2 3 2 4 4 2" xfId="32301" xr:uid="{00000000-0005-0000-0000-00007C520000}"/>
    <cellStyle name="40% - Accent5 2 3 2 4 5" xfId="22061" xr:uid="{00000000-0005-0000-0000-00007D520000}"/>
    <cellStyle name="40% - Accent5 2 3 2 5" xfId="2861" xr:uid="{00000000-0005-0000-0000-00007E520000}"/>
    <cellStyle name="40% - Accent5 2 3 2 5 2" xfId="7981" xr:uid="{00000000-0005-0000-0000-00007F520000}"/>
    <cellStyle name="40% - Accent5 2 3 2 5 2 2" xfId="18221" xr:uid="{00000000-0005-0000-0000-000080520000}"/>
    <cellStyle name="40% - Accent5 2 3 2 5 2 2 2" xfId="38701" xr:uid="{00000000-0005-0000-0000-000081520000}"/>
    <cellStyle name="40% - Accent5 2 3 2 5 2 3" xfId="28461" xr:uid="{00000000-0005-0000-0000-000082520000}"/>
    <cellStyle name="40% - Accent5 2 3 2 5 3" xfId="13101" xr:uid="{00000000-0005-0000-0000-000083520000}"/>
    <cellStyle name="40% - Accent5 2 3 2 5 3 2" xfId="33581" xr:uid="{00000000-0005-0000-0000-000084520000}"/>
    <cellStyle name="40% - Accent5 2 3 2 5 4" xfId="23341" xr:uid="{00000000-0005-0000-0000-000085520000}"/>
    <cellStyle name="40% - Accent5 2 3 2 6" xfId="5421" xr:uid="{00000000-0005-0000-0000-000086520000}"/>
    <cellStyle name="40% - Accent5 2 3 2 6 2" xfId="15661" xr:uid="{00000000-0005-0000-0000-000087520000}"/>
    <cellStyle name="40% - Accent5 2 3 2 6 2 2" xfId="36141" xr:uid="{00000000-0005-0000-0000-000088520000}"/>
    <cellStyle name="40% - Accent5 2 3 2 6 3" xfId="25901" xr:uid="{00000000-0005-0000-0000-000089520000}"/>
    <cellStyle name="40% - Accent5 2 3 2 7" xfId="10541" xr:uid="{00000000-0005-0000-0000-00008A520000}"/>
    <cellStyle name="40% - Accent5 2 3 2 7 2" xfId="31021" xr:uid="{00000000-0005-0000-0000-00008B520000}"/>
    <cellStyle name="40% - Accent5 2 3 2 8" xfId="20781" xr:uid="{00000000-0005-0000-0000-00008C520000}"/>
    <cellStyle name="40% - Accent5 2 3 3" xfId="461" xr:uid="{00000000-0005-0000-0000-00008D520000}"/>
    <cellStyle name="40% - Accent5 2 3 3 2" xfId="1101" xr:uid="{00000000-0005-0000-0000-00008E520000}"/>
    <cellStyle name="40% - Accent5 2 3 3 2 2" xfId="2381" xr:uid="{00000000-0005-0000-0000-00008F520000}"/>
    <cellStyle name="40% - Accent5 2 3 3 2 2 2" xfId="4941" xr:uid="{00000000-0005-0000-0000-000090520000}"/>
    <cellStyle name="40% - Accent5 2 3 3 2 2 2 2" xfId="10061" xr:uid="{00000000-0005-0000-0000-000091520000}"/>
    <cellStyle name="40% - Accent5 2 3 3 2 2 2 2 2" xfId="20301" xr:uid="{00000000-0005-0000-0000-000092520000}"/>
    <cellStyle name="40% - Accent5 2 3 3 2 2 2 2 2 2" xfId="40781" xr:uid="{00000000-0005-0000-0000-000093520000}"/>
    <cellStyle name="40% - Accent5 2 3 3 2 2 2 2 3" xfId="30541" xr:uid="{00000000-0005-0000-0000-000094520000}"/>
    <cellStyle name="40% - Accent5 2 3 3 2 2 2 3" xfId="15181" xr:uid="{00000000-0005-0000-0000-000095520000}"/>
    <cellStyle name="40% - Accent5 2 3 3 2 2 2 3 2" xfId="35661" xr:uid="{00000000-0005-0000-0000-000096520000}"/>
    <cellStyle name="40% - Accent5 2 3 3 2 2 2 4" xfId="25421" xr:uid="{00000000-0005-0000-0000-000097520000}"/>
    <cellStyle name="40% - Accent5 2 3 3 2 2 3" xfId="7501" xr:uid="{00000000-0005-0000-0000-000098520000}"/>
    <cellStyle name="40% - Accent5 2 3 3 2 2 3 2" xfId="17741" xr:uid="{00000000-0005-0000-0000-000099520000}"/>
    <cellStyle name="40% - Accent5 2 3 3 2 2 3 2 2" xfId="38221" xr:uid="{00000000-0005-0000-0000-00009A520000}"/>
    <cellStyle name="40% - Accent5 2 3 3 2 2 3 3" xfId="27981" xr:uid="{00000000-0005-0000-0000-00009B520000}"/>
    <cellStyle name="40% - Accent5 2 3 3 2 2 4" xfId="12621" xr:uid="{00000000-0005-0000-0000-00009C520000}"/>
    <cellStyle name="40% - Accent5 2 3 3 2 2 4 2" xfId="33101" xr:uid="{00000000-0005-0000-0000-00009D520000}"/>
    <cellStyle name="40% - Accent5 2 3 3 2 2 5" xfId="22861" xr:uid="{00000000-0005-0000-0000-00009E520000}"/>
    <cellStyle name="40% - Accent5 2 3 3 2 3" xfId="3661" xr:uid="{00000000-0005-0000-0000-00009F520000}"/>
    <cellStyle name="40% - Accent5 2 3 3 2 3 2" xfId="8781" xr:uid="{00000000-0005-0000-0000-0000A0520000}"/>
    <cellStyle name="40% - Accent5 2 3 3 2 3 2 2" xfId="19021" xr:uid="{00000000-0005-0000-0000-0000A1520000}"/>
    <cellStyle name="40% - Accent5 2 3 3 2 3 2 2 2" xfId="39501" xr:uid="{00000000-0005-0000-0000-0000A2520000}"/>
    <cellStyle name="40% - Accent5 2 3 3 2 3 2 3" xfId="29261" xr:uid="{00000000-0005-0000-0000-0000A3520000}"/>
    <cellStyle name="40% - Accent5 2 3 3 2 3 3" xfId="13901" xr:uid="{00000000-0005-0000-0000-0000A4520000}"/>
    <cellStyle name="40% - Accent5 2 3 3 2 3 3 2" xfId="34381" xr:uid="{00000000-0005-0000-0000-0000A5520000}"/>
    <cellStyle name="40% - Accent5 2 3 3 2 3 4" xfId="24141" xr:uid="{00000000-0005-0000-0000-0000A6520000}"/>
    <cellStyle name="40% - Accent5 2 3 3 2 4" xfId="6221" xr:uid="{00000000-0005-0000-0000-0000A7520000}"/>
    <cellStyle name="40% - Accent5 2 3 3 2 4 2" xfId="16461" xr:uid="{00000000-0005-0000-0000-0000A8520000}"/>
    <cellStyle name="40% - Accent5 2 3 3 2 4 2 2" xfId="36941" xr:uid="{00000000-0005-0000-0000-0000A9520000}"/>
    <cellStyle name="40% - Accent5 2 3 3 2 4 3" xfId="26701" xr:uid="{00000000-0005-0000-0000-0000AA520000}"/>
    <cellStyle name="40% - Accent5 2 3 3 2 5" xfId="11341" xr:uid="{00000000-0005-0000-0000-0000AB520000}"/>
    <cellStyle name="40% - Accent5 2 3 3 2 5 2" xfId="31821" xr:uid="{00000000-0005-0000-0000-0000AC520000}"/>
    <cellStyle name="40% - Accent5 2 3 3 2 6" xfId="21581" xr:uid="{00000000-0005-0000-0000-0000AD520000}"/>
    <cellStyle name="40% - Accent5 2 3 3 3" xfId="1741" xr:uid="{00000000-0005-0000-0000-0000AE520000}"/>
    <cellStyle name="40% - Accent5 2 3 3 3 2" xfId="4301" xr:uid="{00000000-0005-0000-0000-0000AF520000}"/>
    <cellStyle name="40% - Accent5 2 3 3 3 2 2" xfId="9421" xr:uid="{00000000-0005-0000-0000-0000B0520000}"/>
    <cellStyle name="40% - Accent5 2 3 3 3 2 2 2" xfId="19661" xr:uid="{00000000-0005-0000-0000-0000B1520000}"/>
    <cellStyle name="40% - Accent5 2 3 3 3 2 2 2 2" xfId="40141" xr:uid="{00000000-0005-0000-0000-0000B2520000}"/>
    <cellStyle name="40% - Accent5 2 3 3 3 2 2 3" xfId="29901" xr:uid="{00000000-0005-0000-0000-0000B3520000}"/>
    <cellStyle name="40% - Accent5 2 3 3 3 2 3" xfId="14541" xr:uid="{00000000-0005-0000-0000-0000B4520000}"/>
    <cellStyle name="40% - Accent5 2 3 3 3 2 3 2" xfId="35021" xr:uid="{00000000-0005-0000-0000-0000B5520000}"/>
    <cellStyle name="40% - Accent5 2 3 3 3 2 4" xfId="24781" xr:uid="{00000000-0005-0000-0000-0000B6520000}"/>
    <cellStyle name="40% - Accent5 2 3 3 3 3" xfId="6861" xr:uid="{00000000-0005-0000-0000-0000B7520000}"/>
    <cellStyle name="40% - Accent5 2 3 3 3 3 2" xfId="17101" xr:uid="{00000000-0005-0000-0000-0000B8520000}"/>
    <cellStyle name="40% - Accent5 2 3 3 3 3 2 2" xfId="37581" xr:uid="{00000000-0005-0000-0000-0000B9520000}"/>
    <cellStyle name="40% - Accent5 2 3 3 3 3 3" xfId="27341" xr:uid="{00000000-0005-0000-0000-0000BA520000}"/>
    <cellStyle name="40% - Accent5 2 3 3 3 4" xfId="11981" xr:uid="{00000000-0005-0000-0000-0000BB520000}"/>
    <cellStyle name="40% - Accent5 2 3 3 3 4 2" xfId="32461" xr:uid="{00000000-0005-0000-0000-0000BC520000}"/>
    <cellStyle name="40% - Accent5 2 3 3 3 5" xfId="22221" xr:uid="{00000000-0005-0000-0000-0000BD520000}"/>
    <cellStyle name="40% - Accent5 2 3 3 4" xfId="3021" xr:uid="{00000000-0005-0000-0000-0000BE520000}"/>
    <cellStyle name="40% - Accent5 2 3 3 4 2" xfId="8141" xr:uid="{00000000-0005-0000-0000-0000BF520000}"/>
    <cellStyle name="40% - Accent5 2 3 3 4 2 2" xfId="18381" xr:uid="{00000000-0005-0000-0000-0000C0520000}"/>
    <cellStyle name="40% - Accent5 2 3 3 4 2 2 2" xfId="38861" xr:uid="{00000000-0005-0000-0000-0000C1520000}"/>
    <cellStyle name="40% - Accent5 2 3 3 4 2 3" xfId="28621" xr:uid="{00000000-0005-0000-0000-0000C2520000}"/>
    <cellStyle name="40% - Accent5 2 3 3 4 3" xfId="13261" xr:uid="{00000000-0005-0000-0000-0000C3520000}"/>
    <cellStyle name="40% - Accent5 2 3 3 4 3 2" xfId="33741" xr:uid="{00000000-0005-0000-0000-0000C4520000}"/>
    <cellStyle name="40% - Accent5 2 3 3 4 4" xfId="23501" xr:uid="{00000000-0005-0000-0000-0000C5520000}"/>
    <cellStyle name="40% - Accent5 2 3 3 5" xfId="5581" xr:uid="{00000000-0005-0000-0000-0000C6520000}"/>
    <cellStyle name="40% - Accent5 2 3 3 5 2" xfId="15821" xr:uid="{00000000-0005-0000-0000-0000C7520000}"/>
    <cellStyle name="40% - Accent5 2 3 3 5 2 2" xfId="36301" xr:uid="{00000000-0005-0000-0000-0000C8520000}"/>
    <cellStyle name="40% - Accent5 2 3 3 5 3" xfId="26061" xr:uid="{00000000-0005-0000-0000-0000C9520000}"/>
    <cellStyle name="40% - Accent5 2 3 3 6" xfId="10701" xr:uid="{00000000-0005-0000-0000-0000CA520000}"/>
    <cellStyle name="40% - Accent5 2 3 3 6 2" xfId="31181" xr:uid="{00000000-0005-0000-0000-0000CB520000}"/>
    <cellStyle name="40% - Accent5 2 3 3 7" xfId="20941" xr:uid="{00000000-0005-0000-0000-0000CC520000}"/>
    <cellStyle name="40% - Accent5 2 3 4" xfId="781" xr:uid="{00000000-0005-0000-0000-0000CD520000}"/>
    <cellStyle name="40% - Accent5 2 3 4 2" xfId="2061" xr:uid="{00000000-0005-0000-0000-0000CE520000}"/>
    <cellStyle name="40% - Accent5 2 3 4 2 2" xfId="4621" xr:uid="{00000000-0005-0000-0000-0000CF520000}"/>
    <cellStyle name="40% - Accent5 2 3 4 2 2 2" xfId="9741" xr:uid="{00000000-0005-0000-0000-0000D0520000}"/>
    <cellStyle name="40% - Accent5 2 3 4 2 2 2 2" xfId="19981" xr:uid="{00000000-0005-0000-0000-0000D1520000}"/>
    <cellStyle name="40% - Accent5 2 3 4 2 2 2 2 2" xfId="40461" xr:uid="{00000000-0005-0000-0000-0000D2520000}"/>
    <cellStyle name="40% - Accent5 2 3 4 2 2 2 3" xfId="30221" xr:uid="{00000000-0005-0000-0000-0000D3520000}"/>
    <cellStyle name="40% - Accent5 2 3 4 2 2 3" xfId="14861" xr:uid="{00000000-0005-0000-0000-0000D4520000}"/>
    <cellStyle name="40% - Accent5 2 3 4 2 2 3 2" xfId="35341" xr:uid="{00000000-0005-0000-0000-0000D5520000}"/>
    <cellStyle name="40% - Accent5 2 3 4 2 2 4" xfId="25101" xr:uid="{00000000-0005-0000-0000-0000D6520000}"/>
    <cellStyle name="40% - Accent5 2 3 4 2 3" xfId="7181" xr:uid="{00000000-0005-0000-0000-0000D7520000}"/>
    <cellStyle name="40% - Accent5 2 3 4 2 3 2" xfId="17421" xr:uid="{00000000-0005-0000-0000-0000D8520000}"/>
    <cellStyle name="40% - Accent5 2 3 4 2 3 2 2" xfId="37901" xr:uid="{00000000-0005-0000-0000-0000D9520000}"/>
    <cellStyle name="40% - Accent5 2 3 4 2 3 3" xfId="27661" xr:uid="{00000000-0005-0000-0000-0000DA520000}"/>
    <cellStyle name="40% - Accent5 2 3 4 2 4" xfId="12301" xr:uid="{00000000-0005-0000-0000-0000DB520000}"/>
    <cellStyle name="40% - Accent5 2 3 4 2 4 2" xfId="32781" xr:uid="{00000000-0005-0000-0000-0000DC520000}"/>
    <cellStyle name="40% - Accent5 2 3 4 2 5" xfId="22541" xr:uid="{00000000-0005-0000-0000-0000DD520000}"/>
    <cellStyle name="40% - Accent5 2 3 4 3" xfId="3341" xr:uid="{00000000-0005-0000-0000-0000DE520000}"/>
    <cellStyle name="40% - Accent5 2 3 4 3 2" xfId="8461" xr:uid="{00000000-0005-0000-0000-0000DF520000}"/>
    <cellStyle name="40% - Accent5 2 3 4 3 2 2" xfId="18701" xr:uid="{00000000-0005-0000-0000-0000E0520000}"/>
    <cellStyle name="40% - Accent5 2 3 4 3 2 2 2" xfId="39181" xr:uid="{00000000-0005-0000-0000-0000E1520000}"/>
    <cellStyle name="40% - Accent5 2 3 4 3 2 3" xfId="28941" xr:uid="{00000000-0005-0000-0000-0000E2520000}"/>
    <cellStyle name="40% - Accent5 2 3 4 3 3" xfId="13581" xr:uid="{00000000-0005-0000-0000-0000E3520000}"/>
    <cellStyle name="40% - Accent5 2 3 4 3 3 2" xfId="34061" xr:uid="{00000000-0005-0000-0000-0000E4520000}"/>
    <cellStyle name="40% - Accent5 2 3 4 3 4" xfId="23821" xr:uid="{00000000-0005-0000-0000-0000E5520000}"/>
    <cellStyle name="40% - Accent5 2 3 4 4" xfId="5901" xr:uid="{00000000-0005-0000-0000-0000E6520000}"/>
    <cellStyle name="40% - Accent5 2 3 4 4 2" xfId="16141" xr:uid="{00000000-0005-0000-0000-0000E7520000}"/>
    <cellStyle name="40% - Accent5 2 3 4 4 2 2" xfId="36621" xr:uid="{00000000-0005-0000-0000-0000E8520000}"/>
    <cellStyle name="40% - Accent5 2 3 4 4 3" xfId="26381" xr:uid="{00000000-0005-0000-0000-0000E9520000}"/>
    <cellStyle name="40% - Accent5 2 3 4 5" xfId="11021" xr:uid="{00000000-0005-0000-0000-0000EA520000}"/>
    <cellStyle name="40% - Accent5 2 3 4 5 2" xfId="31501" xr:uid="{00000000-0005-0000-0000-0000EB520000}"/>
    <cellStyle name="40% - Accent5 2 3 4 6" xfId="21261" xr:uid="{00000000-0005-0000-0000-0000EC520000}"/>
    <cellStyle name="40% - Accent5 2 3 5" xfId="1421" xr:uid="{00000000-0005-0000-0000-0000ED520000}"/>
    <cellStyle name="40% - Accent5 2 3 5 2" xfId="3981" xr:uid="{00000000-0005-0000-0000-0000EE520000}"/>
    <cellStyle name="40% - Accent5 2 3 5 2 2" xfId="9101" xr:uid="{00000000-0005-0000-0000-0000EF520000}"/>
    <cellStyle name="40% - Accent5 2 3 5 2 2 2" xfId="19341" xr:uid="{00000000-0005-0000-0000-0000F0520000}"/>
    <cellStyle name="40% - Accent5 2 3 5 2 2 2 2" xfId="39821" xr:uid="{00000000-0005-0000-0000-0000F1520000}"/>
    <cellStyle name="40% - Accent5 2 3 5 2 2 3" xfId="29581" xr:uid="{00000000-0005-0000-0000-0000F2520000}"/>
    <cellStyle name="40% - Accent5 2 3 5 2 3" xfId="14221" xr:uid="{00000000-0005-0000-0000-0000F3520000}"/>
    <cellStyle name="40% - Accent5 2 3 5 2 3 2" xfId="34701" xr:uid="{00000000-0005-0000-0000-0000F4520000}"/>
    <cellStyle name="40% - Accent5 2 3 5 2 4" xfId="24461" xr:uid="{00000000-0005-0000-0000-0000F5520000}"/>
    <cellStyle name="40% - Accent5 2 3 5 3" xfId="6541" xr:uid="{00000000-0005-0000-0000-0000F6520000}"/>
    <cellStyle name="40% - Accent5 2 3 5 3 2" xfId="16781" xr:uid="{00000000-0005-0000-0000-0000F7520000}"/>
    <cellStyle name="40% - Accent5 2 3 5 3 2 2" xfId="37261" xr:uid="{00000000-0005-0000-0000-0000F8520000}"/>
    <cellStyle name="40% - Accent5 2 3 5 3 3" xfId="27021" xr:uid="{00000000-0005-0000-0000-0000F9520000}"/>
    <cellStyle name="40% - Accent5 2 3 5 4" xfId="11661" xr:uid="{00000000-0005-0000-0000-0000FA520000}"/>
    <cellStyle name="40% - Accent5 2 3 5 4 2" xfId="32141" xr:uid="{00000000-0005-0000-0000-0000FB520000}"/>
    <cellStyle name="40% - Accent5 2 3 5 5" xfId="21901" xr:uid="{00000000-0005-0000-0000-0000FC520000}"/>
    <cellStyle name="40% - Accent5 2 3 6" xfId="2701" xr:uid="{00000000-0005-0000-0000-0000FD520000}"/>
    <cellStyle name="40% - Accent5 2 3 6 2" xfId="7821" xr:uid="{00000000-0005-0000-0000-0000FE520000}"/>
    <cellStyle name="40% - Accent5 2 3 6 2 2" xfId="18061" xr:uid="{00000000-0005-0000-0000-0000FF520000}"/>
    <cellStyle name="40% - Accent5 2 3 6 2 2 2" xfId="38541" xr:uid="{00000000-0005-0000-0000-000000530000}"/>
    <cellStyle name="40% - Accent5 2 3 6 2 3" xfId="28301" xr:uid="{00000000-0005-0000-0000-000001530000}"/>
    <cellStyle name="40% - Accent5 2 3 6 3" xfId="12941" xr:uid="{00000000-0005-0000-0000-000002530000}"/>
    <cellStyle name="40% - Accent5 2 3 6 3 2" xfId="33421" xr:uid="{00000000-0005-0000-0000-000003530000}"/>
    <cellStyle name="40% - Accent5 2 3 6 4" xfId="23181" xr:uid="{00000000-0005-0000-0000-000004530000}"/>
    <cellStyle name="40% - Accent5 2 3 7" xfId="5261" xr:uid="{00000000-0005-0000-0000-000005530000}"/>
    <cellStyle name="40% - Accent5 2 3 7 2" xfId="15501" xr:uid="{00000000-0005-0000-0000-000006530000}"/>
    <cellStyle name="40% - Accent5 2 3 7 2 2" xfId="35981" xr:uid="{00000000-0005-0000-0000-000007530000}"/>
    <cellStyle name="40% - Accent5 2 3 7 3" xfId="25741" xr:uid="{00000000-0005-0000-0000-000008530000}"/>
    <cellStyle name="40% - Accent5 2 3 8" xfId="10381" xr:uid="{00000000-0005-0000-0000-000009530000}"/>
    <cellStyle name="40% - Accent5 2 3 8 2" xfId="30861" xr:uid="{00000000-0005-0000-0000-00000A530000}"/>
    <cellStyle name="40% - Accent5 2 3 9" xfId="20621" xr:uid="{00000000-0005-0000-0000-00000B530000}"/>
    <cellStyle name="40% - Accent5 2 4" xfId="221" xr:uid="{00000000-0005-0000-0000-00000C530000}"/>
    <cellStyle name="40% - Accent5 2 4 2" xfId="541" xr:uid="{00000000-0005-0000-0000-00000D530000}"/>
    <cellStyle name="40% - Accent5 2 4 2 2" xfId="1181" xr:uid="{00000000-0005-0000-0000-00000E530000}"/>
    <cellStyle name="40% - Accent5 2 4 2 2 2" xfId="2461" xr:uid="{00000000-0005-0000-0000-00000F530000}"/>
    <cellStyle name="40% - Accent5 2 4 2 2 2 2" xfId="5021" xr:uid="{00000000-0005-0000-0000-000010530000}"/>
    <cellStyle name="40% - Accent5 2 4 2 2 2 2 2" xfId="10141" xr:uid="{00000000-0005-0000-0000-000011530000}"/>
    <cellStyle name="40% - Accent5 2 4 2 2 2 2 2 2" xfId="20381" xr:uid="{00000000-0005-0000-0000-000012530000}"/>
    <cellStyle name="40% - Accent5 2 4 2 2 2 2 2 2 2" xfId="40861" xr:uid="{00000000-0005-0000-0000-000013530000}"/>
    <cellStyle name="40% - Accent5 2 4 2 2 2 2 2 3" xfId="30621" xr:uid="{00000000-0005-0000-0000-000014530000}"/>
    <cellStyle name="40% - Accent5 2 4 2 2 2 2 3" xfId="15261" xr:uid="{00000000-0005-0000-0000-000015530000}"/>
    <cellStyle name="40% - Accent5 2 4 2 2 2 2 3 2" xfId="35741" xr:uid="{00000000-0005-0000-0000-000016530000}"/>
    <cellStyle name="40% - Accent5 2 4 2 2 2 2 4" xfId="25501" xr:uid="{00000000-0005-0000-0000-000017530000}"/>
    <cellStyle name="40% - Accent5 2 4 2 2 2 3" xfId="7581" xr:uid="{00000000-0005-0000-0000-000018530000}"/>
    <cellStyle name="40% - Accent5 2 4 2 2 2 3 2" xfId="17821" xr:uid="{00000000-0005-0000-0000-000019530000}"/>
    <cellStyle name="40% - Accent5 2 4 2 2 2 3 2 2" xfId="38301" xr:uid="{00000000-0005-0000-0000-00001A530000}"/>
    <cellStyle name="40% - Accent5 2 4 2 2 2 3 3" xfId="28061" xr:uid="{00000000-0005-0000-0000-00001B530000}"/>
    <cellStyle name="40% - Accent5 2 4 2 2 2 4" xfId="12701" xr:uid="{00000000-0005-0000-0000-00001C530000}"/>
    <cellStyle name="40% - Accent5 2 4 2 2 2 4 2" xfId="33181" xr:uid="{00000000-0005-0000-0000-00001D530000}"/>
    <cellStyle name="40% - Accent5 2 4 2 2 2 5" xfId="22941" xr:uid="{00000000-0005-0000-0000-00001E530000}"/>
    <cellStyle name="40% - Accent5 2 4 2 2 3" xfId="3741" xr:uid="{00000000-0005-0000-0000-00001F530000}"/>
    <cellStyle name="40% - Accent5 2 4 2 2 3 2" xfId="8861" xr:uid="{00000000-0005-0000-0000-000020530000}"/>
    <cellStyle name="40% - Accent5 2 4 2 2 3 2 2" xfId="19101" xr:uid="{00000000-0005-0000-0000-000021530000}"/>
    <cellStyle name="40% - Accent5 2 4 2 2 3 2 2 2" xfId="39581" xr:uid="{00000000-0005-0000-0000-000022530000}"/>
    <cellStyle name="40% - Accent5 2 4 2 2 3 2 3" xfId="29341" xr:uid="{00000000-0005-0000-0000-000023530000}"/>
    <cellStyle name="40% - Accent5 2 4 2 2 3 3" xfId="13981" xr:uid="{00000000-0005-0000-0000-000024530000}"/>
    <cellStyle name="40% - Accent5 2 4 2 2 3 3 2" xfId="34461" xr:uid="{00000000-0005-0000-0000-000025530000}"/>
    <cellStyle name="40% - Accent5 2 4 2 2 3 4" xfId="24221" xr:uid="{00000000-0005-0000-0000-000026530000}"/>
    <cellStyle name="40% - Accent5 2 4 2 2 4" xfId="6301" xr:uid="{00000000-0005-0000-0000-000027530000}"/>
    <cellStyle name="40% - Accent5 2 4 2 2 4 2" xfId="16541" xr:uid="{00000000-0005-0000-0000-000028530000}"/>
    <cellStyle name="40% - Accent5 2 4 2 2 4 2 2" xfId="37021" xr:uid="{00000000-0005-0000-0000-000029530000}"/>
    <cellStyle name="40% - Accent5 2 4 2 2 4 3" xfId="26781" xr:uid="{00000000-0005-0000-0000-00002A530000}"/>
    <cellStyle name="40% - Accent5 2 4 2 2 5" xfId="11421" xr:uid="{00000000-0005-0000-0000-00002B530000}"/>
    <cellStyle name="40% - Accent5 2 4 2 2 5 2" xfId="31901" xr:uid="{00000000-0005-0000-0000-00002C530000}"/>
    <cellStyle name="40% - Accent5 2 4 2 2 6" xfId="21661" xr:uid="{00000000-0005-0000-0000-00002D530000}"/>
    <cellStyle name="40% - Accent5 2 4 2 3" xfId="1821" xr:uid="{00000000-0005-0000-0000-00002E530000}"/>
    <cellStyle name="40% - Accent5 2 4 2 3 2" xfId="4381" xr:uid="{00000000-0005-0000-0000-00002F530000}"/>
    <cellStyle name="40% - Accent5 2 4 2 3 2 2" xfId="9501" xr:uid="{00000000-0005-0000-0000-000030530000}"/>
    <cellStyle name="40% - Accent5 2 4 2 3 2 2 2" xfId="19741" xr:uid="{00000000-0005-0000-0000-000031530000}"/>
    <cellStyle name="40% - Accent5 2 4 2 3 2 2 2 2" xfId="40221" xr:uid="{00000000-0005-0000-0000-000032530000}"/>
    <cellStyle name="40% - Accent5 2 4 2 3 2 2 3" xfId="29981" xr:uid="{00000000-0005-0000-0000-000033530000}"/>
    <cellStyle name="40% - Accent5 2 4 2 3 2 3" xfId="14621" xr:uid="{00000000-0005-0000-0000-000034530000}"/>
    <cellStyle name="40% - Accent5 2 4 2 3 2 3 2" xfId="35101" xr:uid="{00000000-0005-0000-0000-000035530000}"/>
    <cellStyle name="40% - Accent5 2 4 2 3 2 4" xfId="24861" xr:uid="{00000000-0005-0000-0000-000036530000}"/>
    <cellStyle name="40% - Accent5 2 4 2 3 3" xfId="6941" xr:uid="{00000000-0005-0000-0000-000037530000}"/>
    <cellStyle name="40% - Accent5 2 4 2 3 3 2" xfId="17181" xr:uid="{00000000-0005-0000-0000-000038530000}"/>
    <cellStyle name="40% - Accent5 2 4 2 3 3 2 2" xfId="37661" xr:uid="{00000000-0005-0000-0000-000039530000}"/>
    <cellStyle name="40% - Accent5 2 4 2 3 3 3" xfId="27421" xr:uid="{00000000-0005-0000-0000-00003A530000}"/>
    <cellStyle name="40% - Accent5 2 4 2 3 4" xfId="12061" xr:uid="{00000000-0005-0000-0000-00003B530000}"/>
    <cellStyle name="40% - Accent5 2 4 2 3 4 2" xfId="32541" xr:uid="{00000000-0005-0000-0000-00003C530000}"/>
    <cellStyle name="40% - Accent5 2 4 2 3 5" xfId="22301" xr:uid="{00000000-0005-0000-0000-00003D530000}"/>
    <cellStyle name="40% - Accent5 2 4 2 4" xfId="3101" xr:uid="{00000000-0005-0000-0000-00003E530000}"/>
    <cellStyle name="40% - Accent5 2 4 2 4 2" xfId="8221" xr:uid="{00000000-0005-0000-0000-00003F530000}"/>
    <cellStyle name="40% - Accent5 2 4 2 4 2 2" xfId="18461" xr:uid="{00000000-0005-0000-0000-000040530000}"/>
    <cellStyle name="40% - Accent5 2 4 2 4 2 2 2" xfId="38941" xr:uid="{00000000-0005-0000-0000-000041530000}"/>
    <cellStyle name="40% - Accent5 2 4 2 4 2 3" xfId="28701" xr:uid="{00000000-0005-0000-0000-000042530000}"/>
    <cellStyle name="40% - Accent5 2 4 2 4 3" xfId="13341" xr:uid="{00000000-0005-0000-0000-000043530000}"/>
    <cellStyle name="40% - Accent5 2 4 2 4 3 2" xfId="33821" xr:uid="{00000000-0005-0000-0000-000044530000}"/>
    <cellStyle name="40% - Accent5 2 4 2 4 4" xfId="23581" xr:uid="{00000000-0005-0000-0000-000045530000}"/>
    <cellStyle name="40% - Accent5 2 4 2 5" xfId="5661" xr:uid="{00000000-0005-0000-0000-000046530000}"/>
    <cellStyle name="40% - Accent5 2 4 2 5 2" xfId="15901" xr:uid="{00000000-0005-0000-0000-000047530000}"/>
    <cellStyle name="40% - Accent5 2 4 2 5 2 2" xfId="36381" xr:uid="{00000000-0005-0000-0000-000048530000}"/>
    <cellStyle name="40% - Accent5 2 4 2 5 3" xfId="26141" xr:uid="{00000000-0005-0000-0000-000049530000}"/>
    <cellStyle name="40% - Accent5 2 4 2 6" xfId="10781" xr:uid="{00000000-0005-0000-0000-00004A530000}"/>
    <cellStyle name="40% - Accent5 2 4 2 6 2" xfId="31261" xr:uid="{00000000-0005-0000-0000-00004B530000}"/>
    <cellStyle name="40% - Accent5 2 4 2 7" xfId="21021" xr:uid="{00000000-0005-0000-0000-00004C530000}"/>
    <cellStyle name="40% - Accent5 2 4 3" xfId="861" xr:uid="{00000000-0005-0000-0000-00004D530000}"/>
    <cellStyle name="40% - Accent5 2 4 3 2" xfId="2141" xr:uid="{00000000-0005-0000-0000-00004E530000}"/>
    <cellStyle name="40% - Accent5 2 4 3 2 2" xfId="4701" xr:uid="{00000000-0005-0000-0000-00004F530000}"/>
    <cellStyle name="40% - Accent5 2 4 3 2 2 2" xfId="9821" xr:uid="{00000000-0005-0000-0000-000050530000}"/>
    <cellStyle name="40% - Accent5 2 4 3 2 2 2 2" xfId="20061" xr:uid="{00000000-0005-0000-0000-000051530000}"/>
    <cellStyle name="40% - Accent5 2 4 3 2 2 2 2 2" xfId="40541" xr:uid="{00000000-0005-0000-0000-000052530000}"/>
    <cellStyle name="40% - Accent5 2 4 3 2 2 2 3" xfId="30301" xr:uid="{00000000-0005-0000-0000-000053530000}"/>
    <cellStyle name="40% - Accent5 2 4 3 2 2 3" xfId="14941" xr:uid="{00000000-0005-0000-0000-000054530000}"/>
    <cellStyle name="40% - Accent5 2 4 3 2 2 3 2" xfId="35421" xr:uid="{00000000-0005-0000-0000-000055530000}"/>
    <cellStyle name="40% - Accent5 2 4 3 2 2 4" xfId="25181" xr:uid="{00000000-0005-0000-0000-000056530000}"/>
    <cellStyle name="40% - Accent5 2 4 3 2 3" xfId="7261" xr:uid="{00000000-0005-0000-0000-000057530000}"/>
    <cellStyle name="40% - Accent5 2 4 3 2 3 2" xfId="17501" xr:uid="{00000000-0005-0000-0000-000058530000}"/>
    <cellStyle name="40% - Accent5 2 4 3 2 3 2 2" xfId="37981" xr:uid="{00000000-0005-0000-0000-000059530000}"/>
    <cellStyle name="40% - Accent5 2 4 3 2 3 3" xfId="27741" xr:uid="{00000000-0005-0000-0000-00005A530000}"/>
    <cellStyle name="40% - Accent5 2 4 3 2 4" xfId="12381" xr:uid="{00000000-0005-0000-0000-00005B530000}"/>
    <cellStyle name="40% - Accent5 2 4 3 2 4 2" xfId="32861" xr:uid="{00000000-0005-0000-0000-00005C530000}"/>
    <cellStyle name="40% - Accent5 2 4 3 2 5" xfId="22621" xr:uid="{00000000-0005-0000-0000-00005D530000}"/>
    <cellStyle name="40% - Accent5 2 4 3 3" xfId="3421" xr:uid="{00000000-0005-0000-0000-00005E530000}"/>
    <cellStyle name="40% - Accent5 2 4 3 3 2" xfId="8541" xr:uid="{00000000-0005-0000-0000-00005F530000}"/>
    <cellStyle name="40% - Accent5 2 4 3 3 2 2" xfId="18781" xr:uid="{00000000-0005-0000-0000-000060530000}"/>
    <cellStyle name="40% - Accent5 2 4 3 3 2 2 2" xfId="39261" xr:uid="{00000000-0005-0000-0000-000061530000}"/>
    <cellStyle name="40% - Accent5 2 4 3 3 2 3" xfId="29021" xr:uid="{00000000-0005-0000-0000-000062530000}"/>
    <cellStyle name="40% - Accent5 2 4 3 3 3" xfId="13661" xr:uid="{00000000-0005-0000-0000-000063530000}"/>
    <cellStyle name="40% - Accent5 2 4 3 3 3 2" xfId="34141" xr:uid="{00000000-0005-0000-0000-000064530000}"/>
    <cellStyle name="40% - Accent5 2 4 3 3 4" xfId="23901" xr:uid="{00000000-0005-0000-0000-000065530000}"/>
    <cellStyle name="40% - Accent5 2 4 3 4" xfId="5981" xr:uid="{00000000-0005-0000-0000-000066530000}"/>
    <cellStyle name="40% - Accent5 2 4 3 4 2" xfId="16221" xr:uid="{00000000-0005-0000-0000-000067530000}"/>
    <cellStyle name="40% - Accent5 2 4 3 4 2 2" xfId="36701" xr:uid="{00000000-0005-0000-0000-000068530000}"/>
    <cellStyle name="40% - Accent5 2 4 3 4 3" xfId="26461" xr:uid="{00000000-0005-0000-0000-000069530000}"/>
    <cellStyle name="40% - Accent5 2 4 3 5" xfId="11101" xr:uid="{00000000-0005-0000-0000-00006A530000}"/>
    <cellStyle name="40% - Accent5 2 4 3 5 2" xfId="31581" xr:uid="{00000000-0005-0000-0000-00006B530000}"/>
    <cellStyle name="40% - Accent5 2 4 3 6" xfId="21341" xr:uid="{00000000-0005-0000-0000-00006C530000}"/>
    <cellStyle name="40% - Accent5 2 4 4" xfId="1501" xr:uid="{00000000-0005-0000-0000-00006D530000}"/>
    <cellStyle name="40% - Accent5 2 4 4 2" xfId="4061" xr:uid="{00000000-0005-0000-0000-00006E530000}"/>
    <cellStyle name="40% - Accent5 2 4 4 2 2" xfId="9181" xr:uid="{00000000-0005-0000-0000-00006F530000}"/>
    <cellStyle name="40% - Accent5 2 4 4 2 2 2" xfId="19421" xr:uid="{00000000-0005-0000-0000-000070530000}"/>
    <cellStyle name="40% - Accent5 2 4 4 2 2 2 2" xfId="39901" xr:uid="{00000000-0005-0000-0000-000071530000}"/>
    <cellStyle name="40% - Accent5 2 4 4 2 2 3" xfId="29661" xr:uid="{00000000-0005-0000-0000-000072530000}"/>
    <cellStyle name="40% - Accent5 2 4 4 2 3" xfId="14301" xr:uid="{00000000-0005-0000-0000-000073530000}"/>
    <cellStyle name="40% - Accent5 2 4 4 2 3 2" xfId="34781" xr:uid="{00000000-0005-0000-0000-000074530000}"/>
    <cellStyle name="40% - Accent5 2 4 4 2 4" xfId="24541" xr:uid="{00000000-0005-0000-0000-000075530000}"/>
    <cellStyle name="40% - Accent5 2 4 4 3" xfId="6621" xr:uid="{00000000-0005-0000-0000-000076530000}"/>
    <cellStyle name="40% - Accent5 2 4 4 3 2" xfId="16861" xr:uid="{00000000-0005-0000-0000-000077530000}"/>
    <cellStyle name="40% - Accent5 2 4 4 3 2 2" xfId="37341" xr:uid="{00000000-0005-0000-0000-000078530000}"/>
    <cellStyle name="40% - Accent5 2 4 4 3 3" xfId="27101" xr:uid="{00000000-0005-0000-0000-000079530000}"/>
    <cellStyle name="40% - Accent5 2 4 4 4" xfId="11741" xr:uid="{00000000-0005-0000-0000-00007A530000}"/>
    <cellStyle name="40% - Accent5 2 4 4 4 2" xfId="32221" xr:uid="{00000000-0005-0000-0000-00007B530000}"/>
    <cellStyle name="40% - Accent5 2 4 4 5" xfId="21981" xr:uid="{00000000-0005-0000-0000-00007C530000}"/>
    <cellStyle name="40% - Accent5 2 4 5" xfId="2781" xr:uid="{00000000-0005-0000-0000-00007D530000}"/>
    <cellStyle name="40% - Accent5 2 4 5 2" xfId="7901" xr:uid="{00000000-0005-0000-0000-00007E530000}"/>
    <cellStyle name="40% - Accent5 2 4 5 2 2" xfId="18141" xr:uid="{00000000-0005-0000-0000-00007F530000}"/>
    <cellStyle name="40% - Accent5 2 4 5 2 2 2" xfId="38621" xr:uid="{00000000-0005-0000-0000-000080530000}"/>
    <cellStyle name="40% - Accent5 2 4 5 2 3" xfId="28381" xr:uid="{00000000-0005-0000-0000-000081530000}"/>
    <cellStyle name="40% - Accent5 2 4 5 3" xfId="13021" xr:uid="{00000000-0005-0000-0000-000082530000}"/>
    <cellStyle name="40% - Accent5 2 4 5 3 2" xfId="33501" xr:uid="{00000000-0005-0000-0000-000083530000}"/>
    <cellStyle name="40% - Accent5 2 4 5 4" xfId="23261" xr:uid="{00000000-0005-0000-0000-000084530000}"/>
    <cellStyle name="40% - Accent5 2 4 6" xfId="5341" xr:uid="{00000000-0005-0000-0000-000085530000}"/>
    <cellStyle name="40% - Accent5 2 4 6 2" xfId="15581" xr:uid="{00000000-0005-0000-0000-000086530000}"/>
    <cellStyle name="40% - Accent5 2 4 6 2 2" xfId="36061" xr:uid="{00000000-0005-0000-0000-000087530000}"/>
    <cellStyle name="40% - Accent5 2 4 6 3" xfId="25821" xr:uid="{00000000-0005-0000-0000-000088530000}"/>
    <cellStyle name="40% - Accent5 2 4 7" xfId="10461" xr:uid="{00000000-0005-0000-0000-000089530000}"/>
    <cellStyle name="40% - Accent5 2 4 7 2" xfId="30941" xr:uid="{00000000-0005-0000-0000-00008A530000}"/>
    <cellStyle name="40% - Accent5 2 4 8" xfId="20701" xr:uid="{00000000-0005-0000-0000-00008B530000}"/>
    <cellStyle name="40% - Accent5 2 5" xfId="381" xr:uid="{00000000-0005-0000-0000-00008C530000}"/>
    <cellStyle name="40% - Accent5 2 5 2" xfId="1021" xr:uid="{00000000-0005-0000-0000-00008D530000}"/>
    <cellStyle name="40% - Accent5 2 5 2 2" xfId="2301" xr:uid="{00000000-0005-0000-0000-00008E530000}"/>
    <cellStyle name="40% - Accent5 2 5 2 2 2" xfId="4861" xr:uid="{00000000-0005-0000-0000-00008F530000}"/>
    <cellStyle name="40% - Accent5 2 5 2 2 2 2" xfId="9981" xr:uid="{00000000-0005-0000-0000-000090530000}"/>
    <cellStyle name="40% - Accent5 2 5 2 2 2 2 2" xfId="20221" xr:uid="{00000000-0005-0000-0000-000091530000}"/>
    <cellStyle name="40% - Accent5 2 5 2 2 2 2 2 2" xfId="40701" xr:uid="{00000000-0005-0000-0000-000092530000}"/>
    <cellStyle name="40% - Accent5 2 5 2 2 2 2 3" xfId="30461" xr:uid="{00000000-0005-0000-0000-000093530000}"/>
    <cellStyle name="40% - Accent5 2 5 2 2 2 3" xfId="15101" xr:uid="{00000000-0005-0000-0000-000094530000}"/>
    <cellStyle name="40% - Accent5 2 5 2 2 2 3 2" xfId="35581" xr:uid="{00000000-0005-0000-0000-000095530000}"/>
    <cellStyle name="40% - Accent5 2 5 2 2 2 4" xfId="25341" xr:uid="{00000000-0005-0000-0000-000096530000}"/>
    <cellStyle name="40% - Accent5 2 5 2 2 3" xfId="7421" xr:uid="{00000000-0005-0000-0000-000097530000}"/>
    <cellStyle name="40% - Accent5 2 5 2 2 3 2" xfId="17661" xr:uid="{00000000-0005-0000-0000-000098530000}"/>
    <cellStyle name="40% - Accent5 2 5 2 2 3 2 2" xfId="38141" xr:uid="{00000000-0005-0000-0000-000099530000}"/>
    <cellStyle name="40% - Accent5 2 5 2 2 3 3" xfId="27901" xr:uid="{00000000-0005-0000-0000-00009A530000}"/>
    <cellStyle name="40% - Accent5 2 5 2 2 4" xfId="12541" xr:uid="{00000000-0005-0000-0000-00009B530000}"/>
    <cellStyle name="40% - Accent5 2 5 2 2 4 2" xfId="33021" xr:uid="{00000000-0005-0000-0000-00009C530000}"/>
    <cellStyle name="40% - Accent5 2 5 2 2 5" xfId="22781" xr:uid="{00000000-0005-0000-0000-00009D530000}"/>
    <cellStyle name="40% - Accent5 2 5 2 3" xfId="3581" xr:uid="{00000000-0005-0000-0000-00009E530000}"/>
    <cellStyle name="40% - Accent5 2 5 2 3 2" xfId="8701" xr:uid="{00000000-0005-0000-0000-00009F530000}"/>
    <cellStyle name="40% - Accent5 2 5 2 3 2 2" xfId="18941" xr:uid="{00000000-0005-0000-0000-0000A0530000}"/>
    <cellStyle name="40% - Accent5 2 5 2 3 2 2 2" xfId="39421" xr:uid="{00000000-0005-0000-0000-0000A1530000}"/>
    <cellStyle name="40% - Accent5 2 5 2 3 2 3" xfId="29181" xr:uid="{00000000-0005-0000-0000-0000A2530000}"/>
    <cellStyle name="40% - Accent5 2 5 2 3 3" xfId="13821" xr:uid="{00000000-0005-0000-0000-0000A3530000}"/>
    <cellStyle name="40% - Accent5 2 5 2 3 3 2" xfId="34301" xr:uid="{00000000-0005-0000-0000-0000A4530000}"/>
    <cellStyle name="40% - Accent5 2 5 2 3 4" xfId="24061" xr:uid="{00000000-0005-0000-0000-0000A5530000}"/>
    <cellStyle name="40% - Accent5 2 5 2 4" xfId="6141" xr:uid="{00000000-0005-0000-0000-0000A6530000}"/>
    <cellStyle name="40% - Accent5 2 5 2 4 2" xfId="16381" xr:uid="{00000000-0005-0000-0000-0000A7530000}"/>
    <cellStyle name="40% - Accent5 2 5 2 4 2 2" xfId="36861" xr:uid="{00000000-0005-0000-0000-0000A8530000}"/>
    <cellStyle name="40% - Accent5 2 5 2 4 3" xfId="26621" xr:uid="{00000000-0005-0000-0000-0000A9530000}"/>
    <cellStyle name="40% - Accent5 2 5 2 5" xfId="11261" xr:uid="{00000000-0005-0000-0000-0000AA530000}"/>
    <cellStyle name="40% - Accent5 2 5 2 5 2" xfId="31741" xr:uid="{00000000-0005-0000-0000-0000AB530000}"/>
    <cellStyle name="40% - Accent5 2 5 2 6" xfId="21501" xr:uid="{00000000-0005-0000-0000-0000AC530000}"/>
    <cellStyle name="40% - Accent5 2 5 3" xfId="1661" xr:uid="{00000000-0005-0000-0000-0000AD530000}"/>
    <cellStyle name="40% - Accent5 2 5 3 2" xfId="4221" xr:uid="{00000000-0005-0000-0000-0000AE530000}"/>
    <cellStyle name="40% - Accent5 2 5 3 2 2" xfId="9341" xr:uid="{00000000-0005-0000-0000-0000AF530000}"/>
    <cellStyle name="40% - Accent5 2 5 3 2 2 2" xfId="19581" xr:uid="{00000000-0005-0000-0000-0000B0530000}"/>
    <cellStyle name="40% - Accent5 2 5 3 2 2 2 2" xfId="40061" xr:uid="{00000000-0005-0000-0000-0000B1530000}"/>
    <cellStyle name="40% - Accent5 2 5 3 2 2 3" xfId="29821" xr:uid="{00000000-0005-0000-0000-0000B2530000}"/>
    <cellStyle name="40% - Accent5 2 5 3 2 3" xfId="14461" xr:uid="{00000000-0005-0000-0000-0000B3530000}"/>
    <cellStyle name="40% - Accent5 2 5 3 2 3 2" xfId="34941" xr:uid="{00000000-0005-0000-0000-0000B4530000}"/>
    <cellStyle name="40% - Accent5 2 5 3 2 4" xfId="24701" xr:uid="{00000000-0005-0000-0000-0000B5530000}"/>
    <cellStyle name="40% - Accent5 2 5 3 3" xfId="6781" xr:uid="{00000000-0005-0000-0000-0000B6530000}"/>
    <cellStyle name="40% - Accent5 2 5 3 3 2" xfId="17021" xr:uid="{00000000-0005-0000-0000-0000B7530000}"/>
    <cellStyle name="40% - Accent5 2 5 3 3 2 2" xfId="37501" xr:uid="{00000000-0005-0000-0000-0000B8530000}"/>
    <cellStyle name="40% - Accent5 2 5 3 3 3" xfId="27261" xr:uid="{00000000-0005-0000-0000-0000B9530000}"/>
    <cellStyle name="40% - Accent5 2 5 3 4" xfId="11901" xr:uid="{00000000-0005-0000-0000-0000BA530000}"/>
    <cellStyle name="40% - Accent5 2 5 3 4 2" xfId="32381" xr:uid="{00000000-0005-0000-0000-0000BB530000}"/>
    <cellStyle name="40% - Accent5 2 5 3 5" xfId="22141" xr:uid="{00000000-0005-0000-0000-0000BC530000}"/>
    <cellStyle name="40% - Accent5 2 5 4" xfId="2941" xr:uid="{00000000-0005-0000-0000-0000BD530000}"/>
    <cellStyle name="40% - Accent5 2 5 4 2" xfId="8061" xr:uid="{00000000-0005-0000-0000-0000BE530000}"/>
    <cellStyle name="40% - Accent5 2 5 4 2 2" xfId="18301" xr:uid="{00000000-0005-0000-0000-0000BF530000}"/>
    <cellStyle name="40% - Accent5 2 5 4 2 2 2" xfId="38781" xr:uid="{00000000-0005-0000-0000-0000C0530000}"/>
    <cellStyle name="40% - Accent5 2 5 4 2 3" xfId="28541" xr:uid="{00000000-0005-0000-0000-0000C1530000}"/>
    <cellStyle name="40% - Accent5 2 5 4 3" xfId="13181" xr:uid="{00000000-0005-0000-0000-0000C2530000}"/>
    <cellStyle name="40% - Accent5 2 5 4 3 2" xfId="33661" xr:uid="{00000000-0005-0000-0000-0000C3530000}"/>
    <cellStyle name="40% - Accent5 2 5 4 4" xfId="23421" xr:uid="{00000000-0005-0000-0000-0000C4530000}"/>
    <cellStyle name="40% - Accent5 2 5 5" xfId="5501" xr:uid="{00000000-0005-0000-0000-0000C5530000}"/>
    <cellStyle name="40% - Accent5 2 5 5 2" xfId="15741" xr:uid="{00000000-0005-0000-0000-0000C6530000}"/>
    <cellStyle name="40% - Accent5 2 5 5 2 2" xfId="36221" xr:uid="{00000000-0005-0000-0000-0000C7530000}"/>
    <cellStyle name="40% - Accent5 2 5 5 3" xfId="25981" xr:uid="{00000000-0005-0000-0000-0000C8530000}"/>
    <cellStyle name="40% - Accent5 2 5 6" xfId="10621" xr:uid="{00000000-0005-0000-0000-0000C9530000}"/>
    <cellStyle name="40% - Accent5 2 5 6 2" xfId="31101" xr:uid="{00000000-0005-0000-0000-0000CA530000}"/>
    <cellStyle name="40% - Accent5 2 5 7" xfId="20861" xr:uid="{00000000-0005-0000-0000-0000CB530000}"/>
    <cellStyle name="40% - Accent5 2 6" xfId="701" xr:uid="{00000000-0005-0000-0000-0000CC530000}"/>
    <cellStyle name="40% - Accent5 2 6 2" xfId="1981" xr:uid="{00000000-0005-0000-0000-0000CD530000}"/>
    <cellStyle name="40% - Accent5 2 6 2 2" xfId="4541" xr:uid="{00000000-0005-0000-0000-0000CE530000}"/>
    <cellStyle name="40% - Accent5 2 6 2 2 2" xfId="9661" xr:uid="{00000000-0005-0000-0000-0000CF530000}"/>
    <cellStyle name="40% - Accent5 2 6 2 2 2 2" xfId="19901" xr:uid="{00000000-0005-0000-0000-0000D0530000}"/>
    <cellStyle name="40% - Accent5 2 6 2 2 2 2 2" xfId="40381" xr:uid="{00000000-0005-0000-0000-0000D1530000}"/>
    <cellStyle name="40% - Accent5 2 6 2 2 2 3" xfId="30141" xr:uid="{00000000-0005-0000-0000-0000D2530000}"/>
    <cellStyle name="40% - Accent5 2 6 2 2 3" xfId="14781" xr:uid="{00000000-0005-0000-0000-0000D3530000}"/>
    <cellStyle name="40% - Accent5 2 6 2 2 3 2" xfId="35261" xr:uid="{00000000-0005-0000-0000-0000D4530000}"/>
    <cellStyle name="40% - Accent5 2 6 2 2 4" xfId="25021" xr:uid="{00000000-0005-0000-0000-0000D5530000}"/>
    <cellStyle name="40% - Accent5 2 6 2 3" xfId="7101" xr:uid="{00000000-0005-0000-0000-0000D6530000}"/>
    <cellStyle name="40% - Accent5 2 6 2 3 2" xfId="17341" xr:uid="{00000000-0005-0000-0000-0000D7530000}"/>
    <cellStyle name="40% - Accent5 2 6 2 3 2 2" xfId="37821" xr:uid="{00000000-0005-0000-0000-0000D8530000}"/>
    <cellStyle name="40% - Accent5 2 6 2 3 3" xfId="27581" xr:uid="{00000000-0005-0000-0000-0000D9530000}"/>
    <cellStyle name="40% - Accent5 2 6 2 4" xfId="12221" xr:uid="{00000000-0005-0000-0000-0000DA530000}"/>
    <cellStyle name="40% - Accent5 2 6 2 4 2" xfId="32701" xr:uid="{00000000-0005-0000-0000-0000DB530000}"/>
    <cellStyle name="40% - Accent5 2 6 2 5" xfId="22461" xr:uid="{00000000-0005-0000-0000-0000DC530000}"/>
    <cellStyle name="40% - Accent5 2 6 3" xfId="3261" xr:uid="{00000000-0005-0000-0000-0000DD530000}"/>
    <cellStyle name="40% - Accent5 2 6 3 2" xfId="8381" xr:uid="{00000000-0005-0000-0000-0000DE530000}"/>
    <cellStyle name="40% - Accent5 2 6 3 2 2" xfId="18621" xr:uid="{00000000-0005-0000-0000-0000DF530000}"/>
    <cellStyle name="40% - Accent5 2 6 3 2 2 2" xfId="39101" xr:uid="{00000000-0005-0000-0000-0000E0530000}"/>
    <cellStyle name="40% - Accent5 2 6 3 2 3" xfId="28861" xr:uid="{00000000-0005-0000-0000-0000E1530000}"/>
    <cellStyle name="40% - Accent5 2 6 3 3" xfId="13501" xr:uid="{00000000-0005-0000-0000-0000E2530000}"/>
    <cellStyle name="40% - Accent5 2 6 3 3 2" xfId="33981" xr:uid="{00000000-0005-0000-0000-0000E3530000}"/>
    <cellStyle name="40% - Accent5 2 6 3 4" xfId="23741" xr:uid="{00000000-0005-0000-0000-0000E4530000}"/>
    <cellStyle name="40% - Accent5 2 6 4" xfId="5821" xr:uid="{00000000-0005-0000-0000-0000E5530000}"/>
    <cellStyle name="40% - Accent5 2 6 4 2" xfId="16061" xr:uid="{00000000-0005-0000-0000-0000E6530000}"/>
    <cellStyle name="40% - Accent5 2 6 4 2 2" xfId="36541" xr:uid="{00000000-0005-0000-0000-0000E7530000}"/>
    <cellStyle name="40% - Accent5 2 6 4 3" xfId="26301" xr:uid="{00000000-0005-0000-0000-0000E8530000}"/>
    <cellStyle name="40% - Accent5 2 6 5" xfId="10941" xr:uid="{00000000-0005-0000-0000-0000E9530000}"/>
    <cellStyle name="40% - Accent5 2 6 5 2" xfId="31421" xr:uid="{00000000-0005-0000-0000-0000EA530000}"/>
    <cellStyle name="40% - Accent5 2 6 6" xfId="21181" xr:uid="{00000000-0005-0000-0000-0000EB530000}"/>
    <cellStyle name="40% - Accent5 2 7" xfId="1341" xr:uid="{00000000-0005-0000-0000-0000EC530000}"/>
    <cellStyle name="40% - Accent5 2 7 2" xfId="3901" xr:uid="{00000000-0005-0000-0000-0000ED530000}"/>
    <cellStyle name="40% - Accent5 2 7 2 2" xfId="9021" xr:uid="{00000000-0005-0000-0000-0000EE530000}"/>
    <cellStyle name="40% - Accent5 2 7 2 2 2" xfId="19261" xr:uid="{00000000-0005-0000-0000-0000EF530000}"/>
    <cellStyle name="40% - Accent5 2 7 2 2 2 2" xfId="39741" xr:uid="{00000000-0005-0000-0000-0000F0530000}"/>
    <cellStyle name="40% - Accent5 2 7 2 2 3" xfId="29501" xr:uid="{00000000-0005-0000-0000-0000F1530000}"/>
    <cellStyle name="40% - Accent5 2 7 2 3" xfId="14141" xr:uid="{00000000-0005-0000-0000-0000F2530000}"/>
    <cellStyle name="40% - Accent5 2 7 2 3 2" xfId="34621" xr:uid="{00000000-0005-0000-0000-0000F3530000}"/>
    <cellStyle name="40% - Accent5 2 7 2 4" xfId="24381" xr:uid="{00000000-0005-0000-0000-0000F4530000}"/>
    <cellStyle name="40% - Accent5 2 7 3" xfId="6461" xr:uid="{00000000-0005-0000-0000-0000F5530000}"/>
    <cellStyle name="40% - Accent5 2 7 3 2" xfId="16701" xr:uid="{00000000-0005-0000-0000-0000F6530000}"/>
    <cellStyle name="40% - Accent5 2 7 3 2 2" xfId="37181" xr:uid="{00000000-0005-0000-0000-0000F7530000}"/>
    <cellStyle name="40% - Accent5 2 7 3 3" xfId="26941" xr:uid="{00000000-0005-0000-0000-0000F8530000}"/>
    <cellStyle name="40% - Accent5 2 7 4" xfId="11581" xr:uid="{00000000-0005-0000-0000-0000F9530000}"/>
    <cellStyle name="40% - Accent5 2 7 4 2" xfId="32061" xr:uid="{00000000-0005-0000-0000-0000FA530000}"/>
    <cellStyle name="40% - Accent5 2 7 5" xfId="21821" xr:uid="{00000000-0005-0000-0000-0000FB530000}"/>
    <cellStyle name="40% - Accent5 2 8" xfId="2621" xr:uid="{00000000-0005-0000-0000-0000FC530000}"/>
    <cellStyle name="40% - Accent5 2 8 2" xfId="7741" xr:uid="{00000000-0005-0000-0000-0000FD530000}"/>
    <cellStyle name="40% - Accent5 2 8 2 2" xfId="17981" xr:uid="{00000000-0005-0000-0000-0000FE530000}"/>
    <cellStyle name="40% - Accent5 2 8 2 2 2" xfId="38461" xr:uid="{00000000-0005-0000-0000-0000FF530000}"/>
    <cellStyle name="40% - Accent5 2 8 2 3" xfId="28221" xr:uid="{00000000-0005-0000-0000-000000540000}"/>
    <cellStyle name="40% - Accent5 2 8 3" xfId="12861" xr:uid="{00000000-0005-0000-0000-000001540000}"/>
    <cellStyle name="40% - Accent5 2 8 3 2" xfId="33341" xr:uid="{00000000-0005-0000-0000-000002540000}"/>
    <cellStyle name="40% - Accent5 2 8 4" xfId="23101" xr:uid="{00000000-0005-0000-0000-000003540000}"/>
    <cellStyle name="40% - Accent5 2 9" xfId="5181" xr:uid="{00000000-0005-0000-0000-000004540000}"/>
    <cellStyle name="40% - Accent5 2 9 2" xfId="15421" xr:uid="{00000000-0005-0000-0000-000005540000}"/>
    <cellStyle name="40% - Accent5 2 9 2 2" xfId="35901" xr:uid="{00000000-0005-0000-0000-000006540000}"/>
    <cellStyle name="40% - Accent5 2 9 3" xfId="25661" xr:uid="{00000000-0005-0000-0000-000007540000}"/>
    <cellStyle name="40% - Accent5 3" xfId="81" xr:uid="{00000000-0005-0000-0000-000008540000}"/>
    <cellStyle name="40% - Accent5 3 10" xfId="20561" xr:uid="{00000000-0005-0000-0000-000009540000}"/>
    <cellStyle name="40% - Accent5 3 2" xfId="161" xr:uid="{00000000-0005-0000-0000-00000A540000}"/>
    <cellStyle name="40% - Accent5 3 2 2" xfId="321" xr:uid="{00000000-0005-0000-0000-00000B540000}"/>
    <cellStyle name="40% - Accent5 3 2 2 2" xfId="641" xr:uid="{00000000-0005-0000-0000-00000C540000}"/>
    <cellStyle name="40% - Accent5 3 2 2 2 2" xfId="1281" xr:uid="{00000000-0005-0000-0000-00000D540000}"/>
    <cellStyle name="40% - Accent5 3 2 2 2 2 2" xfId="2561" xr:uid="{00000000-0005-0000-0000-00000E540000}"/>
    <cellStyle name="40% - Accent5 3 2 2 2 2 2 2" xfId="5121" xr:uid="{00000000-0005-0000-0000-00000F540000}"/>
    <cellStyle name="40% - Accent5 3 2 2 2 2 2 2 2" xfId="10241" xr:uid="{00000000-0005-0000-0000-000010540000}"/>
    <cellStyle name="40% - Accent5 3 2 2 2 2 2 2 2 2" xfId="20481" xr:uid="{00000000-0005-0000-0000-000011540000}"/>
    <cellStyle name="40% - Accent5 3 2 2 2 2 2 2 2 2 2" xfId="40961" xr:uid="{00000000-0005-0000-0000-000012540000}"/>
    <cellStyle name="40% - Accent5 3 2 2 2 2 2 2 2 3" xfId="30721" xr:uid="{00000000-0005-0000-0000-000013540000}"/>
    <cellStyle name="40% - Accent5 3 2 2 2 2 2 2 3" xfId="15361" xr:uid="{00000000-0005-0000-0000-000014540000}"/>
    <cellStyle name="40% - Accent5 3 2 2 2 2 2 2 3 2" xfId="35841" xr:uid="{00000000-0005-0000-0000-000015540000}"/>
    <cellStyle name="40% - Accent5 3 2 2 2 2 2 2 4" xfId="25601" xr:uid="{00000000-0005-0000-0000-000016540000}"/>
    <cellStyle name="40% - Accent5 3 2 2 2 2 2 3" xfId="7681" xr:uid="{00000000-0005-0000-0000-000017540000}"/>
    <cellStyle name="40% - Accent5 3 2 2 2 2 2 3 2" xfId="17921" xr:uid="{00000000-0005-0000-0000-000018540000}"/>
    <cellStyle name="40% - Accent5 3 2 2 2 2 2 3 2 2" xfId="38401" xr:uid="{00000000-0005-0000-0000-000019540000}"/>
    <cellStyle name="40% - Accent5 3 2 2 2 2 2 3 3" xfId="28161" xr:uid="{00000000-0005-0000-0000-00001A540000}"/>
    <cellStyle name="40% - Accent5 3 2 2 2 2 2 4" xfId="12801" xr:uid="{00000000-0005-0000-0000-00001B540000}"/>
    <cellStyle name="40% - Accent5 3 2 2 2 2 2 4 2" xfId="33281" xr:uid="{00000000-0005-0000-0000-00001C540000}"/>
    <cellStyle name="40% - Accent5 3 2 2 2 2 2 5" xfId="23041" xr:uid="{00000000-0005-0000-0000-00001D540000}"/>
    <cellStyle name="40% - Accent5 3 2 2 2 2 3" xfId="3841" xr:uid="{00000000-0005-0000-0000-00001E540000}"/>
    <cellStyle name="40% - Accent5 3 2 2 2 2 3 2" xfId="8961" xr:uid="{00000000-0005-0000-0000-00001F540000}"/>
    <cellStyle name="40% - Accent5 3 2 2 2 2 3 2 2" xfId="19201" xr:uid="{00000000-0005-0000-0000-000020540000}"/>
    <cellStyle name="40% - Accent5 3 2 2 2 2 3 2 2 2" xfId="39681" xr:uid="{00000000-0005-0000-0000-000021540000}"/>
    <cellStyle name="40% - Accent5 3 2 2 2 2 3 2 3" xfId="29441" xr:uid="{00000000-0005-0000-0000-000022540000}"/>
    <cellStyle name="40% - Accent5 3 2 2 2 2 3 3" xfId="14081" xr:uid="{00000000-0005-0000-0000-000023540000}"/>
    <cellStyle name="40% - Accent5 3 2 2 2 2 3 3 2" xfId="34561" xr:uid="{00000000-0005-0000-0000-000024540000}"/>
    <cellStyle name="40% - Accent5 3 2 2 2 2 3 4" xfId="24321" xr:uid="{00000000-0005-0000-0000-000025540000}"/>
    <cellStyle name="40% - Accent5 3 2 2 2 2 4" xfId="6401" xr:uid="{00000000-0005-0000-0000-000026540000}"/>
    <cellStyle name="40% - Accent5 3 2 2 2 2 4 2" xfId="16641" xr:uid="{00000000-0005-0000-0000-000027540000}"/>
    <cellStyle name="40% - Accent5 3 2 2 2 2 4 2 2" xfId="37121" xr:uid="{00000000-0005-0000-0000-000028540000}"/>
    <cellStyle name="40% - Accent5 3 2 2 2 2 4 3" xfId="26881" xr:uid="{00000000-0005-0000-0000-000029540000}"/>
    <cellStyle name="40% - Accent5 3 2 2 2 2 5" xfId="11521" xr:uid="{00000000-0005-0000-0000-00002A540000}"/>
    <cellStyle name="40% - Accent5 3 2 2 2 2 5 2" xfId="32001" xr:uid="{00000000-0005-0000-0000-00002B540000}"/>
    <cellStyle name="40% - Accent5 3 2 2 2 2 6" xfId="21761" xr:uid="{00000000-0005-0000-0000-00002C540000}"/>
    <cellStyle name="40% - Accent5 3 2 2 2 3" xfId="1921" xr:uid="{00000000-0005-0000-0000-00002D540000}"/>
    <cellStyle name="40% - Accent5 3 2 2 2 3 2" xfId="4481" xr:uid="{00000000-0005-0000-0000-00002E540000}"/>
    <cellStyle name="40% - Accent5 3 2 2 2 3 2 2" xfId="9601" xr:uid="{00000000-0005-0000-0000-00002F540000}"/>
    <cellStyle name="40% - Accent5 3 2 2 2 3 2 2 2" xfId="19841" xr:uid="{00000000-0005-0000-0000-000030540000}"/>
    <cellStyle name="40% - Accent5 3 2 2 2 3 2 2 2 2" xfId="40321" xr:uid="{00000000-0005-0000-0000-000031540000}"/>
    <cellStyle name="40% - Accent5 3 2 2 2 3 2 2 3" xfId="30081" xr:uid="{00000000-0005-0000-0000-000032540000}"/>
    <cellStyle name="40% - Accent5 3 2 2 2 3 2 3" xfId="14721" xr:uid="{00000000-0005-0000-0000-000033540000}"/>
    <cellStyle name="40% - Accent5 3 2 2 2 3 2 3 2" xfId="35201" xr:uid="{00000000-0005-0000-0000-000034540000}"/>
    <cellStyle name="40% - Accent5 3 2 2 2 3 2 4" xfId="24961" xr:uid="{00000000-0005-0000-0000-000035540000}"/>
    <cellStyle name="40% - Accent5 3 2 2 2 3 3" xfId="7041" xr:uid="{00000000-0005-0000-0000-000036540000}"/>
    <cellStyle name="40% - Accent5 3 2 2 2 3 3 2" xfId="17281" xr:uid="{00000000-0005-0000-0000-000037540000}"/>
    <cellStyle name="40% - Accent5 3 2 2 2 3 3 2 2" xfId="37761" xr:uid="{00000000-0005-0000-0000-000038540000}"/>
    <cellStyle name="40% - Accent5 3 2 2 2 3 3 3" xfId="27521" xr:uid="{00000000-0005-0000-0000-000039540000}"/>
    <cellStyle name="40% - Accent5 3 2 2 2 3 4" xfId="12161" xr:uid="{00000000-0005-0000-0000-00003A540000}"/>
    <cellStyle name="40% - Accent5 3 2 2 2 3 4 2" xfId="32641" xr:uid="{00000000-0005-0000-0000-00003B540000}"/>
    <cellStyle name="40% - Accent5 3 2 2 2 3 5" xfId="22401" xr:uid="{00000000-0005-0000-0000-00003C540000}"/>
    <cellStyle name="40% - Accent5 3 2 2 2 4" xfId="3201" xr:uid="{00000000-0005-0000-0000-00003D540000}"/>
    <cellStyle name="40% - Accent5 3 2 2 2 4 2" xfId="8321" xr:uid="{00000000-0005-0000-0000-00003E540000}"/>
    <cellStyle name="40% - Accent5 3 2 2 2 4 2 2" xfId="18561" xr:uid="{00000000-0005-0000-0000-00003F540000}"/>
    <cellStyle name="40% - Accent5 3 2 2 2 4 2 2 2" xfId="39041" xr:uid="{00000000-0005-0000-0000-000040540000}"/>
    <cellStyle name="40% - Accent5 3 2 2 2 4 2 3" xfId="28801" xr:uid="{00000000-0005-0000-0000-000041540000}"/>
    <cellStyle name="40% - Accent5 3 2 2 2 4 3" xfId="13441" xr:uid="{00000000-0005-0000-0000-000042540000}"/>
    <cellStyle name="40% - Accent5 3 2 2 2 4 3 2" xfId="33921" xr:uid="{00000000-0005-0000-0000-000043540000}"/>
    <cellStyle name="40% - Accent5 3 2 2 2 4 4" xfId="23681" xr:uid="{00000000-0005-0000-0000-000044540000}"/>
    <cellStyle name="40% - Accent5 3 2 2 2 5" xfId="5761" xr:uid="{00000000-0005-0000-0000-000045540000}"/>
    <cellStyle name="40% - Accent5 3 2 2 2 5 2" xfId="16001" xr:uid="{00000000-0005-0000-0000-000046540000}"/>
    <cellStyle name="40% - Accent5 3 2 2 2 5 2 2" xfId="36481" xr:uid="{00000000-0005-0000-0000-000047540000}"/>
    <cellStyle name="40% - Accent5 3 2 2 2 5 3" xfId="26241" xr:uid="{00000000-0005-0000-0000-000048540000}"/>
    <cellStyle name="40% - Accent5 3 2 2 2 6" xfId="10881" xr:uid="{00000000-0005-0000-0000-000049540000}"/>
    <cellStyle name="40% - Accent5 3 2 2 2 6 2" xfId="31361" xr:uid="{00000000-0005-0000-0000-00004A540000}"/>
    <cellStyle name="40% - Accent5 3 2 2 2 7" xfId="21121" xr:uid="{00000000-0005-0000-0000-00004B540000}"/>
    <cellStyle name="40% - Accent5 3 2 2 3" xfId="961" xr:uid="{00000000-0005-0000-0000-00004C540000}"/>
    <cellStyle name="40% - Accent5 3 2 2 3 2" xfId="2241" xr:uid="{00000000-0005-0000-0000-00004D540000}"/>
    <cellStyle name="40% - Accent5 3 2 2 3 2 2" xfId="4801" xr:uid="{00000000-0005-0000-0000-00004E540000}"/>
    <cellStyle name="40% - Accent5 3 2 2 3 2 2 2" xfId="9921" xr:uid="{00000000-0005-0000-0000-00004F540000}"/>
    <cellStyle name="40% - Accent5 3 2 2 3 2 2 2 2" xfId="20161" xr:uid="{00000000-0005-0000-0000-000050540000}"/>
    <cellStyle name="40% - Accent5 3 2 2 3 2 2 2 2 2" xfId="40641" xr:uid="{00000000-0005-0000-0000-000051540000}"/>
    <cellStyle name="40% - Accent5 3 2 2 3 2 2 2 3" xfId="30401" xr:uid="{00000000-0005-0000-0000-000052540000}"/>
    <cellStyle name="40% - Accent5 3 2 2 3 2 2 3" xfId="15041" xr:uid="{00000000-0005-0000-0000-000053540000}"/>
    <cellStyle name="40% - Accent5 3 2 2 3 2 2 3 2" xfId="35521" xr:uid="{00000000-0005-0000-0000-000054540000}"/>
    <cellStyle name="40% - Accent5 3 2 2 3 2 2 4" xfId="25281" xr:uid="{00000000-0005-0000-0000-000055540000}"/>
    <cellStyle name="40% - Accent5 3 2 2 3 2 3" xfId="7361" xr:uid="{00000000-0005-0000-0000-000056540000}"/>
    <cellStyle name="40% - Accent5 3 2 2 3 2 3 2" xfId="17601" xr:uid="{00000000-0005-0000-0000-000057540000}"/>
    <cellStyle name="40% - Accent5 3 2 2 3 2 3 2 2" xfId="38081" xr:uid="{00000000-0005-0000-0000-000058540000}"/>
    <cellStyle name="40% - Accent5 3 2 2 3 2 3 3" xfId="27841" xr:uid="{00000000-0005-0000-0000-000059540000}"/>
    <cellStyle name="40% - Accent5 3 2 2 3 2 4" xfId="12481" xr:uid="{00000000-0005-0000-0000-00005A540000}"/>
    <cellStyle name="40% - Accent5 3 2 2 3 2 4 2" xfId="32961" xr:uid="{00000000-0005-0000-0000-00005B540000}"/>
    <cellStyle name="40% - Accent5 3 2 2 3 2 5" xfId="22721" xr:uid="{00000000-0005-0000-0000-00005C540000}"/>
    <cellStyle name="40% - Accent5 3 2 2 3 3" xfId="3521" xr:uid="{00000000-0005-0000-0000-00005D540000}"/>
    <cellStyle name="40% - Accent5 3 2 2 3 3 2" xfId="8641" xr:uid="{00000000-0005-0000-0000-00005E540000}"/>
    <cellStyle name="40% - Accent5 3 2 2 3 3 2 2" xfId="18881" xr:uid="{00000000-0005-0000-0000-00005F540000}"/>
    <cellStyle name="40% - Accent5 3 2 2 3 3 2 2 2" xfId="39361" xr:uid="{00000000-0005-0000-0000-000060540000}"/>
    <cellStyle name="40% - Accent5 3 2 2 3 3 2 3" xfId="29121" xr:uid="{00000000-0005-0000-0000-000061540000}"/>
    <cellStyle name="40% - Accent5 3 2 2 3 3 3" xfId="13761" xr:uid="{00000000-0005-0000-0000-000062540000}"/>
    <cellStyle name="40% - Accent5 3 2 2 3 3 3 2" xfId="34241" xr:uid="{00000000-0005-0000-0000-000063540000}"/>
    <cellStyle name="40% - Accent5 3 2 2 3 3 4" xfId="24001" xr:uid="{00000000-0005-0000-0000-000064540000}"/>
    <cellStyle name="40% - Accent5 3 2 2 3 4" xfId="6081" xr:uid="{00000000-0005-0000-0000-000065540000}"/>
    <cellStyle name="40% - Accent5 3 2 2 3 4 2" xfId="16321" xr:uid="{00000000-0005-0000-0000-000066540000}"/>
    <cellStyle name="40% - Accent5 3 2 2 3 4 2 2" xfId="36801" xr:uid="{00000000-0005-0000-0000-000067540000}"/>
    <cellStyle name="40% - Accent5 3 2 2 3 4 3" xfId="26561" xr:uid="{00000000-0005-0000-0000-000068540000}"/>
    <cellStyle name="40% - Accent5 3 2 2 3 5" xfId="11201" xr:uid="{00000000-0005-0000-0000-000069540000}"/>
    <cellStyle name="40% - Accent5 3 2 2 3 5 2" xfId="31681" xr:uid="{00000000-0005-0000-0000-00006A540000}"/>
    <cellStyle name="40% - Accent5 3 2 2 3 6" xfId="21441" xr:uid="{00000000-0005-0000-0000-00006B540000}"/>
    <cellStyle name="40% - Accent5 3 2 2 4" xfId="1601" xr:uid="{00000000-0005-0000-0000-00006C540000}"/>
    <cellStyle name="40% - Accent5 3 2 2 4 2" xfId="4161" xr:uid="{00000000-0005-0000-0000-00006D540000}"/>
    <cellStyle name="40% - Accent5 3 2 2 4 2 2" xfId="9281" xr:uid="{00000000-0005-0000-0000-00006E540000}"/>
    <cellStyle name="40% - Accent5 3 2 2 4 2 2 2" xfId="19521" xr:uid="{00000000-0005-0000-0000-00006F540000}"/>
    <cellStyle name="40% - Accent5 3 2 2 4 2 2 2 2" xfId="40001" xr:uid="{00000000-0005-0000-0000-000070540000}"/>
    <cellStyle name="40% - Accent5 3 2 2 4 2 2 3" xfId="29761" xr:uid="{00000000-0005-0000-0000-000071540000}"/>
    <cellStyle name="40% - Accent5 3 2 2 4 2 3" xfId="14401" xr:uid="{00000000-0005-0000-0000-000072540000}"/>
    <cellStyle name="40% - Accent5 3 2 2 4 2 3 2" xfId="34881" xr:uid="{00000000-0005-0000-0000-000073540000}"/>
    <cellStyle name="40% - Accent5 3 2 2 4 2 4" xfId="24641" xr:uid="{00000000-0005-0000-0000-000074540000}"/>
    <cellStyle name="40% - Accent5 3 2 2 4 3" xfId="6721" xr:uid="{00000000-0005-0000-0000-000075540000}"/>
    <cellStyle name="40% - Accent5 3 2 2 4 3 2" xfId="16961" xr:uid="{00000000-0005-0000-0000-000076540000}"/>
    <cellStyle name="40% - Accent5 3 2 2 4 3 2 2" xfId="37441" xr:uid="{00000000-0005-0000-0000-000077540000}"/>
    <cellStyle name="40% - Accent5 3 2 2 4 3 3" xfId="27201" xr:uid="{00000000-0005-0000-0000-000078540000}"/>
    <cellStyle name="40% - Accent5 3 2 2 4 4" xfId="11841" xr:uid="{00000000-0005-0000-0000-000079540000}"/>
    <cellStyle name="40% - Accent5 3 2 2 4 4 2" xfId="32321" xr:uid="{00000000-0005-0000-0000-00007A540000}"/>
    <cellStyle name="40% - Accent5 3 2 2 4 5" xfId="22081" xr:uid="{00000000-0005-0000-0000-00007B540000}"/>
    <cellStyle name="40% - Accent5 3 2 2 5" xfId="2881" xr:uid="{00000000-0005-0000-0000-00007C540000}"/>
    <cellStyle name="40% - Accent5 3 2 2 5 2" xfId="8001" xr:uid="{00000000-0005-0000-0000-00007D540000}"/>
    <cellStyle name="40% - Accent5 3 2 2 5 2 2" xfId="18241" xr:uid="{00000000-0005-0000-0000-00007E540000}"/>
    <cellStyle name="40% - Accent5 3 2 2 5 2 2 2" xfId="38721" xr:uid="{00000000-0005-0000-0000-00007F540000}"/>
    <cellStyle name="40% - Accent5 3 2 2 5 2 3" xfId="28481" xr:uid="{00000000-0005-0000-0000-000080540000}"/>
    <cellStyle name="40% - Accent5 3 2 2 5 3" xfId="13121" xr:uid="{00000000-0005-0000-0000-000081540000}"/>
    <cellStyle name="40% - Accent5 3 2 2 5 3 2" xfId="33601" xr:uid="{00000000-0005-0000-0000-000082540000}"/>
    <cellStyle name="40% - Accent5 3 2 2 5 4" xfId="23361" xr:uid="{00000000-0005-0000-0000-000083540000}"/>
    <cellStyle name="40% - Accent5 3 2 2 6" xfId="5441" xr:uid="{00000000-0005-0000-0000-000084540000}"/>
    <cellStyle name="40% - Accent5 3 2 2 6 2" xfId="15681" xr:uid="{00000000-0005-0000-0000-000085540000}"/>
    <cellStyle name="40% - Accent5 3 2 2 6 2 2" xfId="36161" xr:uid="{00000000-0005-0000-0000-000086540000}"/>
    <cellStyle name="40% - Accent5 3 2 2 6 3" xfId="25921" xr:uid="{00000000-0005-0000-0000-000087540000}"/>
    <cellStyle name="40% - Accent5 3 2 2 7" xfId="10561" xr:uid="{00000000-0005-0000-0000-000088540000}"/>
    <cellStyle name="40% - Accent5 3 2 2 7 2" xfId="31041" xr:uid="{00000000-0005-0000-0000-000089540000}"/>
    <cellStyle name="40% - Accent5 3 2 2 8" xfId="20801" xr:uid="{00000000-0005-0000-0000-00008A540000}"/>
    <cellStyle name="40% - Accent5 3 2 3" xfId="481" xr:uid="{00000000-0005-0000-0000-00008B540000}"/>
    <cellStyle name="40% - Accent5 3 2 3 2" xfId="1121" xr:uid="{00000000-0005-0000-0000-00008C540000}"/>
    <cellStyle name="40% - Accent5 3 2 3 2 2" xfId="2401" xr:uid="{00000000-0005-0000-0000-00008D540000}"/>
    <cellStyle name="40% - Accent5 3 2 3 2 2 2" xfId="4961" xr:uid="{00000000-0005-0000-0000-00008E540000}"/>
    <cellStyle name="40% - Accent5 3 2 3 2 2 2 2" xfId="10081" xr:uid="{00000000-0005-0000-0000-00008F540000}"/>
    <cellStyle name="40% - Accent5 3 2 3 2 2 2 2 2" xfId="20321" xr:uid="{00000000-0005-0000-0000-000090540000}"/>
    <cellStyle name="40% - Accent5 3 2 3 2 2 2 2 2 2" xfId="40801" xr:uid="{00000000-0005-0000-0000-000091540000}"/>
    <cellStyle name="40% - Accent5 3 2 3 2 2 2 2 3" xfId="30561" xr:uid="{00000000-0005-0000-0000-000092540000}"/>
    <cellStyle name="40% - Accent5 3 2 3 2 2 2 3" xfId="15201" xr:uid="{00000000-0005-0000-0000-000093540000}"/>
    <cellStyle name="40% - Accent5 3 2 3 2 2 2 3 2" xfId="35681" xr:uid="{00000000-0005-0000-0000-000094540000}"/>
    <cellStyle name="40% - Accent5 3 2 3 2 2 2 4" xfId="25441" xr:uid="{00000000-0005-0000-0000-000095540000}"/>
    <cellStyle name="40% - Accent5 3 2 3 2 2 3" xfId="7521" xr:uid="{00000000-0005-0000-0000-000096540000}"/>
    <cellStyle name="40% - Accent5 3 2 3 2 2 3 2" xfId="17761" xr:uid="{00000000-0005-0000-0000-000097540000}"/>
    <cellStyle name="40% - Accent5 3 2 3 2 2 3 2 2" xfId="38241" xr:uid="{00000000-0005-0000-0000-000098540000}"/>
    <cellStyle name="40% - Accent5 3 2 3 2 2 3 3" xfId="28001" xr:uid="{00000000-0005-0000-0000-000099540000}"/>
    <cellStyle name="40% - Accent5 3 2 3 2 2 4" xfId="12641" xr:uid="{00000000-0005-0000-0000-00009A540000}"/>
    <cellStyle name="40% - Accent5 3 2 3 2 2 4 2" xfId="33121" xr:uid="{00000000-0005-0000-0000-00009B540000}"/>
    <cellStyle name="40% - Accent5 3 2 3 2 2 5" xfId="22881" xr:uid="{00000000-0005-0000-0000-00009C540000}"/>
    <cellStyle name="40% - Accent5 3 2 3 2 3" xfId="3681" xr:uid="{00000000-0005-0000-0000-00009D540000}"/>
    <cellStyle name="40% - Accent5 3 2 3 2 3 2" xfId="8801" xr:uid="{00000000-0005-0000-0000-00009E540000}"/>
    <cellStyle name="40% - Accent5 3 2 3 2 3 2 2" xfId="19041" xr:uid="{00000000-0005-0000-0000-00009F540000}"/>
    <cellStyle name="40% - Accent5 3 2 3 2 3 2 2 2" xfId="39521" xr:uid="{00000000-0005-0000-0000-0000A0540000}"/>
    <cellStyle name="40% - Accent5 3 2 3 2 3 2 3" xfId="29281" xr:uid="{00000000-0005-0000-0000-0000A1540000}"/>
    <cellStyle name="40% - Accent5 3 2 3 2 3 3" xfId="13921" xr:uid="{00000000-0005-0000-0000-0000A2540000}"/>
    <cellStyle name="40% - Accent5 3 2 3 2 3 3 2" xfId="34401" xr:uid="{00000000-0005-0000-0000-0000A3540000}"/>
    <cellStyle name="40% - Accent5 3 2 3 2 3 4" xfId="24161" xr:uid="{00000000-0005-0000-0000-0000A4540000}"/>
    <cellStyle name="40% - Accent5 3 2 3 2 4" xfId="6241" xr:uid="{00000000-0005-0000-0000-0000A5540000}"/>
    <cellStyle name="40% - Accent5 3 2 3 2 4 2" xfId="16481" xr:uid="{00000000-0005-0000-0000-0000A6540000}"/>
    <cellStyle name="40% - Accent5 3 2 3 2 4 2 2" xfId="36961" xr:uid="{00000000-0005-0000-0000-0000A7540000}"/>
    <cellStyle name="40% - Accent5 3 2 3 2 4 3" xfId="26721" xr:uid="{00000000-0005-0000-0000-0000A8540000}"/>
    <cellStyle name="40% - Accent5 3 2 3 2 5" xfId="11361" xr:uid="{00000000-0005-0000-0000-0000A9540000}"/>
    <cellStyle name="40% - Accent5 3 2 3 2 5 2" xfId="31841" xr:uid="{00000000-0005-0000-0000-0000AA540000}"/>
    <cellStyle name="40% - Accent5 3 2 3 2 6" xfId="21601" xr:uid="{00000000-0005-0000-0000-0000AB540000}"/>
    <cellStyle name="40% - Accent5 3 2 3 3" xfId="1761" xr:uid="{00000000-0005-0000-0000-0000AC540000}"/>
    <cellStyle name="40% - Accent5 3 2 3 3 2" xfId="4321" xr:uid="{00000000-0005-0000-0000-0000AD540000}"/>
    <cellStyle name="40% - Accent5 3 2 3 3 2 2" xfId="9441" xr:uid="{00000000-0005-0000-0000-0000AE540000}"/>
    <cellStyle name="40% - Accent5 3 2 3 3 2 2 2" xfId="19681" xr:uid="{00000000-0005-0000-0000-0000AF540000}"/>
    <cellStyle name="40% - Accent5 3 2 3 3 2 2 2 2" xfId="40161" xr:uid="{00000000-0005-0000-0000-0000B0540000}"/>
    <cellStyle name="40% - Accent5 3 2 3 3 2 2 3" xfId="29921" xr:uid="{00000000-0005-0000-0000-0000B1540000}"/>
    <cellStyle name="40% - Accent5 3 2 3 3 2 3" xfId="14561" xr:uid="{00000000-0005-0000-0000-0000B2540000}"/>
    <cellStyle name="40% - Accent5 3 2 3 3 2 3 2" xfId="35041" xr:uid="{00000000-0005-0000-0000-0000B3540000}"/>
    <cellStyle name="40% - Accent5 3 2 3 3 2 4" xfId="24801" xr:uid="{00000000-0005-0000-0000-0000B4540000}"/>
    <cellStyle name="40% - Accent5 3 2 3 3 3" xfId="6881" xr:uid="{00000000-0005-0000-0000-0000B5540000}"/>
    <cellStyle name="40% - Accent5 3 2 3 3 3 2" xfId="17121" xr:uid="{00000000-0005-0000-0000-0000B6540000}"/>
    <cellStyle name="40% - Accent5 3 2 3 3 3 2 2" xfId="37601" xr:uid="{00000000-0005-0000-0000-0000B7540000}"/>
    <cellStyle name="40% - Accent5 3 2 3 3 3 3" xfId="27361" xr:uid="{00000000-0005-0000-0000-0000B8540000}"/>
    <cellStyle name="40% - Accent5 3 2 3 3 4" xfId="12001" xr:uid="{00000000-0005-0000-0000-0000B9540000}"/>
    <cellStyle name="40% - Accent5 3 2 3 3 4 2" xfId="32481" xr:uid="{00000000-0005-0000-0000-0000BA540000}"/>
    <cellStyle name="40% - Accent5 3 2 3 3 5" xfId="22241" xr:uid="{00000000-0005-0000-0000-0000BB540000}"/>
    <cellStyle name="40% - Accent5 3 2 3 4" xfId="3041" xr:uid="{00000000-0005-0000-0000-0000BC540000}"/>
    <cellStyle name="40% - Accent5 3 2 3 4 2" xfId="8161" xr:uid="{00000000-0005-0000-0000-0000BD540000}"/>
    <cellStyle name="40% - Accent5 3 2 3 4 2 2" xfId="18401" xr:uid="{00000000-0005-0000-0000-0000BE540000}"/>
    <cellStyle name="40% - Accent5 3 2 3 4 2 2 2" xfId="38881" xr:uid="{00000000-0005-0000-0000-0000BF540000}"/>
    <cellStyle name="40% - Accent5 3 2 3 4 2 3" xfId="28641" xr:uid="{00000000-0005-0000-0000-0000C0540000}"/>
    <cellStyle name="40% - Accent5 3 2 3 4 3" xfId="13281" xr:uid="{00000000-0005-0000-0000-0000C1540000}"/>
    <cellStyle name="40% - Accent5 3 2 3 4 3 2" xfId="33761" xr:uid="{00000000-0005-0000-0000-0000C2540000}"/>
    <cellStyle name="40% - Accent5 3 2 3 4 4" xfId="23521" xr:uid="{00000000-0005-0000-0000-0000C3540000}"/>
    <cellStyle name="40% - Accent5 3 2 3 5" xfId="5601" xr:uid="{00000000-0005-0000-0000-0000C4540000}"/>
    <cellStyle name="40% - Accent5 3 2 3 5 2" xfId="15841" xr:uid="{00000000-0005-0000-0000-0000C5540000}"/>
    <cellStyle name="40% - Accent5 3 2 3 5 2 2" xfId="36321" xr:uid="{00000000-0005-0000-0000-0000C6540000}"/>
    <cellStyle name="40% - Accent5 3 2 3 5 3" xfId="26081" xr:uid="{00000000-0005-0000-0000-0000C7540000}"/>
    <cellStyle name="40% - Accent5 3 2 3 6" xfId="10721" xr:uid="{00000000-0005-0000-0000-0000C8540000}"/>
    <cellStyle name="40% - Accent5 3 2 3 6 2" xfId="31201" xr:uid="{00000000-0005-0000-0000-0000C9540000}"/>
    <cellStyle name="40% - Accent5 3 2 3 7" xfId="20961" xr:uid="{00000000-0005-0000-0000-0000CA540000}"/>
    <cellStyle name="40% - Accent5 3 2 4" xfId="801" xr:uid="{00000000-0005-0000-0000-0000CB540000}"/>
    <cellStyle name="40% - Accent5 3 2 4 2" xfId="2081" xr:uid="{00000000-0005-0000-0000-0000CC540000}"/>
    <cellStyle name="40% - Accent5 3 2 4 2 2" xfId="4641" xr:uid="{00000000-0005-0000-0000-0000CD540000}"/>
    <cellStyle name="40% - Accent5 3 2 4 2 2 2" xfId="9761" xr:uid="{00000000-0005-0000-0000-0000CE540000}"/>
    <cellStyle name="40% - Accent5 3 2 4 2 2 2 2" xfId="20001" xr:uid="{00000000-0005-0000-0000-0000CF540000}"/>
    <cellStyle name="40% - Accent5 3 2 4 2 2 2 2 2" xfId="40481" xr:uid="{00000000-0005-0000-0000-0000D0540000}"/>
    <cellStyle name="40% - Accent5 3 2 4 2 2 2 3" xfId="30241" xr:uid="{00000000-0005-0000-0000-0000D1540000}"/>
    <cellStyle name="40% - Accent5 3 2 4 2 2 3" xfId="14881" xr:uid="{00000000-0005-0000-0000-0000D2540000}"/>
    <cellStyle name="40% - Accent5 3 2 4 2 2 3 2" xfId="35361" xr:uid="{00000000-0005-0000-0000-0000D3540000}"/>
    <cellStyle name="40% - Accent5 3 2 4 2 2 4" xfId="25121" xr:uid="{00000000-0005-0000-0000-0000D4540000}"/>
    <cellStyle name="40% - Accent5 3 2 4 2 3" xfId="7201" xr:uid="{00000000-0005-0000-0000-0000D5540000}"/>
    <cellStyle name="40% - Accent5 3 2 4 2 3 2" xfId="17441" xr:uid="{00000000-0005-0000-0000-0000D6540000}"/>
    <cellStyle name="40% - Accent5 3 2 4 2 3 2 2" xfId="37921" xr:uid="{00000000-0005-0000-0000-0000D7540000}"/>
    <cellStyle name="40% - Accent5 3 2 4 2 3 3" xfId="27681" xr:uid="{00000000-0005-0000-0000-0000D8540000}"/>
    <cellStyle name="40% - Accent5 3 2 4 2 4" xfId="12321" xr:uid="{00000000-0005-0000-0000-0000D9540000}"/>
    <cellStyle name="40% - Accent5 3 2 4 2 4 2" xfId="32801" xr:uid="{00000000-0005-0000-0000-0000DA540000}"/>
    <cellStyle name="40% - Accent5 3 2 4 2 5" xfId="22561" xr:uid="{00000000-0005-0000-0000-0000DB540000}"/>
    <cellStyle name="40% - Accent5 3 2 4 3" xfId="3361" xr:uid="{00000000-0005-0000-0000-0000DC540000}"/>
    <cellStyle name="40% - Accent5 3 2 4 3 2" xfId="8481" xr:uid="{00000000-0005-0000-0000-0000DD540000}"/>
    <cellStyle name="40% - Accent5 3 2 4 3 2 2" xfId="18721" xr:uid="{00000000-0005-0000-0000-0000DE540000}"/>
    <cellStyle name="40% - Accent5 3 2 4 3 2 2 2" xfId="39201" xr:uid="{00000000-0005-0000-0000-0000DF540000}"/>
    <cellStyle name="40% - Accent5 3 2 4 3 2 3" xfId="28961" xr:uid="{00000000-0005-0000-0000-0000E0540000}"/>
    <cellStyle name="40% - Accent5 3 2 4 3 3" xfId="13601" xr:uid="{00000000-0005-0000-0000-0000E1540000}"/>
    <cellStyle name="40% - Accent5 3 2 4 3 3 2" xfId="34081" xr:uid="{00000000-0005-0000-0000-0000E2540000}"/>
    <cellStyle name="40% - Accent5 3 2 4 3 4" xfId="23841" xr:uid="{00000000-0005-0000-0000-0000E3540000}"/>
    <cellStyle name="40% - Accent5 3 2 4 4" xfId="5921" xr:uid="{00000000-0005-0000-0000-0000E4540000}"/>
    <cellStyle name="40% - Accent5 3 2 4 4 2" xfId="16161" xr:uid="{00000000-0005-0000-0000-0000E5540000}"/>
    <cellStyle name="40% - Accent5 3 2 4 4 2 2" xfId="36641" xr:uid="{00000000-0005-0000-0000-0000E6540000}"/>
    <cellStyle name="40% - Accent5 3 2 4 4 3" xfId="26401" xr:uid="{00000000-0005-0000-0000-0000E7540000}"/>
    <cellStyle name="40% - Accent5 3 2 4 5" xfId="11041" xr:uid="{00000000-0005-0000-0000-0000E8540000}"/>
    <cellStyle name="40% - Accent5 3 2 4 5 2" xfId="31521" xr:uid="{00000000-0005-0000-0000-0000E9540000}"/>
    <cellStyle name="40% - Accent5 3 2 4 6" xfId="21281" xr:uid="{00000000-0005-0000-0000-0000EA540000}"/>
    <cellStyle name="40% - Accent5 3 2 5" xfId="1441" xr:uid="{00000000-0005-0000-0000-0000EB540000}"/>
    <cellStyle name="40% - Accent5 3 2 5 2" xfId="4001" xr:uid="{00000000-0005-0000-0000-0000EC540000}"/>
    <cellStyle name="40% - Accent5 3 2 5 2 2" xfId="9121" xr:uid="{00000000-0005-0000-0000-0000ED540000}"/>
    <cellStyle name="40% - Accent5 3 2 5 2 2 2" xfId="19361" xr:uid="{00000000-0005-0000-0000-0000EE540000}"/>
    <cellStyle name="40% - Accent5 3 2 5 2 2 2 2" xfId="39841" xr:uid="{00000000-0005-0000-0000-0000EF540000}"/>
    <cellStyle name="40% - Accent5 3 2 5 2 2 3" xfId="29601" xr:uid="{00000000-0005-0000-0000-0000F0540000}"/>
    <cellStyle name="40% - Accent5 3 2 5 2 3" xfId="14241" xr:uid="{00000000-0005-0000-0000-0000F1540000}"/>
    <cellStyle name="40% - Accent5 3 2 5 2 3 2" xfId="34721" xr:uid="{00000000-0005-0000-0000-0000F2540000}"/>
    <cellStyle name="40% - Accent5 3 2 5 2 4" xfId="24481" xr:uid="{00000000-0005-0000-0000-0000F3540000}"/>
    <cellStyle name="40% - Accent5 3 2 5 3" xfId="6561" xr:uid="{00000000-0005-0000-0000-0000F4540000}"/>
    <cellStyle name="40% - Accent5 3 2 5 3 2" xfId="16801" xr:uid="{00000000-0005-0000-0000-0000F5540000}"/>
    <cellStyle name="40% - Accent5 3 2 5 3 2 2" xfId="37281" xr:uid="{00000000-0005-0000-0000-0000F6540000}"/>
    <cellStyle name="40% - Accent5 3 2 5 3 3" xfId="27041" xr:uid="{00000000-0005-0000-0000-0000F7540000}"/>
    <cellStyle name="40% - Accent5 3 2 5 4" xfId="11681" xr:uid="{00000000-0005-0000-0000-0000F8540000}"/>
    <cellStyle name="40% - Accent5 3 2 5 4 2" xfId="32161" xr:uid="{00000000-0005-0000-0000-0000F9540000}"/>
    <cellStyle name="40% - Accent5 3 2 5 5" xfId="21921" xr:uid="{00000000-0005-0000-0000-0000FA540000}"/>
    <cellStyle name="40% - Accent5 3 2 6" xfId="2721" xr:uid="{00000000-0005-0000-0000-0000FB540000}"/>
    <cellStyle name="40% - Accent5 3 2 6 2" xfId="7841" xr:uid="{00000000-0005-0000-0000-0000FC540000}"/>
    <cellStyle name="40% - Accent5 3 2 6 2 2" xfId="18081" xr:uid="{00000000-0005-0000-0000-0000FD540000}"/>
    <cellStyle name="40% - Accent5 3 2 6 2 2 2" xfId="38561" xr:uid="{00000000-0005-0000-0000-0000FE540000}"/>
    <cellStyle name="40% - Accent5 3 2 6 2 3" xfId="28321" xr:uid="{00000000-0005-0000-0000-0000FF540000}"/>
    <cellStyle name="40% - Accent5 3 2 6 3" xfId="12961" xr:uid="{00000000-0005-0000-0000-000000550000}"/>
    <cellStyle name="40% - Accent5 3 2 6 3 2" xfId="33441" xr:uid="{00000000-0005-0000-0000-000001550000}"/>
    <cellStyle name="40% - Accent5 3 2 6 4" xfId="23201" xr:uid="{00000000-0005-0000-0000-000002550000}"/>
    <cellStyle name="40% - Accent5 3 2 7" xfId="5281" xr:uid="{00000000-0005-0000-0000-000003550000}"/>
    <cellStyle name="40% - Accent5 3 2 7 2" xfId="15521" xr:uid="{00000000-0005-0000-0000-000004550000}"/>
    <cellStyle name="40% - Accent5 3 2 7 2 2" xfId="36001" xr:uid="{00000000-0005-0000-0000-000005550000}"/>
    <cellStyle name="40% - Accent5 3 2 7 3" xfId="25761" xr:uid="{00000000-0005-0000-0000-000006550000}"/>
    <cellStyle name="40% - Accent5 3 2 8" xfId="10401" xr:uid="{00000000-0005-0000-0000-000007550000}"/>
    <cellStyle name="40% - Accent5 3 2 8 2" xfId="30881" xr:uid="{00000000-0005-0000-0000-000008550000}"/>
    <cellStyle name="40% - Accent5 3 2 9" xfId="20641" xr:uid="{00000000-0005-0000-0000-000009550000}"/>
    <cellStyle name="40% - Accent5 3 3" xfId="241" xr:uid="{00000000-0005-0000-0000-00000A550000}"/>
    <cellStyle name="40% - Accent5 3 3 2" xfId="561" xr:uid="{00000000-0005-0000-0000-00000B550000}"/>
    <cellStyle name="40% - Accent5 3 3 2 2" xfId="1201" xr:uid="{00000000-0005-0000-0000-00000C550000}"/>
    <cellStyle name="40% - Accent5 3 3 2 2 2" xfId="2481" xr:uid="{00000000-0005-0000-0000-00000D550000}"/>
    <cellStyle name="40% - Accent5 3 3 2 2 2 2" xfId="5041" xr:uid="{00000000-0005-0000-0000-00000E550000}"/>
    <cellStyle name="40% - Accent5 3 3 2 2 2 2 2" xfId="10161" xr:uid="{00000000-0005-0000-0000-00000F550000}"/>
    <cellStyle name="40% - Accent5 3 3 2 2 2 2 2 2" xfId="20401" xr:uid="{00000000-0005-0000-0000-000010550000}"/>
    <cellStyle name="40% - Accent5 3 3 2 2 2 2 2 2 2" xfId="40881" xr:uid="{00000000-0005-0000-0000-000011550000}"/>
    <cellStyle name="40% - Accent5 3 3 2 2 2 2 2 3" xfId="30641" xr:uid="{00000000-0005-0000-0000-000012550000}"/>
    <cellStyle name="40% - Accent5 3 3 2 2 2 2 3" xfId="15281" xr:uid="{00000000-0005-0000-0000-000013550000}"/>
    <cellStyle name="40% - Accent5 3 3 2 2 2 2 3 2" xfId="35761" xr:uid="{00000000-0005-0000-0000-000014550000}"/>
    <cellStyle name="40% - Accent5 3 3 2 2 2 2 4" xfId="25521" xr:uid="{00000000-0005-0000-0000-000015550000}"/>
    <cellStyle name="40% - Accent5 3 3 2 2 2 3" xfId="7601" xr:uid="{00000000-0005-0000-0000-000016550000}"/>
    <cellStyle name="40% - Accent5 3 3 2 2 2 3 2" xfId="17841" xr:uid="{00000000-0005-0000-0000-000017550000}"/>
    <cellStyle name="40% - Accent5 3 3 2 2 2 3 2 2" xfId="38321" xr:uid="{00000000-0005-0000-0000-000018550000}"/>
    <cellStyle name="40% - Accent5 3 3 2 2 2 3 3" xfId="28081" xr:uid="{00000000-0005-0000-0000-000019550000}"/>
    <cellStyle name="40% - Accent5 3 3 2 2 2 4" xfId="12721" xr:uid="{00000000-0005-0000-0000-00001A550000}"/>
    <cellStyle name="40% - Accent5 3 3 2 2 2 4 2" xfId="33201" xr:uid="{00000000-0005-0000-0000-00001B550000}"/>
    <cellStyle name="40% - Accent5 3 3 2 2 2 5" xfId="22961" xr:uid="{00000000-0005-0000-0000-00001C550000}"/>
    <cellStyle name="40% - Accent5 3 3 2 2 3" xfId="3761" xr:uid="{00000000-0005-0000-0000-00001D550000}"/>
    <cellStyle name="40% - Accent5 3 3 2 2 3 2" xfId="8881" xr:uid="{00000000-0005-0000-0000-00001E550000}"/>
    <cellStyle name="40% - Accent5 3 3 2 2 3 2 2" xfId="19121" xr:uid="{00000000-0005-0000-0000-00001F550000}"/>
    <cellStyle name="40% - Accent5 3 3 2 2 3 2 2 2" xfId="39601" xr:uid="{00000000-0005-0000-0000-000020550000}"/>
    <cellStyle name="40% - Accent5 3 3 2 2 3 2 3" xfId="29361" xr:uid="{00000000-0005-0000-0000-000021550000}"/>
    <cellStyle name="40% - Accent5 3 3 2 2 3 3" xfId="14001" xr:uid="{00000000-0005-0000-0000-000022550000}"/>
    <cellStyle name="40% - Accent5 3 3 2 2 3 3 2" xfId="34481" xr:uid="{00000000-0005-0000-0000-000023550000}"/>
    <cellStyle name="40% - Accent5 3 3 2 2 3 4" xfId="24241" xr:uid="{00000000-0005-0000-0000-000024550000}"/>
    <cellStyle name="40% - Accent5 3 3 2 2 4" xfId="6321" xr:uid="{00000000-0005-0000-0000-000025550000}"/>
    <cellStyle name="40% - Accent5 3 3 2 2 4 2" xfId="16561" xr:uid="{00000000-0005-0000-0000-000026550000}"/>
    <cellStyle name="40% - Accent5 3 3 2 2 4 2 2" xfId="37041" xr:uid="{00000000-0005-0000-0000-000027550000}"/>
    <cellStyle name="40% - Accent5 3 3 2 2 4 3" xfId="26801" xr:uid="{00000000-0005-0000-0000-000028550000}"/>
    <cellStyle name="40% - Accent5 3 3 2 2 5" xfId="11441" xr:uid="{00000000-0005-0000-0000-000029550000}"/>
    <cellStyle name="40% - Accent5 3 3 2 2 5 2" xfId="31921" xr:uid="{00000000-0005-0000-0000-00002A550000}"/>
    <cellStyle name="40% - Accent5 3 3 2 2 6" xfId="21681" xr:uid="{00000000-0005-0000-0000-00002B550000}"/>
    <cellStyle name="40% - Accent5 3 3 2 3" xfId="1841" xr:uid="{00000000-0005-0000-0000-00002C550000}"/>
    <cellStyle name="40% - Accent5 3 3 2 3 2" xfId="4401" xr:uid="{00000000-0005-0000-0000-00002D550000}"/>
    <cellStyle name="40% - Accent5 3 3 2 3 2 2" xfId="9521" xr:uid="{00000000-0005-0000-0000-00002E550000}"/>
    <cellStyle name="40% - Accent5 3 3 2 3 2 2 2" xfId="19761" xr:uid="{00000000-0005-0000-0000-00002F550000}"/>
    <cellStyle name="40% - Accent5 3 3 2 3 2 2 2 2" xfId="40241" xr:uid="{00000000-0005-0000-0000-000030550000}"/>
    <cellStyle name="40% - Accent5 3 3 2 3 2 2 3" xfId="30001" xr:uid="{00000000-0005-0000-0000-000031550000}"/>
    <cellStyle name="40% - Accent5 3 3 2 3 2 3" xfId="14641" xr:uid="{00000000-0005-0000-0000-000032550000}"/>
    <cellStyle name="40% - Accent5 3 3 2 3 2 3 2" xfId="35121" xr:uid="{00000000-0005-0000-0000-000033550000}"/>
    <cellStyle name="40% - Accent5 3 3 2 3 2 4" xfId="24881" xr:uid="{00000000-0005-0000-0000-000034550000}"/>
    <cellStyle name="40% - Accent5 3 3 2 3 3" xfId="6961" xr:uid="{00000000-0005-0000-0000-000035550000}"/>
    <cellStyle name="40% - Accent5 3 3 2 3 3 2" xfId="17201" xr:uid="{00000000-0005-0000-0000-000036550000}"/>
    <cellStyle name="40% - Accent5 3 3 2 3 3 2 2" xfId="37681" xr:uid="{00000000-0005-0000-0000-000037550000}"/>
    <cellStyle name="40% - Accent5 3 3 2 3 3 3" xfId="27441" xr:uid="{00000000-0005-0000-0000-000038550000}"/>
    <cellStyle name="40% - Accent5 3 3 2 3 4" xfId="12081" xr:uid="{00000000-0005-0000-0000-000039550000}"/>
    <cellStyle name="40% - Accent5 3 3 2 3 4 2" xfId="32561" xr:uid="{00000000-0005-0000-0000-00003A550000}"/>
    <cellStyle name="40% - Accent5 3 3 2 3 5" xfId="22321" xr:uid="{00000000-0005-0000-0000-00003B550000}"/>
    <cellStyle name="40% - Accent5 3 3 2 4" xfId="3121" xr:uid="{00000000-0005-0000-0000-00003C550000}"/>
    <cellStyle name="40% - Accent5 3 3 2 4 2" xfId="8241" xr:uid="{00000000-0005-0000-0000-00003D550000}"/>
    <cellStyle name="40% - Accent5 3 3 2 4 2 2" xfId="18481" xr:uid="{00000000-0005-0000-0000-00003E550000}"/>
    <cellStyle name="40% - Accent5 3 3 2 4 2 2 2" xfId="38961" xr:uid="{00000000-0005-0000-0000-00003F550000}"/>
    <cellStyle name="40% - Accent5 3 3 2 4 2 3" xfId="28721" xr:uid="{00000000-0005-0000-0000-000040550000}"/>
    <cellStyle name="40% - Accent5 3 3 2 4 3" xfId="13361" xr:uid="{00000000-0005-0000-0000-000041550000}"/>
    <cellStyle name="40% - Accent5 3 3 2 4 3 2" xfId="33841" xr:uid="{00000000-0005-0000-0000-000042550000}"/>
    <cellStyle name="40% - Accent5 3 3 2 4 4" xfId="23601" xr:uid="{00000000-0005-0000-0000-000043550000}"/>
    <cellStyle name="40% - Accent5 3 3 2 5" xfId="5681" xr:uid="{00000000-0005-0000-0000-000044550000}"/>
    <cellStyle name="40% - Accent5 3 3 2 5 2" xfId="15921" xr:uid="{00000000-0005-0000-0000-000045550000}"/>
    <cellStyle name="40% - Accent5 3 3 2 5 2 2" xfId="36401" xr:uid="{00000000-0005-0000-0000-000046550000}"/>
    <cellStyle name="40% - Accent5 3 3 2 5 3" xfId="26161" xr:uid="{00000000-0005-0000-0000-000047550000}"/>
    <cellStyle name="40% - Accent5 3 3 2 6" xfId="10801" xr:uid="{00000000-0005-0000-0000-000048550000}"/>
    <cellStyle name="40% - Accent5 3 3 2 6 2" xfId="31281" xr:uid="{00000000-0005-0000-0000-000049550000}"/>
    <cellStyle name="40% - Accent5 3 3 2 7" xfId="21041" xr:uid="{00000000-0005-0000-0000-00004A550000}"/>
    <cellStyle name="40% - Accent5 3 3 3" xfId="881" xr:uid="{00000000-0005-0000-0000-00004B550000}"/>
    <cellStyle name="40% - Accent5 3 3 3 2" xfId="2161" xr:uid="{00000000-0005-0000-0000-00004C550000}"/>
    <cellStyle name="40% - Accent5 3 3 3 2 2" xfId="4721" xr:uid="{00000000-0005-0000-0000-00004D550000}"/>
    <cellStyle name="40% - Accent5 3 3 3 2 2 2" xfId="9841" xr:uid="{00000000-0005-0000-0000-00004E550000}"/>
    <cellStyle name="40% - Accent5 3 3 3 2 2 2 2" xfId="20081" xr:uid="{00000000-0005-0000-0000-00004F550000}"/>
    <cellStyle name="40% - Accent5 3 3 3 2 2 2 2 2" xfId="40561" xr:uid="{00000000-0005-0000-0000-000050550000}"/>
    <cellStyle name="40% - Accent5 3 3 3 2 2 2 3" xfId="30321" xr:uid="{00000000-0005-0000-0000-000051550000}"/>
    <cellStyle name="40% - Accent5 3 3 3 2 2 3" xfId="14961" xr:uid="{00000000-0005-0000-0000-000052550000}"/>
    <cellStyle name="40% - Accent5 3 3 3 2 2 3 2" xfId="35441" xr:uid="{00000000-0005-0000-0000-000053550000}"/>
    <cellStyle name="40% - Accent5 3 3 3 2 2 4" xfId="25201" xr:uid="{00000000-0005-0000-0000-000054550000}"/>
    <cellStyle name="40% - Accent5 3 3 3 2 3" xfId="7281" xr:uid="{00000000-0005-0000-0000-000055550000}"/>
    <cellStyle name="40% - Accent5 3 3 3 2 3 2" xfId="17521" xr:uid="{00000000-0005-0000-0000-000056550000}"/>
    <cellStyle name="40% - Accent5 3 3 3 2 3 2 2" xfId="38001" xr:uid="{00000000-0005-0000-0000-000057550000}"/>
    <cellStyle name="40% - Accent5 3 3 3 2 3 3" xfId="27761" xr:uid="{00000000-0005-0000-0000-000058550000}"/>
    <cellStyle name="40% - Accent5 3 3 3 2 4" xfId="12401" xr:uid="{00000000-0005-0000-0000-000059550000}"/>
    <cellStyle name="40% - Accent5 3 3 3 2 4 2" xfId="32881" xr:uid="{00000000-0005-0000-0000-00005A550000}"/>
    <cellStyle name="40% - Accent5 3 3 3 2 5" xfId="22641" xr:uid="{00000000-0005-0000-0000-00005B550000}"/>
    <cellStyle name="40% - Accent5 3 3 3 3" xfId="3441" xr:uid="{00000000-0005-0000-0000-00005C550000}"/>
    <cellStyle name="40% - Accent5 3 3 3 3 2" xfId="8561" xr:uid="{00000000-0005-0000-0000-00005D550000}"/>
    <cellStyle name="40% - Accent5 3 3 3 3 2 2" xfId="18801" xr:uid="{00000000-0005-0000-0000-00005E550000}"/>
    <cellStyle name="40% - Accent5 3 3 3 3 2 2 2" xfId="39281" xr:uid="{00000000-0005-0000-0000-00005F550000}"/>
    <cellStyle name="40% - Accent5 3 3 3 3 2 3" xfId="29041" xr:uid="{00000000-0005-0000-0000-000060550000}"/>
    <cellStyle name="40% - Accent5 3 3 3 3 3" xfId="13681" xr:uid="{00000000-0005-0000-0000-000061550000}"/>
    <cellStyle name="40% - Accent5 3 3 3 3 3 2" xfId="34161" xr:uid="{00000000-0005-0000-0000-000062550000}"/>
    <cellStyle name="40% - Accent5 3 3 3 3 4" xfId="23921" xr:uid="{00000000-0005-0000-0000-000063550000}"/>
    <cellStyle name="40% - Accent5 3 3 3 4" xfId="6001" xr:uid="{00000000-0005-0000-0000-000064550000}"/>
    <cellStyle name="40% - Accent5 3 3 3 4 2" xfId="16241" xr:uid="{00000000-0005-0000-0000-000065550000}"/>
    <cellStyle name="40% - Accent5 3 3 3 4 2 2" xfId="36721" xr:uid="{00000000-0005-0000-0000-000066550000}"/>
    <cellStyle name="40% - Accent5 3 3 3 4 3" xfId="26481" xr:uid="{00000000-0005-0000-0000-000067550000}"/>
    <cellStyle name="40% - Accent5 3 3 3 5" xfId="11121" xr:uid="{00000000-0005-0000-0000-000068550000}"/>
    <cellStyle name="40% - Accent5 3 3 3 5 2" xfId="31601" xr:uid="{00000000-0005-0000-0000-000069550000}"/>
    <cellStyle name="40% - Accent5 3 3 3 6" xfId="21361" xr:uid="{00000000-0005-0000-0000-00006A550000}"/>
    <cellStyle name="40% - Accent5 3 3 4" xfId="1521" xr:uid="{00000000-0005-0000-0000-00006B550000}"/>
    <cellStyle name="40% - Accent5 3 3 4 2" xfId="4081" xr:uid="{00000000-0005-0000-0000-00006C550000}"/>
    <cellStyle name="40% - Accent5 3 3 4 2 2" xfId="9201" xr:uid="{00000000-0005-0000-0000-00006D550000}"/>
    <cellStyle name="40% - Accent5 3 3 4 2 2 2" xfId="19441" xr:uid="{00000000-0005-0000-0000-00006E550000}"/>
    <cellStyle name="40% - Accent5 3 3 4 2 2 2 2" xfId="39921" xr:uid="{00000000-0005-0000-0000-00006F550000}"/>
    <cellStyle name="40% - Accent5 3 3 4 2 2 3" xfId="29681" xr:uid="{00000000-0005-0000-0000-000070550000}"/>
    <cellStyle name="40% - Accent5 3 3 4 2 3" xfId="14321" xr:uid="{00000000-0005-0000-0000-000071550000}"/>
    <cellStyle name="40% - Accent5 3 3 4 2 3 2" xfId="34801" xr:uid="{00000000-0005-0000-0000-000072550000}"/>
    <cellStyle name="40% - Accent5 3 3 4 2 4" xfId="24561" xr:uid="{00000000-0005-0000-0000-000073550000}"/>
    <cellStyle name="40% - Accent5 3 3 4 3" xfId="6641" xr:uid="{00000000-0005-0000-0000-000074550000}"/>
    <cellStyle name="40% - Accent5 3 3 4 3 2" xfId="16881" xr:uid="{00000000-0005-0000-0000-000075550000}"/>
    <cellStyle name="40% - Accent5 3 3 4 3 2 2" xfId="37361" xr:uid="{00000000-0005-0000-0000-000076550000}"/>
    <cellStyle name="40% - Accent5 3 3 4 3 3" xfId="27121" xr:uid="{00000000-0005-0000-0000-000077550000}"/>
    <cellStyle name="40% - Accent5 3 3 4 4" xfId="11761" xr:uid="{00000000-0005-0000-0000-000078550000}"/>
    <cellStyle name="40% - Accent5 3 3 4 4 2" xfId="32241" xr:uid="{00000000-0005-0000-0000-000079550000}"/>
    <cellStyle name="40% - Accent5 3 3 4 5" xfId="22001" xr:uid="{00000000-0005-0000-0000-00007A550000}"/>
    <cellStyle name="40% - Accent5 3 3 5" xfId="2801" xr:uid="{00000000-0005-0000-0000-00007B550000}"/>
    <cellStyle name="40% - Accent5 3 3 5 2" xfId="7921" xr:uid="{00000000-0005-0000-0000-00007C550000}"/>
    <cellStyle name="40% - Accent5 3 3 5 2 2" xfId="18161" xr:uid="{00000000-0005-0000-0000-00007D550000}"/>
    <cellStyle name="40% - Accent5 3 3 5 2 2 2" xfId="38641" xr:uid="{00000000-0005-0000-0000-00007E550000}"/>
    <cellStyle name="40% - Accent5 3 3 5 2 3" xfId="28401" xr:uid="{00000000-0005-0000-0000-00007F550000}"/>
    <cellStyle name="40% - Accent5 3 3 5 3" xfId="13041" xr:uid="{00000000-0005-0000-0000-000080550000}"/>
    <cellStyle name="40% - Accent5 3 3 5 3 2" xfId="33521" xr:uid="{00000000-0005-0000-0000-000081550000}"/>
    <cellStyle name="40% - Accent5 3 3 5 4" xfId="23281" xr:uid="{00000000-0005-0000-0000-000082550000}"/>
    <cellStyle name="40% - Accent5 3 3 6" xfId="5361" xr:uid="{00000000-0005-0000-0000-000083550000}"/>
    <cellStyle name="40% - Accent5 3 3 6 2" xfId="15601" xr:uid="{00000000-0005-0000-0000-000084550000}"/>
    <cellStyle name="40% - Accent5 3 3 6 2 2" xfId="36081" xr:uid="{00000000-0005-0000-0000-000085550000}"/>
    <cellStyle name="40% - Accent5 3 3 6 3" xfId="25841" xr:uid="{00000000-0005-0000-0000-000086550000}"/>
    <cellStyle name="40% - Accent5 3 3 7" xfId="10481" xr:uid="{00000000-0005-0000-0000-000087550000}"/>
    <cellStyle name="40% - Accent5 3 3 7 2" xfId="30961" xr:uid="{00000000-0005-0000-0000-000088550000}"/>
    <cellStyle name="40% - Accent5 3 3 8" xfId="20721" xr:uid="{00000000-0005-0000-0000-000089550000}"/>
    <cellStyle name="40% - Accent5 3 4" xfId="401" xr:uid="{00000000-0005-0000-0000-00008A550000}"/>
    <cellStyle name="40% - Accent5 3 4 2" xfId="1041" xr:uid="{00000000-0005-0000-0000-00008B550000}"/>
    <cellStyle name="40% - Accent5 3 4 2 2" xfId="2321" xr:uid="{00000000-0005-0000-0000-00008C550000}"/>
    <cellStyle name="40% - Accent5 3 4 2 2 2" xfId="4881" xr:uid="{00000000-0005-0000-0000-00008D550000}"/>
    <cellStyle name="40% - Accent5 3 4 2 2 2 2" xfId="10001" xr:uid="{00000000-0005-0000-0000-00008E550000}"/>
    <cellStyle name="40% - Accent5 3 4 2 2 2 2 2" xfId="20241" xr:uid="{00000000-0005-0000-0000-00008F550000}"/>
    <cellStyle name="40% - Accent5 3 4 2 2 2 2 2 2" xfId="40721" xr:uid="{00000000-0005-0000-0000-000090550000}"/>
    <cellStyle name="40% - Accent5 3 4 2 2 2 2 3" xfId="30481" xr:uid="{00000000-0005-0000-0000-000091550000}"/>
    <cellStyle name="40% - Accent5 3 4 2 2 2 3" xfId="15121" xr:uid="{00000000-0005-0000-0000-000092550000}"/>
    <cellStyle name="40% - Accent5 3 4 2 2 2 3 2" xfId="35601" xr:uid="{00000000-0005-0000-0000-000093550000}"/>
    <cellStyle name="40% - Accent5 3 4 2 2 2 4" xfId="25361" xr:uid="{00000000-0005-0000-0000-000094550000}"/>
    <cellStyle name="40% - Accent5 3 4 2 2 3" xfId="7441" xr:uid="{00000000-0005-0000-0000-000095550000}"/>
    <cellStyle name="40% - Accent5 3 4 2 2 3 2" xfId="17681" xr:uid="{00000000-0005-0000-0000-000096550000}"/>
    <cellStyle name="40% - Accent5 3 4 2 2 3 2 2" xfId="38161" xr:uid="{00000000-0005-0000-0000-000097550000}"/>
    <cellStyle name="40% - Accent5 3 4 2 2 3 3" xfId="27921" xr:uid="{00000000-0005-0000-0000-000098550000}"/>
    <cellStyle name="40% - Accent5 3 4 2 2 4" xfId="12561" xr:uid="{00000000-0005-0000-0000-000099550000}"/>
    <cellStyle name="40% - Accent5 3 4 2 2 4 2" xfId="33041" xr:uid="{00000000-0005-0000-0000-00009A550000}"/>
    <cellStyle name="40% - Accent5 3 4 2 2 5" xfId="22801" xr:uid="{00000000-0005-0000-0000-00009B550000}"/>
    <cellStyle name="40% - Accent5 3 4 2 3" xfId="3601" xr:uid="{00000000-0005-0000-0000-00009C550000}"/>
    <cellStyle name="40% - Accent5 3 4 2 3 2" xfId="8721" xr:uid="{00000000-0005-0000-0000-00009D550000}"/>
    <cellStyle name="40% - Accent5 3 4 2 3 2 2" xfId="18961" xr:uid="{00000000-0005-0000-0000-00009E550000}"/>
    <cellStyle name="40% - Accent5 3 4 2 3 2 2 2" xfId="39441" xr:uid="{00000000-0005-0000-0000-00009F550000}"/>
    <cellStyle name="40% - Accent5 3 4 2 3 2 3" xfId="29201" xr:uid="{00000000-0005-0000-0000-0000A0550000}"/>
    <cellStyle name="40% - Accent5 3 4 2 3 3" xfId="13841" xr:uid="{00000000-0005-0000-0000-0000A1550000}"/>
    <cellStyle name="40% - Accent5 3 4 2 3 3 2" xfId="34321" xr:uid="{00000000-0005-0000-0000-0000A2550000}"/>
    <cellStyle name="40% - Accent5 3 4 2 3 4" xfId="24081" xr:uid="{00000000-0005-0000-0000-0000A3550000}"/>
    <cellStyle name="40% - Accent5 3 4 2 4" xfId="6161" xr:uid="{00000000-0005-0000-0000-0000A4550000}"/>
    <cellStyle name="40% - Accent5 3 4 2 4 2" xfId="16401" xr:uid="{00000000-0005-0000-0000-0000A5550000}"/>
    <cellStyle name="40% - Accent5 3 4 2 4 2 2" xfId="36881" xr:uid="{00000000-0005-0000-0000-0000A6550000}"/>
    <cellStyle name="40% - Accent5 3 4 2 4 3" xfId="26641" xr:uid="{00000000-0005-0000-0000-0000A7550000}"/>
    <cellStyle name="40% - Accent5 3 4 2 5" xfId="11281" xr:uid="{00000000-0005-0000-0000-0000A8550000}"/>
    <cellStyle name="40% - Accent5 3 4 2 5 2" xfId="31761" xr:uid="{00000000-0005-0000-0000-0000A9550000}"/>
    <cellStyle name="40% - Accent5 3 4 2 6" xfId="21521" xr:uid="{00000000-0005-0000-0000-0000AA550000}"/>
    <cellStyle name="40% - Accent5 3 4 3" xfId="1681" xr:uid="{00000000-0005-0000-0000-0000AB550000}"/>
    <cellStyle name="40% - Accent5 3 4 3 2" xfId="4241" xr:uid="{00000000-0005-0000-0000-0000AC550000}"/>
    <cellStyle name="40% - Accent5 3 4 3 2 2" xfId="9361" xr:uid="{00000000-0005-0000-0000-0000AD550000}"/>
    <cellStyle name="40% - Accent5 3 4 3 2 2 2" xfId="19601" xr:uid="{00000000-0005-0000-0000-0000AE550000}"/>
    <cellStyle name="40% - Accent5 3 4 3 2 2 2 2" xfId="40081" xr:uid="{00000000-0005-0000-0000-0000AF550000}"/>
    <cellStyle name="40% - Accent5 3 4 3 2 2 3" xfId="29841" xr:uid="{00000000-0005-0000-0000-0000B0550000}"/>
    <cellStyle name="40% - Accent5 3 4 3 2 3" xfId="14481" xr:uid="{00000000-0005-0000-0000-0000B1550000}"/>
    <cellStyle name="40% - Accent5 3 4 3 2 3 2" xfId="34961" xr:uid="{00000000-0005-0000-0000-0000B2550000}"/>
    <cellStyle name="40% - Accent5 3 4 3 2 4" xfId="24721" xr:uid="{00000000-0005-0000-0000-0000B3550000}"/>
    <cellStyle name="40% - Accent5 3 4 3 3" xfId="6801" xr:uid="{00000000-0005-0000-0000-0000B4550000}"/>
    <cellStyle name="40% - Accent5 3 4 3 3 2" xfId="17041" xr:uid="{00000000-0005-0000-0000-0000B5550000}"/>
    <cellStyle name="40% - Accent5 3 4 3 3 2 2" xfId="37521" xr:uid="{00000000-0005-0000-0000-0000B6550000}"/>
    <cellStyle name="40% - Accent5 3 4 3 3 3" xfId="27281" xr:uid="{00000000-0005-0000-0000-0000B7550000}"/>
    <cellStyle name="40% - Accent5 3 4 3 4" xfId="11921" xr:uid="{00000000-0005-0000-0000-0000B8550000}"/>
    <cellStyle name="40% - Accent5 3 4 3 4 2" xfId="32401" xr:uid="{00000000-0005-0000-0000-0000B9550000}"/>
    <cellStyle name="40% - Accent5 3 4 3 5" xfId="22161" xr:uid="{00000000-0005-0000-0000-0000BA550000}"/>
    <cellStyle name="40% - Accent5 3 4 4" xfId="2961" xr:uid="{00000000-0005-0000-0000-0000BB550000}"/>
    <cellStyle name="40% - Accent5 3 4 4 2" xfId="8081" xr:uid="{00000000-0005-0000-0000-0000BC550000}"/>
    <cellStyle name="40% - Accent5 3 4 4 2 2" xfId="18321" xr:uid="{00000000-0005-0000-0000-0000BD550000}"/>
    <cellStyle name="40% - Accent5 3 4 4 2 2 2" xfId="38801" xr:uid="{00000000-0005-0000-0000-0000BE550000}"/>
    <cellStyle name="40% - Accent5 3 4 4 2 3" xfId="28561" xr:uid="{00000000-0005-0000-0000-0000BF550000}"/>
    <cellStyle name="40% - Accent5 3 4 4 3" xfId="13201" xr:uid="{00000000-0005-0000-0000-0000C0550000}"/>
    <cellStyle name="40% - Accent5 3 4 4 3 2" xfId="33681" xr:uid="{00000000-0005-0000-0000-0000C1550000}"/>
    <cellStyle name="40% - Accent5 3 4 4 4" xfId="23441" xr:uid="{00000000-0005-0000-0000-0000C2550000}"/>
    <cellStyle name="40% - Accent5 3 4 5" xfId="5521" xr:uid="{00000000-0005-0000-0000-0000C3550000}"/>
    <cellStyle name="40% - Accent5 3 4 5 2" xfId="15761" xr:uid="{00000000-0005-0000-0000-0000C4550000}"/>
    <cellStyle name="40% - Accent5 3 4 5 2 2" xfId="36241" xr:uid="{00000000-0005-0000-0000-0000C5550000}"/>
    <cellStyle name="40% - Accent5 3 4 5 3" xfId="26001" xr:uid="{00000000-0005-0000-0000-0000C6550000}"/>
    <cellStyle name="40% - Accent5 3 4 6" xfId="10641" xr:uid="{00000000-0005-0000-0000-0000C7550000}"/>
    <cellStyle name="40% - Accent5 3 4 6 2" xfId="31121" xr:uid="{00000000-0005-0000-0000-0000C8550000}"/>
    <cellStyle name="40% - Accent5 3 4 7" xfId="20881" xr:uid="{00000000-0005-0000-0000-0000C9550000}"/>
    <cellStyle name="40% - Accent5 3 5" xfId="721" xr:uid="{00000000-0005-0000-0000-0000CA550000}"/>
    <cellStyle name="40% - Accent5 3 5 2" xfId="2001" xr:uid="{00000000-0005-0000-0000-0000CB550000}"/>
    <cellStyle name="40% - Accent5 3 5 2 2" xfId="4561" xr:uid="{00000000-0005-0000-0000-0000CC550000}"/>
    <cellStyle name="40% - Accent5 3 5 2 2 2" xfId="9681" xr:uid="{00000000-0005-0000-0000-0000CD550000}"/>
    <cellStyle name="40% - Accent5 3 5 2 2 2 2" xfId="19921" xr:uid="{00000000-0005-0000-0000-0000CE550000}"/>
    <cellStyle name="40% - Accent5 3 5 2 2 2 2 2" xfId="40401" xr:uid="{00000000-0005-0000-0000-0000CF550000}"/>
    <cellStyle name="40% - Accent5 3 5 2 2 2 3" xfId="30161" xr:uid="{00000000-0005-0000-0000-0000D0550000}"/>
    <cellStyle name="40% - Accent5 3 5 2 2 3" xfId="14801" xr:uid="{00000000-0005-0000-0000-0000D1550000}"/>
    <cellStyle name="40% - Accent5 3 5 2 2 3 2" xfId="35281" xr:uid="{00000000-0005-0000-0000-0000D2550000}"/>
    <cellStyle name="40% - Accent5 3 5 2 2 4" xfId="25041" xr:uid="{00000000-0005-0000-0000-0000D3550000}"/>
    <cellStyle name="40% - Accent5 3 5 2 3" xfId="7121" xr:uid="{00000000-0005-0000-0000-0000D4550000}"/>
    <cellStyle name="40% - Accent5 3 5 2 3 2" xfId="17361" xr:uid="{00000000-0005-0000-0000-0000D5550000}"/>
    <cellStyle name="40% - Accent5 3 5 2 3 2 2" xfId="37841" xr:uid="{00000000-0005-0000-0000-0000D6550000}"/>
    <cellStyle name="40% - Accent5 3 5 2 3 3" xfId="27601" xr:uid="{00000000-0005-0000-0000-0000D7550000}"/>
    <cellStyle name="40% - Accent5 3 5 2 4" xfId="12241" xr:uid="{00000000-0005-0000-0000-0000D8550000}"/>
    <cellStyle name="40% - Accent5 3 5 2 4 2" xfId="32721" xr:uid="{00000000-0005-0000-0000-0000D9550000}"/>
    <cellStyle name="40% - Accent5 3 5 2 5" xfId="22481" xr:uid="{00000000-0005-0000-0000-0000DA550000}"/>
    <cellStyle name="40% - Accent5 3 5 3" xfId="3281" xr:uid="{00000000-0005-0000-0000-0000DB550000}"/>
    <cellStyle name="40% - Accent5 3 5 3 2" xfId="8401" xr:uid="{00000000-0005-0000-0000-0000DC550000}"/>
    <cellStyle name="40% - Accent5 3 5 3 2 2" xfId="18641" xr:uid="{00000000-0005-0000-0000-0000DD550000}"/>
    <cellStyle name="40% - Accent5 3 5 3 2 2 2" xfId="39121" xr:uid="{00000000-0005-0000-0000-0000DE550000}"/>
    <cellStyle name="40% - Accent5 3 5 3 2 3" xfId="28881" xr:uid="{00000000-0005-0000-0000-0000DF550000}"/>
    <cellStyle name="40% - Accent5 3 5 3 3" xfId="13521" xr:uid="{00000000-0005-0000-0000-0000E0550000}"/>
    <cellStyle name="40% - Accent5 3 5 3 3 2" xfId="34001" xr:uid="{00000000-0005-0000-0000-0000E1550000}"/>
    <cellStyle name="40% - Accent5 3 5 3 4" xfId="23761" xr:uid="{00000000-0005-0000-0000-0000E2550000}"/>
    <cellStyle name="40% - Accent5 3 5 4" xfId="5841" xr:uid="{00000000-0005-0000-0000-0000E3550000}"/>
    <cellStyle name="40% - Accent5 3 5 4 2" xfId="16081" xr:uid="{00000000-0005-0000-0000-0000E4550000}"/>
    <cellStyle name="40% - Accent5 3 5 4 2 2" xfId="36561" xr:uid="{00000000-0005-0000-0000-0000E5550000}"/>
    <cellStyle name="40% - Accent5 3 5 4 3" xfId="26321" xr:uid="{00000000-0005-0000-0000-0000E6550000}"/>
    <cellStyle name="40% - Accent5 3 5 5" xfId="10961" xr:uid="{00000000-0005-0000-0000-0000E7550000}"/>
    <cellStyle name="40% - Accent5 3 5 5 2" xfId="31441" xr:uid="{00000000-0005-0000-0000-0000E8550000}"/>
    <cellStyle name="40% - Accent5 3 5 6" xfId="21201" xr:uid="{00000000-0005-0000-0000-0000E9550000}"/>
    <cellStyle name="40% - Accent5 3 6" xfId="1361" xr:uid="{00000000-0005-0000-0000-0000EA550000}"/>
    <cellStyle name="40% - Accent5 3 6 2" xfId="3921" xr:uid="{00000000-0005-0000-0000-0000EB550000}"/>
    <cellStyle name="40% - Accent5 3 6 2 2" xfId="9041" xr:uid="{00000000-0005-0000-0000-0000EC550000}"/>
    <cellStyle name="40% - Accent5 3 6 2 2 2" xfId="19281" xr:uid="{00000000-0005-0000-0000-0000ED550000}"/>
    <cellStyle name="40% - Accent5 3 6 2 2 2 2" xfId="39761" xr:uid="{00000000-0005-0000-0000-0000EE550000}"/>
    <cellStyle name="40% - Accent5 3 6 2 2 3" xfId="29521" xr:uid="{00000000-0005-0000-0000-0000EF550000}"/>
    <cellStyle name="40% - Accent5 3 6 2 3" xfId="14161" xr:uid="{00000000-0005-0000-0000-0000F0550000}"/>
    <cellStyle name="40% - Accent5 3 6 2 3 2" xfId="34641" xr:uid="{00000000-0005-0000-0000-0000F1550000}"/>
    <cellStyle name="40% - Accent5 3 6 2 4" xfId="24401" xr:uid="{00000000-0005-0000-0000-0000F2550000}"/>
    <cellStyle name="40% - Accent5 3 6 3" xfId="6481" xr:uid="{00000000-0005-0000-0000-0000F3550000}"/>
    <cellStyle name="40% - Accent5 3 6 3 2" xfId="16721" xr:uid="{00000000-0005-0000-0000-0000F4550000}"/>
    <cellStyle name="40% - Accent5 3 6 3 2 2" xfId="37201" xr:uid="{00000000-0005-0000-0000-0000F5550000}"/>
    <cellStyle name="40% - Accent5 3 6 3 3" xfId="26961" xr:uid="{00000000-0005-0000-0000-0000F6550000}"/>
    <cellStyle name="40% - Accent5 3 6 4" xfId="11601" xr:uid="{00000000-0005-0000-0000-0000F7550000}"/>
    <cellStyle name="40% - Accent5 3 6 4 2" xfId="32081" xr:uid="{00000000-0005-0000-0000-0000F8550000}"/>
    <cellStyle name="40% - Accent5 3 6 5" xfId="21841" xr:uid="{00000000-0005-0000-0000-0000F9550000}"/>
    <cellStyle name="40% - Accent5 3 7" xfId="2641" xr:uid="{00000000-0005-0000-0000-0000FA550000}"/>
    <cellStyle name="40% - Accent5 3 7 2" xfId="7761" xr:uid="{00000000-0005-0000-0000-0000FB550000}"/>
    <cellStyle name="40% - Accent5 3 7 2 2" xfId="18001" xr:uid="{00000000-0005-0000-0000-0000FC550000}"/>
    <cellStyle name="40% - Accent5 3 7 2 2 2" xfId="38481" xr:uid="{00000000-0005-0000-0000-0000FD550000}"/>
    <cellStyle name="40% - Accent5 3 7 2 3" xfId="28241" xr:uid="{00000000-0005-0000-0000-0000FE550000}"/>
    <cellStyle name="40% - Accent5 3 7 3" xfId="12881" xr:uid="{00000000-0005-0000-0000-0000FF550000}"/>
    <cellStyle name="40% - Accent5 3 7 3 2" xfId="33361" xr:uid="{00000000-0005-0000-0000-000000560000}"/>
    <cellStyle name="40% - Accent5 3 7 4" xfId="23121" xr:uid="{00000000-0005-0000-0000-000001560000}"/>
    <cellStyle name="40% - Accent5 3 8" xfId="5201" xr:uid="{00000000-0005-0000-0000-000002560000}"/>
    <cellStyle name="40% - Accent5 3 8 2" xfId="15441" xr:uid="{00000000-0005-0000-0000-000003560000}"/>
    <cellStyle name="40% - Accent5 3 8 2 2" xfId="35921" xr:uid="{00000000-0005-0000-0000-000004560000}"/>
    <cellStyle name="40% - Accent5 3 8 3" xfId="25681" xr:uid="{00000000-0005-0000-0000-000005560000}"/>
    <cellStyle name="40% - Accent5 3 9" xfId="10321" xr:uid="{00000000-0005-0000-0000-000006560000}"/>
    <cellStyle name="40% - Accent5 3 9 2" xfId="30801" xr:uid="{00000000-0005-0000-0000-000007560000}"/>
    <cellStyle name="40% - Accent5 4" xfId="121" xr:uid="{00000000-0005-0000-0000-000008560000}"/>
    <cellStyle name="40% - Accent5 4 2" xfId="281" xr:uid="{00000000-0005-0000-0000-000009560000}"/>
    <cellStyle name="40% - Accent5 4 2 2" xfId="601" xr:uid="{00000000-0005-0000-0000-00000A560000}"/>
    <cellStyle name="40% - Accent5 4 2 2 2" xfId="1241" xr:uid="{00000000-0005-0000-0000-00000B560000}"/>
    <cellStyle name="40% - Accent5 4 2 2 2 2" xfId="2521" xr:uid="{00000000-0005-0000-0000-00000C560000}"/>
    <cellStyle name="40% - Accent5 4 2 2 2 2 2" xfId="5081" xr:uid="{00000000-0005-0000-0000-00000D560000}"/>
    <cellStyle name="40% - Accent5 4 2 2 2 2 2 2" xfId="10201" xr:uid="{00000000-0005-0000-0000-00000E560000}"/>
    <cellStyle name="40% - Accent5 4 2 2 2 2 2 2 2" xfId="20441" xr:uid="{00000000-0005-0000-0000-00000F560000}"/>
    <cellStyle name="40% - Accent5 4 2 2 2 2 2 2 2 2" xfId="40921" xr:uid="{00000000-0005-0000-0000-000010560000}"/>
    <cellStyle name="40% - Accent5 4 2 2 2 2 2 2 3" xfId="30681" xr:uid="{00000000-0005-0000-0000-000011560000}"/>
    <cellStyle name="40% - Accent5 4 2 2 2 2 2 3" xfId="15321" xr:uid="{00000000-0005-0000-0000-000012560000}"/>
    <cellStyle name="40% - Accent5 4 2 2 2 2 2 3 2" xfId="35801" xr:uid="{00000000-0005-0000-0000-000013560000}"/>
    <cellStyle name="40% - Accent5 4 2 2 2 2 2 4" xfId="25561" xr:uid="{00000000-0005-0000-0000-000014560000}"/>
    <cellStyle name="40% - Accent5 4 2 2 2 2 3" xfId="7641" xr:uid="{00000000-0005-0000-0000-000015560000}"/>
    <cellStyle name="40% - Accent5 4 2 2 2 2 3 2" xfId="17881" xr:uid="{00000000-0005-0000-0000-000016560000}"/>
    <cellStyle name="40% - Accent5 4 2 2 2 2 3 2 2" xfId="38361" xr:uid="{00000000-0005-0000-0000-000017560000}"/>
    <cellStyle name="40% - Accent5 4 2 2 2 2 3 3" xfId="28121" xr:uid="{00000000-0005-0000-0000-000018560000}"/>
    <cellStyle name="40% - Accent5 4 2 2 2 2 4" xfId="12761" xr:uid="{00000000-0005-0000-0000-000019560000}"/>
    <cellStyle name="40% - Accent5 4 2 2 2 2 4 2" xfId="33241" xr:uid="{00000000-0005-0000-0000-00001A560000}"/>
    <cellStyle name="40% - Accent5 4 2 2 2 2 5" xfId="23001" xr:uid="{00000000-0005-0000-0000-00001B560000}"/>
    <cellStyle name="40% - Accent5 4 2 2 2 3" xfId="3801" xr:uid="{00000000-0005-0000-0000-00001C560000}"/>
    <cellStyle name="40% - Accent5 4 2 2 2 3 2" xfId="8921" xr:uid="{00000000-0005-0000-0000-00001D560000}"/>
    <cellStyle name="40% - Accent5 4 2 2 2 3 2 2" xfId="19161" xr:uid="{00000000-0005-0000-0000-00001E560000}"/>
    <cellStyle name="40% - Accent5 4 2 2 2 3 2 2 2" xfId="39641" xr:uid="{00000000-0005-0000-0000-00001F560000}"/>
    <cellStyle name="40% - Accent5 4 2 2 2 3 2 3" xfId="29401" xr:uid="{00000000-0005-0000-0000-000020560000}"/>
    <cellStyle name="40% - Accent5 4 2 2 2 3 3" xfId="14041" xr:uid="{00000000-0005-0000-0000-000021560000}"/>
    <cellStyle name="40% - Accent5 4 2 2 2 3 3 2" xfId="34521" xr:uid="{00000000-0005-0000-0000-000022560000}"/>
    <cellStyle name="40% - Accent5 4 2 2 2 3 4" xfId="24281" xr:uid="{00000000-0005-0000-0000-000023560000}"/>
    <cellStyle name="40% - Accent5 4 2 2 2 4" xfId="6361" xr:uid="{00000000-0005-0000-0000-000024560000}"/>
    <cellStyle name="40% - Accent5 4 2 2 2 4 2" xfId="16601" xr:uid="{00000000-0005-0000-0000-000025560000}"/>
    <cellStyle name="40% - Accent5 4 2 2 2 4 2 2" xfId="37081" xr:uid="{00000000-0005-0000-0000-000026560000}"/>
    <cellStyle name="40% - Accent5 4 2 2 2 4 3" xfId="26841" xr:uid="{00000000-0005-0000-0000-000027560000}"/>
    <cellStyle name="40% - Accent5 4 2 2 2 5" xfId="11481" xr:uid="{00000000-0005-0000-0000-000028560000}"/>
    <cellStyle name="40% - Accent5 4 2 2 2 5 2" xfId="31961" xr:uid="{00000000-0005-0000-0000-000029560000}"/>
    <cellStyle name="40% - Accent5 4 2 2 2 6" xfId="21721" xr:uid="{00000000-0005-0000-0000-00002A560000}"/>
    <cellStyle name="40% - Accent5 4 2 2 3" xfId="1881" xr:uid="{00000000-0005-0000-0000-00002B560000}"/>
    <cellStyle name="40% - Accent5 4 2 2 3 2" xfId="4441" xr:uid="{00000000-0005-0000-0000-00002C560000}"/>
    <cellStyle name="40% - Accent5 4 2 2 3 2 2" xfId="9561" xr:uid="{00000000-0005-0000-0000-00002D560000}"/>
    <cellStyle name="40% - Accent5 4 2 2 3 2 2 2" xfId="19801" xr:uid="{00000000-0005-0000-0000-00002E560000}"/>
    <cellStyle name="40% - Accent5 4 2 2 3 2 2 2 2" xfId="40281" xr:uid="{00000000-0005-0000-0000-00002F560000}"/>
    <cellStyle name="40% - Accent5 4 2 2 3 2 2 3" xfId="30041" xr:uid="{00000000-0005-0000-0000-000030560000}"/>
    <cellStyle name="40% - Accent5 4 2 2 3 2 3" xfId="14681" xr:uid="{00000000-0005-0000-0000-000031560000}"/>
    <cellStyle name="40% - Accent5 4 2 2 3 2 3 2" xfId="35161" xr:uid="{00000000-0005-0000-0000-000032560000}"/>
    <cellStyle name="40% - Accent5 4 2 2 3 2 4" xfId="24921" xr:uid="{00000000-0005-0000-0000-000033560000}"/>
    <cellStyle name="40% - Accent5 4 2 2 3 3" xfId="7001" xr:uid="{00000000-0005-0000-0000-000034560000}"/>
    <cellStyle name="40% - Accent5 4 2 2 3 3 2" xfId="17241" xr:uid="{00000000-0005-0000-0000-000035560000}"/>
    <cellStyle name="40% - Accent5 4 2 2 3 3 2 2" xfId="37721" xr:uid="{00000000-0005-0000-0000-000036560000}"/>
    <cellStyle name="40% - Accent5 4 2 2 3 3 3" xfId="27481" xr:uid="{00000000-0005-0000-0000-000037560000}"/>
    <cellStyle name="40% - Accent5 4 2 2 3 4" xfId="12121" xr:uid="{00000000-0005-0000-0000-000038560000}"/>
    <cellStyle name="40% - Accent5 4 2 2 3 4 2" xfId="32601" xr:uid="{00000000-0005-0000-0000-000039560000}"/>
    <cellStyle name="40% - Accent5 4 2 2 3 5" xfId="22361" xr:uid="{00000000-0005-0000-0000-00003A560000}"/>
    <cellStyle name="40% - Accent5 4 2 2 4" xfId="3161" xr:uid="{00000000-0005-0000-0000-00003B560000}"/>
    <cellStyle name="40% - Accent5 4 2 2 4 2" xfId="8281" xr:uid="{00000000-0005-0000-0000-00003C560000}"/>
    <cellStyle name="40% - Accent5 4 2 2 4 2 2" xfId="18521" xr:uid="{00000000-0005-0000-0000-00003D560000}"/>
    <cellStyle name="40% - Accent5 4 2 2 4 2 2 2" xfId="39001" xr:uid="{00000000-0005-0000-0000-00003E560000}"/>
    <cellStyle name="40% - Accent5 4 2 2 4 2 3" xfId="28761" xr:uid="{00000000-0005-0000-0000-00003F560000}"/>
    <cellStyle name="40% - Accent5 4 2 2 4 3" xfId="13401" xr:uid="{00000000-0005-0000-0000-000040560000}"/>
    <cellStyle name="40% - Accent5 4 2 2 4 3 2" xfId="33881" xr:uid="{00000000-0005-0000-0000-000041560000}"/>
    <cellStyle name="40% - Accent5 4 2 2 4 4" xfId="23641" xr:uid="{00000000-0005-0000-0000-000042560000}"/>
    <cellStyle name="40% - Accent5 4 2 2 5" xfId="5721" xr:uid="{00000000-0005-0000-0000-000043560000}"/>
    <cellStyle name="40% - Accent5 4 2 2 5 2" xfId="15961" xr:uid="{00000000-0005-0000-0000-000044560000}"/>
    <cellStyle name="40% - Accent5 4 2 2 5 2 2" xfId="36441" xr:uid="{00000000-0005-0000-0000-000045560000}"/>
    <cellStyle name="40% - Accent5 4 2 2 5 3" xfId="26201" xr:uid="{00000000-0005-0000-0000-000046560000}"/>
    <cellStyle name="40% - Accent5 4 2 2 6" xfId="10841" xr:uid="{00000000-0005-0000-0000-000047560000}"/>
    <cellStyle name="40% - Accent5 4 2 2 6 2" xfId="31321" xr:uid="{00000000-0005-0000-0000-000048560000}"/>
    <cellStyle name="40% - Accent5 4 2 2 7" xfId="21081" xr:uid="{00000000-0005-0000-0000-000049560000}"/>
    <cellStyle name="40% - Accent5 4 2 3" xfId="921" xr:uid="{00000000-0005-0000-0000-00004A560000}"/>
    <cellStyle name="40% - Accent5 4 2 3 2" xfId="2201" xr:uid="{00000000-0005-0000-0000-00004B560000}"/>
    <cellStyle name="40% - Accent5 4 2 3 2 2" xfId="4761" xr:uid="{00000000-0005-0000-0000-00004C560000}"/>
    <cellStyle name="40% - Accent5 4 2 3 2 2 2" xfId="9881" xr:uid="{00000000-0005-0000-0000-00004D560000}"/>
    <cellStyle name="40% - Accent5 4 2 3 2 2 2 2" xfId="20121" xr:uid="{00000000-0005-0000-0000-00004E560000}"/>
    <cellStyle name="40% - Accent5 4 2 3 2 2 2 2 2" xfId="40601" xr:uid="{00000000-0005-0000-0000-00004F560000}"/>
    <cellStyle name="40% - Accent5 4 2 3 2 2 2 3" xfId="30361" xr:uid="{00000000-0005-0000-0000-000050560000}"/>
    <cellStyle name="40% - Accent5 4 2 3 2 2 3" xfId="15001" xr:uid="{00000000-0005-0000-0000-000051560000}"/>
    <cellStyle name="40% - Accent5 4 2 3 2 2 3 2" xfId="35481" xr:uid="{00000000-0005-0000-0000-000052560000}"/>
    <cellStyle name="40% - Accent5 4 2 3 2 2 4" xfId="25241" xr:uid="{00000000-0005-0000-0000-000053560000}"/>
    <cellStyle name="40% - Accent5 4 2 3 2 3" xfId="7321" xr:uid="{00000000-0005-0000-0000-000054560000}"/>
    <cellStyle name="40% - Accent5 4 2 3 2 3 2" xfId="17561" xr:uid="{00000000-0005-0000-0000-000055560000}"/>
    <cellStyle name="40% - Accent5 4 2 3 2 3 2 2" xfId="38041" xr:uid="{00000000-0005-0000-0000-000056560000}"/>
    <cellStyle name="40% - Accent5 4 2 3 2 3 3" xfId="27801" xr:uid="{00000000-0005-0000-0000-000057560000}"/>
    <cellStyle name="40% - Accent5 4 2 3 2 4" xfId="12441" xr:uid="{00000000-0005-0000-0000-000058560000}"/>
    <cellStyle name="40% - Accent5 4 2 3 2 4 2" xfId="32921" xr:uid="{00000000-0005-0000-0000-000059560000}"/>
    <cellStyle name="40% - Accent5 4 2 3 2 5" xfId="22681" xr:uid="{00000000-0005-0000-0000-00005A560000}"/>
    <cellStyle name="40% - Accent5 4 2 3 3" xfId="3481" xr:uid="{00000000-0005-0000-0000-00005B560000}"/>
    <cellStyle name="40% - Accent5 4 2 3 3 2" xfId="8601" xr:uid="{00000000-0005-0000-0000-00005C560000}"/>
    <cellStyle name="40% - Accent5 4 2 3 3 2 2" xfId="18841" xr:uid="{00000000-0005-0000-0000-00005D560000}"/>
    <cellStyle name="40% - Accent5 4 2 3 3 2 2 2" xfId="39321" xr:uid="{00000000-0005-0000-0000-00005E560000}"/>
    <cellStyle name="40% - Accent5 4 2 3 3 2 3" xfId="29081" xr:uid="{00000000-0005-0000-0000-00005F560000}"/>
    <cellStyle name="40% - Accent5 4 2 3 3 3" xfId="13721" xr:uid="{00000000-0005-0000-0000-000060560000}"/>
    <cellStyle name="40% - Accent5 4 2 3 3 3 2" xfId="34201" xr:uid="{00000000-0005-0000-0000-000061560000}"/>
    <cellStyle name="40% - Accent5 4 2 3 3 4" xfId="23961" xr:uid="{00000000-0005-0000-0000-000062560000}"/>
    <cellStyle name="40% - Accent5 4 2 3 4" xfId="6041" xr:uid="{00000000-0005-0000-0000-000063560000}"/>
    <cellStyle name="40% - Accent5 4 2 3 4 2" xfId="16281" xr:uid="{00000000-0005-0000-0000-000064560000}"/>
    <cellStyle name="40% - Accent5 4 2 3 4 2 2" xfId="36761" xr:uid="{00000000-0005-0000-0000-000065560000}"/>
    <cellStyle name="40% - Accent5 4 2 3 4 3" xfId="26521" xr:uid="{00000000-0005-0000-0000-000066560000}"/>
    <cellStyle name="40% - Accent5 4 2 3 5" xfId="11161" xr:uid="{00000000-0005-0000-0000-000067560000}"/>
    <cellStyle name="40% - Accent5 4 2 3 5 2" xfId="31641" xr:uid="{00000000-0005-0000-0000-000068560000}"/>
    <cellStyle name="40% - Accent5 4 2 3 6" xfId="21401" xr:uid="{00000000-0005-0000-0000-000069560000}"/>
    <cellStyle name="40% - Accent5 4 2 4" xfId="1561" xr:uid="{00000000-0005-0000-0000-00006A560000}"/>
    <cellStyle name="40% - Accent5 4 2 4 2" xfId="4121" xr:uid="{00000000-0005-0000-0000-00006B560000}"/>
    <cellStyle name="40% - Accent5 4 2 4 2 2" xfId="9241" xr:uid="{00000000-0005-0000-0000-00006C560000}"/>
    <cellStyle name="40% - Accent5 4 2 4 2 2 2" xfId="19481" xr:uid="{00000000-0005-0000-0000-00006D560000}"/>
    <cellStyle name="40% - Accent5 4 2 4 2 2 2 2" xfId="39961" xr:uid="{00000000-0005-0000-0000-00006E560000}"/>
    <cellStyle name="40% - Accent5 4 2 4 2 2 3" xfId="29721" xr:uid="{00000000-0005-0000-0000-00006F560000}"/>
    <cellStyle name="40% - Accent5 4 2 4 2 3" xfId="14361" xr:uid="{00000000-0005-0000-0000-000070560000}"/>
    <cellStyle name="40% - Accent5 4 2 4 2 3 2" xfId="34841" xr:uid="{00000000-0005-0000-0000-000071560000}"/>
    <cellStyle name="40% - Accent5 4 2 4 2 4" xfId="24601" xr:uid="{00000000-0005-0000-0000-000072560000}"/>
    <cellStyle name="40% - Accent5 4 2 4 3" xfId="6681" xr:uid="{00000000-0005-0000-0000-000073560000}"/>
    <cellStyle name="40% - Accent5 4 2 4 3 2" xfId="16921" xr:uid="{00000000-0005-0000-0000-000074560000}"/>
    <cellStyle name="40% - Accent5 4 2 4 3 2 2" xfId="37401" xr:uid="{00000000-0005-0000-0000-000075560000}"/>
    <cellStyle name="40% - Accent5 4 2 4 3 3" xfId="27161" xr:uid="{00000000-0005-0000-0000-000076560000}"/>
    <cellStyle name="40% - Accent5 4 2 4 4" xfId="11801" xr:uid="{00000000-0005-0000-0000-000077560000}"/>
    <cellStyle name="40% - Accent5 4 2 4 4 2" xfId="32281" xr:uid="{00000000-0005-0000-0000-000078560000}"/>
    <cellStyle name="40% - Accent5 4 2 4 5" xfId="22041" xr:uid="{00000000-0005-0000-0000-000079560000}"/>
    <cellStyle name="40% - Accent5 4 2 5" xfId="2841" xr:uid="{00000000-0005-0000-0000-00007A560000}"/>
    <cellStyle name="40% - Accent5 4 2 5 2" xfId="7961" xr:uid="{00000000-0005-0000-0000-00007B560000}"/>
    <cellStyle name="40% - Accent5 4 2 5 2 2" xfId="18201" xr:uid="{00000000-0005-0000-0000-00007C560000}"/>
    <cellStyle name="40% - Accent5 4 2 5 2 2 2" xfId="38681" xr:uid="{00000000-0005-0000-0000-00007D560000}"/>
    <cellStyle name="40% - Accent5 4 2 5 2 3" xfId="28441" xr:uid="{00000000-0005-0000-0000-00007E560000}"/>
    <cellStyle name="40% - Accent5 4 2 5 3" xfId="13081" xr:uid="{00000000-0005-0000-0000-00007F560000}"/>
    <cellStyle name="40% - Accent5 4 2 5 3 2" xfId="33561" xr:uid="{00000000-0005-0000-0000-000080560000}"/>
    <cellStyle name="40% - Accent5 4 2 5 4" xfId="23321" xr:uid="{00000000-0005-0000-0000-000081560000}"/>
    <cellStyle name="40% - Accent5 4 2 6" xfId="5401" xr:uid="{00000000-0005-0000-0000-000082560000}"/>
    <cellStyle name="40% - Accent5 4 2 6 2" xfId="15641" xr:uid="{00000000-0005-0000-0000-000083560000}"/>
    <cellStyle name="40% - Accent5 4 2 6 2 2" xfId="36121" xr:uid="{00000000-0005-0000-0000-000084560000}"/>
    <cellStyle name="40% - Accent5 4 2 6 3" xfId="25881" xr:uid="{00000000-0005-0000-0000-000085560000}"/>
    <cellStyle name="40% - Accent5 4 2 7" xfId="10521" xr:uid="{00000000-0005-0000-0000-000086560000}"/>
    <cellStyle name="40% - Accent5 4 2 7 2" xfId="31001" xr:uid="{00000000-0005-0000-0000-000087560000}"/>
    <cellStyle name="40% - Accent5 4 2 8" xfId="20761" xr:uid="{00000000-0005-0000-0000-000088560000}"/>
    <cellStyle name="40% - Accent5 4 3" xfId="441" xr:uid="{00000000-0005-0000-0000-000089560000}"/>
    <cellStyle name="40% - Accent5 4 3 2" xfId="1081" xr:uid="{00000000-0005-0000-0000-00008A560000}"/>
    <cellStyle name="40% - Accent5 4 3 2 2" xfId="2361" xr:uid="{00000000-0005-0000-0000-00008B560000}"/>
    <cellStyle name="40% - Accent5 4 3 2 2 2" xfId="4921" xr:uid="{00000000-0005-0000-0000-00008C560000}"/>
    <cellStyle name="40% - Accent5 4 3 2 2 2 2" xfId="10041" xr:uid="{00000000-0005-0000-0000-00008D560000}"/>
    <cellStyle name="40% - Accent5 4 3 2 2 2 2 2" xfId="20281" xr:uid="{00000000-0005-0000-0000-00008E560000}"/>
    <cellStyle name="40% - Accent5 4 3 2 2 2 2 2 2" xfId="40761" xr:uid="{00000000-0005-0000-0000-00008F560000}"/>
    <cellStyle name="40% - Accent5 4 3 2 2 2 2 3" xfId="30521" xr:uid="{00000000-0005-0000-0000-000090560000}"/>
    <cellStyle name="40% - Accent5 4 3 2 2 2 3" xfId="15161" xr:uid="{00000000-0005-0000-0000-000091560000}"/>
    <cellStyle name="40% - Accent5 4 3 2 2 2 3 2" xfId="35641" xr:uid="{00000000-0005-0000-0000-000092560000}"/>
    <cellStyle name="40% - Accent5 4 3 2 2 2 4" xfId="25401" xr:uid="{00000000-0005-0000-0000-000093560000}"/>
    <cellStyle name="40% - Accent5 4 3 2 2 3" xfId="7481" xr:uid="{00000000-0005-0000-0000-000094560000}"/>
    <cellStyle name="40% - Accent5 4 3 2 2 3 2" xfId="17721" xr:uid="{00000000-0005-0000-0000-000095560000}"/>
    <cellStyle name="40% - Accent5 4 3 2 2 3 2 2" xfId="38201" xr:uid="{00000000-0005-0000-0000-000096560000}"/>
    <cellStyle name="40% - Accent5 4 3 2 2 3 3" xfId="27961" xr:uid="{00000000-0005-0000-0000-000097560000}"/>
    <cellStyle name="40% - Accent5 4 3 2 2 4" xfId="12601" xr:uid="{00000000-0005-0000-0000-000098560000}"/>
    <cellStyle name="40% - Accent5 4 3 2 2 4 2" xfId="33081" xr:uid="{00000000-0005-0000-0000-000099560000}"/>
    <cellStyle name="40% - Accent5 4 3 2 2 5" xfId="22841" xr:uid="{00000000-0005-0000-0000-00009A560000}"/>
    <cellStyle name="40% - Accent5 4 3 2 3" xfId="3641" xr:uid="{00000000-0005-0000-0000-00009B560000}"/>
    <cellStyle name="40% - Accent5 4 3 2 3 2" xfId="8761" xr:uid="{00000000-0005-0000-0000-00009C560000}"/>
    <cellStyle name="40% - Accent5 4 3 2 3 2 2" xfId="19001" xr:uid="{00000000-0005-0000-0000-00009D560000}"/>
    <cellStyle name="40% - Accent5 4 3 2 3 2 2 2" xfId="39481" xr:uid="{00000000-0005-0000-0000-00009E560000}"/>
    <cellStyle name="40% - Accent5 4 3 2 3 2 3" xfId="29241" xr:uid="{00000000-0005-0000-0000-00009F560000}"/>
    <cellStyle name="40% - Accent5 4 3 2 3 3" xfId="13881" xr:uid="{00000000-0005-0000-0000-0000A0560000}"/>
    <cellStyle name="40% - Accent5 4 3 2 3 3 2" xfId="34361" xr:uid="{00000000-0005-0000-0000-0000A1560000}"/>
    <cellStyle name="40% - Accent5 4 3 2 3 4" xfId="24121" xr:uid="{00000000-0005-0000-0000-0000A2560000}"/>
    <cellStyle name="40% - Accent5 4 3 2 4" xfId="6201" xr:uid="{00000000-0005-0000-0000-0000A3560000}"/>
    <cellStyle name="40% - Accent5 4 3 2 4 2" xfId="16441" xr:uid="{00000000-0005-0000-0000-0000A4560000}"/>
    <cellStyle name="40% - Accent5 4 3 2 4 2 2" xfId="36921" xr:uid="{00000000-0005-0000-0000-0000A5560000}"/>
    <cellStyle name="40% - Accent5 4 3 2 4 3" xfId="26681" xr:uid="{00000000-0005-0000-0000-0000A6560000}"/>
    <cellStyle name="40% - Accent5 4 3 2 5" xfId="11321" xr:uid="{00000000-0005-0000-0000-0000A7560000}"/>
    <cellStyle name="40% - Accent5 4 3 2 5 2" xfId="31801" xr:uid="{00000000-0005-0000-0000-0000A8560000}"/>
    <cellStyle name="40% - Accent5 4 3 2 6" xfId="21561" xr:uid="{00000000-0005-0000-0000-0000A9560000}"/>
    <cellStyle name="40% - Accent5 4 3 3" xfId="1721" xr:uid="{00000000-0005-0000-0000-0000AA560000}"/>
    <cellStyle name="40% - Accent5 4 3 3 2" xfId="4281" xr:uid="{00000000-0005-0000-0000-0000AB560000}"/>
    <cellStyle name="40% - Accent5 4 3 3 2 2" xfId="9401" xr:uid="{00000000-0005-0000-0000-0000AC560000}"/>
    <cellStyle name="40% - Accent5 4 3 3 2 2 2" xfId="19641" xr:uid="{00000000-0005-0000-0000-0000AD560000}"/>
    <cellStyle name="40% - Accent5 4 3 3 2 2 2 2" xfId="40121" xr:uid="{00000000-0005-0000-0000-0000AE560000}"/>
    <cellStyle name="40% - Accent5 4 3 3 2 2 3" xfId="29881" xr:uid="{00000000-0005-0000-0000-0000AF560000}"/>
    <cellStyle name="40% - Accent5 4 3 3 2 3" xfId="14521" xr:uid="{00000000-0005-0000-0000-0000B0560000}"/>
    <cellStyle name="40% - Accent5 4 3 3 2 3 2" xfId="35001" xr:uid="{00000000-0005-0000-0000-0000B1560000}"/>
    <cellStyle name="40% - Accent5 4 3 3 2 4" xfId="24761" xr:uid="{00000000-0005-0000-0000-0000B2560000}"/>
    <cellStyle name="40% - Accent5 4 3 3 3" xfId="6841" xr:uid="{00000000-0005-0000-0000-0000B3560000}"/>
    <cellStyle name="40% - Accent5 4 3 3 3 2" xfId="17081" xr:uid="{00000000-0005-0000-0000-0000B4560000}"/>
    <cellStyle name="40% - Accent5 4 3 3 3 2 2" xfId="37561" xr:uid="{00000000-0005-0000-0000-0000B5560000}"/>
    <cellStyle name="40% - Accent5 4 3 3 3 3" xfId="27321" xr:uid="{00000000-0005-0000-0000-0000B6560000}"/>
    <cellStyle name="40% - Accent5 4 3 3 4" xfId="11961" xr:uid="{00000000-0005-0000-0000-0000B7560000}"/>
    <cellStyle name="40% - Accent5 4 3 3 4 2" xfId="32441" xr:uid="{00000000-0005-0000-0000-0000B8560000}"/>
    <cellStyle name="40% - Accent5 4 3 3 5" xfId="22201" xr:uid="{00000000-0005-0000-0000-0000B9560000}"/>
    <cellStyle name="40% - Accent5 4 3 4" xfId="3001" xr:uid="{00000000-0005-0000-0000-0000BA560000}"/>
    <cellStyle name="40% - Accent5 4 3 4 2" xfId="8121" xr:uid="{00000000-0005-0000-0000-0000BB560000}"/>
    <cellStyle name="40% - Accent5 4 3 4 2 2" xfId="18361" xr:uid="{00000000-0005-0000-0000-0000BC560000}"/>
    <cellStyle name="40% - Accent5 4 3 4 2 2 2" xfId="38841" xr:uid="{00000000-0005-0000-0000-0000BD560000}"/>
    <cellStyle name="40% - Accent5 4 3 4 2 3" xfId="28601" xr:uid="{00000000-0005-0000-0000-0000BE560000}"/>
    <cellStyle name="40% - Accent5 4 3 4 3" xfId="13241" xr:uid="{00000000-0005-0000-0000-0000BF560000}"/>
    <cellStyle name="40% - Accent5 4 3 4 3 2" xfId="33721" xr:uid="{00000000-0005-0000-0000-0000C0560000}"/>
    <cellStyle name="40% - Accent5 4 3 4 4" xfId="23481" xr:uid="{00000000-0005-0000-0000-0000C1560000}"/>
    <cellStyle name="40% - Accent5 4 3 5" xfId="5561" xr:uid="{00000000-0005-0000-0000-0000C2560000}"/>
    <cellStyle name="40% - Accent5 4 3 5 2" xfId="15801" xr:uid="{00000000-0005-0000-0000-0000C3560000}"/>
    <cellStyle name="40% - Accent5 4 3 5 2 2" xfId="36281" xr:uid="{00000000-0005-0000-0000-0000C4560000}"/>
    <cellStyle name="40% - Accent5 4 3 5 3" xfId="26041" xr:uid="{00000000-0005-0000-0000-0000C5560000}"/>
    <cellStyle name="40% - Accent5 4 3 6" xfId="10681" xr:uid="{00000000-0005-0000-0000-0000C6560000}"/>
    <cellStyle name="40% - Accent5 4 3 6 2" xfId="31161" xr:uid="{00000000-0005-0000-0000-0000C7560000}"/>
    <cellStyle name="40% - Accent5 4 3 7" xfId="20921" xr:uid="{00000000-0005-0000-0000-0000C8560000}"/>
    <cellStyle name="40% - Accent5 4 4" xfId="761" xr:uid="{00000000-0005-0000-0000-0000C9560000}"/>
    <cellStyle name="40% - Accent5 4 4 2" xfId="2041" xr:uid="{00000000-0005-0000-0000-0000CA560000}"/>
    <cellStyle name="40% - Accent5 4 4 2 2" xfId="4601" xr:uid="{00000000-0005-0000-0000-0000CB560000}"/>
    <cellStyle name="40% - Accent5 4 4 2 2 2" xfId="9721" xr:uid="{00000000-0005-0000-0000-0000CC560000}"/>
    <cellStyle name="40% - Accent5 4 4 2 2 2 2" xfId="19961" xr:uid="{00000000-0005-0000-0000-0000CD560000}"/>
    <cellStyle name="40% - Accent5 4 4 2 2 2 2 2" xfId="40441" xr:uid="{00000000-0005-0000-0000-0000CE560000}"/>
    <cellStyle name="40% - Accent5 4 4 2 2 2 3" xfId="30201" xr:uid="{00000000-0005-0000-0000-0000CF560000}"/>
    <cellStyle name="40% - Accent5 4 4 2 2 3" xfId="14841" xr:uid="{00000000-0005-0000-0000-0000D0560000}"/>
    <cellStyle name="40% - Accent5 4 4 2 2 3 2" xfId="35321" xr:uid="{00000000-0005-0000-0000-0000D1560000}"/>
    <cellStyle name="40% - Accent5 4 4 2 2 4" xfId="25081" xr:uid="{00000000-0005-0000-0000-0000D2560000}"/>
    <cellStyle name="40% - Accent5 4 4 2 3" xfId="7161" xr:uid="{00000000-0005-0000-0000-0000D3560000}"/>
    <cellStyle name="40% - Accent5 4 4 2 3 2" xfId="17401" xr:uid="{00000000-0005-0000-0000-0000D4560000}"/>
    <cellStyle name="40% - Accent5 4 4 2 3 2 2" xfId="37881" xr:uid="{00000000-0005-0000-0000-0000D5560000}"/>
    <cellStyle name="40% - Accent5 4 4 2 3 3" xfId="27641" xr:uid="{00000000-0005-0000-0000-0000D6560000}"/>
    <cellStyle name="40% - Accent5 4 4 2 4" xfId="12281" xr:uid="{00000000-0005-0000-0000-0000D7560000}"/>
    <cellStyle name="40% - Accent5 4 4 2 4 2" xfId="32761" xr:uid="{00000000-0005-0000-0000-0000D8560000}"/>
    <cellStyle name="40% - Accent5 4 4 2 5" xfId="22521" xr:uid="{00000000-0005-0000-0000-0000D9560000}"/>
    <cellStyle name="40% - Accent5 4 4 3" xfId="3321" xr:uid="{00000000-0005-0000-0000-0000DA560000}"/>
    <cellStyle name="40% - Accent5 4 4 3 2" xfId="8441" xr:uid="{00000000-0005-0000-0000-0000DB560000}"/>
    <cellStyle name="40% - Accent5 4 4 3 2 2" xfId="18681" xr:uid="{00000000-0005-0000-0000-0000DC560000}"/>
    <cellStyle name="40% - Accent5 4 4 3 2 2 2" xfId="39161" xr:uid="{00000000-0005-0000-0000-0000DD560000}"/>
    <cellStyle name="40% - Accent5 4 4 3 2 3" xfId="28921" xr:uid="{00000000-0005-0000-0000-0000DE560000}"/>
    <cellStyle name="40% - Accent5 4 4 3 3" xfId="13561" xr:uid="{00000000-0005-0000-0000-0000DF560000}"/>
    <cellStyle name="40% - Accent5 4 4 3 3 2" xfId="34041" xr:uid="{00000000-0005-0000-0000-0000E0560000}"/>
    <cellStyle name="40% - Accent5 4 4 3 4" xfId="23801" xr:uid="{00000000-0005-0000-0000-0000E1560000}"/>
    <cellStyle name="40% - Accent5 4 4 4" xfId="5881" xr:uid="{00000000-0005-0000-0000-0000E2560000}"/>
    <cellStyle name="40% - Accent5 4 4 4 2" xfId="16121" xr:uid="{00000000-0005-0000-0000-0000E3560000}"/>
    <cellStyle name="40% - Accent5 4 4 4 2 2" xfId="36601" xr:uid="{00000000-0005-0000-0000-0000E4560000}"/>
    <cellStyle name="40% - Accent5 4 4 4 3" xfId="26361" xr:uid="{00000000-0005-0000-0000-0000E5560000}"/>
    <cellStyle name="40% - Accent5 4 4 5" xfId="11001" xr:uid="{00000000-0005-0000-0000-0000E6560000}"/>
    <cellStyle name="40% - Accent5 4 4 5 2" xfId="31481" xr:uid="{00000000-0005-0000-0000-0000E7560000}"/>
    <cellStyle name="40% - Accent5 4 4 6" xfId="21241" xr:uid="{00000000-0005-0000-0000-0000E8560000}"/>
    <cellStyle name="40% - Accent5 4 5" xfId="1401" xr:uid="{00000000-0005-0000-0000-0000E9560000}"/>
    <cellStyle name="40% - Accent5 4 5 2" xfId="3961" xr:uid="{00000000-0005-0000-0000-0000EA560000}"/>
    <cellStyle name="40% - Accent5 4 5 2 2" xfId="9081" xr:uid="{00000000-0005-0000-0000-0000EB560000}"/>
    <cellStyle name="40% - Accent5 4 5 2 2 2" xfId="19321" xr:uid="{00000000-0005-0000-0000-0000EC560000}"/>
    <cellStyle name="40% - Accent5 4 5 2 2 2 2" xfId="39801" xr:uid="{00000000-0005-0000-0000-0000ED560000}"/>
    <cellStyle name="40% - Accent5 4 5 2 2 3" xfId="29561" xr:uid="{00000000-0005-0000-0000-0000EE560000}"/>
    <cellStyle name="40% - Accent5 4 5 2 3" xfId="14201" xr:uid="{00000000-0005-0000-0000-0000EF560000}"/>
    <cellStyle name="40% - Accent5 4 5 2 3 2" xfId="34681" xr:uid="{00000000-0005-0000-0000-0000F0560000}"/>
    <cellStyle name="40% - Accent5 4 5 2 4" xfId="24441" xr:uid="{00000000-0005-0000-0000-0000F1560000}"/>
    <cellStyle name="40% - Accent5 4 5 3" xfId="6521" xr:uid="{00000000-0005-0000-0000-0000F2560000}"/>
    <cellStyle name="40% - Accent5 4 5 3 2" xfId="16761" xr:uid="{00000000-0005-0000-0000-0000F3560000}"/>
    <cellStyle name="40% - Accent5 4 5 3 2 2" xfId="37241" xr:uid="{00000000-0005-0000-0000-0000F4560000}"/>
    <cellStyle name="40% - Accent5 4 5 3 3" xfId="27001" xr:uid="{00000000-0005-0000-0000-0000F5560000}"/>
    <cellStyle name="40% - Accent5 4 5 4" xfId="11641" xr:uid="{00000000-0005-0000-0000-0000F6560000}"/>
    <cellStyle name="40% - Accent5 4 5 4 2" xfId="32121" xr:uid="{00000000-0005-0000-0000-0000F7560000}"/>
    <cellStyle name="40% - Accent5 4 5 5" xfId="21881" xr:uid="{00000000-0005-0000-0000-0000F8560000}"/>
    <cellStyle name="40% - Accent5 4 6" xfId="2681" xr:uid="{00000000-0005-0000-0000-0000F9560000}"/>
    <cellStyle name="40% - Accent5 4 6 2" xfId="7801" xr:uid="{00000000-0005-0000-0000-0000FA560000}"/>
    <cellStyle name="40% - Accent5 4 6 2 2" xfId="18041" xr:uid="{00000000-0005-0000-0000-0000FB560000}"/>
    <cellStyle name="40% - Accent5 4 6 2 2 2" xfId="38521" xr:uid="{00000000-0005-0000-0000-0000FC560000}"/>
    <cellStyle name="40% - Accent5 4 6 2 3" xfId="28281" xr:uid="{00000000-0005-0000-0000-0000FD560000}"/>
    <cellStyle name="40% - Accent5 4 6 3" xfId="12921" xr:uid="{00000000-0005-0000-0000-0000FE560000}"/>
    <cellStyle name="40% - Accent5 4 6 3 2" xfId="33401" xr:uid="{00000000-0005-0000-0000-0000FF560000}"/>
    <cellStyle name="40% - Accent5 4 6 4" xfId="23161" xr:uid="{00000000-0005-0000-0000-000000570000}"/>
    <cellStyle name="40% - Accent5 4 7" xfId="5241" xr:uid="{00000000-0005-0000-0000-000001570000}"/>
    <cellStyle name="40% - Accent5 4 7 2" xfId="15481" xr:uid="{00000000-0005-0000-0000-000002570000}"/>
    <cellStyle name="40% - Accent5 4 7 2 2" xfId="35961" xr:uid="{00000000-0005-0000-0000-000003570000}"/>
    <cellStyle name="40% - Accent5 4 7 3" xfId="25721" xr:uid="{00000000-0005-0000-0000-000004570000}"/>
    <cellStyle name="40% - Accent5 4 8" xfId="10361" xr:uid="{00000000-0005-0000-0000-000005570000}"/>
    <cellStyle name="40% - Accent5 4 8 2" xfId="30841" xr:uid="{00000000-0005-0000-0000-000006570000}"/>
    <cellStyle name="40% - Accent5 4 9" xfId="20601" xr:uid="{00000000-0005-0000-0000-000007570000}"/>
    <cellStyle name="40% - Accent5 5" xfId="201" xr:uid="{00000000-0005-0000-0000-000008570000}"/>
    <cellStyle name="40% - Accent5 5 2" xfId="521" xr:uid="{00000000-0005-0000-0000-000009570000}"/>
    <cellStyle name="40% - Accent5 5 2 2" xfId="1161" xr:uid="{00000000-0005-0000-0000-00000A570000}"/>
    <cellStyle name="40% - Accent5 5 2 2 2" xfId="2441" xr:uid="{00000000-0005-0000-0000-00000B570000}"/>
    <cellStyle name="40% - Accent5 5 2 2 2 2" xfId="5001" xr:uid="{00000000-0005-0000-0000-00000C570000}"/>
    <cellStyle name="40% - Accent5 5 2 2 2 2 2" xfId="10121" xr:uid="{00000000-0005-0000-0000-00000D570000}"/>
    <cellStyle name="40% - Accent5 5 2 2 2 2 2 2" xfId="20361" xr:uid="{00000000-0005-0000-0000-00000E570000}"/>
    <cellStyle name="40% - Accent5 5 2 2 2 2 2 2 2" xfId="40841" xr:uid="{00000000-0005-0000-0000-00000F570000}"/>
    <cellStyle name="40% - Accent5 5 2 2 2 2 2 3" xfId="30601" xr:uid="{00000000-0005-0000-0000-000010570000}"/>
    <cellStyle name="40% - Accent5 5 2 2 2 2 3" xfId="15241" xr:uid="{00000000-0005-0000-0000-000011570000}"/>
    <cellStyle name="40% - Accent5 5 2 2 2 2 3 2" xfId="35721" xr:uid="{00000000-0005-0000-0000-000012570000}"/>
    <cellStyle name="40% - Accent5 5 2 2 2 2 4" xfId="25481" xr:uid="{00000000-0005-0000-0000-000013570000}"/>
    <cellStyle name="40% - Accent5 5 2 2 2 3" xfId="7561" xr:uid="{00000000-0005-0000-0000-000014570000}"/>
    <cellStyle name="40% - Accent5 5 2 2 2 3 2" xfId="17801" xr:uid="{00000000-0005-0000-0000-000015570000}"/>
    <cellStyle name="40% - Accent5 5 2 2 2 3 2 2" xfId="38281" xr:uid="{00000000-0005-0000-0000-000016570000}"/>
    <cellStyle name="40% - Accent5 5 2 2 2 3 3" xfId="28041" xr:uid="{00000000-0005-0000-0000-000017570000}"/>
    <cellStyle name="40% - Accent5 5 2 2 2 4" xfId="12681" xr:uid="{00000000-0005-0000-0000-000018570000}"/>
    <cellStyle name="40% - Accent5 5 2 2 2 4 2" xfId="33161" xr:uid="{00000000-0005-0000-0000-000019570000}"/>
    <cellStyle name="40% - Accent5 5 2 2 2 5" xfId="22921" xr:uid="{00000000-0005-0000-0000-00001A570000}"/>
    <cellStyle name="40% - Accent5 5 2 2 3" xfId="3721" xr:uid="{00000000-0005-0000-0000-00001B570000}"/>
    <cellStyle name="40% - Accent5 5 2 2 3 2" xfId="8841" xr:uid="{00000000-0005-0000-0000-00001C570000}"/>
    <cellStyle name="40% - Accent5 5 2 2 3 2 2" xfId="19081" xr:uid="{00000000-0005-0000-0000-00001D570000}"/>
    <cellStyle name="40% - Accent5 5 2 2 3 2 2 2" xfId="39561" xr:uid="{00000000-0005-0000-0000-00001E570000}"/>
    <cellStyle name="40% - Accent5 5 2 2 3 2 3" xfId="29321" xr:uid="{00000000-0005-0000-0000-00001F570000}"/>
    <cellStyle name="40% - Accent5 5 2 2 3 3" xfId="13961" xr:uid="{00000000-0005-0000-0000-000020570000}"/>
    <cellStyle name="40% - Accent5 5 2 2 3 3 2" xfId="34441" xr:uid="{00000000-0005-0000-0000-000021570000}"/>
    <cellStyle name="40% - Accent5 5 2 2 3 4" xfId="24201" xr:uid="{00000000-0005-0000-0000-000022570000}"/>
    <cellStyle name="40% - Accent5 5 2 2 4" xfId="6281" xr:uid="{00000000-0005-0000-0000-000023570000}"/>
    <cellStyle name="40% - Accent5 5 2 2 4 2" xfId="16521" xr:uid="{00000000-0005-0000-0000-000024570000}"/>
    <cellStyle name="40% - Accent5 5 2 2 4 2 2" xfId="37001" xr:uid="{00000000-0005-0000-0000-000025570000}"/>
    <cellStyle name="40% - Accent5 5 2 2 4 3" xfId="26761" xr:uid="{00000000-0005-0000-0000-000026570000}"/>
    <cellStyle name="40% - Accent5 5 2 2 5" xfId="11401" xr:uid="{00000000-0005-0000-0000-000027570000}"/>
    <cellStyle name="40% - Accent5 5 2 2 5 2" xfId="31881" xr:uid="{00000000-0005-0000-0000-000028570000}"/>
    <cellStyle name="40% - Accent5 5 2 2 6" xfId="21641" xr:uid="{00000000-0005-0000-0000-000029570000}"/>
    <cellStyle name="40% - Accent5 5 2 3" xfId="1801" xr:uid="{00000000-0005-0000-0000-00002A570000}"/>
    <cellStyle name="40% - Accent5 5 2 3 2" xfId="4361" xr:uid="{00000000-0005-0000-0000-00002B570000}"/>
    <cellStyle name="40% - Accent5 5 2 3 2 2" xfId="9481" xr:uid="{00000000-0005-0000-0000-00002C570000}"/>
    <cellStyle name="40% - Accent5 5 2 3 2 2 2" xfId="19721" xr:uid="{00000000-0005-0000-0000-00002D570000}"/>
    <cellStyle name="40% - Accent5 5 2 3 2 2 2 2" xfId="40201" xr:uid="{00000000-0005-0000-0000-00002E570000}"/>
    <cellStyle name="40% - Accent5 5 2 3 2 2 3" xfId="29961" xr:uid="{00000000-0005-0000-0000-00002F570000}"/>
    <cellStyle name="40% - Accent5 5 2 3 2 3" xfId="14601" xr:uid="{00000000-0005-0000-0000-000030570000}"/>
    <cellStyle name="40% - Accent5 5 2 3 2 3 2" xfId="35081" xr:uid="{00000000-0005-0000-0000-000031570000}"/>
    <cellStyle name="40% - Accent5 5 2 3 2 4" xfId="24841" xr:uid="{00000000-0005-0000-0000-000032570000}"/>
    <cellStyle name="40% - Accent5 5 2 3 3" xfId="6921" xr:uid="{00000000-0005-0000-0000-000033570000}"/>
    <cellStyle name="40% - Accent5 5 2 3 3 2" xfId="17161" xr:uid="{00000000-0005-0000-0000-000034570000}"/>
    <cellStyle name="40% - Accent5 5 2 3 3 2 2" xfId="37641" xr:uid="{00000000-0005-0000-0000-000035570000}"/>
    <cellStyle name="40% - Accent5 5 2 3 3 3" xfId="27401" xr:uid="{00000000-0005-0000-0000-000036570000}"/>
    <cellStyle name="40% - Accent5 5 2 3 4" xfId="12041" xr:uid="{00000000-0005-0000-0000-000037570000}"/>
    <cellStyle name="40% - Accent5 5 2 3 4 2" xfId="32521" xr:uid="{00000000-0005-0000-0000-000038570000}"/>
    <cellStyle name="40% - Accent5 5 2 3 5" xfId="22281" xr:uid="{00000000-0005-0000-0000-000039570000}"/>
    <cellStyle name="40% - Accent5 5 2 4" xfId="3081" xr:uid="{00000000-0005-0000-0000-00003A570000}"/>
    <cellStyle name="40% - Accent5 5 2 4 2" xfId="8201" xr:uid="{00000000-0005-0000-0000-00003B570000}"/>
    <cellStyle name="40% - Accent5 5 2 4 2 2" xfId="18441" xr:uid="{00000000-0005-0000-0000-00003C570000}"/>
    <cellStyle name="40% - Accent5 5 2 4 2 2 2" xfId="38921" xr:uid="{00000000-0005-0000-0000-00003D570000}"/>
    <cellStyle name="40% - Accent5 5 2 4 2 3" xfId="28681" xr:uid="{00000000-0005-0000-0000-00003E570000}"/>
    <cellStyle name="40% - Accent5 5 2 4 3" xfId="13321" xr:uid="{00000000-0005-0000-0000-00003F570000}"/>
    <cellStyle name="40% - Accent5 5 2 4 3 2" xfId="33801" xr:uid="{00000000-0005-0000-0000-000040570000}"/>
    <cellStyle name="40% - Accent5 5 2 4 4" xfId="23561" xr:uid="{00000000-0005-0000-0000-000041570000}"/>
    <cellStyle name="40% - Accent5 5 2 5" xfId="5641" xr:uid="{00000000-0005-0000-0000-000042570000}"/>
    <cellStyle name="40% - Accent5 5 2 5 2" xfId="15881" xr:uid="{00000000-0005-0000-0000-000043570000}"/>
    <cellStyle name="40% - Accent5 5 2 5 2 2" xfId="36361" xr:uid="{00000000-0005-0000-0000-000044570000}"/>
    <cellStyle name="40% - Accent5 5 2 5 3" xfId="26121" xr:uid="{00000000-0005-0000-0000-000045570000}"/>
    <cellStyle name="40% - Accent5 5 2 6" xfId="10761" xr:uid="{00000000-0005-0000-0000-000046570000}"/>
    <cellStyle name="40% - Accent5 5 2 6 2" xfId="31241" xr:uid="{00000000-0005-0000-0000-000047570000}"/>
    <cellStyle name="40% - Accent5 5 2 7" xfId="21001" xr:uid="{00000000-0005-0000-0000-000048570000}"/>
    <cellStyle name="40% - Accent5 5 3" xfId="841" xr:uid="{00000000-0005-0000-0000-000049570000}"/>
    <cellStyle name="40% - Accent5 5 3 2" xfId="2121" xr:uid="{00000000-0005-0000-0000-00004A570000}"/>
    <cellStyle name="40% - Accent5 5 3 2 2" xfId="4681" xr:uid="{00000000-0005-0000-0000-00004B570000}"/>
    <cellStyle name="40% - Accent5 5 3 2 2 2" xfId="9801" xr:uid="{00000000-0005-0000-0000-00004C570000}"/>
    <cellStyle name="40% - Accent5 5 3 2 2 2 2" xfId="20041" xr:uid="{00000000-0005-0000-0000-00004D570000}"/>
    <cellStyle name="40% - Accent5 5 3 2 2 2 2 2" xfId="40521" xr:uid="{00000000-0005-0000-0000-00004E570000}"/>
    <cellStyle name="40% - Accent5 5 3 2 2 2 3" xfId="30281" xr:uid="{00000000-0005-0000-0000-00004F570000}"/>
    <cellStyle name="40% - Accent5 5 3 2 2 3" xfId="14921" xr:uid="{00000000-0005-0000-0000-000050570000}"/>
    <cellStyle name="40% - Accent5 5 3 2 2 3 2" xfId="35401" xr:uid="{00000000-0005-0000-0000-000051570000}"/>
    <cellStyle name="40% - Accent5 5 3 2 2 4" xfId="25161" xr:uid="{00000000-0005-0000-0000-000052570000}"/>
    <cellStyle name="40% - Accent5 5 3 2 3" xfId="7241" xr:uid="{00000000-0005-0000-0000-000053570000}"/>
    <cellStyle name="40% - Accent5 5 3 2 3 2" xfId="17481" xr:uid="{00000000-0005-0000-0000-000054570000}"/>
    <cellStyle name="40% - Accent5 5 3 2 3 2 2" xfId="37961" xr:uid="{00000000-0005-0000-0000-000055570000}"/>
    <cellStyle name="40% - Accent5 5 3 2 3 3" xfId="27721" xr:uid="{00000000-0005-0000-0000-000056570000}"/>
    <cellStyle name="40% - Accent5 5 3 2 4" xfId="12361" xr:uid="{00000000-0005-0000-0000-000057570000}"/>
    <cellStyle name="40% - Accent5 5 3 2 4 2" xfId="32841" xr:uid="{00000000-0005-0000-0000-000058570000}"/>
    <cellStyle name="40% - Accent5 5 3 2 5" xfId="22601" xr:uid="{00000000-0005-0000-0000-000059570000}"/>
    <cellStyle name="40% - Accent5 5 3 3" xfId="3401" xr:uid="{00000000-0005-0000-0000-00005A570000}"/>
    <cellStyle name="40% - Accent5 5 3 3 2" xfId="8521" xr:uid="{00000000-0005-0000-0000-00005B570000}"/>
    <cellStyle name="40% - Accent5 5 3 3 2 2" xfId="18761" xr:uid="{00000000-0005-0000-0000-00005C570000}"/>
    <cellStyle name="40% - Accent5 5 3 3 2 2 2" xfId="39241" xr:uid="{00000000-0005-0000-0000-00005D570000}"/>
    <cellStyle name="40% - Accent5 5 3 3 2 3" xfId="29001" xr:uid="{00000000-0005-0000-0000-00005E570000}"/>
    <cellStyle name="40% - Accent5 5 3 3 3" xfId="13641" xr:uid="{00000000-0005-0000-0000-00005F570000}"/>
    <cellStyle name="40% - Accent5 5 3 3 3 2" xfId="34121" xr:uid="{00000000-0005-0000-0000-000060570000}"/>
    <cellStyle name="40% - Accent5 5 3 3 4" xfId="23881" xr:uid="{00000000-0005-0000-0000-000061570000}"/>
    <cellStyle name="40% - Accent5 5 3 4" xfId="5961" xr:uid="{00000000-0005-0000-0000-000062570000}"/>
    <cellStyle name="40% - Accent5 5 3 4 2" xfId="16201" xr:uid="{00000000-0005-0000-0000-000063570000}"/>
    <cellStyle name="40% - Accent5 5 3 4 2 2" xfId="36681" xr:uid="{00000000-0005-0000-0000-000064570000}"/>
    <cellStyle name="40% - Accent5 5 3 4 3" xfId="26441" xr:uid="{00000000-0005-0000-0000-000065570000}"/>
    <cellStyle name="40% - Accent5 5 3 5" xfId="11081" xr:uid="{00000000-0005-0000-0000-000066570000}"/>
    <cellStyle name="40% - Accent5 5 3 5 2" xfId="31561" xr:uid="{00000000-0005-0000-0000-000067570000}"/>
    <cellStyle name="40% - Accent5 5 3 6" xfId="21321" xr:uid="{00000000-0005-0000-0000-000068570000}"/>
    <cellStyle name="40% - Accent5 5 4" xfId="1481" xr:uid="{00000000-0005-0000-0000-000069570000}"/>
    <cellStyle name="40% - Accent5 5 4 2" xfId="4041" xr:uid="{00000000-0005-0000-0000-00006A570000}"/>
    <cellStyle name="40% - Accent5 5 4 2 2" xfId="9161" xr:uid="{00000000-0005-0000-0000-00006B570000}"/>
    <cellStyle name="40% - Accent5 5 4 2 2 2" xfId="19401" xr:uid="{00000000-0005-0000-0000-00006C570000}"/>
    <cellStyle name="40% - Accent5 5 4 2 2 2 2" xfId="39881" xr:uid="{00000000-0005-0000-0000-00006D570000}"/>
    <cellStyle name="40% - Accent5 5 4 2 2 3" xfId="29641" xr:uid="{00000000-0005-0000-0000-00006E570000}"/>
    <cellStyle name="40% - Accent5 5 4 2 3" xfId="14281" xr:uid="{00000000-0005-0000-0000-00006F570000}"/>
    <cellStyle name="40% - Accent5 5 4 2 3 2" xfId="34761" xr:uid="{00000000-0005-0000-0000-000070570000}"/>
    <cellStyle name="40% - Accent5 5 4 2 4" xfId="24521" xr:uid="{00000000-0005-0000-0000-000071570000}"/>
    <cellStyle name="40% - Accent5 5 4 3" xfId="6601" xr:uid="{00000000-0005-0000-0000-000072570000}"/>
    <cellStyle name="40% - Accent5 5 4 3 2" xfId="16841" xr:uid="{00000000-0005-0000-0000-000073570000}"/>
    <cellStyle name="40% - Accent5 5 4 3 2 2" xfId="37321" xr:uid="{00000000-0005-0000-0000-000074570000}"/>
    <cellStyle name="40% - Accent5 5 4 3 3" xfId="27081" xr:uid="{00000000-0005-0000-0000-000075570000}"/>
    <cellStyle name="40% - Accent5 5 4 4" xfId="11721" xr:uid="{00000000-0005-0000-0000-000076570000}"/>
    <cellStyle name="40% - Accent5 5 4 4 2" xfId="32201" xr:uid="{00000000-0005-0000-0000-000077570000}"/>
    <cellStyle name="40% - Accent5 5 4 5" xfId="21961" xr:uid="{00000000-0005-0000-0000-000078570000}"/>
    <cellStyle name="40% - Accent5 5 5" xfId="2761" xr:uid="{00000000-0005-0000-0000-000079570000}"/>
    <cellStyle name="40% - Accent5 5 5 2" xfId="7881" xr:uid="{00000000-0005-0000-0000-00007A570000}"/>
    <cellStyle name="40% - Accent5 5 5 2 2" xfId="18121" xr:uid="{00000000-0005-0000-0000-00007B570000}"/>
    <cellStyle name="40% - Accent5 5 5 2 2 2" xfId="38601" xr:uid="{00000000-0005-0000-0000-00007C570000}"/>
    <cellStyle name="40% - Accent5 5 5 2 3" xfId="28361" xr:uid="{00000000-0005-0000-0000-00007D570000}"/>
    <cellStyle name="40% - Accent5 5 5 3" xfId="13001" xr:uid="{00000000-0005-0000-0000-00007E570000}"/>
    <cellStyle name="40% - Accent5 5 5 3 2" xfId="33481" xr:uid="{00000000-0005-0000-0000-00007F570000}"/>
    <cellStyle name="40% - Accent5 5 5 4" xfId="23241" xr:uid="{00000000-0005-0000-0000-000080570000}"/>
    <cellStyle name="40% - Accent5 5 6" xfId="5321" xr:uid="{00000000-0005-0000-0000-000081570000}"/>
    <cellStyle name="40% - Accent5 5 6 2" xfId="15561" xr:uid="{00000000-0005-0000-0000-000082570000}"/>
    <cellStyle name="40% - Accent5 5 6 2 2" xfId="36041" xr:uid="{00000000-0005-0000-0000-000083570000}"/>
    <cellStyle name="40% - Accent5 5 6 3" xfId="25801" xr:uid="{00000000-0005-0000-0000-000084570000}"/>
    <cellStyle name="40% - Accent5 5 7" xfId="10441" xr:uid="{00000000-0005-0000-0000-000085570000}"/>
    <cellStyle name="40% - Accent5 5 7 2" xfId="30921" xr:uid="{00000000-0005-0000-0000-000086570000}"/>
    <cellStyle name="40% - Accent5 5 8" xfId="20681" xr:uid="{00000000-0005-0000-0000-000087570000}"/>
    <cellStyle name="40% - Accent5 6" xfId="361" xr:uid="{00000000-0005-0000-0000-000088570000}"/>
    <cellStyle name="40% - Accent5 6 2" xfId="1001" xr:uid="{00000000-0005-0000-0000-000089570000}"/>
    <cellStyle name="40% - Accent5 6 2 2" xfId="2281" xr:uid="{00000000-0005-0000-0000-00008A570000}"/>
    <cellStyle name="40% - Accent5 6 2 2 2" xfId="4841" xr:uid="{00000000-0005-0000-0000-00008B570000}"/>
    <cellStyle name="40% - Accent5 6 2 2 2 2" xfId="9961" xr:uid="{00000000-0005-0000-0000-00008C570000}"/>
    <cellStyle name="40% - Accent5 6 2 2 2 2 2" xfId="20201" xr:uid="{00000000-0005-0000-0000-00008D570000}"/>
    <cellStyle name="40% - Accent5 6 2 2 2 2 2 2" xfId="40681" xr:uid="{00000000-0005-0000-0000-00008E570000}"/>
    <cellStyle name="40% - Accent5 6 2 2 2 2 3" xfId="30441" xr:uid="{00000000-0005-0000-0000-00008F570000}"/>
    <cellStyle name="40% - Accent5 6 2 2 2 3" xfId="15081" xr:uid="{00000000-0005-0000-0000-000090570000}"/>
    <cellStyle name="40% - Accent5 6 2 2 2 3 2" xfId="35561" xr:uid="{00000000-0005-0000-0000-000091570000}"/>
    <cellStyle name="40% - Accent5 6 2 2 2 4" xfId="25321" xr:uid="{00000000-0005-0000-0000-000092570000}"/>
    <cellStyle name="40% - Accent5 6 2 2 3" xfId="7401" xr:uid="{00000000-0005-0000-0000-000093570000}"/>
    <cellStyle name="40% - Accent5 6 2 2 3 2" xfId="17641" xr:uid="{00000000-0005-0000-0000-000094570000}"/>
    <cellStyle name="40% - Accent5 6 2 2 3 2 2" xfId="38121" xr:uid="{00000000-0005-0000-0000-000095570000}"/>
    <cellStyle name="40% - Accent5 6 2 2 3 3" xfId="27881" xr:uid="{00000000-0005-0000-0000-000096570000}"/>
    <cellStyle name="40% - Accent5 6 2 2 4" xfId="12521" xr:uid="{00000000-0005-0000-0000-000097570000}"/>
    <cellStyle name="40% - Accent5 6 2 2 4 2" xfId="33001" xr:uid="{00000000-0005-0000-0000-000098570000}"/>
    <cellStyle name="40% - Accent5 6 2 2 5" xfId="22761" xr:uid="{00000000-0005-0000-0000-000099570000}"/>
    <cellStyle name="40% - Accent5 6 2 3" xfId="3561" xr:uid="{00000000-0005-0000-0000-00009A570000}"/>
    <cellStyle name="40% - Accent5 6 2 3 2" xfId="8681" xr:uid="{00000000-0005-0000-0000-00009B570000}"/>
    <cellStyle name="40% - Accent5 6 2 3 2 2" xfId="18921" xr:uid="{00000000-0005-0000-0000-00009C570000}"/>
    <cellStyle name="40% - Accent5 6 2 3 2 2 2" xfId="39401" xr:uid="{00000000-0005-0000-0000-00009D570000}"/>
    <cellStyle name="40% - Accent5 6 2 3 2 3" xfId="29161" xr:uid="{00000000-0005-0000-0000-00009E570000}"/>
    <cellStyle name="40% - Accent5 6 2 3 3" xfId="13801" xr:uid="{00000000-0005-0000-0000-00009F570000}"/>
    <cellStyle name="40% - Accent5 6 2 3 3 2" xfId="34281" xr:uid="{00000000-0005-0000-0000-0000A0570000}"/>
    <cellStyle name="40% - Accent5 6 2 3 4" xfId="24041" xr:uid="{00000000-0005-0000-0000-0000A1570000}"/>
    <cellStyle name="40% - Accent5 6 2 4" xfId="6121" xr:uid="{00000000-0005-0000-0000-0000A2570000}"/>
    <cellStyle name="40% - Accent5 6 2 4 2" xfId="16361" xr:uid="{00000000-0005-0000-0000-0000A3570000}"/>
    <cellStyle name="40% - Accent5 6 2 4 2 2" xfId="36841" xr:uid="{00000000-0005-0000-0000-0000A4570000}"/>
    <cellStyle name="40% - Accent5 6 2 4 3" xfId="26601" xr:uid="{00000000-0005-0000-0000-0000A5570000}"/>
    <cellStyle name="40% - Accent5 6 2 5" xfId="11241" xr:uid="{00000000-0005-0000-0000-0000A6570000}"/>
    <cellStyle name="40% - Accent5 6 2 5 2" xfId="31721" xr:uid="{00000000-0005-0000-0000-0000A7570000}"/>
    <cellStyle name="40% - Accent5 6 2 6" xfId="21481" xr:uid="{00000000-0005-0000-0000-0000A8570000}"/>
    <cellStyle name="40% - Accent5 6 3" xfId="1641" xr:uid="{00000000-0005-0000-0000-0000A9570000}"/>
    <cellStyle name="40% - Accent5 6 3 2" xfId="4201" xr:uid="{00000000-0005-0000-0000-0000AA570000}"/>
    <cellStyle name="40% - Accent5 6 3 2 2" xfId="9321" xr:uid="{00000000-0005-0000-0000-0000AB570000}"/>
    <cellStyle name="40% - Accent5 6 3 2 2 2" xfId="19561" xr:uid="{00000000-0005-0000-0000-0000AC570000}"/>
    <cellStyle name="40% - Accent5 6 3 2 2 2 2" xfId="40041" xr:uid="{00000000-0005-0000-0000-0000AD570000}"/>
    <cellStyle name="40% - Accent5 6 3 2 2 3" xfId="29801" xr:uid="{00000000-0005-0000-0000-0000AE570000}"/>
    <cellStyle name="40% - Accent5 6 3 2 3" xfId="14441" xr:uid="{00000000-0005-0000-0000-0000AF570000}"/>
    <cellStyle name="40% - Accent5 6 3 2 3 2" xfId="34921" xr:uid="{00000000-0005-0000-0000-0000B0570000}"/>
    <cellStyle name="40% - Accent5 6 3 2 4" xfId="24681" xr:uid="{00000000-0005-0000-0000-0000B1570000}"/>
    <cellStyle name="40% - Accent5 6 3 3" xfId="6761" xr:uid="{00000000-0005-0000-0000-0000B2570000}"/>
    <cellStyle name="40% - Accent5 6 3 3 2" xfId="17001" xr:uid="{00000000-0005-0000-0000-0000B3570000}"/>
    <cellStyle name="40% - Accent5 6 3 3 2 2" xfId="37481" xr:uid="{00000000-0005-0000-0000-0000B4570000}"/>
    <cellStyle name="40% - Accent5 6 3 3 3" xfId="27241" xr:uid="{00000000-0005-0000-0000-0000B5570000}"/>
    <cellStyle name="40% - Accent5 6 3 4" xfId="11881" xr:uid="{00000000-0005-0000-0000-0000B6570000}"/>
    <cellStyle name="40% - Accent5 6 3 4 2" xfId="32361" xr:uid="{00000000-0005-0000-0000-0000B7570000}"/>
    <cellStyle name="40% - Accent5 6 3 5" xfId="22121" xr:uid="{00000000-0005-0000-0000-0000B8570000}"/>
    <cellStyle name="40% - Accent5 6 4" xfId="2921" xr:uid="{00000000-0005-0000-0000-0000B9570000}"/>
    <cellStyle name="40% - Accent5 6 4 2" xfId="8041" xr:uid="{00000000-0005-0000-0000-0000BA570000}"/>
    <cellStyle name="40% - Accent5 6 4 2 2" xfId="18281" xr:uid="{00000000-0005-0000-0000-0000BB570000}"/>
    <cellStyle name="40% - Accent5 6 4 2 2 2" xfId="38761" xr:uid="{00000000-0005-0000-0000-0000BC570000}"/>
    <cellStyle name="40% - Accent5 6 4 2 3" xfId="28521" xr:uid="{00000000-0005-0000-0000-0000BD570000}"/>
    <cellStyle name="40% - Accent5 6 4 3" xfId="13161" xr:uid="{00000000-0005-0000-0000-0000BE570000}"/>
    <cellStyle name="40% - Accent5 6 4 3 2" xfId="33641" xr:uid="{00000000-0005-0000-0000-0000BF570000}"/>
    <cellStyle name="40% - Accent5 6 4 4" xfId="23401" xr:uid="{00000000-0005-0000-0000-0000C0570000}"/>
    <cellStyle name="40% - Accent5 6 5" xfId="5481" xr:uid="{00000000-0005-0000-0000-0000C1570000}"/>
    <cellStyle name="40% - Accent5 6 5 2" xfId="15721" xr:uid="{00000000-0005-0000-0000-0000C2570000}"/>
    <cellStyle name="40% - Accent5 6 5 2 2" xfId="36201" xr:uid="{00000000-0005-0000-0000-0000C3570000}"/>
    <cellStyle name="40% - Accent5 6 5 3" xfId="25961" xr:uid="{00000000-0005-0000-0000-0000C4570000}"/>
    <cellStyle name="40% - Accent5 6 6" xfId="10601" xr:uid="{00000000-0005-0000-0000-0000C5570000}"/>
    <cellStyle name="40% - Accent5 6 6 2" xfId="31081" xr:uid="{00000000-0005-0000-0000-0000C6570000}"/>
    <cellStyle name="40% - Accent5 6 7" xfId="20841" xr:uid="{00000000-0005-0000-0000-0000C7570000}"/>
    <cellStyle name="40% - Accent5 7" xfId="681" xr:uid="{00000000-0005-0000-0000-0000C8570000}"/>
    <cellStyle name="40% - Accent5 7 2" xfId="1961" xr:uid="{00000000-0005-0000-0000-0000C9570000}"/>
    <cellStyle name="40% - Accent5 7 2 2" xfId="4521" xr:uid="{00000000-0005-0000-0000-0000CA570000}"/>
    <cellStyle name="40% - Accent5 7 2 2 2" xfId="9641" xr:uid="{00000000-0005-0000-0000-0000CB570000}"/>
    <cellStyle name="40% - Accent5 7 2 2 2 2" xfId="19881" xr:uid="{00000000-0005-0000-0000-0000CC570000}"/>
    <cellStyle name="40% - Accent5 7 2 2 2 2 2" xfId="40361" xr:uid="{00000000-0005-0000-0000-0000CD570000}"/>
    <cellStyle name="40% - Accent5 7 2 2 2 3" xfId="30121" xr:uid="{00000000-0005-0000-0000-0000CE570000}"/>
    <cellStyle name="40% - Accent5 7 2 2 3" xfId="14761" xr:uid="{00000000-0005-0000-0000-0000CF570000}"/>
    <cellStyle name="40% - Accent5 7 2 2 3 2" xfId="35241" xr:uid="{00000000-0005-0000-0000-0000D0570000}"/>
    <cellStyle name="40% - Accent5 7 2 2 4" xfId="25001" xr:uid="{00000000-0005-0000-0000-0000D1570000}"/>
    <cellStyle name="40% - Accent5 7 2 3" xfId="7081" xr:uid="{00000000-0005-0000-0000-0000D2570000}"/>
    <cellStyle name="40% - Accent5 7 2 3 2" xfId="17321" xr:uid="{00000000-0005-0000-0000-0000D3570000}"/>
    <cellStyle name="40% - Accent5 7 2 3 2 2" xfId="37801" xr:uid="{00000000-0005-0000-0000-0000D4570000}"/>
    <cellStyle name="40% - Accent5 7 2 3 3" xfId="27561" xr:uid="{00000000-0005-0000-0000-0000D5570000}"/>
    <cellStyle name="40% - Accent5 7 2 4" xfId="12201" xr:uid="{00000000-0005-0000-0000-0000D6570000}"/>
    <cellStyle name="40% - Accent5 7 2 4 2" xfId="32681" xr:uid="{00000000-0005-0000-0000-0000D7570000}"/>
    <cellStyle name="40% - Accent5 7 2 5" xfId="22441" xr:uid="{00000000-0005-0000-0000-0000D8570000}"/>
    <cellStyle name="40% - Accent5 7 3" xfId="3241" xr:uid="{00000000-0005-0000-0000-0000D9570000}"/>
    <cellStyle name="40% - Accent5 7 3 2" xfId="8361" xr:uid="{00000000-0005-0000-0000-0000DA570000}"/>
    <cellStyle name="40% - Accent5 7 3 2 2" xfId="18601" xr:uid="{00000000-0005-0000-0000-0000DB570000}"/>
    <cellStyle name="40% - Accent5 7 3 2 2 2" xfId="39081" xr:uid="{00000000-0005-0000-0000-0000DC570000}"/>
    <cellStyle name="40% - Accent5 7 3 2 3" xfId="28841" xr:uid="{00000000-0005-0000-0000-0000DD570000}"/>
    <cellStyle name="40% - Accent5 7 3 3" xfId="13481" xr:uid="{00000000-0005-0000-0000-0000DE570000}"/>
    <cellStyle name="40% - Accent5 7 3 3 2" xfId="33961" xr:uid="{00000000-0005-0000-0000-0000DF570000}"/>
    <cellStyle name="40% - Accent5 7 3 4" xfId="23721" xr:uid="{00000000-0005-0000-0000-0000E0570000}"/>
    <cellStyle name="40% - Accent5 7 4" xfId="5801" xr:uid="{00000000-0005-0000-0000-0000E1570000}"/>
    <cellStyle name="40% - Accent5 7 4 2" xfId="16041" xr:uid="{00000000-0005-0000-0000-0000E2570000}"/>
    <cellStyle name="40% - Accent5 7 4 2 2" xfId="36521" xr:uid="{00000000-0005-0000-0000-0000E3570000}"/>
    <cellStyle name="40% - Accent5 7 4 3" xfId="26281" xr:uid="{00000000-0005-0000-0000-0000E4570000}"/>
    <cellStyle name="40% - Accent5 7 5" xfId="10921" xr:uid="{00000000-0005-0000-0000-0000E5570000}"/>
    <cellStyle name="40% - Accent5 7 5 2" xfId="31401" xr:uid="{00000000-0005-0000-0000-0000E6570000}"/>
    <cellStyle name="40% - Accent5 7 6" xfId="21161" xr:uid="{00000000-0005-0000-0000-0000E7570000}"/>
    <cellStyle name="40% - Accent5 8" xfId="1321" xr:uid="{00000000-0005-0000-0000-0000E8570000}"/>
    <cellStyle name="40% - Accent5 8 2" xfId="3881" xr:uid="{00000000-0005-0000-0000-0000E9570000}"/>
    <cellStyle name="40% - Accent5 8 2 2" xfId="9001" xr:uid="{00000000-0005-0000-0000-0000EA570000}"/>
    <cellStyle name="40% - Accent5 8 2 2 2" xfId="19241" xr:uid="{00000000-0005-0000-0000-0000EB570000}"/>
    <cellStyle name="40% - Accent5 8 2 2 2 2" xfId="39721" xr:uid="{00000000-0005-0000-0000-0000EC570000}"/>
    <cellStyle name="40% - Accent5 8 2 2 3" xfId="29481" xr:uid="{00000000-0005-0000-0000-0000ED570000}"/>
    <cellStyle name="40% - Accent5 8 2 3" xfId="14121" xr:uid="{00000000-0005-0000-0000-0000EE570000}"/>
    <cellStyle name="40% - Accent5 8 2 3 2" xfId="34601" xr:uid="{00000000-0005-0000-0000-0000EF570000}"/>
    <cellStyle name="40% - Accent5 8 2 4" xfId="24361" xr:uid="{00000000-0005-0000-0000-0000F0570000}"/>
    <cellStyle name="40% - Accent5 8 3" xfId="6441" xr:uid="{00000000-0005-0000-0000-0000F1570000}"/>
    <cellStyle name="40% - Accent5 8 3 2" xfId="16681" xr:uid="{00000000-0005-0000-0000-0000F2570000}"/>
    <cellStyle name="40% - Accent5 8 3 2 2" xfId="37161" xr:uid="{00000000-0005-0000-0000-0000F3570000}"/>
    <cellStyle name="40% - Accent5 8 3 3" xfId="26921" xr:uid="{00000000-0005-0000-0000-0000F4570000}"/>
    <cellStyle name="40% - Accent5 8 4" xfId="11561" xr:uid="{00000000-0005-0000-0000-0000F5570000}"/>
    <cellStyle name="40% - Accent5 8 4 2" xfId="32041" xr:uid="{00000000-0005-0000-0000-0000F6570000}"/>
    <cellStyle name="40% - Accent5 8 5" xfId="21801" xr:uid="{00000000-0005-0000-0000-0000F7570000}"/>
    <cellStyle name="40% - Accent5 9" xfId="2601" xr:uid="{00000000-0005-0000-0000-0000F8570000}"/>
    <cellStyle name="40% - Accent5 9 2" xfId="7721" xr:uid="{00000000-0005-0000-0000-0000F9570000}"/>
    <cellStyle name="40% - Accent5 9 2 2" xfId="17961" xr:uid="{00000000-0005-0000-0000-0000FA570000}"/>
    <cellStyle name="40% - Accent5 9 2 2 2" xfId="38441" xr:uid="{00000000-0005-0000-0000-0000FB570000}"/>
    <cellStyle name="40% - Accent5 9 2 3" xfId="28201" xr:uid="{00000000-0005-0000-0000-0000FC570000}"/>
    <cellStyle name="40% - Accent5 9 3" xfId="12841" xr:uid="{00000000-0005-0000-0000-0000FD570000}"/>
    <cellStyle name="40% - Accent5 9 3 2" xfId="33321" xr:uid="{00000000-0005-0000-0000-0000FE570000}"/>
    <cellStyle name="40% - Accent5 9 4" xfId="23081" xr:uid="{00000000-0005-0000-0000-0000FF570000}"/>
    <cellStyle name="40% - Accent6 10" xfId="5164" xr:uid="{00000000-0005-0000-0000-000000580000}"/>
    <cellStyle name="40% - Accent6 10 2" xfId="15404" xr:uid="{00000000-0005-0000-0000-000001580000}"/>
    <cellStyle name="40% - Accent6 10 2 2" xfId="35884" xr:uid="{00000000-0005-0000-0000-000002580000}"/>
    <cellStyle name="40% - Accent6 10 3" xfId="25644" xr:uid="{00000000-0005-0000-0000-000003580000}"/>
    <cellStyle name="40% - Accent6 11" xfId="10284" xr:uid="{00000000-0005-0000-0000-000004580000}"/>
    <cellStyle name="40% - Accent6 11 2" xfId="30764" xr:uid="{00000000-0005-0000-0000-000005580000}"/>
    <cellStyle name="40% - Accent6 12" xfId="20524" xr:uid="{00000000-0005-0000-0000-000006580000}"/>
    <cellStyle name="40% - Accent6 13" xfId="44" xr:uid="{00000000-0005-0000-0000-000007580000}"/>
    <cellStyle name="40% - Accent6 2" xfId="64" xr:uid="{00000000-0005-0000-0000-000008580000}"/>
    <cellStyle name="40% - Accent6 2 10" xfId="10304" xr:uid="{00000000-0005-0000-0000-000009580000}"/>
    <cellStyle name="40% - Accent6 2 10 2" xfId="30784" xr:uid="{00000000-0005-0000-0000-00000A580000}"/>
    <cellStyle name="40% - Accent6 2 11" xfId="20544" xr:uid="{00000000-0005-0000-0000-00000B580000}"/>
    <cellStyle name="40% - Accent6 2 2" xfId="104" xr:uid="{00000000-0005-0000-0000-00000C580000}"/>
    <cellStyle name="40% - Accent6 2 2 10" xfId="20584" xr:uid="{00000000-0005-0000-0000-00000D580000}"/>
    <cellStyle name="40% - Accent6 2 2 2" xfId="184" xr:uid="{00000000-0005-0000-0000-00000E580000}"/>
    <cellStyle name="40% - Accent6 2 2 2 2" xfId="344" xr:uid="{00000000-0005-0000-0000-00000F580000}"/>
    <cellStyle name="40% - Accent6 2 2 2 2 2" xfId="664" xr:uid="{00000000-0005-0000-0000-000010580000}"/>
    <cellStyle name="40% - Accent6 2 2 2 2 2 2" xfId="1304" xr:uid="{00000000-0005-0000-0000-000011580000}"/>
    <cellStyle name="40% - Accent6 2 2 2 2 2 2 2" xfId="2584" xr:uid="{00000000-0005-0000-0000-000012580000}"/>
    <cellStyle name="40% - Accent6 2 2 2 2 2 2 2 2" xfId="5144" xr:uid="{00000000-0005-0000-0000-000013580000}"/>
    <cellStyle name="40% - Accent6 2 2 2 2 2 2 2 2 2" xfId="10264" xr:uid="{00000000-0005-0000-0000-000014580000}"/>
    <cellStyle name="40% - Accent6 2 2 2 2 2 2 2 2 2 2" xfId="20504" xr:uid="{00000000-0005-0000-0000-000015580000}"/>
    <cellStyle name="40% - Accent6 2 2 2 2 2 2 2 2 2 2 2" xfId="40984" xr:uid="{00000000-0005-0000-0000-000016580000}"/>
    <cellStyle name="40% - Accent6 2 2 2 2 2 2 2 2 2 3" xfId="30744" xr:uid="{00000000-0005-0000-0000-000017580000}"/>
    <cellStyle name="40% - Accent6 2 2 2 2 2 2 2 2 3" xfId="15384" xr:uid="{00000000-0005-0000-0000-000018580000}"/>
    <cellStyle name="40% - Accent6 2 2 2 2 2 2 2 2 3 2" xfId="35864" xr:uid="{00000000-0005-0000-0000-000019580000}"/>
    <cellStyle name="40% - Accent6 2 2 2 2 2 2 2 2 4" xfId="25624" xr:uid="{00000000-0005-0000-0000-00001A580000}"/>
    <cellStyle name="40% - Accent6 2 2 2 2 2 2 2 3" xfId="7704" xr:uid="{00000000-0005-0000-0000-00001B580000}"/>
    <cellStyle name="40% - Accent6 2 2 2 2 2 2 2 3 2" xfId="17944" xr:uid="{00000000-0005-0000-0000-00001C580000}"/>
    <cellStyle name="40% - Accent6 2 2 2 2 2 2 2 3 2 2" xfId="38424" xr:uid="{00000000-0005-0000-0000-00001D580000}"/>
    <cellStyle name="40% - Accent6 2 2 2 2 2 2 2 3 3" xfId="28184" xr:uid="{00000000-0005-0000-0000-00001E580000}"/>
    <cellStyle name="40% - Accent6 2 2 2 2 2 2 2 4" xfId="12824" xr:uid="{00000000-0005-0000-0000-00001F580000}"/>
    <cellStyle name="40% - Accent6 2 2 2 2 2 2 2 4 2" xfId="33304" xr:uid="{00000000-0005-0000-0000-000020580000}"/>
    <cellStyle name="40% - Accent6 2 2 2 2 2 2 2 5" xfId="23064" xr:uid="{00000000-0005-0000-0000-000021580000}"/>
    <cellStyle name="40% - Accent6 2 2 2 2 2 2 3" xfId="3864" xr:uid="{00000000-0005-0000-0000-000022580000}"/>
    <cellStyle name="40% - Accent6 2 2 2 2 2 2 3 2" xfId="8984" xr:uid="{00000000-0005-0000-0000-000023580000}"/>
    <cellStyle name="40% - Accent6 2 2 2 2 2 2 3 2 2" xfId="19224" xr:uid="{00000000-0005-0000-0000-000024580000}"/>
    <cellStyle name="40% - Accent6 2 2 2 2 2 2 3 2 2 2" xfId="39704" xr:uid="{00000000-0005-0000-0000-000025580000}"/>
    <cellStyle name="40% - Accent6 2 2 2 2 2 2 3 2 3" xfId="29464" xr:uid="{00000000-0005-0000-0000-000026580000}"/>
    <cellStyle name="40% - Accent6 2 2 2 2 2 2 3 3" xfId="14104" xr:uid="{00000000-0005-0000-0000-000027580000}"/>
    <cellStyle name="40% - Accent6 2 2 2 2 2 2 3 3 2" xfId="34584" xr:uid="{00000000-0005-0000-0000-000028580000}"/>
    <cellStyle name="40% - Accent6 2 2 2 2 2 2 3 4" xfId="24344" xr:uid="{00000000-0005-0000-0000-000029580000}"/>
    <cellStyle name="40% - Accent6 2 2 2 2 2 2 4" xfId="6424" xr:uid="{00000000-0005-0000-0000-00002A580000}"/>
    <cellStyle name="40% - Accent6 2 2 2 2 2 2 4 2" xfId="16664" xr:uid="{00000000-0005-0000-0000-00002B580000}"/>
    <cellStyle name="40% - Accent6 2 2 2 2 2 2 4 2 2" xfId="37144" xr:uid="{00000000-0005-0000-0000-00002C580000}"/>
    <cellStyle name="40% - Accent6 2 2 2 2 2 2 4 3" xfId="26904" xr:uid="{00000000-0005-0000-0000-00002D580000}"/>
    <cellStyle name="40% - Accent6 2 2 2 2 2 2 5" xfId="11544" xr:uid="{00000000-0005-0000-0000-00002E580000}"/>
    <cellStyle name="40% - Accent6 2 2 2 2 2 2 5 2" xfId="32024" xr:uid="{00000000-0005-0000-0000-00002F580000}"/>
    <cellStyle name="40% - Accent6 2 2 2 2 2 2 6" xfId="21784" xr:uid="{00000000-0005-0000-0000-000030580000}"/>
    <cellStyle name="40% - Accent6 2 2 2 2 2 3" xfId="1944" xr:uid="{00000000-0005-0000-0000-000031580000}"/>
    <cellStyle name="40% - Accent6 2 2 2 2 2 3 2" xfId="4504" xr:uid="{00000000-0005-0000-0000-000032580000}"/>
    <cellStyle name="40% - Accent6 2 2 2 2 2 3 2 2" xfId="9624" xr:uid="{00000000-0005-0000-0000-000033580000}"/>
    <cellStyle name="40% - Accent6 2 2 2 2 2 3 2 2 2" xfId="19864" xr:uid="{00000000-0005-0000-0000-000034580000}"/>
    <cellStyle name="40% - Accent6 2 2 2 2 2 3 2 2 2 2" xfId="40344" xr:uid="{00000000-0005-0000-0000-000035580000}"/>
    <cellStyle name="40% - Accent6 2 2 2 2 2 3 2 2 3" xfId="30104" xr:uid="{00000000-0005-0000-0000-000036580000}"/>
    <cellStyle name="40% - Accent6 2 2 2 2 2 3 2 3" xfId="14744" xr:uid="{00000000-0005-0000-0000-000037580000}"/>
    <cellStyle name="40% - Accent6 2 2 2 2 2 3 2 3 2" xfId="35224" xr:uid="{00000000-0005-0000-0000-000038580000}"/>
    <cellStyle name="40% - Accent6 2 2 2 2 2 3 2 4" xfId="24984" xr:uid="{00000000-0005-0000-0000-000039580000}"/>
    <cellStyle name="40% - Accent6 2 2 2 2 2 3 3" xfId="7064" xr:uid="{00000000-0005-0000-0000-00003A580000}"/>
    <cellStyle name="40% - Accent6 2 2 2 2 2 3 3 2" xfId="17304" xr:uid="{00000000-0005-0000-0000-00003B580000}"/>
    <cellStyle name="40% - Accent6 2 2 2 2 2 3 3 2 2" xfId="37784" xr:uid="{00000000-0005-0000-0000-00003C580000}"/>
    <cellStyle name="40% - Accent6 2 2 2 2 2 3 3 3" xfId="27544" xr:uid="{00000000-0005-0000-0000-00003D580000}"/>
    <cellStyle name="40% - Accent6 2 2 2 2 2 3 4" xfId="12184" xr:uid="{00000000-0005-0000-0000-00003E580000}"/>
    <cellStyle name="40% - Accent6 2 2 2 2 2 3 4 2" xfId="32664" xr:uid="{00000000-0005-0000-0000-00003F580000}"/>
    <cellStyle name="40% - Accent6 2 2 2 2 2 3 5" xfId="22424" xr:uid="{00000000-0005-0000-0000-000040580000}"/>
    <cellStyle name="40% - Accent6 2 2 2 2 2 4" xfId="3224" xr:uid="{00000000-0005-0000-0000-000041580000}"/>
    <cellStyle name="40% - Accent6 2 2 2 2 2 4 2" xfId="8344" xr:uid="{00000000-0005-0000-0000-000042580000}"/>
    <cellStyle name="40% - Accent6 2 2 2 2 2 4 2 2" xfId="18584" xr:uid="{00000000-0005-0000-0000-000043580000}"/>
    <cellStyle name="40% - Accent6 2 2 2 2 2 4 2 2 2" xfId="39064" xr:uid="{00000000-0005-0000-0000-000044580000}"/>
    <cellStyle name="40% - Accent6 2 2 2 2 2 4 2 3" xfId="28824" xr:uid="{00000000-0005-0000-0000-000045580000}"/>
    <cellStyle name="40% - Accent6 2 2 2 2 2 4 3" xfId="13464" xr:uid="{00000000-0005-0000-0000-000046580000}"/>
    <cellStyle name="40% - Accent6 2 2 2 2 2 4 3 2" xfId="33944" xr:uid="{00000000-0005-0000-0000-000047580000}"/>
    <cellStyle name="40% - Accent6 2 2 2 2 2 4 4" xfId="23704" xr:uid="{00000000-0005-0000-0000-000048580000}"/>
    <cellStyle name="40% - Accent6 2 2 2 2 2 5" xfId="5784" xr:uid="{00000000-0005-0000-0000-000049580000}"/>
    <cellStyle name="40% - Accent6 2 2 2 2 2 5 2" xfId="16024" xr:uid="{00000000-0005-0000-0000-00004A580000}"/>
    <cellStyle name="40% - Accent6 2 2 2 2 2 5 2 2" xfId="36504" xr:uid="{00000000-0005-0000-0000-00004B580000}"/>
    <cellStyle name="40% - Accent6 2 2 2 2 2 5 3" xfId="26264" xr:uid="{00000000-0005-0000-0000-00004C580000}"/>
    <cellStyle name="40% - Accent6 2 2 2 2 2 6" xfId="10904" xr:uid="{00000000-0005-0000-0000-00004D580000}"/>
    <cellStyle name="40% - Accent6 2 2 2 2 2 6 2" xfId="31384" xr:uid="{00000000-0005-0000-0000-00004E580000}"/>
    <cellStyle name="40% - Accent6 2 2 2 2 2 7" xfId="21144" xr:uid="{00000000-0005-0000-0000-00004F580000}"/>
    <cellStyle name="40% - Accent6 2 2 2 2 3" xfId="984" xr:uid="{00000000-0005-0000-0000-000050580000}"/>
    <cellStyle name="40% - Accent6 2 2 2 2 3 2" xfId="2264" xr:uid="{00000000-0005-0000-0000-000051580000}"/>
    <cellStyle name="40% - Accent6 2 2 2 2 3 2 2" xfId="4824" xr:uid="{00000000-0005-0000-0000-000052580000}"/>
    <cellStyle name="40% - Accent6 2 2 2 2 3 2 2 2" xfId="9944" xr:uid="{00000000-0005-0000-0000-000053580000}"/>
    <cellStyle name="40% - Accent6 2 2 2 2 3 2 2 2 2" xfId="20184" xr:uid="{00000000-0005-0000-0000-000054580000}"/>
    <cellStyle name="40% - Accent6 2 2 2 2 3 2 2 2 2 2" xfId="40664" xr:uid="{00000000-0005-0000-0000-000055580000}"/>
    <cellStyle name="40% - Accent6 2 2 2 2 3 2 2 2 3" xfId="30424" xr:uid="{00000000-0005-0000-0000-000056580000}"/>
    <cellStyle name="40% - Accent6 2 2 2 2 3 2 2 3" xfId="15064" xr:uid="{00000000-0005-0000-0000-000057580000}"/>
    <cellStyle name="40% - Accent6 2 2 2 2 3 2 2 3 2" xfId="35544" xr:uid="{00000000-0005-0000-0000-000058580000}"/>
    <cellStyle name="40% - Accent6 2 2 2 2 3 2 2 4" xfId="25304" xr:uid="{00000000-0005-0000-0000-000059580000}"/>
    <cellStyle name="40% - Accent6 2 2 2 2 3 2 3" xfId="7384" xr:uid="{00000000-0005-0000-0000-00005A580000}"/>
    <cellStyle name="40% - Accent6 2 2 2 2 3 2 3 2" xfId="17624" xr:uid="{00000000-0005-0000-0000-00005B580000}"/>
    <cellStyle name="40% - Accent6 2 2 2 2 3 2 3 2 2" xfId="38104" xr:uid="{00000000-0005-0000-0000-00005C580000}"/>
    <cellStyle name="40% - Accent6 2 2 2 2 3 2 3 3" xfId="27864" xr:uid="{00000000-0005-0000-0000-00005D580000}"/>
    <cellStyle name="40% - Accent6 2 2 2 2 3 2 4" xfId="12504" xr:uid="{00000000-0005-0000-0000-00005E580000}"/>
    <cellStyle name="40% - Accent6 2 2 2 2 3 2 4 2" xfId="32984" xr:uid="{00000000-0005-0000-0000-00005F580000}"/>
    <cellStyle name="40% - Accent6 2 2 2 2 3 2 5" xfId="22744" xr:uid="{00000000-0005-0000-0000-000060580000}"/>
    <cellStyle name="40% - Accent6 2 2 2 2 3 3" xfId="3544" xr:uid="{00000000-0005-0000-0000-000061580000}"/>
    <cellStyle name="40% - Accent6 2 2 2 2 3 3 2" xfId="8664" xr:uid="{00000000-0005-0000-0000-000062580000}"/>
    <cellStyle name="40% - Accent6 2 2 2 2 3 3 2 2" xfId="18904" xr:uid="{00000000-0005-0000-0000-000063580000}"/>
    <cellStyle name="40% - Accent6 2 2 2 2 3 3 2 2 2" xfId="39384" xr:uid="{00000000-0005-0000-0000-000064580000}"/>
    <cellStyle name="40% - Accent6 2 2 2 2 3 3 2 3" xfId="29144" xr:uid="{00000000-0005-0000-0000-000065580000}"/>
    <cellStyle name="40% - Accent6 2 2 2 2 3 3 3" xfId="13784" xr:uid="{00000000-0005-0000-0000-000066580000}"/>
    <cellStyle name="40% - Accent6 2 2 2 2 3 3 3 2" xfId="34264" xr:uid="{00000000-0005-0000-0000-000067580000}"/>
    <cellStyle name="40% - Accent6 2 2 2 2 3 3 4" xfId="24024" xr:uid="{00000000-0005-0000-0000-000068580000}"/>
    <cellStyle name="40% - Accent6 2 2 2 2 3 4" xfId="6104" xr:uid="{00000000-0005-0000-0000-000069580000}"/>
    <cellStyle name="40% - Accent6 2 2 2 2 3 4 2" xfId="16344" xr:uid="{00000000-0005-0000-0000-00006A580000}"/>
    <cellStyle name="40% - Accent6 2 2 2 2 3 4 2 2" xfId="36824" xr:uid="{00000000-0005-0000-0000-00006B580000}"/>
    <cellStyle name="40% - Accent6 2 2 2 2 3 4 3" xfId="26584" xr:uid="{00000000-0005-0000-0000-00006C580000}"/>
    <cellStyle name="40% - Accent6 2 2 2 2 3 5" xfId="11224" xr:uid="{00000000-0005-0000-0000-00006D580000}"/>
    <cellStyle name="40% - Accent6 2 2 2 2 3 5 2" xfId="31704" xr:uid="{00000000-0005-0000-0000-00006E580000}"/>
    <cellStyle name="40% - Accent6 2 2 2 2 3 6" xfId="21464" xr:uid="{00000000-0005-0000-0000-00006F580000}"/>
    <cellStyle name="40% - Accent6 2 2 2 2 4" xfId="1624" xr:uid="{00000000-0005-0000-0000-000070580000}"/>
    <cellStyle name="40% - Accent6 2 2 2 2 4 2" xfId="4184" xr:uid="{00000000-0005-0000-0000-000071580000}"/>
    <cellStyle name="40% - Accent6 2 2 2 2 4 2 2" xfId="9304" xr:uid="{00000000-0005-0000-0000-000072580000}"/>
    <cellStyle name="40% - Accent6 2 2 2 2 4 2 2 2" xfId="19544" xr:uid="{00000000-0005-0000-0000-000073580000}"/>
    <cellStyle name="40% - Accent6 2 2 2 2 4 2 2 2 2" xfId="40024" xr:uid="{00000000-0005-0000-0000-000074580000}"/>
    <cellStyle name="40% - Accent6 2 2 2 2 4 2 2 3" xfId="29784" xr:uid="{00000000-0005-0000-0000-000075580000}"/>
    <cellStyle name="40% - Accent6 2 2 2 2 4 2 3" xfId="14424" xr:uid="{00000000-0005-0000-0000-000076580000}"/>
    <cellStyle name="40% - Accent6 2 2 2 2 4 2 3 2" xfId="34904" xr:uid="{00000000-0005-0000-0000-000077580000}"/>
    <cellStyle name="40% - Accent6 2 2 2 2 4 2 4" xfId="24664" xr:uid="{00000000-0005-0000-0000-000078580000}"/>
    <cellStyle name="40% - Accent6 2 2 2 2 4 3" xfId="6744" xr:uid="{00000000-0005-0000-0000-000079580000}"/>
    <cellStyle name="40% - Accent6 2 2 2 2 4 3 2" xfId="16984" xr:uid="{00000000-0005-0000-0000-00007A580000}"/>
    <cellStyle name="40% - Accent6 2 2 2 2 4 3 2 2" xfId="37464" xr:uid="{00000000-0005-0000-0000-00007B580000}"/>
    <cellStyle name="40% - Accent6 2 2 2 2 4 3 3" xfId="27224" xr:uid="{00000000-0005-0000-0000-00007C580000}"/>
    <cellStyle name="40% - Accent6 2 2 2 2 4 4" xfId="11864" xr:uid="{00000000-0005-0000-0000-00007D580000}"/>
    <cellStyle name="40% - Accent6 2 2 2 2 4 4 2" xfId="32344" xr:uid="{00000000-0005-0000-0000-00007E580000}"/>
    <cellStyle name="40% - Accent6 2 2 2 2 4 5" xfId="22104" xr:uid="{00000000-0005-0000-0000-00007F580000}"/>
    <cellStyle name="40% - Accent6 2 2 2 2 5" xfId="2904" xr:uid="{00000000-0005-0000-0000-000080580000}"/>
    <cellStyle name="40% - Accent6 2 2 2 2 5 2" xfId="8024" xr:uid="{00000000-0005-0000-0000-000081580000}"/>
    <cellStyle name="40% - Accent6 2 2 2 2 5 2 2" xfId="18264" xr:uid="{00000000-0005-0000-0000-000082580000}"/>
    <cellStyle name="40% - Accent6 2 2 2 2 5 2 2 2" xfId="38744" xr:uid="{00000000-0005-0000-0000-000083580000}"/>
    <cellStyle name="40% - Accent6 2 2 2 2 5 2 3" xfId="28504" xr:uid="{00000000-0005-0000-0000-000084580000}"/>
    <cellStyle name="40% - Accent6 2 2 2 2 5 3" xfId="13144" xr:uid="{00000000-0005-0000-0000-000085580000}"/>
    <cellStyle name="40% - Accent6 2 2 2 2 5 3 2" xfId="33624" xr:uid="{00000000-0005-0000-0000-000086580000}"/>
    <cellStyle name="40% - Accent6 2 2 2 2 5 4" xfId="23384" xr:uid="{00000000-0005-0000-0000-000087580000}"/>
    <cellStyle name="40% - Accent6 2 2 2 2 6" xfId="5464" xr:uid="{00000000-0005-0000-0000-000088580000}"/>
    <cellStyle name="40% - Accent6 2 2 2 2 6 2" xfId="15704" xr:uid="{00000000-0005-0000-0000-000089580000}"/>
    <cellStyle name="40% - Accent6 2 2 2 2 6 2 2" xfId="36184" xr:uid="{00000000-0005-0000-0000-00008A580000}"/>
    <cellStyle name="40% - Accent6 2 2 2 2 6 3" xfId="25944" xr:uid="{00000000-0005-0000-0000-00008B580000}"/>
    <cellStyle name="40% - Accent6 2 2 2 2 7" xfId="10584" xr:uid="{00000000-0005-0000-0000-00008C580000}"/>
    <cellStyle name="40% - Accent6 2 2 2 2 7 2" xfId="31064" xr:uid="{00000000-0005-0000-0000-00008D580000}"/>
    <cellStyle name="40% - Accent6 2 2 2 2 8" xfId="20824" xr:uid="{00000000-0005-0000-0000-00008E580000}"/>
    <cellStyle name="40% - Accent6 2 2 2 3" xfId="504" xr:uid="{00000000-0005-0000-0000-00008F580000}"/>
    <cellStyle name="40% - Accent6 2 2 2 3 2" xfId="1144" xr:uid="{00000000-0005-0000-0000-000090580000}"/>
    <cellStyle name="40% - Accent6 2 2 2 3 2 2" xfId="2424" xr:uid="{00000000-0005-0000-0000-000091580000}"/>
    <cellStyle name="40% - Accent6 2 2 2 3 2 2 2" xfId="4984" xr:uid="{00000000-0005-0000-0000-000092580000}"/>
    <cellStyle name="40% - Accent6 2 2 2 3 2 2 2 2" xfId="10104" xr:uid="{00000000-0005-0000-0000-000093580000}"/>
    <cellStyle name="40% - Accent6 2 2 2 3 2 2 2 2 2" xfId="20344" xr:uid="{00000000-0005-0000-0000-000094580000}"/>
    <cellStyle name="40% - Accent6 2 2 2 3 2 2 2 2 2 2" xfId="40824" xr:uid="{00000000-0005-0000-0000-000095580000}"/>
    <cellStyle name="40% - Accent6 2 2 2 3 2 2 2 2 3" xfId="30584" xr:uid="{00000000-0005-0000-0000-000096580000}"/>
    <cellStyle name="40% - Accent6 2 2 2 3 2 2 2 3" xfId="15224" xr:uid="{00000000-0005-0000-0000-000097580000}"/>
    <cellStyle name="40% - Accent6 2 2 2 3 2 2 2 3 2" xfId="35704" xr:uid="{00000000-0005-0000-0000-000098580000}"/>
    <cellStyle name="40% - Accent6 2 2 2 3 2 2 2 4" xfId="25464" xr:uid="{00000000-0005-0000-0000-000099580000}"/>
    <cellStyle name="40% - Accent6 2 2 2 3 2 2 3" xfId="7544" xr:uid="{00000000-0005-0000-0000-00009A580000}"/>
    <cellStyle name="40% - Accent6 2 2 2 3 2 2 3 2" xfId="17784" xr:uid="{00000000-0005-0000-0000-00009B580000}"/>
    <cellStyle name="40% - Accent6 2 2 2 3 2 2 3 2 2" xfId="38264" xr:uid="{00000000-0005-0000-0000-00009C580000}"/>
    <cellStyle name="40% - Accent6 2 2 2 3 2 2 3 3" xfId="28024" xr:uid="{00000000-0005-0000-0000-00009D580000}"/>
    <cellStyle name="40% - Accent6 2 2 2 3 2 2 4" xfId="12664" xr:uid="{00000000-0005-0000-0000-00009E580000}"/>
    <cellStyle name="40% - Accent6 2 2 2 3 2 2 4 2" xfId="33144" xr:uid="{00000000-0005-0000-0000-00009F580000}"/>
    <cellStyle name="40% - Accent6 2 2 2 3 2 2 5" xfId="22904" xr:uid="{00000000-0005-0000-0000-0000A0580000}"/>
    <cellStyle name="40% - Accent6 2 2 2 3 2 3" xfId="3704" xr:uid="{00000000-0005-0000-0000-0000A1580000}"/>
    <cellStyle name="40% - Accent6 2 2 2 3 2 3 2" xfId="8824" xr:uid="{00000000-0005-0000-0000-0000A2580000}"/>
    <cellStyle name="40% - Accent6 2 2 2 3 2 3 2 2" xfId="19064" xr:uid="{00000000-0005-0000-0000-0000A3580000}"/>
    <cellStyle name="40% - Accent6 2 2 2 3 2 3 2 2 2" xfId="39544" xr:uid="{00000000-0005-0000-0000-0000A4580000}"/>
    <cellStyle name="40% - Accent6 2 2 2 3 2 3 2 3" xfId="29304" xr:uid="{00000000-0005-0000-0000-0000A5580000}"/>
    <cellStyle name="40% - Accent6 2 2 2 3 2 3 3" xfId="13944" xr:uid="{00000000-0005-0000-0000-0000A6580000}"/>
    <cellStyle name="40% - Accent6 2 2 2 3 2 3 3 2" xfId="34424" xr:uid="{00000000-0005-0000-0000-0000A7580000}"/>
    <cellStyle name="40% - Accent6 2 2 2 3 2 3 4" xfId="24184" xr:uid="{00000000-0005-0000-0000-0000A8580000}"/>
    <cellStyle name="40% - Accent6 2 2 2 3 2 4" xfId="6264" xr:uid="{00000000-0005-0000-0000-0000A9580000}"/>
    <cellStyle name="40% - Accent6 2 2 2 3 2 4 2" xfId="16504" xr:uid="{00000000-0005-0000-0000-0000AA580000}"/>
    <cellStyle name="40% - Accent6 2 2 2 3 2 4 2 2" xfId="36984" xr:uid="{00000000-0005-0000-0000-0000AB580000}"/>
    <cellStyle name="40% - Accent6 2 2 2 3 2 4 3" xfId="26744" xr:uid="{00000000-0005-0000-0000-0000AC580000}"/>
    <cellStyle name="40% - Accent6 2 2 2 3 2 5" xfId="11384" xr:uid="{00000000-0005-0000-0000-0000AD580000}"/>
    <cellStyle name="40% - Accent6 2 2 2 3 2 5 2" xfId="31864" xr:uid="{00000000-0005-0000-0000-0000AE580000}"/>
    <cellStyle name="40% - Accent6 2 2 2 3 2 6" xfId="21624" xr:uid="{00000000-0005-0000-0000-0000AF580000}"/>
    <cellStyle name="40% - Accent6 2 2 2 3 3" xfId="1784" xr:uid="{00000000-0005-0000-0000-0000B0580000}"/>
    <cellStyle name="40% - Accent6 2 2 2 3 3 2" xfId="4344" xr:uid="{00000000-0005-0000-0000-0000B1580000}"/>
    <cellStyle name="40% - Accent6 2 2 2 3 3 2 2" xfId="9464" xr:uid="{00000000-0005-0000-0000-0000B2580000}"/>
    <cellStyle name="40% - Accent6 2 2 2 3 3 2 2 2" xfId="19704" xr:uid="{00000000-0005-0000-0000-0000B3580000}"/>
    <cellStyle name="40% - Accent6 2 2 2 3 3 2 2 2 2" xfId="40184" xr:uid="{00000000-0005-0000-0000-0000B4580000}"/>
    <cellStyle name="40% - Accent6 2 2 2 3 3 2 2 3" xfId="29944" xr:uid="{00000000-0005-0000-0000-0000B5580000}"/>
    <cellStyle name="40% - Accent6 2 2 2 3 3 2 3" xfId="14584" xr:uid="{00000000-0005-0000-0000-0000B6580000}"/>
    <cellStyle name="40% - Accent6 2 2 2 3 3 2 3 2" xfId="35064" xr:uid="{00000000-0005-0000-0000-0000B7580000}"/>
    <cellStyle name="40% - Accent6 2 2 2 3 3 2 4" xfId="24824" xr:uid="{00000000-0005-0000-0000-0000B8580000}"/>
    <cellStyle name="40% - Accent6 2 2 2 3 3 3" xfId="6904" xr:uid="{00000000-0005-0000-0000-0000B9580000}"/>
    <cellStyle name="40% - Accent6 2 2 2 3 3 3 2" xfId="17144" xr:uid="{00000000-0005-0000-0000-0000BA580000}"/>
    <cellStyle name="40% - Accent6 2 2 2 3 3 3 2 2" xfId="37624" xr:uid="{00000000-0005-0000-0000-0000BB580000}"/>
    <cellStyle name="40% - Accent6 2 2 2 3 3 3 3" xfId="27384" xr:uid="{00000000-0005-0000-0000-0000BC580000}"/>
    <cellStyle name="40% - Accent6 2 2 2 3 3 4" xfId="12024" xr:uid="{00000000-0005-0000-0000-0000BD580000}"/>
    <cellStyle name="40% - Accent6 2 2 2 3 3 4 2" xfId="32504" xr:uid="{00000000-0005-0000-0000-0000BE580000}"/>
    <cellStyle name="40% - Accent6 2 2 2 3 3 5" xfId="22264" xr:uid="{00000000-0005-0000-0000-0000BF580000}"/>
    <cellStyle name="40% - Accent6 2 2 2 3 4" xfId="3064" xr:uid="{00000000-0005-0000-0000-0000C0580000}"/>
    <cellStyle name="40% - Accent6 2 2 2 3 4 2" xfId="8184" xr:uid="{00000000-0005-0000-0000-0000C1580000}"/>
    <cellStyle name="40% - Accent6 2 2 2 3 4 2 2" xfId="18424" xr:uid="{00000000-0005-0000-0000-0000C2580000}"/>
    <cellStyle name="40% - Accent6 2 2 2 3 4 2 2 2" xfId="38904" xr:uid="{00000000-0005-0000-0000-0000C3580000}"/>
    <cellStyle name="40% - Accent6 2 2 2 3 4 2 3" xfId="28664" xr:uid="{00000000-0005-0000-0000-0000C4580000}"/>
    <cellStyle name="40% - Accent6 2 2 2 3 4 3" xfId="13304" xr:uid="{00000000-0005-0000-0000-0000C5580000}"/>
    <cellStyle name="40% - Accent6 2 2 2 3 4 3 2" xfId="33784" xr:uid="{00000000-0005-0000-0000-0000C6580000}"/>
    <cellStyle name="40% - Accent6 2 2 2 3 4 4" xfId="23544" xr:uid="{00000000-0005-0000-0000-0000C7580000}"/>
    <cellStyle name="40% - Accent6 2 2 2 3 5" xfId="5624" xr:uid="{00000000-0005-0000-0000-0000C8580000}"/>
    <cellStyle name="40% - Accent6 2 2 2 3 5 2" xfId="15864" xr:uid="{00000000-0005-0000-0000-0000C9580000}"/>
    <cellStyle name="40% - Accent6 2 2 2 3 5 2 2" xfId="36344" xr:uid="{00000000-0005-0000-0000-0000CA580000}"/>
    <cellStyle name="40% - Accent6 2 2 2 3 5 3" xfId="26104" xr:uid="{00000000-0005-0000-0000-0000CB580000}"/>
    <cellStyle name="40% - Accent6 2 2 2 3 6" xfId="10744" xr:uid="{00000000-0005-0000-0000-0000CC580000}"/>
    <cellStyle name="40% - Accent6 2 2 2 3 6 2" xfId="31224" xr:uid="{00000000-0005-0000-0000-0000CD580000}"/>
    <cellStyle name="40% - Accent6 2 2 2 3 7" xfId="20984" xr:uid="{00000000-0005-0000-0000-0000CE580000}"/>
    <cellStyle name="40% - Accent6 2 2 2 4" xfId="824" xr:uid="{00000000-0005-0000-0000-0000CF580000}"/>
    <cellStyle name="40% - Accent6 2 2 2 4 2" xfId="2104" xr:uid="{00000000-0005-0000-0000-0000D0580000}"/>
    <cellStyle name="40% - Accent6 2 2 2 4 2 2" xfId="4664" xr:uid="{00000000-0005-0000-0000-0000D1580000}"/>
    <cellStyle name="40% - Accent6 2 2 2 4 2 2 2" xfId="9784" xr:uid="{00000000-0005-0000-0000-0000D2580000}"/>
    <cellStyle name="40% - Accent6 2 2 2 4 2 2 2 2" xfId="20024" xr:uid="{00000000-0005-0000-0000-0000D3580000}"/>
    <cellStyle name="40% - Accent6 2 2 2 4 2 2 2 2 2" xfId="40504" xr:uid="{00000000-0005-0000-0000-0000D4580000}"/>
    <cellStyle name="40% - Accent6 2 2 2 4 2 2 2 3" xfId="30264" xr:uid="{00000000-0005-0000-0000-0000D5580000}"/>
    <cellStyle name="40% - Accent6 2 2 2 4 2 2 3" xfId="14904" xr:uid="{00000000-0005-0000-0000-0000D6580000}"/>
    <cellStyle name="40% - Accent6 2 2 2 4 2 2 3 2" xfId="35384" xr:uid="{00000000-0005-0000-0000-0000D7580000}"/>
    <cellStyle name="40% - Accent6 2 2 2 4 2 2 4" xfId="25144" xr:uid="{00000000-0005-0000-0000-0000D8580000}"/>
    <cellStyle name="40% - Accent6 2 2 2 4 2 3" xfId="7224" xr:uid="{00000000-0005-0000-0000-0000D9580000}"/>
    <cellStyle name="40% - Accent6 2 2 2 4 2 3 2" xfId="17464" xr:uid="{00000000-0005-0000-0000-0000DA580000}"/>
    <cellStyle name="40% - Accent6 2 2 2 4 2 3 2 2" xfId="37944" xr:uid="{00000000-0005-0000-0000-0000DB580000}"/>
    <cellStyle name="40% - Accent6 2 2 2 4 2 3 3" xfId="27704" xr:uid="{00000000-0005-0000-0000-0000DC580000}"/>
    <cellStyle name="40% - Accent6 2 2 2 4 2 4" xfId="12344" xr:uid="{00000000-0005-0000-0000-0000DD580000}"/>
    <cellStyle name="40% - Accent6 2 2 2 4 2 4 2" xfId="32824" xr:uid="{00000000-0005-0000-0000-0000DE580000}"/>
    <cellStyle name="40% - Accent6 2 2 2 4 2 5" xfId="22584" xr:uid="{00000000-0005-0000-0000-0000DF580000}"/>
    <cellStyle name="40% - Accent6 2 2 2 4 3" xfId="3384" xr:uid="{00000000-0005-0000-0000-0000E0580000}"/>
    <cellStyle name="40% - Accent6 2 2 2 4 3 2" xfId="8504" xr:uid="{00000000-0005-0000-0000-0000E1580000}"/>
    <cellStyle name="40% - Accent6 2 2 2 4 3 2 2" xfId="18744" xr:uid="{00000000-0005-0000-0000-0000E2580000}"/>
    <cellStyle name="40% - Accent6 2 2 2 4 3 2 2 2" xfId="39224" xr:uid="{00000000-0005-0000-0000-0000E3580000}"/>
    <cellStyle name="40% - Accent6 2 2 2 4 3 2 3" xfId="28984" xr:uid="{00000000-0005-0000-0000-0000E4580000}"/>
    <cellStyle name="40% - Accent6 2 2 2 4 3 3" xfId="13624" xr:uid="{00000000-0005-0000-0000-0000E5580000}"/>
    <cellStyle name="40% - Accent6 2 2 2 4 3 3 2" xfId="34104" xr:uid="{00000000-0005-0000-0000-0000E6580000}"/>
    <cellStyle name="40% - Accent6 2 2 2 4 3 4" xfId="23864" xr:uid="{00000000-0005-0000-0000-0000E7580000}"/>
    <cellStyle name="40% - Accent6 2 2 2 4 4" xfId="5944" xr:uid="{00000000-0005-0000-0000-0000E8580000}"/>
    <cellStyle name="40% - Accent6 2 2 2 4 4 2" xfId="16184" xr:uid="{00000000-0005-0000-0000-0000E9580000}"/>
    <cellStyle name="40% - Accent6 2 2 2 4 4 2 2" xfId="36664" xr:uid="{00000000-0005-0000-0000-0000EA580000}"/>
    <cellStyle name="40% - Accent6 2 2 2 4 4 3" xfId="26424" xr:uid="{00000000-0005-0000-0000-0000EB580000}"/>
    <cellStyle name="40% - Accent6 2 2 2 4 5" xfId="11064" xr:uid="{00000000-0005-0000-0000-0000EC580000}"/>
    <cellStyle name="40% - Accent6 2 2 2 4 5 2" xfId="31544" xr:uid="{00000000-0005-0000-0000-0000ED580000}"/>
    <cellStyle name="40% - Accent6 2 2 2 4 6" xfId="21304" xr:uid="{00000000-0005-0000-0000-0000EE580000}"/>
    <cellStyle name="40% - Accent6 2 2 2 5" xfId="1464" xr:uid="{00000000-0005-0000-0000-0000EF580000}"/>
    <cellStyle name="40% - Accent6 2 2 2 5 2" xfId="4024" xr:uid="{00000000-0005-0000-0000-0000F0580000}"/>
    <cellStyle name="40% - Accent6 2 2 2 5 2 2" xfId="9144" xr:uid="{00000000-0005-0000-0000-0000F1580000}"/>
    <cellStyle name="40% - Accent6 2 2 2 5 2 2 2" xfId="19384" xr:uid="{00000000-0005-0000-0000-0000F2580000}"/>
    <cellStyle name="40% - Accent6 2 2 2 5 2 2 2 2" xfId="39864" xr:uid="{00000000-0005-0000-0000-0000F3580000}"/>
    <cellStyle name="40% - Accent6 2 2 2 5 2 2 3" xfId="29624" xr:uid="{00000000-0005-0000-0000-0000F4580000}"/>
    <cellStyle name="40% - Accent6 2 2 2 5 2 3" xfId="14264" xr:uid="{00000000-0005-0000-0000-0000F5580000}"/>
    <cellStyle name="40% - Accent6 2 2 2 5 2 3 2" xfId="34744" xr:uid="{00000000-0005-0000-0000-0000F6580000}"/>
    <cellStyle name="40% - Accent6 2 2 2 5 2 4" xfId="24504" xr:uid="{00000000-0005-0000-0000-0000F7580000}"/>
    <cellStyle name="40% - Accent6 2 2 2 5 3" xfId="6584" xr:uid="{00000000-0005-0000-0000-0000F8580000}"/>
    <cellStyle name="40% - Accent6 2 2 2 5 3 2" xfId="16824" xr:uid="{00000000-0005-0000-0000-0000F9580000}"/>
    <cellStyle name="40% - Accent6 2 2 2 5 3 2 2" xfId="37304" xr:uid="{00000000-0005-0000-0000-0000FA580000}"/>
    <cellStyle name="40% - Accent6 2 2 2 5 3 3" xfId="27064" xr:uid="{00000000-0005-0000-0000-0000FB580000}"/>
    <cellStyle name="40% - Accent6 2 2 2 5 4" xfId="11704" xr:uid="{00000000-0005-0000-0000-0000FC580000}"/>
    <cellStyle name="40% - Accent6 2 2 2 5 4 2" xfId="32184" xr:uid="{00000000-0005-0000-0000-0000FD580000}"/>
    <cellStyle name="40% - Accent6 2 2 2 5 5" xfId="21944" xr:uid="{00000000-0005-0000-0000-0000FE580000}"/>
    <cellStyle name="40% - Accent6 2 2 2 6" xfId="2744" xr:uid="{00000000-0005-0000-0000-0000FF580000}"/>
    <cellStyle name="40% - Accent6 2 2 2 6 2" xfId="7864" xr:uid="{00000000-0005-0000-0000-000000590000}"/>
    <cellStyle name="40% - Accent6 2 2 2 6 2 2" xfId="18104" xr:uid="{00000000-0005-0000-0000-000001590000}"/>
    <cellStyle name="40% - Accent6 2 2 2 6 2 2 2" xfId="38584" xr:uid="{00000000-0005-0000-0000-000002590000}"/>
    <cellStyle name="40% - Accent6 2 2 2 6 2 3" xfId="28344" xr:uid="{00000000-0005-0000-0000-000003590000}"/>
    <cellStyle name="40% - Accent6 2 2 2 6 3" xfId="12984" xr:uid="{00000000-0005-0000-0000-000004590000}"/>
    <cellStyle name="40% - Accent6 2 2 2 6 3 2" xfId="33464" xr:uid="{00000000-0005-0000-0000-000005590000}"/>
    <cellStyle name="40% - Accent6 2 2 2 6 4" xfId="23224" xr:uid="{00000000-0005-0000-0000-000006590000}"/>
    <cellStyle name="40% - Accent6 2 2 2 7" xfId="5304" xr:uid="{00000000-0005-0000-0000-000007590000}"/>
    <cellStyle name="40% - Accent6 2 2 2 7 2" xfId="15544" xr:uid="{00000000-0005-0000-0000-000008590000}"/>
    <cellStyle name="40% - Accent6 2 2 2 7 2 2" xfId="36024" xr:uid="{00000000-0005-0000-0000-000009590000}"/>
    <cellStyle name="40% - Accent6 2 2 2 7 3" xfId="25784" xr:uid="{00000000-0005-0000-0000-00000A590000}"/>
    <cellStyle name="40% - Accent6 2 2 2 8" xfId="10424" xr:uid="{00000000-0005-0000-0000-00000B590000}"/>
    <cellStyle name="40% - Accent6 2 2 2 8 2" xfId="30904" xr:uid="{00000000-0005-0000-0000-00000C590000}"/>
    <cellStyle name="40% - Accent6 2 2 2 9" xfId="20664" xr:uid="{00000000-0005-0000-0000-00000D590000}"/>
    <cellStyle name="40% - Accent6 2 2 3" xfId="264" xr:uid="{00000000-0005-0000-0000-00000E590000}"/>
    <cellStyle name="40% - Accent6 2 2 3 2" xfId="584" xr:uid="{00000000-0005-0000-0000-00000F590000}"/>
    <cellStyle name="40% - Accent6 2 2 3 2 2" xfId="1224" xr:uid="{00000000-0005-0000-0000-000010590000}"/>
    <cellStyle name="40% - Accent6 2 2 3 2 2 2" xfId="2504" xr:uid="{00000000-0005-0000-0000-000011590000}"/>
    <cellStyle name="40% - Accent6 2 2 3 2 2 2 2" xfId="5064" xr:uid="{00000000-0005-0000-0000-000012590000}"/>
    <cellStyle name="40% - Accent6 2 2 3 2 2 2 2 2" xfId="10184" xr:uid="{00000000-0005-0000-0000-000013590000}"/>
    <cellStyle name="40% - Accent6 2 2 3 2 2 2 2 2 2" xfId="20424" xr:uid="{00000000-0005-0000-0000-000014590000}"/>
    <cellStyle name="40% - Accent6 2 2 3 2 2 2 2 2 2 2" xfId="40904" xr:uid="{00000000-0005-0000-0000-000015590000}"/>
    <cellStyle name="40% - Accent6 2 2 3 2 2 2 2 2 3" xfId="30664" xr:uid="{00000000-0005-0000-0000-000016590000}"/>
    <cellStyle name="40% - Accent6 2 2 3 2 2 2 2 3" xfId="15304" xr:uid="{00000000-0005-0000-0000-000017590000}"/>
    <cellStyle name="40% - Accent6 2 2 3 2 2 2 2 3 2" xfId="35784" xr:uid="{00000000-0005-0000-0000-000018590000}"/>
    <cellStyle name="40% - Accent6 2 2 3 2 2 2 2 4" xfId="25544" xr:uid="{00000000-0005-0000-0000-000019590000}"/>
    <cellStyle name="40% - Accent6 2 2 3 2 2 2 3" xfId="7624" xr:uid="{00000000-0005-0000-0000-00001A590000}"/>
    <cellStyle name="40% - Accent6 2 2 3 2 2 2 3 2" xfId="17864" xr:uid="{00000000-0005-0000-0000-00001B590000}"/>
    <cellStyle name="40% - Accent6 2 2 3 2 2 2 3 2 2" xfId="38344" xr:uid="{00000000-0005-0000-0000-00001C590000}"/>
    <cellStyle name="40% - Accent6 2 2 3 2 2 2 3 3" xfId="28104" xr:uid="{00000000-0005-0000-0000-00001D590000}"/>
    <cellStyle name="40% - Accent6 2 2 3 2 2 2 4" xfId="12744" xr:uid="{00000000-0005-0000-0000-00001E590000}"/>
    <cellStyle name="40% - Accent6 2 2 3 2 2 2 4 2" xfId="33224" xr:uid="{00000000-0005-0000-0000-00001F590000}"/>
    <cellStyle name="40% - Accent6 2 2 3 2 2 2 5" xfId="22984" xr:uid="{00000000-0005-0000-0000-000020590000}"/>
    <cellStyle name="40% - Accent6 2 2 3 2 2 3" xfId="3784" xr:uid="{00000000-0005-0000-0000-000021590000}"/>
    <cellStyle name="40% - Accent6 2 2 3 2 2 3 2" xfId="8904" xr:uid="{00000000-0005-0000-0000-000022590000}"/>
    <cellStyle name="40% - Accent6 2 2 3 2 2 3 2 2" xfId="19144" xr:uid="{00000000-0005-0000-0000-000023590000}"/>
    <cellStyle name="40% - Accent6 2 2 3 2 2 3 2 2 2" xfId="39624" xr:uid="{00000000-0005-0000-0000-000024590000}"/>
    <cellStyle name="40% - Accent6 2 2 3 2 2 3 2 3" xfId="29384" xr:uid="{00000000-0005-0000-0000-000025590000}"/>
    <cellStyle name="40% - Accent6 2 2 3 2 2 3 3" xfId="14024" xr:uid="{00000000-0005-0000-0000-000026590000}"/>
    <cellStyle name="40% - Accent6 2 2 3 2 2 3 3 2" xfId="34504" xr:uid="{00000000-0005-0000-0000-000027590000}"/>
    <cellStyle name="40% - Accent6 2 2 3 2 2 3 4" xfId="24264" xr:uid="{00000000-0005-0000-0000-000028590000}"/>
    <cellStyle name="40% - Accent6 2 2 3 2 2 4" xfId="6344" xr:uid="{00000000-0005-0000-0000-000029590000}"/>
    <cellStyle name="40% - Accent6 2 2 3 2 2 4 2" xfId="16584" xr:uid="{00000000-0005-0000-0000-00002A590000}"/>
    <cellStyle name="40% - Accent6 2 2 3 2 2 4 2 2" xfId="37064" xr:uid="{00000000-0005-0000-0000-00002B590000}"/>
    <cellStyle name="40% - Accent6 2 2 3 2 2 4 3" xfId="26824" xr:uid="{00000000-0005-0000-0000-00002C590000}"/>
    <cellStyle name="40% - Accent6 2 2 3 2 2 5" xfId="11464" xr:uid="{00000000-0005-0000-0000-00002D590000}"/>
    <cellStyle name="40% - Accent6 2 2 3 2 2 5 2" xfId="31944" xr:uid="{00000000-0005-0000-0000-00002E590000}"/>
    <cellStyle name="40% - Accent6 2 2 3 2 2 6" xfId="21704" xr:uid="{00000000-0005-0000-0000-00002F590000}"/>
    <cellStyle name="40% - Accent6 2 2 3 2 3" xfId="1864" xr:uid="{00000000-0005-0000-0000-000030590000}"/>
    <cellStyle name="40% - Accent6 2 2 3 2 3 2" xfId="4424" xr:uid="{00000000-0005-0000-0000-000031590000}"/>
    <cellStyle name="40% - Accent6 2 2 3 2 3 2 2" xfId="9544" xr:uid="{00000000-0005-0000-0000-000032590000}"/>
    <cellStyle name="40% - Accent6 2 2 3 2 3 2 2 2" xfId="19784" xr:uid="{00000000-0005-0000-0000-000033590000}"/>
    <cellStyle name="40% - Accent6 2 2 3 2 3 2 2 2 2" xfId="40264" xr:uid="{00000000-0005-0000-0000-000034590000}"/>
    <cellStyle name="40% - Accent6 2 2 3 2 3 2 2 3" xfId="30024" xr:uid="{00000000-0005-0000-0000-000035590000}"/>
    <cellStyle name="40% - Accent6 2 2 3 2 3 2 3" xfId="14664" xr:uid="{00000000-0005-0000-0000-000036590000}"/>
    <cellStyle name="40% - Accent6 2 2 3 2 3 2 3 2" xfId="35144" xr:uid="{00000000-0005-0000-0000-000037590000}"/>
    <cellStyle name="40% - Accent6 2 2 3 2 3 2 4" xfId="24904" xr:uid="{00000000-0005-0000-0000-000038590000}"/>
    <cellStyle name="40% - Accent6 2 2 3 2 3 3" xfId="6984" xr:uid="{00000000-0005-0000-0000-000039590000}"/>
    <cellStyle name="40% - Accent6 2 2 3 2 3 3 2" xfId="17224" xr:uid="{00000000-0005-0000-0000-00003A590000}"/>
    <cellStyle name="40% - Accent6 2 2 3 2 3 3 2 2" xfId="37704" xr:uid="{00000000-0005-0000-0000-00003B590000}"/>
    <cellStyle name="40% - Accent6 2 2 3 2 3 3 3" xfId="27464" xr:uid="{00000000-0005-0000-0000-00003C590000}"/>
    <cellStyle name="40% - Accent6 2 2 3 2 3 4" xfId="12104" xr:uid="{00000000-0005-0000-0000-00003D590000}"/>
    <cellStyle name="40% - Accent6 2 2 3 2 3 4 2" xfId="32584" xr:uid="{00000000-0005-0000-0000-00003E590000}"/>
    <cellStyle name="40% - Accent6 2 2 3 2 3 5" xfId="22344" xr:uid="{00000000-0005-0000-0000-00003F590000}"/>
    <cellStyle name="40% - Accent6 2 2 3 2 4" xfId="3144" xr:uid="{00000000-0005-0000-0000-000040590000}"/>
    <cellStyle name="40% - Accent6 2 2 3 2 4 2" xfId="8264" xr:uid="{00000000-0005-0000-0000-000041590000}"/>
    <cellStyle name="40% - Accent6 2 2 3 2 4 2 2" xfId="18504" xr:uid="{00000000-0005-0000-0000-000042590000}"/>
    <cellStyle name="40% - Accent6 2 2 3 2 4 2 2 2" xfId="38984" xr:uid="{00000000-0005-0000-0000-000043590000}"/>
    <cellStyle name="40% - Accent6 2 2 3 2 4 2 3" xfId="28744" xr:uid="{00000000-0005-0000-0000-000044590000}"/>
    <cellStyle name="40% - Accent6 2 2 3 2 4 3" xfId="13384" xr:uid="{00000000-0005-0000-0000-000045590000}"/>
    <cellStyle name="40% - Accent6 2 2 3 2 4 3 2" xfId="33864" xr:uid="{00000000-0005-0000-0000-000046590000}"/>
    <cellStyle name="40% - Accent6 2 2 3 2 4 4" xfId="23624" xr:uid="{00000000-0005-0000-0000-000047590000}"/>
    <cellStyle name="40% - Accent6 2 2 3 2 5" xfId="5704" xr:uid="{00000000-0005-0000-0000-000048590000}"/>
    <cellStyle name="40% - Accent6 2 2 3 2 5 2" xfId="15944" xr:uid="{00000000-0005-0000-0000-000049590000}"/>
    <cellStyle name="40% - Accent6 2 2 3 2 5 2 2" xfId="36424" xr:uid="{00000000-0005-0000-0000-00004A590000}"/>
    <cellStyle name="40% - Accent6 2 2 3 2 5 3" xfId="26184" xr:uid="{00000000-0005-0000-0000-00004B590000}"/>
    <cellStyle name="40% - Accent6 2 2 3 2 6" xfId="10824" xr:uid="{00000000-0005-0000-0000-00004C590000}"/>
    <cellStyle name="40% - Accent6 2 2 3 2 6 2" xfId="31304" xr:uid="{00000000-0005-0000-0000-00004D590000}"/>
    <cellStyle name="40% - Accent6 2 2 3 2 7" xfId="21064" xr:uid="{00000000-0005-0000-0000-00004E590000}"/>
    <cellStyle name="40% - Accent6 2 2 3 3" xfId="904" xr:uid="{00000000-0005-0000-0000-00004F590000}"/>
    <cellStyle name="40% - Accent6 2 2 3 3 2" xfId="2184" xr:uid="{00000000-0005-0000-0000-000050590000}"/>
    <cellStyle name="40% - Accent6 2 2 3 3 2 2" xfId="4744" xr:uid="{00000000-0005-0000-0000-000051590000}"/>
    <cellStyle name="40% - Accent6 2 2 3 3 2 2 2" xfId="9864" xr:uid="{00000000-0005-0000-0000-000052590000}"/>
    <cellStyle name="40% - Accent6 2 2 3 3 2 2 2 2" xfId="20104" xr:uid="{00000000-0005-0000-0000-000053590000}"/>
    <cellStyle name="40% - Accent6 2 2 3 3 2 2 2 2 2" xfId="40584" xr:uid="{00000000-0005-0000-0000-000054590000}"/>
    <cellStyle name="40% - Accent6 2 2 3 3 2 2 2 3" xfId="30344" xr:uid="{00000000-0005-0000-0000-000055590000}"/>
    <cellStyle name="40% - Accent6 2 2 3 3 2 2 3" xfId="14984" xr:uid="{00000000-0005-0000-0000-000056590000}"/>
    <cellStyle name="40% - Accent6 2 2 3 3 2 2 3 2" xfId="35464" xr:uid="{00000000-0005-0000-0000-000057590000}"/>
    <cellStyle name="40% - Accent6 2 2 3 3 2 2 4" xfId="25224" xr:uid="{00000000-0005-0000-0000-000058590000}"/>
    <cellStyle name="40% - Accent6 2 2 3 3 2 3" xfId="7304" xr:uid="{00000000-0005-0000-0000-000059590000}"/>
    <cellStyle name="40% - Accent6 2 2 3 3 2 3 2" xfId="17544" xr:uid="{00000000-0005-0000-0000-00005A590000}"/>
    <cellStyle name="40% - Accent6 2 2 3 3 2 3 2 2" xfId="38024" xr:uid="{00000000-0005-0000-0000-00005B590000}"/>
    <cellStyle name="40% - Accent6 2 2 3 3 2 3 3" xfId="27784" xr:uid="{00000000-0005-0000-0000-00005C590000}"/>
    <cellStyle name="40% - Accent6 2 2 3 3 2 4" xfId="12424" xr:uid="{00000000-0005-0000-0000-00005D590000}"/>
    <cellStyle name="40% - Accent6 2 2 3 3 2 4 2" xfId="32904" xr:uid="{00000000-0005-0000-0000-00005E590000}"/>
    <cellStyle name="40% - Accent6 2 2 3 3 2 5" xfId="22664" xr:uid="{00000000-0005-0000-0000-00005F590000}"/>
    <cellStyle name="40% - Accent6 2 2 3 3 3" xfId="3464" xr:uid="{00000000-0005-0000-0000-000060590000}"/>
    <cellStyle name="40% - Accent6 2 2 3 3 3 2" xfId="8584" xr:uid="{00000000-0005-0000-0000-000061590000}"/>
    <cellStyle name="40% - Accent6 2 2 3 3 3 2 2" xfId="18824" xr:uid="{00000000-0005-0000-0000-000062590000}"/>
    <cellStyle name="40% - Accent6 2 2 3 3 3 2 2 2" xfId="39304" xr:uid="{00000000-0005-0000-0000-000063590000}"/>
    <cellStyle name="40% - Accent6 2 2 3 3 3 2 3" xfId="29064" xr:uid="{00000000-0005-0000-0000-000064590000}"/>
    <cellStyle name="40% - Accent6 2 2 3 3 3 3" xfId="13704" xr:uid="{00000000-0005-0000-0000-000065590000}"/>
    <cellStyle name="40% - Accent6 2 2 3 3 3 3 2" xfId="34184" xr:uid="{00000000-0005-0000-0000-000066590000}"/>
    <cellStyle name="40% - Accent6 2 2 3 3 3 4" xfId="23944" xr:uid="{00000000-0005-0000-0000-000067590000}"/>
    <cellStyle name="40% - Accent6 2 2 3 3 4" xfId="6024" xr:uid="{00000000-0005-0000-0000-000068590000}"/>
    <cellStyle name="40% - Accent6 2 2 3 3 4 2" xfId="16264" xr:uid="{00000000-0005-0000-0000-000069590000}"/>
    <cellStyle name="40% - Accent6 2 2 3 3 4 2 2" xfId="36744" xr:uid="{00000000-0005-0000-0000-00006A590000}"/>
    <cellStyle name="40% - Accent6 2 2 3 3 4 3" xfId="26504" xr:uid="{00000000-0005-0000-0000-00006B590000}"/>
    <cellStyle name="40% - Accent6 2 2 3 3 5" xfId="11144" xr:uid="{00000000-0005-0000-0000-00006C590000}"/>
    <cellStyle name="40% - Accent6 2 2 3 3 5 2" xfId="31624" xr:uid="{00000000-0005-0000-0000-00006D590000}"/>
    <cellStyle name="40% - Accent6 2 2 3 3 6" xfId="21384" xr:uid="{00000000-0005-0000-0000-00006E590000}"/>
    <cellStyle name="40% - Accent6 2 2 3 4" xfId="1544" xr:uid="{00000000-0005-0000-0000-00006F590000}"/>
    <cellStyle name="40% - Accent6 2 2 3 4 2" xfId="4104" xr:uid="{00000000-0005-0000-0000-000070590000}"/>
    <cellStyle name="40% - Accent6 2 2 3 4 2 2" xfId="9224" xr:uid="{00000000-0005-0000-0000-000071590000}"/>
    <cellStyle name="40% - Accent6 2 2 3 4 2 2 2" xfId="19464" xr:uid="{00000000-0005-0000-0000-000072590000}"/>
    <cellStyle name="40% - Accent6 2 2 3 4 2 2 2 2" xfId="39944" xr:uid="{00000000-0005-0000-0000-000073590000}"/>
    <cellStyle name="40% - Accent6 2 2 3 4 2 2 3" xfId="29704" xr:uid="{00000000-0005-0000-0000-000074590000}"/>
    <cellStyle name="40% - Accent6 2 2 3 4 2 3" xfId="14344" xr:uid="{00000000-0005-0000-0000-000075590000}"/>
    <cellStyle name="40% - Accent6 2 2 3 4 2 3 2" xfId="34824" xr:uid="{00000000-0005-0000-0000-000076590000}"/>
    <cellStyle name="40% - Accent6 2 2 3 4 2 4" xfId="24584" xr:uid="{00000000-0005-0000-0000-000077590000}"/>
    <cellStyle name="40% - Accent6 2 2 3 4 3" xfId="6664" xr:uid="{00000000-0005-0000-0000-000078590000}"/>
    <cellStyle name="40% - Accent6 2 2 3 4 3 2" xfId="16904" xr:uid="{00000000-0005-0000-0000-000079590000}"/>
    <cellStyle name="40% - Accent6 2 2 3 4 3 2 2" xfId="37384" xr:uid="{00000000-0005-0000-0000-00007A590000}"/>
    <cellStyle name="40% - Accent6 2 2 3 4 3 3" xfId="27144" xr:uid="{00000000-0005-0000-0000-00007B590000}"/>
    <cellStyle name="40% - Accent6 2 2 3 4 4" xfId="11784" xr:uid="{00000000-0005-0000-0000-00007C590000}"/>
    <cellStyle name="40% - Accent6 2 2 3 4 4 2" xfId="32264" xr:uid="{00000000-0005-0000-0000-00007D590000}"/>
    <cellStyle name="40% - Accent6 2 2 3 4 5" xfId="22024" xr:uid="{00000000-0005-0000-0000-00007E590000}"/>
    <cellStyle name="40% - Accent6 2 2 3 5" xfId="2824" xr:uid="{00000000-0005-0000-0000-00007F590000}"/>
    <cellStyle name="40% - Accent6 2 2 3 5 2" xfId="7944" xr:uid="{00000000-0005-0000-0000-000080590000}"/>
    <cellStyle name="40% - Accent6 2 2 3 5 2 2" xfId="18184" xr:uid="{00000000-0005-0000-0000-000081590000}"/>
    <cellStyle name="40% - Accent6 2 2 3 5 2 2 2" xfId="38664" xr:uid="{00000000-0005-0000-0000-000082590000}"/>
    <cellStyle name="40% - Accent6 2 2 3 5 2 3" xfId="28424" xr:uid="{00000000-0005-0000-0000-000083590000}"/>
    <cellStyle name="40% - Accent6 2 2 3 5 3" xfId="13064" xr:uid="{00000000-0005-0000-0000-000084590000}"/>
    <cellStyle name="40% - Accent6 2 2 3 5 3 2" xfId="33544" xr:uid="{00000000-0005-0000-0000-000085590000}"/>
    <cellStyle name="40% - Accent6 2 2 3 5 4" xfId="23304" xr:uid="{00000000-0005-0000-0000-000086590000}"/>
    <cellStyle name="40% - Accent6 2 2 3 6" xfId="5384" xr:uid="{00000000-0005-0000-0000-000087590000}"/>
    <cellStyle name="40% - Accent6 2 2 3 6 2" xfId="15624" xr:uid="{00000000-0005-0000-0000-000088590000}"/>
    <cellStyle name="40% - Accent6 2 2 3 6 2 2" xfId="36104" xr:uid="{00000000-0005-0000-0000-000089590000}"/>
    <cellStyle name="40% - Accent6 2 2 3 6 3" xfId="25864" xr:uid="{00000000-0005-0000-0000-00008A590000}"/>
    <cellStyle name="40% - Accent6 2 2 3 7" xfId="10504" xr:uid="{00000000-0005-0000-0000-00008B590000}"/>
    <cellStyle name="40% - Accent6 2 2 3 7 2" xfId="30984" xr:uid="{00000000-0005-0000-0000-00008C590000}"/>
    <cellStyle name="40% - Accent6 2 2 3 8" xfId="20744" xr:uid="{00000000-0005-0000-0000-00008D590000}"/>
    <cellStyle name="40% - Accent6 2 2 4" xfId="424" xr:uid="{00000000-0005-0000-0000-00008E590000}"/>
    <cellStyle name="40% - Accent6 2 2 4 2" xfId="1064" xr:uid="{00000000-0005-0000-0000-00008F590000}"/>
    <cellStyle name="40% - Accent6 2 2 4 2 2" xfId="2344" xr:uid="{00000000-0005-0000-0000-000090590000}"/>
    <cellStyle name="40% - Accent6 2 2 4 2 2 2" xfId="4904" xr:uid="{00000000-0005-0000-0000-000091590000}"/>
    <cellStyle name="40% - Accent6 2 2 4 2 2 2 2" xfId="10024" xr:uid="{00000000-0005-0000-0000-000092590000}"/>
    <cellStyle name="40% - Accent6 2 2 4 2 2 2 2 2" xfId="20264" xr:uid="{00000000-0005-0000-0000-000093590000}"/>
    <cellStyle name="40% - Accent6 2 2 4 2 2 2 2 2 2" xfId="40744" xr:uid="{00000000-0005-0000-0000-000094590000}"/>
    <cellStyle name="40% - Accent6 2 2 4 2 2 2 2 3" xfId="30504" xr:uid="{00000000-0005-0000-0000-000095590000}"/>
    <cellStyle name="40% - Accent6 2 2 4 2 2 2 3" xfId="15144" xr:uid="{00000000-0005-0000-0000-000096590000}"/>
    <cellStyle name="40% - Accent6 2 2 4 2 2 2 3 2" xfId="35624" xr:uid="{00000000-0005-0000-0000-000097590000}"/>
    <cellStyle name="40% - Accent6 2 2 4 2 2 2 4" xfId="25384" xr:uid="{00000000-0005-0000-0000-000098590000}"/>
    <cellStyle name="40% - Accent6 2 2 4 2 2 3" xfId="7464" xr:uid="{00000000-0005-0000-0000-000099590000}"/>
    <cellStyle name="40% - Accent6 2 2 4 2 2 3 2" xfId="17704" xr:uid="{00000000-0005-0000-0000-00009A590000}"/>
    <cellStyle name="40% - Accent6 2 2 4 2 2 3 2 2" xfId="38184" xr:uid="{00000000-0005-0000-0000-00009B590000}"/>
    <cellStyle name="40% - Accent6 2 2 4 2 2 3 3" xfId="27944" xr:uid="{00000000-0005-0000-0000-00009C590000}"/>
    <cellStyle name="40% - Accent6 2 2 4 2 2 4" xfId="12584" xr:uid="{00000000-0005-0000-0000-00009D590000}"/>
    <cellStyle name="40% - Accent6 2 2 4 2 2 4 2" xfId="33064" xr:uid="{00000000-0005-0000-0000-00009E590000}"/>
    <cellStyle name="40% - Accent6 2 2 4 2 2 5" xfId="22824" xr:uid="{00000000-0005-0000-0000-00009F590000}"/>
    <cellStyle name="40% - Accent6 2 2 4 2 3" xfId="3624" xr:uid="{00000000-0005-0000-0000-0000A0590000}"/>
    <cellStyle name="40% - Accent6 2 2 4 2 3 2" xfId="8744" xr:uid="{00000000-0005-0000-0000-0000A1590000}"/>
    <cellStyle name="40% - Accent6 2 2 4 2 3 2 2" xfId="18984" xr:uid="{00000000-0005-0000-0000-0000A2590000}"/>
    <cellStyle name="40% - Accent6 2 2 4 2 3 2 2 2" xfId="39464" xr:uid="{00000000-0005-0000-0000-0000A3590000}"/>
    <cellStyle name="40% - Accent6 2 2 4 2 3 2 3" xfId="29224" xr:uid="{00000000-0005-0000-0000-0000A4590000}"/>
    <cellStyle name="40% - Accent6 2 2 4 2 3 3" xfId="13864" xr:uid="{00000000-0005-0000-0000-0000A5590000}"/>
    <cellStyle name="40% - Accent6 2 2 4 2 3 3 2" xfId="34344" xr:uid="{00000000-0005-0000-0000-0000A6590000}"/>
    <cellStyle name="40% - Accent6 2 2 4 2 3 4" xfId="24104" xr:uid="{00000000-0005-0000-0000-0000A7590000}"/>
    <cellStyle name="40% - Accent6 2 2 4 2 4" xfId="6184" xr:uid="{00000000-0005-0000-0000-0000A8590000}"/>
    <cellStyle name="40% - Accent6 2 2 4 2 4 2" xfId="16424" xr:uid="{00000000-0005-0000-0000-0000A9590000}"/>
    <cellStyle name="40% - Accent6 2 2 4 2 4 2 2" xfId="36904" xr:uid="{00000000-0005-0000-0000-0000AA590000}"/>
    <cellStyle name="40% - Accent6 2 2 4 2 4 3" xfId="26664" xr:uid="{00000000-0005-0000-0000-0000AB590000}"/>
    <cellStyle name="40% - Accent6 2 2 4 2 5" xfId="11304" xr:uid="{00000000-0005-0000-0000-0000AC590000}"/>
    <cellStyle name="40% - Accent6 2 2 4 2 5 2" xfId="31784" xr:uid="{00000000-0005-0000-0000-0000AD590000}"/>
    <cellStyle name="40% - Accent6 2 2 4 2 6" xfId="21544" xr:uid="{00000000-0005-0000-0000-0000AE590000}"/>
    <cellStyle name="40% - Accent6 2 2 4 3" xfId="1704" xr:uid="{00000000-0005-0000-0000-0000AF590000}"/>
    <cellStyle name="40% - Accent6 2 2 4 3 2" xfId="4264" xr:uid="{00000000-0005-0000-0000-0000B0590000}"/>
    <cellStyle name="40% - Accent6 2 2 4 3 2 2" xfId="9384" xr:uid="{00000000-0005-0000-0000-0000B1590000}"/>
    <cellStyle name="40% - Accent6 2 2 4 3 2 2 2" xfId="19624" xr:uid="{00000000-0005-0000-0000-0000B2590000}"/>
    <cellStyle name="40% - Accent6 2 2 4 3 2 2 2 2" xfId="40104" xr:uid="{00000000-0005-0000-0000-0000B3590000}"/>
    <cellStyle name="40% - Accent6 2 2 4 3 2 2 3" xfId="29864" xr:uid="{00000000-0005-0000-0000-0000B4590000}"/>
    <cellStyle name="40% - Accent6 2 2 4 3 2 3" xfId="14504" xr:uid="{00000000-0005-0000-0000-0000B5590000}"/>
    <cellStyle name="40% - Accent6 2 2 4 3 2 3 2" xfId="34984" xr:uid="{00000000-0005-0000-0000-0000B6590000}"/>
    <cellStyle name="40% - Accent6 2 2 4 3 2 4" xfId="24744" xr:uid="{00000000-0005-0000-0000-0000B7590000}"/>
    <cellStyle name="40% - Accent6 2 2 4 3 3" xfId="6824" xr:uid="{00000000-0005-0000-0000-0000B8590000}"/>
    <cellStyle name="40% - Accent6 2 2 4 3 3 2" xfId="17064" xr:uid="{00000000-0005-0000-0000-0000B9590000}"/>
    <cellStyle name="40% - Accent6 2 2 4 3 3 2 2" xfId="37544" xr:uid="{00000000-0005-0000-0000-0000BA590000}"/>
    <cellStyle name="40% - Accent6 2 2 4 3 3 3" xfId="27304" xr:uid="{00000000-0005-0000-0000-0000BB590000}"/>
    <cellStyle name="40% - Accent6 2 2 4 3 4" xfId="11944" xr:uid="{00000000-0005-0000-0000-0000BC590000}"/>
    <cellStyle name="40% - Accent6 2 2 4 3 4 2" xfId="32424" xr:uid="{00000000-0005-0000-0000-0000BD590000}"/>
    <cellStyle name="40% - Accent6 2 2 4 3 5" xfId="22184" xr:uid="{00000000-0005-0000-0000-0000BE590000}"/>
    <cellStyle name="40% - Accent6 2 2 4 4" xfId="2984" xr:uid="{00000000-0005-0000-0000-0000BF590000}"/>
    <cellStyle name="40% - Accent6 2 2 4 4 2" xfId="8104" xr:uid="{00000000-0005-0000-0000-0000C0590000}"/>
    <cellStyle name="40% - Accent6 2 2 4 4 2 2" xfId="18344" xr:uid="{00000000-0005-0000-0000-0000C1590000}"/>
    <cellStyle name="40% - Accent6 2 2 4 4 2 2 2" xfId="38824" xr:uid="{00000000-0005-0000-0000-0000C2590000}"/>
    <cellStyle name="40% - Accent6 2 2 4 4 2 3" xfId="28584" xr:uid="{00000000-0005-0000-0000-0000C3590000}"/>
    <cellStyle name="40% - Accent6 2 2 4 4 3" xfId="13224" xr:uid="{00000000-0005-0000-0000-0000C4590000}"/>
    <cellStyle name="40% - Accent6 2 2 4 4 3 2" xfId="33704" xr:uid="{00000000-0005-0000-0000-0000C5590000}"/>
    <cellStyle name="40% - Accent6 2 2 4 4 4" xfId="23464" xr:uid="{00000000-0005-0000-0000-0000C6590000}"/>
    <cellStyle name="40% - Accent6 2 2 4 5" xfId="5544" xr:uid="{00000000-0005-0000-0000-0000C7590000}"/>
    <cellStyle name="40% - Accent6 2 2 4 5 2" xfId="15784" xr:uid="{00000000-0005-0000-0000-0000C8590000}"/>
    <cellStyle name="40% - Accent6 2 2 4 5 2 2" xfId="36264" xr:uid="{00000000-0005-0000-0000-0000C9590000}"/>
    <cellStyle name="40% - Accent6 2 2 4 5 3" xfId="26024" xr:uid="{00000000-0005-0000-0000-0000CA590000}"/>
    <cellStyle name="40% - Accent6 2 2 4 6" xfId="10664" xr:uid="{00000000-0005-0000-0000-0000CB590000}"/>
    <cellStyle name="40% - Accent6 2 2 4 6 2" xfId="31144" xr:uid="{00000000-0005-0000-0000-0000CC590000}"/>
    <cellStyle name="40% - Accent6 2 2 4 7" xfId="20904" xr:uid="{00000000-0005-0000-0000-0000CD590000}"/>
    <cellStyle name="40% - Accent6 2 2 5" xfId="744" xr:uid="{00000000-0005-0000-0000-0000CE590000}"/>
    <cellStyle name="40% - Accent6 2 2 5 2" xfId="2024" xr:uid="{00000000-0005-0000-0000-0000CF590000}"/>
    <cellStyle name="40% - Accent6 2 2 5 2 2" xfId="4584" xr:uid="{00000000-0005-0000-0000-0000D0590000}"/>
    <cellStyle name="40% - Accent6 2 2 5 2 2 2" xfId="9704" xr:uid="{00000000-0005-0000-0000-0000D1590000}"/>
    <cellStyle name="40% - Accent6 2 2 5 2 2 2 2" xfId="19944" xr:uid="{00000000-0005-0000-0000-0000D2590000}"/>
    <cellStyle name="40% - Accent6 2 2 5 2 2 2 2 2" xfId="40424" xr:uid="{00000000-0005-0000-0000-0000D3590000}"/>
    <cellStyle name="40% - Accent6 2 2 5 2 2 2 3" xfId="30184" xr:uid="{00000000-0005-0000-0000-0000D4590000}"/>
    <cellStyle name="40% - Accent6 2 2 5 2 2 3" xfId="14824" xr:uid="{00000000-0005-0000-0000-0000D5590000}"/>
    <cellStyle name="40% - Accent6 2 2 5 2 2 3 2" xfId="35304" xr:uid="{00000000-0005-0000-0000-0000D6590000}"/>
    <cellStyle name="40% - Accent6 2 2 5 2 2 4" xfId="25064" xr:uid="{00000000-0005-0000-0000-0000D7590000}"/>
    <cellStyle name="40% - Accent6 2 2 5 2 3" xfId="7144" xr:uid="{00000000-0005-0000-0000-0000D8590000}"/>
    <cellStyle name="40% - Accent6 2 2 5 2 3 2" xfId="17384" xr:uid="{00000000-0005-0000-0000-0000D9590000}"/>
    <cellStyle name="40% - Accent6 2 2 5 2 3 2 2" xfId="37864" xr:uid="{00000000-0005-0000-0000-0000DA590000}"/>
    <cellStyle name="40% - Accent6 2 2 5 2 3 3" xfId="27624" xr:uid="{00000000-0005-0000-0000-0000DB590000}"/>
    <cellStyle name="40% - Accent6 2 2 5 2 4" xfId="12264" xr:uid="{00000000-0005-0000-0000-0000DC590000}"/>
    <cellStyle name="40% - Accent6 2 2 5 2 4 2" xfId="32744" xr:uid="{00000000-0005-0000-0000-0000DD590000}"/>
    <cellStyle name="40% - Accent6 2 2 5 2 5" xfId="22504" xr:uid="{00000000-0005-0000-0000-0000DE590000}"/>
    <cellStyle name="40% - Accent6 2 2 5 3" xfId="3304" xr:uid="{00000000-0005-0000-0000-0000DF590000}"/>
    <cellStyle name="40% - Accent6 2 2 5 3 2" xfId="8424" xr:uid="{00000000-0005-0000-0000-0000E0590000}"/>
    <cellStyle name="40% - Accent6 2 2 5 3 2 2" xfId="18664" xr:uid="{00000000-0005-0000-0000-0000E1590000}"/>
    <cellStyle name="40% - Accent6 2 2 5 3 2 2 2" xfId="39144" xr:uid="{00000000-0005-0000-0000-0000E2590000}"/>
    <cellStyle name="40% - Accent6 2 2 5 3 2 3" xfId="28904" xr:uid="{00000000-0005-0000-0000-0000E3590000}"/>
    <cellStyle name="40% - Accent6 2 2 5 3 3" xfId="13544" xr:uid="{00000000-0005-0000-0000-0000E4590000}"/>
    <cellStyle name="40% - Accent6 2 2 5 3 3 2" xfId="34024" xr:uid="{00000000-0005-0000-0000-0000E5590000}"/>
    <cellStyle name="40% - Accent6 2 2 5 3 4" xfId="23784" xr:uid="{00000000-0005-0000-0000-0000E6590000}"/>
    <cellStyle name="40% - Accent6 2 2 5 4" xfId="5864" xr:uid="{00000000-0005-0000-0000-0000E7590000}"/>
    <cellStyle name="40% - Accent6 2 2 5 4 2" xfId="16104" xr:uid="{00000000-0005-0000-0000-0000E8590000}"/>
    <cellStyle name="40% - Accent6 2 2 5 4 2 2" xfId="36584" xr:uid="{00000000-0005-0000-0000-0000E9590000}"/>
    <cellStyle name="40% - Accent6 2 2 5 4 3" xfId="26344" xr:uid="{00000000-0005-0000-0000-0000EA590000}"/>
    <cellStyle name="40% - Accent6 2 2 5 5" xfId="10984" xr:uid="{00000000-0005-0000-0000-0000EB590000}"/>
    <cellStyle name="40% - Accent6 2 2 5 5 2" xfId="31464" xr:uid="{00000000-0005-0000-0000-0000EC590000}"/>
    <cellStyle name="40% - Accent6 2 2 5 6" xfId="21224" xr:uid="{00000000-0005-0000-0000-0000ED590000}"/>
    <cellStyle name="40% - Accent6 2 2 6" xfId="1384" xr:uid="{00000000-0005-0000-0000-0000EE590000}"/>
    <cellStyle name="40% - Accent6 2 2 6 2" xfId="3944" xr:uid="{00000000-0005-0000-0000-0000EF590000}"/>
    <cellStyle name="40% - Accent6 2 2 6 2 2" xfId="9064" xr:uid="{00000000-0005-0000-0000-0000F0590000}"/>
    <cellStyle name="40% - Accent6 2 2 6 2 2 2" xfId="19304" xr:uid="{00000000-0005-0000-0000-0000F1590000}"/>
    <cellStyle name="40% - Accent6 2 2 6 2 2 2 2" xfId="39784" xr:uid="{00000000-0005-0000-0000-0000F2590000}"/>
    <cellStyle name="40% - Accent6 2 2 6 2 2 3" xfId="29544" xr:uid="{00000000-0005-0000-0000-0000F3590000}"/>
    <cellStyle name="40% - Accent6 2 2 6 2 3" xfId="14184" xr:uid="{00000000-0005-0000-0000-0000F4590000}"/>
    <cellStyle name="40% - Accent6 2 2 6 2 3 2" xfId="34664" xr:uid="{00000000-0005-0000-0000-0000F5590000}"/>
    <cellStyle name="40% - Accent6 2 2 6 2 4" xfId="24424" xr:uid="{00000000-0005-0000-0000-0000F6590000}"/>
    <cellStyle name="40% - Accent6 2 2 6 3" xfId="6504" xr:uid="{00000000-0005-0000-0000-0000F7590000}"/>
    <cellStyle name="40% - Accent6 2 2 6 3 2" xfId="16744" xr:uid="{00000000-0005-0000-0000-0000F8590000}"/>
    <cellStyle name="40% - Accent6 2 2 6 3 2 2" xfId="37224" xr:uid="{00000000-0005-0000-0000-0000F9590000}"/>
    <cellStyle name="40% - Accent6 2 2 6 3 3" xfId="26984" xr:uid="{00000000-0005-0000-0000-0000FA590000}"/>
    <cellStyle name="40% - Accent6 2 2 6 4" xfId="11624" xr:uid="{00000000-0005-0000-0000-0000FB590000}"/>
    <cellStyle name="40% - Accent6 2 2 6 4 2" xfId="32104" xr:uid="{00000000-0005-0000-0000-0000FC590000}"/>
    <cellStyle name="40% - Accent6 2 2 6 5" xfId="21864" xr:uid="{00000000-0005-0000-0000-0000FD590000}"/>
    <cellStyle name="40% - Accent6 2 2 7" xfId="2664" xr:uid="{00000000-0005-0000-0000-0000FE590000}"/>
    <cellStyle name="40% - Accent6 2 2 7 2" xfId="7784" xr:uid="{00000000-0005-0000-0000-0000FF590000}"/>
    <cellStyle name="40% - Accent6 2 2 7 2 2" xfId="18024" xr:uid="{00000000-0005-0000-0000-0000005A0000}"/>
    <cellStyle name="40% - Accent6 2 2 7 2 2 2" xfId="38504" xr:uid="{00000000-0005-0000-0000-0000015A0000}"/>
    <cellStyle name="40% - Accent6 2 2 7 2 3" xfId="28264" xr:uid="{00000000-0005-0000-0000-0000025A0000}"/>
    <cellStyle name="40% - Accent6 2 2 7 3" xfId="12904" xr:uid="{00000000-0005-0000-0000-0000035A0000}"/>
    <cellStyle name="40% - Accent6 2 2 7 3 2" xfId="33384" xr:uid="{00000000-0005-0000-0000-0000045A0000}"/>
    <cellStyle name="40% - Accent6 2 2 7 4" xfId="23144" xr:uid="{00000000-0005-0000-0000-0000055A0000}"/>
    <cellStyle name="40% - Accent6 2 2 8" xfId="5224" xr:uid="{00000000-0005-0000-0000-0000065A0000}"/>
    <cellStyle name="40% - Accent6 2 2 8 2" xfId="15464" xr:uid="{00000000-0005-0000-0000-0000075A0000}"/>
    <cellStyle name="40% - Accent6 2 2 8 2 2" xfId="35944" xr:uid="{00000000-0005-0000-0000-0000085A0000}"/>
    <cellStyle name="40% - Accent6 2 2 8 3" xfId="25704" xr:uid="{00000000-0005-0000-0000-0000095A0000}"/>
    <cellStyle name="40% - Accent6 2 2 9" xfId="10344" xr:uid="{00000000-0005-0000-0000-00000A5A0000}"/>
    <cellStyle name="40% - Accent6 2 2 9 2" xfId="30824" xr:uid="{00000000-0005-0000-0000-00000B5A0000}"/>
    <cellStyle name="40% - Accent6 2 3" xfId="144" xr:uid="{00000000-0005-0000-0000-00000C5A0000}"/>
    <cellStyle name="40% - Accent6 2 3 2" xfId="304" xr:uid="{00000000-0005-0000-0000-00000D5A0000}"/>
    <cellStyle name="40% - Accent6 2 3 2 2" xfId="624" xr:uid="{00000000-0005-0000-0000-00000E5A0000}"/>
    <cellStyle name="40% - Accent6 2 3 2 2 2" xfId="1264" xr:uid="{00000000-0005-0000-0000-00000F5A0000}"/>
    <cellStyle name="40% - Accent6 2 3 2 2 2 2" xfId="2544" xr:uid="{00000000-0005-0000-0000-0000105A0000}"/>
    <cellStyle name="40% - Accent6 2 3 2 2 2 2 2" xfId="5104" xr:uid="{00000000-0005-0000-0000-0000115A0000}"/>
    <cellStyle name="40% - Accent6 2 3 2 2 2 2 2 2" xfId="10224" xr:uid="{00000000-0005-0000-0000-0000125A0000}"/>
    <cellStyle name="40% - Accent6 2 3 2 2 2 2 2 2 2" xfId="20464" xr:uid="{00000000-0005-0000-0000-0000135A0000}"/>
    <cellStyle name="40% - Accent6 2 3 2 2 2 2 2 2 2 2" xfId="40944" xr:uid="{00000000-0005-0000-0000-0000145A0000}"/>
    <cellStyle name="40% - Accent6 2 3 2 2 2 2 2 2 3" xfId="30704" xr:uid="{00000000-0005-0000-0000-0000155A0000}"/>
    <cellStyle name="40% - Accent6 2 3 2 2 2 2 2 3" xfId="15344" xr:uid="{00000000-0005-0000-0000-0000165A0000}"/>
    <cellStyle name="40% - Accent6 2 3 2 2 2 2 2 3 2" xfId="35824" xr:uid="{00000000-0005-0000-0000-0000175A0000}"/>
    <cellStyle name="40% - Accent6 2 3 2 2 2 2 2 4" xfId="25584" xr:uid="{00000000-0005-0000-0000-0000185A0000}"/>
    <cellStyle name="40% - Accent6 2 3 2 2 2 2 3" xfId="7664" xr:uid="{00000000-0005-0000-0000-0000195A0000}"/>
    <cellStyle name="40% - Accent6 2 3 2 2 2 2 3 2" xfId="17904" xr:uid="{00000000-0005-0000-0000-00001A5A0000}"/>
    <cellStyle name="40% - Accent6 2 3 2 2 2 2 3 2 2" xfId="38384" xr:uid="{00000000-0005-0000-0000-00001B5A0000}"/>
    <cellStyle name="40% - Accent6 2 3 2 2 2 2 3 3" xfId="28144" xr:uid="{00000000-0005-0000-0000-00001C5A0000}"/>
    <cellStyle name="40% - Accent6 2 3 2 2 2 2 4" xfId="12784" xr:uid="{00000000-0005-0000-0000-00001D5A0000}"/>
    <cellStyle name="40% - Accent6 2 3 2 2 2 2 4 2" xfId="33264" xr:uid="{00000000-0005-0000-0000-00001E5A0000}"/>
    <cellStyle name="40% - Accent6 2 3 2 2 2 2 5" xfId="23024" xr:uid="{00000000-0005-0000-0000-00001F5A0000}"/>
    <cellStyle name="40% - Accent6 2 3 2 2 2 3" xfId="3824" xr:uid="{00000000-0005-0000-0000-0000205A0000}"/>
    <cellStyle name="40% - Accent6 2 3 2 2 2 3 2" xfId="8944" xr:uid="{00000000-0005-0000-0000-0000215A0000}"/>
    <cellStyle name="40% - Accent6 2 3 2 2 2 3 2 2" xfId="19184" xr:uid="{00000000-0005-0000-0000-0000225A0000}"/>
    <cellStyle name="40% - Accent6 2 3 2 2 2 3 2 2 2" xfId="39664" xr:uid="{00000000-0005-0000-0000-0000235A0000}"/>
    <cellStyle name="40% - Accent6 2 3 2 2 2 3 2 3" xfId="29424" xr:uid="{00000000-0005-0000-0000-0000245A0000}"/>
    <cellStyle name="40% - Accent6 2 3 2 2 2 3 3" xfId="14064" xr:uid="{00000000-0005-0000-0000-0000255A0000}"/>
    <cellStyle name="40% - Accent6 2 3 2 2 2 3 3 2" xfId="34544" xr:uid="{00000000-0005-0000-0000-0000265A0000}"/>
    <cellStyle name="40% - Accent6 2 3 2 2 2 3 4" xfId="24304" xr:uid="{00000000-0005-0000-0000-0000275A0000}"/>
    <cellStyle name="40% - Accent6 2 3 2 2 2 4" xfId="6384" xr:uid="{00000000-0005-0000-0000-0000285A0000}"/>
    <cellStyle name="40% - Accent6 2 3 2 2 2 4 2" xfId="16624" xr:uid="{00000000-0005-0000-0000-0000295A0000}"/>
    <cellStyle name="40% - Accent6 2 3 2 2 2 4 2 2" xfId="37104" xr:uid="{00000000-0005-0000-0000-00002A5A0000}"/>
    <cellStyle name="40% - Accent6 2 3 2 2 2 4 3" xfId="26864" xr:uid="{00000000-0005-0000-0000-00002B5A0000}"/>
    <cellStyle name="40% - Accent6 2 3 2 2 2 5" xfId="11504" xr:uid="{00000000-0005-0000-0000-00002C5A0000}"/>
    <cellStyle name="40% - Accent6 2 3 2 2 2 5 2" xfId="31984" xr:uid="{00000000-0005-0000-0000-00002D5A0000}"/>
    <cellStyle name="40% - Accent6 2 3 2 2 2 6" xfId="21744" xr:uid="{00000000-0005-0000-0000-00002E5A0000}"/>
    <cellStyle name="40% - Accent6 2 3 2 2 3" xfId="1904" xr:uid="{00000000-0005-0000-0000-00002F5A0000}"/>
    <cellStyle name="40% - Accent6 2 3 2 2 3 2" xfId="4464" xr:uid="{00000000-0005-0000-0000-0000305A0000}"/>
    <cellStyle name="40% - Accent6 2 3 2 2 3 2 2" xfId="9584" xr:uid="{00000000-0005-0000-0000-0000315A0000}"/>
    <cellStyle name="40% - Accent6 2 3 2 2 3 2 2 2" xfId="19824" xr:uid="{00000000-0005-0000-0000-0000325A0000}"/>
    <cellStyle name="40% - Accent6 2 3 2 2 3 2 2 2 2" xfId="40304" xr:uid="{00000000-0005-0000-0000-0000335A0000}"/>
    <cellStyle name="40% - Accent6 2 3 2 2 3 2 2 3" xfId="30064" xr:uid="{00000000-0005-0000-0000-0000345A0000}"/>
    <cellStyle name="40% - Accent6 2 3 2 2 3 2 3" xfId="14704" xr:uid="{00000000-0005-0000-0000-0000355A0000}"/>
    <cellStyle name="40% - Accent6 2 3 2 2 3 2 3 2" xfId="35184" xr:uid="{00000000-0005-0000-0000-0000365A0000}"/>
    <cellStyle name="40% - Accent6 2 3 2 2 3 2 4" xfId="24944" xr:uid="{00000000-0005-0000-0000-0000375A0000}"/>
    <cellStyle name="40% - Accent6 2 3 2 2 3 3" xfId="7024" xr:uid="{00000000-0005-0000-0000-0000385A0000}"/>
    <cellStyle name="40% - Accent6 2 3 2 2 3 3 2" xfId="17264" xr:uid="{00000000-0005-0000-0000-0000395A0000}"/>
    <cellStyle name="40% - Accent6 2 3 2 2 3 3 2 2" xfId="37744" xr:uid="{00000000-0005-0000-0000-00003A5A0000}"/>
    <cellStyle name="40% - Accent6 2 3 2 2 3 3 3" xfId="27504" xr:uid="{00000000-0005-0000-0000-00003B5A0000}"/>
    <cellStyle name="40% - Accent6 2 3 2 2 3 4" xfId="12144" xr:uid="{00000000-0005-0000-0000-00003C5A0000}"/>
    <cellStyle name="40% - Accent6 2 3 2 2 3 4 2" xfId="32624" xr:uid="{00000000-0005-0000-0000-00003D5A0000}"/>
    <cellStyle name="40% - Accent6 2 3 2 2 3 5" xfId="22384" xr:uid="{00000000-0005-0000-0000-00003E5A0000}"/>
    <cellStyle name="40% - Accent6 2 3 2 2 4" xfId="3184" xr:uid="{00000000-0005-0000-0000-00003F5A0000}"/>
    <cellStyle name="40% - Accent6 2 3 2 2 4 2" xfId="8304" xr:uid="{00000000-0005-0000-0000-0000405A0000}"/>
    <cellStyle name="40% - Accent6 2 3 2 2 4 2 2" xfId="18544" xr:uid="{00000000-0005-0000-0000-0000415A0000}"/>
    <cellStyle name="40% - Accent6 2 3 2 2 4 2 2 2" xfId="39024" xr:uid="{00000000-0005-0000-0000-0000425A0000}"/>
    <cellStyle name="40% - Accent6 2 3 2 2 4 2 3" xfId="28784" xr:uid="{00000000-0005-0000-0000-0000435A0000}"/>
    <cellStyle name="40% - Accent6 2 3 2 2 4 3" xfId="13424" xr:uid="{00000000-0005-0000-0000-0000445A0000}"/>
    <cellStyle name="40% - Accent6 2 3 2 2 4 3 2" xfId="33904" xr:uid="{00000000-0005-0000-0000-0000455A0000}"/>
    <cellStyle name="40% - Accent6 2 3 2 2 4 4" xfId="23664" xr:uid="{00000000-0005-0000-0000-0000465A0000}"/>
    <cellStyle name="40% - Accent6 2 3 2 2 5" xfId="5744" xr:uid="{00000000-0005-0000-0000-0000475A0000}"/>
    <cellStyle name="40% - Accent6 2 3 2 2 5 2" xfId="15984" xr:uid="{00000000-0005-0000-0000-0000485A0000}"/>
    <cellStyle name="40% - Accent6 2 3 2 2 5 2 2" xfId="36464" xr:uid="{00000000-0005-0000-0000-0000495A0000}"/>
    <cellStyle name="40% - Accent6 2 3 2 2 5 3" xfId="26224" xr:uid="{00000000-0005-0000-0000-00004A5A0000}"/>
    <cellStyle name="40% - Accent6 2 3 2 2 6" xfId="10864" xr:uid="{00000000-0005-0000-0000-00004B5A0000}"/>
    <cellStyle name="40% - Accent6 2 3 2 2 6 2" xfId="31344" xr:uid="{00000000-0005-0000-0000-00004C5A0000}"/>
    <cellStyle name="40% - Accent6 2 3 2 2 7" xfId="21104" xr:uid="{00000000-0005-0000-0000-00004D5A0000}"/>
    <cellStyle name="40% - Accent6 2 3 2 3" xfId="944" xr:uid="{00000000-0005-0000-0000-00004E5A0000}"/>
    <cellStyle name="40% - Accent6 2 3 2 3 2" xfId="2224" xr:uid="{00000000-0005-0000-0000-00004F5A0000}"/>
    <cellStyle name="40% - Accent6 2 3 2 3 2 2" xfId="4784" xr:uid="{00000000-0005-0000-0000-0000505A0000}"/>
    <cellStyle name="40% - Accent6 2 3 2 3 2 2 2" xfId="9904" xr:uid="{00000000-0005-0000-0000-0000515A0000}"/>
    <cellStyle name="40% - Accent6 2 3 2 3 2 2 2 2" xfId="20144" xr:uid="{00000000-0005-0000-0000-0000525A0000}"/>
    <cellStyle name="40% - Accent6 2 3 2 3 2 2 2 2 2" xfId="40624" xr:uid="{00000000-0005-0000-0000-0000535A0000}"/>
    <cellStyle name="40% - Accent6 2 3 2 3 2 2 2 3" xfId="30384" xr:uid="{00000000-0005-0000-0000-0000545A0000}"/>
    <cellStyle name="40% - Accent6 2 3 2 3 2 2 3" xfId="15024" xr:uid="{00000000-0005-0000-0000-0000555A0000}"/>
    <cellStyle name="40% - Accent6 2 3 2 3 2 2 3 2" xfId="35504" xr:uid="{00000000-0005-0000-0000-0000565A0000}"/>
    <cellStyle name="40% - Accent6 2 3 2 3 2 2 4" xfId="25264" xr:uid="{00000000-0005-0000-0000-0000575A0000}"/>
    <cellStyle name="40% - Accent6 2 3 2 3 2 3" xfId="7344" xr:uid="{00000000-0005-0000-0000-0000585A0000}"/>
    <cellStyle name="40% - Accent6 2 3 2 3 2 3 2" xfId="17584" xr:uid="{00000000-0005-0000-0000-0000595A0000}"/>
    <cellStyle name="40% - Accent6 2 3 2 3 2 3 2 2" xfId="38064" xr:uid="{00000000-0005-0000-0000-00005A5A0000}"/>
    <cellStyle name="40% - Accent6 2 3 2 3 2 3 3" xfId="27824" xr:uid="{00000000-0005-0000-0000-00005B5A0000}"/>
    <cellStyle name="40% - Accent6 2 3 2 3 2 4" xfId="12464" xr:uid="{00000000-0005-0000-0000-00005C5A0000}"/>
    <cellStyle name="40% - Accent6 2 3 2 3 2 4 2" xfId="32944" xr:uid="{00000000-0005-0000-0000-00005D5A0000}"/>
    <cellStyle name="40% - Accent6 2 3 2 3 2 5" xfId="22704" xr:uid="{00000000-0005-0000-0000-00005E5A0000}"/>
    <cellStyle name="40% - Accent6 2 3 2 3 3" xfId="3504" xr:uid="{00000000-0005-0000-0000-00005F5A0000}"/>
    <cellStyle name="40% - Accent6 2 3 2 3 3 2" xfId="8624" xr:uid="{00000000-0005-0000-0000-0000605A0000}"/>
    <cellStyle name="40% - Accent6 2 3 2 3 3 2 2" xfId="18864" xr:uid="{00000000-0005-0000-0000-0000615A0000}"/>
    <cellStyle name="40% - Accent6 2 3 2 3 3 2 2 2" xfId="39344" xr:uid="{00000000-0005-0000-0000-0000625A0000}"/>
    <cellStyle name="40% - Accent6 2 3 2 3 3 2 3" xfId="29104" xr:uid="{00000000-0005-0000-0000-0000635A0000}"/>
    <cellStyle name="40% - Accent6 2 3 2 3 3 3" xfId="13744" xr:uid="{00000000-0005-0000-0000-0000645A0000}"/>
    <cellStyle name="40% - Accent6 2 3 2 3 3 3 2" xfId="34224" xr:uid="{00000000-0005-0000-0000-0000655A0000}"/>
    <cellStyle name="40% - Accent6 2 3 2 3 3 4" xfId="23984" xr:uid="{00000000-0005-0000-0000-0000665A0000}"/>
    <cellStyle name="40% - Accent6 2 3 2 3 4" xfId="6064" xr:uid="{00000000-0005-0000-0000-0000675A0000}"/>
    <cellStyle name="40% - Accent6 2 3 2 3 4 2" xfId="16304" xr:uid="{00000000-0005-0000-0000-0000685A0000}"/>
    <cellStyle name="40% - Accent6 2 3 2 3 4 2 2" xfId="36784" xr:uid="{00000000-0005-0000-0000-0000695A0000}"/>
    <cellStyle name="40% - Accent6 2 3 2 3 4 3" xfId="26544" xr:uid="{00000000-0005-0000-0000-00006A5A0000}"/>
    <cellStyle name="40% - Accent6 2 3 2 3 5" xfId="11184" xr:uid="{00000000-0005-0000-0000-00006B5A0000}"/>
    <cellStyle name="40% - Accent6 2 3 2 3 5 2" xfId="31664" xr:uid="{00000000-0005-0000-0000-00006C5A0000}"/>
    <cellStyle name="40% - Accent6 2 3 2 3 6" xfId="21424" xr:uid="{00000000-0005-0000-0000-00006D5A0000}"/>
    <cellStyle name="40% - Accent6 2 3 2 4" xfId="1584" xr:uid="{00000000-0005-0000-0000-00006E5A0000}"/>
    <cellStyle name="40% - Accent6 2 3 2 4 2" xfId="4144" xr:uid="{00000000-0005-0000-0000-00006F5A0000}"/>
    <cellStyle name="40% - Accent6 2 3 2 4 2 2" xfId="9264" xr:uid="{00000000-0005-0000-0000-0000705A0000}"/>
    <cellStyle name="40% - Accent6 2 3 2 4 2 2 2" xfId="19504" xr:uid="{00000000-0005-0000-0000-0000715A0000}"/>
    <cellStyle name="40% - Accent6 2 3 2 4 2 2 2 2" xfId="39984" xr:uid="{00000000-0005-0000-0000-0000725A0000}"/>
    <cellStyle name="40% - Accent6 2 3 2 4 2 2 3" xfId="29744" xr:uid="{00000000-0005-0000-0000-0000735A0000}"/>
    <cellStyle name="40% - Accent6 2 3 2 4 2 3" xfId="14384" xr:uid="{00000000-0005-0000-0000-0000745A0000}"/>
    <cellStyle name="40% - Accent6 2 3 2 4 2 3 2" xfId="34864" xr:uid="{00000000-0005-0000-0000-0000755A0000}"/>
    <cellStyle name="40% - Accent6 2 3 2 4 2 4" xfId="24624" xr:uid="{00000000-0005-0000-0000-0000765A0000}"/>
    <cellStyle name="40% - Accent6 2 3 2 4 3" xfId="6704" xr:uid="{00000000-0005-0000-0000-0000775A0000}"/>
    <cellStyle name="40% - Accent6 2 3 2 4 3 2" xfId="16944" xr:uid="{00000000-0005-0000-0000-0000785A0000}"/>
    <cellStyle name="40% - Accent6 2 3 2 4 3 2 2" xfId="37424" xr:uid="{00000000-0005-0000-0000-0000795A0000}"/>
    <cellStyle name="40% - Accent6 2 3 2 4 3 3" xfId="27184" xr:uid="{00000000-0005-0000-0000-00007A5A0000}"/>
    <cellStyle name="40% - Accent6 2 3 2 4 4" xfId="11824" xr:uid="{00000000-0005-0000-0000-00007B5A0000}"/>
    <cellStyle name="40% - Accent6 2 3 2 4 4 2" xfId="32304" xr:uid="{00000000-0005-0000-0000-00007C5A0000}"/>
    <cellStyle name="40% - Accent6 2 3 2 4 5" xfId="22064" xr:uid="{00000000-0005-0000-0000-00007D5A0000}"/>
    <cellStyle name="40% - Accent6 2 3 2 5" xfId="2864" xr:uid="{00000000-0005-0000-0000-00007E5A0000}"/>
    <cellStyle name="40% - Accent6 2 3 2 5 2" xfId="7984" xr:uid="{00000000-0005-0000-0000-00007F5A0000}"/>
    <cellStyle name="40% - Accent6 2 3 2 5 2 2" xfId="18224" xr:uid="{00000000-0005-0000-0000-0000805A0000}"/>
    <cellStyle name="40% - Accent6 2 3 2 5 2 2 2" xfId="38704" xr:uid="{00000000-0005-0000-0000-0000815A0000}"/>
    <cellStyle name="40% - Accent6 2 3 2 5 2 3" xfId="28464" xr:uid="{00000000-0005-0000-0000-0000825A0000}"/>
    <cellStyle name="40% - Accent6 2 3 2 5 3" xfId="13104" xr:uid="{00000000-0005-0000-0000-0000835A0000}"/>
    <cellStyle name="40% - Accent6 2 3 2 5 3 2" xfId="33584" xr:uid="{00000000-0005-0000-0000-0000845A0000}"/>
    <cellStyle name="40% - Accent6 2 3 2 5 4" xfId="23344" xr:uid="{00000000-0005-0000-0000-0000855A0000}"/>
    <cellStyle name="40% - Accent6 2 3 2 6" xfId="5424" xr:uid="{00000000-0005-0000-0000-0000865A0000}"/>
    <cellStyle name="40% - Accent6 2 3 2 6 2" xfId="15664" xr:uid="{00000000-0005-0000-0000-0000875A0000}"/>
    <cellStyle name="40% - Accent6 2 3 2 6 2 2" xfId="36144" xr:uid="{00000000-0005-0000-0000-0000885A0000}"/>
    <cellStyle name="40% - Accent6 2 3 2 6 3" xfId="25904" xr:uid="{00000000-0005-0000-0000-0000895A0000}"/>
    <cellStyle name="40% - Accent6 2 3 2 7" xfId="10544" xr:uid="{00000000-0005-0000-0000-00008A5A0000}"/>
    <cellStyle name="40% - Accent6 2 3 2 7 2" xfId="31024" xr:uid="{00000000-0005-0000-0000-00008B5A0000}"/>
    <cellStyle name="40% - Accent6 2 3 2 8" xfId="20784" xr:uid="{00000000-0005-0000-0000-00008C5A0000}"/>
    <cellStyle name="40% - Accent6 2 3 3" xfId="464" xr:uid="{00000000-0005-0000-0000-00008D5A0000}"/>
    <cellStyle name="40% - Accent6 2 3 3 2" xfId="1104" xr:uid="{00000000-0005-0000-0000-00008E5A0000}"/>
    <cellStyle name="40% - Accent6 2 3 3 2 2" xfId="2384" xr:uid="{00000000-0005-0000-0000-00008F5A0000}"/>
    <cellStyle name="40% - Accent6 2 3 3 2 2 2" xfId="4944" xr:uid="{00000000-0005-0000-0000-0000905A0000}"/>
    <cellStyle name="40% - Accent6 2 3 3 2 2 2 2" xfId="10064" xr:uid="{00000000-0005-0000-0000-0000915A0000}"/>
    <cellStyle name="40% - Accent6 2 3 3 2 2 2 2 2" xfId="20304" xr:uid="{00000000-0005-0000-0000-0000925A0000}"/>
    <cellStyle name="40% - Accent6 2 3 3 2 2 2 2 2 2" xfId="40784" xr:uid="{00000000-0005-0000-0000-0000935A0000}"/>
    <cellStyle name="40% - Accent6 2 3 3 2 2 2 2 3" xfId="30544" xr:uid="{00000000-0005-0000-0000-0000945A0000}"/>
    <cellStyle name="40% - Accent6 2 3 3 2 2 2 3" xfId="15184" xr:uid="{00000000-0005-0000-0000-0000955A0000}"/>
    <cellStyle name="40% - Accent6 2 3 3 2 2 2 3 2" xfId="35664" xr:uid="{00000000-0005-0000-0000-0000965A0000}"/>
    <cellStyle name="40% - Accent6 2 3 3 2 2 2 4" xfId="25424" xr:uid="{00000000-0005-0000-0000-0000975A0000}"/>
    <cellStyle name="40% - Accent6 2 3 3 2 2 3" xfId="7504" xr:uid="{00000000-0005-0000-0000-0000985A0000}"/>
    <cellStyle name="40% - Accent6 2 3 3 2 2 3 2" xfId="17744" xr:uid="{00000000-0005-0000-0000-0000995A0000}"/>
    <cellStyle name="40% - Accent6 2 3 3 2 2 3 2 2" xfId="38224" xr:uid="{00000000-0005-0000-0000-00009A5A0000}"/>
    <cellStyle name="40% - Accent6 2 3 3 2 2 3 3" xfId="27984" xr:uid="{00000000-0005-0000-0000-00009B5A0000}"/>
    <cellStyle name="40% - Accent6 2 3 3 2 2 4" xfId="12624" xr:uid="{00000000-0005-0000-0000-00009C5A0000}"/>
    <cellStyle name="40% - Accent6 2 3 3 2 2 4 2" xfId="33104" xr:uid="{00000000-0005-0000-0000-00009D5A0000}"/>
    <cellStyle name="40% - Accent6 2 3 3 2 2 5" xfId="22864" xr:uid="{00000000-0005-0000-0000-00009E5A0000}"/>
    <cellStyle name="40% - Accent6 2 3 3 2 3" xfId="3664" xr:uid="{00000000-0005-0000-0000-00009F5A0000}"/>
    <cellStyle name="40% - Accent6 2 3 3 2 3 2" xfId="8784" xr:uid="{00000000-0005-0000-0000-0000A05A0000}"/>
    <cellStyle name="40% - Accent6 2 3 3 2 3 2 2" xfId="19024" xr:uid="{00000000-0005-0000-0000-0000A15A0000}"/>
    <cellStyle name="40% - Accent6 2 3 3 2 3 2 2 2" xfId="39504" xr:uid="{00000000-0005-0000-0000-0000A25A0000}"/>
    <cellStyle name="40% - Accent6 2 3 3 2 3 2 3" xfId="29264" xr:uid="{00000000-0005-0000-0000-0000A35A0000}"/>
    <cellStyle name="40% - Accent6 2 3 3 2 3 3" xfId="13904" xr:uid="{00000000-0005-0000-0000-0000A45A0000}"/>
    <cellStyle name="40% - Accent6 2 3 3 2 3 3 2" xfId="34384" xr:uid="{00000000-0005-0000-0000-0000A55A0000}"/>
    <cellStyle name="40% - Accent6 2 3 3 2 3 4" xfId="24144" xr:uid="{00000000-0005-0000-0000-0000A65A0000}"/>
    <cellStyle name="40% - Accent6 2 3 3 2 4" xfId="6224" xr:uid="{00000000-0005-0000-0000-0000A75A0000}"/>
    <cellStyle name="40% - Accent6 2 3 3 2 4 2" xfId="16464" xr:uid="{00000000-0005-0000-0000-0000A85A0000}"/>
    <cellStyle name="40% - Accent6 2 3 3 2 4 2 2" xfId="36944" xr:uid="{00000000-0005-0000-0000-0000A95A0000}"/>
    <cellStyle name="40% - Accent6 2 3 3 2 4 3" xfId="26704" xr:uid="{00000000-0005-0000-0000-0000AA5A0000}"/>
    <cellStyle name="40% - Accent6 2 3 3 2 5" xfId="11344" xr:uid="{00000000-0005-0000-0000-0000AB5A0000}"/>
    <cellStyle name="40% - Accent6 2 3 3 2 5 2" xfId="31824" xr:uid="{00000000-0005-0000-0000-0000AC5A0000}"/>
    <cellStyle name="40% - Accent6 2 3 3 2 6" xfId="21584" xr:uid="{00000000-0005-0000-0000-0000AD5A0000}"/>
    <cellStyle name="40% - Accent6 2 3 3 3" xfId="1744" xr:uid="{00000000-0005-0000-0000-0000AE5A0000}"/>
    <cellStyle name="40% - Accent6 2 3 3 3 2" xfId="4304" xr:uid="{00000000-0005-0000-0000-0000AF5A0000}"/>
    <cellStyle name="40% - Accent6 2 3 3 3 2 2" xfId="9424" xr:uid="{00000000-0005-0000-0000-0000B05A0000}"/>
    <cellStyle name="40% - Accent6 2 3 3 3 2 2 2" xfId="19664" xr:uid="{00000000-0005-0000-0000-0000B15A0000}"/>
    <cellStyle name="40% - Accent6 2 3 3 3 2 2 2 2" xfId="40144" xr:uid="{00000000-0005-0000-0000-0000B25A0000}"/>
    <cellStyle name="40% - Accent6 2 3 3 3 2 2 3" xfId="29904" xr:uid="{00000000-0005-0000-0000-0000B35A0000}"/>
    <cellStyle name="40% - Accent6 2 3 3 3 2 3" xfId="14544" xr:uid="{00000000-0005-0000-0000-0000B45A0000}"/>
    <cellStyle name="40% - Accent6 2 3 3 3 2 3 2" xfId="35024" xr:uid="{00000000-0005-0000-0000-0000B55A0000}"/>
    <cellStyle name="40% - Accent6 2 3 3 3 2 4" xfId="24784" xr:uid="{00000000-0005-0000-0000-0000B65A0000}"/>
    <cellStyle name="40% - Accent6 2 3 3 3 3" xfId="6864" xr:uid="{00000000-0005-0000-0000-0000B75A0000}"/>
    <cellStyle name="40% - Accent6 2 3 3 3 3 2" xfId="17104" xr:uid="{00000000-0005-0000-0000-0000B85A0000}"/>
    <cellStyle name="40% - Accent6 2 3 3 3 3 2 2" xfId="37584" xr:uid="{00000000-0005-0000-0000-0000B95A0000}"/>
    <cellStyle name="40% - Accent6 2 3 3 3 3 3" xfId="27344" xr:uid="{00000000-0005-0000-0000-0000BA5A0000}"/>
    <cellStyle name="40% - Accent6 2 3 3 3 4" xfId="11984" xr:uid="{00000000-0005-0000-0000-0000BB5A0000}"/>
    <cellStyle name="40% - Accent6 2 3 3 3 4 2" xfId="32464" xr:uid="{00000000-0005-0000-0000-0000BC5A0000}"/>
    <cellStyle name="40% - Accent6 2 3 3 3 5" xfId="22224" xr:uid="{00000000-0005-0000-0000-0000BD5A0000}"/>
    <cellStyle name="40% - Accent6 2 3 3 4" xfId="3024" xr:uid="{00000000-0005-0000-0000-0000BE5A0000}"/>
    <cellStyle name="40% - Accent6 2 3 3 4 2" xfId="8144" xr:uid="{00000000-0005-0000-0000-0000BF5A0000}"/>
    <cellStyle name="40% - Accent6 2 3 3 4 2 2" xfId="18384" xr:uid="{00000000-0005-0000-0000-0000C05A0000}"/>
    <cellStyle name="40% - Accent6 2 3 3 4 2 2 2" xfId="38864" xr:uid="{00000000-0005-0000-0000-0000C15A0000}"/>
    <cellStyle name="40% - Accent6 2 3 3 4 2 3" xfId="28624" xr:uid="{00000000-0005-0000-0000-0000C25A0000}"/>
    <cellStyle name="40% - Accent6 2 3 3 4 3" xfId="13264" xr:uid="{00000000-0005-0000-0000-0000C35A0000}"/>
    <cellStyle name="40% - Accent6 2 3 3 4 3 2" xfId="33744" xr:uid="{00000000-0005-0000-0000-0000C45A0000}"/>
    <cellStyle name="40% - Accent6 2 3 3 4 4" xfId="23504" xr:uid="{00000000-0005-0000-0000-0000C55A0000}"/>
    <cellStyle name="40% - Accent6 2 3 3 5" xfId="5584" xr:uid="{00000000-0005-0000-0000-0000C65A0000}"/>
    <cellStyle name="40% - Accent6 2 3 3 5 2" xfId="15824" xr:uid="{00000000-0005-0000-0000-0000C75A0000}"/>
    <cellStyle name="40% - Accent6 2 3 3 5 2 2" xfId="36304" xr:uid="{00000000-0005-0000-0000-0000C85A0000}"/>
    <cellStyle name="40% - Accent6 2 3 3 5 3" xfId="26064" xr:uid="{00000000-0005-0000-0000-0000C95A0000}"/>
    <cellStyle name="40% - Accent6 2 3 3 6" xfId="10704" xr:uid="{00000000-0005-0000-0000-0000CA5A0000}"/>
    <cellStyle name="40% - Accent6 2 3 3 6 2" xfId="31184" xr:uid="{00000000-0005-0000-0000-0000CB5A0000}"/>
    <cellStyle name="40% - Accent6 2 3 3 7" xfId="20944" xr:uid="{00000000-0005-0000-0000-0000CC5A0000}"/>
    <cellStyle name="40% - Accent6 2 3 4" xfId="784" xr:uid="{00000000-0005-0000-0000-0000CD5A0000}"/>
    <cellStyle name="40% - Accent6 2 3 4 2" xfId="2064" xr:uid="{00000000-0005-0000-0000-0000CE5A0000}"/>
    <cellStyle name="40% - Accent6 2 3 4 2 2" xfId="4624" xr:uid="{00000000-0005-0000-0000-0000CF5A0000}"/>
    <cellStyle name="40% - Accent6 2 3 4 2 2 2" xfId="9744" xr:uid="{00000000-0005-0000-0000-0000D05A0000}"/>
    <cellStyle name="40% - Accent6 2 3 4 2 2 2 2" xfId="19984" xr:uid="{00000000-0005-0000-0000-0000D15A0000}"/>
    <cellStyle name="40% - Accent6 2 3 4 2 2 2 2 2" xfId="40464" xr:uid="{00000000-0005-0000-0000-0000D25A0000}"/>
    <cellStyle name="40% - Accent6 2 3 4 2 2 2 3" xfId="30224" xr:uid="{00000000-0005-0000-0000-0000D35A0000}"/>
    <cellStyle name="40% - Accent6 2 3 4 2 2 3" xfId="14864" xr:uid="{00000000-0005-0000-0000-0000D45A0000}"/>
    <cellStyle name="40% - Accent6 2 3 4 2 2 3 2" xfId="35344" xr:uid="{00000000-0005-0000-0000-0000D55A0000}"/>
    <cellStyle name="40% - Accent6 2 3 4 2 2 4" xfId="25104" xr:uid="{00000000-0005-0000-0000-0000D65A0000}"/>
    <cellStyle name="40% - Accent6 2 3 4 2 3" xfId="7184" xr:uid="{00000000-0005-0000-0000-0000D75A0000}"/>
    <cellStyle name="40% - Accent6 2 3 4 2 3 2" xfId="17424" xr:uid="{00000000-0005-0000-0000-0000D85A0000}"/>
    <cellStyle name="40% - Accent6 2 3 4 2 3 2 2" xfId="37904" xr:uid="{00000000-0005-0000-0000-0000D95A0000}"/>
    <cellStyle name="40% - Accent6 2 3 4 2 3 3" xfId="27664" xr:uid="{00000000-0005-0000-0000-0000DA5A0000}"/>
    <cellStyle name="40% - Accent6 2 3 4 2 4" xfId="12304" xr:uid="{00000000-0005-0000-0000-0000DB5A0000}"/>
    <cellStyle name="40% - Accent6 2 3 4 2 4 2" xfId="32784" xr:uid="{00000000-0005-0000-0000-0000DC5A0000}"/>
    <cellStyle name="40% - Accent6 2 3 4 2 5" xfId="22544" xr:uid="{00000000-0005-0000-0000-0000DD5A0000}"/>
    <cellStyle name="40% - Accent6 2 3 4 3" xfId="3344" xr:uid="{00000000-0005-0000-0000-0000DE5A0000}"/>
    <cellStyle name="40% - Accent6 2 3 4 3 2" xfId="8464" xr:uid="{00000000-0005-0000-0000-0000DF5A0000}"/>
    <cellStyle name="40% - Accent6 2 3 4 3 2 2" xfId="18704" xr:uid="{00000000-0005-0000-0000-0000E05A0000}"/>
    <cellStyle name="40% - Accent6 2 3 4 3 2 2 2" xfId="39184" xr:uid="{00000000-0005-0000-0000-0000E15A0000}"/>
    <cellStyle name="40% - Accent6 2 3 4 3 2 3" xfId="28944" xr:uid="{00000000-0005-0000-0000-0000E25A0000}"/>
    <cellStyle name="40% - Accent6 2 3 4 3 3" xfId="13584" xr:uid="{00000000-0005-0000-0000-0000E35A0000}"/>
    <cellStyle name="40% - Accent6 2 3 4 3 3 2" xfId="34064" xr:uid="{00000000-0005-0000-0000-0000E45A0000}"/>
    <cellStyle name="40% - Accent6 2 3 4 3 4" xfId="23824" xr:uid="{00000000-0005-0000-0000-0000E55A0000}"/>
    <cellStyle name="40% - Accent6 2 3 4 4" xfId="5904" xr:uid="{00000000-0005-0000-0000-0000E65A0000}"/>
    <cellStyle name="40% - Accent6 2 3 4 4 2" xfId="16144" xr:uid="{00000000-0005-0000-0000-0000E75A0000}"/>
    <cellStyle name="40% - Accent6 2 3 4 4 2 2" xfId="36624" xr:uid="{00000000-0005-0000-0000-0000E85A0000}"/>
    <cellStyle name="40% - Accent6 2 3 4 4 3" xfId="26384" xr:uid="{00000000-0005-0000-0000-0000E95A0000}"/>
    <cellStyle name="40% - Accent6 2 3 4 5" xfId="11024" xr:uid="{00000000-0005-0000-0000-0000EA5A0000}"/>
    <cellStyle name="40% - Accent6 2 3 4 5 2" xfId="31504" xr:uid="{00000000-0005-0000-0000-0000EB5A0000}"/>
    <cellStyle name="40% - Accent6 2 3 4 6" xfId="21264" xr:uid="{00000000-0005-0000-0000-0000EC5A0000}"/>
    <cellStyle name="40% - Accent6 2 3 5" xfId="1424" xr:uid="{00000000-0005-0000-0000-0000ED5A0000}"/>
    <cellStyle name="40% - Accent6 2 3 5 2" xfId="3984" xr:uid="{00000000-0005-0000-0000-0000EE5A0000}"/>
    <cellStyle name="40% - Accent6 2 3 5 2 2" xfId="9104" xr:uid="{00000000-0005-0000-0000-0000EF5A0000}"/>
    <cellStyle name="40% - Accent6 2 3 5 2 2 2" xfId="19344" xr:uid="{00000000-0005-0000-0000-0000F05A0000}"/>
    <cellStyle name="40% - Accent6 2 3 5 2 2 2 2" xfId="39824" xr:uid="{00000000-0005-0000-0000-0000F15A0000}"/>
    <cellStyle name="40% - Accent6 2 3 5 2 2 3" xfId="29584" xr:uid="{00000000-0005-0000-0000-0000F25A0000}"/>
    <cellStyle name="40% - Accent6 2 3 5 2 3" xfId="14224" xr:uid="{00000000-0005-0000-0000-0000F35A0000}"/>
    <cellStyle name="40% - Accent6 2 3 5 2 3 2" xfId="34704" xr:uid="{00000000-0005-0000-0000-0000F45A0000}"/>
    <cellStyle name="40% - Accent6 2 3 5 2 4" xfId="24464" xr:uid="{00000000-0005-0000-0000-0000F55A0000}"/>
    <cellStyle name="40% - Accent6 2 3 5 3" xfId="6544" xr:uid="{00000000-0005-0000-0000-0000F65A0000}"/>
    <cellStyle name="40% - Accent6 2 3 5 3 2" xfId="16784" xr:uid="{00000000-0005-0000-0000-0000F75A0000}"/>
    <cellStyle name="40% - Accent6 2 3 5 3 2 2" xfId="37264" xr:uid="{00000000-0005-0000-0000-0000F85A0000}"/>
    <cellStyle name="40% - Accent6 2 3 5 3 3" xfId="27024" xr:uid="{00000000-0005-0000-0000-0000F95A0000}"/>
    <cellStyle name="40% - Accent6 2 3 5 4" xfId="11664" xr:uid="{00000000-0005-0000-0000-0000FA5A0000}"/>
    <cellStyle name="40% - Accent6 2 3 5 4 2" xfId="32144" xr:uid="{00000000-0005-0000-0000-0000FB5A0000}"/>
    <cellStyle name="40% - Accent6 2 3 5 5" xfId="21904" xr:uid="{00000000-0005-0000-0000-0000FC5A0000}"/>
    <cellStyle name="40% - Accent6 2 3 6" xfId="2704" xr:uid="{00000000-0005-0000-0000-0000FD5A0000}"/>
    <cellStyle name="40% - Accent6 2 3 6 2" xfId="7824" xr:uid="{00000000-0005-0000-0000-0000FE5A0000}"/>
    <cellStyle name="40% - Accent6 2 3 6 2 2" xfId="18064" xr:uid="{00000000-0005-0000-0000-0000FF5A0000}"/>
    <cellStyle name="40% - Accent6 2 3 6 2 2 2" xfId="38544" xr:uid="{00000000-0005-0000-0000-0000005B0000}"/>
    <cellStyle name="40% - Accent6 2 3 6 2 3" xfId="28304" xr:uid="{00000000-0005-0000-0000-0000015B0000}"/>
    <cellStyle name="40% - Accent6 2 3 6 3" xfId="12944" xr:uid="{00000000-0005-0000-0000-0000025B0000}"/>
    <cellStyle name="40% - Accent6 2 3 6 3 2" xfId="33424" xr:uid="{00000000-0005-0000-0000-0000035B0000}"/>
    <cellStyle name="40% - Accent6 2 3 6 4" xfId="23184" xr:uid="{00000000-0005-0000-0000-0000045B0000}"/>
    <cellStyle name="40% - Accent6 2 3 7" xfId="5264" xr:uid="{00000000-0005-0000-0000-0000055B0000}"/>
    <cellStyle name="40% - Accent6 2 3 7 2" xfId="15504" xr:uid="{00000000-0005-0000-0000-0000065B0000}"/>
    <cellStyle name="40% - Accent6 2 3 7 2 2" xfId="35984" xr:uid="{00000000-0005-0000-0000-0000075B0000}"/>
    <cellStyle name="40% - Accent6 2 3 7 3" xfId="25744" xr:uid="{00000000-0005-0000-0000-0000085B0000}"/>
    <cellStyle name="40% - Accent6 2 3 8" xfId="10384" xr:uid="{00000000-0005-0000-0000-0000095B0000}"/>
    <cellStyle name="40% - Accent6 2 3 8 2" xfId="30864" xr:uid="{00000000-0005-0000-0000-00000A5B0000}"/>
    <cellStyle name="40% - Accent6 2 3 9" xfId="20624" xr:uid="{00000000-0005-0000-0000-00000B5B0000}"/>
    <cellStyle name="40% - Accent6 2 4" xfId="224" xr:uid="{00000000-0005-0000-0000-00000C5B0000}"/>
    <cellStyle name="40% - Accent6 2 4 2" xfId="544" xr:uid="{00000000-0005-0000-0000-00000D5B0000}"/>
    <cellStyle name="40% - Accent6 2 4 2 2" xfId="1184" xr:uid="{00000000-0005-0000-0000-00000E5B0000}"/>
    <cellStyle name="40% - Accent6 2 4 2 2 2" xfId="2464" xr:uid="{00000000-0005-0000-0000-00000F5B0000}"/>
    <cellStyle name="40% - Accent6 2 4 2 2 2 2" xfId="5024" xr:uid="{00000000-0005-0000-0000-0000105B0000}"/>
    <cellStyle name="40% - Accent6 2 4 2 2 2 2 2" xfId="10144" xr:uid="{00000000-0005-0000-0000-0000115B0000}"/>
    <cellStyle name="40% - Accent6 2 4 2 2 2 2 2 2" xfId="20384" xr:uid="{00000000-0005-0000-0000-0000125B0000}"/>
    <cellStyle name="40% - Accent6 2 4 2 2 2 2 2 2 2" xfId="40864" xr:uid="{00000000-0005-0000-0000-0000135B0000}"/>
    <cellStyle name="40% - Accent6 2 4 2 2 2 2 2 3" xfId="30624" xr:uid="{00000000-0005-0000-0000-0000145B0000}"/>
    <cellStyle name="40% - Accent6 2 4 2 2 2 2 3" xfId="15264" xr:uid="{00000000-0005-0000-0000-0000155B0000}"/>
    <cellStyle name="40% - Accent6 2 4 2 2 2 2 3 2" xfId="35744" xr:uid="{00000000-0005-0000-0000-0000165B0000}"/>
    <cellStyle name="40% - Accent6 2 4 2 2 2 2 4" xfId="25504" xr:uid="{00000000-0005-0000-0000-0000175B0000}"/>
    <cellStyle name="40% - Accent6 2 4 2 2 2 3" xfId="7584" xr:uid="{00000000-0005-0000-0000-0000185B0000}"/>
    <cellStyle name="40% - Accent6 2 4 2 2 2 3 2" xfId="17824" xr:uid="{00000000-0005-0000-0000-0000195B0000}"/>
    <cellStyle name="40% - Accent6 2 4 2 2 2 3 2 2" xfId="38304" xr:uid="{00000000-0005-0000-0000-00001A5B0000}"/>
    <cellStyle name="40% - Accent6 2 4 2 2 2 3 3" xfId="28064" xr:uid="{00000000-0005-0000-0000-00001B5B0000}"/>
    <cellStyle name="40% - Accent6 2 4 2 2 2 4" xfId="12704" xr:uid="{00000000-0005-0000-0000-00001C5B0000}"/>
    <cellStyle name="40% - Accent6 2 4 2 2 2 4 2" xfId="33184" xr:uid="{00000000-0005-0000-0000-00001D5B0000}"/>
    <cellStyle name="40% - Accent6 2 4 2 2 2 5" xfId="22944" xr:uid="{00000000-0005-0000-0000-00001E5B0000}"/>
    <cellStyle name="40% - Accent6 2 4 2 2 3" xfId="3744" xr:uid="{00000000-0005-0000-0000-00001F5B0000}"/>
    <cellStyle name="40% - Accent6 2 4 2 2 3 2" xfId="8864" xr:uid="{00000000-0005-0000-0000-0000205B0000}"/>
    <cellStyle name="40% - Accent6 2 4 2 2 3 2 2" xfId="19104" xr:uid="{00000000-0005-0000-0000-0000215B0000}"/>
    <cellStyle name="40% - Accent6 2 4 2 2 3 2 2 2" xfId="39584" xr:uid="{00000000-0005-0000-0000-0000225B0000}"/>
    <cellStyle name="40% - Accent6 2 4 2 2 3 2 3" xfId="29344" xr:uid="{00000000-0005-0000-0000-0000235B0000}"/>
    <cellStyle name="40% - Accent6 2 4 2 2 3 3" xfId="13984" xr:uid="{00000000-0005-0000-0000-0000245B0000}"/>
    <cellStyle name="40% - Accent6 2 4 2 2 3 3 2" xfId="34464" xr:uid="{00000000-0005-0000-0000-0000255B0000}"/>
    <cellStyle name="40% - Accent6 2 4 2 2 3 4" xfId="24224" xr:uid="{00000000-0005-0000-0000-0000265B0000}"/>
    <cellStyle name="40% - Accent6 2 4 2 2 4" xfId="6304" xr:uid="{00000000-0005-0000-0000-0000275B0000}"/>
    <cellStyle name="40% - Accent6 2 4 2 2 4 2" xfId="16544" xr:uid="{00000000-0005-0000-0000-0000285B0000}"/>
    <cellStyle name="40% - Accent6 2 4 2 2 4 2 2" xfId="37024" xr:uid="{00000000-0005-0000-0000-0000295B0000}"/>
    <cellStyle name="40% - Accent6 2 4 2 2 4 3" xfId="26784" xr:uid="{00000000-0005-0000-0000-00002A5B0000}"/>
    <cellStyle name="40% - Accent6 2 4 2 2 5" xfId="11424" xr:uid="{00000000-0005-0000-0000-00002B5B0000}"/>
    <cellStyle name="40% - Accent6 2 4 2 2 5 2" xfId="31904" xr:uid="{00000000-0005-0000-0000-00002C5B0000}"/>
    <cellStyle name="40% - Accent6 2 4 2 2 6" xfId="21664" xr:uid="{00000000-0005-0000-0000-00002D5B0000}"/>
    <cellStyle name="40% - Accent6 2 4 2 3" xfId="1824" xr:uid="{00000000-0005-0000-0000-00002E5B0000}"/>
    <cellStyle name="40% - Accent6 2 4 2 3 2" xfId="4384" xr:uid="{00000000-0005-0000-0000-00002F5B0000}"/>
    <cellStyle name="40% - Accent6 2 4 2 3 2 2" xfId="9504" xr:uid="{00000000-0005-0000-0000-0000305B0000}"/>
    <cellStyle name="40% - Accent6 2 4 2 3 2 2 2" xfId="19744" xr:uid="{00000000-0005-0000-0000-0000315B0000}"/>
    <cellStyle name="40% - Accent6 2 4 2 3 2 2 2 2" xfId="40224" xr:uid="{00000000-0005-0000-0000-0000325B0000}"/>
    <cellStyle name="40% - Accent6 2 4 2 3 2 2 3" xfId="29984" xr:uid="{00000000-0005-0000-0000-0000335B0000}"/>
    <cellStyle name="40% - Accent6 2 4 2 3 2 3" xfId="14624" xr:uid="{00000000-0005-0000-0000-0000345B0000}"/>
    <cellStyle name="40% - Accent6 2 4 2 3 2 3 2" xfId="35104" xr:uid="{00000000-0005-0000-0000-0000355B0000}"/>
    <cellStyle name="40% - Accent6 2 4 2 3 2 4" xfId="24864" xr:uid="{00000000-0005-0000-0000-0000365B0000}"/>
    <cellStyle name="40% - Accent6 2 4 2 3 3" xfId="6944" xr:uid="{00000000-0005-0000-0000-0000375B0000}"/>
    <cellStyle name="40% - Accent6 2 4 2 3 3 2" xfId="17184" xr:uid="{00000000-0005-0000-0000-0000385B0000}"/>
    <cellStyle name="40% - Accent6 2 4 2 3 3 2 2" xfId="37664" xr:uid="{00000000-0005-0000-0000-0000395B0000}"/>
    <cellStyle name="40% - Accent6 2 4 2 3 3 3" xfId="27424" xr:uid="{00000000-0005-0000-0000-00003A5B0000}"/>
    <cellStyle name="40% - Accent6 2 4 2 3 4" xfId="12064" xr:uid="{00000000-0005-0000-0000-00003B5B0000}"/>
    <cellStyle name="40% - Accent6 2 4 2 3 4 2" xfId="32544" xr:uid="{00000000-0005-0000-0000-00003C5B0000}"/>
    <cellStyle name="40% - Accent6 2 4 2 3 5" xfId="22304" xr:uid="{00000000-0005-0000-0000-00003D5B0000}"/>
    <cellStyle name="40% - Accent6 2 4 2 4" xfId="3104" xr:uid="{00000000-0005-0000-0000-00003E5B0000}"/>
    <cellStyle name="40% - Accent6 2 4 2 4 2" xfId="8224" xr:uid="{00000000-0005-0000-0000-00003F5B0000}"/>
    <cellStyle name="40% - Accent6 2 4 2 4 2 2" xfId="18464" xr:uid="{00000000-0005-0000-0000-0000405B0000}"/>
    <cellStyle name="40% - Accent6 2 4 2 4 2 2 2" xfId="38944" xr:uid="{00000000-0005-0000-0000-0000415B0000}"/>
    <cellStyle name="40% - Accent6 2 4 2 4 2 3" xfId="28704" xr:uid="{00000000-0005-0000-0000-0000425B0000}"/>
    <cellStyle name="40% - Accent6 2 4 2 4 3" xfId="13344" xr:uid="{00000000-0005-0000-0000-0000435B0000}"/>
    <cellStyle name="40% - Accent6 2 4 2 4 3 2" xfId="33824" xr:uid="{00000000-0005-0000-0000-0000445B0000}"/>
    <cellStyle name="40% - Accent6 2 4 2 4 4" xfId="23584" xr:uid="{00000000-0005-0000-0000-0000455B0000}"/>
    <cellStyle name="40% - Accent6 2 4 2 5" xfId="5664" xr:uid="{00000000-0005-0000-0000-0000465B0000}"/>
    <cellStyle name="40% - Accent6 2 4 2 5 2" xfId="15904" xr:uid="{00000000-0005-0000-0000-0000475B0000}"/>
    <cellStyle name="40% - Accent6 2 4 2 5 2 2" xfId="36384" xr:uid="{00000000-0005-0000-0000-0000485B0000}"/>
    <cellStyle name="40% - Accent6 2 4 2 5 3" xfId="26144" xr:uid="{00000000-0005-0000-0000-0000495B0000}"/>
    <cellStyle name="40% - Accent6 2 4 2 6" xfId="10784" xr:uid="{00000000-0005-0000-0000-00004A5B0000}"/>
    <cellStyle name="40% - Accent6 2 4 2 6 2" xfId="31264" xr:uid="{00000000-0005-0000-0000-00004B5B0000}"/>
    <cellStyle name="40% - Accent6 2 4 2 7" xfId="21024" xr:uid="{00000000-0005-0000-0000-00004C5B0000}"/>
    <cellStyle name="40% - Accent6 2 4 3" xfId="864" xr:uid="{00000000-0005-0000-0000-00004D5B0000}"/>
    <cellStyle name="40% - Accent6 2 4 3 2" xfId="2144" xr:uid="{00000000-0005-0000-0000-00004E5B0000}"/>
    <cellStyle name="40% - Accent6 2 4 3 2 2" xfId="4704" xr:uid="{00000000-0005-0000-0000-00004F5B0000}"/>
    <cellStyle name="40% - Accent6 2 4 3 2 2 2" xfId="9824" xr:uid="{00000000-0005-0000-0000-0000505B0000}"/>
    <cellStyle name="40% - Accent6 2 4 3 2 2 2 2" xfId="20064" xr:uid="{00000000-0005-0000-0000-0000515B0000}"/>
    <cellStyle name="40% - Accent6 2 4 3 2 2 2 2 2" xfId="40544" xr:uid="{00000000-0005-0000-0000-0000525B0000}"/>
    <cellStyle name="40% - Accent6 2 4 3 2 2 2 3" xfId="30304" xr:uid="{00000000-0005-0000-0000-0000535B0000}"/>
    <cellStyle name="40% - Accent6 2 4 3 2 2 3" xfId="14944" xr:uid="{00000000-0005-0000-0000-0000545B0000}"/>
    <cellStyle name="40% - Accent6 2 4 3 2 2 3 2" xfId="35424" xr:uid="{00000000-0005-0000-0000-0000555B0000}"/>
    <cellStyle name="40% - Accent6 2 4 3 2 2 4" xfId="25184" xr:uid="{00000000-0005-0000-0000-0000565B0000}"/>
    <cellStyle name="40% - Accent6 2 4 3 2 3" xfId="7264" xr:uid="{00000000-0005-0000-0000-0000575B0000}"/>
    <cellStyle name="40% - Accent6 2 4 3 2 3 2" xfId="17504" xr:uid="{00000000-0005-0000-0000-0000585B0000}"/>
    <cellStyle name="40% - Accent6 2 4 3 2 3 2 2" xfId="37984" xr:uid="{00000000-0005-0000-0000-0000595B0000}"/>
    <cellStyle name="40% - Accent6 2 4 3 2 3 3" xfId="27744" xr:uid="{00000000-0005-0000-0000-00005A5B0000}"/>
    <cellStyle name="40% - Accent6 2 4 3 2 4" xfId="12384" xr:uid="{00000000-0005-0000-0000-00005B5B0000}"/>
    <cellStyle name="40% - Accent6 2 4 3 2 4 2" xfId="32864" xr:uid="{00000000-0005-0000-0000-00005C5B0000}"/>
    <cellStyle name="40% - Accent6 2 4 3 2 5" xfId="22624" xr:uid="{00000000-0005-0000-0000-00005D5B0000}"/>
    <cellStyle name="40% - Accent6 2 4 3 3" xfId="3424" xr:uid="{00000000-0005-0000-0000-00005E5B0000}"/>
    <cellStyle name="40% - Accent6 2 4 3 3 2" xfId="8544" xr:uid="{00000000-0005-0000-0000-00005F5B0000}"/>
    <cellStyle name="40% - Accent6 2 4 3 3 2 2" xfId="18784" xr:uid="{00000000-0005-0000-0000-0000605B0000}"/>
    <cellStyle name="40% - Accent6 2 4 3 3 2 2 2" xfId="39264" xr:uid="{00000000-0005-0000-0000-0000615B0000}"/>
    <cellStyle name="40% - Accent6 2 4 3 3 2 3" xfId="29024" xr:uid="{00000000-0005-0000-0000-0000625B0000}"/>
    <cellStyle name="40% - Accent6 2 4 3 3 3" xfId="13664" xr:uid="{00000000-0005-0000-0000-0000635B0000}"/>
    <cellStyle name="40% - Accent6 2 4 3 3 3 2" xfId="34144" xr:uid="{00000000-0005-0000-0000-0000645B0000}"/>
    <cellStyle name="40% - Accent6 2 4 3 3 4" xfId="23904" xr:uid="{00000000-0005-0000-0000-0000655B0000}"/>
    <cellStyle name="40% - Accent6 2 4 3 4" xfId="5984" xr:uid="{00000000-0005-0000-0000-0000665B0000}"/>
    <cellStyle name="40% - Accent6 2 4 3 4 2" xfId="16224" xr:uid="{00000000-0005-0000-0000-0000675B0000}"/>
    <cellStyle name="40% - Accent6 2 4 3 4 2 2" xfId="36704" xr:uid="{00000000-0005-0000-0000-0000685B0000}"/>
    <cellStyle name="40% - Accent6 2 4 3 4 3" xfId="26464" xr:uid="{00000000-0005-0000-0000-0000695B0000}"/>
    <cellStyle name="40% - Accent6 2 4 3 5" xfId="11104" xr:uid="{00000000-0005-0000-0000-00006A5B0000}"/>
    <cellStyle name="40% - Accent6 2 4 3 5 2" xfId="31584" xr:uid="{00000000-0005-0000-0000-00006B5B0000}"/>
    <cellStyle name="40% - Accent6 2 4 3 6" xfId="21344" xr:uid="{00000000-0005-0000-0000-00006C5B0000}"/>
    <cellStyle name="40% - Accent6 2 4 4" xfId="1504" xr:uid="{00000000-0005-0000-0000-00006D5B0000}"/>
    <cellStyle name="40% - Accent6 2 4 4 2" xfId="4064" xr:uid="{00000000-0005-0000-0000-00006E5B0000}"/>
    <cellStyle name="40% - Accent6 2 4 4 2 2" xfId="9184" xr:uid="{00000000-0005-0000-0000-00006F5B0000}"/>
    <cellStyle name="40% - Accent6 2 4 4 2 2 2" xfId="19424" xr:uid="{00000000-0005-0000-0000-0000705B0000}"/>
    <cellStyle name="40% - Accent6 2 4 4 2 2 2 2" xfId="39904" xr:uid="{00000000-0005-0000-0000-0000715B0000}"/>
    <cellStyle name="40% - Accent6 2 4 4 2 2 3" xfId="29664" xr:uid="{00000000-0005-0000-0000-0000725B0000}"/>
    <cellStyle name="40% - Accent6 2 4 4 2 3" xfId="14304" xr:uid="{00000000-0005-0000-0000-0000735B0000}"/>
    <cellStyle name="40% - Accent6 2 4 4 2 3 2" xfId="34784" xr:uid="{00000000-0005-0000-0000-0000745B0000}"/>
    <cellStyle name="40% - Accent6 2 4 4 2 4" xfId="24544" xr:uid="{00000000-0005-0000-0000-0000755B0000}"/>
    <cellStyle name="40% - Accent6 2 4 4 3" xfId="6624" xr:uid="{00000000-0005-0000-0000-0000765B0000}"/>
    <cellStyle name="40% - Accent6 2 4 4 3 2" xfId="16864" xr:uid="{00000000-0005-0000-0000-0000775B0000}"/>
    <cellStyle name="40% - Accent6 2 4 4 3 2 2" xfId="37344" xr:uid="{00000000-0005-0000-0000-0000785B0000}"/>
    <cellStyle name="40% - Accent6 2 4 4 3 3" xfId="27104" xr:uid="{00000000-0005-0000-0000-0000795B0000}"/>
    <cellStyle name="40% - Accent6 2 4 4 4" xfId="11744" xr:uid="{00000000-0005-0000-0000-00007A5B0000}"/>
    <cellStyle name="40% - Accent6 2 4 4 4 2" xfId="32224" xr:uid="{00000000-0005-0000-0000-00007B5B0000}"/>
    <cellStyle name="40% - Accent6 2 4 4 5" xfId="21984" xr:uid="{00000000-0005-0000-0000-00007C5B0000}"/>
    <cellStyle name="40% - Accent6 2 4 5" xfId="2784" xr:uid="{00000000-0005-0000-0000-00007D5B0000}"/>
    <cellStyle name="40% - Accent6 2 4 5 2" xfId="7904" xr:uid="{00000000-0005-0000-0000-00007E5B0000}"/>
    <cellStyle name="40% - Accent6 2 4 5 2 2" xfId="18144" xr:uid="{00000000-0005-0000-0000-00007F5B0000}"/>
    <cellStyle name="40% - Accent6 2 4 5 2 2 2" xfId="38624" xr:uid="{00000000-0005-0000-0000-0000805B0000}"/>
    <cellStyle name="40% - Accent6 2 4 5 2 3" xfId="28384" xr:uid="{00000000-0005-0000-0000-0000815B0000}"/>
    <cellStyle name="40% - Accent6 2 4 5 3" xfId="13024" xr:uid="{00000000-0005-0000-0000-0000825B0000}"/>
    <cellStyle name="40% - Accent6 2 4 5 3 2" xfId="33504" xr:uid="{00000000-0005-0000-0000-0000835B0000}"/>
    <cellStyle name="40% - Accent6 2 4 5 4" xfId="23264" xr:uid="{00000000-0005-0000-0000-0000845B0000}"/>
    <cellStyle name="40% - Accent6 2 4 6" xfId="5344" xr:uid="{00000000-0005-0000-0000-0000855B0000}"/>
    <cellStyle name="40% - Accent6 2 4 6 2" xfId="15584" xr:uid="{00000000-0005-0000-0000-0000865B0000}"/>
    <cellStyle name="40% - Accent6 2 4 6 2 2" xfId="36064" xr:uid="{00000000-0005-0000-0000-0000875B0000}"/>
    <cellStyle name="40% - Accent6 2 4 6 3" xfId="25824" xr:uid="{00000000-0005-0000-0000-0000885B0000}"/>
    <cellStyle name="40% - Accent6 2 4 7" xfId="10464" xr:uid="{00000000-0005-0000-0000-0000895B0000}"/>
    <cellStyle name="40% - Accent6 2 4 7 2" xfId="30944" xr:uid="{00000000-0005-0000-0000-00008A5B0000}"/>
    <cellStyle name="40% - Accent6 2 4 8" xfId="20704" xr:uid="{00000000-0005-0000-0000-00008B5B0000}"/>
    <cellStyle name="40% - Accent6 2 5" xfId="384" xr:uid="{00000000-0005-0000-0000-00008C5B0000}"/>
    <cellStyle name="40% - Accent6 2 5 2" xfId="1024" xr:uid="{00000000-0005-0000-0000-00008D5B0000}"/>
    <cellStyle name="40% - Accent6 2 5 2 2" xfId="2304" xr:uid="{00000000-0005-0000-0000-00008E5B0000}"/>
    <cellStyle name="40% - Accent6 2 5 2 2 2" xfId="4864" xr:uid="{00000000-0005-0000-0000-00008F5B0000}"/>
    <cellStyle name="40% - Accent6 2 5 2 2 2 2" xfId="9984" xr:uid="{00000000-0005-0000-0000-0000905B0000}"/>
    <cellStyle name="40% - Accent6 2 5 2 2 2 2 2" xfId="20224" xr:uid="{00000000-0005-0000-0000-0000915B0000}"/>
    <cellStyle name="40% - Accent6 2 5 2 2 2 2 2 2" xfId="40704" xr:uid="{00000000-0005-0000-0000-0000925B0000}"/>
    <cellStyle name="40% - Accent6 2 5 2 2 2 2 3" xfId="30464" xr:uid="{00000000-0005-0000-0000-0000935B0000}"/>
    <cellStyle name="40% - Accent6 2 5 2 2 2 3" xfId="15104" xr:uid="{00000000-0005-0000-0000-0000945B0000}"/>
    <cellStyle name="40% - Accent6 2 5 2 2 2 3 2" xfId="35584" xr:uid="{00000000-0005-0000-0000-0000955B0000}"/>
    <cellStyle name="40% - Accent6 2 5 2 2 2 4" xfId="25344" xr:uid="{00000000-0005-0000-0000-0000965B0000}"/>
    <cellStyle name="40% - Accent6 2 5 2 2 3" xfId="7424" xr:uid="{00000000-0005-0000-0000-0000975B0000}"/>
    <cellStyle name="40% - Accent6 2 5 2 2 3 2" xfId="17664" xr:uid="{00000000-0005-0000-0000-0000985B0000}"/>
    <cellStyle name="40% - Accent6 2 5 2 2 3 2 2" xfId="38144" xr:uid="{00000000-0005-0000-0000-0000995B0000}"/>
    <cellStyle name="40% - Accent6 2 5 2 2 3 3" xfId="27904" xr:uid="{00000000-0005-0000-0000-00009A5B0000}"/>
    <cellStyle name="40% - Accent6 2 5 2 2 4" xfId="12544" xr:uid="{00000000-0005-0000-0000-00009B5B0000}"/>
    <cellStyle name="40% - Accent6 2 5 2 2 4 2" xfId="33024" xr:uid="{00000000-0005-0000-0000-00009C5B0000}"/>
    <cellStyle name="40% - Accent6 2 5 2 2 5" xfId="22784" xr:uid="{00000000-0005-0000-0000-00009D5B0000}"/>
    <cellStyle name="40% - Accent6 2 5 2 3" xfId="3584" xr:uid="{00000000-0005-0000-0000-00009E5B0000}"/>
    <cellStyle name="40% - Accent6 2 5 2 3 2" xfId="8704" xr:uid="{00000000-0005-0000-0000-00009F5B0000}"/>
    <cellStyle name="40% - Accent6 2 5 2 3 2 2" xfId="18944" xr:uid="{00000000-0005-0000-0000-0000A05B0000}"/>
    <cellStyle name="40% - Accent6 2 5 2 3 2 2 2" xfId="39424" xr:uid="{00000000-0005-0000-0000-0000A15B0000}"/>
    <cellStyle name="40% - Accent6 2 5 2 3 2 3" xfId="29184" xr:uid="{00000000-0005-0000-0000-0000A25B0000}"/>
    <cellStyle name="40% - Accent6 2 5 2 3 3" xfId="13824" xr:uid="{00000000-0005-0000-0000-0000A35B0000}"/>
    <cellStyle name="40% - Accent6 2 5 2 3 3 2" xfId="34304" xr:uid="{00000000-0005-0000-0000-0000A45B0000}"/>
    <cellStyle name="40% - Accent6 2 5 2 3 4" xfId="24064" xr:uid="{00000000-0005-0000-0000-0000A55B0000}"/>
    <cellStyle name="40% - Accent6 2 5 2 4" xfId="6144" xr:uid="{00000000-0005-0000-0000-0000A65B0000}"/>
    <cellStyle name="40% - Accent6 2 5 2 4 2" xfId="16384" xr:uid="{00000000-0005-0000-0000-0000A75B0000}"/>
    <cellStyle name="40% - Accent6 2 5 2 4 2 2" xfId="36864" xr:uid="{00000000-0005-0000-0000-0000A85B0000}"/>
    <cellStyle name="40% - Accent6 2 5 2 4 3" xfId="26624" xr:uid="{00000000-0005-0000-0000-0000A95B0000}"/>
    <cellStyle name="40% - Accent6 2 5 2 5" xfId="11264" xr:uid="{00000000-0005-0000-0000-0000AA5B0000}"/>
    <cellStyle name="40% - Accent6 2 5 2 5 2" xfId="31744" xr:uid="{00000000-0005-0000-0000-0000AB5B0000}"/>
    <cellStyle name="40% - Accent6 2 5 2 6" xfId="21504" xr:uid="{00000000-0005-0000-0000-0000AC5B0000}"/>
    <cellStyle name="40% - Accent6 2 5 3" xfId="1664" xr:uid="{00000000-0005-0000-0000-0000AD5B0000}"/>
    <cellStyle name="40% - Accent6 2 5 3 2" xfId="4224" xr:uid="{00000000-0005-0000-0000-0000AE5B0000}"/>
    <cellStyle name="40% - Accent6 2 5 3 2 2" xfId="9344" xr:uid="{00000000-0005-0000-0000-0000AF5B0000}"/>
    <cellStyle name="40% - Accent6 2 5 3 2 2 2" xfId="19584" xr:uid="{00000000-0005-0000-0000-0000B05B0000}"/>
    <cellStyle name="40% - Accent6 2 5 3 2 2 2 2" xfId="40064" xr:uid="{00000000-0005-0000-0000-0000B15B0000}"/>
    <cellStyle name="40% - Accent6 2 5 3 2 2 3" xfId="29824" xr:uid="{00000000-0005-0000-0000-0000B25B0000}"/>
    <cellStyle name="40% - Accent6 2 5 3 2 3" xfId="14464" xr:uid="{00000000-0005-0000-0000-0000B35B0000}"/>
    <cellStyle name="40% - Accent6 2 5 3 2 3 2" xfId="34944" xr:uid="{00000000-0005-0000-0000-0000B45B0000}"/>
    <cellStyle name="40% - Accent6 2 5 3 2 4" xfId="24704" xr:uid="{00000000-0005-0000-0000-0000B55B0000}"/>
    <cellStyle name="40% - Accent6 2 5 3 3" xfId="6784" xr:uid="{00000000-0005-0000-0000-0000B65B0000}"/>
    <cellStyle name="40% - Accent6 2 5 3 3 2" xfId="17024" xr:uid="{00000000-0005-0000-0000-0000B75B0000}"/>
    <cellStyle name="40% - Accent6 2 5 3 3 2 2" xfId="37504" xr:uid="{00000000-0005-0000-0000-0000B85B0000}"/>
    <cellStyle name="40% - Accent6 2 5 3 3 3" xfId="27264" xr:uid="{00000000-0005-0000-0000-0000B95B0000}"/>
    <cellStyle name="40% - Accent6 2 5 3 4" xfId="11904" xr:uid="{00000000-0005-0000-0000-0000BA5B0000}"/>
    <cellStyle name="40% - Accent6 2 5 3 4 2" xfId="32384" xr:uid="{00000000-0005-0000-0000-0000BB5B0000}"/>
    <cellStyle name="40% - Accent6 2 5 3 5" xfId="22144" xr:uid="{00000000-0005-0000-0000-0000BC5B0000}"/>
    <cellStyle name="40% - Accent6 2 5 4" xfId="2944" xr:uid="{00000000-0005-0000-0000-0000BD5B0000}"/>
    <cellStyle name="40% - Accent6 2 5 4 2" xfId="8064" xr:uid="{00000000-0005-0000-0000-0000BE5B0000}"/>
    <cellStyle name="40% - Accent6 2 5 4 2 2" xfId="18304" xr:uid="{00000000-0005-0000-0000-0000BF5B0000}"/>
    <cellStyle name="40% - Accent6 2 5 4 2 2 2" xfId="38784" xr:uid="{00000000-0005-0000-0000-0000C05B0000}"/>
    <cellStyle name="40% - Accent6 2 5 4 2 3" xfId="28544" xr:uid="{00000000-0005-0000-0000-0000C15B0000}"/>
    <cellStyle name="40% - Accent6 2 5 4 3" xfId="13184" xr:uid="{00000000-0005-0000-0000-0000C25B0000}"/>
    <cellStyle name="40% - Accent6 2 5 4 3 2" xfId="33664" xr:uid="{00000000-0005-0000-0000-0000C35B0000}"/>
    <cellStyle name="40% - Accent6 2 5 4 4" xfId="23424" xr:uid="{00000000-0005-0000-0000-0000C45B0000}"/>
    <cellStyle name="40% - Accent6 2 5 5" xfId="5504" xr:uid="{00000000-0005-0000-0000-0000C55B0000}"/>
    <cellStyle name="40% - Accent6 2 5 5 2" xfId="15744" xr:uid="{00000000-0005-0000-0000-0000C65B0000}"/>
    <cellStyle name="40% - Accent6 2 5 5 2 2" xfId="36224" xr:uid="{00000000-0005-0000-0000-0000C75B0000}"/>
    <cellStyle name="40% - Accent6 2 5 5 3" xfId="25984" xr:uid="{00000000-0005-0000-0000-0000C85B0000}"/>
    <cellStyle name="40% - Accent6 2 5 6" xfId="10624" xr:uid="{00000000-0005-0000-0000-0000C95B0000}"/>
    <cellStyle name="40% - Accent6 2 5 6 2" xfId="31104" xr:uid="{00000000-0005-0000-0000-0000CA5B0000}"/>
    <cellStyle name="40% - Accent6 2 5 7" xfId="20864" xr:uid="{00000000-0005-0000-0000-0000CB5B0000}"/>
    <cellStyle name="40% - Accent6 2 6" xfId="704" xr:uid="{00000000-0005-0000-0000-0000CC5B0000}"/>
    <cellStyle name="40% - Accent6 2 6 2" xfId="1984" xr:uid="{00000000-0005-0000-0000-0000CD5B0000}"/>
    <cellStyle name="40% - Accent6 2 6 2 2" xfId="4544" xr:uid="{00000000-0005-0000-0000-0000CE5B0000}"/>
    <cellStyle name="40% - Accent6 2 6 2 2 2" xfId="9664" xr:uid="{00000000-0005-0000-0000-0000CF5B0000}"/>
    <cellStyle name="40% - Accent6 2 6 2 2 2 2" xfId="19904" xr:uid="{00000000-0005-0000-0000-0000D05B0000}"/>
    <cellStyle name="40% - Accent6 2 6 2 2 2 2 2" xfId="40384" xr:uid="{00000000-0005-0000-0000-0000D15B0000}"/>
    <cellStyle name="40% - Accent6 2 6 2 2 2 3" xfId="30144" xr:uid="{00000000-0005-0000-0000-0000D25B0000}"/>
    <cellStyle name="40% - Accent6 2 6 2 2 3" xfId="14784" xr:uid="{00000000-0005-0000-0000-0000D35B0000}"/>
    <cellStyle name="40% - Accent6 2 6 2 2 3 2" xfId="35264" xr:uid="{00000000-0005-0000-0000-0000D45B0000}"/>
    <cellStyle name="40% - Accent6 2 6 2 2 4" xfId="25024" xr:uid="{00000000-0005-0000-0000-0000D55B0000}"/>
    <cellStyle name="40% - Accent6 2 6 2 3" xfId="7104" xr:uid="{00000000-0005-0000-0000-0000D65B0000}"/>
    <cellStyle name="40% - Accent6 2 6 2 3 2" xfId="17344" xr:uid="{00000000-0005-0000-0000-0000D75B0000}"/>
    <cellStyle name="40% - Accent6 2 6 2 3 2 2" xfId="37824" xr:uid="{00000000-0005-0000-0000-0000D85B0000}"/>
    <cellStyle name="40% - Accent6 2 6 2 3 3" xfId="27584" xr:uid="{00000000-0005-0000-0000-0000D95B0000}"/>
    <cellStyle name="40% - Accent6 2 6 2 4" xfId="12224" xr:uid="{00000000-0005-0000-0000-0000DA5B0000}"/>
    <cellStyle name="40% - Accent6 2 6 2 4 2" xfId="32704" xr:uid="{00000000-0005-0000-0000-0000DB5B0000}"/>
    <cellStyle name="40% - Accent6 2 6 2 5" xfId="22464" xr:uid="{00000000-0005-0000-0000-0000DC5B0000}"/>
    <cellStyle name="40% - Accent6 2 6 3" xfId="3264" xr:uid="{00000000-0005-0000-0000-0000DD5B0000}"/>
    <cellStyle name="40% - Accent6 2 6 3 2" xfId="8384" xr:uid="{00000000-0005-0000-0000-0000DE5B0000}"/>
    <cellStyle name="40% - Accent6 2 6 3 2 2" xfId="18624" xr:uid="{00000000-0005-0000-0000-0000DF5B0000}"/>
    <cellStyle name="40% - Accent6 2 6 3 2 2 2" xfId="39104" xr:uid="{00000000-0005-0000-0000-0000E05B0000}"/>
    <cellStyle name="40% - Accent6 2 6 3 2 3" xfId="28864" xr:uid="{00000000-0005-0000-0000-0000E15B0000}"/>
    <cellStyle name="40% - Accent6 2 6 3 3" xfId="13504" xr:uid="{00000000-0005-0000-0000-0000E25B0000}"/>
    <cellStyle name="40% - Accent6 2 6 3 3 2" xfId="33984" xr:uid="{00000000-0005-0000-0000-0000E35B0000}"/>
    <cellStyle name="40% - Accent6 2 6 3 4" xfId="23744" xr:uid="{00000000-0005-0000-0000-0000E45B0000}"/>
    <cellStyle name="40% - Accent6 2 6 4" xfId="5824" xr:uid="{00000000-0005-0000-0000-0000E55B0000}"/>
    <cellStyle name="40% - Accent6 2 6 4 2" xfId="16064" xr:uid="{00000000-0005-0000-0000-0000E65B0000}"/>
    <cellStyle name="40% - Accent6 2 6 4 2 2" xfId="36544" xr:uid="{00000000-0005-0000-0000-0000E75B0000}"/>
    <cellStyle name="40% - Accent6 2 6 4 3" xfId="26304" xr:uid="{00000000-0005-0000-0000-0000E85B0000}"/>
    <cellStyle name="40% - Accent6 2 6 5" xfId="10944" xr:uid="{00000000-0005-0000-0000-0000E95B0000}"/>
    <cellStyle name="40% - Accent6 2 6 5 2" xfId="31424" xr:uid="{00000000-0005-0000-0000-0000EA5B0000}"/>
    <cellStyle name="40% - Accent6 2 6 6" xfId="21184" xr:uid="{00000000-0005-0000-0000-0000EB5B0000}"/>
    <cellStyle name="40% - Accent6 2 7" xfId="1344" xr:uid="{00000000-0005-0000-0000-0000EC5B0000}"/>
    <cellStyle name="40% - Accent6 2 7 2" xfId="3904" xr:uid="{00000000-0005-0000-0000-0000ED5B0000}"/>
    <cellStyle name="40% - Accent6 2 7 2 2" xfId="9024" xr:uid="{00000000-0005-0000-0000-0000EE5B0000}"/>
    <cellStyle name="40% - Accent6 2 7 2 2 2" xfId="19264" xr:uid="{00000000-0005-0000-0000-0000EF5B0000}"/>
    <cellStyle name="40% - Accent6 2 7 2 2 2 2" xfId="39744" xr:uid="{00000000-0005-0000-0000-0000F05B0000}"/>
    <cellStyle name="40% - Accent6 2 7 2 2 3" xfId="29504" xr:uid="{00000000-0005-0000-0000-0000F15B0000}"/>
    <cellStyle name="40% - Accent6 2 7 2 3" xfId="14144" xr:uid="{00000000-0005-0000-0000-0000F25B0000}"/>
    <cellStyle name="40% - Accent6 2 7 2 3 2" xfId="34624" xr:uid="{00000000-0005-0000-0000-0000F35B0000}"/>
    <cellStyle name="40% - Accent6 2 7 2 4" xfId="24384" xr:uid="{00000000-0005-0000-0000-0000F45B0000}"/>
    <cellStyle name="40% - Accent6 2 7 3" xfId="6464" xr:uid="{00000000-0005-0000-0000-0000F55B0000}"/>
    <cellStyle name="40% - Accent6 2 7 3 2" xfId="16704" xr:uid="{00000000-0005-0000-0000-0000F65B0000}"/>
    <cellStyle name="40% - Accent6 2 7 3 2 2" xfId="37184" xr:uid="{00000000-0005-0000-0000-0000F75B0000}"/>
    <cellStyle name="40% - Accent6 2 7 3 3" xfId="26944" xr:uid="{00000000-0005-0000-0000-0000F85B0000}"/>
    <cellStyle name="40% - Accent6 2 7 4" xfId="11584" xr:uid="{00000000-0005-0000-0000-0000F95B0000}"/>
    <cellStyle name="40% - Accent6 2 7 4 2" xfId="32064" xr:uid="{00000000-0005-0000-0000-0000FA5B0000}"/>
    <cellStyle name="40% - Accent6 2 7 5" xfId="21824" xr:uid="{00000000-0005-0000-0000-0000FB5B0000}"/>
    <cellStyle name="40% - Accent6 2 8" xfId="2624" xr:uid="{00000000-0005-0000-0000-0000FC5B0000}"/>
    <cellStyle name="40% - Accent6 2 8 2" xfId="7744" xr:uid="{00000000-0005-0000-0000-0000FD5B0000}"/>
    <cellStyle name="40% - Accent6 2 8 2 2" xfId="17984" xr:uid="{00000000-0005-0000-0000-0000FE5B0000}"/>
    <cellStyle name="40% - Accent6 2 8 2 2 2" xfId="38464" xr:uid="{00000000-0005-0000-0000-0000FF5B0000}"/>
    <cellStyle name="40% - Accent6 2 8 2 3" xfId="28224" xr:uid="{00000000-0005-0000-0000-0000005C0000}"/>
    <cellStyle name="40% - Accent6 2 8 3" xfId="12864" xr:uid="{00000000-0005-0000-0000-0000015C0000}"/>
    <cellStyle name="40% - Accent6 2 8 3 2" xfId="33344" xr:uid="{00000000-0005-0000-0000-0000025C0000}"/>
    <cellStyle name="40% - Accent6 2 8 4" xfId="23104" xr:uid="{00000000-0005-0000-0000-0000035C0000}"/>
    <cellStyle name="40% - Accent6 2 9" xfId="5184" xr:uid="{00000000-0005-0000-0000-0000045C0000}"/>
    <cellStyle name="40% - Accent6 2 9 2" xfId="15424" xr:uid="{00000000-0005-0000-0000-0000055C0000}"/>
    <cellStyle name="40% - Accent6 2 9 2 2" xfId="35904" xr:uid="{00000000-0005-0000-0000-0000065C0000}"/>
    <cellStyle name="40% - Accent6 2 9 3" xfId="25664" xr:uid="{00000000-0005-0000-0000-0000075C0000}"/>
    <cellStyle name="40% - Accent6 3" xfId="84" xr:uid="{00000000-0005-0000-0000-0000085C0000}"/>
    <cellStyle name="40% - Accent6 3 10" xfId="20564" xr:uid="{00000000-0005-0000-0000-0000095C0000}"/>
    <cellStyle name="40% - Accent6 3 2" xfId="164" xr:uid="{00000000-0005-0000-0000-00000A5C0000}"/>
    <cellStyle name="40% - Accent6 3 2 2" xfId="324" xr:uid="{00000000-0005-0000-0000-00000B5C0000}"/>
    <cellStyle name="40% - Accent6 3 2 2 2" xfId="644" xr:uid="{00000000-0005-0000-0000-00000C5C0000}"/>
    <cellStyle name="40% - Accent6 3 2 2 2 2" xfId="1284" xr:uid="{00000000-0005-0000-0000-00000D5C0000}"/>
    <cellStyle name="40% - Accent6 3 2 2 2 2 2" xfId="2564" xr:uid="{00000000-0005-0000-0000-00000E5C0000}"/>
    <cellStyle name="40% - Accent6 3 2 2 2 2 2 2" xfId="5124" xr:uid="{00000000-0005-0000-0000-00000F5C0000}"/>
    <cellStyle name="40% - Accent6 3 2 2 2 2 2 2 2" xfId="10244" xr:uid="{00000000-0005-0000-0000-0000105C0000}"/>
    <cellStyle name="40% - Accent6 3 2 2 2 2 2 2 2 2" xfId="20484" xr:uid="{00000000-0005-0000-0000-0000115C0000}"/>
    <cellStyle name="40% - Accent6 3 2 2 2 2 2 2 2 2 2" xfId="40964" xr:uid="{00000000-0005-0000-0000-0000125C0000}"/>
    <cellStyle name="40% - Accent6 3 2 2 2 2 2 2 2 3" xfId="30724" xr:uid="{00000000-0005-0000-0000-0000135C0000}"/>
    <cellStyle name="40% - Accent6 3 2 2 2 2 2 2 3" xfId="15364" xr:uid="{00000000-0005-0000-0000-0000145C0000}"/>
    <cellStyle name="40% - Accent6 3 2 2 2 2 2 2 3 2" xfId="35844" xr:uid="{00000000-0005-0000-0000-0000155C0000}"/>
    <cellStyle name="40% - Accent6 3 2 2 2 2 2 2 4" xfId="25604" xr:uid="{00000000-0005-0000-0000-0000165C0000}"/>
    <cellStyle name="40% - Accent6 3 2 2 2 2 2 3" xfId="7684" xr:uid="{00000000-0005-0000-0000-0000175C0000}"/>
    <cellStyle name="40% - Accent6 3 2 2 2 2 2 3 2" xfId="17924" xr:uid="{00000000-0005-0000-0000-0000185C0000}"/>
    <cellStyle name="40% - Accent6 3 2 2 2 2 2 3 2 2" xfId="38404" xr:uid="{00000000-0005-0000-0000-0000195C0000}"/>
    <cellStyle name="40% - Accent6 3 2 2 2 2 2 3 3" xfId="28164" xr:uid="{00000000-0005-0000-0000-00001A5C0000}"/>
    <cellStyle name="40% - Accent6 3 2 2 2 2 2 4" xfId="12804" xr:uid="{00000000-0005-0000-0000-00001B5C0000}"/>
    <cellStyle name="40% - Accent6 3 2 2 2 2 2 4 2" xfId="33284" xr:uid="{00000000-0005-0000-0000-00001C5C0000}"/>
    <cellStyle name="40% - Accent6 3 2 2 2 2 2 5" xfId="23044" xr:uid="{00000000-0005-0000-0000-00001D5C0000}"/>
    <cellStyle name="40% - Accent6 3 2 2 2 2 3" xfId="3844" xr:uid="{00000000-0005-0000-0000-00001E5C0000}"/>
    <cellStyle name="40% - Accent6 3 2 2 2 2 3 2" xfId="8964" xr:uid="{00000000-0005-0000-0000-00001F5C0000}"/>
    <cellStyle name="40% - Accent6 3 2 2 2 2 3 2 2" xfId="19204" xr:uid="{00000000-0005-0000-0000-0000205C0000}"/>
    <cellStyle name="40% - Accent6 3 2 2 2 2 3 2 2 2" xfId="39684" xr:uid="{00000000-0005-0000-0000-0000215C0000}"/>
    <cellStyle name="40% - Accent6 3 2 2 2 2 3 2 3" xfId="29444" xr:uid="{00000000-0005-0000-0000-0000225C0000}"/>
    <cellStyle name="40% - Accent6 3 2 2 2 2 3 3" xfId="14084" xr:uid="{00000000-0005-0000-0000-0000235C0000}"/>
    <cellStyle name="40% - Accent6 3 2 2 2 2 3 3 2" xfId="34564" xr:uid="{00000000-0005-0000-0000-0000245C0000}"/>
    <cellStyle name="40% - Accent6 3 2 2 2 2 3 4" xfId="24324" xr:uid="{00000000-0005-0000-0000-0000255C0000}"/>
    <cellStyle name="40% - Accent6 3 2 2 2 2 4" xfId="6404" xr:uid="{00000000-0005-0000-0000-0000265C0000}"/>
    <cellStyle name="40% - Accent6 3 2 2 2 2 4 2" xfId="16644" xr:uid="{00000000-0005-0000-0000-0000275C0000}"/>
    <cellStyle name="40% - Accent6 3 2 2 2 2 4 2 2" xfId="37124" xr:uid="{00000000-0005-0000-0000-0000285C0000}"/>
    <cellStyle name="40% - Accent6 3 2 2 2 2 4 3" xfId="26884" xr:uid="{00000000-0005-0000-0000-0000295C0000}"/>
    <cellStyle name="40% - Accent6 3 2 2 2 2 5" xfId="11524" xr:uid="{00000000-0005-0000-0000-00002A5C0000}"/>
    <cellStyle name="40% - Accent6 3 2 2 2 2 5 2" xfId="32004" xr:uid="{00000000-0005-0000-0000-00002B5C0000}"/>
    <cellStyle name="40% - Accent6 3 2 2 2 2 6" xfId="21764" xr:uid="{00000000-0005-0000-0000-00002C5C0000}"/>
    <cellStyle name="40% - Accent6 3 2 2 2 3" xfId="1924" xr:uid="{00000000-0005-0000-0000-00002D5C0000}"/>
    <cellStyle name="40% - Accent6 3 2 2 2 3 2" xfId="4484" xr:uid="{00000000-0005-0000-0000-00002E5C0000}"/>
    <cellStyle name="40% - Accent6 3 2 2 2 3 2 2" xfId="9604" xr:uid="{00000000-0005-0000-0000-00002F5C0000}"/>
    <cellStyle name="40% - Accent6 3 2 2 2 3 2 2 2" xfId="19844" xr:uid="{00000000-0005-0000-0000-0000305C0000}"/>
    <cellStyle name="40% - Accent6 3 2 2 2 3 2 2 2 2" xfId="40324" xr:uid="{00000000-0005-0000-0000-0000315C0000}"/>
    <cellStyle name="40% - Accent6 3 2 2 2 3 2 2 3" xfId="30084" xr:uid="{00000000-0005-0000-0000-0000325C0000}"/>
    <cellStyle name="40% - Accent6 3 2 2 2 3 2 3" xfId="14724" xr:uid="{00000000-0005-0000-0000-0000335C0000}"/>
    <cellStyle name="40% - Accent6 3 2 2 2 3 2 3 2" xfId="35204" xr:uid="{00000000-0005-0000-0000-0000345C0000}"/>
    <cellStyle name="40% - Accent6 3 2 2 2 3 2 4" xfId="24964" xr:uid="{00000000-0005-0000-0000-0000355C0000}"/>
    <cellStyle name="40% - Accent6 3 2 2 2 3 3" xfId="7044" xr:uid="{00000000-0005-0000-0000-0000365C0000}"/>
    <cellStyle name="40% - Accent6 3 2 2 2 3 3 2" xfId="17284" xr:uid="{00000000-0005-0000-0000-0000375C0000}"/>
    <cellStyle name="40% - Accent6 3 2 2 2 3 3 2 2" xfId="37764" xr:uid="{00000000-0005-0000-0000-0000385C0000}"/>
    <cellStyle name="40% - Accent6 3 2 2 2 3 3 3" xfId="27524" xr:uid="{00000000-0005-0000-0000-0000395C0000}"/>
    <cellStyle name="40% - Accent6 3 2 2 2 3 4" xfId="12164" xr:uid="{00000000-0005-0000-0000-00003A5C0000}"/>
    <cellStyle name="40% - Accent6 3 2 2 2 3 4 2" xfId="32644" xr:uid="{00000000-0005-0000-0000-00003B5C0000}"/>
    <cellStyle name="40% - Accent6 3 2 2 2 3 5" xfId="22404" xr:uid="{00000000-0005-0000-0000-00003C5C0000}"/>
    <cellStyle name="40% - Accent6 3 2 2 2 4" xfId="3204" xr:uid="{00000000-0005-0000-0000-00003D5C0000}"/>
    <cellStyle name="40% - Accent6 3 2 2 2 4 2" xfId="8324" xr:uid="{00000000-0005-0000-0000-00003E5C0000}"/>
    <cellStyle name="40% - Accent6 3 2 2 2 4 2 2" xfId="18564" xr:uid="{00000000-0005-0000-0000-00003F5C0000}"/>
    <cellStyle name="40% - Accent6 3 2 2 2 4 2 2 2" xfId="39044" xr:uid="{00000000-0005-0000-0000-0000405C0000}"/>
    <cellStyle name="40% - Accent6 3 2 2 2 4 2 3" xfId="28804" xr:uid="{00000000-0005-0000-0000-0000415C0000}"/>
    <cellStyle name="40% - Accent6 3 2 2 2 4 3" xfId="13444" xr:uid="{00000000-0005-0000-0000-0000425C0000}"/>
    <cellStyle name="40% - Accent6 3 2 2 2 4 3 2" xfId="33924" xr:uid="{00000000-0005-0000-0000-0000435C0000}"/>
    <cellStyle name="40% - Accent6 3 2 2 2 4 4" xfId="23684" xr:uid="{00000000-0005-0000-0000-0000445C0000}"/>
    <cellStyle name="40% - Accent6 3 2 2 2 5" xfId="5764" xr:uid="{00000000-0005-0000-0000-0000455C0000}"/>
    <cellStyle name="40% - Accent6 3 2 2 2 5 2" xfId="16004" xr:uid="{00000000-0005-0000-0000-0000465C0000}"/>
    <cellStyle name="40% - Accent6 3 2 2 2 5 2 2" xfId="36484" xr:uid="{00000000-0005-0000-0000-0000475C0000}"/>
    <cellStyle name="40% - Accent6 3 2 2 2 5 3" xfId="26244" xr:uid="{00000000-0005-0000-0000-0000485C0000}"/>
    <cellStyle name="40% - Accent6 3 2 2 2 6" xfId="10884" xr:uid="{00000000-0005-0000-0000-0000495C0000}"/>
    <cellStyle name="40% - Accent6 3 2 2 2 6 2" xfId="31364" xr:uid="{00000000-0005-0000-0000-00004A5C0000}"/>
    <cellStyle name="40% - Accent6 3 2 2 2 7" xfId="21124" xr:uid="{00000000-0005-0000-0000-00004B5C0000}"/>
    <cellStyle name="40% - Accent6 3 2 2 3" xfId="964" xr:uid="{00000000-0005-0000-0000-00004C5C0000}"/>
    <cellStyle name="40% - Accent6 3 2 2 3 2" xfId="2244" xr:uid="{00000000-0005-0000-0000-00004D5C0000}"/>
    <cellStyle name="40% - Accent6 3 2 2 3 2 2" xfId="4804" xr:uid="{00000000-0005-0000-0000-00004E5C0000}"/>
    <cellStyle name="40% - Accent6 3 2 2 3 2 2 2" xfId="9924" xr:uid="{00000000-0005-0000-0000-00004F5C0000}"/>
    <cellStyle name="40% - Accent6 3 2 2 3 2 2 2 2" xfId="20164" xr:uid="{00000000-0005-0000-0000-0000505C0000}"/>
    <cellStyle name="40% - Accent6 3 2 2 3 2 2 2 2 2" xfId="40644" xr:uid="{00000000-0005-0000-0000-0000515C0000}"/>
    <cellStyle name="40% - Accent6 3 2 2 3 2 2 2 3" xfId="30404" xr:uid="{00000000-0005-0000-0000-0000525C0000}"/>
    <cellStyle name="40% - Accent6 3 2 2 3 2 2 3" xfId="15044" xr:uid="{00000000-0005-0000-0000-0000535C0000}"/>
    <cellStyle name="40% - Accent6 3 2 2 3 2 2 3 2" xfId="35524" xr:uid="{00000000-0005-0000-0000-0000545C0000}"/>
    <cellStyle name="40% - Accent6 3 2 2 3 2 2 4" xfId="25284" xr:uid="{00000000-0005-0000-0000-0000555C0000}"/>
    <cellStyle name="40% - Accent6 3 2 2 3 2 3" xfId="7364" xr:uid="{00000000-0005-0000-0000-0000565C0000}"/>
    <cellStyle name="40% - Accent6 3 2 2 3 2 3 2" xfId="17604" xr:uid="{00000000-0005-0000-0000-0000575C0000}"/>
    <cellStyle name="40% - Accent6 3 2 2 3 2 3 2 2" xfId="38084" xr:uid="{00000000-0005-0000-0000-0000585C0000}"/>
    <cellStyle name="40% - Accent6 3 2 2 3 2 3 3" xfId="27844" xr:uid="{00000000-0005-0000-0000-0000595C0000}"/>
    <cellStyle name="40% - Accent6 3 2 2 3 2 4" xfId="12484" xr:uid="{00000000-0005-0000-0000-00005A5C0000}"/>
    <cellStyle name="40% - Accent6 3 2 2 3 2 4 2" xfId="32964" xr:uid="{00000000-0005-0000-0000-00005B5C0000}"/>
    <cellStyle name="40% - Accent6 3 2 2 3 2 5" xfId="22724" xr:uid="{00000000-0005-0000-0000-00005C5C0000}"/>
    <cellStyle name="40% - Accent6 3 2 2 3 3" xfId="3524" xr:uid="{00000000-0005-0000-0000-00005D5C0000}"/>
    <cellStyle name="40% - Accent6 3 2 2 3 3 2" xfId="8644" xr:uid="{00000000-0005-0000-0000-00005E5C0000}"/>
    <cellStyle name="40% - Accent6 3 2 2 3 3 2 2" xfId="18884" xr:uid="{00000000-0005-0000-0000-00005F5C0000}"/>
    <cellStyle name="40% - Accent6 3 2 2 3 3 2 2 2" xfId="39364" xr:uid="{00000000-0005-0000-0000-0000605C0000}"/>
    <cellStyle name="40% - Accent6 3 2 2 3 3 2 3" xfId="29124" xr:uid="{00000000-0005-0000-0000-0000615C0000}"/>
    <cellStyle name="40% - Accent6 3 2 2 3 3 3" xfId="13764" xr:uid="{00000000-0005-0000-0000-0000625C0000}"/>
    <cellStyle name="40% - Accent6 3 2 2 3 3 3 2" xfId="34244" xr:uid="{00000000-0005-0000-0000-0000635C0000}"/>
    <cellStyle name="40% - Accent6 3 2 2 3 3 4" xfId="24004" xr:uid="{00000000-0005-0000-0000-0000645C0000}"/>
    <cellStyle name="40% - Accent6 3 2 2 3 4" xfId="6084" xr:uid="{00000000-0005-0000-0000-0000655C0000}"/>
    <cellStyle name="40% - Accent6 3 2 2 3 4 2" xfId="16324" xr:uid="{00000000-0005-0000-0000-0000665C0000}"/>
    <cellStyle name="40% - Accent6 3 2 2 3 4 2 2" xfId="36804" xr:uid="{00000000-0005-0000-0000-0000675C0000}"/>
    <cellStyle name="40% - Accent6 3 2 2 3 4 3" xfId="26564" xr:uid="{00000000-0005-0000-0000-0000685C0000}"/>
    <cellStyle name="40% - Accent6 3 2 2 3 5" xfId="11204" xr:uid="{00000000-0005-0000-0000-0000695C0000}"/>
    <cellStyle name="40% - Accent6 3 2 2 3 5 2" xfId="31684" xr:uid="{00000000-0005-0000-0000-00006A5C0000}"/>
    <cellStyle name="40% - Accent6 3 2 2 3 6" xfId="21444" xr:uid="{00000000-0005-0000-0000-00006B5C0000}"/>
    <cellStyle name="40% - Accent6 3 2 2 4" xfId="1604" xr:uid="{00000000-0005-0000-0000-00006C5C0000}"/>
    <cellStyle name="40% - Accent6 3 2 2 4 2" xfId="4164" xr:uid="{00000000-0005-0000-0000-00006D5C0000}"/>
    <cellStyle name="40% - Accent6 3 2 2 4 2 2" xfId="9284" xr:uid="{00000000-0005-0000-0000-00006E5C0000}"/>
    <cellStyle name="40% - Accent6 3 2 2 4 2 2 2" xfId="19524" xr:uid="{00000000-0005-0000-0000-00006F5C0000}"/>
    <cellStyle name="40% - Accent6 3 2 2 4 2 2 2 2" xfId="40004" xr:uid="{00000000-0005-0000-0000-0000705C0000}"/>
    <cellStyle name="40% - Accent6 3 2 2 4 2 2 3" xfId="29764" xr:uid="{00000000-0005-0000-0000-0000715C0000}"/>
    <cellStyle name="40% - Accent6 3 2 2 4 2 3" xfId="14404" xr:uid="{00000000-0005-0000-0000-0000725C0000}"/>
    <cellStyle name="40% - Accent6 3 2 2 4 2 3 2" xfId="34884" xr:uid="{00000000-0005-0000-0000-0000735C0000}"/>
    <cellStyle name="40% - Accent6 3 2 2 4 2 4" xfId="24644" xr:uid="{00000000-0005-0000-0000-0000745C0000}"/>
    <cellStyle name="40% - Accent6 3 2 2 4 3" xfId="6724" xr:uid="{00000000-0005-0000-0000-0000755C0000}"/>
    <cellStyle name="40% - Accent6 3 2 2 4 3 2" xfId="16964" xr:uid="{00000000-0005-0000-0000-0000765C0000}"/>
    <cellStyle name="40% - Accent6 3 2 2 4 3 2 2" xfId="37444" xr:uid="{00000000-0005-0000-0000-0000775C0000}"/>
    <cellStyle name="40% - Accent6 3 2 2 4 3 3" xfId="27204" xr:uid="{00000000-0005-0000-0000-0000785C0000}"/>
    <cellStyle name="40% - Accent6 3 2 2 4 4" xfId="11844" xr:uid="{00000000-0005-0000-0000-0000795C0000}"/>
    <cellStyle name="40% - Accent6 3 2 2 4 4 2" xfId="32324" xr:uid="{00000000-0005-0000-0000-00007A5C0000}"/>
    <cellStyle name="40% - Accent6 3 2 2 4 5" xfId="22084" xr:uid="{00000000-0005-0000-0000-00007B5C0000}"/>
    <cellStyle name="40% - Accent6 3 2 2 5" xfId="2884" xr:uid="{00000000-0005-0000-0000-00007C5C0000}"/>
    <cellStyle name="40% - Accent6 3 2 2 5 2" xfId="8004" xr:uid="{00000000-0005-0000-0000-00007D5C0000}"/>
    <cellStyle name="40% - Accent6 3 2 2 5 2 2" xfId="18244" xr:uid="{00000000-0005-0000-0000-00007E5C0000}"/>
    <cellStyle name="40% - Accent6 3 2 2 5 2 2 2" xfId="38724" xr:uid="{00000000-0005-0000-0000-00007F5C0000}"/>
    <cellStyle name="40% - Accent6 3 2 2 5 2 3" xfId="28484" xr:uid="{00000000-0005-0000-0000-0000805C0000}"/>
    <cellStyle name="40% - Accent6 3 2 2 5 3" xfId="13124" xr:uid="{00000000-0005-0000-0000-0000815C0000}"/>
    <cellStyle name="40% - Accent6 3 2 2 5 3 2" xfId="33604" xr:uid="{00000000-0005-0000-0000-0000825C0000}"/>
    <cellStyle name="40% - Accent6 3 2 2 5 4" xfId="23364" xr:uid="{00000000-0005-0000-0000-0000835C0000}"/>
    <cellStyle name="40% - Accent6 3 2 2 6" xfId="5444" xr:uid="{00000000-0005-0000-0000-0000845C0000}"/>
    <cellStyle name="40% - Accent6 3 2 2 6 2" xfId="15684" xr:uid="{00000000-0005-0000-0000-0000855C0000}"/>
    <cellStyle name="40% - Accent6 3 2 2 6 2 2" xfId="36164" xr:uid="{00000000-0005-0000-0000-0000865C0000}"/>
    <cellStyle name="40% - Accent6 3 2 2 6 3" xfId="25924" xr:uid="{00000000-0005-0000-0000-0000875C0000}"/>
    <cellStyle name="40% - Accent6 3 2 2 7" xfId="10564" xr:uid="{00000000-0005-0000-0000-0000885C0000}"/>
    <cellStyle name="40% - Accent6 3 2 2 7 2" xfId="31044" xr:uid="{00000000-0005-0000-0000-0000895C0000}"/>
    <cellStyle name="40% - Accent6 3 2 2 8" xfId="20804" xr:uid="{00000000-0005-0000-0000-00008A5C0000}"/>
    <cellStyle name="40% - Accent6 3 2 3" xfId="484" xr:uid="{00000000-0005-0000-0000-00008B5C0000}"/>
    <cellStyle name="40% - Accent6 3 2 3 2" xfId="1124" xr:uid="{00000000-0005-0000-0000-00008C5C0000}"/>
    <cellStyle name="40% - Accent6 3 2 3 2 2" xfId="2404" xr:uid="{00000000-0005-0000-0000-00008D5C0000}"/>
    <cellStyle name="40% - Accent6 3 2 3 2 2 2" xfId="4964" xr:uid="{00000000-0005-0000-0000-00008E5C0000}"/>
    <cellStyle name="40% - Accent6 3 2 3 2 2 2 2" xfId="10084" xr:uid="{00000000-0005-0000-0000-00008F5C0000}"/>
    <cellStyle name="40% - Accent6 3 2 3 2 2 2 2 2" xfId="20324" xr:uid="{00000000-0005-0000-0000-0000905C0000}"/>
    <cellStyle name="40% - Accent6 3 2 3 2 2 2 2 2 2" xfId="40804" xr:uid="{00000000-0005-0000-0000-0000915C0000}"/>
    <cellStyle name="40% - Accent6 3 2 3 2 2 2 2 3" xfId="30564" xr:uid="{00000000-0005-0000-0000-0000925C0000}"/>
    <cellStyle name="40% - Accent6 3 2 3 2 2 2 3" xfId="15204" xr:uid="{00000000-0005-0000-0000-0000935C0000}"/>
    <cellStyle name="40% - Accent6 3 2 3 2 2 2 3 2" xfId="35684" xr:uid="{00000000-0005-0000-0000-0000945C0000}"/>
    <cellStyle name="40% - Accent6 3 2 3 2 2 2 4" xfId="25444" xr:uid="{00000000-0005-0000-0000-0000955C0000}"/>
    <cellStyle name="40% - Accent6 3 2 3 2 2 3" xfId="7524" xr:uid="{00000000-0005-0000-0000-0000965C0000}"/>
    <cellStyle name="40% - Accent6 3 2 3 2 2 3 2" xfId="17764" xr:uid="{00000000-0005-0000-0000-0000975C0000}"/>
    <cellStyle name="40% - Accent6 3 2 3 2 2 3 2 2" xfId="38244" xr:uid="{00000000-0005-0000-0000-0000985C0000}"/>
    <cellStyle name="40% - Accent6 3 2 3 2 2 3 3" xfId="28004" xr:uid="{00000000-0005-0000-0000-0000995C0000}"/>
    <cellStyle name="40% - Accent6 3 2 3 2 2 4" xfId="12644" xr:uid="{00000000-0005-0000-0000-00009A5C0000}"/>
    <cellStyle name="40% - Accent6 3 2 3 2 2 4 2" xfId="33124" xr:uid="{00000000-0005-0000-0000-00009B5C0000}"/>
    <cellStyle name="40% - Accent6 3 2 3 2 2 5" xfId="22884" xr:uid="{00000000-0005-0000-0000-00009C5C0000}"/>
    <cellStyle name="40% - Accent6 3 2 3 2 3" xfId="3684" xr:uid="{00000000-0005-0000-0000-00009D5C0000}"/>
    <cellStyle name="40% - Accent6 3 2 3 2 3 2" xfId="8804" xr:uid="{00000000-0005-0000-0000-00009E5C0000}"/>
    <cellStyle name="40% - Accent6 3 2 3 2 3 2 2" xfId="19044" xr:uid="{00000000-0005-0000-0000-00009F5C0000}"/>
    <cellStyle name="40% - Accent6 3 2 3 2 3 2 2 2" xfId="39524" xr:uid="{00000000-0005-0000-0000-0000A05C0000}"/>
    <cellStyle name="40% - Accent6 3 2 3 2 3 2 3" xfId="29284" xr:uid="{00000000-0005-0000-0000-0000A15C0000}"/>
    <cellStyle name="40% - Accent6 3 2 3 2 3 3" xfId="13924" xr:uid="{00000000-0005-0000-0000-0000A25C0000}"/>
    <cellStyle name="40% - Accent6 3 2 3 2 3 3 2" xfId="34404" xr:uid="{00000000-0005-0000-0000-0000A35C0000}"/>
    <cellStyle name="40% - Accent6 3 2 3 2 3 4" xfId="24164" xr:uid="{00000000-0005-0000-0000-0000A45C0000}"/>
    <cellStyle name="40% - Accent6 3 2 3 2 4" xfId="6244" xr:uid="{00000000-0005-0000-0000-0000A55C0000}"/>
    <cellStyle name="40% - Accent6 3 2 3 2 4 2" xfId="16484" xr:uid="{00000000-0005-0000-0000-0000A65C0000}"/>
    <cellStyle name="40% - Accent6 3 2 3 2 4 2 2" xfId="36964" xr:uid="{00000000-0005-0000-0000-0000A75C0000}"/>
    <cellStyle name="40% - Accent6 3 2 3 2 4 3" xfId="26724" xr:uid="{00000000-0005-0000-0000-0000A85C0000}"/>
    <cellStyle name="40% - Accent6 3 2 3 2 5" xfId="11364" xr:uid="{00000000-0005-0000-0000-0000A95C0000}"/>
    <cellStyle name="40% - Accent6 3 2 3 2 5 2" xfId="31844" xr:uid="{00000000-0005-0000-0000-0000AA5C0000}"/>
    <cellStyle name="40% - Accent6 3 2 3 2 6" xfId="21604" xr:uid="{00000000-0005-0000-0000-0000AB5C0000}"/>
    <cellStyle name="40% - Accent6 3 2 3 3" xfId="1764" xr:uid="{00000000-0005-0000-0000-0000AC5C0000}"/>
    <cellStyle name="40% - Accent6 3 2 3 3 2" xfId="4324" xr:uid="{00000000-0005-0000-0000-0000AD5C0000}"/>
    <cellStyle name="40% - Accent6 3 2 3 3 2 2" xfId="9444" xr:uid="{00000000-0005-0000-0000-0000AE5C0000}"/>
    <cellStyle name="40% - Accent6 3 2 3 3 2 2 2" xfId="19684" xr:uid="{00000000-0005-0000-0000-0000AF5C0000}"/>
    <cellStyle name="40% - Accent6 3 2 3 3 2 2 2 2" xfId="40164" xr:uid="{00000000-0005-0000-0000-0000B05C0000}"/>
    <cellStyle name="40% - Accent6 3 2 3 3 2 2 3" xfId="29924" xr:uid="{00000000-0005-0000-0000-0000B15C0000}"/>
    <cellStyle name="40% - Accent6 3 2 3 3 2 3" xfId="14564" xr:uid="{00000000-0005-0000-0000-0000B25C0000}"/>
    <cellStyle name="40% - Accent6 3 2 3 3 2 3 2" xfId="35044" xr:uid="{00000000-0005-0000-0000-0000B35C0000}"/>
    <cellStyle name="40% - Accent6 3 2 3 3 2 4" xfId="24804" xr:uid="{00000000-0005-0000-0000-0000B45C0000}"/>
    <cellStyle name="40% - Accent6 3 2 3 3 3" xfId="6884" xr:uid="{00000000-0005-0000-0000-0000B55C0000}"/>
    <cellStyle name="40% - Accent6 3 2 3 3 3 2" xfId="17124" xr:uid="{00000000-0005-0000-0000-0000B65C0000}"/>
    <cellStyle name="40% - Accent6 3 2 3 3 3 2 2" xfId="37604" xr:uid="{00000000-0005-0000-0000-0000B75C0000}"/>
    <cellStyle name="40% - Accent6 3 2 3 3 3 3" xfId="27364" xr:uid="{00000000-0005-0000-0000-0000B85C0000}"/>
    <cellStyle name="40% - Accent6 3 2 3 3 4" xfId="12004" xr:uid="{00000000-0005-0000-0000-0000B95C0000}"/>
    <cellStyle name="40% - Accent6 3 2 3 3 4 2" xfId="32484" xr:uid="{00000000-0005-0000-0000-0000BA5C0000}"/>
    <cellStyle name="40% - Accent6 3 2 3 3 5" xfId="22244" xr:uid="{00000000-0005-0000-0000-0000BB5C0000}"/>
    <cellStyle name="40% - Accent6 3 2 3 4" xfId="3044" xr:uid="{00000000-0005-0000-0000-0000BC5C0000}"/>
    <cellStyle name="40% - Accent6 3 2 3 4 2" xfId="8164" xr:uid="{00000000-0005-0000-0000-0000BD5C0000}"/>
    <cellStyle name="40% - Accent6 3 2 3 4 2 2" xfId="18404" xr:uid="{00000000-0005-0000-0000-0000BE5C0000}"/>
    <cellStyle name="40% - Accent6 3 2 3 4 2 2 2" xfId="38884" xr:uid="{00000000-0005-0000-0000-0000BF5C0000}"/>
    <cellStyle name="40% - Accent6 3 2 3 4 2 3" xfId="28644" xr:uid="{00000000-0005-0000-0000-0000C05C0000}"/>
    <cellStyle name="40% - Accent6 3 2 3 4 3" xfId="13284" xr:uid="{00000000-0005-0000-0000-0000C15C0000}"/>
    <cellStyle name="40% - Accent6 3 2 3 4 3 2" xfId="33764" xr:uid="{00000000-0005-0000-0000-0000C25C0000}"/>
    <cellStyle name="40% - Accent6 3 2 3 4 4" xfId="23524" xr:uid="{00000000-0005-0000-0000-0000C35C0000}"/>
    <cellStyle name="40% - Accent6 3 2 3 5" xfId="5604" xr:uid="{00000000-0005-0000-0000-0000C45C0000}"/>
    <cellStyle name="40% - Accent6 3 2 3 5 2" xfId="15844" xr:uid="{00000000-0005-0000-0000-0000C55C0000}"/>
    <cellStyle name="40% - Accent6 3 2 3 5 2 2" xfId="36324" xr:uid="{00000000-0005-0000-0000-0000C65C0000}"/>
    <cellStyle name="40% - Accent6 3 2 3 5 3" xfId="26084" xr:uid="{00000000-0005-0000-0000-0000C75C0000}"/>
    <cellStyle name="40% - Accent6 3 2 3 6" xfId="10724" xr:uid="{00000000-0005-0000-0000-0000C85C0000}"/>
    <cellStyle name="40% - Accent6 3 2 3 6 2" xfId="31204" xr:uid="{00000000-0005-0000-0000-0000C95C0000}"/>
    <cellStyle name="40% - Accent6 3 2 3 7" xfId="20964" xr:uid="{00000000-0005-0000-0000-0000CA5C0000}"/>
    <cellStyle name="40% - Accent6 3 2 4" xfId="804" xr:uid="{00000000-0005-0000-0000-0000CB5C0000}"/>
    <cellStyle name="40% - Accent6 3 2 4 2" xfId="2084" xr:uid="{00000000-0005-0000-0000-0000CC5C0000}"/>
    <cellStyle name="40% - Accent6 3 2 4 2 2" xfId="4644" xr:uid="{00000000-0005-0000-0000-0000CD5C0000}"/>
    <cellStyle name="40% - Accent6 3 2 4 2 2 2" xfId="9764" xr:uid="{00000000-0005-0000-0000-0000CE5C0000}"/>
    <cellStyle name="40% - Accent6 3 2 4 2 2 2 2" xfId="20004" xr:uid="{00000000-0005-0000-0000-0000CF5C0000}"/>
    <cellStyle name="40% - Accent6 3 2 4 2 2 2 2 2" xfId="40484" xr:uid="{00000000-0005-0000-0000-0000D05C0000}"/>
    <cellStyle name="40% - Accent6 3 2 4 2 2 2 3" xfId="30244" xr:uid="{00000000-0005-0000-0000-0000D15C0000}"/>
    <cellStyle name="40% - Accent6 3 2 4 2 2 3" xfId="14884" xr:uid="{00000000-0005-0000-0000-0000D25C0000}"/>
    <cellStyle name="40% - Accent6 3 2 4 2 2 3 2" xfId="35364" xr:uid="{00000000-0005-0000-0000-0000D35C0000}"/>
    <cellStyle name="40% - Accent6 3 2 4 2 2 4" xfId="25124" xr:uid="{00000000-0005-0000-0000-0000D45C0000}"/>
    <cellStyle name="40% - Accent6 3 2 4 2 3" xfId="7204" xr:uid="{00000000-0005-0000-0000-0000D55C0000}"/>
    <cellStyle name="40% - Accent6 3 2 4 2 3 2" xfId="17444" xr:uid="{00000000-0005-0000-0000-0000D65C0000}"/>
    <cellStyle name="40% - Accent6 3 2 4 2 3 2 2" xfId="37924" xr:uid="{00000000-0005-0000-0000-0000D75C0000}"/>
    <cellStyle name="40% - Accent6 3 2 4 2 3 3" xfId="27684" xr:uid="{00000000-0005-0000-0000-0000D85C0000}"/>
    <cellStyle name="40% - Accent6 3 2 4 2 4" xfId="12324" xr:uid="{00000000-0005-0000-0000-0000D95C0000}"/>
    <cellStyle name="40% - Accent6 3 2 4 2 4 2" xfId="32804" xr:uid="{00000000-0005-0000-0000-0000DA5C0000}"/>
    <cellStyle name="40% - Accent6 3 2 4 2 5" xfId="22564" xr:uid="{00000000-0005-0000-0000-0000DB5C0000}"/>
    <cellStyle name="40% - Accent6 3 2 4 3" xfId="3364" xr:uid="{00000000-0005-0000-0000-0000DC5C0000}"/>
    <cellStyle name="40% - Accent6 3 2 4 3 2" xfId="8484" xr:uid="{00000000-0005-0000-0000-0000DD5C0000}"/>
    <cellStyle name="40% - Accent6 3 2 4 3 2 2" xfId="18724" xr:uid="{00000000-0005-0000-0000-0000DE5C0000}"/>
    <cellStyle name="40% - Accent6 3 2 4 3 2 2 2" xfId="39204" xr:uid="{00000000-0005-0000-0000-0000DF5C0000}"/>
    <cellStyle name="40% - Accent6 3 2 4 3 2 3" xfId="28964" xr:uid="{00000000-0005-0000-0000-0000E05C0000}"/>
    <cellStyle name="40% - Accent6 3 2 4 3 3" xfId="13604" xr:uid="{00000000-0005-0000-0000-0000E15C0000}"/>
    <cellStyle name="40% - Accent6 3 2 4 3 3 2" xfId="34084" xr:uid="{00000000-0005-0000-0000-0000E25C0000}"/>
    <cellStyle name="40% - Accent6 3 2 4 3 4" xfId="23844" xr:uid="{00000000-0005-0000-0000-0000E35C0000}"/>
    <cellStyle name="40% - Accent6 3 2 4 4" xfId="5924" xr:uid="{00000000-0005-0000-0000-0000E45C0000}"/>
    <cellStyle name="40% - Accent6 3 2 4 4 2" xfId="16164" xr:uid="{00000000-0005-0000-0000-0000E55C0000}"/>
    <cellStyle name="40% - Accent6 3 2 4 4 2 2" xfId="36644" xr:uid="{00000000-0005-0000-0000-0000E65C0000}"/>
    <cellStyle name="40% - Accent6 3 2 4 4 3" xfId="26404" xr:uid="{00000000-0005-0000-0000-0000E75C0000}"/>
    <cellStyle name="40% - Accent6 3 2 4 5" xfId="11044" xr:uid="{00000000-0005-0000-0000-0000E85C0000}"/>
    <cellStyle name="40% - Accent6 3 2 4 5 2" xfId="31524" xr:uid="{00000000-0005-0000-0000-0000E95C0000}"/>
    <cellStyle name="40% - Accent6 3 2 4 6" xfId="21284" xr:uid="{00000000-0005-0000-0000-0000EA5C0000}"/>
    <cellStyle name="40% - Accent6 3 2 5" xfId="1444" xr:uid="{00000000-0005-0000-0000-0000EB5C0000}"/>
    <cellStyle name="40% - Accent6 3 2 5 2" xfId="4004" xr:uid="{00000000-0005-0000-0000-0000EC5C0000}"/>
    <cellStyle name="40% - Accent6 3 2 5 2 2" xfId="9124" xr:uid="{00000000-0005-0000-0000-0000ED5C0000}"/>
    <cellStyle name="40% - Accent6 3 2 5 2 2 2" xfId="19364" xr:uid="{00000000-0005-0000-0000-0000EE5C0000}"/>
    <cellStyle name="40% - Accent6 3 2 5 2 2 2 2" xfId="39844" xr:uid="{00000000-0005-0000-0000-0000EF5C0000}"/>
    <cellStyle name="40% - Accent6 3 2 5 2 2 3" xfId="29604" xr:uid="{00000000-0005-0000-0000-0000F05C0000}"/>
    <cellStyle name="40% - Accent6 3 2 5 2 3" xfId="14244" xr:uid="{00000000-0005-0000-0000-0000F15C0000}"/>
    <cellStyle name="40% - Accent6 3 2 5 2 3 2" xfId="34724" xr:uid="{00000000-0005-0000-0000-0000F25C0000}"/>
    <cellStyle name="40% - Accent6 3 2 5 2 4" xfId="24484" xr:uid="{00000000-0005-0000-0000-0000F35C0000}"/>
    <cellStyle name="40% - Accent6 3 2 5 3" xfId="6564" xr:uid="{00000000-0005-0000-0000-0000F45C0000}"/>
    <cellStyle name="40% - Accent6 3 2 5 3 2" xfId="16804" xr:uid="{00000000-0005-0000-0000-0000F55C0000}"/>
    <cellStyle name="40% - Accent6 3 2 5 3 2 2" xfId="37284" xr:uid="{00000000-0005-0000-0000-0000F65C0000}"/>
    <cellStyle name="40% - Accent6 3 2 5 3 3" xfId="27044" xr:uid="{00000000-0005-0000-0000-0000F75C0000}"/>
    <cellStyle name="40% - Accent6 3 2 5 4" xfId="11684" xr:uid="{00000000-0005-0000-0000-0000F85C0000}"/>
    <cellStyle name="40% - Accent6 3 2 5 4 2" xfId="32164" xr:uid="{00000000-0005-0000-0000-0000F95C0000}"/>
    <cellStyle name="40% - Accent6 3 2 5 5" xfId="21924" xr:uid="{00000000-0005-0000-0000-0000FA5C0000}"/>
    <cellStyle name="40% - Accent6 3 2 6" xfId="2724" xr:uid="{00000000-0005-0000-0000-0000FB5C0000}"/>
    <cellStyle name="40% - Accent6 3 2 6 2" xfId="7844" xr:uid="{00000000-0005-0000-0000-0000FC5C0000}"/>
    <cellStyle name="40% - Accent6 3 2 6 2 2" xfId="18084" xr:uid="{00000000-0005-0000-0000-0000FD5C0000}"/>
    <cellStyle name="40% - Accent6 3 2 6 2 2 2" xfId="38564" xr:uid="{00000000-0005-0000-0000-0000FE5C0000}"/>
    <cellStyle name="40% - Accent6 3 2 6 2 3" xfId="28324" xr:uid="{00000000-0005-0000-0000-0000FF5C0000}"/>
    <cellStyle name="40% - Accent6 3 2 6 3" xfId="12964" xr:uid="{00000000-0005-0000-0000-0000005D0000}"/>
    <cellStyle name="40% - Accent6 3 2 6 3 2" xfId="33444" xr:uid="{00000000-0005-0000-0000-0000015D0000}"/>
    <cellStyle name="40% - Accent6 3 2 6 4" xfId="23204" xr:uid="{00000000-0005-0000-0000-0000025D0000}"/>
    <cellStyle name="40% - Accent6 3 2 7" xfId="5284" xr:uid="{00000000-0005-0000-0000-0000035D0000}"/>
    <cellStyle name="40% - Accent6 3 2 7 2" xfId="15524" xr:uid="{00000000-0005-0000-0000-0000045D0000}"/>
    <cellStyle name="40% - Accent6 3 2 7 2 2" xfId="36004" xr:uid="{00000000-0005-0000-0000-0000055D0000}"/>
    <cellStyle name="40% - Accent6 3 2 7 3" xfId="25764" xr:uid="{00000000-0005-0000-0000-0000065D0000}"/>
    <cellStyle name="40% - Accent6 3 2 8" xfId="10404" xr:uid="{00000000-0005-0000-0000-0000075D0000}"/>
    <cellStyle name="40% - Accent6 3 2 8 2" xfId="30884" xr:uid="{00000000-0005-0000-0000-0000085D0000}"/>
    <cellStyle name="40% - Accent6 3 2 9" xfId="20644" xr:uid="{00000000-0005-0000-0000-0000095D0000}"/>
    <cellStyle name="40% - Accent6 3 3" xfId="244" xr:uid="{00000000-0005-0000-0000-00000A5D0000}"/>
    <cellStyle name="40% - Accent6 3 3 2" xfId="564" xr:uid="{00000000-0005-0000-0000-00000B5D0000}"/>
    <cellStyle name="40% - Accent6 3 3 2 2" xfId="1204" xr:uid="{00000000-0005-0000-0000-00000C5D0000}"/>
    <cellStyle name="40% - Accent6 3 3 2 2 2" xfId="2484" xr:uid="{00000000-0005-0000-0000-00000D5D0000}"/>
    <cellStyle name="40% - Accent6 3 3 2 2 2 2" xfId="5044" xr:uid="{00000000-0005-0000-0000-00000E5D0000}"/>
    <cellStyle name="40% - Accent6 3 3 2 2 2 2 2" xfId="10164" xr:uid="{00000000-0005-0000-0000-00000F5D0000}"/>
    <cellStyle name="40% - Accent6 3 3 2 2 2 2 2 2" xfId="20404" xr:uid="{00000000-0005-0000-0000-0000105D0000}"/>
    <cellStyle name="40% - Accent6 3 3 2 2 2 2 2 2 2" xfId="40884" xr:uid="{00000000-0005-0000-0000-0000115D0000}"/>
    <cellStyle name="40% - Accent6 3 3 2 2 2 2 2 3" xfId="30644" xr:uid="{00000000-0005-0000-0000-0000125D0000}"/>
    <cellStyle name="40% - Accent6 3 3 2 2 2 2 3" xfId="15284" xr:uid="{00000000-0005-0000-0000-0000135D0000}"/>
    <cellStyle name="40% - Accent6 3 3 2 2 2 2 3 2" xfId="35764" xr:uid="{00000000-0005-0000-0000-0000145D0000}"/>
    <cellStyle name="40% - Accent6 3 3 2 2 2 2 4" xfId="25524" xr:uid="{00000000-0005-0000-0000-0000155D0000}"/>
    <cellStyle name="40% - Accent6 3 3 2 2 2 3" xfId="7604" xr:uid="{00000000-0005-0000-0000-0000165D0000}"/>
    <cellStyle name="40% - Accent6 3 3 2 2 2 3 2" xfId="17844" xr:uid="{00000000-0005-0000-0000-0000175D0000}"/>
    <cellStyle name="40% - Accent6 3 3 2 2 2 3 2 2" xfId="38324" xr:uid="{00000000-0005-0000-0000-0000185D0000}"/>
    <cellStyle name="40% - Accent6 3 3 2 2 2 3 3" xfId="28084" xr:uid="{00000000-0005-0000-0000-0000195D0000}"/>
    <cellStyle name="40% - Accent6 3 3 2 2 2 4" xfId="12724" xr:uid="{00000000-0005-0000-0000-00001A5D0000}"/>
    <cellStyle name="40% - Accent6 3 3 2 2 2 4 2" xfId="33204" xr:uid="{00000000-0005-0000-0000-00001B5D0000}"/>
    <cellStyle name="40% - Accent6 3 3 2 2 2 5" xfId="22964" xr:uid="{00000000-0005-0000-0000-00001C5D0000}"/>
    <cellStyle name="40% - Accent6 3 3 2 2 3" xfId="3764" xr:uid="{00000000-0005-0000-0000-00001D5D0000}"/>
    <cellStyle name="40% - Accent6 3 3 2 2 3 2" xfId="8884" xr:uid="{00000000-0005-0000-0000-00001E5D0000}"/>
    <cellStyle name="40% - Accent6 3 3 2 2 3 2 2" xfId="19124" xr:uid="{00000000-0005-0000-0000-00001F5D0000}"/>
    <cellStyle name="40% - Accent6 3 3 2 2 3 2 2 2" xfId="39604" xr:uid="{00000000-0005-0000-0000-0000205D0000}"/>
    <cellStyle name="40% - Accent6 3 3 2 2 3 2 3" xfId="29364" xr:uid="{00000000-0005-0000-0000-0000215D0000}"/>
    <cellStyle name="40% - Accent6 3 3 2 2 3 3" xfId="14004" xr:uid="{00000000-0005-0000-0000-0000225D0000}"/>
    <cellStyle name="40% - Accent6 3 3 2 2 3 3 2" xfId="34484" xr:uid="{00000000-0005-0000-0000-0000235D0000}"/>
    <cellStyle name="40% - Accent6 3 3 2 2 3 4" xfId="24244" xr:uid="{00000000-0005-0000-0000-0000245D0000}"/>
    <cellStyle name="40% - Accent6 3 3 2 2 4" xfId="6324" xr:uid="{00000000-0005-0000-0000-0000255D0000}"/>
    <cellStyle name="40% - Accent6 3 3 2 2 4 2" xfId="16564" xr:uid="{00000000-0005-0000-0000-0000265D0000}"/>
    <cellStyle name="40% - Accent6 3 3 2 2 4 2 2" xfId="37044" xr:uid="{00000000-0005-0000-0000-0000275D0000}"/>
    <cellStyle name="40% - Accent6 3 3 2 2 4 3" xfId="26804" xr:uid="{00000000-0005-0000-0000-0000285D0000}"/>
    <cellStyle name="40% - Accent6 3 3 2 2 5" xfId="11444" xr:uid="{00000000-0005-0000-0000-0000295D0000}"/>
    <cellStyle name="40% - Accent6 3 3 2 2 5 2" xfId="31924" xr:uid="{00000000-0005-0000-0000-00002A5D0000}"/>
    <cellStyle name="40% - Accent6 3 3 2 2 6" xfId="21684" xr:uid="{00000000-0005-0000-0000-00002B5D0000}"/>
    <cellStyle name="40% - Accent6 3 3 2 3" xfId="1844" xr:uid="{00000000-0005-0000-0000-00002C5D0000}"/>
    <cellStyle name="40% - Accent6 3 3 2 3 2" xfId="4404" xr:uid="{00000000-0005-0000-0000-00002D5D0000}"/>
    <cellStyle name="40% - Accent6 3 3 2 3 2 2" xfId="9524" xr:uid="{00000000-0005-0000-0000-00002E5D0000}"/>
    <cellStyle name="40% - Accent6 3 3 2 3 2 2 2" xfId="19764" xr:uid="{00000000-0005-0000-0000-00002F5D0000}"/>
    <cellStyle name="40% - Accent6 3 3 2 3 2 2 2 2" xfId="40244" xr:uid="{00000000-0005-0000-0000-0000305D0000}"/>
    <cellStyle name="40% - Accent6 3 3 2 3 2 2 3" xfId="30004" xr:uid="{00000000-0005-0000-0000-0000315D0000}"/>
    <cellStyle name="40% - Accent6 3 3 2 3 2 3" xfId="14644" xr:uid="{00000000-0005-0000-0000-0000325D0000}"/>
    <cellStyle name="40% - Accent6 3 3 2 3 2 3 2" xfId="35124" xr:uid="{00000000-0005-0000-0000-0000335D0000}"/>
    <cellStyle name="40% - Accent6 3 3 2 3 2 4" xfId="24884" xr:uid="{00000000-0005-0000-0000-0000345D0000}"/>
    <cellStyle name="40% - Accent6 3 3 2 3 3" xfId="6964" xr:uid="{00000000-0005-0000-0000-0000355D0000}"/>
    <cellStyle name="40% - Accent6 3 3 2 3 3 2" xfId="17204" xr:uid="{00000000-0005-0000-0000-0000365D0000}"/>
    <cellStyle name="40% - Accent6 3 3 2 3 3 2 2" xfId="37684" xr:uid="{00000000-0005-0000-0000-0000375D0000}"/>
    <cellStyle name="40% - Accent6 3 3 2 3 3 3" xfId="27444" xr:uid="{00000000-0005-0000-0000-0000385D0000}"/>
    <cellStyle name="40% - Accent6 3 3 2 3 4" xfId="12084" xr:uid="{00000000-0005-0000-0000-0000395D0000}"/>
    <cellStyle name="40% - Accent6 3 3 2 3 4 2" xfId="32564" xr:uid="{00000000-0005-0000-0000-00003A5D0000}"/>
    <cellStyle name="40% - Accent6 3 3 2 3 5" xfId="22324" xr:uid="{00000000-0005-0000-0000-00003B5D0000}"/>
    <cellStyle name="40% - Accent6 3 3 2 4" xfId="3124" xr:uid="{00000000-0005-0000-0000-00003C5D0000}"/>
    <cellStyle name="40% - Accent6 3 3 2 4 2" xfId="8244" xr:uid="{00000000-0005-0000-0000-00003D5D0000}"/>
    <cellStyle name="40% - Accent6 3 3 2 4 2 2" xfId="18484" xr:uid="{00000000-0005-0000-0000-00003E5D0000}"/>
    <cellStyle name="40% - Accent6 3 3 2 4 2 2 2" xfId="38964" xr:uid="{00000000-0005-0000-0000-00003F5D0000}"/>
    <cellStyle name="40% - Accent6 3 3 2 4 2 3" xfId="28724" xr:uid="{00000000-0005-0000-0000-0000405D0000}"/>
    <cellStyle name="40% - Accent6 3 3 2 4 3" xfId="13364" xr:uid="{00000000-0005-0000-0000-0000415D0000}"/>
    <cellStyle name="40% - Accent6 3 3 2 4 3 2" xfId="33844" xr:uid="{00000000-0005-0000-0000-0000425D0000}"/>
    <cellStyle name="40% - Accent6 3 3 2 4 4" xfId="23604" xr:uid="{00000000-0005-0000-0000-0000435D0000}"/>
    <cellStyle name="40% - Accent6 3 3 2 5" xfId="5684" xr:uid="{00000000-0005-0000-0000-0000445D0000}"/>
    <cellStyle name="40% - Accent6 3 3 2 5 2" xfId="15924" xr:uid="{00000000-0005-0000-0000-0000455D0000}"/>
    <cellStyle name="40% - Accent6 3 3 2 5 2 2" xfId="36404" xr:uid="{00000000-0005-0000-0000-0000465D0000}"/>
    <cellStyle name="40% - Accent6 3 3 2 5 3" xfId="26164" xr:uid="{00000000-0005-0000-0000-0000475D0000}"/>
    <cellStyle name="40% - Accent6 3 3 2 6" xfId="10804" xr:uid="{00000000-0005-0000-0000-0000485D0000}"/>
    <cellStyle name="40% - Accent6 3 3 2 6 2" xfId="31284" xr:uid="{00000000-0005-0000-0000-0000495D0000}"/>
    <cellStyle name="40% - Accent6 3 3 2 7" xfId="21044" xr:uid="{00000000-0005-0000-0000-00004A5D0000}"/>
    <cellStyle name="40% - Accent6 3 3 3" xfId="884" xr:uid="{00000000-0005-0000-0000-00004B5D0000}"/>
    <cellStyle name="40% - Accent6 3 3 3 2" xfId="2164" xr:uid="{00000000-0005-0000-0000-00004C5D0000}"/>
    <cellStyle name="40% - Accent6 3 3 3 2 2" xfId="4724" xr:uid="{00000000-0005-0000-0000-00004D5D0000}"/>
    <cellStyle name="40% - Accent6 3 3 3 2 2 2" xfId="9844" xr:uid="{00000000-0005-0000-0000-00004E5D0000}"/>
    <cellStyle name="40% - Accent6 3 3 3 2 2 2 2" xfId="20084" xr:uid="{00000000-0005-0000-0000-00004F5D0000}"/>
    <cellStyle name="40% - Accent6 3 3 3 2 2 2 2 2" xfId="40564" xr:uid="{00000000-0005-0000-0000-0000505D0000}"/>
    <cellStyle name="40% - Accent6 3 3 3 2 2 2 3" xfId="30324" xr:uid="{00000000-0005-0000-0000-0000515D0000}"/>
    <cellStyle name="40% - Accent6 3 3 3 2 2 3" xfId="14964" xr:uid="{00000000-0005-0000-0000-0000525D0000}"/>
    <cellStyle name="40% - Accent6 3 3 3 2 2 3 2" xfId="35444" xr:uid="{00000000-0005-0000-0000-0000535D0000}"/>
    <cellStyle name="40% - Accent6 3 3 3 2 2 4" xfId="25204" xr:uid="{00000000-0005-0000-0000-0000545D0000}"/>
    <cellStyle name="40% - Accent6 3 3 3 2 3" xfId="7284" xr:uid="{00000000-0005-0000-0000-0000555D0000}"/>
    <cellStyle name="40% - Accent6 3 3 3 2 3 2" xfId="17524" xr:uid="{00000000-0005-0000-0000-0000565D0000}"/>
    <cellStyle name="40% - Accent6 3 3 3 2 3 2 2" xfId="38004" xr:uid="{00000000-0005-0000-0000-0000575D0000}"/>
    <cellStyle name="40% - Accent6 3 3 3 2 3 3" xfId="27764" xr:uid="{00000000-0005-0000-0000-0000585D0000}"/>
    <cellStyle name="40% - Accent6 3 3 3 2 4" xfId="12404" xr:uid="{00000000-0005-0000-0000-0000595D0000}"/>
    <cellStyle name="40% - Accent6 3 3 3 2 4 2" xfId="32884" xr:uid="{00000000-0005-0000-0000-00005A5D0000}"/>
    <cellStyle name="40% - Accent6 3 3 3 2 5" xfId="22644" xr:uid="{00000000-0005-0000-0000-00005B5D0000}"/>
    <cellStyle name="40% - Accent6 3 3 3 3" xfId="3444" xr:uid="{00000000-0005-0000-0000-00005C5D0000}"/>
    <cellStyle name="40% - Accent6 3 3 3 3 2" xfId="8564" xr:uid="{00000000-0005-0000-0000-00005D5D0000}"/>
    <cellStyle name="40% - Accent6 3 3 3 3 2 2" xfId="18804" xr:uid="{00000000-0005-0000-0000-00005E5D0000}"/>
    <cellStyle name="40% - Accent6 3 3 3 3 2 2 2" xfId="39284" xr:uid="{00000000-0005-0000-0000-00005F5D0000}"/>
    <cellStyle name="40% - Accent6 3 3 3 3 2 3" xfId="29044" xr:uid="{00000000-0005-0000-0000-0000605D0000}"/>
    <cellStyle name="40% - Accent6 3 3 3 3 3" xfId="13684" xr:uid="{00000000-0005-0000-0000-0000615D0000}"/>
    <cellStyle name="40% - Accent6 3 3 3 3 3 2" xfId="34164" xr:uid="{00000000-0005-0000-0000-0000625D0000}"/>
    <cellStyle name="40% - Accent6 3 3 3 3 4" xfId="23924" xr:uid="{00000000-0005-0000-0000-0000635D0000}"/>
    <cellStyle name="40% - Accent6 3 3 3 4" xfId="6004" xr:uid="{00000000-0005-0000-0000-0000645D0000}"/>
    <cellStyle name="40% - Accent6 3 3 3 4 2" xfId="16244" xr:uid="{00000000-0005-0000-0000-0000655D0000}"/>
    <cellStyle name="40% - Accent6 3 3 3 4 2 2" xfId="36724" xr:uid="{00000000-0005-0000-0000-0000665D0000}"/>
    <cellStyle name="40% - Accent6 3 3 3 4 3" xfId="26484" xr:uid="{00000000-0005-0000-0000-0000675D0000}"/>
    <cellStyle name="40% - Accent6 3 3 3 5" xfId="11124" xr:uid="{00000000-0005-0000-0000-0000685D0000}"/>
    <cellStyle name="40% - Accent6 3 3 3 5 2" xfId="31604" xr:uid="{00000000-0005-0000-0000-0000695D0000}"/>
    <cellStyle name="40% - Accent6 3 3 3 6" xfId="21364" xr:uid="{00000000-0005-0000-0000-00006A5D0000}"/>
    <cellStyle name="40% - Accent6 3 3 4" xfId="1524" xr:uid="{00000000-0005-0000-0000-00006B5D0000}"/>
    <cellStyle name="40% - Accent6 3 3 4 2" xfId="4084" xr:uid="{00000000-0005-0000-0000-00006C5D0000}"/>
    <cellStyle name="40% - Accent6 3 3 4 2 2" xfId="9204" xr:uid="{00000000-0005-0000-0000-00006D5D0000}"/>
    <cellStyle name="40% - Accent6 3 3 4 2 2 2" xfId="19444" xr:uid="{00000000-0005-0000-0000-00006E5D0000}"/>
    <cellStyle name="40% - Accent6 3 3 4 2 2 2 2" xfId="39924" xr:uid="{00000000-0005-0000-0000-00006F5D0000}"/>
    <cellStyle name="40% - Accent6 3 3 4 2 2 3" xfId="29684" xr:uid="{00000000-0005-0000-0000-0000705D0000}"/>
    <cellStyle name="40% - Accent6 3 3 4 2 3" xfId="14324" xr:uid="{00000000-0005-0000-0000-0000715D0000}"/>
    <cellStyle name="40% - Accent6 3 3 4 2 3 2" xfId="34804" xr:uid="{00000000-0005-0000-0000-0000725D0000}"/>
    <cellStyle name="40% - Accent6 3 3 4 2 4" xfId="24564" xr:uid="{00000000-0005-0000-0000-0000735D0000}"/>
    <cellStyle name="40% - Accent6 3 3 4 3" xfId="6644" xr:uid="{00000000-0005-0000-0000-0000745D0000}"/>
    <cellStyle name="40% - Accent6 3 3 4 3 2" xfId="16884" xr:uid="{00000000-0005-0000-0000-0000755D0000}"/>
    <cellStyle name="40% - Accent6 3 3 4 3 2 2" xfId="37364" xr:uid="{00000000-0005-0000-0000-0000765D0000}"/>
    <cellStyle name="40% - Accent6 3 3 4 3 3" xfId="27124" xr:uid="{00000000-0005-0000-0000-0000775D0000}"/>
    <cellStyle name="40% - Accent6 3 3 4 4" xfId="11764" xr:uid="{00000000-0005-0000-0000-0000785D0000}"/>
    <cellStyle name="40% - Accent6 3 3 4 4 2" xfId="32244" xr:uid="{00000000-0005-0000-0000-0000795D0000}"/>
    <cellStyle name="40% - Accent6 3 3 4 5" xfId="22004" xr:uid="{00000000-0005-0000-0000-00007A5D0000}"/>
    <cellStyle name="40% - Accent6 3 3 5" xfId="2804" xr:uid="{00000000-0005-0000-0000-00007B5D0000}"/>
    <cellStyle name="40% - Accent6 3 3 5 2" xfId="7924" xr:uid="{00000000-0005-0000-0000-00007C5D0000}"/>
    <cellStyle name="40% - Accent6 3 3 5 2 2" xfId="18164" xr:uid="{00000000-0005-0000-0000-00007D5D0000}"/>
    <cellStyle name="40% - Accent6 3 3 5 2 2 2" xfId="38644" xr:uid="{00000000-0005-0000-0000-00007E5D0000}"/>
    <cellStyle name="40% - Accent6 3 3 5 2 3" xfId="28404" xr:uid="{00000000-0005-0000-0000-00007F5D0000}"/>
    <cellStyle name="40% - Accent6 3 3 5 3" xfId="13044" xr:uid="{00000000-0005-0000-0000-0000805D0000}"/>
    <cellStyle name="40% - Accent6 3 3 5 3 2" xfId="33524" xr:uid="{00000000-0005-0000-0000-0000815D0000}"/>
    <cellStyle name="40% - Accent6 3 3 5 4" xfId="23284" xr:uid="{00000000-0005-0000-0000-0000825D0000}"/>
    <cellStyle name="40% - Accent6 3 3 6" xfId="5364" xr:uid="{00000000-0005-0000-0000-0000835D0000}"/>
    <cellStyle name="40% - Accent6 3 3 6 2" xfId="15604" xr:uid="{00000000-0005-0000-0000-0000845D0000}"/>
    <cellStyle name="40% - Accent6 3 3 6 2 2" xfId="36084" xr:uid="{00000000-0005-0000-0000-0000855D0000}"/>
    <cellStyle name="40% - Accent6 3 3 6 3" xfId="25844" xr:uid="{00000000-0005-0000-0000-0000865D0000}"/>
    <cellStyle name="40% - Accent6 3 3 7" xfId="10484" xr:uid="{00000000-0005-0000-0000-0000875D0000}"/>
    <cellStyle name="40% - Accent6 3 3 7 2" xfId="30964" xr:uid="{00000000-0005-0000-0000-0000885D0000}"/>
    <cellStyle name="40% - Accent6 3 3 8" xfId="20724" xr:uid="{00000000-0005-0000-0000-0000895D0000}"/>
    <cellStyle name="40% - Accent6 3 4" xfId="404" xr:uid="{00000000-0005-0000-0000-00008A5D0000}"/>
    <cellStyle name="40% - Accent6 3 4 2" xfId="1044" xr:uid="{00000000-0005-0000-0000-00008B5D0000}"/>
    <cellStyle name="40% - Accent6 3 4 2 2" xfId="2324" xr:uid="{00000000-0005-0000-0000-00008C5D0000}"/>
    <cellStyle name="40% - Accent6 3 4 2 2 2" xfId="4884" xr:uid="{00000000-0005-0000-0000-00008D5D0000}"/>
    <cellStyle name="40% - Accent6 3 4 2 2 2 2" xfId="10004" xr:uid="{00000000-0005-0000-0000-00008E5D0000}"/>
    <cellStyle name="40% - Accent6 3 4 2 2 2 2 2" xfId="20244" xr:uid="{00000000-0005-0000-0000-00008F5D0000}"/>
    <cellStyle name="40% - Accent6 3 4 2 2 2 2 2 2" xfId="40724" xr:uid="{00000000-0005-0000-0000-0000905D0000}"/>
    <cellStyle name="40% - Accent6 3 4 2 2 2 2 3" xfId="30484" xr:uid="{00000000-0005-0000-0000-0000915D0000}"/>
    <cellStyle name="40% - Accent6 3 4 2 2 2 3" xfId="15124" xr:uid="{00000000-0005-0000-0000-0000925D0000}"/>
    <cellStyle name="40% - Accent6 3 4 2 2 2 3 2" xfId="35604" xr:uid="{00000000-0005-0000-0000-0000935D0000}"/>
    <cellStyle name="40% - Accent6 3 4 2 2 2 4" xfId="25364" xr:uid="{00000000-0005-0000-0000-0000945D0000}"/>
    <cellStyle name="40% - Accent6 3 4 2 2 3" xfId="7444" xr:uid="{00000000-0005-0000-0000-0000955D0000}"/>
    <cellStyle name="40% - Accent6 3 4 2 2 3 2" xfId="17684" xr:uid="{00000000-0005-0000-0000-0000965D0000}"/>
    <cellStyle name="40% - Accent6 3 4 2 2 3 2 2" xfId="38164" xr:uid="{00000000-0005-0000-0000-0000975D0000}"/>
    <cellStyle name="40% - Accent6 3 4 2 2 3 3" xfId="27924" xr:uid="{00000000-0005-0000-0000-0000985D0000}"/>
    <cellStyle name="40% - Accent6 3 4 2 2 4" xfId="12564" xr:uid="{00000000-0005-0000-0000-0000995D0000}"/>
    <cellStyle name="40% - Accent6 3 4 2 2 4 2" xfId="33044" xr:uid="{00000000-0005-0000-0000-00009A5D0000}"/>
    <cellStyle name="40% - Accent6 3 4 2 2 5" xfId="22804" xr:uid="{00000000-0005-0000-0000-00009B5D0000}"/>
    <cellStyle name="40% - Accent6 3 4 2 3" xfId="3604" xr:uid="{00000000-0005-0000-0000-00009C5D0000}"/>
    <cellStyle name="40% - Accent6 3 4 2 3 2" xfId="8724" xr:uid="{00000000-0005-0000-0000-00009D5D0000}"/>
    <cellStyle name="40% - Accent6 3 4 2 3 2 2" xfId="18964" xr:uid="{00000000-0005-0000-0000-00009E5D0000}"/>
    <cellStyle name="40% - Accent6 3 4 2 3 2 2 2" xfId="39444" xr:uid="{00000000-0005-0000-0000-00009F5D0000}"/>
    <cellStyle name="40% - Accent6 3 4 2 3 2 3" xfId="29204" xr:uid="{00000000-0005-0000-0000-0000A05D0000}"/>
    <cellStyle name="40% - Accent6 3 4 2 3 3" xfId="13844" xr:uid="{00000000-0005-0000-0000-0000A15D0000}"/>
    <cellStyle name="40% - Accent6 3 4 2 3 3 2" xfId="34324" xr:uid="{00000000-0005-0000-0000-0000A25D0000}"/>
    <cellStyle name="40% - Accent6 3 4 2 3 4" xfId="24084" xr:uid="{00000000-0005-0000-0000-0000A35D0000}"/>
    <cellStyle name="40% - Accent6 3 4 2 4" xfId="6164" xr:uid="{00000000-0005-0000-0000-0000A45D0000}"/>
    <cellStyle name="40% - Accent6 3 4 2 4 2" xfId="16404" xr:uid="{00000000-0005-0000-0000-0000A55D0000}"/>
    <cellStyle name="40% - Accent6 3 4 2 4 2 2" xfId="36884" xr:uid="{00000000-0005-0000-0000-0000A65D0000}"/>
    <cellStyle name="40% - Accent6 3 4 2 4 3" xfId="26644" xr:uid="{00000000-0005-0000-0000-0000A75D0000}"/>
    <cellStyle name="40% - Accent6 3 4 2 5" xfId="11284" xr:uid="{00000000-0005-0000-0000-0000A85D0000}"/>
    <cellStyle name="40% - Accent6 3 4 2 5 2" xfId="31764" xr:uid="{00000000-0005-0000-0000-0000A95D0000}"/>
    <cellStyle name="40% - Accent6 3 4 2 6" xfId="21524" xr:uid="{00000000-0005-0000-0000-0000AA5D0000}"/>
    <cellStyle name="40% - Accent6 3 4 3" xfId="1684" xr:uid="{00000000-0005-0000-0000-0000AB5D0000}"/>
    <cellStyle name="40% - Accent6 3 4 3 2" xfId="4244" xr:uid="{00000000-0005-0000-0000-0000AC5D0000}"/>
    <cellStyle name="40% - Accent6 3 4 3 2 2" xfId="9364" xr:uid="{00000000-0005-0000-0000-0000AD5D0000}"/>
    <cellStyle name="40% - Accent6 3 4 3 2 2 2" xfId="19604" xr:uid="{00000000-0005-0000-0000-0000AE5D0000}"/>
    <cellStyle name="40% - Accent6 3 4 3 2 2 2 2" xfId="40084" xr:uid="{00000000-0005-0000-0000-0000AF5D0000}"/>
    <cellStyle name="40% - Accent6 3 4 3 2 2 3" xfId="29844" xr:uid="{00000000-0005-0000-0000-0000B05D0000}"/>
    <cellStyle name="40% - Accent6 3 4 3 2 3" xfId="14484" xr:uid="{00000000-0005-0000-0000-0000B15D0000}"/>
    <cellStyle name="40% - Accent6 3 4 3 2 3 2" xfId="34964" xr:uid="{00000000-0005-0000-0000-0000B25D0000}"/>
    <cellStyle name="40% - Accent6 3 4 3 2 4" xfId="24724" xr:uid="{00000000-0005-0000-0000-0000B35D0000}"/>
    <cellStyle name="40% - Accent6 3 4 3 3" xfId="6804" xr:uid="{00000000-0005-0000-0000-0000B45D0000}"/>
    <cellStyle name="40% - Accent6 3 4 3 3 2" xfId="17044" xr:uid="{00000000-0005-0000-0000-0000B55D0000}"/>
    <cellStyle name="40% - Accent6 3 4 3 3 2 2" xfId="37524" xr:uid="{00000000-0005-0000-0000-0000B65D0000}"/>
    <cellStyle name="40% - Accent6 3 4 3 3 3" xfId="27284" xr:uid="{00000000-0005-0000-0000-0000B75D0000}"/>
    <cellStyle name="40% - Accent6 3 4 3 4" xfId="11924" xr:uid="{00000000-0005-0000-0000-0000B85D0000}"/>
    <cellStyle name="40% - Accent6 3 4 3 4 2" xfId="32404" xr:uid="{00000000-0005-0000-0000-0000B95D0000}"/>
    <cellStyle name="40% - Accent6 3 4 3 5" xfId="22164" xr:uid="{00000000-0005-0000-0000-0000BA5D0000}"/>
    <cellStyle name="40% - Accent6 3 4 4" xfId="2964" xr:uid="{00000000-0005-0000-0000-0000BB5D0000}"/>
    <cellStyle name="40% - Accent6 3 4 4 2" xfId="8084" xr:uid="{00000000-0005-0000-0000-0000BC5D0000}"/>
    <cellStyle name="40% - Accent6 3 4 4 2 2" xfId="18324" xr:uid="{00000000-0005-0000-0000-0000BD5D0000}"/>
    <cellStyle name="40% - Accent6 3 4 4 2 2 2" xfId="38804" xr:uid="{00000000-0005-0000-0000-0000BE5D0000}"/>
    <cellStyle name="40% - Accent6 3 4 4 2 3" xfId="28564" xr:uid="{00000000-0005-0000-0000-0000BF5D0000}"/>
    <cellStyle name="40% - Accent6 3 4 4 3" xfId="13204" xr:uid="{00000000-0005-0000-0000-0000C05D0000}"/>
    <cellStyle name="40% - Accent6 3 4 4 3 2" xfId="33684" xr:uid="{00000000-0005-0000-0000-0000C15D0000}"/>
    <cellStyle name="40% - Accent6 3 4 4 4" xfId="23444" xr:uid="{00000000-0005-0000-0000-0000C25D0000}"/>
    <cellStyle name="40% - Accent6 3 4 5" xfId="5524" xr:uid="{00000000-0005-0000-0000-0000C35D0000}"/>
    <cellStyle name="40% - Accent6 3 4 5 2" xfId="15764" xr:uid="{00000000-0005-0000-0000-0000C45D0000}"/>
    <cellStyle name="40% - Accent6 3 4 5 2 2" xfId="36244" xr:uid="{00000000-0005-0000-0000-0000C55D0000}"/>
    <cellStyle name="40% - Accent6 3 4 5 3" xfId="26004" xr:uid="{00000000-0005-0000-0000-0000C65D0000}"/>
    <cellStyle name="40% - Accent6 3 4 6" xfId="10644" xr:uid="{00000000-0005-0000-0000-0000C75D0000}"/>
    <cellStyle name="40% - Accent6 3 4 6 2" xfId="31124" xr:uid="{00000000-0005-0000-0000-0000C85D0000}"/>
    <cellStyle name="40% - Accent6 3 4 7" xfId="20884" xr:uid="{00000000-0005-0000-0000-0000C95D0000}"/>
    <cellStyle name="40% - Accent6 3 5" xfId="724" xr:uid="{00000000-0005-0000-0000-0000CA5D0000}"/>
    <cellStyle name="40% - Accent6 3 5 2" xfId="2004" xr:uid="{00000000-0005-0000-0000-0000CB5D0000}"/>
    <cellStyle name="40% - Accent6 3 5 2 2" xfId="4564" xr:uid="{00000000-0005-0000-0000-0000CC5D0000}"/>
    <cellStyle name="40% - Accent6 3 5 2 2 2" xfId="9684" xr:uid="{00000000-0005-0000-0000-0000CD5D0000}"/>
    <cellStyle name="40% - Accent6 3 5 2 2 2 2" xfId="19924" xr:uid="{00000000-0005-0000-0000-0000CE5D0000}"/>
    <cellStyle name="40% - Accent6 3 5 2 2 2 2 2" xfId="40404" xr:uid="{00000000-0005-0000-0000-0000CF5D0000}"/>
    <cellStyle name="40% - Accent6 3 5 2 2 2 3" xfId="30164" xr:uid="{00000000-0005-0000-0000-0000D05D0000}"/>
    <cellStyle name="40% - Accent6 3 5 2 2 3" xfId="14804" xr:uid="{00000000-0005-0000-0000-0000D15D0000}"/>
    <cellStyle name="40% - Accent6 3 5 2 2 3 2" xfId="35284" xr:uid="{00000000-0005-0000-0000-0000D25D0000}"/>
    <cellStyle name="40% - Accent6 3 5 2 2 4" xfId="25044" xr:uid="{00000000-0005-0000-0000-0000D35D0000}"/>
    <cellStyle name="40% - Accent6 3 5 2 3" xfId="7124" xr:uid="{00000000-0005-0000-0000-0000D45D0000}"/>
    <cellStyle name="40% - Accent6 3 5 2 3 2" xfId="17364" xr:uid="{00000000-0005-0000-0000-0000D55D0000}"/>
    <cellStyle name="40% - Accent6 3 5 2 3 2 2" xfId="37844" xr:uid="{00000000-0005-0000-0000-0000D65D0000}"/>
    <cellStyle name="40% - Accent6 3 5 2 3 3" xfId="27604" xr:uid="{00000000-0005-0000-0000-0000D75D0000}"/>
    <cellStyle name="40% - Accent6 3 5 2 4" xfId="12244" xr:uid="{00000000-0005-0000-0000-0000D85D0000}"/>
    <cellStyle name="40% - Accent6 3 5 2 4 2" xfId="32724" xr:uid="{00000000-0005-0000-0000-0000D95D0000}"/>
    <cellStyle name="40% - Accent6 3 5 2 5" xfId="22484" xr:uid="{00000000-0005-0000-0000-0000DA5D0000}"/>
    <cellStyle name="40% - Accent6 3 5 3" xfId="3284" xr:uid="{00000000-0005-0000-0000-0000DB5D0000}"/>
    <cellStyle name="40% - Accent6 3 5 3 2" xfId="8404" xr:uid="{00000000-0005-0000-0000-0000DC5D0000}"/>
    <cellStyle name="40% - Accent6 3 5 3 2 2" xfId="18644" xr:uid="{00000000-0005-0000-0000-0000DD5D0000}"/>
    <cellStyle name="40% - Accent6 3 5 3 2 2 2" xfId="39124" xr:uid="{00000000-0005-0000-0000-0000DE5D0000}"/>
    <cellStyle name="40% - Accent6 3 5 3 2 3" xfId="28884" xr:uid="{00000000-0005-0000-0000-0000DF5D0000}"/>
    <cellStyle name="40% - Accent6 3 5 3 3" xfId="13524" xr:uid="{00000000-0005-0000-0000-0000E05D0000}"/>
    <cellStyle name="40% - Accent6 3 5 3 3 2" xfId="34004" xr:uid="{00000000-0005-0000-0000-0000E15D0000}"/>
    <cellStyle name="40% - Accent6 3 5 3 4" xfId="23764" xr:uid="{00000000-0005-0000-0000-0000E25D0000}"/>
    <cellStyle name="40% - Accent6 3 5 4" xfId="5844" xr:uid="{00000000-0005-0000-0000-0000E35D0000}"/>
    <cellStyle name="40% - Accent6 3 5 4 2" xfId="16084" xr:uid="{00000000-0005-0000-0000-0000E45D0000}"/>
    <cellStyle name="40% - Accent6 3 5 4 2 2" xfId="36564" xr:uid="{00000000-0005-0000-0000-0000E55D0000}"/>
    <cellStyle name="40% - Accent6 3 5 4 3" xfId="26324" xr:uid="{00000000-0005-0000-0000-0000E65D0000}"/>
    <cellStyle name="40% - Accent6 3 5 5" xfId="10964" xr:uid="{00000000-0005-0000-0000-0000E75D0000}"/>
    <cellStyle name="40% - Accent6 3 5 5 2" xfId="31444" xr:uid="{00000000-0005-0000-0000-0000E85D0000}"/>
    <cellStyle name="40% - Accent6 3 5 6" xfId="21204" xr:uid="{00000000-0005-0000-0000-0000E95D0000}"/>
    <cellStyle name="40% - Accent6 3 6" xfId="1364" xr:uid="{00000000-0005-0000-0000-0000EA5D0000}"/>
    <cellStyle name="40% - Accent6 3 6 2" xfId="3924" xr:uid="{00000000-0005-0000-0000-0000EB5D0000}"/>
    <cellStyle name="40% - Accent6 3 6 2 2" xfId="9044" xr:uid="{00000000-0005-0000-0000-0000EC5D0000}"/>
    <cellStyle name="40% - Accent6 3 6 2 2 2" xfId="19284" xr:uid="{00000000-0005-0000-0000-0000ED5D0000}"/>
    <cellStyle name="40% - Accent6 3 6 2 2 2 2" xfId="39764" xr:uid="{00000000-0005-0000-0000-0000EE5D0000}"/>
    <cellStyle name="40% - Accent6 3 6 2 2 3" xfId="29524" xr:uid="{00000000-0005-0000-0000-0000EF5D0000}"/>
    <cellStyle name="40% - Accent6 3 6 2 3" xfId="14164" xr:uid="{00000000-0005-0000-0000-0000F05D0000}"/>
    <cellStyle name="40% - Accent6 3 6 2 3 2" xfId="34644" xr:uid="{00000000-0005-0000-0000-0000F15D0000}"/>
    <cellStyle name="40% - Accent6 3 6 2 4" xfId="24404" xr:uid="{00000000-0005-0000-0000-0000F25D0000}"/>
    <cellStyle name="40% - Accent6 3 6 3" xfId="6484" xr:uid="{00000000-0005-0000-0000-0000F35D0000}"/>
    <cellStyle name="40% - Accent6 3 6 3 2" xfId="16724" xr:uid="{00000000-0005-0000-0000-0000F45D0000}"/>
    <cellStyle name="40% - Accent6 3 6 3 2 2" xfId="37204" xr:uid="{00000000-0005-0000-0000-0000F55D0000}"/>
    <cellStyle name="40% - Accent6 3 6 3 3" xfId="26964" xr:uid="{00000000-0005-0000-0000-0000F65D0000}"/>
    <cellStyle name="40% - Accent6 3 6 4" xfId="11604" xr:uid="{00000000-0005-0000-0000-0000F75D0000}"/>
    <cellStyle name="40% - Accent6 3 6 4 2" xfId="32084" xr:uid="{00000000-0005-0000-0000-0000F85D0000}"/>
    <cellStyle name="40% - Accent6 3 6 5" xfId="21844" xr:uid="{00000000-0005-0000-0000-0000F95D0000}"/>
    <cellStyle name="40% - Accent6 3 7" xfId="2644" xr:uid="{00000000-0005-0000-0000-0000FA5D0000}"/>
    <cellStyle name="40% - Accent6 3 7 2" xfId="7764" xr:uid="{00000000-0005-0000-0000-0000FB5D0000}"/>
    <cellStyle name="40% - Accent6 3 7 2 2" xfId="18004" xr:uid="{00000000-0005-0000-0000-0000FC5D0000}"/>
    <cellStyle name="40% - Accent6 3 7 2 2 2" xfId="38484" xr:uid="{00000000-0005-0000-0000-0000FD5D0000}"/>
    <cellStyle name="40% - Accent6 3 7 2 3" xfId="28244" xr:uid="{00000000-0005-0000-0000-0000FE5D0000}"/>
    <cellStyle name="40% - Accent6 3 7 3" xfId="12884" xr:uid="{00000000-0005-0000-0000-0000FF5D0000}"/>
    <cellStyle name="40% - Accent6 3 7 3 2" xfId="33364" xr:uid="{00000000-0005-0000-0000-0000005E0000}"/>
    <cellStyle name="40% - Accent6 3 7 4" xfId="23124" xr:uid="{00000000-0005-0000-0000-0000015E0000}"/>
    <cellStyle name="40% - Accent6 3 8" xfId="5204" xr:uid="{00000000-0005-0000-0000-0000025E0000}"/>
    <cellStyle name="40% - Accent6 3 8 2" xfId="15444" xr:uid="{00000000-0005-0000-0000-0000035E0000}"/>
    <cellStyle name="40% - Accent6 3 8 2 2" xfId="35924" xr:uid="{00000000-0005-0000-0000-0000045E0000}"/>
    <cellStyle name="40% - Accent6 3 8 3" xfId="25684" xr:uid="{00000000-0005-0000-0000-0000055E0000}"/>
    <cellStyle name="40% - Accent6 3 9" xfId="10324" xr:uid="{00000000-0005-0000-0000-0000065E0000}"/>
    <cellStyle name="40% - Accent6 3 9 2" xfId="30804" xr:uid="{00000000-0005-0000-0000-0000075E0000}"/>
    <cellStyle name="40% - Accent6 4" xfId="124" xr:uid="{00000000-0005-0000-0000-0000085E0000}"/>
    <cellStyle name="40% - Accent6 4 2" xfId="284" xr:uid="{00000000-0005-0000-0000-0000095E0000}"/>
    <cellStyle name="40% - Accent6 4 2 2" xfId="604" xr:uid="{00000000-0005-0000-0000-00000A5E0000}"/>
    <cellStyle name="40% - Accent6 4 2 2 2" xfId="1244" xr:uid="{00000000-0005-0000-0000-00000B5E0000}"/>
    <cellStyle name="40% - Accent6 4 2 2 2 2" xfId="2524" xr:uid="{00000000-0005-0000-0000-00000C5E0000}"/>
    <cellStyle name="40% - Accent6 4 2 2 2 2 2" xfId="5084" xr:uid="{00000000-0005-0000-0000-00000D5E0000}"/>
    <cellStyle name="40% - Accent6 4 2 2 2 2 2 2" xfId="10204" xr:uid="{00000000-0005-0000-0000-00000E5E0000}"/>
    <cellStyle name="40% - Accent6 4 2 2 2 2 2 2 2" xfId="20444" xr:uid="{00000000-0005-0000-0000-00000F5E0000}"/>
    <cellStyle name="40% - Accent6 4 2 2 2 2 2 2 2 2" xfId="40924" xr:uid="{00000000-0005-0000-0000-0000105E0000}"/>
    <cellStyle name="40% - Accent6 4 2 2 2 2 2 2 3" xfId="30684" xr:uid="{00000000-0005-0000-0000-0000115E0000}"/>
    <cellStyle name="40% - Accent6 4 2 2 2 2 2 3" xfId="15324" xr:uid="{00000000-0005-0000-0000-0000125E0000}"/>
    <cellStyle name="40% - Accent6 4 2 2 2 2 2 3 2" xfId="35804" xr:uid="{00000000-0005-0000-0000-0000135E0000}"/>
    <cellStyle name="40% - Accent6 4 2 2 2 2 2 4" xfId="25564" xr:uid="{00000000-0005-0000-0000-0000145E0000}"/>
    <cellStyle name="40% - Accent6 4 2 2 2 2 3" xfId="7644" xr:uid="{00000000-0005-0000-0000-0000155E0000}"/>
    <cellStyle name="40% - Accent6 4 2 2 2 2 3 2" xfId="17884" xr:uid="{00000000-0005-0000-0000-0000165E0000}"/>
    <cellStyle name="40% - Accent6 4 2 2 2 2 3 2 2" xfId="38364" xr:uid="{00000000-0005-0000-0000-0000175E0000}"/>
    <cellStyle name="40% - Accent6 4 2 2 2 2 3 3" xfId="28124" xr:uid="{00000000-0005-0000-0000-0000185E0000}"/>
    <cellStyle name="40% - Accent6 4 2 2 2 2 4" xfId="12764" xr:uid="{00000000-0005-0000-0000-0000195E0000}"/>
    <cellStyle name="40% - Accent6 4 2 2 2 2 4 2" xfId="33244" xr:uid="{00000000-0005-0000-0000-00001A5E0000}"/>
    <cellStyle name="40% - Accent6 4 2 2 2 2 5" xfId="23004" xr:uid="{00000000-0005-0000-0000-00001B5E0000}"/>
    <cellStyle name="40% - Accent6 4 2 2 2 3" xfId="3804" xr:uid="{00000000-0005-0000-0000-00001C5E0000}"/>
    <cellStyle name="40% - Accent6 4 2 2 2 3 2" xfId="8924" xr:uid="{00000000-0005-0000-0000-00001D5E0000}"/>
    <cellStyle name="40% - Accent6 4 2 2 2 3 2 2" xfId="19164" xr:uid="{00000000-0005-0000-0000-00001E5E0000}"/>
    <cellStyle name="40% - Accent6 4 2 2 2 3 2 2 2" xfId="39644" xr:uid="{00000000-0005-0000-0000-00001F5E0000}"/>
    <cellStyle name="40% - Accent6 4 2 2 2 3 2 3" xfId="29404" xr:uid="{00000000-0005-0000-0000-0000205E0000}"/>
    <cellStyle name="40% - Accent6 4 2 2 2 3 3" xfId="14044" xr:uid="{00000000-0005-0000-0000-0000215E0000}"/>
    <cellStyle name="40% - Accent6 4 2 2 2 3 3 2" xfId="34524" xr:uid="{00000000-0005-0000-0000-0000225E0000}"/>
    <cellStyle name="40% - Accent6 4 2 2 2 3 4" xfId="24284" xr:uid="{00000000-0005-0000-0000-0000235E0000}"/>
    <cellStyle name="40% - Accent6 4 2 2 2 4" xfId="6364" xr:uid="{00000000-0005-0000-0000-0000245E0000}"/>
    <cellStyle name="40% - Accent6 4 2 2 2 4 2" xfId="16604" xr:uid="{00000000-0005-0000-0000-0000255E0000}"/>
    <cellStyle name="40% - Accent6 4 2 2 2 4 2 2" xfId="37084" xr:uid="{00000000-0005-0000-0000-0000265E0000}"/>
    <cellStyle name="40% - Accent6 4 2 2 2 4 3" xfId="26844" xr:uid="{00000000-0005-0000-0000-0000275E0000}"/>
    <cellStyle name="40% - Accent6 4 2 2 2 5" xfId="11484" xr:uid="{00000000-0005-0000-0000-0000285E0000}"/>
    <cellStyle name="40% - Accent6 4 2 2 2 5 2" xfId="31964" xr:uid="{00000000-0005-0000-0000-0000295E0000}"/>
    <cellStyle name="40% - Accent6 4 2 2 2 6" xfId="21724" xr:uid="{00000000-0005-0000-0000-00002A5E0000}"/>
    <cellStyle name="40% - Accent6 4 2 2 3" xfId="1884" xr:uid="{00000000-0005-0000-0000-00002B5E0000}"/>
    <cellStyle name="40% - Accent6 4 2 2 3 2" xfId="4444" xr:uid="{00000000-0005-0000-0000-00002C5E0000}"/>
    <cellStyle name="40% - Accent6 4 2 2 3 2 2" xfId="9564" xr:uid="{00000000-0005-0000-0000-00002D5E0000}"/>
    <cellStyle name="40% - Accent6 4 2 2 3 2 2 2" xfId="19804" xr:uid="{00000000-0005-0000-0000-00002E5E0000}"/>
    <cellStyle name="40% - Accent6 4 2 2 3 2 2 2 2" xfId="40284" xr:uid="{00000000-0005-0000-0000-00002F5E0000}"/>
    <cellStyle name="40% - Accent6 4 2 2 3 2 2 3" xfId="30044" xr:uid="{00000000-0005-0000-0000-0000305E0000}"/>
    <cellStyle name="40% - Accent6 4 2 2 3 2 3" xfId="14684" xr:uid="{00000000-0005-0000-0000-0000315E0000}"/>
    <cellStyle name="40% - Accent6 4 2 2 3 2 3 2" xfId="35164" xr:uid="{00000000-0005-0000-0000-0000325E0000}"/>
    <cellStyle name="40% - Accent6 4 2 2 3 2 4" xfId="24924" xr:uid="{00000000-0005-0000-0000-0000335E0000}"/>
    <cellStyle name="40% - Accent6 4 2 2 3 3" xfId="7004" xr:uid="{00000000-0005-0000-0000-0000345E0000}"/>
    <cellStyle name="40% - Accent6 4 2 2 3 3 2" xfId="17244" xr:uid="{00000000-0005-0000-0000-0000355E0000}"/>
    <cellStyle name="40% - Accent6 4 2 2 3 3 2 2" xfId="37724" xr:uid="{00000000-0005-0000-0000-0000365E0000}"/>
    <cellStyle name="40% - Accent6 4 2 2 3 3 3" xfId="27484" xr:uid="{00000000-0005-0000-0000-0000375E0000}"/>
    <cellStyle name="40% - Accent6 4 2 2 3 4" xfId="12124" xr:uid="{00000000-0005-0000-0000-0000385E0000}"/>
    <cellStyle name="40% - Accent6 4 2 2 3 4 2" xfId="32604" xr:uid="{00000000-0005-0000-0000-0000395E0000}"/>
    <cellStyle name="40% - Accent6 4 2 2 3 5" xfId="22364" xr:uid="{00000000-0005-0000-0000-00003A5E0000}"/>
    <cellStyle name="40% - Accent6 4 2 2 4" xfId="3164" xr:uid="{00000000-0005-0000-0000-00003B5E0000}"/>
    <cellStyle name="40% - Accent6 4 2 2 4 2" xfId="8284" xr:uid="{00000000-0005-0000-0000-00003C5E0000}"/>
    <cellStyle name="40% - Accent6 4 2 2 4 2 2" xfId="18524" xr:uid="{00000000-0005-0000-0000-00003D5E0000}"/>
    <cellStyle name="40% - Accent6 4 2 2 4 2 2 2" xfId="39004" xr:uid="{00000000-0005-0000-0000-00003E5E0000}"/>
    <cellStyle name="40% - Accent6 4 2 2 4 2 3" xfId="28764" xr:uid="{00000000-0005-0000-0000-00003F5E0000}"/>
    <cellStyle name="40% - Accent6 4 2 2 4 3" xfId="13404" xr:uid="{00000000-0005-0000-0000-0000405E0000}"/>
    <cellStyle name="40% - Accent6 4 2 2 4 3 2" xfId="33884" xr:uid="{00000000-0005-0000-0000-0000415E0000}"/>
    <cellStyle name="40% - Accent6 4 2 2 4 4" xfId="23644" xr:uid="{00000000-0005-0000-0000-0000425E0000}"/>
    <cellStyle name="40% - Accent6 4 2 2 5" xfId="5724" xr:uid="{00000000-0005-0000-0000-0000435E0000}"/>
    <cellStyle name="40% - Accent6 4 2 2 5 2" xfId="15964" xr:uid="{00000000-0005-0000-0000-0000445E0000}"/>
    <cellStyle name="40% - Accent6 4 2 2 5 2 2" xfId="36444" xr:uid="{00000000-0005-0000-0000-0000455E0000}"/>
    <cellStyle name="40% - Accent6 4 2 2 5 3" xfId="26204" xr:uid="{00000000-0005-0000-0000-0000465E0000}"/>
    <cellStyle name="40% - Accent6 4 2 2 6" xfId="10844" xr:uid="{00000000-0005-0000-0000-0000475E0000}"/>
    <cellStyle name="40% - Accent6 4 2 2 6 2" xfId="31324" xr:uid="{00000000-0005-0000-0000-0000485E0000}"/>
    <cellStyle name="40% - Accent6 4 2 2 7" xfId="21084" xr:uid="{00000000-0005-0000-0000-0000495E0000}"/>
    <cellStyle name="40% - Accent6 4 2 3" xfId="924" xr:uid="{00000000-0005-0000-0000-00004A5E0000}"/>
    <cellStyle name="40% - Accent6 4 2 3 2" xfId="2204" xr:uid="{00000000-0005-0000-0000-00004B5E0000}"/>
    <cellStyle name="40% - Accent6 4 2 3 2 2" xfId="4764" xr:uid="{00000000-0005-0000-0000-00004C5E0000}"/>
    <cellStyle name="40% - Accent6 4 2 3 2 2 2" xfId="9884" xr:uid="{00000000-0005-0000-0000-00004D5E0000}"/>
    <cellStyle name="40% - Accent6 4 2 3 2 2 2 2" xfId="20124" xr:uid="{00000000-0005-0000-0000-00004E5E0000}"/>
    <cellStyle name="40% - Accent6 4 2 3 2 2 2 2 2" xfId="40604" xr:uid="{00000000-0005-0000-0000-00004F5E0000}"/>
    <cellStyle name="40% - Accent6 4 2 3 2 2 2 3" xfId="30364" xr:uid="{00000000-0005-0000-0000-0000505E0000}"/>
    <cellStyle name="40% - Accent6 4 2 3 2 2 3" xfId="15004" xr:uid="{00000000-0005-0000-0000-0000515E0000}"/>
    <cellStyle name="40% - Accent6 4 2 3 2 2 3 2" xfId="35484" xr:uid="{00000000-0005-0000-0000-0000525E0000}"/>
    <cellStyle name="40% - Accent6 4 2 3 2 2 4" xfId="25244" xr:uid="{00000000-0005-0000-0000-0000535E0000}"/>
    <cellStyle name="40% - Accent6 4 2 3 2 3" xfId="7324" xr:uid="{00000000-0005-0000-0000-0000545E0000}"/>
    <cellStyle name="40% - Accent6 4 2 3 2 3 2" xfId="17564" xr:uid="{00000000-0005-0000-0000-0000555E0000}"/>
    <cellStyle name="40% - Accent6 4 2 3 2 3 2 2" xfId="38044" xr:uid="{00000000-0005-0000-0000-0000565E0000}"/>
    <cellStyle name="40% - Accent6 4 2 3 2 3 3" xfId="27804" xr:uid="{00000000-0005-0000-0000-0000575E0000}"/>
    <cellStyle name="40% - Accent6 4 2 3 2 4" xfId="12444" xr:uid="{00000000-0005-0000-0000-0000585E0000}"/>
    <cellStyle name="40% - Accent6 4 2 3 2 4 2" xfId="32924" xr:uid="{00000000-0005-0000-0000-0000595E0000}"/>
    <cellStyle name="40% - Accent6 4 2 3 2 5" xfId="22684" xr:uid="{00000000-0005-0000-0000-00005A5E0000}"/>
    <cellStyle name="40% - Accent6 4 2 3 3" xfId="3484" xr:uid="{00000000-0005-0000-0000-00005B5E0000}"/>
    <cellStyle name="40% - Accent6 4 2 3 3 2" xfId="8604" xr:uid="{00000000-0005-0000-0000-00005C5E0000}"/>
    <cellStyle name="40% - Accent6 4 2 3 3 2 2" xfId="18844" xr:uid="{00000000-0005-0000-0000-00005D5E0000}"/>
    <cellStyle name="40% - Accent6 4 2 3 3 2 2 2" xfId="39324" xr:uid="{00000000-0005-0000-0000-00005E5E0000}"/>
    <cellStyle name="40% - Accent6 4 2 3 3 2 3" xfId="29084" xr:uid="{00000000-0005-0000-0000-00005F5E0000}"/>
    <cellStyle name="40% - Accent6 4 2 3 3 3" xfId="13724" xr:uid="{00000000-0005-0000-0000-0000605E0000}"/>
    <cellStyle name="40% - Accent6 4 2 3 3 3 2" xfId="34204" xr:uid="{00000000-0005-0000-0000-0000615E0000}"/>
    <cellStyle name="40% - Accent6 4 2 3 3 4" xfId="23964" xr:uid="{00000000-0005-0000-0000-0000625E0000}"/>
    <cellStyle name="40% - Accent6 4 2 3 4" xfId="6044" xr:uid="{00000000-0005-0000-0000-0000635E0000}"/>
    <cellStyle name="40% - Accent6 4 2 3 4 2" xfId="16284" xr:uid="{00000000-0005-0000-0000-0000645E0000}"/>
    <cellStyle name="40% - Accent6 4 2 3 4 2 2" xfId="36764" xr:uid="{00000000-0005-0000-0000-0000655E0000}"/>
    <cellStyle name="40% - Accent6 4 2 3 4 3" xfId="26524" xr:uid="{00000000-0005-0000-0000-0000665E0000}"/>
    <cellStyle name="40% - Accent6 4 2 3 5" xfId="11164" xr:uid="{00000000-0005-0000-0000-0000675E0000}"/>
    <cellStyle name="40% - Accent6 4 2 3 5 2" xfId="31644" xr:uid="{00000000-0005-0000-0000-0000685E0000}"/>
    <cellStyle name="40% - Accent6 4 2 3 6" xfId="21404" xr:uid="{00000000-0005-0000-0000-0000695E0000}"/>
    <cellStyle name="40% - Accent6 4 2 4" xfId="1564" xr:uid="{00000000-0005-0000-0000-00006A5E0000}"/>
    <cellStyle name="40% - Accent6 4 2 4 2" xfId="4124" xr:uid="{00000000-0005-0000-0000-00006B5E0000}"/>
    <cellStyle name="40% - Accent6 4 2 4 2 2" xfId="9244" xr:uid="{00000000-0005-0000-0000-00006C5E0000}"/>
    <cellStyle name="40% - Accent6 4 2 4 2 2 2" xfId="19484" xr:uid="{00000000-0005-0000-0000-00006D5E0000}"/>
    <cellStyle name="40% - Accent6 4 2 4 2 2 2 2" xfId="39964" xr:uid="{00000000-0005-0000-0000-00006E5E0000}"/>
    <cellStyle name="40% - Accent6 4 2 4 2 2 3" xfId="29724" xr:uid="{00000000-0005-0000-0000-00006F5E0000}"/>
    <cellStyle name="40% - Accent6 4 2 4 2 3" xfId="14364" xr:uid="{00000000-0005-0000-0000-0000705E0000}"/>
    <cellStyle name="40% - Accent6 4 2 4 2 3 2" xfId="34844" xr:uid="{00000000-0005-0000-0000-0000715E0000}"/>
    <cellStyle name="40% - Accent6 4 2 4 2 4" xfId="24604" xr:uid="{00000000-0005-0000-0000-0000725E0000}"/>
    <cellStyle name="40% - Accent6 4 2 4 3" xfId="6684" xr:uid="{00000000-0005-0000-0000-0000735E0000}"/>
    <cellStyle name="40% - Accent6 4 2 4 3 2" xfId="16924" xr:uid="{00000000-0005-0000-0000-0000745E0000}"/>
    <cellStyle name="40% - Accent6 4 2 4 3 2 2" xfId="37404" xr:uid="{00000000-0005-0000-0000-0000755E0000}"/>
    <cellStyle name="40% - Accent6 4 2 4 3 3" xfId="27164" xr:uid="{00000000-0005-0000-0000-0000765E0000}"/>
    <cellStyle name="40% - Accent6 4 2 4 4" xfId="11804" xr:uid="{00000000-0005-0000-0000-0000775E0000}"/>
    <cellStyle name="40% - Accent6 4 2 4 4 2" xfId="32284" xr:uid="{00000000-0005-0000-0000-0000785E0000}"/>
    <cellStyle name="40% - Accent6 4 2 4 5" xfId="22044" xr:uid="{00000000-0005-0000-0000-0000795E0000}"/>
    <cellStyle name="40% - Accent6 4 2 5" xfId="2844" xr:uid="{00000000-0005-0000-0000-00007A5E0000}"/>
    <cellStyle name="40% - Accent6 4 2 5 2" xfId="7964" xr:uid="{00000000-0005-0000-0000-00007B5E0000}"/>
    <cellStyle name="40% - Accent6 4 2 5 2 2" xfId="18204" xr:uid="{00000000-0005-0000-0000-00007C5E0000}"/>
    <cellStyle name="40% - Accent6 4 2 5 2 2 2" xfId="38684" xr:uid="{00000000-0005-0000-0000-00007D5E0000}"/>
    <cellStyle name="40% - Accent6 4 2 5 2 3" xfId="28444" xr:uid="{00000000-0005-0000-0000-00007E5E0000}"/>
    <cellStyle name="40% - Accent6 4 2 5 3" xfId="13084" xr:uid="{00000000-0005-0000-0000-00007F5E0000}"/>
    <cellStyle name="40% - Accent6 4 2 5 3 2" xfId="33564" xr:uid="{00000000-0005-0000-0000-0000805E0000}"/>
    <cellStyle name="40% - Accent6 4 2 5 4" xfId="23324" xr:uid="{00000000-0005-0000-0000-0000815E0000}"/>
    <cellStyle name="40% - Accent6 4 2 6" xfId="5404" xr:uid="{00000000-0005-0000-0000-0000825E0000}"/>
    <cellStyle name="40% - Accent6 4 2 6 2" xfId="15644" xr:uid="{00000000-0005-0000-0000-0000835E0000}"/>
    <cellStyle name="40% - Accent6 4 2 6 2 2" xfId="36124" xr:uid="{00000000-0005-0000-0000-0000845E0000}"/>
    <cellStyle name="40% - Accent6 4 2 6 3" xfId="25884" xr:uid="{00000000-0005-0000-0000-0000855E0000}"/>
    <cellStyle name="40% - Accent6 4 2 7" xfId="10524" xr:uid="{00000000-0005-0000-0000-0000865E0000}"/>
    <cellStyle name="40% - Accent6 4 2 7 2" xfId="31004" xr:uid="{00000000-0005-0000-0000-0000875E0000}"/>
    <cellStyle name="40% - Accent6 4 2 8" xfId="20764" xr:uid="{00000000-0005-0000-0000-0000885E0000}"/>
    <cellStyle name="40% - Accent6 4 3" xfId="444" xr:uid="{00000000-0005-0000-0000-0000895E0000}"/>
    <cellStyle name="40% - Accent6 4 3 2" xfId="1084" xr:uid="{00000000-0005-0000-0000-00008A5E0000}"/>
    <cellStyle name="40% - Accent6 4 3 2 2" xfId="2364" xr:uid="{00000000-0005-0000-0000-00008B5E0000}"/>
    <cellStyle name="40% - Accent6 4 3 2 2 2" xfId="4924" xr:uid="{00000000-0005-0000-0000-00008C5E0000}"/>
    <cellStyle name="40% - Accent6 4 3 2 2 2 2" xfId="10044" xr:uid="{00000000-0005-0000-0000-00008D5E0000}"/>
    <cellStyle name="40% - Accent6 4 3 2 2 2 2 2" xfId="20284" xr:uid="{00000000-0005-0000-0000-00008E5E0000}"/>
    <cellStyle name="40% - Accent6 4 3 2 2 2 2 2 2" xfId="40764" xr:uid="{00000000-0005-0000-0000-00008F5E0000}"/>
    <cellStyle name="40% - Accent6 4 3 2 2 2 2 3" xfId="30524" xr:uid="{00000000-0005-0000-0000-0000905E0000}"/>
    <cellStyle name="40% - Accent6 4 3 2 2 2 3" xfId="15164" xr:uid="{00000000-0005-0000-0000-0000915E0000}"/>
    <cellStyle name="40% - Accent6 4 3 2 2 2 3 2" xfId="35644" xr:uid="{00000000-0005-0000-0000-0000925E0000}"/>
    <cellStyle name="40% - Accent6 4 3 2 2 2 4" xfId="25404" xr:uid="{00000000-0005-0000-0000-0000935E0000}"/>
    <cellStyle name="40% - Accent6 4 3 2 2 3" xfId="7484" xr:uid="{00000000-0005-0000-0000-0000945E0000}"/>
    <cellStyle name="40% - Accent6 4 3 2 2 3 2" xfId="17724" xr:uid="{00000000-0005-0000-0000-0000955E0000}"/>
    <cellStyle name="40% - Accent6 4 3 2 2 3 2 2" xfId="38204" xr:uid="{00000000-0005-0000-0000-0000965E0000}"/>
    <cellStyle name="40% - Accent6 4 3 2 2 3 3" xfId="27964" xr:uid="{00000000-0005-0000-0000-0000975E0000}"/>
    <cellStyle name="40% - Accent6 4 3 2 2 4" xfId="12604" xr:uid="{00000000-0005-0000-0000-0000985E0000}"/>
    <cellStyle name="40% - Accent6 4 3 2 2 4 2" xfId="33084" xr:uid="{00000000-0005-0000-0000-0000995E0000}"/>
    <cellStyle name="40% - Accent6 4 3 2 2 5" xfId="22844" xr:uid="{00000000-0005-0000-0000-00009A5E0000}"/>
    <cellStyle name="40% - Accent6 4 3 2 3" xfId="3644" xr:uid="{00000000-0005-0000-0000-00009B5E0000}"/>
    <cellStyle name="40% - Accent6 4 3 2 3 2" xfId="8764" xr:uid="{00000000-0005-0000-0000-00009C5E0000}"/>
    <cellStyle name="40% - Accent6 4 3 2 3 2 2" xfId="19004" xr:uid="{00000000-0005-0000-0000-00009D5E0000}"/>
    <cellStyle name="40% - Accent6 4 3 2 3 2 2 2" xfId="39484" xr:uid="{00000000-0005-0000-0000-00009E5E0000}"/>
    <cellStyle name="40% - Accent6 4 3 2 3 2 3" xfId="29244" xr:uid="{00000000-0005-0000-0000-00009F5E0000}"/>
    <cellStyle name="40% - Accent6 4 3 2 3 3" xfId="13884" xr:uid="{00000000-0005-0000-0000-0000A05E0000}"/>
    <cellStyle name="40% - Accent6 4 3 2 3 3 2" xfId="34364" xr:uid="{00000000-0005-0000-0000-0000A15E0000}"/>
    <cellStyle name="40% - Accent6 4 3 2 3 4" xfId="24124" xr:uid="{00000000-0005-0000-0000-0000A25E0000}"/>
    <cellStyle name="40% - Accent6 4 3 2 4" xfId="6204" xr:uid="{00000000-0005-0000-0000-0000A35E0000}"/>
    <cellStyle name="40% - Accent6 4 3 2 4 2" xfId="16444" xr:uid="{00000000-0005-0000-0000-0000A45E0000}"/>
    <cellStyle name="40% - Accent6 4 3 2 4 2 2" xfId="36924" xr:uid="{00000000-0005-0000-0000-0000A55E0000}"/>
    <cellStyle name="40% - Accent6 4 3 2 4 3" xfId="26684" xr:uid="{00000000-0005-0000-0000-0000A65E0000}"/>
    <cellStyle name="40% - Accent6 4 3 2 5" xfId="11324" xr:uid="{00000000-0005-0000-0000-0000A75E0000}"/>
    <cellStyle name="40% - Accent6 4 3 2 5 2" xfId="31804" xr:uid="{00000000-0005-0000-0000-0000A85E0000}"/>
    <cellStyle name="40% - Accent6 4 3 2 6" xfId="21564" xr:uid="{00000000-0005-0000-0000-0000A95E0000}"/>
    <cellStyle name="40% - Accent6 4 3 3" xfId="1724" xr:uid="{00000000-0005-0000-0000-0000AA5E0000}"/>
    <cellStyle name="40% - Accent6 4 3 3 2" xfId="4284" xr:uid="{00000000-0005-0000-0000-0000AB5E0000}"/>
    <cellStyle name="40% - Accent6 4 3 3 2 2" xfId="9404" xr:uid="{00000000-0005-0000-0000-0000AC5E0000}"/>
    <cellStyle name="40% - Accent6 4 3 3 2 2 2" xfId="19644" xr:uid="{00000000-0005-0000-0000-0000AD5E0000}"/>
    <cellStyle name="40% - Accent6 4 3 3 2 2 2 2" xfId="40124" xr:uid="{00000000-0005-0000-0000-0000AE5E0000}"/>
    <cellStyle name="40% - Accent6 4 3 3 2 2 3" xfId="29884" xr:uid="{00000000-0005-0000-0000-0000AF5E0000}"/>
    <cellStyle name="40% - Accent6 4 3 3 2 3" xfId="14524" xr:uid="{00000000-0005-0000-0000-0000B05E0000}"/>
    <cellStyle name="40% - Accent6 4 3 3 2 3 2" xfId="35004" xr:uid="{00000000-0005-0000-0000-0000B15E0000}"/>
    <cellStyle name="40% - Accent6 4 3 3 2 4" xfId="24764" xr:uid="{00000000-0005-0000-0000-0000B25E0000}"/>
    <cellStyle name="40% - Accent6 4 3 3 3" xfId="6844" xr:uid="{00000000-0005-0000-0000-0000B35E0000}"/>
    <cellStyle name="40% - Accent6 4 3 3 3 2" xfId="17084" xr:uid="{00000000-0005-0000-0000-0000B45E0000}"/>
    <cellStyle name="40% - Accent6 4 3 3 3 2 2" xfId="37564" xr:uid="{00000000-0005-0000-0000-0000B55E0000}"/>
    <cellStyle name="40% - Accent6 4 3 3 3 3" xfId="27324" xr:uid="{00000000-0005-0000-0000-0000B65E0000}"/>
    <cellStyle name="40% - Accent6 4 3 3 4" xfId="11964" xr:uid="{00000000-0005-0000-0000-0000B75E0000}"/>
    <cellStyle name="40% - Accent6 4 3 3 4 2" xfId="32444" xr:uid="{00000000-0005-0000-0000-0000B85E0000}"/>
    <cellStyle name="40% - Accent6 4 3 3 5" xfId="22204" xr:uid="{00000000-0005-0000-0000-0000B95E0000}"/>
    <cellStyle name="40% - Accent6 4 3 4" xfId="3004" xr:uid="{00000000-0005-0000-0000-0000BA5E0000}"/>
    <cellStyle name="40% - Accent6 4 3 4 2" xfId="8124" xr:uid="{00000000-0005-0000-0000-0000BB5E0000}"/>
    <cellStyle name="40% - Accent6 4 3 4 2 2" xfId="18364" xr:uid="{00000000-0005-0000-0000-0000BC5E0000}"/>
    <cellStyle name="40% - Accent6 4 3 4 2 2 2" xfId="38844" xr:uid="{00000000-0005-0000-0000-0000BD5E0000}"/>
    <cellStyle name="40% - Accent6 4 3 4 2 3" xfId="28604" xr:uid="{00000000-0005-0000-0000-0000BE5E0000}"/>
    <cellStyle name="40% - Accent6 4 3 4 3" xfId="13244" xr:uid="{00000000-0005-0000-0000-0000BF5E0000}"/>
    <cellStyle name="40% - Accent6 4 3 4 3 2" xfId="33724" xr:uid="{00000000-0005-0000-0000-0000C05E0000}"/>
    <cellStyle name="40% - Accent6 4 3 4 4" xfId="23484" xr:uid="{00000000-0005-0000-0000-0000C15E0000}"/>
    <cellStyle name="40% - Accent6 4 3 5" xfId="5564" xr:uid="{00000000-0005-0000-0000-0000C25E0000}"/>
    <cellStyle name="40% - Accent6 4 3 5 2" xfId="15804" xr:uid="{00000000-0005-0000-0000-0000C35E0000}"/>
    <cellStyle name="40% - Accent6 4 3 5 2 2" xfId="36284" xr:uid="{00000000-0005-0000-0000-0000C45E0000}"/>
    <cellStyle name="40% - Accent6 4 3 5 3" xfId="26044" xr:uid="{00000000-0005-0000-0000-0000C55E0000}"/>
    <cellStyle name="40% - Accent6 4 3 6" xfId="10684" xr:uid="{00000000-0005-0000-0000-0000C65E0000}"/>
    <cellStyle name="40% - Accent6 4 3 6 2" xfId="31164" xr:uid="{00000000-0005-0000-0000-0000C75E0000}"/>
    <cellStyle name="40% - Accent6 4 3 7" xfId="20924" xr:uid="{00000000-0005-0000-0000-0000C85E0000}"/>
    <cellStyle name="40% - Accent6 4 4" xfId="764" xr:uid="{00000000-0005-0000-0000-0000C95E0000}"/>
    <cellStyle name="40% - Accent6 4 4 2" xfId="2044" xr:uid="{00000000-0005-0000-0000-0000CA5E0000}"/>
    <cellStyle name="40% - Accent6 4 4 2 2" xfId="4604" xr:uid="{00000000-0005-0000-0000-0000CB5E0000}"/>
    <cellStyle name="40% - Accent6 4 4 2 2 2" xfId="9724" xr:uid="{00000000-0005-0000-0000-0000CC5E0000}"/>
    <cellStyle name="40% - Accent6 4 4 2 2 2 2" xfId="19964" xr:uid="{00000000-0005-0000-0000-0000CD5E0000}"/>
    <cellStyle name="40% - Accent6 4 4 2 2 2 2 2" xfId="40444" xr:uid="{00000000-0005-0000-0000-0000CE5E0000}"/>
    <cellStyle name="40% - Accent6 4 4 2 2 2 3" xfId="30204" xr:uid="{00000000-0005-0000-0000-0000CF5E0000}"/>
    <cellStyle name="40% - Accent6 4 4 2 2 3" xfId="14844" xr:uid="{00000000-0005-0000-0000-0000D05E0000}"/>
    <cellStyle name="40% - Accent6 4 4 2 2 3 2" xfId="35324" xr:uid="{00000000-0005-0000-0000-0000D15E0000}"/>
    <cellStyle name="40% - Accent6 4 4 2 2 4" xfId="25084" xr:uid="{00000000-0005-0000-0000-0000D25E0000}"/>
    <cellStyle name="40% - Accent6 4 4 2 3" xfId="7164" xr:uid="{00000000-0005-0000-0000-0000D35E0000}"/>
    <cellStyle name="40% - Accent6 4 4 2 3 2" xfId="17404" xr:uid="{00000000-0005-0000-0000-0000D45E0000}"/>
    <cellStyle name="40% - Accent6 4 4 2 3 2 2" xfId="37884" xr:uid="{00000000-0005-0000-0000-0000D55E0000}"/>
    <cellStyle name="40% - Accent6 4 4 2 3 3" xfId="27644" xr:uid="{00000000-0005-0000-0000-0000D65E0000}"/>
    <cellStyle name="40% - Accent6 4 4 2 4" xfId="12284" xr:uid="{00000000-0005-0000-0000-0000D75E0000}"/>
    <cellStyle name="40% - Accent6 4 4 2 4 2" xfId="32764" xr:uid="{00000000-0005-0000-0000-0000D85E0000}"/>
    <cellStyle name="40% - Accent6 4 4 2 5" xfId="22524" xr:uid="{00000000-0005-0000-0000-0000D95E0000}"/>
    <cellStyle name="40% - Accent6 4 4 3" xfId="3324" xr:uid="{00000000-0005-0000-0000-0000DA5E0000}"/>
    <cellStyle name="40% - Accent6 4 4 3 2" xfId="8444" xr:uid="{00000000-0005-0000-0000-0000DB5E0000}"/>
    <cellStyle name="40% - Accent6 4 4 3 2 2" xfId="18684" xr:uid="{00000000-0005-0000-0000-0000DC5E0000}"/>
    <cellStyle name="40% - Accent6 4 4 3 2 2 2" xfId="39164" xr:uid="{00000000-0005-0000-0000-0000DD5E0000}"/>
    <cellStyle name="40% - Accent6 4 4 3 2 3" xfId="28924" xr:uid="{00000000-0005-0000-0000-0000DE5E0000}"/>
    <cellStyle name="40% - Accent6 4 4 3 3" xfId="13564" xr:uid="{00000000-0005-0000-0000-0000DF5E0000}"/>
    <cellStyle name="40% - Accent6 4 4 3 3 2" xfId="34044" xr:uid="{00000000-0005-0000-0000-0000E05E0000}"/>
    <cellStyle name="40% - Accent6 4 4 3 4" xfId="23804" xr:uid="{00000000-0005-0000-0000-0000E15E0000}"/>
    <cellStyle name="40% - Accent6 4 4 4" xfId="5884" xr:uid="{00000000-0005-0000-0000-0000E25E0000}"/>
    <cellStyle name="40% - Accent6 4 4 4 2" xfId="16124" xr:uid="{00000000-0005-0000-0000-0000E35E0000}"/>
    <cellStyle name="40% - Accent6 4 4 4 2 2" xfId="36604" xr:uid="{00000000-0005-0000-0000-0000E45E0000}"/>
    <cellStyle name="40% - Accent6 4 4 4 3" xfId="26364" xr:uid="{00000000-0005-0000-0000-0000E55E0000}"/>
    <cellStyle name="40% - Accent6 4 4 5" xfId="11004" xr:uid="{00000000-0005-0000-0000-0000E65E0000}"/>
    <cellStyle name="40% - Accent6 4 4 5 2" xfId="31484" xr:uid="{00000000-0005-0000-0000-0000E75E0000}"/>
    <cellStyle name="40% - Accent6 4 4 6" xfId="21244" xr:uid="{00000000-0005-0000-0000-0000E85E0000}"/>
    <cellStyle name="40% - Accent6 4 5" xfId="1404" xr:uid="{00000000-0005-0000-0000-0000E95E0000}"/>
    <cellStyle name="40% - Accent6 4 5 2" xfId="3964" xr:uid="{00000000-0005-0000-0000-0000EA5E0000}"/>
    <cellStyle name="40% - Accent6 4 5 2 2" xfId="9084" xr:uid="{00000000-0005-0000-0000-0000EB5E0000}"/>
    <cellStyle name="40% - Accent6 4 5 2 2 2" xfId="19324" xr:uid="{00000000-0005-0000-0000-0000EC5E0000}"/>
    <cellStyle name="40% - Accent6 4 5 2 2 2 2" xfId="39804" xr:uid="{00000000-0005-0000-0000-0000ED5E0000}"/>
    <cellStyle name="40% - Accent6 4 5 2 2 3" xfId="29564" xr:uid="{00000000-0005-0000-0000-0000EE5E0000}"/>
    <cellStyle name="40% - Accent6 4 5 2 3" xfId="14204" xr:uid="{00000000-0005-0000-0000-0000EF5E0000}"/>
    <cellStyle name="40% - Accent6 4 5 2 3 2" xfId="34684" xr:uid="{00000000-0005-0000-0000-0000F05E0000}"/>
    <cellStyle name="40% - Accent6 4 5 2 4" xfId="24444" xr:uid="{00000000-0005-0000-0000-0000F15E0000}"/>
    <cellStyle name="40% - Accent6 4 5 3" xfId="6524" xr:uid="{00000000-0005-0000-0000-0000F25E0000}"/>
    <cellStyle name="40% - Accent6 4 5 3 2" xfId="16764" xr:uid="{00000000-0005-0000-0000-0000F35E0000}"/>
    <cellStyle name="40% - Accent6 4 5 3 2 2" xfId="37244" xr:uid="{00000000-0005-0000-0000-0000F45E0000}"/>
    <cellStyle name="40% - Accent6 4 5 3 3" xfId="27004" xr:uid="{00000000-0005-0000-0000-0000F55E0000}"/>
    <cellStyle name="40% - Accent6 4 5 4" xfId="11644" xr:uid="{00000000-0005-0000-0000-0000F65E0000}"/>
    <cellStyle name="40% - Accent6 4 5 4 2" xfId="32124" xr:uid="{00000000-0005-0000-0000-0000F75E0000}"/>
    <cellStyle name="40% - Accent6 4 5 5" xfId="21884" xr:uid="{00000000-0005-0000-0000-0000F85E0000}"/>
    <cellStyle name="40% - Accent6 4 6" xfId="2684" xr:uid="{00000000-0005-0000-0000-0000F95E0000}"/>
    <cellStyle name="40% - Accent6 4 6 2" xfId="7804" xr:uid="{00000000-0005-0000-0000-0000FA5E0000}"/>
    <cellStyle name="40% - Accent6 4 6 2 2" xfId="18044" xr:uid="{00000000-0005-0000-0000-0000FB5E0000}"/>
    <cellStyle name="40% - Accent6 4 6 2 2 2" xfId="38524" xr:uid="{00000000-0005-0000-0000-0000FC5E0000}"/>
    <cellStyle name="40% - Accent6 4 6 2 3" xfId="28284" xr:uid="{00000000-0005-0000-0000-0000FD5E0000}"/>
    <cellStyle name="40% - Accent6 4 6 3" xfId="12924" xr:uid="{00000000-0005-0000-0000-0000FE5E0000}"/>
    <cellStyle name="40% - Accent6 4 6 3 2" xfId="33404" xr:uid="{00000000-0005-0000-0000-0000FF5E0000}"/>
    <cellStyle name="40% - Accent6 4 6 4" xfId="23164" xr:uid="{00000000-0005-0000-0000-0000005F0000}"/>
    <cellStyle name="40% - Accent6 4 7" xfId="5244" xr:uid="{00000000-0005-0000-0000-0000015F0000}"/>
    <cellStyle name="40% - Accent6 4 7 2" xfId="15484" xr:uid="{00000000-0005-0000-0000-0000025F0000}"/>
    <cellStyle name="40% - Accent6 4 7 2 2" xfId="35964" xr:uid="{00000000-0005-0000-0000-0000035F0000}"/>
    <cellStyle name="40% - Accent6 4 7 3" xfId="25724" xr:uid="{00000000-0005-0000-0000-0000045F0000}"/>
    <cellStyle name="40% - Accent6 4 8" xfId="10364" xr:uid="{00000000-0005-0000-0000-0000055F0000}"/>
    <cellStyle name="40% - Accent6 4 8 2" xfId="30844" xr:uid="{00000000-0005-0000-0000-0000065F0000}"/>
    <cellStyle name="40% - Accent6 4 9" xfId="20604" xr:uid="{00000000-0005-0000-0000-0000075F0000}"/>
    <cellStyle name="40% - Accent6 5" xfId="204" xr:uid="{00000000-0005-0000-0000-0000085F0000}"/>
    <cellStyle name="40% - Accent6 5 2" xfId="524" xr:uid="{00000000-0005-0000-0000-0000095F0000}"/>
    <cellStyle name="40% - Accent6 5 2 2" xfId="1164" xr:uid="{00000000-0005-0000-0000-00000A5F0000}"/>
    <cellStyle name="40% - Accent6 5 2 2 2" xfId="2444" xr:uid="{00000000-0005-0000-0000-00000B5F0000}"/>
    <cellStyle name="40% - Accent6 5 2 2 2 2" xfId="5004" xr:uid="{00000000-0005-0000-0000-00000C5F0000}"/>
    <cellStyle name="40% - Accent6 5 2 2 2 2 2" xfId="10124" xr:uid="{00000000-0005-0000-0000-00000D5F0000}"/>
    <cellStyle name="40% - Accent6 5 2 2 2 2 2 2" xfId="20364" xr:uid="{00000000-0005-0000-0000-00000E5F0000}"/>
    <cellStyle name="40% - Accent6 5 2 2 2 2 2 2 2" xfId="40844" xr:uid="{00000000-0005-0000-0000-00000F5F0000}"/>
    <cellStyle name="40% - Accent6 5 2 2 2 2 2 3" xfId="30604" xr:uid="{00000000-0005-0000-0000-0000105F0000}"/>
    <cellStyle name="40% - Accent6 5 2 2 2 2 3" xfId="15244" xr:uid="{00000000-0005-0000-0000-0000115F0000}"/>
    <cellStyle name="40% - Accent6 5 2 2 2 2 3 2" xfId="35724" xr:uid="{00000000-0005-0000-0000-0000125F0000}"/>
    <cellStyle name="40% - Accent6 5 2 2 2 2 4" xfId="25484" xr:uid="{00000000-0005-0000-0000-0000135F0000}"/>
    <cellStyle name="40% - Accent6 5 2 2 2 3" xfId="7564" xr:uid="{00000000-0005-0000-0000-0000145F0000}"/>
    <cellStyle name="40% - Accent6 5 2 2 2 3 2" xfId="17804" xr:uid="{00000000-0005-0000-0000-0000155F0000}"/>
    <cellStyle name="40% - Accent6 5 2 2 2 3 2 2" xfId="38284" xr:uid="{00000000-0005-0000-0000-0000165F0000}"/>
    <cellStyle name="40% - Accent6 5 2 2 2 3 3" xfId="28044" xr:uid="{00000000-0005-0000-0000-0000175F0000}"/>
    <cellStyle name="40% - Accent6 5 2 2 2 4" xfId="12684" xr:uid="{00000000-0005-0000-0000-0000185F0000}"/>
    <cellStyle name="40% - Accent6 5 2 2 2 4 2" xfId="33164" xr:uid="{00000000-0005-0000-0000-0000195F0000}"/>
    <cellStyle name="40% - Accent6 5 2 2 2 5" xfId="22924" xr:uid="{00000000-0005-0000-0000-00001A5F0000}"/>
    <cellStyle name="40% - Accent6 5 2 2 3" xfId="3724" xr:uid="{00000000-0005-0000-0000-00001B5F0000}"/>
    <cellStyle name="40% - Accent6 5 2 2 3 2" xfId="8844" xr:uid="{00000000-0005-0000-0000-00001C5F0000}"/>
    <cellStyle name="40% - Accent6 5 2 2 3 2 2" xfId="19084" xr:uid="{00000000-0005-0000-0000-00001D5F0000}"/>
    <cellStyle name="40% - Accent6 5 2 2 3 2 2 2" xfId="39564" xr:uid="{00000000-0005-0000-0000-00001E5F0000}"/>
    <cellStyle name="40% - Accent6 5 2 2 3 2 3" xfId="29324" xr:uid="{00000000-0005-0000-0000-00001F5F0000}"/>
    <cellStyle name="40% - Accent6 5 2 2 3 3" xfId="13964" xr:uid="{00000000-0005-0000-0000-0000205F0000}"/>
    <cellStyle name="40% - Accent6 5 2 2 3 3 2" xfId="34444" xr:uid="{00000000-0005-0000-0000-0000215F0000}"/>
    <cellStyle name="40% - Accent6 5 2 2 3 4" xfId="24204" xr:uid="{00000000-0005-0000-0000-0000225F0000}"/>
    <cellStyle name="40% - Accent6 5 2 2 4" xfId="6284" xr:uid="{00000000-0005-0000-0000-0000235F0000}"/>
    <cellStyle name="40% - Accent6 5 2 2 4 2" xfId="16524" xr:uid="{00000000-0005-0000-0000-0000245F0000}"/>
    <cellStyle name="40% - Accent6 5 2 2 4 2 2" xfId="37004" xr:uid="{00000000-0005-0000-0000-0000255F0000}"/>
    <cellStyle name="40% - Accent6 5 2 2 4 3" xfId="26764" xr:uid="{00000000-0005-0000-0000-0000265F0000}"/>
    <cellStyle name="40% - Accent6 5 2 2 5" xfId="11404" xr:uid="{00000000-0005-0000-0000-0000275F0000}"/>
    <cellStyle name="40% - Accent6 5 2 2 5 2" xfId="31884" xr:uid="{00000000-0005-0000-0000-0000285F0000}"/>
    <cellStyle name="40% - Accent6 5 2 2 6" xfId="21644" xr:uid="{00000000-0005-0000-0000-0000295F0000}"/>
    <cellStyle name="40% - Accent6 5 2 3" xfId="1804" xr:uid="{00000000-0005-0000-0000-00002A5F0000}"/>
    <cellStyle name="40% - Accent6 5 2 3 2" xfId="4364" xr:uid="{00000000-0005-0000-0000-00002B5F0000}"/>
    <cellStyle name="40% - Accent6 5 2 3 2 2" xfId="9484" xr:uid="{00000000-0005-0000-0000-00002C5F0000}"/>
    <cellStyle name="40% - Accent6 5 2 3 2 2 2" xfId="19724" xr:uid="{00000000-0005-0000-0000-00002D5F0000}"/>
    <cellStyle name="40% - Accent6 5 2 3 2 2 2 2" xfId="40204" xr:uid="{00000000-0005-0000-0000-00002E5F0000}"/>
    <cellStyle name="40% - Accent6 5 2 3 2 2 3" xfId="29964" xr:uid="{00000000-0005-0000-0000-00002F5F0000}"/>
    <cellStyle name="40% - Accent6 5 2 3 2 3" xfId="14604" xr:uid="{00000000-0005-0000-0000-0000305F0000}"/>
    <cellStyle name="40% - Accent6 5 2 3 2 3 2" xfId="35084" xr:uid="{00000000-0005-0000-0000-0000315F0000}"/>
    <cellStyle name="40% - Accent6 5 2 3 2 4" xfId="24844" xr:uid="{00000000-0005-0000-0000-0000325F0000}"/>
    <cellStyle name="40% - Accent6 5 2 3 3" xfId="6924" xr:uid="{00000000-0005-0000-0000-0000335F0000}"/>
    <cellStyle name="40% - Accent6 5 2 3 3 2" xfId="17164" xr:uid="{00000000-0005-0000-0000-0000345F0000}"/>
    <cellStyle name="40% - Accent6 5 2 3 3 2 2" xfId="37644" xr:uid="{00000000-0005-0000-0000-0000355F0000}"/>
    <cellStyle name="40% - Accent6 5 2 3 3 3" xfId="27404" xr:uid="{00000000-0005-0000-0000-0000365F0000}"/>
    <cellStyle name="40% - Accent6 5 2 3 4" xfId="12044" xr:uid="{00000000-0005-0000-0000-0000375F0000}"/>
    <cellStyle name="40% - Accent6 5 2 3 4 2" xfId="32524" xr:uid="{00000000-0005-0000-0000-0000385F0000}"/>
    <cellStyle name="40% - Accent6 5 2 3 5" xfId="22284" xr:uid="{00000000-0005-0000-0000-0000395F0000}"/>
    <cellStyle name="40% - Accent6 5 2 4" xfId="3084" xr:uid="{00000000-0005-0000-0000-00003A5F0000}"/>
    <cellStyle name="40% - Accent6 5 2 4 2" xfId="8204" xr:uid="{00000000-0005-0000-0000-00003B5F0000}"/>
    <cellStyle name="40% - Accent6 5 2 4 2 2" xfId="18444" xr:uid="{00000000-0005-0000-0000-00003C5F0000}"/>
    <cellStyle name="40% - Accent6 5 2 4 2 2 2" xfId="38924" xr:uid="{00000000-0005-0000-0000-00003D5F0000}"/>
    <cellStyle name="40% - Accent6 5 2 4 2 3" xfId="28684" xr:uid="{00000000-0005-0000-0000-00003E5F0000}"/>
    <cellStyle name="40% - Accent6 5 2 4 3" xfId="13324" xr:uid="{00000000-0005-0000-0000-00003F5F0000}"/>
    <cellStyle name="40% - Accent6 5 2 4 3 2" xfId="33804" xr:uid="{00000000-0005-0000-0000-0000405F0000}"/>
    <cellStyle name="40% - Accent6 5 2 4 4" xfId="23564" xr:uid="{00000000-0005-0000-0000-0000415F0000}"/>
    <cellStyle name="40% - Accent6 5 2 5" xfId="5644" xr:uid="{00000000-0005-0000-0000-0000425F0000}"/>
    <cellStyle name="40% - Accent6 5 2 5 2" xfId="15884" xr:uid="{00000000-0005-0000-0000-0000435F0000}"/>
    <cellStyle name="40% - Accent6 5 2 5 2 2" xfId="36364" xr:uid="{00000000-0005-0000-0000-0000445F0000}"/>
    <cellStyle name="40% - Accent6 5 2 5 3" xfId="26124" xr:uid="{00000000-0005-0000-0000-0000455F0000}"/>
    <cellStyle name="40% - Accent6 5 2 6" xfId="10764" xr:uid="{00000000-0005-0000-0000-0000465F0000}"/>
    <cellStyle name="40% - Accent6 5 2 6 2" xfId="31244" xr:uid="{00000000-0005-0000-0000-0000475F0000}"/>
    <cellStyle name="40% - Accent6 5 2 7" xfId="21004" xr:uid="{00000000-0005-0000-0000-0000485F0000}"/>
    <cellStyle name="40% - Accent6 5 3" xfId="844" xr:uid="{00000000-0005-0000-0000-0000495F0000}"/>
    <cellStyle name="40% - Accent6 5 3 2" xfId="2124" xr:uid="{00000000-0005-0000-0000-00004A5F0000}"/>
    <cellStyle name="40% - Accent6 5 3 2 2" xfId="4684" xr:uid="{00000000-0005-0000-0000-00004B5F0000}"/>
    <cellStyle name="40% - Accent6 5 3 2 2 2" xfId="9804" xr:uid="{00000000-0005-0000-0000-00004C5F0000}"/>
    <cellStyle name="40% - Accent6 5 3 2 2 2 2" xfId="20044" xr:uid="{00000000-0005-0000-0000-00004D5F0000}"/>
    <cellStyle name="40% - Accent6 5 3 2 2 2 2 2" xfId="40524" xr:uid="{00000000-0005-0000-0000-00004E5F0000}"/>
    <cellStyle name="40% - Accent6 5 3 2 2 2 3" xfId="30284" xr:uid="{00000000-0005-0000-0000-00004F5F0000}"/>
    <cellStyle name="40% - Accent6 5 3 2 2 3" xfId="14924" xr:uid="{00000000-0005-0000-0000-0000505F0000}"/>
    <cellStyle name="40% - Accent6 5 3 2 2 3 2" xfId="35404" xr:uid="{00000000-0005-0000-0000-0000515F0000}"/>
    <cellStyle name="40% - Accent6 5 3 2 2 4" xfId="25164" xr:uid="{00000000-0005-0000-0000-0000525F0000}"/>
    <cellStyle name="40% - Accent6 5 3 2 3" xfId="7244" xr:uid="{00000000-0005-0000-0000-0000535F0000}"/>
    <cellStyle name="40% - Accent6 5 3 2 3 2" xfId="17484" xr:uid="{00000000-0005-0000-0000-0000545F0000}"/>
    <cellStyle name="40% - Accent6 5 3 2 3 2 2" xfId="37964" xr:uid="{00000000-0005-0000-0000-0000555F0000}"/>
    <cellStyle name="40% - Accent6 5 3 2 3 3" xfId="27724" xr:uid="{00000000-0005-0000-0000-0000565F0000}"/>
    <cellStyle name="40% - Accent6 5 3 2 4" xfId="12364" xr:uid="{00000000-0005-0000-0000-0000575F0000}"/>
    <cellStyle name="40% - Accent6 5 3 2 4 2" xfId="32844" xr:uid="{00000000-0005-0000-0000-0000585F0000}"/>
    <cellStyle name="40% - Accent6 5 3 2 5" xfId="22604" xr:uid="{00000000-0005-0000-0000-0000595F0000}"/>
    <cellStyle name="40% - Accent6 5 3 3" xfId="3404" xr:uid="{00000000-0005-0000-0000-00005A5F0000}"/>
    <cellStyle name="40% - Accent6 5 3 3 2" xfId="8524" xr:uid="{00000000-0005-0000-0000-00005B5F0000}"/>
    <cellStyle name="40% - Accent6 5 3 3 2 2" xfId="18764" xr:uid="{00000000-0005-0000-0000-00005C5F0000}"/>
    <cellStyle name="40% - Accent6 5 3 3 2 2 2" xfId="39244" xr:uid="{00000000-0005-0000-0000-00005D5F0000}"/>
    <cellStyle name="40% - Accent6 5 3 3 2 3" xfId="29004" xr:uid="{00000000-0005-0000-0000-00005E5F0000}"/>
    <cellStyle name="40% - Accent6 5 3 3 3" xfId="13644" xr:uid="{00000000-0005-0000-0000-00005F5F0000}"/>
    <cellStyle name="40% - Accent6 5 3 3 3 2" xfId="34124" xr:uid="{00000000-0005-0000-0000-0000605F0000}"/>
    <cellStyle name="40% - Accent6 5 3 3 4" xfId="23884" xr:uid="{00000000-0005-0000-0000-0000615F0000}"/>
    <cellStyle name="40% - Accent6 5 3 4" xfId="5964" xr:uid="{00000000-0005-0000-0000-0000625F0000}"/>
    <cellStyle name="40% - Accent6 5 3 4 2" xfId="16204" xr:uid="{00000000-0005-0000-0000-0000635F0000}"/>
    <cellStyle name="40% - Accent6 5 3 4 2 2" xfId="36684" xr:uid="{00000000-0005-0000-0000-0000645F0000}"/>
    <cellStyle name="40% - Accent6 5 3 4 3" xfId="26444" xr:uid="{00000000-0005-0000-0000-0000655F0000}"/>
    <cellStyle name="40% - Accent6 5 3 5" xfId="11084" xr:uid="{00000000-0005-0000-0000-0000665F0000}"/>
    <cellStyle name="40% - Accent6 5 3 5 2" xfId="31564" xr:uid="{00000000-0005-0000-0000-0000675F0000}"/>
    <cellStyle name="40% - Accent6 5 3 6" xfId="21324" xr:uid="{00000000-0005-0000-0000-0000685F0000}"/>
    <cellStyle name="40% - Accent6 5 4" xfId="1484" xr:uid="{00000000-0005-0000-0000-0000695F0000}"/>
    <cellStyle name="40% - Accent6 5 4 2" xfId="4044" xr:uid="{00000000-0005-0000-0000-00006A5F0000}"/>
    <cellStyle name="40% - Accent6 5 4 2 2" xfId="9164" xr:uid="{00000000-0005-0000-0000-00006B5F0000}"/>
    <cellStyle name="40% - Accent6 5 4 2 2 2" xfId="19404" xr:uid="{00000000-0005-0000-0000-00006C5F0000}"/>
    <cellStyle name="40% - Accent6 5 4 2 2 2 2" xfId="39884" xr:uid="{00000000-0005-0000-0000-00006D5F0000}"/>
    <cellStyle name="40% - Accent6 5 4 2 2 3" xfId="29644" xr:uid="{00000000-0005-0000-0000-00006E5F0000}"/>
    <cellStyle name="40% - Accent6 5 4 2 3" xfId="14284" xr:uid="{00000000-0005-0000-0000-00006F5F0000}"/>
    <cellStyle name="40% - Accent6 5 4 2 3 2" xfId="34764" xr:uid="{00000000-0005-0000-0000-0000705F0000}"/>
    <cellStyle name="40% - Accent6 5 4 2 4" xfId="24524" xr:uid="{00000000-0005-0000-0000-0000715F0000}"/>
    <cellStyle name="40% - Accent6 5 4 3" xfId="6604" xr:uid="{00000000-0005-0000-0000-0000725F0000}"/>
    <cellStyle name="40% - Accent6 5 4 3 2" xfId="16844" xr:uid="{00000000-0005-0000-0000-0000735F0000}"/>
    <cellStyle name="40% - Accent6 5 4 3 2 2" xfId="37324" xr:uid="{00000000-0005-0000-0000-0000745F0000}"/>
    <cellStyle name="40% - Accent6 5 4 3 3" xfId="27084" xr:uid="{00000000-0005-0000-0000-0000755F0000}"/>
    <cellStyle name="40% - Accent6 5 4 4" xfId="11724" xr:uid="{00000000-0005-0000-0000-0000765F0000}"/>
    <cellStyle name="40% - Accent6 5 4 4 2" xfId="32204" xr:uid="{00000000-0005-0000-0000-0000775F0000}"/>
    <cellStyle name="40% - Accent6 5 4 5" xfId="21964" xr:uid="{00000000-0005-0000-0000-0000785F0000}"/>
    <cellStyle name="40% - Accent6 5 5" xfId="2764" xr:uid="{00000000-0005-0000-0000-0000795F0000}"/>
    <cellStyle name="40% - Accent6 5 5 2" xfId="7884" xr:uid="{00000000-0005-0000-0000-00007A5F0000}"/>
    <cellStyle name="40% - Accent6 5 5 2 2" xfId="18124" xr:uid="{00000000-0005-0000-0000-00007B5F0000}"/>
    <cellStyle name="40% - Accent6 5 5 2 2 2" xfId="38604" xr:uid="{00000000-0005-0000-0000-00007C5F0000}"/>
    <cellStyle name="40% - Accent6 5 5 2 3" xfId="28364" xr:uid="{00000000-0005-0000-0000-00007D5F0000}"/>
    <cellStyle name="40% - Accent6 5 5 3" xfId="13004" xr:uid="{00000000-0005-0000-0000-00007E5F0000}"/>
    <cellStyle name="40% - Accent6 5 5 3 2" xfId="33484" xr:uid="{00000000-0005-0000-0000-00007F5F0000}"/>
    <cellStyle name="40% - Accent6 5 5 4" xfId="23244" xr:uid="{00000000-0005-0000-0000-0000805F0000}"/>
    <cellStyle name="40% - Accent6 5 6" xfId="5324" xr:uid="{00000000-0005-0000-0000-0000815F0000}"/>
    <cellStyle name="40% - Accent6 5 6 2" xfId="15564" xr:uid="{00000000-0005-0000-0000-0000825F0000}"/>
    <cellStyle name="40% - Accent6 5 6 2 2" xfId="36044" xr:uid="{00000000-0005-0000-0000-0000835F0000}"/>
    <cellStyle name="40% - Accent6 5 6 3" xfId="25804" xr:uid="{00000000-0005-0000-0000-0000845F0000}"/>
    <cellStyle name="40% - Accent6 5 7" xfId="10444" xr:uid="{00000000-0005-0000-0000-0000855F0000}"/>
    <cellStyle name="40% - Accent6 5 7 2" xfId="30924" xr:uid="{00000000-0005-0000-0000-0000865F0000}"/>
    <cellStyle name="40% - Accent6 5 8" xfId="20684" xr:uid="{00000000-0005-0000-0000-0000875F0000}"/>
    <cellStyle name="40% - Accent6 6" xfId="364" xr:uid="{00000000-0005-0000-0000-0000885F0000}"/>
    <cellStyle name="40% - Accent6 6 2" xfId="1004" xr:uid="{00000000-0005-0000-0000-0000895F0000}"/>
    <cellStyle name="40% - Accent6 6 2 2" xfId="2284" xr:uid="{00000000-0005-0000-0000-00008A5F0000}"/>
    <cellStyle name="40% - Accent6 6 2 2 2" xfId="4844" xr:uid="{00000000-0005-0000-0000-00008B5F0000}"/>
    <cellStyle name="40% - Accent6 6 2 2 2 2" xfId="9964" xr:uid="{00000000-0005-0000-0000-00008C5F0000}"/>
    <cellStyle name="40% - Accent6 6 2 2 2 2 2" xfId="20204" xr:uid="{00000000-0005-0000-0000-00008D5F0000}"/>
    <cellStyle name="40% - Accent6 6 2 2 2 2 2 2" xfId="40684" xr:uid="{00000000-0005-0000-0000-00008E5F0000}"/>
    <cellStyle name="40% - Accent6 6 2 2 2 2 3" xfId="30444" xr:uid="{00000000-0005-0000-0000-00008F5F0000}"/>
    <cellStyle name="40% - Accent6 6 2 2 2 3" xfId="15084" xr:uid="{00000000-0005-0000-0000-0000905F0000}"/>
    <cellStyle name="40% - Accent6 6 2 2 2 3 2" xfId="35564" xr:uid="{00000000-0005-0000-0000-0000915F0000}"/>
    <cellStyle name="40% - Accent6 6 2 2 2 4" xfId="25324" xr:uid="{00000000-0005-0000-0000-0000925F0000}"/>
    <cellStyle name="40% - Accent6 6 2 2 3" xfId="7404" xr:uid="{00000000-0005-0000-0000-0000935F0000}"/>
    <cellStyle name="40% - Accent6 6 2 2 3 2" xfId="17644" xr:uid="{00000000-0005-0000-0000-0000945F0000}"/>
    <cellStyle name="40% - Accent6 6 2 2 3 2 2" xfId="38124" xr:uid="{00000000-0005-0000-0000-0000955F0000}"/>
    <cellStyle name="40% - Accent6 6 2 2 3 3" xfId="27884" xr:uid="{00000000-0005-0000-0000-0000965F0000}"/>
    <cellStyle name="40% - Accent6 6 2 2 4" xfId="12524" xr:uid="{00000000-0005-0000-0000-0000975F0000}"/>
    <cellStyle name="40% - Accent6 6 2 2 4 2" xfId="33004" xr:uid="{00000000-0005-0000-0000-0000985F0000}"/>
    <cellStyle name="40% - Accent6 6 2 2 5" xfId="22764" xr:uid="{00000000-0005-0000-0000-0000995F0000}"/>
    <cellStyle name="40% - Accent6 6 2 3" xfId="3564" xr:uid="{00000000-0005-0000-0000-00009A5F0000}"/>
    <cellStyle name="40% - Accent6 6 2 3 2" xfId="8684" xr:uid="{00000000-0005-0000-0000-00009B5F0000}"/>
    <cellStyle name="40% - Accent6 6 2 3 2 2" xfId="18924" xr:uid="{00000000-0005-0000-0000-00009C5F0000}"/>
    <cellStyle name="40% - Accent6 6 2 3 2 2 2" xfId="39404" xr:uid="{00000000-0005-0000-0000-00009D5F0000}"/>
    <cellStyle name="40% - Accent6 6 2 3 2 3" xfId="29164" xr:uid="{00000000-0005-0000-0000-00009E5F0000}"/>
    <cellStyle name="40% - Accent6 6 2 3 3" xfId="13804" xr:uid="{00000000-0005-0000-0000-00009F5F0000}"/>
    <cellStyle name="40% - Accent6 6 2 3 3 2" xfId="34284" xr:uid="{00000000-0005-0000-0000-0000A05F0000}"/>
    <cellStyle name="40% - Accent6 6 2 3 4" xfId="24044" xr:uid="{00000000-0005-0000-0000-0000A15F0000}"/>
    <cellStyle name="40% - Accent6 6 2 4" xfId="6124" xr:uid="{00000000-0005-0000-0000-0000A25F0000}"/>
    <cellStyle name="40% - Accent6 6 2 4 2" xfId="16364" xr:uid="{00000000-0005-0000-0000-0000A35F0000}"/>
    <cellStyle name="40% - Accent6 6 2 4 2 2" xfId="36844" xr:uid="{00000000-0005-0000-0000-0000A45F0000}"/>
    <cellStyle name="40% - Accent6 6 2 4 3" xfId="26604" xr:uid="{00000000-0005-0000-0000-0000A55F0000}"/>
    <cellStyle name="40% - Accent6 6 2 5" xfId="11244" xr:uid="{00000000-0005-0000-0000-0000A65F0000}"/>
    <cellStyle name="40% - Accent6 6 2 5 2" xfId="31724" xr:uid="{00000000-0005-0000-0000-0000A75F0000}"/>
    <cellStyle name="40% - Accent6 6 2 6" xfId="21484" xr:uid="{00000000-0005-0000-0000-0000A85F0000}"/>
    <cellStyle name="40% - Accent6 6 3" xfId="1644" xr:uid="{00000000-0005-0000-0000-0000A95F0000}"/>
    <cellStyle name="40% - Accent6 6 3 2" xfId="4204" xr:uid="{00000000-0005-0000-0000-0000AA5F0000}"/>
    <cellStyle name="40% - Accent6 6 3 2 2" xfId="9324" xr:uid="{00000000-0005-0000-0000-0000AB5F0000}"/>
    <cellStyle name="40% - Accent6 6 3 2 2 2" xfId="19564" xr:uid="{00000000-0005-0000-0000-0000AC5F0000}"/>
    <cellStyle name="40% - Accent6 6 3 2 2 2 2" xfId="40044" xr:uid="{00000000-0005-0000-0000-0000AD5F0000}"/>
    <cellStyle name="40% - Accent6 6 3 2 2 3" xfId="29804" xr:uid="{00000000-0005-0000-0000-0000AE5F0000}"/>
    <cellStyle name="40% - Accent6 6 3 2 3" xfId="14444" xr:uid="{00000000-0005-0000-0000-0000AF5F0000}"/>
    <cellStyle name="40% - Accent6 6 3 2 3 2" xfId="34924" xr:uid="{00000000-0005-0000-0000-0000B05F0000}"/>
    <cellStyle name="40% - Accent6 6 3 2 4" xfId="24684" xr:uid="{00000000-0005-0000-0000-0000B15F0000}"/>
    <cellStyle name="40% - Accent6 6 3 3" xfId="6764" xr:uid="{00000000-0005-0000-0000-0000B25F0000}"/>
    <cellStyle name="40% - Accent6 6 3 3 2" xfId="17004" xr:uid="{00000000-0005-0000-0000-0000B35F0000}"/>
    <cellStyle name="40% - Accent6 6 3 3 2 2" xfId="37484" xr:uid="{00000000-0005-0000-0000-0000B45F0000}"/>
    <cellStyle name="40% - Accent6 6 3 3 3" xfId="27244" xr:uid="{00000000-0005-0000-0000-0000B55F0000}"/>
    <cellStyle name="40% - Accent6 6 3 4" xfId="11884" xr:uid="{00000000-0005-0000-0000-0000B65F0000}"/>
    <cellStyle name="40% - Accent6 6 3 4 2" xfId="32364" xr:uid="{00000000-0005-0000-0000-0000B75F0000}"/>
    <cellStyle name="40% - Accent6 6 3 5" xfId="22124" xr:uid="{00000000-0005-0000-0000-0000B85F0000}"/>
    <cellStyle name="40% - Accent6 6 4" xfId="2924" xr:uid="{00000000-0005-0000-0000-0000B95F0000}"/>
    <cellStyle name="40% - Accent6 6 4 2" xfId="8044" xr:uid="{00000000-0005-0000-0000-0000BA5F0000}"/>
    <cellStyle name="40% - Accent6 6 4 2 2" xfId="18284" xr:uid="{00000000-0005-0000-0000-0000BB5F0000}"/>
    <cellStyle name="40% - Accent6 6 4 2 2 2" xfId="38764" xr:uid="{00000000-0005-0000-0000-0000BC5F0000}"/>
    <cellStyle name="40% - Accent6 6 4 2 3" xfId="28524" xr:uid="{00000000-0005-0000-0000-0000BD5F0000}"/>
    <cellStyle name="40% - Accent6 6 4 3" xfId="13164" xr:uid="{00000000-0005-0000-0000-0000BE5F0000}"/>
    <cellStyle name="40% - Accent6 6 4 3 2" xfId="33644" xr:uid="{00000000-0005-0000-0000-0000BF5F0000}"/>
    <cellStyle name="40% - Accent6 6 4 4" xfId="23404" xr:uid="{00000000-0005-0000-0000-0000C05F0000}"/>
    <cellStyle name="40% - Accent6 6 5" xfId="5484" xr:uid="{00000000-0005-0000-0000-0000C15F0000}"/>
    <cellStyle name="40% - Accent6 6 5 2" xfId="15724" xr:uid="{00000000-0005-0000-0000-0000C25F0000}"/>
    <cellStyle name="40% - Accent6 6 5 2 2" xfId="36204" xr:uid="{00000000-0005-0000-0000-0000C35F0000}"/>
    <cellStyle name="40% - Accent6 6 5 3" xfId="25964" xr:uid="{00000000-0005-0000-0000-0000C45F0000}"/>
    <cellStyle name="40% - Accent6 6 6" xfId="10604" xr:uid="{00000000-0005-0000-0000-0000C55F0000}"/>
    <cellStyle name="40% - Accent6 6 6 2" xfId="31084" xr:uid="{00000000-0005-0000-0000-0000C65F0000}"/>
    <cellStyle name="40% - Accent6 6 7" xfId="20844" xr:uid="{00000000-0005-0000-0000-0000C75F0000}"/>
    <cellStyle name="40% - Accent6 7" xfId="684" xr:uid="{00000000-0005-0000-0000-0000C85F0000}"/>
    <cellStyle name="40% - Accent6 7 2" xfId="1964" xr:uid="{00000000-0005-0000-0000-0000C95F0000}"/>
    <cellStyle name="40% - Accent6 7 2 2" xfId="4524" xr:uid="{00000000-0005-0000-0000-0000CA5F0000}"/>
    <cellStyle name="40% - Accent6 7 2 2 2" xfId="9644" xr:uid="{00000000-0005-0000-0000-0000CB5F0000}"/>
    <cellStyle name="40% - Accent6 7 2 2 2 2" xfId="19884" xr:uid="{00000000-0005-0000-0000-0000CC5F0000}"/>
    <cellStyle name="40% - Accent6 7 2 2 2 2 2" xfId="40364" xr:uid="{00000000-0005-0000-0000-0000CD5F0000}"/>
    <cellStyle name="40% - Accent6 7 2 2 2 3" xfId="30124" xr:uid="{00000000-0005-0000-0000-0000CE5F0000}"/>
    <cellStyle name="40% - Accent6 7 2 2 3" xfId="14764" xr:uid="{00000000-0005-0000-0000-0000CF5F0000}"/>
    <cellStyle name="40% - Accent6 7 2 2 3 2" xfId="35244" xr:uid="{00000000-0005-0000-0000-0000D05F0000}"/>
    <cellStyle name="40% - Accent6 7 2 2 4" xfId="25004" xr:uid="{00000000-0005-0000-0000-0000D15F0000}"/>
    <cellStyle name="40% - Accent6 7 2 3" xfId="7084" xr:uid="{00000000-0005-0000-0000-0000D25F0000}"/>
    <cellStyle name="40% - Accent6 7 2 3 2" xfId="17324" xr:uid="{00000000-0005-0000-0000-0000D35F0000}"/>
    <cellStyle name="40% - Accent6 7 2 3 2 2" xfId="37804" xr:uid="{00000000-0005-0000-0000-0000D45F0000}"/>
    <cellStyle name="40% - Accent6 7 2 3 3" xfId="27564" xr:uid="{00000000-0005-0000-0000-0000D55F0000}"/>
    <cellStyle name="40% - Accent6 7 2 4" xfId="12204" xr:uid="{00000000-0005-0000-0000-0000D65F0000}"/>
    <cellStyle name="40% - Accent6 7 2 4 2" xfId="32684" xr:uid="{00000000-0005-0000-0000-0000D75F0000}"/>
    <cellStyle name="40% - Accent6 7 2 5" xfId="22444" xr:uid="{00000000-0005-0000-0000-0000D85F0000}"/>
    <cellStyle name="40% - Accent6 7 3" xfId="3244" xr:uid="{00000000-0005-0000-0000-0000D95F0000}"/>
    <cellStyle name="40% - Accent6 7 3 2" xfId="8364" xr:uid="{00000000-0005-0000-0000-0000DA5F0000}"/>
    <cellStyle name="40% - Accent6 7 3 2 2" xfId="18604" xr:uid="{00000000-0005-0000-0000-0000DB5F0000}"/>
    <cellStyle name="40% - Accent6 7 3 2 2 2" xfId="39084" xr:uid="{00000000-0005-0000-0000-0000DC5F0000}"/>
    <cellStyle name="40% - Accent6 7 3 2 3" xfId="28844" xr:uid="{00000000-0005-0000-0000-0000DD5F0000}"/>
    <cellStyle name="40% - Accent6 7 3 3" xfId="13484" xr:uid="{00000000-0005-0000-0000-0000DE5F0000}"/>
    <cellStyle name="40% - Accent6 7 3 3 2" xfId="33964" xr:uid="{00000000-0005-0000-0000-0000DF5F0000}"/>
    <cellStyle name="40% - Accent6 7 3 4" xfId="23724" xr:uid="{00000000-0005-0000-0000-0000E05F0000}"/>
    <cellStyle name="40% - Accent6 7 4" xfId="5804" xr:uid="{00000000-0005-0000-0000-0000E15F0000}"/>
    <cellStyle name="40% - Accent6 7 4 2" xfId="16044" xr:uid="{00000000-0005-0000-0000-0000E25F0000}"/>
    <cellStyle name="40% - Accent6 7 4 2 2" xfId="36524" xr:uid="{00000000-0005-0000-0000-0000E35F0000}"/>
    <cellStyle name="40% - Accent6 7 4 3" xfId="26284" xr:uid="{00000000-0005-0000-0000-0000E45F0000}"/>
    <cellStyle name="40% - Accent6 7 5" xfId="10924" xr:uid="{00000000-0005-0000-0000-0000E55F0000}"/>
    <cellStyle name="40% - Accent6 7 5 2" xfId="31404" xr:uid="{00000000-0005-0000-0000-0000E65F0000}"/>
    <cellStyle name="40% - Accent6 7 6" xfId="21164" xr:uid="{00000000-0005-0000-0000-0000E75F0000}"/>
    <cellStyle name="40% - Accent6 8" xfId="1324" xr:uid="{00000000-0005-0000-0000-0000E85F0000}"/>
    <cellStyle name="40% - Accent6 8 2" xfId="3884" xr:uid="{00000000-0005-0000-0000-0000E95F0000}"/>
    <cellStyle name="40% - Accent6 8 2 2" xfId="9004" xr:uid="{00000000-0005-0000-0000-0000EA5F0000}"/>
    <cellStyle name="40% - Accent6 8 2 2 2" xfId="19244" xr:uid="{00000000-0005-0000-0000-0000EB5F0000}"/>
    <cellStyle name="40% - Accent6 8 2 2 2 2" xfId="39724" xr:uid="{00000000-0005-0000-0000-0000EC5F0000}"/>
    <cellStyle name="40% - Accent6 8 2 2 3" xfId="29484" xr:uid="{00000000-0005-0000-0000-0000ED5F0000}"/>
    <cellStyle name="40% - Accent6 8 2 3" xfId="14124" xr:uid="{00000000-0005-0000-0000-0000EE5F0000}"/>
    <cellStyle name="40% - Accent6 8 2 3 2" xfId="34604" xr:uid="{00000000-0005-0000-0000-0000EF5F0000}"/>
    <cellStyle name="40% - Accent6 8 2 4" xfId="24364" xr:uid="{00000000-0005-0000-0000-0000F05F0000}"/>
    <cellStyle name="40% - Accent6 8 3" xfId="6444" xr:uid="{00000000-0005-0000-0000-0000F15F0000}"/>
    <cellStyle name="40% - Accent6 8 3 2" xfId="16684" xr:uid="{00000000-0005-0000-0000-0000F25F0000}"/>
    <cellStyle name="40% - Accent6 8 3 2 2" xfId="37164" xr:uid="{00000000-0005-0000-0000-0000F35F0000}"/>
    <cellStyle name="40% - Accent6 8 3 3" xfId="26924" xr:uid="{00000000-0005-0000-0000-0000F45F0000}"/>
    <cellStyle name="40% - Accent6 8 4" xfId="11564" xr:uid="{00000000-0005-0000-0000-0000F55F0000}"/>
    <cellStyle name="40% - Accent6 8 4 2" xfId="32044" xr:uid="{00000000-0005-0000-0000-0000F65F0000}"/>
    <cellStyle name="40% - Accent6 8 5" xfId="21804" xr:uid="{00000000-0005-0000-0000-0000F75F0000}"/>
    <cellStyle name="40% - Accent6 9" xfId="2604" xr:uid="{00000000-0005-0000-0000-0000F85F0000}"/>
    <cellStyle name="40% - Accent6 9 2" xfId="7724" xr:uid="{00000000-0005-0000-0000-0000F95F0000}"/>
    <cellStyle name="40% - Accent6 9 2 2" xfId="17964" xr:uid="{00000000-0005-0000-0000-0000FA5F0000}"/>
    <cellStyle name="40% - Accent6 9 2 2 2" xfId="38444" xr:uid="{00000000-0005-0000-0000-0000FB5F0000}"/>
    <cellStyle name="40% - Accent6 9 2 3" xfId="28204" xr:uid="{00000000-0005-0000-0000-0000FC5F0000}"/>
    <cellStyle name="40% - Accent6 9 3" xfId="12844" xr:uid="{00000000-0005-0000-0000-0000FD5F0000}"/>
    <cellStyle name="40% - Accent6 9 3 2" xfId="33324" xr:uid="{00000000-0005-0000-0000-0000FE5F0000}"/>
    <cellStyle name="40% - Accent6 9 4" xfId="23084" xr:uid="{00000000-0005-0000-0000-0000FF5F0000}"/>
    <cellStyle name="60% - Accent1 10" xfId="5150" xr:uid="{00000000-0005-0000-0000-000000600000}"/>
    <cellStyle name="60% - Accent1 10 2" xfId="15390" xr:uid="{00000000-0005-0000-0000-000001600000}"/>
    <cellStyle name="60% - Accent1 10 2 2" xfId="35870" xr:uid="{00000000-0005-0000-0000-000002600000}"/>
    <cellStyle name="60% - Accent1 10 3" xfId="25630" xr:uid="{00000000-0005-0000-0000-000003600000}"/>
    <cellStyle name="60% - Accent1 11" xfId="10270" xr:uid="{00000000-0005-0000-0000-000004600000}"/>
    <cellStyle name="60% - Accent1 11 2" xfId="30750" xr:uid="{00000000-0005-0000-0000-000005600000}"/>
    <cellStyle name="60% - Accent1 12" xfId="20510" xr:uid="{00000000-0005-0000-0000-000006600000}"/>
    <cellStyle name="60% - Accent1 13" xfId="25" xr:uid="{00000000-0005-0000-0000-000007600000}"/>
    <cellStyle name="60% - Accent1 2" xfId="50" xr:uid="{00000000-0005-0000-0000-000008600000}"/>
    <cellStyle name="60% - Accent1 2 10" xfId="10290" xr:uid="{00000000-0005-0000-0000-000009600000}"/>
    <cellStyle name="60% - Accent1 2 10 2" xfId="30770" xr:uid="{00000000-0005-0000-0000-00000A600000}"/>
    <cellStyle name="60% - Accent1 2 11" xfId="20530" xr:uid="{00000000-0005-0000-0000-00000B600000}"/>
    <cellStyle name="60% - Accent1 2 2" xfId="90" xr:uid="{00000000-0005-0000-0000-00000C600000}"/>
    <cellStyle name="60% - Accent1 2 2 10" xfId="20570" xr:uid="{00000000-0005-0000-0000-00000D600000}"/>
    <cellStyle name="60% - Accent1 2 2 2" xfId="170" xr:uid="{00000000-0005-0000-0000-00000E600000}"/>
    <cellStyle name="60% - Accent1 2 2 2 2" xfId="330" xr:uid="{00000000-0005-0000-0000-00000F600000}"/>
    <cellStyle name="60% - Accent1 2 2 2 2 2" xfId="650" xr:uid="{00000000-0005-0000-0000-000010600000}"/>
    <cellStyle name="60% - Accent1 2 2 2 2 2 2" xfId="1290" xr:uid="{00000000-0005-0000-0000-000011600000}"/>
    <cellStyle name="60% - Accent1 2 2 2 2 2 2 2" xfId="2570" xr:uid="{00000000-0005-0000-0000-000012600000}"/>
    <cellStyle name="60% - Accent1 2 2 2 2 2 2 2 2" xfId="5130" xr:uid="{00000000-0005-0000-0000-000013600000}"/>
    <cellStyle name="60% - Accent1 2 2 2 2 2 2 2 2 2" xfId="10250" xr:uid="{00000000-0005-0000-0000-000014600000}"/>
    <cellStyle name="60% - Accent1 2 2 2 2 2 2 2 2 2 2" xfId="20490" xr:uid="{00000000-0005-0000-0000-000015600000}"/>
    <cellStyle name="60% - Accent1 2 2 2 2 2 2 2 2 2 2 2" xfId="40970" xr:uid="{00000000-0005-0000-0000-000016600000}"/>
    <cellStyle name="60% - Accent1 2 2 2 2 2 2 2 2 2 3" xfId="30730" xr:uid="{00000000-0005-0000-0000-000017600000}"/>
    <cellStyle name="60% - Accent1 2 2 2 2 2 2 2 2 3" xfId="15370" xr:uid="{00000000-0005-0000-0000-000018600000}"/>
    <cellStyle name="60% - Accent1 2 2 2 2 2 2 2 2 3 2" xfId="35850" xr:uid="{00000000-0005-0000-0000-000019600000}"/>
    <cellStyle name="60% - Accent1 2 2 2 2 2 2 2 2 4" xfId="25610" xr:uid="{00000000-0005-0000-0000-00001A600000}"/>
    <cellStyle name="60% - Accent1 2 2 2 2 2 2 2 3" xfId="7690" xr:uid="{00000000-0005-0000-0000-00001B600000}"/>
    <cellStyle name="60% - Accent1 2 2 2 2 2 2 2 3 2" xfId="17930" xr:uid="{00000000-0005-0000-0000-00001C600000}"/>
    <cellStyle name="60% - Accent1 2 2 2 2 2 2 2 3 2 2" xfId="38410" xr:uid="{00000000-0005-0000-0000-00001D600000}"/>
    <cellStyle name="60% - Accent1 2 2 2 2 2 2 2 3 3" xfId="28170" xr:uid="{00000000-0005-0000-0000-00001E600000}"/>
    <cellStyle name="60% - Accent1 2 2 2 2 2 2 2 4" xfId="12810" xr:uid="{00000000-0005-0000-0000-00001F600000}"/>
    <cellStyle name="60% - Accent1 2 2 2 2 2 2 2 4 2" xfId="33290" xr:uid="{00000000-0005-0000-0000-000020600000}"/>
    <cellStyle name="60% - Accent1 2 2 2 2 2 2 2 5" xfId="23050" xr:uid="{00000000-0005-0000-0000-000021600000}"/>
    <cellStyle name="60% - Accent1 2 2 2 2 2 2 3" xfId="3850" xr:uid="{00000000-0005-0000-0000-000022600000}"/>
    <cellStyle name="60% - Accent1 2 2 2 2 2 2 3 2" xfId="8970" xr:uid="{00000000-0005-0000-0000-000023600000}"/>
    <cellStyle name="60% - Accent1 2 2 2 2 2 2 3 2 2" xfId="19210" xr:uid="{00000000-0005-0000-0000-000024600000}"/>
    <cellStyle name="60% - Accent1 2 2 2 2 2 2 3 2 2 2" xfId="39690" xr:uid="{00000000-0005-0000-0000-000025600000}"/>
    <cellStyle name="60% - Accent1 2 2 2 2 2 2 3 2 3" xfId="29450" xr:uid="{00000000-0005-0000-0000-000026600000}"/>
    <cellStyle name="60% - Accent1 2 2 2 2 2 2 3 3" xfId="14090" xr:uid="{00000000-0005-0000-0000-000027600000}"/>
    <cellStyle name="60% - Accent1 2 2 2 2 2 2 3 3 2" xfId="34570" xr:uid="{00000000-0005-0000-0000-000028600000}"/>
    <cellStyle name="60% - Accent1 2 2 2 2 2 2 3 4" xfId="24330" xr:uid="{00000000-0005-0000-0000-000029600000}"/>
    <cellStyle name="60% - Accent1 2 2 2 2 2 2 4" xfId="6410" xr:uid="{00000000-0005-0000-0000-00002A600000}"/>
    <cellStyle name="60% - Accent1 2 2 2 2 2 2 4 2" xfId="16650" xr:uid="{00000000-0005-0000-0000-00002B600000}"/>
    <cellStyle name="60% - Accent1 2 2 2 2 2 2 4 2 2" xfId="37130" xr:uid="{00000000-0005-0000-0000-00002C600000}"/>
    <cellStyle name="60% - Accent1 2 2 2 2 2 2 4 3" xfId="26890" xr:uid="{00000000-0005-0000-0000-00002D600000}"/>
    <cellStyle name="60% - Accent1 2 2 2 2 2 2 5" xfId="11530" xr:uid="{00000000-0005-0000-0000-00002E600000}"/>
    <cellStyle name="60% - Accent1 2 2 2 2 2 2 5 2" xfId="32010" xr:uid="{00000000-0005-0000-0000-00002F600000}"/>
    <cellStyle name="60% - Accent1 2 2 2 2 2 2 6" xfId="21770" xr:uid="{00000000-0005-0000-0000-000030600000}"/>
    <cellStyle name="60% - Accent1 2 2 2 2 2 3" xfId="1930" xr:uid="{00000000-0005-0000-0000-000031600000}"/>
    <cellStyle name="60% - Accent1 2 2 2 2 2 3 2" xfId="4490" xr:uid="{00000000-0005-0000-0000-000032600000}"/>
    <cellStyle name="60% - Accent1 2 2 2 2 2 3 2 2" xfId="9610" xr:uid="{00000000-0005-0000-0000-000033600000}"/>
    <cellStyle name="60% - Accent1 2 2 2 2 2 3 2 2 2" xfId="19850" xr:uid="{00000000-0005-0000-0000-000034600000}"/>
    <cellStyle name="60% - Accent1 2 2 2 2 2 3 2 2 2 2" xfId="40330" xr:uid="{00000000-0005-0000-0000-000035600000}"/>
    <cellStyle name="60% - Accent1 2 2 2 2 2 3 2 2 3" xfId="30090" xr:uid="{00000000-0005-0000-0000-000036600000}"/>
    <cellStyle name="60% - Accent1 2 2 2 2 2 3 2 3" xfId="14730" xr:uid="{00000000-0005-0000-0000-000037600000}"/>
    <cellStyle name="60% - Accent1 2 2 2 2 2 3 2 3 2" xfId="35210" xr:uid="{00000000-0005-0000-0000-000038600000}"/>
    <cellStyle name="60% - Accent1 2 2 2 2 2 3 2 4" xfId="24970" xr:uid="{00000000-0005-0000-0000-000039600000}"/>
    <cellStyle name="60% - Accent1 2 2 2 2 2 3 3" xfId="7050" xr:uid="{00000000-0005-0000-0000-00003A600000}"/>
    <cellStyle name="60% - Accent1 2 2 2 2 2 3 3 2" xfId="17290" xr:uid="{00000000-0005-0000-0000-00003B600000}"/>
    <cellStyle name="60% - Accent1 2 2 2 2 2 3 3 2 2" xfId="37770" xr:uid="{00000000-0005-0000-0000-00003C600000}"/>
    <cellStyle name="60% - Accent1 2 2 2 2 2 3 3 3" xfId="27530" xr:uid="{00000000-0005-0000-0000-00003D600000}"/>
    <cellStyle name="60% - Accent1 2 2 2 2 2 3 4" xfId="12170" xr:uid="{00000000-0005-0000-0000-00003E600000}"/>
    <cellStyle name="60% - Accent1 2 2 2 2 2 3 4 2" xfId="32650" xr:uid="{00000000-0005-0000-0000-00003F600000}"/>
    <cellStyle name="60% - Accent1 2 2 2 2 2 3 5" xfId="22410" xr:uid="{00000000-0005-0000-0000-000040600000}"/>
    <cellStyle name="60% - Accent1 2 2 2 2 2 4" xfId="3210" xr:uid="{00000000-0005-0000-0000-000041600000}"/>
    <cellStyle name="60% - Accent1 2 2 2 2 2 4 2" xfId="8330" xr:uid="{00000000-0005-0000-0000-000042600000}"/>
    <cellStyle name="60% - Accent1 2 2 2 2 2 4 2 2" xfId="18570" xr:uid="{00000000-0005-0000-0000-000043600000}"/>
    <cellStyle name="60% - Accent1 2 2 2 2 2 4 2 2 2" xfId="39050" xr:uid="{00000000-0005-0000-0000-000044600000}"/>
    <cellStyle name="60% - Accent1 2 2 2 2 2 4 2 3" xfId="28810" xr:uid="{00000000-0005-0000-0000-000045600000}"/>
    <cellStyle name="60% - Accent1 2 2 2 2 2 4 3" xfId="13450" xr:uid="{00000000-0005-0000-0000-000046600000}"/>
    <cellStyle name="60% - Accent1 2 2 2 2 2 4 3 2" xfId="33930" xr:uid="{00000000-0005-0000-0000-000047600000}"/>
    <cellStyle name="60% - Accent1 2 2 2 2 2 4 4" xfId="23690" xr:uid="{00000000-0005-0000-0000-000048600000}"/>
    <cellStyle name="60% - Accent1 2 2 2 2 2 5" xfId="5770" xr:uid="{00000000-0005-0000-0000-000049600000}"/>
    <cellStyle name="60% - Accent1 2 2 2 2 2 5 2" xfId="16010" xr:uid="{00000000-0005-0000-0000-00004A600000}"/>
    <cellStyle name="60% - Accent1 2 2 2 2 2 5 2 2" xfId="36490" xr:uid="{00000000-0005-0000-0000-00004B600000}"/>
    <cellStyle name="60% - Accent1 2 2 2 2 2 5 3" xfId="26250" xr:uid="{00000000-0005-0000-0000-00004C600000}"/>
    <cellStyle name="60% - Accent1 2 2 2 2 2 6" xfId="10890" xr:uid="{00000000-0005-0000-0000-00004D600000}"/>
    <cellStyle name="60% - Accent1 2 2 2 2 2 6 2" xfId="31370" xr:uid="{00000000-0005-0000-0000-00004E600000}"/>
    <cellStyle name="60% - Accent1 2 2 2 2 2 7" xfId="21130" xr:uid="{00000000-0005-0000-0000-00004F600000}"/>
    <cellStyle name="60% - Accent1 2 2 2 2 3" xfId="970" xr:uid="{00000000-0005-0000-0000-000050600000}"/>
    <cellStyle name="60% - Accent1 2 2 2 2 3 2" xfId="2250" xr:uid="{00000000-0005-0000-0000-000051600000}"/>
    <cellStyle name="60% - Accent1 2 2 2 2 3 2 2" xfId="4810" xr:uid="{00000000-0005-0000-0000-000052600000}"/>
    <cellStyle name="60% - Accent1 2 2 2 2 3 2 2 2" xfId="9930" xr:uid="{00000000-0005-0000-0000-000053600000}"/>
    <cellStyle name="60% - Accent1 2 2 2 2 3 2 2 2 2" xfId="20170" xr:uid="{00000000-0005-0000-0000-000054600000}"/>
    <cellStyle name="60% - Accent1 2 2 2 2 3 2 2 2 2 2" xfId="40650" xr:uid="{00000000-0005-0000-0000-000055600000}"/>
    <cellStyle name="60% - Accent1 2 2 2 2 3 2 2 2 3" xfId="30410" xr:uid="{00000000-0005-0000-0000-000056600000}"/>
    <cellStyle name="60% - Accent1 2 2 2 2 3 2 2 3" xfId="15050" xr:uid="{00000000-0005-0000-0000-000057600000}"/>
    <cellStyle name="60% - Accent1 2 2 2 2 3 2 2 3 2" xfId="35530" xr:uid="{00000000-0005-0000-0000-000058600000}"/>
    <cellStyle name="60% - Accent1 2 2 2 2 3 2 2 4" xfId="25290" xr:uid="{00000000-0005-0000-0000-000059600000}"/>
    <cellStyle name="60% - Accent1 2 2 2 2 3 2 3" xfId="7370" xr:uid="{00000000-0005-0000-0000-00005A600000}"/>
    <cellStyle name="60% - Accent1 2 2 2 2 3 2 3 2" xfId="17610" xr:uid="{00000000-0005-0000-0000-00005B600000}"/>
    <cellStyle name="60% - Accent1 2 2 2 2 3 2 3 2 2" xfId="38090" xr:uid="{00000000-0005-0000-0000-00005C600000}"/>
    <cellStyle name="60% - Accent1 2 2 2 2 3 2 3 3" xfId="27850" xr:uid="{00000000-0005-0000-0000-00005D600000}"/>
    <cellStyle name="60% - Accent1 2 2 2 2 3 2 4" xfId="12490" xr:uid="{00000000-0005-0000-0000-00005E600000}"/>
    <cellStyle name="60% - Accent1 2 2 2 2 3 2 4 2" xfId="32970" xr:uid="{00000000-0005-0000-0000-00005F600000}"/>
    <cellStyle name="60% - Accent1 2 2 2 2 3 2 5" xfId="22730" xr:uid="{00000000-0005-0000-0000-000060600000}"/>
    <cellStyle name="60% - Accent1 2 2 2 2 3 3" xfId="3530" xr:uid="{00000000-0005-0000-0000-000061600000}"/>
    <cellStyle name="60% - Accent1 2 2 2 2 3 3 2" xfId="8650" xr:uid="{00000000-0005-0000-0000-000062600000}"/>
    <cellStyle name="60% - Accent1 2 2 2 2 3 3 2 2" xfId="18890" xr:uid="{00000000-0005-0000-0000-000063600000}"/>
    <cellStyle name="60% - Accent1 2 2 2 2 3 3 2 2 2" xfId="39370" xr:uid="{00000000-0005-0000-0000-000064600000}"/>
    <cellStyle name="60% - Accent1 2 2 2 2 3 3 2 3" xfId="29130" xr:uid="{00000000-0005-0000-0000-000065600000}"/>
    <cellStyle name="60% - Accent1 2 2 2 2 3 3 3" xfId="13770" xr:uid="{00000000-0005-0000-0000-000066600000}"/>
    <cellStyle name="60% - Accent1 2 2 2 2 3 3 3 2" xfId="34250" xr:uid="{00000000-0005-0000-0000-000067600000}"/>
    <cellStyle name="60% - Accent1 2 2 2 2 3 3 4" xfId="24010" xr:uid="{00000000-0005-0000-0000-000068600000}"/>
    <cellStyle name="60% - Accent1 2 2 2 2 3 4" xfId="6090" xr:uid="{00000000-0005-0000-0000-000069600000}"/>
    <cellStyle name="60% - Accent1 2 2 2 2 3 4 2" xfId="16330" xr:uid="{00000000-0005-0000-0000-00006A600000}"/>
    <cellStyle name="60% - Accent1 2 2 2 2 3 4 2 2" xfId="36810" xr:uid="{00000000-0005-0000-0000-00006B600000}"/>
    <cellStyle name="60% - Accent1 2 2 2 2 3 4 3" xfId="26570" xr:uid="{00000000-0005-0000-0000-00006C600000}"/>
    <cellStyle name="60% - Accent1 2 2 2 2 3 5" xfId="11210" xr:uid="{00000000-0005-0000-0000-00006D600000}"/>
    <cellStyle name="60% - Accent1 2 2 2 2 3 5 2" xfId="31690" xr:uid="{00000000-0005-0000-0000-00006E600000}"/>
    <cellStyle name="60% - Accent1 2 2 2 2 3 6" xfId="21450" xr:uid="{00000000-0005-0000-0000-00006F600000}"/>
    <cellStyle name="60% - Accent1 2 2 2 2 4" xfId="1610" xr:uid="{00000000-0005-0000-0000-000070600000}"/>
    <cellStyle name="60% - Accent1 2 2 2 2 4 2" xfId="4170" xr:uid="{00000000-0005-0000-0000-000071600000}"/>
    <cellStyle name="60% - Accent1 2 2 2 2 4 2 2" xfId="9290" xr:uid="{00000000-0005-0000-0000-000072600000}"/>
    <cellStyle name="60% - Accent1 2 2 2 2 4 2 2 2" xfId="19530" xr:uid="{00000000-0005-0000-0000-000073600000}"/>
    <cellStyle name="60% - Accent1 2 2 2 2 4 2 2 2 2" xfId="40010" xr:uid="{00000000-0005-0000-0000-000074600000}"/>
    <cellStyle name="60% - Accent1 2 2 2 2 4 2 2 3" xfId="29770" xr:uid="{00000000-0005-0000-0000-000075600000}"/>
    <cellStyle name="60% - Accent1 2 2 2 2 4 2 3" xfId="14410" xr:uid="{00000000-0005-0000-0000-000076600000}"/>
    <cellStyle name="60% - Accent1 2 2 2 2 4 2 3 2" xfId="34890" xr:uid="{00000000-0005-0000-0000-000077600000}"/>
    <cellStyle name="60% - Accent1 2 2 2 2 4 2 4" xfId="24650" xr:uid="{00000000-0005-0000-0000-000078600000}"/>
    <cellStyle name="60% - Accent1 2 2 2 2 4 3" xfId="6730" xr:uid="{00000000-0005-0000-0000-000079600000}"/>
    <cellStyle name="60% - Accent1 2 2 2 2 4 3 2" xfId="16970" xr:uid="{00000000-0005-0000-0000-00007A600000}"/>
    <cellStyle name="60% - Accent1 2 2 2 2 4 3 2 2" xfId="37450" xr:uid="{00000000-0005-0000-0000-00007B600000}"/>
    <cellStyle name="60% - Accent1 2 2 2 2 4 3 3" xfId="27210" xr:uid="{00000000-0005-0000-0000-00007C600000}"/>
    <cellStyle name="60% - Accent1 2 2 2 2 4 4" xfId="11850" xr:uid="{00000000-0005-0000-0000-00007D600000}"/>
    <cellStyle name="60% - Accent1 2 2 2 2 4 4 2" xfId="32330" xr:uid="{00000000-0005-0000-0000-00007E600000}"/>
    <cellStyle name="60% - Accent1 2 2 2 2 4 5" xfId="22090" xr:uid="{00000000-0005-0000-0000-00007F600000}"/>
    <cellStyle name="60% - Accent1 2 2 2 2 5" xfId="2890" xr:uid="{00000000-0005-0000-0000-000080600000}"/>
    <cellStyle name="60% - Accent1 2 2 2 2 5 2" xfId="8010" xr:uid="{00000000-0005-0000-0000-000081600000}"/>
    <cellStyle name="60% - Accent1 2 2 2 2 5 2 2" xfId="18250" xr:uid="{00000000-0005-0000-0000-000082600000}"/>
    <cellStyle name="60% - Accent1 2 2 2 2 5 2 2 2" xfId="38730" xr:uid="{00000000-0005-0000-0000-000083600000}"/>
    <cellStyle name="60% - Accent1 2 2 2 2 5 2 3" xfId="28490" xr:uid="{00000000-0005-0000-0000-000084600000}"/>
    <cellStyle name="60% - Accent1 2 2 2 2 5 3" xfId="13130" xr:uid="{00000000-0005-0000-0000-000085600000}"/>
    <cellStyle name="60% - Accent1 2 2 2 2 5 3 2" xfId="33610" xr:uid="{00000000-0005-0000-0000-000086600000}"/>
    <cellStyle name="60% - Accent1 2 2 2 2 5 4" xfId="23370" xr:uid="{00000000-0005-0000-0000-000087600000}"/>
    <cellStyle name="60% - Accent1 2 2 2 2 6" xfId="5450" xr:uid="{00000000-0005-0000-0000-000088600000}"/>
    <cellStyle name="60% - Accent1 2 2 2 2 6 2" xfId="15690" xr:uid="{00000000-0005-0000-0000-000089600000}"/>
    <cellStyle name="60% - Accent1 2 2 2 2 6 2 2" xfId="36170" xr:uid="{00000000-0005-0000-0000-00008A600000}"/>
    <cellStyle name="60% - Accent1 2 2 2 2 6 3" xfId="25930" xr:uid="{00000000-0005-0000-0000-00008B600000}"/>
    <cellStyle name="60% - Accent1 2 2 2 2 7" xfId="10570" xr:uid="{00000000-0005-0000-0000-00008C600000}"/>
    <cellStyle name="60% - Accent1 2 2 2 2 7 2" xfId="31050" xr:uid="{00000000-0005-0000-0000-00008D600000}"/>
    <cellStyle name="60% - Accent1 2 2 2 2 8" xfId="20810" xr:uid="{00000000-0005-0000-0000-00008E600000}"/>
    <cellStyle name="60% - Accent1 2 2 2 3" xfId="490" xr:uid="{00000000-0005-0000-0000-00008F600000}"/>
    <cellStyle name="60% - Accent1 2 2 2 3 2" xfId="1130" xr:uid="{00000000-0005-0000-0000-000090600000}"/>
    <cellStyle name="60% - Accent1 2 2 2 3 2 2" xfId="2410" xr:uid="{00000000-0005-0000-0000-000091600000}"/>
    <cellStyle name="60% - Accent1 2 2 2 3 2 2 2" xfId="4970" xr:uid="{00000000-0005-0000-0000-000092600000}"/>
    <cellStyle name="60% - Accent1 2 2 2 3 2 2 2 2" xfId="10090" xr:uid="{00000000-0005-0000-0000-000093600000}"/>
    <cellStyle name="60% - Accent1 2 2 2 3 2 2 2 2 2" xfId="20330" xr:uid="{00000000-0005-0000-0000-000094600000}"/>
    <cellStyle name="60% - Accent1 2 2 2 3 2 2 2 2 2 2" xfId="40810" xr:uid="{00000000-0005-0000-0000-000095600000}"/>
    <cellStyle name="60% - Accent1 2 2 2 3 2 2 2 2 3" xfId="30570" xr:uid="{00000000-0005-0000-0000-000096600000}"/>
    <cellStyle name="60% - Accent1 2 2 2 3 2 2 2 3" xfId="15210" xr:uid="{00000000-0005-0000-0000-000097600000}"/>
    <cellStyle name="60% - Accent1 2 2 2 3 2 2 2 3 2" xfId="35690" xr:uid="{00000000-0005-0000-0000-000098600000}"/>
    <cellStyle name="60% - Accent1 2 2 2 3 2 2 2 4" xfId="25450" xr:uid="{00000000-0005-0000-0000-000099600000}"/>
    <cellStyle name="60% - Accent1 2 2 2 3 2 2 3" xfId="7530" xr:uid="{00000000-0005-0000-0000-00009A600000}"/>
    <cellStyle name="60% - Accent1 2 2 2 3 2 2 3 2" xfId="17770" xr:uid="{00000000-0005-0000-0000-00009B600000}"/>
    <cellStyle name="60% - Accent1 2 2 2 3 2 2 3 2 2" xfId="38250" xr:uid="{00000000-0005-0000-0000-00009C600000}"/>
    <cellStyle name="60% - Accent1 2 2 2 3 2 2 3 3" xfId="28010" xr:uid="{00000000-0005-0000-0000-00009D600000}"/>
    <cellStyle name="60% - Accent1 2 2 2 3 2 2 4" xfId="12650" xr:uid="{00000000-0005-0000-0000-00009E600000}"/>
    <cellStyle name="60% - Accent1 2 2 2 3 2 2 4 2" xfId="33130" xr:uid="{00000000-0005-0000-0000-00009F600000}"/>
    <cellStyle name="60% - Accent1 2 2 2 3 2 2 5" xfId="22890" xr:uid="{00000000-0005-0000-0000-0000A0600000}"/>
    <cellStyle name="60% - Accent1 2 2 2 3 2 3" xfId="3690" xr:uid="{00000000-0005-0000-0000-0000A1600000}"/>
    <cellStyle name="60% - Accent1 2 2 2 3 2 3 2" xfId="8810" xr:uid="{00000000-0005-0000-0000-0000A2600000}"/>
    <cellStyle name="60% - Accent1 2 2 2 3 2 3 2 2" xfId="19050" xr:uid="{00000000-0005-0000-0000-0000A3600000}"/>
    <cellStyle name="60% - Accent1 2 2 2 3 2 3 2 2 2" xfId="39530" xr:uid="{00000000-0005-0000-0000-0000A4600000}"/>
    <cellStyle name="60% - Accent1 2 2 2 3 2 3 2 3" xfId="29290" xr:uid="{00000000-0005-0000-0000-0000A5600000}"/>
    <cellStyle name="60% - Accent1 2 2 2 3 2 3 3" xfId="13930" xr:uid="{00000000-0005-0000-0000-0000A6600000}"/>
    <cellStyle name="60% - Accent1 2 2 2 3 2 3 3 2" xfId="34410" xr:uid="{00000000-0005-0000-0000-0000A7600000}"/>
    <cellStyle name="60% - Accent1 2 2 2 3 2 3 4" xfId="24170" xr:uid="{00000000-0005-0000-0000-0000A8600000}"/>
    <cellStyle name="60% - Accent1 2 2 2 3 2 4" xfId="6250" xr:uid="{00000000-0005-0000-0000-0000A9600000}"/>
    <cellStyle name="60% - Accent1 2 2 2 3 2 4 2" xfId="16490" xr:uid="{00000000-0005-0000-0000-0000AA600000}"/>
    <cellStyle name="60% - Accent1 2 2 2 3 2 4 2 2" xfId="36970" xr:uid="{00000000-0005-0000-0000-0000AB600000}"/>
    <cellStyle name="60% - Accent1 2 2 2 3 2 4 3" xfId="26730" xr:uid="{00000000-0005-0000-0000-0000AC600000}"/>
    <cellStyle name="60% - Accent1 2 2 2 3 2 5" xfId="11370" xr:uid="{00000000-0005-0000-0000-0000AD600000}"/>
    <cellStyle name="60% - Accent1 2 2 2 3 2 5 2" xfId="31850" xr:uid="{00000000-0005-0000-0000-0000AE600000}"/>
    <cellStyle name="60% - Accent1 2 2 2 3 2 6" xfId="21610" xr:uid="{00000000-0005-0000-0000-0000AF600000}"/>
    <cellStyle name="60% - Accent1 2 2 2 3 3" xfId="1770" xr:uid="{00000000-0005-0000-0000-0000B0600000}"/>
    <cellStyle name="60% - Accent1 2 2 2 3 3 2" xfId="4330" xr:uid="{00000000-0005-0000-0000-0000B1600000}"/>
    <cellStyle name="60% - Accent1 2 2 2 3 3 2 2" xfId="9450" xr:uid="{00000000-0005-0000-0000-0000B2600000}"/>
    <cellStyle name="60% - Accent1 2 2 2 3 3 2 2 2" xfId="19690" xr:uid="{00000000-0005-0000-0000-0000B3600000}"/>
    <cellStyle name="60% - Accent1 2 2 2 3 3 2 2 2 2" xfId="40170" xr:uid="{00000000-0005-0000-0000-0000B4600000}"/>
    <cellStyle name="60% - Accent1 2 2 2 3 3 2 2 3" xfId="29930" xr:uid="{00000000-0005-0000-0000-0000B5600000}"/>
    <cellStyle name="60% - Accent1 2 2 2 3 3 2 3" xfId="14570" xr:uid="{00000000-0005-0000-0000-0000B6600000}"/>
    <cellStyle name="60% - Accent1 2 2 2 3 3 2 3 2" xfId="35050" xr:uid="{00000000-0005-0000-0000-0000B7600000}"/>
    <cellStyle name="60% - Accent1 2 2 2 3 3 2 4" xfId="24810" xr:uid="{00000000-0005-0000-0000-0000B8600000}"/>
    <cellStyle name="60% - Accent1 2 2 2 3 3 3" xfId="6890" xr:uid="{00000000-0005-0000-0000-0000B9600000}"/>
    <cellStyle name="60% - Accent1 2 2 2 3 3 3 2" xfId="17130" xr:uid="{00000000-0005-0000-0000-0000BA600000}"/>
    <cellStyle name="60% - Accent1 2 2 2 3 3 3 2 2" xfId="37610" xr:uid="{00000000-0005-0000-0000-0000BB600000}"/>
    <cellStyle name="60% - Accent1 2 2 2 3 3 3 3" xfId="27370" xr:uid="{00000000-0005-0000-0000-0000BC600000}"/>
    <cellStyle name="60% - Accent1 2 2 2 3 3 4" xfId="12010" xr:uid="{00000000-0005-0000-0000-0000BD600000}"/>
    <cellStyle name="60% - Accent1 2 2 2 3 3 4 2" xfId="32490" xr:uid="{00000000-0005-0000-0000-0000BE600000}"/>
    <cellStyle name="60% - Accent1 2 2 2 3 3 5" xfId="22250" xr:uid="{00000000-0005-0000-0000-0000BF600000}"/>
    <cellStyle name="60% - Accent1 2 2 2 3 4" xfId="3050" xr:uid="{00000000-0005-0000-0000-0000C0600000}"/>
    <cellStyle name="60% - Accent1 2 2 2 3 4 2" xfId="8170" xr:uid="{00000000-0005-0000-0000-0000C1600000}"/>
    <cellStyle name="60% - Accent1 2 2 2 3 4 2 2" xfId="18410" xr:uid="{00000000-0005-0000-0000-0000C2600000}"/>
    <cellStyle name="60% - Accent1 2 2 2 3 4 2 2 2" xfId="38890" xr:uid="{00000000-0005-0000-0000-0000C3600000}"/>
    <cellStyle name="60% - Accent1 2 2 2 3 4 2 3" xfId="28650" xr:uid="{00000000-0005-0000-0000-0000C4600000}"/>
    <cellStyle name="60% - Accent1 2 2 2 3 4 3" xfId="13290" xr:uid="{00000000-0005-0000-0000-0000C5600000}"/>
    <cellStyle name="60% - Accent1 2 2 2 3 4 3 2" xfId="33770" xr:uid="{00000000-0005-0000-0000-0000C6600000}"/>
    <cellStyle name="60% - Accent1 2 2 2 3 4 4" xfId="23530" xr:uid="{00000000-0005-0000-0000-0000C7600000}"/>
    <cellStyle name="60% - Accent1 2 2 2 3 5" xfId="5610" xr:uid="{00000000-0005-0000-0000-0000C8600000}"/>
    <cellStyle name="60% - Accent1 2 2 2 3 5 2" xfId="15850" xr:uid="{00000000-0005-0000-0000-0000C9600000}"/>
    <cellStyle name="60% - Accent1 2 2 2 3 5 2 2" xfId="36330" xr:uid="{00000000-0005-0000-0000-0000CA600000}"/>
    <cellStyle name="60% - Accent1 2 2 2 3 5 3" xfId="26090" xr:uid="{00000000-0005-0000-0000-0000CB600000}"/>
    <cellStyle name="60% - Accent1 2 2 2 3 6" xfId="10730" xr:uid="{00000000-0005-0000-0000-0000CC600000}"/>
    <cellStyle name="60% - Accent1 2 2 2 3 6 2" xfId="31210" xr:uid="{00000000-0005-0000-0000-0000CD600000}"/>
    <cellStyle name="60% - Accent1 2 2 2 3 7" xfId="20970" xr:uid="{00000000-0005-0000-0000-0000CE600000}"/>
    <cellStyle name="60% - Accent1 2 2 2 4" xfId="810" xr:uid="{00000000-0005-0000-0000-0000CF600000}"/>
    <cellStyle name="60% - Accent1 2 2 2 4 2" xfId="2090" xr:uid="{00000000-0005-0000-0000-0000D0600000}"/>
    <cellStyle name="60% - Accent1 2 2 2 4 2 2" xfId="4650" xr:uid="{00000000-0005-0000-0000-0000D1600000}"/>
    <cellStyle name="60% - Accent1 2 2 2 4 2 2 2" xfId="9770" xr:uid="{00000000-0005-0000-0000-0000D2600000}"/>
    <cellStyle name="60% - Accent1 2 2 2 4 2 2 2 2" xfId="20010" xr:uid="{00000000-0005-0000-0000-0000D3600000}"/>
    <cellStyle name="60% - Accent1 2 2 2 4 2 2 2 2 2" xfId="40490" xr:uid="{00000000-0005-0000-0000-0000D4600000}"/>
    <cellStyle name="60% - Accent1 2 2 2 4 2 2 2 3" xfId="30250" xr:uid="{00000000-0005-0000-0000-0000D5600000}"/>
    <cellStyle name="60% - Accent1 2 2 2 4 2 2 3" xfId="14890" xr:uid="{00000000-0005-0000-0000-0000D6600000}"/>
    <cellStyle name="60% - Accent1 2 2 2 4 2 2 3 2" xfId="35370" xr:uid="{00000000-0005-0000-0000-0000D7600000}"/>
    <cellStyle name="60% - Accent1 2 2 2 4 2 2 4" xfId="25130" xr:uid="{00000000-0005-0000-0000-0000D8600000}"/>
    <cellStyle name="60% - Accent1 2 2 2 4 2 3" xfId="7210" xr:uid="{00000000-0005-0000-0000-0000D9600000}"/>
    <cellStyle name="60% - Accent1 2 2 2 4 2 3 2" xfId="17450" xr:uid="{00000000-0005-0000-0000-0000DA600000}"/>
    <cellStyle name="60% - Accent1 2 2 2 4 2 3 2 2" xfId="37930" xr:uid="{00000000-0005-0000-0000-0000DB600000}"/>
    <cellStyle name="60% - Accent1 2 2 2 4 2 3 3" xfId="27690" xr:uid="{00000000-0005-0000-0000-0000DC600000}"/>
    <cellStyle name="60% - Accent1 2 2 2 4 2 4" xfId="12330" xr:uid="{00000000-0005-0000-0000-0000DD600000}"/>
    <cellStyle name="60% - Accent1 2 2 2 4 2 4 2" xfId="32810" xr:uid="{00000000-0005-0000-0000-0000DE600000}"/>
    <cellStyle name="60% - Accent1 2 2 2 4 2 5" xfId="22570" xr:uid="{00000000-0005-0000-0000-0000DF600000}"/>
    <cellStyle name="60% - Accent1 2 2 2 4 3" xfId="3370" xr:uid="{00000000-0005-0000-0000-0000E0600000}"/>
    <cellStyle name="60% - Accent1 2 2 2 4 3 2" xfId="8490" xr:uid="{00000000-0005-0000-0000-0000E1600000}"/>
    <cellStyle name="60% - Accent1 2 2 2 4 3 2 2" xfId="18730" xr:uid="{00000000-0005-0000-0000-0000E2600000}"/>
    <cellStyle name="60% - Accent1 2 2 2 4 3 2 2 2" xfId="39210" xr:uid="{00000000-0005-0000-0000-0000E3600000}"/>
    <cellStyle name="60% - Accent1 2 2 2 4 3 2 3" xfId="28970" xr:uid="{00000000-0005-0000-0000-0000E4600000}"/>
    <cellStyle name="60% - Accent1 2 2 2 4 3 3" xfId="13610" xr:uid="{00000000-0005-0000-0000-0000E5600000}"/>
    <cellStyle name="60% - Accent1 2 2 2 4 3 3 2" xfId="34090" xr:uid="{00000000-0005-0000-0000-0000E6600000}"/>
    <cellStyle name="60% - Accent1 2 2 2 4 3 4" xfId="23850" xr:uid="{00000000-0005-0000-0000-0000E7600000}"/>
    <cellStyle name="60% - Accent1 2 2 2 4 4" xfId="5930" xr:uid="{00000000-0005-0000-0000-0000E8600000}"/>
    <cellStyle name="60% - Accent1 2 2 2 4 4 2" xfId="16170" xr:uid="{00000000-0005-0000-0000-0000E9600000}"/>
    <cellStyle name="60% - Accent1 2 2 2 4 4 2 2" xfId="36650" xr:uid="{00000000-0005-0000-0000-0000EA600000}"/>
    <cellStyle name="60% - Accent1 2 2 2 4 4 3" xfId="26410" xr:uid="{00000000-0005-0000-0000-0000EB600000}"/>
    <cellStyle name="60% - Accent1 2 2 2 4 5" xfId="11050" xr:uid="{00000000-0005-0000-0000-0000EC600000}"/>
    <cellStyle name="60% - Accent1 2 2 2 4 5 2" xfId="31530" xr:uid="{00000000-0005-0000-0000-0000ED600000}"/>
    <cellStyle name="60% - Accent1 2 2 2 4 6" xfId="21290" xr:uid="{00000000-0005-0000-0000-0000EE600000}"/>
    <cellStyle name="60% - Accent1 2 2 2 5" xfId="1450" xr:uid="{00000000-0005-0000-0000-0000EF600000}"/>
    <cellStyle name="60% - Accent1 2 2 2 5 2" xfId="4010" xr:uid="{00000000-0005-0000-0000-0000F0600000}"/>
    <cellStyle name="60% - Accent1 2 2 2 5 2 2" xfId="9130" xr:uid="{00000000-0005-0000-0000-0000F1600000}"/>
    <cellStyle name="60% - Accent1 2 2 2 5 2 2 2" xfId="19370" xr:uid="{00000000-0005-0000-0000-0000F2600000}"/>
    <cellStyle name="60% - Accent1 2 2 2 5 2 2 2 2" xfId="39850" xr:uid="{00000000-0005-0000-0000-0000F3600000}"/>
    <cellStyle name="60% - Accent1 2 2 2 5 2 2 3" xfId="29610" xr:uid="{00000000-0005-0000-0000-0000F4600000}"/>
    <cellStyle name="60% - Accent1 2 2 2 5 2 3" xfId="14250" xr:uid="{00000000-0005-0000-0000-0000F5600000}"/>
    <cellStyle name="60% - Accent1 2 2 2 5 2 3 2" xfId="34730" xr:uid="{00000000-0005-0000-0000-0000F6600000}"/>
    <cellStyle name="60% - Accent1 2 2 2 5 2 4" xfId="24490" xr:uid="{00000000-0005-0000-0000-0000F7600000}"/>
    <cellStyle name="60% - Accent1 2 2 2 5 3" xfId="6570" xr:uid="{00000000-0005-0000-0000-0000F8600000}"/>
    <cellStyle name="60% - Accent1 2 2 2 5 3 2" xfId="16810" xr:uid="{00000000-0005-0000-0000-0000F9600000}"/>
    <cellStyle name="60% - Accent1 2 2 2 5 3 2 2" xfId="37290" xr:uid="{00000000-0005-0000-0000-0000FA600000}"/>
    <cellStyle name="60% - Accent1 2 2 2 5 3 3" xfId="27050" xr:uid="{00000000-0005-0000-0000-0000FB600000}"/>
    <cellStyle name="60% - Accent1 2 2 2 5 4" xfId="11690" xr:uid="{00000000-0005-0000-0000-0000FC600000}"/>
    <cellStyle name="60% - Accent1 2 2 2 5 4 2" xfId="32170" xr:uid="{00000000-0005-0000-0000-0000FD600000}"/>
    <cellStyle name="60% - Accent1 2 2 2 5 5" xfId="21930" xr:uid="{00000000-0005-0000-0000-0000FE600000}"/>
    <cellStyle name="60% - Accent1 2 2 2 6" xfId="2730" xr:uid="{00000000-0005-0000-0000-0000FF600000}"/>
    <cellStyle name="60% - Accent1 2 2 2 6 2" xfId="7850" xr:uid="{00000000-0005-0000-0000-000000610000}"/>
    <cellStyle name="60% - Accent1 2 2 2 6 2 2" xfId="18090" xr:uid="{00000000-0005-0000-0000-000001610000}"/>
    <cellStyle name="60% - Accent1 2 2 2 6 2 2 2" xfId="38570" xr:uid="{00000000-0005-0000-0000-000002610000}"/>
    <cellStyle name="60% - Accent1 2 2 2 6 2 3" xfId="28330" xr:uid="{00000000-0005-0000-0000-000003610000}"/>
    <cellStyle name="60% - Accent1 2 2 2 6 3" xfId="12970" xr:uid="{00000000-0005-0000-0000-000004610000}"/>
    <cellStyle name="60% - Accent1 2 2 2 6 3 2" xfId="33450" xr:uid="{00000000-0005-0000-0000-000005610000}"/>
    <cellStyle name="60% - Accent1 2 2 2 6 4" xfId="23210" xr:uid="{00000000-0005-0000-0000-000006610000}"/>
    <cellStyle name="60% - Accent1 2 2 2 7" xfId="5290" xr:uid="{00000000-0005-0000-0000-000007610000}"/>
    <cellStyle name="60% - Accent1 2 2 2 7 2" xfId="15530" xr:uid="{00000000-0005-0000-0000-000008610000}"/>
    <cellStyle name="60% - Accent1 2 2 2 7 2 2" xfId="36010" xr:uid="{00000000-0005-0000-0000-000009610000}"/>
    <cellStyle name="60% - Accent1 2 2 2 7 3" xfId="25770" xr:uid="{00000000-0005-0000-0000-00000A610000}"/>
    <cellStyle name="60% - Accent1 2 2 2 8" xfId="10410" xr:uid="{00000000-0005-0000-0000-00000B610000}"/>
    <cellStyle name="60% - Accent1 2 2 2 8 2" xfId="30890" xr:uid="{00000000-0005-0000-0000-00000C610000}"/>
    <cellStyle name="60% - Accent1 2 2 2 9" xfId="20650" xr:uid="{00000000-0005-0000-0000-00000D610000}"/>
    <cellStyle name="60% - Accent1 2 2 3" xfId="250" xr:uid="{00000000-0005-0000-0000-00000E610000}"/>
    <cellStyle name="60% - Accent1 2 2 3 2" xfId="570" xr:uid="{00000000-0005-0000-0000-00000F610000}"/>
    <cellStyle name="60% - Accent1 2 2 3 2 2" xfId="1210" xr:uid="{00000000-0005-0000-0000-000010610000}"/>
    <cellStyle name="60% - Accent1 2 2 3 2 2 2" xfId="2490" xr:uid="{00000000-0005-0000-0000-000011610000}"/>
    <cellStyle name="60% - Accent1 2 2 3 2 2 2 2" xfId="5050" xr:uid="{00000000-0005-0000-0000-000012610000}"/>
    <cellStyle name="60% - Accent1 2 2 3 2 2 2 2 2" xfId="10170" xr:uid="{00000000-0005-0000-0000-000013610000}"/>
    <cellStyle name="60% - Accent1 2 2 3 2 2 2 2 2 2" xfId="20410" xr:uid="{00000000-0005-0000-0000-000014610000}"/>
    <cellStyle name="60% - Accent1 2 2 3 2 2 2 2 2 2 2" xfId="40890" xr:uid="{00000000-0005-0000-0000-000015610000}"/>
    <cellStyle name="60% - Accent1 2 2 3 2 2 2 2 2 3" xfId="30650" xr:uid="{00000000-0005-0000-0000-000016610000}"/>
    <cellStyle name="60% - Accent1 2 2 3 2 2 2 2 3" xfId="15290" xr:uid="{00000000-0005-0000-0000-000017610000}"/>
    <cellStyle name="60% - Accent1 2 2 3 2 2 2 2 3 2" xfId="35770" xr:uid="{00000000-0005-0000-0000-000018610000}"/>
    <cellStyle name="60% - Accent1 2 2 3 2 2 2 2 4" xfId="25530" xr:uid="{00000000-0005-0000-0000-000019610000}"/>
    <cellStyle name="60% - Accent1 2 2 3 2 2 2 3" xfId="7610" xr:uid="{00000000-0005-0000-0000-00001A610000}"/>
    <cellStyle name="60% - Accent1 2 2 3 2 2 2 3 2" xfId="17850" xr:uid="{00000000-0005-0000-0000-00001B610000}"/>
    <cellStyle name="60% - Accent1 2 2 3 2 2 2 3 2 2" xfId="38330" xr:uid="{00000000-0005-0000-0000-00001C610000}"/>
    <cellStyle name="60% - Accent1 2 2 3 2 2 2 3 3" xfId="28090" xr:uid="{00000000-0005-0000-0000-00001D610000}"/>
    <cellStyle name="60% - Accent1 2 2 3 2 2 2 4" xfId="12730" xr:uid="{00000000-0005-0000-0000-00001E610000}"/>
    <cellStyle name="60% - Accent1 2 2 3 2 2 2 4 2" xfId="33210" xr:uid="{00000000-0005-0000-0000-00001F610000}"/>
    <cellStyle name="60% - Accent1 2 2 3 2 2 2 5" xfId="22970" xr:uid="{00000000-0005-0000-0000-000020610000}"/>
    <cellStyle name="60% - Accent1 2 2 3 2 2 3" xfId="3770" xr:uid="{00000000-0005-0000-0000-000021610000}"/>
    <cellStyle name="60% - Accent1 2 2 3 2 2 3 2" xfId="8890" xr:uid="{00000000-0005-0000-0000-000022610000}"/>
    <cellStyle name="60% - Accent1 2 2 3 2 2 3 2 2" xfId="19130" xr:uid="{00000000-0005-0000-0000-000023610000}"/>
    <cellStyle name="60% - Accent1 2 2 3 2 2 3 2 2 2" xfId="39610" xr:uid="{00000000-0005-0000-0000-000024610000}"/>
    <cellStyle name="60% - Accent1 2 2 3 2 2 3 2 3" xfId="29370" xr:uid="{00000000-0005-0000-0000-000025610000}"/>
    <cellStyle name="60% - Accent1 2 2 3 2 2 3 3" xfId="14010" xr:uid="{00000000-0005-0000-0000-000026610000}"/>
    <cellStyle name="60% - Accent1 2 2 3 2 2 3 3 2" xfId="34490" xr:uid="{00000000-0005-0000-0000-000027610000}"/>
    <cellStyle name="60% - Accent1 2 2 3 2 2 3 4" xfId="24250" xr:uid="{00000000-0005-0000-0000-000028610000}"/>
    <cellStyle name="60% - Accent1 2 2 3 2 2 4" xfId="6330" xr:uid="{00000000-0005-0000-0000-000029610000}"/>
    <cellStyle name="60% - Accent1 2 2 3 2 2 4 2" xfId="16570" xr:uid="{00000000-0005-0000-0000-00002A610000}"/>
    <cellStyle name="60% - Accent1 2 2 3 2 2 4 2 2" xfId="37050" xr:uid="{00000000-0005-0000-0000-00002B610000}"/>
    <cellStyle name="60% - Accent1 2 2 3 2 2 4 3" xfId="26810" xr:uid="{00000000-0005-0000-0000-00002C610000}"/>
    <cellStyle name="60% - Accent1 2 2 3 2 2 5" xfId="11450" xr:uid="{00000000-0005-0000-0000-00002D610000}"/>
    <cellStyle name="60% - Accent1 2 2 3 2 2 5 2" xfId="31930" xr:uid="{00000000-0005-0000-0000-00002E610000}"/>
    <cellStyle name="60% - Accent1 2 2 3 2 2 6" xfId="21690" xr:uid="{00000000-0005-0000-0000-00002F610000}"/>
    <cellStyle name="60% - Accent1 2 2 3 2 3" xfId="1850" xr:uid="{00000000-0005-0000-0000-000030610000}"/>
    <cellStyle name="60% - Accent1 2 2 3 2 3 2" xfId="4410" xr:uid="{00000000-0005-0000-0000-000031610000}"/>
    <cellStyle name="60% - Accent1 2 2 3 2 3 2 2" xfId="9530" xr:uid="{00000000-0005-0000-0000-000032610000}"/>
    <cellStyle name="60% - Accent1 2 2 3 2 3 2 2 2" xfId="19770" xr:uid="{00000000-0005-0000-0000-000033610000}"/>
    <cellStyle name="60% - Accent1 2 2 3 2 3 2 2 2 2" xfId="40250" xr:uid="{00000000-0005-0000-0000-000034610000}"/>
    <cellStyle name="60% - Accent1 2 2 3 2 3 2 2 3" xfId="30010" xr:uid="{00000000-0005-0000-0000-000035610000}"/>
    <cellStyle name="60% - Accent1 2 2 3 2 3 2 3" xfId="14650" xr:uid="{00000000-0005-0000-0000-000036610000}"/>
    <cellStyle name="60% - Accent1 2 2 3 2 3 2 3 2" xfId="35130" xr:uid="{00000000-0005-0000-0000-000037610000}"/>
    <cellStyle name="60% - Accent1 2 2 3 2 3 2 4" xfId="24890" xr:uid="{00000000-0005-0000-0000-000038610000}"/>
    <cellStyle name="60% - Accent1 2 2 3 2 3 3" xfId="6970" xr:uid="{00000000-0005-0000-0000-000039610000}"/>
    <cellStyle name="60% - Accent1 2 2 3 2 3 3 2" xfId="17210" xr:uid="{00000000-0005-0000-0000-00003A610000}"/>
    <cellStyle name="60% - Accent1 2 2 3 2 3 3 2 2" xfId="37690" xr:uid="{00000000-0005-0000-0000-00003B610000}"/>
    <cellStyle name="60% - Accent1 2 2 3 2 3 3 3" xfId="27450" xr:uid="{00000000-0005-0000-0000-00003C610000}"/>
    <cellStyle name="60% - Accent1 2 2 3 2 3 4" xfId="12090" xr:uid="{00000000-0005-0000-0000-00003D610000}"/>
    <cellStyle name="60% - Accent1 2 2 3 2 3 4 2" xfId="32570" xr:uid="{00000000-0005-0000-0000-00003E610000}"/>
    <cellStyle name="60% - Accent1 2 2 3 2 3 5" xfId="22330" xr:uid="{00000000-0005-0000-0000-00003F610000}"/>
    <cellStyle name="60% - Accent1 2 2 3 2 4" xfId="3130" xr:uid="{00000000-0005-0000-0000-000040610000}"/>
    <cellStyle name="60% - Accent1 2 2 3 2 4 2" xfId="8250" xr:uid="{00000000-0005-0000-0000-000041610000}"/>
    <cellStyle name="60% - Accent1 2 2 3 2 4 2 2" xfId="18490" xr:uid="{00000000-0005-0000-0000-000042610000}"/>
    <cellStyle name="60% - Accent1 2 2 3 2 4 2 2 2" xfId="38970" xr:uid="{00000000-0005-0000-0000-000043610000}"/>
    <cellStyle name="60% - Accent1 2 2 3 2 4 2 3" xfId="28730" xr:uid="{00000000-0005-0000-0000-000044610000}"/>
    <cellStyle name="60% - Accent1 2 2 3 2 4 3" xfId="13370" xr:uid="{00000000-0005-0000-0000-000045610000}"/>
    <cellStyle name="60% - Accent1 2 2 3 2 4 3 2" xfId="33850" xr:uid="{00000000-0005-0000-0000-000046610000}"/>
    <cellStyle name="60% - Accent1 2 2 3 2 4 4" xfId="23610" xr:uid="{00000000-0005-0000-0000-000047610000}"/>
    <cellStyle name="60% - Accent1 2 2 3 2 5" xfId="5690" xr:uid="{00000000-0005-0000-0000-000048610000}"/>
    <cellStyle name="60% - Accent1 2 2 3 2 5 2" xfId="15930" xr:uid="{00000000-0005-0000-0000-000049610000}"/>
    <cellStyle name="60% - Accent1 2 2 3 2 5 2 2" xfId="36410" xr:uid="{00000000-0005-0000-0000-00004A610000}"/>
    <cellStyle name="60% - Accent1 2 2 3 2 5 3" xfId="26170" xr:uid="{00000000-0005-0000-0000-00004B610000}"/>
    <cellStyle name="60% - Accent1 2 2 3 2 6" xfId="10810" xr:uid="{00000000-0005-0000-0000-00004C610000}"/>
    <cellStyle name="60% - Accent1 2 2 3 2 6 2" xfId="31290" xr:uid="{00000000-0005-0000-0000-00004D610000}"/>
    <cellStyle name="60% - Accent1 2 2 3 2 7" xfId="21050" xr:uid="{00000000-0005-0000-0000-00004E610000}"/>
    <cellStyle name="60% - Accent1 2 2 3 3" xfId="890" xr:uid="{00000000-0005-0000-0000-00004F610000}"/>
    <cellStyle name="60% - Accent1 2 2 3 3 2" xfId="2170" xr:uid="{00000000-0005-0000-0000-000050610000}"/>
    <cellStyle name="60% - Accent1 2 2 3 3 2 2" xfId="4730" xr:uid="{00000000-0005-0000-0000-000051610000}"/>
    <cellStyle name="60% - Accent1 2 2 3 3 2 2 2" xfId="9850" xr:uid="{00000000-0005-0000-0000-000052610000}"/>
    <cellStyle name="60% - Accent1 2 2 3 3 2 2 2 2" xfId="20090" xr:uid="{00000000-0005-0000-0000-000053610000}"/>
    <cellStyle name="60% - Accent1 2 2 3 3 2 2 2 2 2" xfId="40570" xr:uid="{00000000-0005-0000-0000-000054610000}"/>
    <cellStyle name="60% - Accent1 2 2 3 3 2 2 2 3" xfId="30330" xr:uid="{00000000-0005-0000-0000-000055610000}"/>
    <cellStyle name="60% - Accent1 2 2 3 3 2 2 3" xfId="14970" xr:uid="{00000000-0005-0000-0000-000056610000}"/>
    <cellStyle name="60% - Accent1 2 2 3 3 2 2 3 2" xfId="35450" xr:uid="{00000000-0005-0000-0000-000057610000}"/>
    <cellStyle name="60% - Accent1 2 2 3 3 2 2 4" xfId="25210" xr:uid="{00000000-0005-0000-0000-000058610000}"/>
    <cellStyle name="60% - Accent1 2 2 3 3 2 3" xfId="7290" xr:uid="{00000000-0005-0000-0000-000059610000}"/>
    <cellStyle name="60% - Accent1 2 2 3 3 2 3 2" xfId="17530" xr:uid="{00000000-0005-0000-0000-00005A610000}"/>
    <cellStyle name="60% - Accent1 2 2 3 3 2 3 2 2" xfId="38010" xr:uid="{00000000-0005-0000-0000-00005B610000}"/>
    <cellStyle name="60% - Accent1 2 2 3 3 2 3 3" xfId="27770" xr:uid="{00000000-0005-0000-0000-00005C610000}"/>
    <cellStyle name="60% - Accent1 2 2 3 3 2 4" xfId="12410" xr:uid="{00000000-0005-0000-0000-00005D610000}"/>
    <cellStyle name="60% - Accent1 2 2 3 3 2 4 2" xfId="32890" xr:uid="{00000000-0005-0000-0000-00005E610000}"/>
    <cellStyle name="60% - Accent1 2 2 3 3 2 5" xfId="22650" xr:uid="{00000000-0005-0000-0000-00005F610000}"/>
    <cellStyle name="60% - Accent1 2 2 3 3 3" xfId="3450" xr:uid="{00000000-0005-0000-0000-000060610000}"/>
    <cellStyle name="60% - Accent1 2 2 3 3 3 2" xfId="8570" xr:uid="{00000000-0005-0000-0000-000061610000}"/>
    <cellStyle name="60% - Accent1 2 2 3 3 3 2 2" xfId="18810" xr:uid="{00000000-0005-0000-0000-000062610000}"/>
    <cellStyle name="60% - Accent1 2 2 3 3 3 2 2 2" xfId="39290" xr:uid="{00000000-0005-0000-0000-000063610000}"/>
    <cellStyle name="60% - Accent1 2 2 3 3 3 2 3" xfId="29050" xr:uid="{00000000-0005-0000-0000-000064610000}"/>
    <cellStyle name="60% - Accent1 2 2 3 3 3 3" xfId="13690" xr:uid="{00000000-0005-0000-0000-000065610000}"/>
    <cellStyle name="60% - Accent1 2 2 3 3 3 3 2" xfId="34170" xr:uid="{00000000-0005-0000-0000-000066610000}"/>
    <cellStyle name="60% - Accent1 2 2 3 3 3 4" xfId="23930" xr:uid="{00000000-0005-0000-0000-000067610000}"/>
    <cellStyle name="60% - Accent1 2 2 3 3 4" xfId="6010" xr:uid="{00000000-0005-0000-0000-000068610000}"/>
    <cellStyle name="60% - Accent1 2 2 3 3 4 2" xfId="16250" xr:uid="{00000000-0005-0000-0000-000069610000}"/>
    <cellStyle name="60% - Accent1 2 2 3 3 4 2 2" xfId="36730" xr:uid="{00000000-0005-0000-0000-00006A610000}"/>
    <cellStyle name="60% - Accent1 2 2 3 3 4 3" xfId="26490" xr:uid="{00000000-0005-0000-0000-00006B610000}"/>
    <cellStyle name="60% - Accent1 2 2 3 3 5" xfId="11130" xr:uid="{00000000-0005-0000-0000-00006C610000}"/>
    <cellStyle name="60% - Accent1 2 2 3 3 5 2" xfId="31610" xr:uid="{00000000-0005-0000-0000-00006D610000}"/>
    <cellStyle name="60% - Accent1 2 2 3 3 6" xfId="21370" xr:uid="{00000000-0005-0000-0000-00006E610000}"/>
    <cellStyle name="60% - Accent1 2 2 3 4" xfId="1530" xr:uid="{00000000-0005-0000-0000-00006F610000}"/>
    <cellStyle name="60% - Accent1 2 2 3 4 2" xfId="4090" xr:uid="{00000000-0005-0000-0000-000070610000}"/>
    <cellStyle name="60% - Accent1 2 2 3 4 2 2" xfId="9210" xr:uid="{00000000-0005-0000-0000-000071610000}"/>
    <cellStyle name="60% - Accent1 2 2 3 4 2 2 2" xfId="19450" xr:uid="{00000000-0005-0000-0000-000072610000}"/>
    <cellStyle name="60% - Accent1 2 2 3 4 2 2 2 2" xfId="39930" xr:uid="{00000000-0005-0000-0000-000073610000}"/>
    <cellStyle name="60% - Accent1 2 2 3 4 2 2 3" xfId="29690" xr:uid="{00000000-0005-0000-0000-000074610000}"/>
    <cellStyle name="60% - Accent1 2 2 3 4 2 3" xfId="14330" xr:uid="{00000000-0005-0000-0000-000075610000}"/>
    <cellStyle name="60% - Accent1 2 2 3 4 2 3 2" xfId="34810" xr:uid="{00000000-0005-0000-0000-000076610000}"/>
    <cellStyle name="60% - Accent1 2 2 3 4 2 4" xfId="24570" xr:uid="{00000000-0005-0000-0000-000077610000}"/>
    <cellStyle name="60% - Accent1 2 2 3 4 3" xfId="6650" xr:uid="{00000000-0005-0000-0000-000078610000}"/>
    <cellStyle name="60% - Accent1 2 2 3 4 3 2" xfId="16890" xr:uid="{00000000-0005-0000-0000-000079610000}"/>
    <cellStyle name="60% - Accent1 2 2 3 4 3 2 2" xfId="37370" xr:uid="{00000000-0005-0000-0000-00007A610000}"/>
    <cellStyle name="60% - Accent1 2 2 3 4 3 3" xfId="27130" xr:uid="{00000000-0005-0000-0000-00007B610000}"/>
    <cellStyle name="60% - Accent1 2 2 3 4 4" xfId="11770" xr:uid="{00000000-0005-0000-0000-00007C610000}"/>
    <cellStyle name="60% - Accent1 2 2 3 4 4 2" xfId="32250" xr:uid="{00000000-0005-0000-0000-00007D610000}"/>
    <cellStyle name="60% - Accent1 2 2 3 4 5" xfId="22010" xr:uid="{00000000-0005-0000-0000-00007E610000}"/>
    <cellStyle name="60% - Accent1 2 2 3 5" xfId="2810" xr:uid="{00000000-0005-0000-0000-00007F610000}"/>
    <cellStyle name="60% - Accent1 2 2 3 5 2" xfId="7930" xr:uid="{00000000-0005-0000-0000-000080610000}"/>
    <cellStyle name="60% - Accent1 2 2 3 5 2 2" xfId="18170" xr:uid="{00000000-0005-0000-0000-000081610000}"/>
    <cellStyle name="60% - Accent1 2 2 3 5 2 2 2" xfId="38650" xr:uid="{00000000-0005-0000-0000-000082610000}"/>
    <cellStyle name="60% - Accent1 2 2 3 5 2 3" xfId="28410" xr:uid="{00000000-0005-0000-0000-000083610000}"/>
    <cellStyle name="60% - Accent1 2 2 3 5 3" xfId="13050" xr:uid="{00000000-0005-0000-0000-000084610000}"/>
    <cellStyle name="60% - Accent1 2 2 3 5 3 2" xfId="33530" xr:uid="{00000000-0005-0000-0000-000085610000}"/>
    <cellStyle name="60% - Accent1 2 2 3 5 4" xfId="23290" xr:uid="{00000000-0005-0000-0000-000086610000}"/>
    <cellStyle name="60% - Accent1 2 2 3 6" xfId="5370" xr:uid="{00000000-0005-0000-0000-000087610000}"/>
    <cellStyle name="60% - Accent1 2 2 3 6 2" xfId="15610" xr:uid="{00000000-0005-0000-0000-000088610000}"/>
    <cellStyle name="60% - Accent1 2 2 3 6 2 2" xfId="36090" xr:uid="{00000000-0005-0000-0000-000089610000}"/>
    <cellStyle name="60% - Accent1 2 2 3 6 3" xfId="25850" xr:uid="{00000000-0005-0000-0000-00008A610000}"/>
    <cellStyle name="60% - Accent1 2 2 3 7" xfId="10490" xr:uid="{00000000-0005-0000-0000-00008B610000}"/>
    <cellStyle name="60% - Accent1 2 2 3 7 2" xfId="30970" xr:uid="{00000000-0005-0000-0000-00008C610000}"/>
    <cellStyle name="60% - Accent1 2 2 3 8" xfId="20730" xr:uid="{00000000-0005-0000-0000-00008D610000}"/>
    <cellStyle name="60% - Accent1 2 2 4" xfId="410" xr:uid="{00000000-0005-0000-0000-00008E610000}"/>
    <cellStyle name="60% - Accent1 2 2 4 2" xfId="1050" xr:uid="{00000000-0005-0000-0000-00008F610000}"/>
    <cellStyle name="60% - Accent1 2 2 4 2 2" xfId="2330" xr:uid="{00000000-0005-0000-0000-000090610000}"/>
    <cellStyle name="60% - Accent1 2 2 4 2 2 2" xfId="4890" xr:uid="{00000000-0005-0000-0000-000091610000}"/>
    <cellStyle name="60% - Accent1 2 2 4 2 2 2 2" xfId="10010" xr:uid="{00000000-0005-0000-0000-000092610000}"/>
    <cellStyle name="60% - Accent1 2 2 4 2 2 2 2 2" xfId="20250" xr:uid="{00000000-0005-0000-0000-000093610000}"/>
    <cellStyle name="60% - Accent1 2 2 4 2 2 2 2 2 2" xfId="40730" xr:uid="{00000000-0005-0000-0000-000094610000}"/>
    <cellStyle name="60% - Accent1 2 2 4 2 2 2 2 3" xfId="30490" xr:uid="{00000000-0005-0000-0000-000095610000}"/>
    <cellStyle name="60% - Accent1 2 2 4 2 2 2 3" xfId="15130" xr:uid="{00000000-0005-0000-0000-000096610000}"/>
    <cellStyle name="60% - Accent1 2 2 4 2 2 2 3 2" xfId="35610" xr:uid="{00000000-0005-0000-0000-000097610000}"/>
    <cellStyle name="60% - Accent1 2 2 4 2 2 2 4" xfId="25370" xr:uid="{00000000-0005-0000-0000-000098610000}"/>
    <cellStyle name="60% - Accent1 2 2 4 2 2 3" xfId="7450" xr:uid="{00000000-0005-0000-0000-000099610000}"/>
    <cellStyle name="60% - Accent1 2 2 4 2 2 3 2" xfId="17690" xr:uid="{00000000-0005-0000-0000-00009A610000}"/>
    <cellStyle name="60% - Accent1 2 2 4 2 2 3 2 2" xfId="38170" xr:uid="{00000000-0005-0000-0000-00009B610000}"/>
    <cellStyle name="60% - Accent1 2 2 4 2 2 3 3" xfId="27930" xr:uid="{00000000-0005-0000-0000-00009C610000}"/>
    <cellStyle name="60% - Accent1 2 2 4 2 2 4" xfId="12570" xr:uid="{00000000-0005-0000-0000-00009D610000}"/>
    <cellStyle name="60% - Accent1 2 2 4 2 2 4 2" xfId="33050" xr:uid="{00000000-0005-0000-0000-00009E610000}"/>
    <cellStyle name="60% - Accent1 2 2 4 2 2 5" xfId="22810" xr:uid="{00000000-0005-0000-0000-00009F610000}"/>
    <cellStyle name="60% - Accent1 2 2 4 2 3" xfId="3610" xr:uid="{00000000-0005-0000-0000-0000A0610000}"/>
    <cellStyle name="60% - Accent1 2 2 4 2 3 2" xfId="8730" xr:uid="{00000000-0005-0000-0000-0000A1610000}"/>
    <cellStyle name="60% - Accent1 2 2 4 2 3 2 2" xfId="18970" xr:uid="{00000000-0005-0000-0000-0000A2610000}"/>
    <cellStyle name="60% - Accent1 2 2 4 2 3 2 2 2" xfId="39450" xr:uid="{00000000-0005-0000-0000-0000A3610000}"/>
    <cellStyle name="60% - Accent1 2 2 4 2 3 2 3" xfId="29210" xr:uid="{00000000-0005-0000-0000-0000A4610000}"/>
    <cellStyle name="60% - Accent1 2 2 4 2 3 3" xfId="13850" xr:uid="{00000000-0005-0000-0000-0000A5610000}"/>
    <cellStyle name="60% - Accent1 2 2 4 2 3 3 2" xfId="34330" xr:uid="{00000000-0005-0000-0000-0000A6610000}"/>
    <cellStyle name="60% - Accent1 2 2 4 2 3 4" xfId="24090" xr:uid="{00000000-0005-0000-0000-0000A7610000}"/>
    <cellStyle name="60% - Accent1 2 2 4 2 4" xfId="6170" xr:uid="{00000000-0005-0000-0000-0000A8610000}"/>
    <cellStyle name="60% - Accent1 2 2 4 2 4 2" xfId="16410" xr:uid="{00000000-0005-0000-0000-0000A9610000}"/>
    <cellStyle name="60% - Accent1 2 2 4 2 4 2 2" xfId="36890" xr:uid="{00000000-0005-0000-0000-0000AA610000}"/>
    <cellStyle name="60% - Accent1 2 2 4 2 4 3" xfId="26650" xr:uid="{00000000-0005-0000-0000-0000AB610000}"/>
    <cellStyle name="60% - Accent1 2 2 4 2 5" xfId="11290" xr:uid="{00000000-0005-0000-0000-0000AC610000}"/>
    <cellStyle name="60% - Accent1 2 2 4 2 5 2" xfId="31770" xr:uid="{00000000-0005-0000-0000-0000AD610000}"/>
    <cellStyle name="60% - Accent1 2 2 4 2 6" xfId="21530" xr:uid="{00000000-0005-0000-0000-0000AE610000}"/>
    <cellStyle name="60% - Accent1 2 2 4 3" xfId="1690" xr:uid="{00000000-0005-0000-0000-0000AF610000}"/>
    <cellStyle name="60% - Accent1 2 2 4 3 2" xfId="4250" xr:uid="{00000000-0005-0000-0000-0000B0610000}"/>
    <cellStyle name="60% - Accent1 2 2 4 3 2 2" xfId="9370" xr:uid="{00000000-0005-0000-0000-0000B1610000}"/>
    <cellStyle name="60% - Accent1 2 2 4 3 2 2 2" xfId="19610" xr:uid="{00000000-0005-0000-0000-0000B2610000}"/>
    <cellStyle name="60% - Accent1 2 2 4 3 2 2 2 2" xfId="40090" xr:uid="{00000000-0005-0000-0000-0000B3610000}"/>
    <cellStyle name="60% - Accent1 2 2 4 3 2 2 3" xfId="29850" xr:uid="{00000000-0005-0000-0000-0000B4610000}"/>
    <cellStyle name="60% - Accent1 2 2 4 3 2 3" xfId="14490" xr:uid="{00000000-0005-0000-0000-0000B5610000}"/>
    <cellStyle name="60% - Accent1 2 2 4 3 2 3 2" xfId="34970" xr:uid="{00000000-0005-0000-0000-0000B6610000}"/>
    <cellStyle name="60% - Accent1 2 2 4 3 2 4" xfId="24730" xr:uid="{00000000-0005-0000-0000-0000B7610000}"/>
    <cellStyle name="60% - Accent1 2 2 4 3 3" xfId="6810" xr:uid="{00000000-0005-0000-0000-0000B8610000}"/>
    <cellStyle name="60% - Accent1 2 2 4 3 3 2" xfId="17050" xr:uid="{00000000-0005-0000-0000-0000B9610000}"/>
    <cellStyle name="60% - Accent1 2 2 4 3 3 2 2" xfId="37530" xr:uid="{00000000-0005-0000-0000-0000BA610000}"/>
    <cellStyle name="60% - Accent1 2 2 4 3 3 3" xfId="27290" xr:uid="{00000000-0005-0000-0000-0000BB610000}"/>
    <cellStyle name="60% - Accent1 2 2 4 3 4" xfId="11930" xr:uid="{00000000-0005-0000-0000-0000BC610000}"/>
    <cellStyle name="60% - Accent1 2 2 4 3 4 2" xfId="32410" xr:uid="{00000000-0005-0000-0000-0000BD610000}"/>
    <cellStyle name="60% - Accent1 2 2 4 3 5" xfId="22170" xr:uid="{00000000-0005-0000-0000-0000BE610000}"/>
    <cellStyle name="60% - Accent1 2 2 4 4" xfId="2970" xr:uid="{00000000-0005-0000-0000-0000BF610000}"/>
    <cellStyle name="60% - Accent1 2 2 4 4 2" xfId="8090" xr:uid="{00000000-0005-0000-0000-0000C0610000}"/>
    <cellStyle name="60% - Accent1 2 2 4 4 2 2" xfId="18330" xr:uid="{00000000-0005-0000-0000-0000C1610000}"/>
    <cellStyle name="60% - Accent1 2 2 4 4 2 2 2" xfId="38810" xr:uid="{00000000-0005-0000-0000-0000C2610000}"/>
    <cellStyle name="60% - Accent1 2 2 4 4 2 3" xfId="28570" xr:uid="{00000000-0005-0000-0000-0000C3610000}"/>
    <cellStyle name="60% - Accent1 2 2 4 4 3" xfId="13210" xr:uid="{00000000-0005-0000-0000-0000C4610000}"/>
    <cellStyle name="60% - Accent1 2 2 4 4 3 2" xfId="33690" xr:uid="{00000000-0005-0000-0000-0000C5610000}"/>
    <cellStyle name="60% - Accent1 2 2 4 4 4" xfId="23450" xr:uid="{00000000-0005-0000-0000-0000C6610000}"/>
    <cellStyle name="60% - Accent1 2 2 4 5" xfId="5530" xr:uid="{00000000-0005-0000-0000-0000C7610000}"/>
    <cellStyle name="60% - Accent1 2 2 4 5 2" xfId="15770" xr:uid="{00000000-0005-0000-0000-0000C8610000}"/>
    <cellStyle name="60% - Accent1 2 2 4 5 2 2" xfId="36250" xr:uid="{00000000-0005-0000-0000-0000C9610000}"/>
    <cellStyle name="60% - Accent1 2 2 4 5 3" xfId="26010" xr:uid="{00000000-0005-0000-0000-0000CA610000}"/>
    <cellStyle name="60% - Accent1 2 2 4 6" xfId="10650" xr:uid="{00000000-0005-0000-0000-0000CB610000}"/>
    <cellStyle name="60% - Accent1 2 2 4 6 2" xfId="31130" xr:uid="{00000000-0005-0000-0000-0000CC610000}"/>
    <cellStyle name="60% - Accent1 2 2 4 7" xfId="20890" xr:uid="{00000000-0005-0000-0000-0000CD610000}"/>
    <cellStyle name="60% - Accent1 2 2 5" xfId="730" xr:uid="{00000000-0005-0000-0000-0000CE610000}"/>
    <cellStyle name="60% - Accent1 2 2 5 2" xfId="2010" xr:uid="{00000000-0005-0000-0000-0000CF610000}"/>
    <cellStyle name="60% - Accent1 2 2 5 2 2" xfId="4570" xr:uid="{00000000-0005-0000-0000-0000D0610000}"/>
    <cellStyle name="60% - Accent1 2 2 5 2 2 2" xfId="9690" xr:uid="{00000000-0005-0000-0000-0000D1610000}"/>
    <cellStyle name="60% - Accent1 2 2 5 2 2 2 2" xfId="19930" xr:uid="{00000000-0005-0000-0000-0000D2610000}"/>
    <cellStyle name="60% - Accent1 2 2 5 2 2 2 2 2" xfId="40410" xr:uid="{00000000-0005-0000-0000-0000D3610000}"/>
    <cellStyle name="60% - Accent1 2 2 5 2 2 2 3" xfId="30170" xr:uid="{00000000-0005-0000-0000-0000D4610000}"/>
    <cellStyle name="60% - Accent1 2 2 5 2 2 3" xfId="14810" xr:uid="{00000000-0005-0000-0000-0000D5610000}"/>
    <cellStyle name="60% - Accent1 2 2 5 2 2 3 2" xfId="35290" xr:uid="{00000000-0005-0000-0000-0000D6610000}"/>
    <cellStyle name="60% - Accent1 2 2 5 2 2 4" xfId="25050" xr:uid="{00000000-0005-0000-0000-0000D7610000}"/>
    <cellStyle name="60% - Accent1 2 2 5 2 3" xfId="7130" xr:uid="{00000000-0005-0000-0000-0000D8610000}"/>
    <cellStyle name="60% - Accent1 2 2 5 2 3 2" xfId="17370" xr:uid="{00000000-0005-0000-0000-0000D9610000}"/>
    <cellStyle name="60% - Accent1 2 2 5 2 3 2 2" xfId="37850" xr:uid="{00000000-0005-0000-0000-0000DA610000}"/>
    <cellStyle name="60% - Accent1 2 2 5 2 3 3" xfId="27610" xr:uid="{00000000-0005-0000-0000-0000DB610000}"/>
    <cellStyle name="60% - Accent1 2 2 5 2 4" xfId="12250" xr:uid="{00000000-0005-0000-0000-0000DC610000}"/>
    <cellStyle name="60% - Accent1 2 2 5 2 4 2" xfId="32730" xr:uid="{00000000-0005-0000-0000-0000DD610000}"/>
    <cellStyle name="60% - Accent1 2 2 5 2 5" xfId="22490" xr:uid="{00000000-0005-0000-0000-0000DE610000}"/>
    <cellStyle name="60% - Accent1 2 2 5 3" xfId="3290" xr:uid="{00000000-0005-0000-0000-0000DF610000}"/>
    <cellStyle name="60% - Accent1 2 2 5 3 2" xfId="8410" xr:uid="{00000000-0005-0000-0000-0000E0610000}"/>
    <cellStyle name="60% - Accent1 2 2 5 3 2 2" xfId="18650" xr:uid="{00000000-0005-0000-0000-0000E1610000}"/>
    <cellStyle name="60% - Accent1 2 2 5 3 2 2 2" xfId="39130" xr:uid="{00000000-0005-0000-0000-0000E2610000}"/>
    <cellStyle name="60% - Accent1 2 2 5 3 2 3" xfId="28890" xr:uid="{00000000-0005-0000-0000-0000E3610000}"/>
    <cellStyle name="60% - Accent1 2 2 5 3 3" xfId="13530" xr:uid="{00000000-0005-0000-0000-0000E4610000}"/>
    <cellStyle name="60% - Accent1 2 2 5 3 3 2" xfId="34010" xr:uid="{00000000-0005-0000-0000-0000E5610000}"/>
    <cellStyle name="60% - Accent1 2 2 5 3 4" xfId="23770" xr:uid="{00000000-0005-0000-0000-0000E6610000}"/>
    <cellStyle name="60% - Accent1 2 2 5 4" xfId="5850" xr:uid="{00000000-0005-0000-0000-0000E7610000}"/>
    <cellStyle name="60% - Accent1 2 2 5 4 2" xfId="16090" xr:uid="{00000000-0005-0000-0000-0000E8610000}"/>
    <cellStyle name="60% - Accent1 2 2 5 4 2 2" xfId="36570" xr:uid="{00000000-0005-0000-0000-0000E9610000}"/>
    <cellStyle name="60% - Accent1 2 2 5 4 3" xfId="26330" xr:uid="{00000000-0005-0000-0000-0000EA610000}"/>
    <cellStyle name="60% - Accent1 2 2 5 5" xfId="10970" xr:uid="{00000000-0005-0000-0000-0000EB610000}"/>
    <cellStyle name="60% - Accent1 2 2 5 5 2" xfId="31450" xr:uid="{00000000-0005-0000-0000-0000EC610000}"/>
    <cellStyle name="60% - Accent1 2 2 5 6" xfId="21210" xr:uid="{00000000-0005-0000-0000-0000ED610000}"/>
    <cellStyle name="60% - Accent1 2 2 6" xfId="1370" xr:uid="{00000000-0005-0000-0000-0000EE610000}"/>
    <cellStyle name="60% - Accent1 2 2 6 2" xfId="3930" xr:uid="{00000000-0005-0000-0000-0000EF610000}"/>
    <cellStyle name="60% - Accent1 2 2 6 2 2" xfId="9050" xr:uid="{00000000-0005-0000-0000-0000F0610000}"/>
    <cellStyle name="60% - Accent1 2 2 6 2 2 2" xfId="19290" xr:uid="{00000000-0005-0000-0000-0000F1610000}"/>
    <cellStyle name="60% - Accent1 2 2 6 2 2 2 2" xfId="39770" xr:uid="{00000000-0005-0000-0000-0000F2610000}"/>
    <cellStyle name="60% - Accent1 2 2 6 2 2 3" xfId="29530" xr:uid="{00000000-0005-0000-0000-0000F3610000}"/>
    <cellStyle name="60% - Accent1 2 2 6 2 3" xfId="14170" xr:uid="{00000000-0005-0000-0000-0000F4610000}"/>
    <cellStyle name="60% - Accent1 2 2 6 2 3 2" xfId="34650" xr:uid="{00000000-0005-0000-0000-0000F5610000}"/>
    <cellStyle name="60% - Accent1 2 2 6 2 4" xfId="24410" xr:uid="{00000000-0005-0000-0000-0000F6610000}"/>
    <cellStyle name="60% - Accent1 2 2 6 3" xfId="6490" xr:uid="{00000000-0005-0000-0000-0000F7610000}"/>
    <cellStyle name="60% - Accent1 2 2 6 3 2" xfId="16730" xr:uid="{00000000-0005-0000-0000-0000F8610000}"/>
    <cellStyle name="60% - Accent1 2 2 6 3 2 2" xfId="37210" xr:uid="{00000000-0005-0000-0000-0000F9610000}"/>
    <cellStyle name="60% - Accent1 2 2 6 3 3" xfId="26970" xr:uid="{00000000-0005-0000-0000-0000FA610000}"/>
    <cellStyle name="60% - Accent1 2 2 6 4" xfId="11610" xr:uid="{00000000-0005-0000-0000-0000FB610000}"/>
    <cellStyle name="60% - Accent1 2 2 6 4 2" xfId="32090" xr:uid="{00000000-0005-0000-0000-0000FC610000}"/>
    <cellStyle name="60% - Accent1 2 2 6 5" xfId="21850" xr:uid="{00000000-0005-0000-0000-0000FD610000}"/>
    <cellStyle name="60% - Accent1 2 2 7" xfId="2650" xr:uid="{00000000-0005-0000-0000-0000FE610000}"/>
    <cellStyle name="60% - Accent1 2 2 7 2" xfId="7770" xr:uid="{00000000-0005-0000-0000-0000FF610000}"/>
    <cellStyle name="60% - Accent1 2 2 7 2 2" xfId="18010" xr:uid="{00000000-0005-0000-0000-000000620000}"/>
    <cellStyle name="60% - Accent1 2 2 7 2 2 2" xfId="38490" xr:uid="{00000000-0005-0000-0000-000001620000}"/>
    <cellStyle name="60% - Accent1 2 2 7 2 3" xfId="28250" xr:uid="{00000000-0005-0000-0000-000002620000}"/>
    <cellStyle name="60% - Accent1 2 2 7 3" xfId="12890" xr:uid="{00000000-0005-0000-0000-000003620000}"/>
    <cellStyle name="60% - Accent1 2 2 7 3 2" xfId="33370" xr:uid="{00000000-0005-0000-0000-000004620000}"/>
    <cellStyle name="60% - Accent1 2 2 7 4" xfId="23130" xr:uid="{00000000-0005-0000-0000-000005620000}"/>
    <cellStyle name="60% - Accent1 2 2 8" xfId="5210" xr:uid="{00000000-0005-0000-0000-000006620000}"/>
    <cellStyle name="60% - Accent1 2 2 8 2" xfId="15450" xr:uid="{00000000-0005-0000-0000-000007620000}"/>
    <cellStyle name="60% - Accent1 2 2 8 2 2" xfId="35930" xr:uid="{00000000-0005-0000-0000-000008620000}"/>
    <cellStyle name="60% - Accent1 2 2 8 3" xfId="25690" xr:uid="{00000000-0005-0000-0000-000009620000}"/>
    <cellStyle name="60% - Accent1 2 2 9" xfId="10330" xr:uid="{00000000-0005-0000-0000-00000A620000}"/>
    <cellStyle name="60% - Accent1 2 2 9 2" xfId="30810" xr:uid="{00000000-0005-0000-0000-00000B620000}"/>
    <cellStyle name="60% - Accent1 2 3" xfId="130" xr:uid="{00000000-0005-0000-0000-00000C620000}"/>
    <cellStyle name="60% - Accent1 2 3 2" xfId="290" xr:uid="{00000000-0005-0000-0000-00000D620000}"/>
    <cellStyle name="60% - Accent1 2 3 2 2" xfId="610" xr:uid="{00000000-0005-0000-0000-00000E620000}"/>
    <cellStyle name="60% - Accent1 2 3 2 2 2" xfId="1250" xr:uid="{00000000-0005-0000-0000-00000F620000}"/>
    <cellStyle name="60% - Accent1 2 3 2 2 2 2" xfId="2530" xr:uid="{00000000-0005-0000-0000-000010620000}"/>
    <cellStyle name="60% - Accent1 2 3 2 2 2 2 2" xfId="5090" xr:uid="{00000000-0005-0000-0000-000011620000}"/>
    <cellStyle name="60% - Accent1 2 3 2 2 2 2 2 2" xfId="10210" xr:uid="{00000000-0005-0000-0000-000012620000}"/>
    <cellStyle name="60% - Accent1 2 3 2 2 2 2 2 2 2" xfId="20450" xr:uid="{00000000-0005-0000-0000-000013620000}"/>
    <cellStyle name="60% - Accent1 2 3 2 2 2 2 2 2 2 2" xfId="40930" xr:uid="{00000000-0005-0000-0000-000014620000}"/>
    <cellStyle name="60% - Accent1 2 3 2 2 2 2 2 2 3" xfId="30690" xr:uid="{00000000-0005-0000-0000-000015620000}"/>
    <cellStyle name="60% - Accent1 2 3 2 2 2 2 2 3" xfId="15330" xr:uid="{00000000-0005-0000-0000-000016620000}"/>
    <cellStyle name="60% - Accent1 2 3 2 2 2 2 2 3 2" xfId="35810" xr:uid="{00000000-0005-0000-0000-000017620000}"/>
    <cellStyle name="60% - Accent1 2 3 2 2 2 2 2 4" xfId="25570" xr:uid="{00000000-0005-0000-0000-000018620000}"/>
    <cellStyle name="60% - Accent1 2 3 2 2 2 2 3" xfId="7650" xr:uid="{00000000-0005-0000-0000-000019620000}"/>
    <cellStyle name="60% - Accent1 2 3 2 2 2 2 3 2" xfId="17890" xr:uid="{00000000-0005-0000-0000-00001A620000}"/>
    <cellStyle name="60% - Accent1 2 3 2 2 2 2 3 2 2" xfId="38370" xr:uid="{00000000-0005-0000-0000-00001B620000}"/>
    <cellStyle name="60% - Accent1 2 3 2 2 2 2 3 3" xfId="28130" xr:uid="{00000000-0005-0000-0000-00001C620000}"/>
    <cellStyle name="60% - Accent1 2 3 2 2 2 2 4" xfId="12770" xr:uid="{00000000-0005-0000-0000-00001D620000}"/>
    <cellStyle name="60% - Accent1 2 3 2 2 2 2 4 2" xfId="33250" xr:uid="{00000000-0005-0000-0000-00001E620000}"/>
    <cellStyle name="60% - Accent1 2 3 2 2 2 2 5" xfId="23010" xr:uid="{00000000-0005-0000-0000-00001F620000}"/>
    <cellStyle name="60% - Accent1 2 3 2 2 2 3" xfId="3810" xr:uid="{00000000-0005-0000-0000-000020620000}"/>
    <cellStyle name="60% - Accent1 2 3 2 2 2 3 2" xfId="8930" xr:uid="{00000000-0005-0000-0000-000021620000}"/>
    <cellStyle name="60% - Accent1 2 3 2 2 2 3 2 2" xfId="19170" xr:uid="{00000000-0005-0000-0000-000022620000}"/>
    <cellStyle name="60% - Accent1 2 3 2 2 2 3 2 2 2" xfId="39650" xr:uid="{00000000-0005-0000-0000-000023620000}"/>
    <cellStyle name="60% - Accent1 2 3 2 2 2 3 2 3" xfId="29410" xr:uid="{00000000-0005-0000-0000-000024620000}"/>
    <cellStyle name="60% - Accent1 2 3 2 2 2 3 3" xfId="14050" xr:uid="{00000000-0005-0000-0000-000025620000}"/>
    <cellStyle name="60% - Accent1 2 3 2 2 2 3 3 2" xfId="34530" xr:uid="{00000000-0005-0000-0000-000026620000}"/>
    <cellStyle name="60% - Accent1 2 3 2 2 2 3 4" xfId="24290" xr:uid="{00000000-0005-0000-0000-000027620000}"/>
    <cellStyle name="60% - Accent1 2 3 2 2 2 4" xfId="6370" xr:uid="{00000000-0005-0000-0000-000028620000}"/>
    <cellStyle name="60% - Accent1 2 3 2 2 2 4 2" xfId="16610" xr:uid="{00000000-0005-0000-0000-000029620000}"/>
    <cellStyle name="60% - Accent1 2 3 2 2 2 4 2 2" xfId="37090" xr:uid="{00000000-0005-0000-0000-00002A620000}"/>
    <cellStyle name="60% - Accent1 2 3 2 2 2 4 3" xfId="26850" xr:uid="{00000000-0005-0000-0000-00002B620000}"/>
    <cellStyle name="60% - Accent1 2 3 2 2 2 5" xfId="11490" xr:uid="{00000000-0005-0000-0000-00002C620000}"/>
    <cellStyle name="60% - Accent1 2 3 2 2 2 5 2" xfId="31970" xr:uid="{00000000-0005-0000-0000-00002D620000}"/>
    <cellStyle name="60% - Accent1 2 3 2 2 2 6" xfId="21730" xr:uid="{00000000-0005-0000-0000-00002E620000}"/>
    <cellStyle name="60% - Accent1 2 3 2 2 3" xfId="1890" xr:uid="{00000000-0005-0000-0000-00002F620000}"/>
    <cellStyle name="60% - Accent1 2 3 2 2 3 2" xfId="4450" xr:uid="{00000000-0005-0000-0000-000030620000}"/>
    <cellStyle name="60% - Accent1 2 3 2 2 3 2 2" xfId="9570" xr:uid="{00000000-0005-0000-0000-000031620000}"/>
    <cellStyle name="60% - Accent1 2 3 2 2 3 2 2 2" xfId="19810" xr:uid="{00000000-0005-0000-0000-000032620000}"/>
    <cellStyle name="60% - Accent1 2 3 2 2 3 2 2 2 2" xfId="40290" xr:uid="{00000000-0005-0000-0000-000033620000}"/>
    <cellStyle name="60% - Accent1 2 3 2 2 3 2 2 3" xfId="30050" xr:uid="{00000000-0005-0000-0000-000034620000}"/>
    <cellStyle name="60% - Accent1 2 3 2 2 3 2 3" xfId="14690" xr:uid="{00000000-0005-0000-0000-000035620000}"/>
    <cellStyle name="60% - Accent1 2 3 2 2 3 2 3 2" xfId="35170" xr:uid="{00000000-0005-0000-0000-000036620000}"/>
    <cellStyle name="60% - Accent1 2 3 2 2 3 2 4" xfId="24930" xr:uid="{00000000-0005-0000-0000-000037620000}"/>
    <cellStyle name="60% - Accent1 2 3 2 2 3 3" xfId="7010" xr:uid="{00000000-0005-0000-0000-000038620000}"/>
    <cellStyle name="60% - Accent1 2 3 2 2 3 3 2" xfId="17250" xr:uid="{00000000-0005-0000-0000-000039620000}"/>
    <cellStyle name="60% - Accent1 2 3 2 2 3 3 2 2" xfId="37730" xr:uid="{00000000-0005-0000-0000-00003A620000}"/>
    <cellStyle name="60% - Accent1 2 3 2 2 3 3 3" xfId="27490" xr:uid="{00000000-0005-0000-0000-00003B620000}"/>
    <cellStyle name="60% - Accent1 2 3 2 2 3 4" xfId="12130" xr:uid="{00000000-0005-0000-0000-00003C620000}"/>
    <cellStyle name="60% - Accent1 2 3 2 2 3 4 2" xfId="32610" xr:uid="{00000000-0005-0000-0000-00003D620000}"/>
    <cellStyle name="60% - Accent1 2 3 2 2 3 5" xfId="22370" xr:uid="{00000000-0005-0000-0000-00003E620000}"/>
    <cellStyle name="60% - Accent1 2 3 2 2 4" xfId="3170" xr:uid="{00000000-0005-0000-0000-00003F620000}"/>
    <cellStyle name="60% - Accent1 2 3 2 2 4 2" xfId="8290" xr:uid="{00000000-0005-0000-0000-000040620000}"/>
    <cellStyle name="60% - Accent1 2 3 2 2 4 2 2" xfId="18530" xr:uid="{00000000-0005-0000-0000-000041620000}"/>
    <cellStyle name="60% - Accent1 2 3 2 2 4 2 2 2" xfId="39010" xr:uid="{00000000-0005-0000-0000-000042620000}"/>
    <cellStyle name="60% - Accent1 2 3 2 2 4 2 3" xfId="28770" xr:uid="{00000000-0005-0000-0000-000043620000}"/>
    <cellStyle name="60% - Accent1 2 3 2 2 4 3" xfId="13410" xr:uid="{00000000-0005-0000-0000-000044620000}"/>
    <cellStyle name="60% - Accent1 2 3 2 2 4 3 2" xfId="33890" xr:uid="{00000000-0005-0000-0000-000045620000}"/>
    <cellStyle name="60% - Accent1 2 3 2 2 4 4" xfId="23650" xr:uid="{00000000-0005-0000-0000-000046620000}"/>
    <cellStyle name="60% - Accent1 2 3 2 2 5" xfId="5730" xr:uid="{00000000-0005-0000-0000-000047620000}"/>
    <cellStyle name="60% - Accent1 2 3 2 2 5 2" xfId="15970" xr:uid="{00000000-0005-0000-0000-000048620000}"/>
    <cellStyle name="60% - Accent1 2 3 2 2 5 2 2" xfId="36450" xr:uid="{00000000-0005-0000-0000-000049620000}"/>
    <cellStyle name="60% - Accent1 2 3 2 2 5 3" xfId="26210" xr:uid="{00000000-0005-0000-0000-00004A620000}"/>
    <cellStyle name="60% - Accent1 2 3 2 2 6" xfId="10850" xr:uid="{00000000-0005-0000-0000-00004B620000}"/>
    <cellStyle name="60% - Accent1 2 3 2 2 6 2" xfId="31330" xr:uid="{00000000-0005-0000-0000-00004C620000}"/>
    <cellStyle name="60% - Accent1 2 3 2 2 7" xfId="21090" xr:uid="{00000000-0005-0000-0000-00004D620000}"/>
    <cellStyle name="60% - Accent1 2 3 2 3" xfId="930" xr:uid="{00000000-0005-0000-0000-00004E620000}"/>
    <cellStyle name="60% - Accent1 2 3 2 3 2" xfId="2210" xr:uid="{00000000-0005-0000-0000-00004F620000}"/>
    <cellStyle name="60% - Accent1 2 3 2 3 2 2" xfId="4770" xr:uid="{00000000-0005-0000-0000-000050620000}"/>
    <cellStyle name="60% - Accent1 2 3 2 3 2 2 2" xfId="9890" xr:uid="{00000000-0005-0000-0000-000051620000}"/>
    <cellStyle name="60% - Accent1 2 3 2 3 2 2 2 2" xfId="20130" xr:uid="{00000000-0005-0000-0000-000052620000}"/>
    <cellStyle name="60% - Accent1 2 3 2 3 2 2 2 2 2" xfId="40610" xr:uid="{00000000-0005-0000-0000-000053620000}"/>
    <cellStyle name="60% - Accent1 2 3 2 3 2 2 2 3" xfId="30370" xr:uid="{00000000-0005-0000-0000-000054620000}"/>
    <cellStyle name="60% - Accent1 2 3 2 3 2 2 3" xfId="15010" xr:uid="{00000000-0005-0000-0000-000055620000}"/>
    <cellStyle name="60% - Accent1 2 3 2 3 2 2 3 2" xfId="35490" xr:uid="{00000000-0005-0000-0000-000056620000}"/>
    <cellStyle name="60% - Accent1 2 3 2 3 2 2 4" xfId="25250" xr:uid="{00000000-0005-0000-0000-000057620000}"/>
    <cellStyle name="60% - Accent1 2 3 2 3 2 3" xfId="7330" xr:uid="{00000000-0005-0000-0000-000058620000}"/>
    <cellStyle name="60% - Accent1 2 3 2 3 2 3 2" xfId="17570" xr:uid="{00000000-0005-0000-0000-000059620000}"/>
    <cellStyle name="60% - Accent1 2 3 2 3 2 3 2 2" xfId="38050" xr:uid="{00000000-0005-0000-0000-00005A620000}"/>
    <cellStyle name="60% - Accent1 2 3 2 3 2 3 3" xfId="27810" xr:uid="{00000000-0005-0000-0000-00005B620000}"/>
    <cellStyle name="60% - Accent1 2 3 2 3 2 4" xfId="12450" xr:uid="{00000000-0005-0000-0000-00005C620000}"/>
    <cellStyle name="60% - Accent1 2 3 2 3 2 4 2" xfId="32930" xr:uid="{00000000-0005-0000-0000-00005D620000}"/>
    <cellStyle name="60% - Accent1 2 3 2 3 2 5" xfId="22690" xr:uid="{00000000-0005-0000-0000-00005E620000}"/>
    <cellStyle name="60% - Accent1 2 3 2 3 3" xfId="3490" xr:uid="{00000000-0005-0000-0000-00005F620000}"/>
    <cellStyle name="60% - Accent1 2 3 2 3 3 2" xfId="8610" xr:uid="{00000000-0005-0000-0000-000060620000}"/>
    <cellStyle name="60% - Accent1 2 3 2 3 3 2 2" xfId="18850" xr:uid="{00000000-0005-0000-0000-000061620000}"/>
    <cellStyle name="60% - Accent1 2 3 2 3 3 2 2 2" xfId="39330" xr:uid="{00000000-0005-0000-0000-000062620000}"/>
    <cellStyle name="60% - Accent1 2 3 2 3 3 2 3" xfId="29090" xr:uid="{00000000-0005-0000-0000-000063620000}"/>
    <cellStyle name="60% - Accent1 2 3 2 3 3 3" xfId="13730" xr:uid="{00000000-0005-0000-0000-000064620000}"/>
    <cellStyle name="60% - Accent1 2 3 2 3 3 3 2" xfId="34210" xr:uid="{00000000-0005-0000-0000-000065620000}"/>
    <cellStyle name="60% - Accent1 2 3 2 3 3 4" xfId="23970" xr:uid="{00000000-0005-0000-0000-000066620000}"/>
    <cellStyle name="60% - Accent1 2 3 2 3 4" xfId="6050" xr:uid="{00000000-0005-0000-0000-000067620000}"/>
    <cellStyle name="60% - Accent1 2 3 2 3 4 2" xfId="16290" xr:uid="{00000000-0005-0000-0000-000068620000}"/>
    <cellStyle name="60% - Accent1 2 3 2 3 4 2 2" xfId="36770" xr:uid="{00000000-0005-0000-0000-000069620000}"/>
    <cellStyle name="60% - Accent1 2 3 2 3 4 3" xfId="26530" xr:uid="{00000000-0005-0000-0000-00006A620000}"/>
    <cellStyle name="60% - Accent1 2 3 2 3 5" xfId="11170" xr:uid="{00000000-0005-0000-0000-00006B620000}"/>
    <cellStyle name="60% - Accent1 2 3 2 3 5 2" xfId="31650" xr:uid="{00000000-0005-0000-0000-00006C620000}"/>
    <cellStyle name="60% - Accent1 2 3 2 3 6" xfId="21410" xr:uid="{00000000-0005-0000-0000-00006D620000}"/>
    <cellStyle name="60% - Accent1 2 3 2 4" xfId="1570" xr:uid="{00000000-0005-0000-0000-00006E620000}"/>
    <cellStyle name="60% - Accent1 2 3 2 4 2" xfId="4130" xr:uid="{00000000-0005-0000-0000-00006F620000}"/>
    <cellStyle name="60% - Accent1 2 3 2 4 2 2" xfId="9250" xr:uid="{00000000-0005-0000-0000-000070620000}"/>
    <cellStyle name="60% - Accent1 2 3 2 4 2 2 2" xfId="19490" xr:uid="{00000000-0005-0000-0000-000071620000}"/>
    <cellStyle name="60% - Accent1 2 3 2 4 2 2 2 2" xfId="39970" xr:uid="{00000000-0005-0000-0000-000072620000}"/>
    <cellStyle name="60% - Accent1 2 3 2 4 2 2 3" xfId="29730" xr:uid="{00000000-0005-0000-0000-000073620000}"/>
    <cellStyle name="60% - Accent1 2 3 2 4 2 3" xfId="14370" xr:uid="{00000000-0005-0000-0000-000074620000}"/>
    <cellStyle name="60% - Accent1 2 3 2 4 2 3 2" xfId="34850" xr:uid="{00000000-0005-0000-0000-000075620000}"/>
    <cellStyle name="60% - Accent1 2 3 2 4 2 4" xfId="24610" xr:uid="{00000000-0005-0000-0000-000076620000}"/>
    <cellStyle name="60% - Accent1 2 3 2 4 3" xfId="6690" xr:uid="{00000000-0005-0000-0000-000077620000}"/>
    <cellStyle name="60% - Accent1 2 3 2 4 3 2" xfId="16930" xr:uid="{00000000-0005-0000-0000-000078620000}"/>
    <cellStyle name="60% - Accent1 2 3 2 4 3 2 2" xfId="37410" xr:uid="{00000000-0005-0000-0000-000079620000}"/>
    <cellStyle name="60% - Accent1 2 3 2 4 3 3" xfId="27170" xr:uid="{00000000-0005-0000-0000-00007A620000}"/>
    <cellStyle name="60% - Accent1 2 3 2 4 4" xfId="11810" xr:uid="{00000000-0005-0000-0000-00007B620000}"/>
    <cellStyle name="60% - Accent1 2 3 2 4 4 2" xfId="32290" xr:uid="{00000000-0005-0000-0000-00007C620000}"/>
    <cellStyle name="60% - Accent1 2 3 2 4 5" xfId="22050" xr:uid="{00000000-0005-0000-0000-00007D620000}"/>
    <cellStyle name="60% - Accent1 2 3 2 5" xfId="2850" xr:uid="{00000000-0005-0000-0000-00007E620000}"/>
    <cellStyle name="60% - Accent1 2 3 2 5 2" xfId="7970" xr:uid="{00000000-0005-0000-0000-00007F620000}"/>
    <cellStyle name="60% - Accent1 2 3 2 5 2 2" xfId="18210" xr:uid="{00000000-0005-0000-0000-000080620000}"/>
    <cellStyle name="60% - Accent1 2 3 2 5 2 2 2" xfId="38690" xr:uid="{00000000-0005-0000-0000-000081620000}"/>
    <cellStyle name="60% - Accent1 2 3 2 5 2 3" xfId="28450" xr:uid="{00000000-0005-0000-0000-000082620000}"/>
    <cellStyle name="60% - Accent1 2 3 2 5 3" xfId="13090" xr:uid="{00000000-0005-0000-0000-000083620000}"/>
    <cellStyle name="60% - Accent1 2 3 2 5 3 2" xfId="33570" xr:uid="{00000000-0005-0000-0000-000084620000}"/>
    <cellStyle name="60% - Accent1 2 3 2 5 4" xfId="23330" xr:uid="{00000000-0005-0000-0000-000085620000}"/>
    <cellStyle name="60% - Accent1 2 3 2 6" xfId="5410" xr:uid="{00000000-0005-0000-0000-000086620000}"/>
    <cellStyle name="60% - Accent1 2 3 2 6 2" xfId="15650" xr:uid="{00000000-0005-0000-0000-000087620000}"/>
    <cellStyle name="60% - Accent1 2 3 2 6 2 2" xfId="36130" xr:uid="{00000000-0005-0000-0000-000088620000}"/>
    <cellStyle name="60% - Accent1 2 3 2 6 3" xfId="25890" xr:uid="{00000000-0005-0000-0000-000089620000}"/>
    <cellStyle name="60% - Accent1 2 3 2 7" xfId="10530" xr:uid="{00000000-0005-0000-0000-00008A620000}"/>
    <cellStyle name="60% - Accent1 2 3 2 7 2" xfId="31010" xr:uid="{00000000-0005-0000-0000-00008B620000}"/>
    <cellStyle name="60% - Accent1 2 3 2 8" xfId="20770" xr:uid="{00000000-0005-0000-0000-00008C620000}"/>
    <cellStyle name="60% - Accent1 2 3 3" xfId="450" xr:uid="{00000000-0005-0000-0000-00008D620000}"/>
    <cellStyle name="60% - Accent1 2 3 3 2" xfId="1090" xr:uid="{00000000-0005-0000-0000-00008E620000}"/>
    <cellStyle name="60% - Accent1 2 3 3 2 2" xfId="2370" xr:uid="{00000000-0005-0000-0000-00008F620000}"/>
    <cellStyle name="60% - Accent1 2 3 3 2 2 2" xfId="4930" xr:uid="{00000000-0005-0000-0000-000090620000}"/>
    <cellStyle name="60% - Accent1 2 3 3 2 2 2 2" xfId="10050" xr:uid="{00000000-0005-0000-0000-000091620000}"/>
    <cellStyle name="60% - Accent1 2 3 3 2 2 2 2 2" xfId="20290" xr:uid="{00000000-0005-0000-0000-000092620000}"/>
    <cellStyle name="60% - Accent1 2 3 3 2 2 2 2 2 2" xfId="40770" xr:uid="{00000000-0005-0000-0000-000093620000}"/>
    <cellStyle name="60% - Accent1 2 3 3 2 2 2 2 3" xfId="30530" xr:uid="{00000000-0005-0000-0000-000094620000}"/>
    <cellStyle name="60% - Accent1 2 3 3 2 2 2 3" xfId="15170" xr:uid="{00000000-0005-0000-0000-000095620000}"/>
    <cellStyle name="60% - Accent1 2 3 3 2 2 2 3 2" xfId="35650" xr:uid="{00000000-0005-0000-0000-000096620000}"/>
    <cellStyle name="60% - Accent1 2 3 3 2 2 2 4" xfId="25410" xr:uid="{00000000-0005-0000-0000-000097620000}"/>
    <cellStyle name="60% - Accent1 2 3 3 2 2 3" xfId="7490" xr:uid="{00000000-0005-0000-0000-000098620000}"/>
    <cellStyle name="60% - Accent1 2 3 3 2 2 3 2" xfId="17730" xr:uid="{00000000-0005-0000-0000-000099620000}"/>
    <cellStyle name="60% - Accent1 2 3 3 2 2 3 2 2" xfId="38210" xr:uid="{00000000-0005-0000-0000-00009A620000}"/>
    <cellStyle name="60% - Accent1 2 3 3 2 2 3 3" xfId="27970" xr:uid="{00000000-0005-0000-0000-00009B620000}"/>
    <cellStyle name="60% - Accent1 2 3 3 2 2 4" xfId="12610" xr:uid="{00000000-0005-0000-0000-00009C620000}"/>
    <cellStyle name="60% - Accent1 2 3 3 2 2 4 2" xfId="33090" xr:uid="{00000000-0005-0000-0000-00009D620000}"/>
    <cellStyle name="60% - Accent1 2 3 3 2 2 5" xfId="22850" xr:uid="{00000000-0005-0000-0000-00009E620000}"/>
    <cellStyle name="60% - Accent1 2 3 3 2 3" xfId="3650" xr:uid="{00000000-0005-0000-0000-00009F620000}"/>
    <cellStyle name="60% - Accent1 2 3 3 2 3 2" xfId="8770" xr:uid="{00000000-0005-0000-0000-0000A0620000}"/>
    <cellStyle name="60% - Accent1 2 3 3 2 3 2 2" xfId="19010" xr:uid="{00000000-0005-0000-0000-0000A1620000}"/>
    <cellStyle name="60% - Accent1 2 3 3 2 3 2 2 2" xfId="39490" xr:uid="{00000000-0005-0000-0000-0000A2620000}"/>
    <cellStyle name="60% - Accent1 2 3 3 2 3 2 3" xfId="29250" xr:uid="{00000000-0005-0000-0000-0000A3620000}"/>
    <cellStyle name="60% - Accent1 2 3 3 2 3 3" xfId="13890" xr:uid="{00000000-0005-0000-0000-0000A4620000}"/>
    <cellStyle name="60% - Accent1 2 3 3 2 3 3 2" xfId="34370" xr:uid="{00000000-0005-0000-0000-0000A5620000}"/>
    <cellStyle name="60% - Accent1 2 3 3 2 3 4" xfId="24130" xr:uid="{00000000-0005-0000-0000-0000A6620000}"/>
    <cellStyle name="60% - Accent1 2 3 3 2 4" xfId="6210" xr:uid="{00000000-0005-0000-0000-0000A7620000}"/>
    <cellStyle name="60% - Accent1 2 3 3 2 4 2" xfId="16450" xr:uid="{00000000-0005-0000-0000-0000A8620000}"/>
    <cellStyle name="60% - Accent1 2 3 3 2 4 2 2" xfId="36930" xr:uid="{00000000-0005-0000-0000-0000A9620000}"/>
    <cellStyle name="60% - Accent1 2 3 3 2 4 3" xfId="26690" xr:uid="{00000000-0005-0000-0000-0000AA620000}"/>
    <cellStyle name="60% - Accent1 2 3 3 2 5" xfId="11330" xr:uid="{00000000-0005-0000-0000-0000AB620000}"/>
    <cellStyle name="60% - Accent1 2 3 3 2 5 2" xfId="31810" xr:uid="{00000000-0005-0000-0000-0000AC620000}"/>
    <cellStyle name="60% - Accent1 2 3 3 2 6" xfId="21570" xr:uid="{00000000-0005-0000-0000-0000AD620000}"/>
    <cellStyle name="60% - Accent1 2 3 3 3" xfId="1730" xr:uid="{00000000-0005-0000-0000-0000AE620000}"/>
    <cellStyle name="60% - Accent1 2 3 3 3 2" xfId="4290" xr:uid="{00000000-0005-0000-0000-0000AF620000}"/>
    <cellStyle name="60% - Accent1 2 3 3 3 2 2" xfId="9410" xr:uid="{00000000-0005-0000-0000-0000B0620000}"/>
    <cellStyle name="60% - Accent1 2 3 3 3 2 2 2" xfId="19650" xr:uid="{00000000-0005-0000-0000-0000B1620000}"/>
    <cellStyle name="60% - Accent1 2 3 3 3 2 2 2 2" xfId="40130" xr:uid="{00000000-0005-0000-0000-0000B2620000}"/>
    <cellStyle name="60% - Accent1 2 3 3 3 2 2 3" xfId="29890" xr:uid="{00000000-0005-0000-0000-0000B3620000}"/>
    <cellStyle name="60% - Accent1 2 3 3 3 2 3" xfId="14530" xr:uid="{00000000-0005-0000-0000-0000B4620000}"/>
    <cellStyle name="60% - Accent1 2 3 3 3 2 3 2" xfId="35010" xr:uid="{00000000-0005-0000-0000-0000B5620000}"/>
    <cellStyle name="60% - Accent1 2 3 3 3 2 4" xfId="24770" xr:uid="{00000000-0005-0000-0000-0000B6620000}"/>
    <cellStyle name="60% - Accent1 2 3 3 3 3" xfId="6850" xr:uid="{00000000-0005-0000-0000-0000B7620000}"/>
    <cellStyle name="60% - Accent1 2 3 3 3 3 2" xfId="17090" xr:uid="{00000000-0005-0000-0000-0000B8620000}"/>
    <cellStyle name="60% - Accent1 2 3 3 3 3 2 2" xfId="37570" xr:uid="{00000000-0005-0000-0000-0000B9620000}"/>
    <cellStyle name="60% - Accent1 2 3 3 3 3 3" xfId="27330" xr:uid="{00000000-0005-0000-0000-0000BA620000}"/>
    <cellStyle name="60% - Accent1 2 3 3 3 4" xfId="11970" xr:uid="{00000000-0005-0000-0000-0000BB620000}"/>
    <cellStyle name="60% - Accent1 2 3 3 3 4 2" xfId="32450" xr:uid="{00000000-0005-0000-0000-0000BC620000}"/>
    <cellStyle name="60% - Accent1 2 3 3 3 5" xfId="22210" xr:uid="{00000000-0005-0000-0000-0000BD620000}"/>
    <cellStyle name="60% - Accent1 2 3 3 4" xfId="3010" xr:uid="{00000000-0005-0000-0000-0000BE620000}"/>
    <cellStyle name="60% - Accent1 2 3 3 4 2" xfId="8130" xr:uid="{00000000-0005-0000-0000-0000BF620000}"/>
    <cellStyle name="60% - Accent1 2 3 3 4 2 2" xfId="18370" xr:uid="{00000000-0005-0000-0000-0000C0620000}"/>
    <cellStyle name="60% - Accent1 2 3 3 4 2 2 2" xfId="38850" xr:uid="{00000000-0005-0000-0000-0000C1620000}"/>
    <cellStyle name="60% - Accent1 2 3 3 4 2 3" xfId="28610" xr:uid="{00000000-0005-0000-0000-0000C2620000}"/>
    <cellStyle name="60% - Accent1 2 3 3 4 3" xfId="13250" xr:uid="{00000000-0005-0000-0000-0000C3620000}"/>
    <cellStyle name="60% - Accent1 2 3 3 4 3 2" xfId="33730" xr:uid="{00000000-0005-0000-0000-0000C4620000}"/>
    <cellStyle name="60% - Accent1 2 3 3 4 4" xfId="23490" xr:uid="{00000000-0005-0000-0000-0000C5620000}"/>
    <cellStyle name="60% - Accent1 2 3 3 5" xfId="5570" xr:uid="{00000000-0005-0000-0000-0000C6620000}"/>
    <cellStyle name="60% - Accent1 2 3 3 5 2" xfId="15810" xr:uid="{00000000-0005-0000-0000-0000C7620000}"/>
    <cellStyle name="60% - Accent1 2 3 3 5 2 2" xfId="36290" xr:uid="{00000000-0005-0000-0000-0000C8620000}"/>
    <cellStyle name="60% - Accent1 2 3 3 5 3" xfId="26050" xr:uid="{00000000-0005-0000-0000-0000C9620000}"/>
    <cellStyle name="60% - Accent1 2 3 3 6" xfId="10690" xr:uid="{00000000-0005-0000-0000-0000CA620000}"/>
    <cellStyle name="60% - Accent1 2 3 3 6 2" xfId="31170" xr:uid="{00000000-0005-0000-0000-0000CB620000}"/>
    <cellStyle name="60% - Accent1 2 3 3 7" xfId="20930" xr:uid="{00000000-0005-0000-0000-0000CC620000}"/>
    <cellStyle name="60% - Accent1 2 3 4" xfId="770" xr:uid="{00000000-0005-0000-0000-0000CD620000}"/>
    <cellStyle name="60% - Accent1 2 3 4 2" xfId="2050" xr:uid="{00000000-0005-0000-0000-0000CE620000}"/>
    <cellStyle name="60% - Accent1 2 3 4 2 2" xfId="4610" xr:uid="{00000000-0005-0000-0000-0000CF620000}"/>
    <cellStyle name="60% - Accent1 2 3 4 2 2 2" xfId="9730" xr:uid="{00000000-0005-0000-0000-0000D0620000}"/>
    <cellStyle name="60% - Accent1 2 3 4 2 2 2 2" xfId="19970" xr:uid="{00000000-0005-0000-0000-0000D1620000}"/>
    <cellStyle name="60% - Accent1 2 3 4 2 2 2 2 2" xfId="40450" xr:uid="{00000000-0005-0000-0000-0000D2620000}"/>
    <cellStyle name="60% - Accent1 2 3 4 2 2 2 3" xfId="30210" xr:uid="{00000000-0005-0000-0000-0000D3620000}"/>
    <cellStyle name="60% - Accent1 2 3 4 2 2 3" xfId="14850" xr:uid="{00000000-0005-0000-0000-0000D4620000}"/>
    <cellStyle name="60% - Accent1 2 3 4 2 2 3 2" xfId="35330" xr:uid="{00000000-0005-0000-0000-0000D5620000}"/>
    <cellStyle name="60% - Accent1 2 3 4 2 2 4" xfId="25090" xr:uid="{00000000-0005-0000-0000-0000D6620000}"/>
    <cellStyle name="60% - Accent1 2 3 4 2 3" xfId="7170" xr:uid="{00000000-0005-0000-0000-0000D7620000}"/>
    <cellStyle name="60% - Accent1 2 3 4 2 3 2" xfId="17410" xr:uid="{00000000-0005-0000-0000-0000D8620000}"/>
    <cellStyle name="60% - Accent1 2 3 4 2 3 2 2" xfId="37890" xr:uid="{00000000-0005-0000-0000-0000D9620000}"/>
    <cellStyle name="60% - Accent1 2 3 4 2 3 3" xfId="27650" xr:uid="{00000000-0005-0000-0000-0000DA620000}"/>
    <cellStyle name="60% - Accent1 2 3 4 2 4" xfId="12290" xr:uid="{00000000-0005-0000-0000-0000DB620000}"/>
    <cellStyle name="60% - Accent1 2 3 4 2 4 2" xfId="32770" xr:uid="{00000000-0005-0000-0000-0000DC620000}"/>
    <cellStyle name="60% - Accent1 2 3 4 2 5" xfId="22530" xr:uid="{00000000-0005-0000-0000-0000DD620000}"/>
    <cellStyle name="60% - Accent1 2 3 4 3" xfId="3330" xr:uid="{00000000-0005-0000-0000-0000DE620000}"/>
    <cellStyle name="60% - Accent1 2 3 4 3 2" xfId="8450" xr:uid="{00000000-0005-0000-0000-0000DF620000}"/>
    <cellStyle name="60% - Accent1 2 3 4 3 2 2" xfId="18690" xr:uid="{00000000-0005-0000-0000-0000E0620000}"/>
    <cellStyle name="60% - Accent1 2 3 4 3 2 2 2" xfId="39170" xr:uid="{00000000-0005-0000-0000-0000E1620000}"/>
    <cellStyle name="60% - Accent1 2 3 4 3 2 3" xfId="28930" xr:uid="{00000000-0005-0000-0000-0000E2620000}"/>
    <cellStyle name="60% - Accent1 2 3 4 3 3" xfId="13570" xr:uid="{00000000-0005-0000-0000-0000E3620000}"/>
    <cellStyle name="60% - Accent1 2 3 4 3 3 2" xfId="34050" xr:uid="{00000000-0005-0000-0000-0000E4620000}"/>
    <cellStyle name="60% - Accent1 2 3 4 3 4" xfId="23810" xr:uid="{00000000-0005-0000-0000-0000E5620000}"/>
    <cellStyle name="60% - Accent1 2 3 4 4" xfId="5890" xr:uid="{00000000-0005-0000-0000-0000E6620000}"/>
    <cellStyle name="60% - Accent1 2 3 4 4 2" xfId="16130" xr:uid="{00000000-0005-0000-0000-0000E7620000}"/>
    <cellStyle name="60% - Accent1 2 3 4 4 2 2" xfId="36610" xr:uid="{00000000-0005-0000-0000-0000E8620000}"/>
    <cellStyle name="60% - Accent1 2 3 4 4 3" xfId="26370" xr:uid="{00000000-0005-0000-0000-0000E9620000}"/>
    <cellStyle name="60% - Accent1 2 3 4 5" xfId="11010" xr:uid="{00000000-0005-0000-0000-0000EA620000}"/>
    <cellStyle name="60% - Accent1 2 3 4 5 2" xfId="31490" xr:uid="{00000000-0005-0000-0000-0000EB620000}"/>
    <cellStyle name="60% - Accent1 2 3 4 6" xfId="21250" xr:uid="{00000000-0005-0000-0000-0000EC620000}"/>
    <cellStyle name="60% - Accent1 2 3 5" xfId="1410" xr:uid="{00000000-0005-0000-0000-0000ED620000}"/>
    <cellStyle name="60% - Accent1 2 3 5 2" xfId="3970" xr:uid="{00000000-0005-0000-0000-0000EE620000}"/>
    <cellStyle name="60% - Accent1 2 3 5 2 2" xfId="9090" xr:uid="{00000000-0005-0000-0000-0000EF620000}"/>
    <cellStyle name="60% - Accent1 2 3 5 2 2 2" xfId="19330" xr:uid="{00000000-0005-0000-0000-0000F0620000}"/>
    <cellStyle name="60% - Accent1 2 3 5 2 2 2 2" xfId="39810" xr:uid="{00000000-0005-0000-0000-0000F1620000}"/>
    <cellStyle name="60% - Accent1 2 3 5 2 2 3" xfId="29570" xr:uid="{00000000-0005-0000-0000-0000F2620000}"/>
    <cellStyle name="60% - Accent1 2 3 5 2 3" xfId="14210" xr:uid="{00000000-0005-0000-0000-0000F3620000}"/>
    <cellStyle name="60% - Accent1 2 3 5 2 3 2" xfId="34690" xr:uid="{00000000-0005-0000-0000-0000F4620000}"/>
    <cellStyle name="60% - Accent1 2 3 5 2 4" xfId="24450" xr:uid="{00000000-0005-0000-0000-0000F5620000}"/>
    <cellStyle name="60% - Accent1 2 3 5 3" xfId="6530" xr:uid="{00000000-0005-0000-0000-0000F6620000}"/>
    <cellStyle name="60% - Accent1 2 3 5 3 2" xfId="16770" xr:uid="{00000000-0005-0000-0000-0000F7620000}"/>
    <cellStyle name="60% - Accent1 2 3 5 3 2 2" xfId="37250" xr:uid="{00000000-0005-0000-0000-0000F8620000}"/>
    <cellStyle name="60% - Accent1 2 3 5 3 3" xfId="27010" xr:uid="{00000000-0005-0000-0000-0000F9620000}"/>
    <cellStyle name="60% - Accent1 2 3 5 4" xfId="11650" xr:uid="{00000000-0005-0000-0000-0000FA620000}"/>
    <cellStyle name="60% - Accent1 2 3 5 4 2" xfId="32130" xr:uid="{00000000-0005-0000-0000-0000FB620000}"/>
    <cellStyle name="60% - Accent1 2 3 5 5" xfId="21890" xr:uid="{00000000-0005-0000-0000-0000FC620000}"/>
    <cellStyle name="60% - Accent1 2 3 6" xfId="2690" xr:uid="{00000000-0005-0000-0000-0000FD620000}"/>
    <cellStyle name="60% - Accent1 2 3 6 2" xfId="7810" xr:uid="{00000000-0005-0000-0000-0000FE620000}"/>
    <cellStyle name="60% - Accent1 2 3 6 2 2" xfId="18050" xr:uid="{00000000-0005-0000-0000-0000FF620000}"/>
    <cellStyle name="60% - Accent1 2 3 6 2 2 2" xfId="38530" xr:uid="{00000000-0005-0000-0000-000000630000}"/>
    <cellStyle name="60% - Accent1 2 3 6 2 3" xfId="28290" xr:uid="{00000000-0005-0000-0000-000001630000}"/>
    <cellStyle name="60% - Accent1 2 3 6 3" xfId="12930" xr:uid="{00000000-0005-0000-0000-000002630000}"/>
    <cellStyle name="60% - Accent1 2 3 6 3 2" xfId="33410" xr:uid="{00000000-0005-0000-0000-000003630000}"/>
    <cellStyle name="60% - Accent1 2 3 6 4" xfId="23170" xr:uid="{00000000-0005-0000-0000-000004630000}"/>
    <cellStyle name="60% - Accent1 2 3 7" xfId="5250" xr:uid="{00000000-0005-0000-0000-000005630000}"/>
    <cellStyle name="60% - Accent1 2 3 7 2" xfId="15490" xr:uid="{00000000-0005-0000-0000-000006630000}"/>
    <cellStyle name="60% - Accent1 2 3 7 2 2" xfId="35970" xr:uid="{00000000-0005-0000-0000-000007630000}"/>
    <cellStyle name="60% - Accent1 2 3 7 3" xfId="25730" xr:uid="{00000000-0005-0000-0000-000008630000}"/>
    <cellStyle name="60% - Accent1 2 3 8" xfId="10370" xr:uid="{00000000-0005-0000-0000-000009630000}"/>
    <cellStyle name="60% - Accent1 2 3 8 2" xfId="30850" xr:uid="{00000000-0005-0000-0000-00000A630000}"/>
    <cellStyle name="60% - Accent1 2 3 9" xfId="20610" xr:uid="{00000000-0005-0000-0000-00000B630000}"/>
    <cellStyle name="60% - Accent1 2 4" xfId="210" xr:uid="{00000000-0005-0000-0000-00000C630000}"/>
    <cellStyle name="60% - Accent1 2 4 2" xfId="530" xr:uid="{00000000-0005-0000-0000-00000D630000}"/>
    <cellStyle name="60% - Accent1 2 4 2 2" xfId="1170" xr:uid="{00000000-0005-0000-0000-00000E630000}"/>
    <cellStyle name="60% - Accent1 2 4 2 2 2" xfId="2450" xr:uid="{00000000-0005-0000-0000-00000F630000}"/>
    <cellStyle name="60% - Accent1 2 4 2 2 2 2" xfId="5010" xr:uid="{00000000-0005-0000-0000-000010630000}"/>
    <cellStyle name="60% - Accent1 2 4 2 2 2 2 2" xfId="10130" xr:uid="{00000000-0005-0000-0000-000011630000}"/>
    <cellStyle name="60% - Accent1 2 4 2 2 2 2 2 2" xfId="20370" xr:uid="{00000000-0005-0000-0000-000012630000}"/>
    <cellStyle name="60% - Accent1 2 4 2 2 2 2 2 2 2" xfId="40850" xr:uid="{00000000-0005-0000-0000-000013630000}"/>
    <cellStyle name="60% - Accent1 2 4 2 2 2 2 2 3" xfId="30610" xr:uid="{00000000-0005-0000-0000-000014630000}"/>
    <cellStyle name="60% - Accent1 2 4 2 2 2 2 3" xfId="15250" xr:uid="{00000000-0005-0000-0000-000015630000}"/>
    <cellStyle name="60% - Accent1 2 4 2 2 2 2 3 2" xfId="35730" xr:uid="{00000000-0005-0000-0000-000016630000}"/>
    <cellStyle name="60% - Accent1 2 4 2 2 2 2 4" xfId="25490" xr:uid="{00000000-0005-0000-0000-000017630000}"/>
    <cellStyle name="60% - Accent1 2 4 2 2 2 3" xfId="7570" xr:uid="{00000000-0005-0000-0000-000018630000}"/>
    <cellStyle name="60% - Accent1 2 4 2 2 2 3 2" xfId="17810" xr:uid="{00000000-0005-0000-0000-000019630000}"/>
    <cellStyle name="60% - Accent1 2 4 2 2 2 3 2 2" xfId="38290" xr:uid="{00000000-0005-0000-0000-00001A630000}"/>
    <cellStyle name="60% - Accent1 2 4 2 2 2 3 3" xfId="28050" xr:uid="{00000000-0005-0000-0000-00001B630000}"/>
    <cellStyle name="60% - Accent1 2 4 2 2 2 4" xfId="12690" xr:uid="{00000000-0005-0000-0000-00001C630000}"/>
    <cellStyle name="60% - Accent1 2 4 2 2 2 4 2" xfId="33170" xr:uid="{00000000-0005-0000-0000-00001D630000}"/>
    <cellStyle name="60% - Accent1 2 4 2 2 2 5" xfId="22930" xr:uid="{00000000-0005-0000-0000-00001E630000}"/>
    <cellStyle name="60% - Accent1 2 4 2 2 3" xfId="3730" xr:uid="{00000000-0005-0000-0000-00001F630000}"/>
    <cellStyle name="60% - Accent1 2 4 2 2 3 2" xfId="8850" xr:uid="{00000000-0005-0000-0000-000020630000}"/>
    <cellStyle name="60% - Accent1 2 4 2 2 3 2 2" xfId="19090" xr:uid="{00000000-0005-0000-0000-000021630000}"/>
    <cellStyle name="60% - Accent1 2 4 2 2 3 2 2 2" xfId="39570" xr:uid="{00000000-0005-0000-0000-000022630000}"/>
    <cellStyle name="60% - Accent1 2 4 2 2 3 2 3" xfId="29330" xr:uid="{00000000-0005-0000-0000-000023630000}"/>
    <cellStyle name="60% - Accent1 2 4 2 2 3 3" xfId="13970" xr:uid="{00000000-0005-0000-0000-000024630000}"/>
    <cellStyle name="60% - Accent1 2 4 2 2 3 3 2" xfId="34450" xr:uid="{00000000-0005-0000-0000-000025630000}"/>
    <cellStyle name="60% - Accent1 2 4 2 2 3 4" xfId="24210" xr:uid="{00000000-0005-0000-0000-000026630000}"/>
    <cellStyle name="60% - Accent1 2 4 2 2 4" xfId="6290" xr:uid="{00000000-0005-0000-0000-000027630000}"/>
    <cellStyle name="60% - Accent1 2 4 2 2 4 2" xfId="16530" xr:uid="{00000000-0005-0000-0000-000028630000}"/>
    <cellStyle name="60% - Accent1 2 4 2 2 4 2 2" xfId="37010" xr:uid="{00000000-0005-0000-0000-000029630000}"/>
    <cellStyle name="60% - Accent1 2 4 2 2 4 3" xfId="26770" xr:uid="{00000000-0005-0000-0000-00002A630000}"/>
    <cellStyle name="60% - Accent1 2 4 2 2 5" xfId="11410" xr:uid="{00000000-0005-0000-0000-00002B630000}"/>
    <cellStyle name="60% - Accent1 2 4 2 2 5 2" xfId="31890" xr:uid="{00000000-0005-0000-0000-00002C630000}"/>
    <cellStyle name="60% - Accent1 2 4 2 2 6" xfId="21650" xr:uid="{00000000-0005-0000-0000-00002D630000}"/>
    <cellStyle name="60% - Accent1 2 4 2 3" xfId="1810" xr:uid="{00000000-0005-0000-0000-00002E630000}"/>
    <cellStyle name="60% - Accent1 2 4 2 3 2" xfId="4370" xr:uid="{00000000-0005-0000-0000-00002F630000}"/>
    <cellStyle name="60% - Accent1 2 4 2 3 2 2" xfId="9490" xr:uid="{00000000-0005-0000-0000-000030630000}"/>
    <cellStyle name="60% - Accent1 2 4 2 3 2 2 2" xfId="19730" xr:uid="{00000000-0005-0000-0000-000031630000}"/>
    <cellStyle name="60% - Accent1 2 4 2 3 2 2 2 2" xfId="40210" xr:uid="{00000000-0005-0000-0000-000032630000}"/>
    <cellStyle name="60% - Accent1 2 4 2 3 2 2 3" xfId="29970" xr:uid="{00000000-0005-0000-0000-000033630000}"/>
    <cellStyle name="60% - Accent1 2 4 2 3 2 3" xfId="14610" xr:uid="{00000000-0005-0000-0000-000034630000}"/>
    <cellStyle name="60% - Accent1 2 4 2 3 2 3 2" xfId="35090" xr:uid="{00000000-0005-0000-0000-000035630000}"/>
    <cellStyle name="60% - Accent1 2 4 2 3 2 4" xfId="24850" xr:uid="{00000000-0005-0000-0000-000036630000}"/>
    <cellStyle name="60% - Accent1 2 4 2 3 3" xfId="6930" xr:uid="{00000000-0005-0000-0000-000037630000}"/>
    <cellStyle name="60% - Accent1 2 4 2 3 3 2" xfId="17170" xr:uid="{00000000-0005-0000-0000-000038630000}"/>
    <cellStyle name="60% - Accent1 2 4 2 3 3 2 2" xfId="37650" xr:uid="{00000000-0005-0000-0000-000039630000}"/>
    <cellStyle name="60% - Accent1 2 4 2 3 3 3" xfId="27410" xr:uid="{00000000-0005-0000-0000-00003A630000}"/>
    <cellStyle name="60% - Accent1 2 4 2 3 4" xfId="12050" xr:uid="{00000000-0005-0000-0000-00003B630000}"/>
    <cellStyle name="60% - Accent1 2 4 2 3 4 2" xfId="32530" xr:uid="{00000000-0005-0000-0000-00003C630000}"/>
    <cellStyle name="60% - Accent1 2 4 2 3 5" xfId="22290" xr:uid="{00000000-0005-0000-0000-00003D630000}"/>
    <cellStyle name="60% - Accent1 2 4 2 4" xfId="3090" xr:uid="{00000000-0005-0000-0000-00003E630000}"/>
    <cellStyle name="60% - Accent1 2 4 2 4 2" xfId="8210" xr:uid="{00000000-0005-0000-0000-00003F630000}"/>
    <cellStyle name="60% - Accent1 2 4 2 4 2 2" xfId="18450" xr:uid="{00000000-0005-0000-0000-000040630000}"/>
    <cellStyle name="60% - Accent1 2 4 2 4 2 2 2" xfId="38930" xr:uid="{00000000-0005-0000-0000-000041630000}"/>
    <cellStyle name="60% - Accent1 2 4 2 4 2 3" xfId="28690" xr:uid="{00000000-0005-0000-0000-000042630000}"/>
    <cellStyle name="60% - Accent1 2 4 2 4 3" xfId="13330" xr:uid="{00000000-0005-0000-0000-000043630000}"/>
    <cellStyle name="60% - Accent1 2 4 2 4 3 2" xfId="33810" xr:uid="{00000000-0005-0000-0000-000044630000}"/>
    <cellStyle name="60% - Accent1 2 4 2 4 4" xfId="23570" xr:uid="{00000000-0005-0000-0000-000045630000}"/>
    <cellStyle name="60% - Accent1 2 4 2 5" xfId="5650" xr:uid="{00000000-0005-0000-0000-000046630000}"/>
    <cellStyle name="60% - Accent1 2 4 2 5 2" xfId="15890" xr:uid="{00000000-0005-0000-0000-000047630000}"/>
    <cellStyle name="60% - Accent1 2 4 2 5 2 2" xfId="36370" xr:uid="{00000000-0005-0000-0000-000048630000}"/>
    <cellStyle name="60% - Accent1 2 4 2 5 3" xfId="26130" xr:uid="{00000000-0005-0000-0000-000049630000}"/>
    <cellStyle name="60% - Accent1 2 4 2 6" xfId="10770" xr:uid="{00000000-0005-0000-0000-00004A630000}"/>
    <cellStyle name="60% - Accent1 2 4 2 6 2" xfId="31250" xr:uid="{00000000-0005-0000-0000-00004B630000}"/>
    <cellStyle name="60% - Accent1 2 4 2 7" xfId="21010" xr:uid="{00000000-0005-0000-0000-00004C630000}"/>
    <cellStyle name="60% - Accent1 2 4 3" xfId="850" xr:uid="{00000000-0005-0000-0000-00004D630000}"/>
    <cellStyle name="60% - Accent1 2 4 3 2" xfId="2130" xr:uid="{00000000-0005-0000-0000-00004E630000}"/>
    <cellStyle name="60% - Accent1 2 4 3 2 2" xfId="4690" xr:uid="{00000000-0005-0000-0000-00004F630000}"/>
    <cellStyle name="60% - Accent1 2 4 3 2 2 2" xfId="9810" xr:uid="{00000000-0005-0000-0000-000050630000}"/>
    <cellStyle name="60% - Accent1 2 4 3 2 2 2 2" xfId="20050" xr:uid="{00000000-0005-0000-0000-000051630000}"/>
    <cellStyle name="60% - Accent1 2 4 3 2 2 2 2 2" xfId="40530" xr:uid="{00000000-0005-0000-0000-000052630000}"/>
    <cellStyle name="60% - Accent1 2 4 3 2 2 2 3" xfId="30290" xr:uid="{00000000-0005-0000-0000-000053630000}"/>
    <cellStyle name="60% - Accent1 2 4 3 2 2 3" xfId="14930" xr:uid="{00000000-0005-0000-0000-000054630000}"/>
    <cellStyle name="60% - Accent1 2 4 3 2 2 3 2" xfId="35410" xr:uid="{00000000-0005-0000-0000-000055630000}"/>
    <cellStyle name="60% - Accent1 2 4 3 2 2 4" xfId="25170" xr:uid="{00000000-0005-0000-0000-000056630000}"/>
    <cellStyle name="60% - Accent1 2 4 3 2 3" xfId="7250" xr:uid="{00000000-0005-0000-0000-000057630000}"/>
    <cellStyle name="60% - Accent1 2 4 3 2 3 2" xfId="17490" xr:uid="{00000000-0005-0000-0000-000058630000}"/>
    <cellStyle name="60% - Accent1 2 4 3 2 3 2 2" xfId="37970" xr:uid="{00000000-0005-0000-0000-000059630000}"/>
    <cellStyle name="60% - Accent1 2 4 3 2 3 3" xfId="27730" xr:uid="{00000000-0005-0000-0000-00005A630000}"/>
    <cellStyle name="60% - Accent1 2 4 3 2 4" xfId="12370" xr:uid="{00000000-0005-0000-0000-00005B630000}"/>
    <cellStyle name="60% - Accent1 2 4 3 2 4 2" xfId="32850" xr:uid="{00000000-0005-0000-0000-00005C630000}"/>
    <cellStyle name="60% - Accent1 2 4 3 2 5" xfId="22610" xr:uid="{00000000-0005-0000-0000-00005D630000}"/>
    <cellStyle name="60% - Accent1 2 4 3 3" xfId="3410" xr:uid="{00000000-0005-0000-0000-00005E630000}"/>
    <cellStyle name="60% - Accent1 2 4 3 3 2" xfId="8530" xr:uid="{00000000-0005-0000-0000-00005F630000}"/>
    <cellStyle name="60% - Accent1 2 4 3 3 2 2" xfId="18770" xr:uid="{00000000-0005-0000-0000-000060630000}"/>
    <cellStyle name="60% - Accent1 2 4 3 3 2 2 2" xfId="39250" xr:uid="{00000000-0005-0000-0000-000061630000}"/>
    <cellStyle name="60% - Accent1 2 4 3 3 2 3" xfId="29010" xr:uid="{00000000-0005-0000-0000-000062630000}"/>
    <cellStyle name="60% - Accent1 2 4 3 3 3" xfId="13650" xr:uid="{00000000-0005-0000-0000-000063630000}"/>
    <cellStyle name="60% - Accent1 2 4 3 3 3 2" xfId="34130" xr:uid="{00000000-0005-0000-0000-000064630000}"/>
    <cellStyle name="60% - Accent1 2 4 3 3 4" xfId="23890" xr:uid="{00000000-0005-0000-0000-000065630000}"/>
    <cellStyle name="60% - Accent1 2 4 3 4" xfId="5970" xr:uid="{00000000-0005-0000-0000-000066630000}"/>
    <cellStyle name="60% - Accent1 2 4 3 4 2" xfId="16210" xr:uid="{00000000-0005-0000-0000-000067630000}"/>
    <cellStyle name="60% - Accent1 2 4 3 4 2 2" xfId="36690" xr:uid="{00000000-0005-0000-0000-000068630000}"/>
    <cellStyle name="60% - Accent1 2 4 3 4 3" xfId="26450" xr:uid="{00000000-0005-0000-0000-000069630000}"/>
    <cellStyle name="60% - Accent1 2 4 3 5" xfId="11090" xr:uid="{00000000-0005-0000-0000-00006A630000}"/>
    <cellStyle name="60% - Accent1 2 4 3 5 2" xfId="31570" xr:uid="{00000000-0005-0000-0000-00006B630000}"/>
    <cellStyle name="60% - Accent1 2 4 3 6" xfId="21330" xr:uid="{00000000-0005-0000-0000-00006C630000}"/>
    <cellStyle name="60% - Accent1 2 4 4" xfId="1490" xr:uid="{00000000-0005-0000-0000-00006D630000}"/>
    <cellStyle name="60% - Accent1 2 4 4 2" xfId="4050" xr:uid="{00000000-0005-0000-0000-00006E630000}"/>
    <cellStyle name="60% - Accent1 2 4 4 2 2" xfId="9170" xr:uid="{00000000-0005-0000-0000-00006F630000}"/>
    <cellStyle name="60% - Accent1 2 4 4 2 2 2" xfId="19410" xr:uid="{00000000-0005-0000-0000-000070630000}"/>
    <cellStyle name="60% - Accent1 2 4 4 2 2 2 2" xfId="39890" xr:uid="{00000000-0005-0000-0000-000071630000}"/>
    <cellStyle name="60% - Accent1 2 4 4 2 2 3" xfId="29650" xr:uid="{00000000-0005-0000-0000-000072630000}"/>
    <cellStyle name="60% - Accent1 2 4 4 2 3" xfId="14290" xr:uid="{00000000-0005-0000-0000-000073630000}"/>
    <cellStyle name="60% - Accent1 2 4 4 2 3 2" xfId="34770" xr:uid="{00000000-0005-0000-0000-000074630000}"/>
    <cellStyle name="60% - Accent1 2 4 4 2 4" xfId="24530" xr:uid="{00000000-0005-0000-0000-000075630000}"/>
    <cellStyle name="60% - Accent1 2 4 4 3" xfId="6610" xr:uid="{00000000-0005-0000-0000-000076630000}"/>
    <cellStyle name="60% - Accent1 2 4 4 3 2" xfId="16850" xr:uid="{00000000-0005-0000-0000-000077630000}"/>
    <cellStyle name="60% - Accent1 2 4 4 3 2 2" xfId="37330" xr:uid="{00000000-0005-0000-0000-000078630000}"/>
    <cellStyle name="60% - Accent1 2 4 4 3 3" xfId="27090" xr:uid="{00000000-0005-0000-0000-000079630000}"/>
    <cellStyle name="60% - Accent1 2 4 4 4" xfId="11730" xr:uid="{00000000-0005-0000-0000-00007A630000}"/>
    <cellStyle name="60% - Accent1 2 4 4 4 2" xfId="32210" xr:uid="{00000000-0005-0000-0000-00007B630000}"/>
    <cellStyle name="60% - Accent1 2 4 4 5" xfId="21970" xr:uid="{00000000-0005-0000-0000-00007C630000}"/>
    <cellStyle name="60% - Accent1 2 4 5" xfId="2770" xr:uid="{00000000-0005-0000-0000-00007D630000}"/>
    <cellStyle name="60% - Accent1 2 4 5 2" xfId="7890" xr:uid="{00000000-0005-0000-0000-00007E630000}"/>
    <cellStyle name="60% - Accent1 2 4 5 2 2" xfId="18130" xr:uid="{00000000-0005-0000-0000-00007F630000}"/>
    <cellStyle name="60% - Accent1 2 4 5 2 2 2" xfId="38610" xr:uid="{00000000-0005-0000-0000-000080630000}"/>
    <cellStyle name="60% - Accent1 2 4 5 2 3" xfId="28370" xr:uid="{00000000-0005-0000-0000-000081630000}"/>
    <cellStyle name="60% - Accent1 2 4 5 3" xfId="13010" xr:uid="{00000000-0005-0000-0000-000082630000}"/>
    <cellStyle name="60% - Accent1 2 4 5 3 2" xfId="33490" xr:uid="{00000000-0005-0000-0000-000083630000}"/>
    <cellStyle name="60% - Accent1 2 4 5 4" xfId="23250" xr:uid="{00000000-0005-0000-0000-000084630000}"/>
    <cellStyle name="60% - Accent1 2 4 6" xfId="5330" xr:uid="{00000000-0005-0000-0000-000085630000}"/>
    <cellStyle name="60% - Accent1 2 4 6 2" xfId="15570" xr:uid="{00000000-0005-0000-0000-000086630000}"/>
    <cellStyle name="60% - Accent1 2 4 6 2 2" xfId="36050" xr:uid="{00000000-0005-0000-0000-000087630000}"/>
    <cellStyle name="60% - Accent1 2 4 6 3" xfId="25810" xr:uid="{00000000-0005-0000-0000-000088630000}"/>
    <cellStyle name="60% - Accent1 2 4 7" xfId="10450" xr:uid="{00000000-0005-0000-0000-000089630000}"/>
    <cellStyle name="60% - Accent1 2 4 7 2" xfId="30930" xr:uid="{00000000-0005-0000-0000-00008A630000}"/>
    <cellStyle name="60% - Accent1 2 4 8" xfId="20690" xr:uid="{00000000-0005-0000-0000-00008B630000}"/>
    <cellStyle name="60% - Accent1 2 5" xfId="370" xr:uid="{00000000-0005-0000-0000-00008C630000}"/>
    <cellStyle name="60% - Accent1 2 5 2" xfId="1010" xr:uid="{00000000-0005-0000-0000-00008D630000}"/>
    <cellStyle name="60% - Accent1 2 5 2 2" xfId="2290" xr:uid="{00000000-0005-0000-0000-00008E630000}"/>
    <cellStyle name="60% - Accent1 2 5 2 2 2" xfId="4850" xr:uid="{00000000-0005-0000-0000-00008F630000}"/>
    <cellStyle name="60% - Accent1 2 5 2 2 2 2" xfId="9970" xr:uid="{00000000-0005-0000-0000-000090630000}"/>
    <cellStyle name="60% - Accent1 2 5 2 2 2 2 2" xfId="20210" xr:uid="{00000000-0005-0000-0000-000091630000}"/>
    <cellStyle name="60% - Accent1 2 5 2 2 2 2 2 2" xfId="40690" xr:uid="{00000000-0005-0000-0000-000092630000}"/>
    <cellStyle name="60% - Accent1 2 5 2 2 2 2 3" xfId="30450" xr:uid="{00000000-0005-0000-0000-000093630000}"/>
    <cellStyle name="60% - Accent1 2 5 2 2 2 3" xfId="15090" xr:uid="{00000000-0005-0000-0000-000094630000}"/>
    <cellStyle name="60% - Accent1 2 5 2 2 2 3 2" xfId="35570" xr:uid="{00000000-0005-0000-0000-000095630000}"/>
    <cellStyle name="60% - Accent1 2 5 2 2 2 4" xfId="25330" xr:uid="{00000000-0005-0000-0000-000096630000}"/>
    <cellStyle name="60% - Accent1 2 5 2 2 3" xfId="7410" xr:uid="{00000000-0005-0000-0000-000097630000}"/>
    <cellStyle name="60% - Accent1 2 5 2 2 3 2" xfId="17650" xr:uid="{00000000-0005-0000-0000-000098630000}"/>
    <cellStyle name="60% - Accent1 2 5 2 2 3 2 2" xfId="38130" xr:uid="{00000000-0005-0000-0000-000099630000}"/>
    <cellStyle name="60% - Accent1 2 5 2 2 3 3" xfId="27890" xr:uid="{00000000-0005-0000-0000-00009A630000}"/>
    <cellStyle name="60% - Accent1 2 5 2 2 4" xfId="12530" xr:uid="{00000000-0005-0000-0000-00009B630000}"/>
    <cellStyle name="60% - Accent1 2 5 2 2 4 2" xfId="33010" xr:uid="{00000000-0005-0000-0000-00009C630000}"/>
    <cellStyle name="60% - Accent1 2 5 2 2 5" xfId="22770" xr:uid="{00000000-0005-0000-0000-00009D630000}"/>
    <cellStyle name="60% - Accent1 2 5 2 3" xfId="3570" xr:uid="{00000000-0005-0000-0000-00009E630000}"/>
    <cellStyle name="60% - Accent1 2 5 2 3 2" xfId="8690" xr:uid="{00000000-0005-0000-0000-00009F630000}"/>
    <cellStyle name="60% - Accent1 2 5 2 3 2 2" xfId="18930" xr:uid="{00000000-0005-0000-0000-0000A0630000}"/>
    <cellStyle name="60% - Accent1 2 5 2 3 2 2 2" xfId="39410" xr:uid="{00000000-0005-0000-0000-0000A1630000}"/>
    <cellStyle name="60% - Accent1 2 5 2 3 2 3" xfId="29170" xr:uid="{00000000-0005-0000-0000-0000A2630000}"/>
    <cellStyle name="60% - Accent1 2 5 2 3 3" xfId="13810" xr:uid="{00000000-0005-0000-0000-0000A3630000}"/>
    <cellStyle name="60% - Accent1 2 5 2 3 3 2" xfId="34290" xr:uid="{00000000-0005-0000-0000-0000A4630000}"/>
    <cellStyle name="60% - Accent1 2 5 2 3 4" xfId="24050" xr:uid="{00000000-0005-0000-0000-0000A5630000}"/>
    <cellStyle name="60% - Accent1 2 5 2 4" xfId="6130" xr:uid="{00000000-0005-0000-0000-0000A6630000}"/>
    <cellStyle name="60% - Accent1 2 5 2 4 2" xfId="16370" xr:uid="{00000000-0005-0000-0000-0000A7630000}"/>
    <cellStyle name="60% - Accent1 2 5 2 4 2 2" xfId="36850" xr:uid="{00000000-0005-0000-0000-0000A8630000}"/>
    <cellStyle name="60% - Accent1 2 5 2 4 3" xfId="26610" xr:uid="{00000000-0005-0000-0000-0000A9630000}"/>
    <cellStyle name="60% - Accent1 2 5 2 5" xfId="11250" xr:uid="{00000000-0005-0000-0000-0000AA630000}"/>
    <cellStyle name="60% - Accent1 2 5 2 5 2" xfId="31730" xr:uid="{00000000-0005-0000-0000-0000AB630000}"/>
    <cellStyle name="60% - Accent1 2 5 2 6" xfId="21490" xr:uid="{00000000-0005-0000-0000-0000AC630000}"/>
    <cellStyle name="60% - Accent1 2 5 3" xfId="1650" xr:uid="{00000000-0005-0000-0000-0000AD630000}"/>
    <cellStyle name="60% - Accent1 2 5 3 2" xfId="4210" xr:uid="{00000000-0005-0000-0000-0000AE630000}"/>
    <cellStyle name="60% - Accent1 2 5 3 2 2" xfId="9330" xr:uid="{00000000-0005-0000-0000-0000AF630000}"/>
    <cellStyle name="60% - Accent1 2 5 3 2 2 2" xfId="19570" xr:uid="{00000000-0005-0000-0000-0000B0630000}"/>
    <cellStyle name="60% - Accent1 2 5 3 2 2 2 2" xfId="40050" xr:uid="{00000000-0005-0000-0000-0000B1630000}"/>
    <cellStyle name="60% - Accent1 2 5 3 2 2 3" xfId="29810" xr:uid="{00000000-0005-0000-0000-0000B2630000}"/>
    <cellStyle name="60% - Accent1 2 5 3 2 3" xfId="14450" xr:uid="{00000000-0005-0000-0000-0000B3630000}"/>
    <cellStyle name="60% - Accent1 2 5 3 2 3 2" xfId="34930" xr:uid="{00000000-0005-0000-0000-0000B4630000}"/>
    <cellStyle name="60% - Accent1 2 5 3 2 4" xfId="24690" xr:uid="{00000000-0005-0000-0000-0000B5630000}"/>
    <cellStyle name="60% - Accent1 2 5 3 3" xfId="6770" xr:uid="{00000000-0005-0000-0000-0000B6630000}"/>
    <cellStyle name="60% - Accent1 2 5 3 3 2" xfId="17010" xr:uid="{00000000-0005-0000-0000-0000B7630000}"/>
    <cellStyle name="60% - Accent1 2 5 3 3 2 2" xfId="37490" xr:uid="{00000000-0005-0000-0000-0000B8630000}"/>
    <cellStyle name="60% - Accent1 2 5 3 3 3" xfId="27250" xr:uid="{00000000-0005-0000-0000-0000B9630000}"/>
    <cellStyle name="60% - Accent1 2 5 3 4" xfId="11890" xr:uid="{00000000-0005-0000-0000-0000BA630000}"/>
    <cellStyle name="60% - Accent1 2 5 3 4 2" xfId="32370" xr:uid="{00000000-0005-0000-0000-0000BB630000}"/>
    <cellStyle name="60% - Accent1 2 5 3 5" xfId="22130" xr:uid="{00000000-0005-0000-0000-0000BC630000}"/>
    <cellStyle name="60% - Accent1 2 5 4" xfId="2930" xr:uid="{00000000-0005-0000-0000-0000BD630000}"/>
    <cellStyle name="60% - Accent1 2 5 4 2" xfId="8050" xr:uid="{00000000-0005-0000-0000-0000BE630000}"/>
    <cellStyle name="60% - Accent1 2 5 4 2 2" xfId="18290" xr:uid="{00000000-0005-0000-0000-0000BF630000}"/>
    <cellStyle name="60% - Accent1 2 5 4 2 2 2" xfId="38770" xr:uid="{00000000-0005-0000-0000-0000C0630000}"/>
    <cellStyle name="60% - Accent1 2 5 4 2 3" xfId="28530" xr:uid="{00000000-0005-0000-0000-0000C1630000}"/>
    <cellStyle name="60% - Accent1 2 5 4 3" xfId="13170" xr:uid="{00000000-0005-0000-0000-0000C2630000}"/>
    <cellStyle name="60% - Accent1 2 5 4 3 2" xfId="33650" xr:uid="{00000000-0005-0000-0000-0000C3630000}"/>
    <cellStyle name="60% - Accent1 2 5 4 4" xfId="23410" xr:uid="{00000000-0005-0000-0000-0000C4630000}"/>
    <cellStyle name="60% - Accent1 2 5 5" xfId="5490" xr:uid="{00000000-0005-0000-0000-0000C5630000}"/>
    <cellStyle name="60% - Accent1 2 5 5 2" xfId="15730" xr:uid="{00000000-0005-0000-0000-0000C6630000}"/>
    <cellStyle name="60% - Accent1 2 5 5 2 2" xfId="36210" xr:uid="{00000000-0005-0000-0000-0000C7630000}"/>
    <cellStyle name="60% - Accent1 2 5 5 3" xfId="25970" xr:uid="{00000000-0005-0000-0000-0000C8630000}"/>
    <cellStyle name="60% - Accent1 2 5 6" xfId="10610" xr:uid="{00000000-0005-0000-0000-0000C9630000}"/>
    <cellStyle name="60% - Accent1 2 5 6 2" xfId="31090" xr:uid="{00000000-0005-0000-0000-0000CA630000}"/>
    <cellStyle name="60% - Accent1 2 5 7" xfId="20850" xr:uid="{00000000-0005-0000-0000-0000CB630000}"/>
    <cellStyle name="60% - Accent1 2 6" xfId="690" xr:uid="{00000000-0005-0000-0000-0000CC630000}"/>
    <cellStyle name="60% - Accent1 2 6 2" xfId="1970" xr:uid="{00000000-0005-0000-0000-0000CD630000}"/>
    <cellStyle name="60% - Accent1 2 6 2 2" xfId="4530" xr:uid="{00000000-0005-0000-0000-0000CE630000}"/>
    <cellStyle name="60% - Accent1 2 6 2 2 2" xfId="9650" xr:uid="{00000000-0005-0000-0000-0000CF630000}"/>
    <cellStyle name="60% - Accent1 2 6 2 2 2 2" xfId="19890" xr:uid="{00000000-0005-0000-0000-0000D0630000}"/>
    <cellStyle name="60% - Accent1 2 6 2 2 2 2 2" xfId="40370" xr:uid="{00000000-0005-0000-0000-0000D1630000}"/>
    <cellStyle name="60% - Accent1 2 6 2 2 2 3" xfId="30130" xr:uid="{00000000-0005-0000-0000-0000D2630000}"/>
    <cellStyle name="60% - Accent1 2 6 2 2 3" xfId="14770" xr:uid="{00000000-0005-0000-0000-0000D3630000}"/>
    <cellStyle name="60% - Accent1 2 6 2 2 3 2" xfId="35250" xr:uid="{00000000-0005-0000-0000-0000D4630000}"/>
    <cellStyle name="60% - Accent1 2 6 2 2 4" xfId="25010" xr:uid="{00000000-0005-0000-0000-0000D5630000}"/>
    <cellStyle name="60% - Accent1 2 6 2 3" xfId="7090" xr:uid="{00000000-0005-0000-0000-0000D6630000}"/>
    <cellStyle name="60% - Accent1 2 6 2 3 2" xfId="17330" xr:uid="{00000000-0005-0000-0000-0000D7630000}"/>
    <cellStyle name="60% - Accent1 2 6 2 3 2 2" xfId="37810" xr:uid="{00000000-0005-0000-0000-0000D8630000}"/>
    <cellStyle name="60% - Accent1 2 6 2 3 3" xfId="27570" xr:uid="{00000000-0005-0000-0000-0000D9630000}"/>
    <cellStyle name="60% - Accent1 2 6 2 4" xfId="12210" xr:uid="{00000000-0005-0000-0000-0000DA630000}"/>
    <cellStyle name="60% - Accent1 2 6 2 4 2" xfId="32690" xr:uid="{00000000-0005-0000-0000-0000DB630000}"/>
    <cellStyle name="60% - Accent1 2 6 2 5" xfId="22450" xr:uid="{00000000-0005-0000-0000-0000DC630000}"/>
    <cellStyle name="60% - Accent1 2 6 3" xfId="3250" xr:uid="{00000000-0005-0000-0000-0000DD630000}"/>
    <cellStyle name="60% - Accent1 2 6 3 2" xfId="8370" xr:uid="{00000000-0005-0000-0000-0000DE630000}"/>
    <cellStyle name="60% - Accent1 2 6 3 2 2" xfId="18610" xr:uid="{00000000-0005-0000-0000-0000DF630000}"/>
    <cellStyle name="60% - Accent1 2 6 3 2 2 2" xfId="39090" xr:uid="{00000000-0005-0000-0000-0000E0630000}"/>
    <cellStyle name="60% - Accent1 2 6 3 2 3" xfId="28850" xr:uid="{00000000-0005-0000-0000-0000E1630000}"/>
    <cellStyle name="60% - Accent1 2 6 3 3" xfId="13490" xr:uid="{00000000-0005-0000-0000-0000E2630000}"/>
    <cellStyle name="60% - Accent1 2 6 3 3 2" xfId="33970" xr:uid="{00000000-0005-0000-0000-0000E3630000}"/>
    <cellStyle name="60% - Accent1 2 6 3 4" xfId="23730" xr:uid="{00000000-0005-0000-0000-0000E4630000}"/>
    <cellStyle name="60% - Accent1 2 6 4" xfId="5810" xr:uid="{00000000-0005-0000-0000-0000E5630000}"/>
    <cellStyle name="60% - Accent1 2 6 4 2" xfId="16050" xr:uid="{00000000-0005-0000-0000-0000E6630000}"/>
    <cellStyle name="60% - Accent1 2 6 4 2 2" xfId="36530" xr:uid="{00000000-0005-0000-0000-0000E7630000}"/>
    <cellStyle name="60% - Accent1 2 6 4 3" xfId="26290" xr:uid="{00000000-0005-0000-0000-0000E8630000}"/>
    <cellStyle name="60% - Accent1 2 6 5" xfId="10930" xr:uid="{00000000-0005-0000-0000-0000E9630000}"/>
    <cellStyle name="60% - Accent1 2 6 5 2" xfId="31410" xr:uid="{00000000-0005-0000-0000-0000EA630000}"/>
    <cellStyle name="60% - Accent1 2 6 6" xfId="21170" xr:uid="{00000000-0005-0000-0000-0000EB630000}"/>
    <cellStyle name="60% - Accent1 2 7" xfId="1330" xr:uid="{00000000-0005-0000-0000-0000EC630000}"/>
    <cellStyle name="60% - Accent1 2 7 2" xfId="3890" xr:uid="{00000000-0005-0000-0000-0000ED630000}"/>
    <cellStyle name="60% - Accent1 2 7 2 2" xfId="9010" xr:uid="{00000000-0005-0000-0000-0000EE630000}"/>
    <cellStyle name="60% - Accent1 2 7 2 2 2" xfId="19250" xr:uid="{00000000-0005-0000-0000-0000EF630000}"/>
    <cellStyle name="60% - Accent1 2 7 2 2 2 2" xfId="39730" xr:uid="{00000000-0005-0000-0000-0000F0630000}"/>
    <cellStyle name="60% - Accent1 2 7 2 2 3" xfId="29490" xr:uid="{00000000-0005-0000-0000-0000F1630000}"/>
    <cellStyle name="60% - Accent1 2 7 2 3" xfId="14130" xr:uid="{00000000-0005-0000-0000-0000F2630000}"/>
    <cellStyle name="60% - Accent1 2 7 2 3 2" xfId="34610" xr:uid="{00000000-0005-0000-0000-0000F3630000}"/>
    <cellStyle name="60% - Accent1 2 7 2 4" xfId="24370" xr:uid="{00000000-0005-0000-0000-0000F4630000}"/>
    <cellStyle name="60% - Accent1 2 7 3" xfId="6450" xr:uid="{00000000-0005-0000-0000-0000F5630000}"/>
    <cellStyle name="60% - Accent1 2 7 3 2" xfId="16690" xr:uid="{00000000-0005-0000-0000-0000F6630000}"/>
    <cellStyle name="60% - Accent1 2 7 3 2 2" xfId="37170" xr:uid="{00000000-0005-0000-0000-0000F7630000}"/>
    <cellStyle name="60% - Accent1 2 7 3 3" xfId="26930" xr:uid="{00000000-0005-0000-0000-0000F8630000}"/>
    <cellStyle name="60% - Accent1 2 7 4" xfId="11570" xr:uid="{00000000-0005-0000-0000-0000F9630000}"/>
    <cellStyle name="60% - Accent1 2 7 4 2" xfId="32050" xr:uid="{00000000-0005-0000-0000-0000FA630000}"/>
    <cellStyle name="60% - Accent1 2 7 5" xfId="21810" xr:uid="{00000000-0005-0000-0000-0000FB630000}"/>
    <cellStyle name="60% - Accent1 2 8" xfId="2610" xr:uid="{00000000-0005-0000-0000-0000FC630000}"/>
    <cellStyle name="60% - Accent1 2 8 2" xfId="7730" xr:uid="{00000000-0005-0000-0000-0000FD630000}"/>
    <cellStyle name="60% - Accent1 2 8 2 2" xfId="17970" xr:uid="{00000000-0005-0000-0000-0000FE630000}"/>
    <cellStyle name="60% - Accent1 2 8 2 2 2" xfId="38450" xr:uid="{00000000-0005-0000-0000-0000FF630000}"/>
    <cellStyle name="60% - Accent1 2 8 2 3" xfId="28210" xr:uid="{00000000-0005-0000-0000-000000640000}"/>
    <cellStyle name="60% - Accent1 2 8 3" xfId="12850" xr:uid="{00000000-0005-0000-0000-000001640000}"/>
    <cellStyle name="60% - Accent1 2 8 3 2" xfId="33330" xr:uid="{00000000-0005-0000-0000-000002640000}"/>
    <cellStyle name="60% - Accent1 2 8 4" xfId="23090" xr:uid="{00000000-0005-0000-0000-000003640000}"/>
    <cellStyle name="60% - Accent1 2 9" xfId="5170" xr:uid="{00000000-0005-0000-0000-000004640000}"/>
    <cellStyle name="60% - Accent1 2 9 2" xfId="15410" xr:uid="{00000000-0005-0000-0000-000005640000}"/>
    <cellStyle name="60% - Accent1 2 9 2 2" xfId="35890" xr:uid="{00000000-0005-0000-0000-000006640000}"/>
    <cellStyle name="60% - Accent1 2 9 3" xfId="25650" xr:uid="{00000000-0005-0000-0000-000007640000}"/>
    <cellStyle name="60% - Accent1 3" xfId="70" xr:uid="{00000000-0005-0000-0000-000008640000}"/>
    <cellStyle name="60% - Accent1 3 10" xfId="20550" xr:uid="{00000000-0005-0000-0000-000009640000}"/>
    <cellStyle name="60% - Accent1 3 2" xfId="150" xr:uid="{00000000-0005-0000-0000-00000A640000}"/>
    <cellStyle name="60% - Accent1 3 2 2" xfId="310" xr:uid="{00000000-0005-0000-0000-00000B640000}"/>
    <cellStyle name="60% - Accent1 3 2 2 2" xfId="630" xr:uid="{00000000-0005-0000-0000-00000C640000}"/>
    <cellStyle name="60% - Accent1 3 2 2 2 2" xfId="1270" xr:uid="{00000000-0005-0000-0000-00000D640000}"/>
    <cellStyle name="60% - Accent1 3 2 2 2 2 2" xfId="2550" xr:uid="{00000000-0005-0000-0000-00000E640000}"/>
    <cellStyle name="60% - Accent1 3 2 2 2 2 2 2" xfId="5110" xr:uid="{00000000-0005-0000-0000-00000F640000}"/>
    <cellStyle name="60% - Accent1 3 2 2 2 2 2 2 2" xfId="10230" xr:uid="{00000000-0005-0000-0000-000010640000}"/>
    <cellStyle name="60% - Accent1 3 2 2 2 2 2 2 2 2" xfId="20470" xr:uid="{00000000-0005-0000-0000-000011640000}"/>
    <cellStyle name="60% - Accent1 3 2 2 2 2 2 2 2 2 2" xfId="40950" xr:uid="{00000000-0005-0000-0000-000012640000}"/>
    <cellStyle name="60% - Accent1 3 2 2 2 2 2 2 2 3" xfId="30710" xr:uid="{00000000-0005-0000-0000-000013640000}"/>
    <cellStyle name="60% - Accent1 3 2 2 2 2 2 2 3" xfId="15350" xr:uid="{00000000-0005-0000-0000-000014640000}"/>
    <cellStyle name="60% - Accent1 3 2 2 2 2 2 2 3 2" xfId="35830" xr:uid="{00000000-0005-0000-0000-000015640000}"/>
    <cellStyle name="60% - Accent1 3 2 2 2 2 2 2 4" xfId="25590" xr:uid="{00000000-0005-0000-0000-000016640000}"/>
    <cellStyle name="60% - Accent1 3 2 2 2 2 2 3" xfId="7670" xr:uid="{00000000-0005-0000-0000-000017640000}"/>
    <cellStyle name="60% - Accent1 3 2 2 2 2 2 3 2" xfId="17910" xr:uid="{00000000-0005-0000-0000-000018640000}"/>
    <cellStyle name="60% - Accent1 3 2 2 2 2 2 3 2 2" xfId="38390" xr:uid="{00000000-0005-0000-0000-000019640000}"/>
    <cellStyle name="60% - Accent1 3 2 2 2 2 2 3 3" xfId="28150" xr:uid="{00000000-0005-0000-0000-00001A640000}"/>
    <cellStyle name="60% - Accent1 3 2 2 2 2 2 4" xfId="12790" xr:uid="{00000000-0005-0000-0000-00001B640000}"/>
    <cellStyle name="60% - Accent1 3 2 2 2 2 2 4 2" xfId="33270" xr:uid="{00000000-0005-0000-0000-00001C640000}"/>
    <cellStyle name="60% - Accent1 3 2 2 2 2 2 5" xfId="23030" xr:uid="{00000000-0005-0000-0000-00001D640000}"/>
    <cellStyle name="60% - Accent1 3 2 2 2 2 3" xfId="3830" xr:uid="{00000000-0005-0000-0000-00001E640000}"/>
    <cellStyle name="60% - Accent1 3 2 2 2 2 3 2" xfId="8950" xr:uid="{00000000-0005-0000-0000-00001F640000}"/>
    <cellStyle name="60% - Accent1 3 2 2 2 2 3 2 2" xfId="19190" xr:uid="{00000000-0005-0000-0000-000020640000}"/>
    <cellStyle name="60% - Accent1 3 2 2 2 2 3 2 2 2" xfId="39670" xr:uid="{00000000-0005-0000-0000-000021640000}"/>
    <cellStyle name="60% - Accent1 3 2 2 2 2 3 2 3" xfId="29430" xr:uid="{00000000-0005-0000-0000-000022640000}"/>
    <cellStyle name="60% - Accent1 3 2 2 2 2 3 3" xfId="14070" xr:uid="{00000000-0005-0000-0000-000023640000}"/>
    <cellStyle name="60% - Accent1 3 2 2 2 2 3 3 2" xfId="34550" xr:uid="{00000000-0005-0000-0000-000024640000}"/>
    <cellStyle name="60% - Accent1 3 2 2 2 2 3 4" xfId="24310" xr:uid="{00000000-0005-0000-0000-000025640000}"/>
    <cellStyle name="60% - Accent1 3 2 2 2 2 4" xfId="6390" xr:uid="{00000000-0005-0000-0000-000026640000}"/>
    <cellStyle name="60% - Accent1 3 2 2 2 2 4 2" xfId="16630" xr:uid="{00000000-0005-0000-0000-000027640000}"/>
    <cellStyle name="60% - Accent1 3 2 2 2 2 4 2 2" xfId="37110" xr:uid="{00000000-0005-0000-0000-000028640000}"/>
    <cellStyle name="60% - Accent1 3 2 2 2 2 4 3" xfId="26870" xr:uid="{00000000-0005-0000-0000-000029640000}"/>
    <cellStyle name="60% - Accent1 3 2 2 2 2 5" xfId="11510" xr:uid="{00000000-0005-0000-0000-00002A640000}"/>
    <cellStyle name="60% - Accent1 3 2 2 2 2 5 2" xfId="31990" xr:uid="{00000000-0005-0000-0000-00002B640000}"/>
    <cellStyle name="60% - Accent1 3 2 2 2 2 6" xfId="21750" xr:uid="{00000000-0005-0000-0000-00002C640000}"/>
    <cellStyle name="60% - Accent1 3 2 2 2 3" xfId="1910" xr:uid="{00000000-0005-0000-0000-00002D640000}"/>
    <cellStyle name="60% - Accent1 3 2 2 2 3 2" xfId="4470" xr:uid="{00000000-0005-0000-0000-00002E640000}"/>
    <cellStyle name="60% - Accent1 3 2 2 2 3 2 2" xfId="9590" xr:uid="{00000000-0005-0000-0000-00002F640000}"/>
    <cellStyle name="60% - Accent1 3 2 2 2 3 2 2 2" xfId="19830" xr:uid="{00000000-0005-0000-0000-000030640000}"/>
    <cellStyle name="60% - Accent1 3 2 2 2 3 2 2 2 2" xfId="40310" xr:uid="{00000000-0005-0000-0000-000031640000}"/>
    <cellStyle name="60% - Accent1 3 2 2 2 3 2 2 3" xfId="30070" xr:uid="{00000000-0005-0000-0000-000032640000}"/>
    <cellStyle name="60% - Accent1 3 2 2 2 3 2 3" xfId="14710" xr:uid="{00000000-0005-0000-0000-000033640000}"/>
    <cellStyle name="60% - Accent1 3 2 2 2 3 2 3 2" xfId="35190" xr:uid="{00000000-0005-0000-0000-000034640000}"/>
    <cellStyle name="60% - Accent1 3 2 2 2 3 2 4" xfId="24950" xr:uid="{00000000-0005-0000-0000-000035640000}"/>
    <cellStyle name="60% - Accent1 3 2 2 2 3 3" xfId="7030" xr:uid="{00000000-0005-0000-0000-000036640000}"/>
    <cellStyle name="60% - Accent1 3 2 2 2 3 3 2" xfId="17270" xr:uid="{00000000-0005-0000-0000-000037640000}"/>
    <cellStyle name="60% - Accent1 3 2 2 2 3 3 2 2" xfId="37750" xr:uid="{00000000-0005-0000-0000-000038640000}"/>
    <cellStyle name="60% - Accent1 3 2 2 2 3 3 3" xfId="27510" xr:uid="{00000000-0005-0000-0000-000039640000}"/>
    <cellStyle name="60% - Accent1 3 2 2 2 3 4" xfId="12150" xr:uid="{00000000-0005-0000-0000-00003A640000}"/>
    <cellStyle name="60% - Accent1 3 2 2 2 3 4 2" xfId="32630" xr:uid="{00000000-0005-0000-0000-00003B640000}"/>
    <cellStyle name="60% - Accent1 3 2 2 2 3 5" xfId="22390" xr:uid="{00000000-0005-0000-0000-00003C640000}"/>
    <cellStyle name="60% - Accent1 3 2 2 2 4" xfId="3190" xr:uid="{00000000-0005-0000-0000-00003D640000}"/>
    <cellStyle name="60% - Accent1 3 2 2 2 4 2" xfId="8310" xr:uid="{00000000-0005-0000-0000-00003E640000}"/>
    <cellStyle name="60% - Accent1 3 2 2 2 4 2 2" xfId="18550" xr:uid="{00000000-0005-0000-0000-00003F640000}"/>
    <cellStyle name="60% - Accent1 3 2 2 2 4 2 2 2" xfId="39030" xr:uid="{00000000-0005-0000-0000-000040640000}"/>
    <cellStyle name="60% - Accent1 3 2 2 2 4 2 3" xfId="28790" xr:uid="{00000000-0005-0000-0000-000041640000}"/>
    <cellStyle name="60% - Accent1 3 2 2 2 4 3" xfId="13430" xr:uid="{00000000-0005-0000-0000-000042640000}"/>
    <cellStyle name="60% - Accent1 3 2 2 2 4 3 2" xfId="33910" xr:uid="{00000000-0005-0000-0000-000043640000}"/>
    <cellStyle name="60% - Accent1 3 2 2 2 4 4" xfId="23670" xr:uid="{00000000-0005-0000-0000-000044640000}"/>
    <cellStyle name="60% - Accent1 3 2 2 2 5" xfId="5750" xr:uid="{00000000-0005-0000-0000-000045640000}"/>
    <cellStyle name="60% - Accent1 3 2 2 2 5 2" xfId="15990" xr:uid="{00000000-0005-0000-0000-000046640000}"/>
    <cellStyle name="60% - Accent1 3 2 2 2 5 2 2" xfId="36470" xr:uid="{00000000-0005-0000-0000-000047640000}"/>
    <cellStyle name="60% - Accent1 3 2 2 2 5 3" xfId="26230" xr:uid="{00000000-0005-0000-0000-000048640000}"/>
    <cellStyle name="60% - Accent1 3 2 2 2 6" xfId="10870" xr:uid="{00000000-0005-0000-0000-000049640000}"/>
    <cellStyle name="60% - Accent1 3 2 2 2 6 2" xfId="31350" xr:uid="{00000000-0005-0000-0000-00004A640000}"/>
    <cellStyle name="60% - Accent1 3 2 2 2 7" xfId="21110" xr:uid="{00000000-0005-0000-0000-00004B640000}"/>
    <cellStyle name="60% - Accent1 3 2 2 3" xfId="950" xr:uid="{00000000-0005-0000-0000-00004C640000}"/>
    <cellStyle name="60% - Accent1 3 2 2 3 2" xfId="2230" xr:uid="{00000000-0005-0000-0000-00004D640000}"/>
    <cellStyle name="60% - Accent1 3 2 2 3 2 2" xfId="4790" xr:uid="{00000000-0005-0000-0000-00004E640000}"/>
    <cellStyle name="60% - Accent1 3 2 2 3 2 2 2" xfId="9910" xr:uid="{00000000-0005-0000-0000-00004F640000}"/>
    <cellStyle name="60% - Accent1 3 2 2 3 2 2 2 2" xfId="20150" xr:uid="{00000000-0005-0000-0000-000050640000}"/>
    <cellStyle name="60% - Accent1 3 2 2 3 2 2 2 2 2" xfId="40630" xr:uid="{00000000-0005-0000-0000-000051640000}"/>
    <cellStyle name="60% - Accent1 3 2 2 3 2 2 2 3" xfId="30390" xr:uid="{00000000-0005-0000-0000-000052640000}"/>
    <cellStyle name="60% - Accent1 3 2 2 3 2 2 3" xfId="15030" xr:uid="{00000000-0005-0000-0000-000053640000}"/>
    <cellStyle name="60% - Accent1 3 2 2 3 2 2 3 2" xfId="35510" xr:uid="{00000000-0005-0000-0000-000054640000}"/>
    <cellStyle name="60% - Accent1 3 2 2 3 2 2 4" xfId="25270" xr:uid="{00000000-0005-0000-0000-000055640000}"/>
    <cellStyle name="60% - Accent1 3 2 2 3 2 3" xfId="7350" xr:uid="{00000000-0005-0000-0000-000056640000}"/>
    <cellStyle name="60% - Accent1 3 2 2 3 2 3 2" xfId="17590" xr:uid="{00000000-0005-0000-0000-000057640000}"/>
    <cellStyle name="60% - Accent1 3 2 2 3 2 3 2 2" xfId="38070" xr:uid="{00000000-0005-0000-0000-000058640000}"/>
    <cellStyle name="60% - Accent1 3 2 2 3 2 3 3" xfId="27830" xr:uid="{00000000-0005-0000-0000-000059640000}"/>
    <cellStyle name="60% - Accent1 3 2 2 3 2 4" xfId="12470" xr:uid="{00000000-0005-0000-0000-00005A640000}"/>
    <cellStyle name="60% - Accent1 3 2 2 3 2 4 2" xfId="32950" xr:uid="{00000000-0005-0000-0000-00005B640000}"/>
    <cellStyle name="60% - Accent1 3 2 2 3 2 5" xfId="22710" xr:uid="{00000000-0005-0000-0000-00005C640000}"/>
    <cellStyle name="60% - Accent1 3 2 2 3 3" xfId="3510" xr:uid="{00000000-0005-0000-0000-00005D640000}"/>
    <cellStyle name="60% - Accent1 3 2 2 3 3 2" xfId="8630" xr:uid="{00000000-0005-0000-0000-00005E640000}"/>
    <cellStyle name="60% - Accent1 3 2 2 3 3 2 2" xfId="18870" xr:uid="{00000000-0005-0000-0000-00005F640000}"/>
    <cellStyle name="60% - Accent1 3 2 2 3 3 2 2 2" xfId="39350" xr:uid="{00000000-0005-0000-0000-000060640000}"/>
    <cellStyle name="60% - Accent1 3 2 2 3 3 2 3" xfId="29110" xr:uid="{00000000-0005-0000-0000-000061640000}"/>
    <cellStyle name="60% - Accent1 3 2 2 3 3 3" xfId="13750" xr:uid="{00000000-0005-0000-0000-000062640000}"/>
    <cellStyle name="60% - Accent1 3 2 2 3 3 3 2" xfId="34230" xr:uid="{00000000-0005-0000-0000-000063640000}"/>
    <cellStyle name="60% - Accent1 3 2 2 3 3 4" xfId="23990" xr:uid="{00000000-0005-0000-0000-000064640000}"/>
    <cellStyle name="60% - Accent1 3 2 2 3 4" xfId="6070" xr:uid="{00000000-0005-0000-0000-000065640000}"/>
    <cellStyle name="60% - Accent1 3 2 2 3 4 2" xfId="16310" xr:uid="{00000000-0005-0000-0000-000066640000}"/>
    <cellStyle name="60% - Accent1 3 2 2 3 4 2 2" xfId="36790" xr:uid="{00000000-0005-0000-0000-000067640000}"/>
    <cellStyle name="60% - Accent1 3 2 2 3 4 3" xfId="26550" xr:uid="{00000000-0005-0000-0000-000068640000}"/>
    <cellStyle name="60% - Accent1 3 2 2 3 5" xfId="11190" xr:uid="{00000000-0005-0000-0000-000069640000}"/>
    <cellStyle name="60% - Accent1 3 2 2 3 5 2" xfId="31670" xr:uid="{00000000-0005-0000-0000-00006A640000}"/>
    <cellStyle name="60% - Accent1 3 2 2 3 6" xfId="21430" xr:uid="{00000000-0005-0000-0000-00006B640000}"/>
    <cellStyle name="60% - Accent1 3 2 2 4" xfId="1590" xr:uid="{00000000-0005-0000-0000-00006C640000}"/>
    <cellStyle name="60% - Accent1 3 2 2 4 2" xfId="4150" xr:uid="{00000000-0005-0000-0000-00006D640000}"/>
    <cellStyle name="60% - Accent1 3 2 2 4 2 2" xfId="9270" xr:uid="{00000000-0005-0000-0000-00006E640000}"/>
    <cellStyle name="60% - Accent1 3 2 2 4 2 2 2" xfId="19510" xr:uid="{00000000-0005-0000-0000-00006F640000}"/>
    <cellStyle name="60% - Accent1 3 2 2 4 2 2 2 2" xfId="39990" xr:uid="{00000000-0005-0000-0000-000070640000}"/>
    <cellStyle name="60% - Accent1 3 2 2 4 2 2 3" xfId="29750" xr:uid="{00000000-0005-0000-0000-000071640000}"/>
    <cellStyle name="60% - Accent1 3 2 2 4 2 3" xfId="14390" xr:uid="{00000000-0005-0000-0000-000072640000}"/>
    <cellStyle name="60% - Accent1 3 2 2 4 2 3 2" xfId="34870" xr:uid="{00000000-0005-0000-0000-000073640000}"/>
    <cellStyle name="60% - Accent1 3 2 2 4 2 4" xfId="24630" xr:uid="{00000000-0005-0000-0000-000074640000}"/>
    <cellStyle name="60% - Accent1 3 2 2 4 3" xfId="6710" xr:uid="{00000000-0005-0000-0000-000075640000}"/>
    <cellStyle name="60% - Accent1 3 2 2 4 3 2" xfId="16950" xr:uid="{00000000-0005-0000-0000-000076640000}"/>
    <cellStyle name="60% - Accent1 3 2 2 4 3 2 2" xfId="37430" xr:uid="{00000000-0005-0000-0000-000077640000}"/>
    <cellStyle name="60% - Accent1 3 2 2 4 3 3" xfId="27190" xr:uid="{00000000-0005-0000-0000-000078640000}"/>
    <cellStyle name="60% - Accent1 3 2 2 4 4" xfId="11830" xr:uid="{00000000-0005-0000-0000-000079640000}"/>
    <cellStyle name="60% - Accent1 3 2 2 4 4 2" xfId="32310" xr:uid="{00000000-0005-0000-0000-00007A640000}"/>
    <cellStyle name="60% - Accent1 3 2 2 4 5" xfId="22070" xr:uid="{00000000-0005-0000-0000-00007B640000}"/>
    <cellStyle name="60% - Accent1 3 2 2 5" xfId="2870" xr:uid="{00000000-0005-0000-0000-00007C640000}"/>
    <cellStyle name="60% - Accent1 3 2 2 5 2" xfId="7990" xr:uid="{00000000-0005-0000-0000-00007D640000}"/>
    <cellStyle name="60% - Accent1 3 2 2 5 2 2" xfId="18230" xr:uid="{00000000-0005-0000-0000-00007E640000}"/>
    <cellStyle name="60% - Accent1 3 2 2 5 2 2 2" xfId="38710" xr:uid="{00000000-0005-0000-0000-00007F640000}"/>
    <cellStyle name="60% - Accent1 3 2 2 5 2 3" xfId="28470" xr:uid="{00000000-0005-0000-0000-000080640000}"/>
    <cellStyle name="60% - Accent1 3 2 2 5 3" xfId="13110" xr:uid="{00000000-0005-0000-0000-000081640000}"/>
    <cellStyle name="60% - Accent1 3 2 2 5 3 2" xfId="33590" xr:uid="{00000000-0005-0000-0000-000082640000}"/>
    <cellStyle name="60% - Accent1 3 2 2 5 4" xfId="23350" xr:uid="{00000000-0005-0000-0000-000083640000}"/>
    <cellStyle name="60% - Accent1 3 2 2 6" xfId="5430" xr:uid="{00000000-0005-0000-0000-000084640000}"/>
    <cellStyle name="60% - Accent1 3 2 2 6 2" xfId="15670" xr:uid="{00000000-0005-0000-0000-000085640000}"/>
    <cellStyle name="60% - Accent1 3 2 2 6 2 2" xfId="36150" xr:uid="{00000000-0005-0000-0000-000086640000}"/>
    <cellStyle name="60% - Accent1 3 2 2 6 3" xfId="25910" xr:uid="{00000000-0005-0000-0000-000087640000}"/>
    <cellStyle name="60% - Accent1 3 2 2 7" xfId="10550" xr:uid="{00000000-0005-0000-0000-000088640000}"/>
    <cellStyle name="60% - Accent1 3 2 2 7 2" xfId="31030" xr:uid="{00000000-0005-0000-0000-000089640000}"/>
    <cellStyle name="60% - Accent1 3 2 2 8" xfId="20790" xr:uid="{00000000-0005-0000-0000-00008A640000}"/>
    <cellStyle name="60% - Accent1 3 2 3" xfId="470" xr:uid="{00000000-0005-0000-0000-00008B640000}"/>
    <cellStyle name="60% - Accent1 3 2 3 2" xfId="1110" xr:uid="{00000000-0005-0000-0000-00008C640000}"/>
    <cellStyle name="60% - Accent1 3 2 3 2 2" xfId="2390" xr:uid="{00000000-0005-0000-0000-00008D640000}"/>
    <cellStyle name="60% - Accent1 3 2 3 2 2 2" xfId="4950" xr:uid="{00000000-0005-0000-0000-00008E640000}"/>
    <cellStyle name="60% - Accent1 3 2 3 2 2 2 2" xfId="10070" xr:uid="{00000000-0005-0000-0000-00008F640000}"/>
    <cellStyle name="60% - Accent1 3 2 3 2 2 2 2 2" xfId="20310" xr:uid="{00000000-0005-0000-0000-000090640000}"/>
    <cellStyle name="60% - Accent1 3 2 3 2 2 2 2 2 2" xfId="40790" xr:uid="{00000000-0005-0000-0000-000091640000}"/>
    <cellStyle name="60% - Accent1 3 2 3 2 2 2 2 3" xfId="30550" xr:uid="{00000000-0005-0000-0000-000092640000}"/>
    <cellStyle name="60% - Accent1 3 2 3 2 2 2 3" xfId="15190" xr:uid="{00000000-0005-0000-0000-000093640000}"/>
    <cellStyle name="60% - Accent1 3 2 3 2 2 2 3 2" xfId="35670" xr:uid="{00000000-0005-0000-0000-000094640000}"/>
    <cellStyle name="60% - Accent1 3 2 3 2 2 2 4" xfId="25430" xr:uid="{00000000-0005-0000-0000-000095640000}"/>
    <cellStyle name="60% - Accent1 3 2 3 2 2 3" xfId="7510" xr:uid="{00000000-0005-0000-0000-000096640000}"/>
    <cellStyle name="60% - Accent1 3 2 3 2 2 3 2" xfId="17750" xr:uid="{00000000-0005-0000-0000-000097640000}"/>
    <cellStyle name="60% - Accent1 3 2 3 2 2 3 2 2" xfId="38230" xr:uid="{00000000-0005-0000-0000-000098640000}"/>
    <cellStyle name="60% - Accent1 3 2 3 2 2 3 3" xfId="27990" xr:uid="{00000000-0005-0000-0000-000099640000}"/>
    <cellStyle name="60% - Accent1 3 2 3 2 2 4" xfId="12630" xr:uid="{00000000-0005-0000-0000-00009A640000}"/>
    <cellStyle name="60% - Accent1 3 2 3 2 2 4 2" xfId="33110" xr:uid="{00000000-0005-0000-0000-00009B640000}"/>
    <cellStyle name="60% - Accent1 3 2 3 2 2 5" xfId="22870" xr:uid="{00000000-0005-0000-0000-00009C640000}"/>
    <cellStyle name="60% - Accent1 3 2 3 2 3" xfId="3670" xr:uid="{00000000-0005-0000-0000-00009D640000}"/>
    <cellStyle name="60% - Accent1 3 2 3 2 3 2" xfId="8790" xr:uid="{00000000-0005-0000-0000-00009E640000}"/>
    <cellStyle name="60% - Accent1 3 2 3 2 3 2 2" xfId="19030" xr:uid="{00000000-0005-0000-0000-00009F640000}"/>
    <cellStyle name="60% - Accent1 3 2 3 2 3 2 2 2" xfId="39510" xr:uid="{00000000-0005-0000-0000-0000A0640000}"/>
    <cellStyle name="60% - Accent1 3 2 3 2 3 2 3" xfId="29270" xr:uid="{00000000-0005-0000-0000-0000A1640000}"/>
    <cellStyle name="60% - Accent1 3 2 3 2 3 3" xfId="13910" xr:uid="{00000000-0005-0000-0000-0000A2640000}"/>
    <cellStyle name="60% - Accent1 3 2 3 2 3 3 2" xfId="34390" xr:uid="{00000000-0005-0000-0000-0000A3640000}"/>
    <cellStyle name="60% - Accent1 3 2 3 2 3 4" xfId="24150" xr:uid="{00000000-0005-0000-0000-0000A4640000}"/>
    <cellStyle name="60% - Accent1 3 2 3 2 4" xfId="6230" xr:uid="{00000000-0005-0000-0000-0000A5640000}"/>
    <cellStyle name="60% - Accent1 3 2 3 2 4 2" xfId="16470" xr:uid="{00000000-0005-0000-0000-0000A6640000}"/>
    <cellStyle name="60% - Accent1 3 2 3 2 4 2 2" xfId="36950" xr:uid="{00000000-0005-0000-0000-0000A7640000}"/>
    <cellStyle name="60% - Accent1 3 2 3 2 4 3" xfId="26710" xr:uid="{00000000-0005-0000-0000-0000A8640000}"/>
    <cellStyle name="60% - Accent1 3 2 3 2 5" xfId="11350" xr:uid="{00000000-0005-0000-0000-0000A9640000}"/>
    <cellStyle name="60% - Accent1 3 2 3 2 5 2" xfId="31830" xr:uid="{00000000-0005-0000-0000-0000AA640000}"/>
    <cellStyle name="60% - Accent1 3 2 3 2 6" xfId="21590" xr:uid="{00000000-0005-0000-0000-0000AB640000}"/>
    <cellStyle name="60% - Accent1 3 2 3 3" xfId="1750" xr:uid="{00000000-0005-0000-0000-0000AC640000}"/>
    <cellStyle name="60% - Accent1 3 2 3 3 2" xfId="4310" xr:uid="{00000000-0005-0000-0000-0000AD640000}"/>
    <cellStyle name="60% - Accent1 3 2 3 3 2 2" xfId="9430" xr:uid="{00000000-0005-0000-0000-0000AE640000}"/>
    <cellStyle name="60% - Accent1 3 2 3 3 2 2 2" xfId="19670" xr:uid="{00000000-0005-0000-0000-0000AF640000}"/>
    <cellStyle name="60% - Accent1 3 2 3 3 2 2 2 2" xfId="40150" xr:uid="{00000000-0005-0000-0000-0000B0640000}"/>
    <cellStyle name="60% - Accent1 3 2 3 3 2 2 3" xfId="29910" xr:uid="{00000000-0005-0000-0000-0000B1640000}"/>
    <cellStyle name="60% - Accent1 3 2 3 3 2 3" xfId="14550" xr:uid="{00000000-0005-0000-0000-0000B2640000}"/>
    <cellStyle name="60% - Accent1 3 2 3 3 2 3 2" xfId="35030" xr:uid="{00000000-0005-0000-0000-0000B3640000}"/>
    <cellStyle name="60% - Accent1 3 2 3 3 2 4" xfId="24790" xr:uid="{00000000-0005-0000-0000-0000B4640000}"/>
    <cellStyle name="60% - Accent1 3 2 3 3 3" xfId="6870" xr:uid="{00000000-0005-0000-0000-0000B5640000}"/>
    <cellStyle name="60% - Accent1 3 2 3 3 3 2" xfId="17110" xr:uid="{00000000-0005-0000-0000-0000B6640000}"/>
    <cellStyle name="60% - Accent1 3 2 3 3 3 2 2" xfId="37590" xr:uid="{00000000-0005-0000-0000-0000B7640000}"/>
    <cellStyle name="60% - Accent1 3 2 3 3 3 3" xfId="27350" xr:uid="{00000000-0005-0000-0000-0000B8640000}"/>
    <cellStyle name="60% - Accent1 3 2 3 3 4" xfId="11990" xr:uid="{00000000-0005-0000-0000-0000B9640000}"/>
    <cellStyle name="60% - Accent1 3 2 3 3 4 2" xfId="32470" xr:uid="{00000000-0005-0000-0000-0000BA640000}"/>
    <cellStyle name="60% - Accent1 3 2 3 3 5" xfId="22230" xr:uid="{00000000-0005-0000-0000-0000BB640000}"/>
    <cellStyle name="60% - Accent1 3 2 3 4" xfId="3030" xr:uid="{00000000-0005-0000-0000-0000BC640000}"/>
    <cellStyle name="60% - Accent1 3 2 3 4 2" xfId="8150" xr:uid="{00000000-0005-0000-0000-0000BD640000}"/>
    <cellStyle name="60% - Accent1 3 2 3 4 2 2" xfId="18390" xr:uid="{00000000-0005-0000-0000-0000BE640000}"/>
    <cellStyle name="60% - Accent1 3 2 3 4 2 2 2" xfId="38870" xr:uid="{00000000-0005-0000-0000-0000BF640000}"/>
    <cellStyle name="60% - Accent1 3 2 3 4 2 3" xfId="28630" xr:uid="{00000000-0005-0000-0000-0000C0640000}"/>
    <cellStyle name="60% - Accent1 3 2 3 4 3" xfId="13270" xr:uid="{00000000-0005-0000-0000-0000C1640000}"/>
    <cellStyle name="60% - Accent1 3 2 3 4 3 2" xfId="33750" xr:uid="{00000000-0005-0000-0000-0000C2640000}"/>
    <cellStyle name="60% - Accent1 3 2 3 4 4" xfId="23510" xr:uid="{00000000-0005-0000-0000-0000C3640000}"/>
    <cellStyle name="60% - Accent1 3 2 3 5" xfId="5590" xr:uid="{00000000-0005-0000-0000-0000C4640000}"/>
    <cellStyle name="60% - Accent1 3 2 3 5 2" xfId="15830" xr:uid="{00000000-0005-0000-0000-0000C5640000}"/>
    <cellStyle name="60% - Accent1 3 2 3 5 2 2" xfId="36310" xr:uid="{00000000-0005-0000-0000-0000C6640000}"/>
    <cellStyle name="60% - Accent1 3 2 3 5 3" xfId="26070" xr:uid="{00000000-0005-0000-0000-0000C7640000}"/>
    <cellStyle name="60% - Accent1 3 2 3 6" xfId="10710" xr:uid="{00000000-0005-0000-0000-0000C8640000}"/>
    <cellStyle name="60% - Accent1 3 2 3 6 2" xfId="31190" xr:uid="{00000000-0005-0000-0000-0000C9640000}"/>
    <cellStyle name="60% - Accent1 3 2 3 7" xfId="20950" xr:uid="{00000000-0005-0000-0000-0000CA640000}"/>
    <cellStyle name="60% - Accent1 3 2 4" xfId="790" xr:uid="{00000000-0005-0000-0000-0000CB640000}"/>
    <cellStyle name="60% - Accent1 3 2 4 2" xfId="2070" xr:uid="{00000000-0005-0000-0000-0000CC640000}"/>
    <cellStyle name="60% - Accent1 3 2 4 2 2" xfId="4630" xr:uid="{00000000-0005-0000-0000-0000CD640000}"/>
    <cellStyle name="60% - Accent1 3 2 4 2 2 2" xfId="9750" xr:uid="{00000000-0005-0000-0000-0000CE640000}"/>
    <cellStyle name="60% - Accent1 3 2 4 2 2 2 2" xfId="19990" xr:uid="{00000000-0005-0000-0000-0000CF640000}"/>
    <cellStyle name="60% - Accent1 3 2 4 2 2 2 2 2" xfId="40470" xr:uid="{00000000-0005-0000-0000-0000D0640000}"/>
    <cellStyle name="60% - Accent1 3 2 4 2 2 2 3" xfId="30230" xr:uid="{00000000-0005-0000-0000-0000D1640000}"/>
    <cellStyle name="60% - Accent1 3 2 4 2 2 3" xfId="14870" xr:uid="{00000000-0005-0000-0000-0000D2640000}"/>
    <cellStyle name="60% - Accent1 3 2 4 2 2 3 2" xfId="35350" xr:uid="{00000000-0005-0000-0000-0000D3640000}"/>
    <cellStyle name="60% - Accent1 3 2 4 2 2 4" xfId="25110" xr:uid="{00000000-0005-0000-0000-0000D4640000}"/>
    <cellStyle name="60% - Accent1 3 2 4 2 3" xfId="7190" xr:uid="{00000000-0005-0000-0000-0000D5640000}"/>
    <cellStyle name="60% - Accent1 3 2 4 2 3 2" xfId="17430" xr:uid="{00000000-0005-0000-0000-0000D6640000}"/>
    <cellStyle name="60% - Accent1 3 2 4 2 3 2 2" xfId="37910" xr:uid="{00000000-0005-0000-0000-0000D7640000}"/>
    <cellStyle name="60% - Accent1 3 2 4 2 3 3" xfId="27670" xr:uid="{00000000-0005-0000-0000-0000D8640000}"/>
    <cellStyle name="60% - Accent1 3 2 4 2 4" xfId="12310" xr:uid="{00000000-0005-0000-0000-0000D9640000}"/>
    <cellStyle name="60% - Accent1 3 2 4 2 4 2" xfId="32790" xr:uid="{00000000-0005-0000-0000-0000DA640000}"/>
    <cellStyle name="60% - Accent1 3 2 4 2 5" xfId="22550" xr:uid="{00000000-0005-0000-0000-0000DB640000}"/>
    <cellStyle name="60% - Accent1 3 2 4 3" xfId="3350" xr:uid="{00000000-0005-0000-0000-0000DC640000}"/>
    <cellStyle name="60% - Accent1 3 2 4 3 2" xfId="8470" xr:uid="{00000000-0005-0000-0000-0000DD640000}"/>
    <cellStyle name="60% - Accent1 3 2 4 3 2 2" xfId="18710" xr:uid="{00000000-0005-0000-0000-0000DE640000}"/>
    <cellStyle name="60% - Accent1 3 2 4 3 2 2 2" xfId="39190" xr:uid="{00000000-0005-0000-0000-0000DF640000}"/>
    <cellStyle name="60% - Accent1 3 2 4 3 2 3" xfId="28950" xr:uid="{00000000-0005-0000-0000-0000E0640000}"/>
    <cellStyle name="60% - Accent1 3 2 4 3 3" xfId="13590" xr:uid="{00000000-0005-0000-0000-0000E1640000}"/>
    <cellStyle name="60% - Accent1 3 2 4 3 3 2" xfId="34070" xr:uid="{00000000-0005-0000-0000-0000E2640000}"/>
    <cellStyle name="60% - Accent1 3 2 4 3 4" xfId="23830" xr:uid="{00000000-0005-0000-0000-0000E3640000}"/>
    <cellStyle name="60% - Accent1 3 2 4 4" xfId="5910" xr:uid="{00000000-0005-0000-0000-0000E4640000}"/>
    <cellStyle name="60% - Accent1 3 2 4 4 2" xfId="16150" xr:uid="{00000000-0005-0000-0000-0000E5640000}"/>
    <cellStyle name="60% - Accent1 3 2 4 4 2 2" xfId="36630" xr:uid="{00000000-0005-0000-0000-0000E6640000}"/>
    <cellStyle name="60% - Accent1 3 2 4 4 3" xfId="26390" xr:uid="{00000000-0005-0000-0000-0000E7640000}"/>
    <cellStyle name="60% - Accent1 3 2 4 5" xfId="11030" xr:uid="{00000000-0005-0000-0000-0000E8640000}"/>
    <cellStyle name="60% - Accent1 3 2 4 5 2" xfId="31510" xr:uid="{00000000-0005-0000-0000-0000E9640000}"/>
    <cellStyle name="60% - Accent1 3 2 4 6" xfId="21270" xr:uid="{00000000-0005-0000-0000-0000EA640000}"/>
    <cellStyle name="60% - Accent1 3 2 5" xfId="1430" xr:uid="{00000000-0005-0000-0000-0000EB640000}"/>
    <cellStyle name="60% - Accent1 3 2 5 2" xfId="3990" xr:uid="{00000000-0005-0000-0000-0000EC640000}"/>
    <cellStyle name="60% - Accent1 3 2 5 2 2" xfId="9110" xr:uid="{00000000-0005-0000-0000-0000ED640000}"/>
    <cellStyle name="60% - Accent1 3 2 5 2 2 2" xfId="19350" xr:uid="{00000000-0005-0000-0000-0000EE640000}"/>
    <cellStyle name="60% - Accent1 3 2 5 2 2 2 2" xfId="39830" xr:uid="{00000000-0005-0000-0000-0000EF640000}"/>
    <cellStyle name="60% - Accent1 3 2 5 2 2 3" xfId="29590" xr:uid="{00000000-0005-0000-0000-0000F0640000}"/>
    <cellStyle name="60% - Accent1 3 2 5 2 3" xfId="14230" xr:uid="{00000000-0005-0000-0000-0000F1640000}"/>
    <cellStyle name="60% - Accent1 3 2 5 2 3 2" xfId="34710" xr:uid="{00000000-0005-0000-0000-0000F2640000}"/>
    <cellStyle name="60% - Accent1 3 2 5 2 4" xfId="24470" xr:uid="{00000000-0005-0000-0000-0000F3640000}"/>
    <cellStyle name="60% - Accent1 3 2 5 3" xfId="6550" xr:uid="{00000000-0005-0000-0000-0000F4640000}"/>
    <cellStyle name="60% - Accent1 3 2 5 3 2" xfId="16790" xr:uid="{00000000-0005-0000-0000-0000F5640000}"/>
    <cellStyle name="60% - Accent1 3 2 5 3 2 2" xfId="37270" xr:uid="{00000000-0005-0000-0000-0000F6640000}"/>
    <cellStyle name="60% - Accent1 3 2 5 3 3" xfId="27030" xr:uid="{00000000-0005-0000-0000-0000F7640000}"/>
    <cellStyle name="60% - Accent1 3 2 5 4" xfId="11670" xr:uid="{00000000-0005-0000-0000-0000F8640000}"/>
    <cellStyle name="60% - Accent1 3 2 5 4 2" xfId="32150" xr:uid="{00000000-0005-0000-0000-0000F9640000}"/>
    <cellStyle name="60% - Accent1 3 2 5 5" xfId="21910" xr:uid="{00000000-0005-0000-0000-0000FA640000}"/>
    <cellStyle name="60% - Accent1 3 2 6" xfId="2710" xr:uid="{00000000-0005-0000-0000-0000FB640000}"/>
    <cellStyle name="60% - Accent1 3 2 6 2" xfId="7830" xr:uid="{00000000-0005-0000-0000-0000FC640000}"/>
    <cellStyle name="60% - Accent1 3 2 6 2 2" xfId="18070" xr:uid="{00000000-0005-0000-0000-0000FD640000}"/>
    <cellStyle name="60% - Accent1 3 2 6 2 2 2" xfId="38550" xr:uid="{00000000-0005-0000-0000-0000FE640000}"/>
    <cellStyle name="60% - Accent1 3 2 6 2 3" xfId="28310" xr:uid="{00000000-0005-0000-0000-0000FF640000}"/>
    <cellStyle name="60% - Accent1 3 2 6 3" xfId="12950" xr:uid="{00000000-0005-0000-0000-000000650000}"/>
    <cellStyle name="60% - Accent1 3 2 6 3 2" xfId="33430" xr:uid="{00000000-0005-0000-0000-000001650000}"/>
    <cellStyle name="60% - Accent1 3 2 6 4" xfId="23190" xr:uid="{00000000-0005-0000-0000-000002650000}"/>
    <cellStyle name="60% - Accent1 3 2 7" xfId="5270" xr:uid="{00000000-0005-0000-0000-000003650000}"/>
    <cellStyle name="60% - Accent1 3 2 7 2" xfId="15510" xr:uid="{00000000-0005-0000-0000-000004650000}"/>
    <cellStyle name="60% - Accent1 3 2 7 2 2" xfId="35990" xr:uid="{00000000-0005-0000-0000-000005650000}"/>
    <cellStyle name="60% - Accent1 3 2 7 3" xfId="25750" xr:uid="{00000000-0005-0000-0000-000006650000}"/>
    <cellStyle name="60% - Accent1 3 2 8" xfId="10390" xr:uid="{00000000-0005-0000-0000-000007650000}"/>
    <cellStyle name="60% - Accent1 3 2 8 2" xfId="30870" xr:uid="{00000000-0005-0000-0000-000008650000}"/>
    <cellStyle name="60% - Accent1 3 2 9" xfId="20630" xr:uid="{00000000-0005-0000-0000-000009650000}"/>
    <cellStyle name="60% - Accent1 3 3" xfId="230" xr:uid="{00000000-0005-0000-0000-00000A650000}"/>
    <cellStyle name="60% - Accent1 3 3 2" xfId="550" xr:uid="{00000000-0005-0000-0000-00000B650000}"/>
    <cellStyle name="60% - Accent1 3 3 2 2" xfId="1190" xr:uid="{00000000-0005-0000-0000-00000C650000}"/>
    <cellStyle name="60% - Accent1 3 3 2 2 2" xfId="2470" xr:uid="{00000000-0005-0000-0000-00000D650000}"/>
    <cellStyle name="60% - Accent1 3 3 2 2 2 2" xfId="5030" xr:uid="{00000000-0005-0000-0000-00000E650000}"/>
    <cellStyle name="60% - Accent1 3 3 2 2 2 2 2" xfId="10150" xr:uid="{00000000-0005-0000-0000-00000F650000}"/>
    <cellStyle name="60% - Accent1 3 3 2 2 2 2 2 2" xfId="20390" xr:uid="{00000000-0005-0000-0000-000010650000}"/>
    <cellStyle name="60% - Accent1 3 3 2 2 2 2 2 2 2" xfId="40870" xr:uid="{00000000-0005-0000-0000-000011650000}"/>
    <cellStyle name="60% - Accent1 3 3 2 2 2 2 2 3" xfId="30630" xr:uid="{00000000-0005-0000-0000-000012650000}"/>
    <cellStyle name="60% - Accent1 3 3 2 2 2 2 3" xfId="15270" xr:uid="{00000000-0005-0000-0000-000013650000}"/>
    <cellStyle name="60% - Accent1 3 3 2 2 2 2 3 2" xfId="35750" xr:uid="{00000000-0005-0000-0000-000014650000}"/>
    <cellStyle name="60% - Accent1 3 3 2 2 2 2 4" xfId="25510" xr:uid="{00000000-0005-0000-0000-000015650000}"/>
    <cellStyle name="60% - Accent1 3 3 2 2 2 3" xfId="7590" xr:uid="{00000000-0005-0000-0000-000016650000}"/>
    <cellStyle name="60% - Accent1 3 3 2 2 2 3 2" xfId="17830" xr:uid="{00000000-0005-0000-0000-000017650000}"/>
    <cellStyle name="60% - Accent1 3 3 2 2 2 3 2 2" xfId="38310" xr:uid="{00000000-0005-0000-0000-000018650000}"/>
    <cellStyle name="60% - Accent1 3 3 2 2 2 3 3" xfId="28070" xr:uid="{00000000-0005-0000-0000-000019650000}"/>
    <cellStyle name="60% - Accent1 3 3 2 2 2 4" xfId="12710" xr:uid="{00000000-0005-0000-0000-00001A650000}"/>
    <cellStyle name="60% - Accent1 3 3 2 2 2 4 2" xfId="33190" xr:uid="{00000000-0005-0000-0000-00001B650000}"/>
    <cellStyle name="60% - Accent1 3 3 2 2 2 5" xfId="22950" xr:uid="{00000000-0005-0000-0000-00001C650000}"/>
    <cellStyle name="60% - Accent1 3 3 2 2 3" xfId="3750" xr:uid="{00000000-0005-0000-0000-00001D650000}"/>
    <cellStyle name="60% - Accent1 3 3 2 2 3 2" xfId="8870" xr:uid="{00000000-0005-0000-0000-00001E650000}"/>
    <cellStyle name="60% - Accent1 3 3 2 2 3 2 2" xfId="19110" xr:uid="{00000000-0005-0000-0000-00001F650000}"/>
    <cellStyle name="60% - Accent1 3 3 2 2 3 2 2 2" xfId="39590" xr:uid="{00000000-0005-0000-0000-000020650000}"/>
    <cellStyle name="60% - Accent1 3 3 2 2 3 2 3" xfId="29350" xr:uid="{00000000-0005-0000-0000-000021650000}"/>
    <cellStyle name="60% - Accent1 3 3 2 2 3 3" xfId="13990" xr:uid="{00000000-0005-0000-0000-000022650000}"/>
    <cellStyle name="60% - Accent1 3 3 2 2 3 3 2" xfId="34470" xr:uid="{00000000-0005-0000-0000-000023650000}"/>
    <cellStyle name="60% - Accent1 3 3 2 2 3 4" xfId="24230" xr:uid="{00000000-0005-0000-0000-000024650000}"/>
    <cellStyle name="60% - Accent1 3 3 2 2 4" xfId="6310" xr:uid="{00000000-0005-0000-0000-000025650000}"/>
    <cellStyle name="60% - Accent1 3 3 2 2 4 2" xfId="16550" xr:uid="{00000000-0005-0000-0000-000026650000}"/>
    <cellStyle name="60% - Accent1 3 3 2 2 4 2 2" xfId="37030" xr:uid="{00000000-0005-0000-0000-000027650000}"/>
    <cellStyle name="60% - Accent1 3 3 2 2 4 3" xfId="26790" xr:uid="{00000000-0005-0000-0000-000028650000}"/>
    <cellStyle name="60% - Accent1 3 3 2 2 5" xfId="11430" xr:uid="{00000000-0005-0000-0000-000029650000}"/>
    <cellStyle name="60% - Accent1 3 3 2 2 5 2" xfId="31910" xr:uid="{00000000-0005-0000-0000-00002A650000}"/>
    <cellStyle name="60% - Accent1 3 3 2 2 6" xfId="21670" xr:uid="{00000000-0005-0000-0000-00002B650000}"/>
    <cellStyle name="60% - Accent1 3 3 2 3" xfId="1830" xr:uid="{00000000-0005-0000-0000-00002C650000}"/>
    <cellStyle name="60% - Accent1 3 3 2 3 2" xfId="4390" xr:uid="{00000000-0005-0000-0000-00002D650000}"/>
    <cellStyle name="60% - Accent1 3 3 2 3 2 2" xfId="9510" xr:uid="{00000000-0005-0000-0000-00002E650000}"/>
    <cellStyle name="60% - Accent1 3 3 2 3 2 2 2" xfId="19750" xr:uid="{00000000-0005-0000-0000-00002F650000}"/>
    <cellStyle name="60% - Accent1 3 3 2 3 2 2 2 2" xfId="40230" xr:uid="{00000000-0005-0000-0000-000030650000}"/>
    <cellStyle name="60% - Accent1 3 3 2 3 2 2 3" xfId="29990" xr:uid="{00000000-0005-0000-0000-000031650000}"/>
    <cellStyle name="60% - Accent1 3 3 2 3 2 3" xfId="14630" xr:uid="{00000000-0005-0000-0000-000032650000}"/>
    <cellStyle name="60% - Accent1 3 3 2 3 2 3 2" xfId="35110" xr:uid="{00000000-0005-0000-0000-000033650000}"/>
    <cellStyle name="60% - Accent1 3 3 2 3 2 4" xfId="24870" xr:uid="{00000000-0005-0000-0000-000034650000}"/>
    <cellStyle name="60% - Accent1 3 3 2 3 3" xfId="6950" xr:uid="{00000000-0005-0000-0000-000035650000}"/>
    <cellStyle name="60% - Accent1 3 3 2 3 3 2" xfId="17190" xr:uid="{00000000-0005-0000-0000-000036650000}"/>
    <cellStyle name="60% - Accent1 3 3 2 3 3 2 2" xfId="37670" xr:uid="{00000000-0005-0000-0000-000037650000}"/>
    <cellStyle name="60% - Accent1 3 3 2 3 3 3" xfId="27430" xr:uid="{00000000-0005-0000-0000-000038650000}"/>
    <cellStyle name="60% - Accent1 3 3 2 3 4" xfId="12070" xr:uid="{00000000-0005-0000-0000-000039650000}"/>
    <cellStyle name="60% - Accent1 3 3 2 3 4 2" xfId="32550" xr:uid="{00000000-0005-0000-0000-00003A650000}"/>
    <cellStyle name="60% - Accent1 3 3 2 3 5" xfId="22310" xr:uid="{00000000-0005-0000-0000-00003B650000}"/>
    <cellStyle name="60% - Accent1 3 3 2 4" xfId="3110" xr:uid="{00000000-0005-0000-0000-00003C650000}"/>
    <cellStyle name="60% - Accent1 3 3 2 4 2" xfId="8230" xr:uid="{00000000-0005-0000-0000-00003D650000}"/>
    <cellStyle name="60% - Accent1 3 3 2 4 2 2" xfId="18470" xr:uid="{00000000-0005-0000-0000-00003E650000}"/>
    <cellStyle name="60% - Accent1 3 3 2 4 2 2 2" xfId="38950" xr:uid="{00000000-0005-0000-0000-00003F650000}"/>
    <cellStyle name="60% - Accent1 3 3 2 4 2 3" xfId="28710" xr:uid="{00000000-0005-0000-0000-000040650000}"/>
    <cellStyle name="60% - Accent1 3 3 2 4 3" xfId="13350" xr:uid="{00000000-0005-0000-0000-000041650000}"/>
    <cellStyle name="60% - Accent1 3 3 2 4 3 2" xfId="33830" xr:uid="{00000000-0005-0000-0000-000042650000}"/>
    <cellStyle name="60% - Accent1 3 3 2 4 4" xfId="23590" xr:uid="{00000000-0005-0000-0000-000043650000}"/>
    <cellStyle name="60% - Accent1 3 3 2 5" xfId="5670" xr:uid="{00000000-0005-0000-0000-000044650000}"/>
    <cellStyle name="60% - Accent1 3 3 2 5 2" xfId="15910" xr:uid="{00000000-0005-0000-0000-000045650000}"/>
    <cellStyle name="60% - Accent1 3 3 2 5 2 2" xfId="36390" xr:uid="{00000000-0005-0000-0000-000046650000}"/>
    <cellStyle name="60% - Accent1 3 3 2 5 3" xfId="26150" xr:uid="{00000000-0005-0000-0000-000047650000}"/>
    <cellStyle name="60% - Accent1 3 3 2 6" xfId="10790" xr:uid="{00000000-0005-0000-0000-000048650000}"/>
    <cellStyle name="60% - Accent1 3 3 2 6 2" xfId="31270" xr:uid="{00000000-0005-0000-0000-000049650000}"/>
    <cellStyle name="60% - Accent1 3 3 2 7" xfId="21030" xr:uid="{00000000-0005-0000-0000-00004A650000}"/>
    <cellStyle name="60% - Accent1 3 3 3" xfId="870" xr:uid="{00000000-0005-0000-0000-00004B650000}"/>
    <cellStyle name="60% - Accent1 3 3 3 2" xfId="2150" xr:uid="{00000000-0005-0000-0000-00004C650000}"/>
    <cellStyle name="60% - Accent1 3 3 3 2 2" xfId="4710" xr:uid="{00000000-0005-0000-0000-00004D650000}"/>
    <cellStyle name="60% - Accent1 3 3 3 2 2 2" xfId="9830" xr:uid="{00000000-0005-0000-0000-00004E650000}"/>
    <cellStyle name="60% - Accent1 3 3 3 2 2 2 2" xfId="20070" xr:uid="{00000000-0005-0000-0000-00004F650000}"/>
    <cellStyle name="60% - Accent1 3 3 3 2 2 2 2 2" xfId="40550" xr:uid="{00000000-0005-0000-0000-000050650000}"/>
    <cellStyle name="60% - Accent1 3 3 3 2 2 2 3" xfId="30310" xr:uid="{00000000-0005-0000-0000-000051650000}"/>
    <cellStyle name="60% - Accent1 3 3 3 2 2 3" xfId="14950" xr:uid="{00000000-0005-0000-0000-000052650000}"/>
    <cellStyle name="60% - Accent1 3 3 3 2 2 3 2" xfId="35430" xr:uid="{00000000-0005-0000-0000-000053650000}"/>
    <cellStyle name="60% - Accent1 3 3 3 2 2 4" xfId="25190" xr:uid="{00000000-0005-0000-0000-000054650000}"/>
    <cellStyle name="60% - Accent1 3 3 3 2 3" xfId="7270" xr:uid="{00000000-0005-0000-0000-000055650000}"/>
    <cellStyle name="60% - Accent1 3 3 3 2 3 2" xfId="17510" xr:uid="{00000000-0005-0000-0000-000056650000}"/>
    <cellStyle name="60% - Accent1 3 3 3 2 3 2 2" xfId="37990" xr:uid="{00000000-0005-0000-0000-000057650000}"/>
    <cellStyle name="60% - Accent1 3 3 3 2 3 3" xfId="27750" xr:uid="{00000000-0005-0000-0000-000058650000}"/>
    <cellStyle name="60% - Accent1 3 3 3 2 4" xfId="12390" xr:uid="{00000000-0005-0000-0000-000059650000}"/>
    <cellStyle name="60% - Accent1 3 3 3 2 4 2" xfId="32870" xr:uid="{00000000-0005-0000-0000-00005A650000}"/>
    <cellStyle name="60% - Accent1 3 3 3 2 5" xfId="22630" xr:uid="{00000000-0005-0000-0000-00005B650000}"/>
    <cellStyle name="60% - Accent1 3 3 3 3" xfId="3430" xr:uid="{00000000-0005-0000-0000-00005C650000}"/>
    <cellStyle name="60% - Accent1 3 3 3 3 2" xfId="8550" xr:uid="{00000000-0005-0000-0000-00005D650000}"/>
    <cellStyle name="60% - Accent1 3 3 3 3 2 2" xfId="18790" xr:uid="{00000000-0005-0000-0000-00005E650000}"/>
    <cellStyle name="60% - Accent1 3 3 3 3 2 2 2" xfId="39270" xr:uid="{00000000-0005-0000-0000-00005F650000}"/>
    <cellStyle name="60% - Accent1 3 3 3 3 2 3" xfId="29030" xr:uid="{00000000-0005-0000-0000-000060650000}"/>
    <cellStyle name="60% - Accent1 3 3 3 3 3" xfId="13670" xr:uid="{00000000-0005-0000-0000-000061650000}"/>
    <cellStyle name="60% - Accent1 3 3 3 3 3 2" xfId="34150" xr:uid="{00000000-0005-0000-0000-000062650000}"/>
    <cellStyle name="60% - Accent1 3 3 3 3 4" xfId="23910" xr:uid="{00000000-0005-0000-0000-000063650000}"/>
    <cellStyle name="60% - Accent1 3 3 3 4" xfId="5990" xr:uid="{00000000-0005-0000-0000-000064650000}"/>
    <cellStyle name="60% - Accent1 3 3 3 4 2" xfId="16230" xr:uid="{00000000-0005-0000-0000-000065650000}"/>
    <cellStyle name="60% - Accent1 3 3 3 4 2 2" xfId="36710" xr:uid="{00000000-0005-0000-0000-000066650000}"/>
    <cellStyle name="60% - Accent1 3 3 3 4 3" xfId="26470" xr:uid="{00000000-0005-0000-0000-000067650000}"/>
    <cellStyle name="60% - Accent1 3 3 3 5" xfId="11110" xr:uid="{00000000-0005-0000-0000-000068650000}"/>
    <cellStyle name="60% - Accent1 3 3 3 5 2" xfId="31590" xr:uid="{00000000-0005-0000-0000-000069650000}"/>
    <cellStyle name="60% - Accent1 3 3 3 6" xfId="21350" xr:uid="{00000000-0005-0000-0000-00006A650000}"/>
    <cellStyle name="60% - Accent1 3 3 4" xfId="1510" xr:uid="{00000000-0005-0000-0000-00006B650000}"/>
    <cellStyle name="60% - Accent1 3 3 4 2" xfId="4070" xr:uid="{00000000-0005-0000-0000-00006C650000}"/>
    <cellStyle name="60% - Accent1 3 3 4 2 2" xfId="9190" xr:uid="{00000000-0005-0000-0000-00006D650000}"/>
    <cellStyle name="60% - Accent1 3 3 4 2 2 2" xfId="19430" xr:uid="{00000000-0005-0000-0000-00006E650000}"/>
    <cellStyle name="60% - Accent1 3 3 4 2 2 2 2" xfId="39910" xr:uid="{00000000-0005-0000-0000-00006F650000}"/>
    <cellStyle name="60% - Accent1 3 3 4 2 2 3" xfId="29670" xr:uid="{00000000-0005-0000-0000-000070650000}"/>
    <cellStyle name="60% - Accent1 3 3 4 2 3" xfId="14310" xr:uid="{00000000-0005-0000-0000-000071650000}"/>
    <cellStyle name="60% - Accent1 3 3 4 2 3 2" xfId="34790" xr:uid="{00000000-0005-0000-0000-000072650000}"/>
    <cellStyle name="60% - Accent1 3 3 4 2 4" xfId="24550" xr:uid="{00000000-0005-0000-0000-000073650000}"/>
    <cellStyle name="60% - Accent1 3 3 4 3" xfId="6630" xr:uid="{00000000-0005-0000-0000-000074650000}"/>
    <cellStyle name="60% - Accent1 3 3 4 3 2" xfId="16870" xr:uid="{00000000-0005-0000-0000-000075650000}"/>
    <cellStyle name="60% - Accent1 3 3 4 3 2 2" xfId="37350" xr:uid="{00000000-0005-0000-0000-000076650000}"/>
    <cellStyle name="60% - Accent1 3 3 4 3 3" xfId="27110" xr:uid="{00000000-0005-0000-0000-000077650000}"/>
    <cellStyle name="60% - Accent1 3 3 4 4" xfId="11750" xr:uid="{00000000-0005-0000-0000-000078650000}"/>
    <cellStyle name="60% - Accent1 3 3 4 4 2" xfId="32230" xr:uid="{00000000-0005-0000-0000-000079650000}"/>
    <cellStyle name="60% - Accent1 3 3 4 5" xfId="21990" xr:uid="{00000000-0005-0000-0000-00007A650000}"/>
    <cellStyle name="60% - Accent1 3 3 5" xfId="2790" xr:uid="{00000000-0005-0000-0000-00007B650000}"/>
    <cellStyle name="60% - Accent1 3 3 5 2" xfId="7910" xr:uid="{00000000-0005-0000-0000-00007C650000}"/>
    <cellStyle name="60% - Accent1 3 3 5 2 2" xfId="18150" xr:uid="{00000000-0005-0000-0000-00007D650000}"/>
    <cellStyle name="60% - Accent1 3 3 5 2 2 2" xfId="38630" xr:uid="{00000000-0005-0000-0000-00007E650000}"/>
    <cellStyle name="60% - Accent1 3 3 5 2 3" xfId="28390" xr:uid="{00000000-0005-0000-0000-00007F650000}"/>
    <cellStyle name="60% - Accent1 3 3 5 3" xfId="13030" xr:uid="{00000000-0005-0000-0000-000080650000}"/>
    <cellStyle name="60% - Accent1 3 3 5 3 2" xfId="33510" xr:uid="{00000000-0005-0000-0000-000081650000}"/>
    <cellStyle name="60% - Accent1 3 3 5 4" xfId="23270" xr:uid="{00000000-0005-0000-0000-000082650000}"/>
    <cellStyle name="60% - Accent1 3 3 6" xfId="5350" xr:uid="{00000000-0005-0000-0000-000083650000}"/>
    <cellStyle name="60% - Accent1 3 3 6 2" xfId="15590" xr:uid="{00000000-0005-0000-0000-000084650000}"/>
    <cellStyle name="60% - Accent1 3 3 6 2 2" xfId="36070" xr:uid="{00000000-0005-0000-0000-000085650000}"/>
    <cellStyle name="60% - Accent1 3 3 6 3" xfId="25830" xr:uid="{00000000-0005-0000-0000-000086650000}"/>
    <cellStyle name="60% - Accent1 3 3 7" xfId="10470" xr:uid="{00000000-0005-0000-0000-000087650000}"/>
    <cellStyle name="60% - Accent1 3 3 7 2" xfId="30950" xr:uid="{00000000-0005-0000-0000-000088650000}"/>
    <cellStyle name="60% - Accent1 3 3 8" xfId="20710" xr:uid="{00000000-0005-0000-0000-000089650000}"/>
    <cellStyle name="60% - Accent1 3 4" xfId="390" xr:uid="{00000000-0005-0000-0000-00008A650000}"/>
    <cellStyle name="60% - Accent1 3 4 2" xfId="1030" xr:uid="{00000000-0005-0000-0000-00008B650000}"/>
    <cellStyle name="60% - Accent1 3 4 2 2" xfId="2310" xr:uid="{00000000-0005-0000-0000-00008C650000}"/>
    <cellStyle name="60% - Accent1 3 4 2 2 2" xfId="4870" xr:uid="{00000000-0005-0000-0000-00008D650000}"/>
    <cellStyle name="60% - Accent1 3 4 2 2 2 2" xfId="9990" xr:uid="{00000000-0005-0000-0000-00008E650000}"/>
    <cellStyle name="60% - Accent1 3 4 2 2 2 2 2" xfId="20230" xr:uid="{00000000-0005-0000-0000-00008F650000}"/>
    <cellStyle name="60% - Accent1 3 4 2 2 2 2 2 2" xfId="40710" xr:uid="{00000000-0005-0000-0000-000090650000}"/>
    <cellStyle name="60% - Accent1 3 4 2 2 2 2 3" xfId="30470" xr:uid="{00000000-0005-0000-0000-000091650000}"/>
    <cellStyle name="60% - Accent1 3 4 2 2 2 3" xfId="15110" xr:uid="{00000000-0005-0000-0000-000092650000}"/>
    <cellStyle name="60% - Accent1 3 4 2 2 2 3 2" xfId="35590" xr:uid="{00000000-0005-0000-0000-000093650000}"/>
    <cellStyle name="60% - Accent1 3 4 2 2 2 4" xfId="25350" xr:uid="{00000000-0005-0000-0000-000094650000}"/>
    <cellStyle name="60% - Accent1 3 4 2 2 3" xfId="7430" xr:uid="{00000000-0005-0000-0000-000095650000}"/>
    <cellStyle name="60% - Accent1 3 4 2 2 3 2" xfId="17670" xr:uid="{00000000-0005-0000-0000-000096650000}"/>
    <cellStyle name="60% - Accent1 3 4 2 2 3 2 2" xfId="38150" xr:uid="{00000000-0005-0000-0000-000097650000}"/>
    <cellStyle name="60% - Accent1 3 4 2 2 3 3" xfId="27910" xr:uid="{00000000-0005-0000-0000-000098650000}"/>
    <cellStyle name="60% - Accent1 3 4 2 2 4" xfId="12550" xr:uid="{00000000-0005-0000-0000-000099650000}"/>
    <cellStyle name="60% - Accent1 3 4 2 2 4 2" xfId="33030" xr:uid="{00000000-0005-0000-0000-00009A650000}"/>
    <cellStyle name="60% - Accent1 3 4 2 2 5" xfId="22790" xr:uid="{00000000-0005-0000-0000-00009B650000}"/>
    <cellStyle name="60% - Accent1 3 4 2 3" xfId="3590" xr:uid="{00000000-0005-0000-0000-00009C650000}"/>
    <cellStyle name="60% - Accent1 3 4 2 3 2" xfId="8710" xr:uid="{00000000-0005-0000-0000-00009D650000}"/>
    <cellStyle name="60% - Accent1 3 4 2 3 2 2" xfId="18950" xr:uid="{00000000-0005-0000-0000-00009E650000}"/>
    <cellStyle name="60% - Accent1 3 4 2 3 2 2 2" xfId="39430" xr:uid="{00000000-0005-0000-0000-00009F650000}"/>
    <cellStyle name="60% - Accent1 3 4 2 3 2 3" xfId="29190" xr:uid="{00000000-0005-0000-0000-0000A0650000}"/>
    <cellStyle name="60% - Accent1 3 4 2 3 3" xfId="13830" xr:uid="{00000000-0005-0000-0000-0000A1650000}"/>
    <cellStyle name="60% - Accent1 3 4 2 3 3 2" xfId="34310" xr:uid="{00000000-0005-0000-0000-0000A2650000}"/>
    <cellStyle name="60% - Accent1 3 4 2 3 4" xfId="24070" xr:uid="{00000000-0005-0000-0000-0000A3650000}"/>
    <cellStyle name="60% - Accent1 3 4 2 4" xfId="6150" xr:uid="{00000000-0005-0000-0000-0000A4650000}"/>
    <cellStyle name="60% - Accent1 3 4 2 4 2" xfId="16390" xr:uid="{00000000-0005-0000-0000-0000A5650000}"/>
    <cellStyle name="60% - Accent1 3 4 2 4 2 2" xfId="36870" xr:uid="{00000000-0005-0000-0000-0000A6650000}"/>
    <cellStyle name="60% - Accent1 3 4 2 4 3" xfId="26630" xr:uid="{00000000-0005-0000-0000-0000A7650000}"/>
    <cellStyle name="60% - Accent1 3 4 2 5" xfId="11270" xr:uid="{00000000-0005-0000-0000-0000A8650000}"/>
    <cellStyle name="60% - Accent1 3 4 2 5 2" xfId="31750" xr:uid="{00000000-0005-0000-0000-0000A9650000}"/>
    <cellStyle name="60% - Accent1 3 4 2 6" xfId="21510" xr:uid="{00000000-0005-0000-0000-0000AA650000}"/>
    <cellStyle name="60% - Accent1 3 4 3" xfId="1670" xr:uid="{00000000-0005-0000-0000-0000AB650000}"/>
    <cellStyle name="60% - Accent1 3 4 3 2" xfId="4230" xr:uid="{00000000-0005-0000-0000-0000AC650000}"/>
    <cellStyle name="60% - Accent1 3 4 3 2 2" xfId="9350" xr:uid="{00000000-0005-0000-0000-0000AD650000}"/>
    <cellStyle name="60% - Accent1 3 4 3 2 2 2" xfId="19590" xr:uid="{00000000-0005-0000-0000-0000AE650000}"/>
    <cellStyle name="60% - Accent1 3 4 3 2 2 2 2" xfId="40070" xr:uid="{00000000-0005-0000-0000-0000AF650000}"/>
    <cellStyle name="60% - Accent1 3 4 3 2 2 3" xfId="29830" xr:uid="{00000000-0005-0000-0000-0000B0650000}"/>
    <cellStyle name="60% - Accent1 3 4 3 2 3" xfId="14470" xr:uid="{00000000-0005-0000-0000-0000B1650000}"/>
    <cellStyle name="60% - Accent1 3 4 3 2 3 2" xfId="34950" xr:uid="{00000000-0005-0000-0000-0000B2650000}"/>
    <cellStyle name="60% - Accent1 3 4 3 2 4" xfId="24710" xr:uid="{00000000-0005-0000-0000-0000B3650000}"/>
    <cellStyle name="60% - Accent1 3 4 3 3" xfId="6790" xr:uid="{00000000-0005-0000-0000-0000B4650000}"/>
    <cellStyle name="60% - Accent1 3 4 3 3 2" xfId="17030" xr:uid="{00000000-0005-0000-0000-0000B5650000}"/>
    <cellStyle name="60% - Accent1 3 4 3 3 2 2" xfId="37510" xr:uid="{00000000-0005-0000-0000-0000B6650000}"/>
    <cellStyle name="60% - Accent1 3 4 3 3 3" xfId="27270" xr:uid="{00000000-0005-0000-0000-0000B7650000}"/>
    <cellStyle name="60% - Accent1 3 4 3 4" xfId="11910" xr:uid="{00000000-0005-0000-0000-0000B8650000}"/>
    <cellStyle name="60% - Accent1 3 4 3 4 2" xfId="32390" xr:uid="{00000000-0005-0000-0000-0000B9650000}"/>
    <cellStyle name="60% - Accent1 3 4 3 5" xfId="22150" xr:uid="{00000000-0005-0000-0000-0000BA650000}"/>
    <cellStyle name="60% - Accent1 3 4 4" xfId="2950" xr:uid="{00000000-0005-0000-0000-0000BB650000}"/>
    <cellStyle name="60% - Accent1 3 4 4 2" xfId="8070" xr:uid="{00000000-0005-0000-0000-0000BC650000}"/>
    <cellStyle name="60% - Accent1 3 4 4 2 2" xfId="18310" xr:uid="{00000000-0005-0000-0000-0000BD650000}"/>
    <cellStyle name="60% - Accent1 3 4 4 2 2 2" xfId="38790" xr:uid="{00000000-0005-0000-0000-0000BE650000}"/>
    <cellStyle name="60% - Accent1 3 4 4 2 3" xfId="28550" xr:uid="{00000000-0005-0000-0000-0000BF650000}"/>
    <cellStyle name="60% - Accent1 3 4 4 3" xfId="13190" xr:uid="{00000000-0005-0000-0000-0000C0650000}"/>
    <cellStyle name="60% - Accent1 3 4 4 3 2" xfId="33670" xr:uid="{00000000-0005-0000-0000-0000C1650000}"/>
    <cellStyle name="60% - Accent1 3 4 4 4" xfId="23430" xr:uid="{00000000-0005-0000-0000-0000C2650000}"/>
    <cellStyle name="60% - Accent1 3 4 5" xfId="5510" xr:uid="{00000000-0005-0000-0000-0000C3650000}"/>
    <cellStyle name="60% - Accent1 3 4 5 2" xfId="15750" xr:uid="{00000000-0005-0000-0000-0000C4650000}"/>
    <cellStyle name="60% - Accent1 3 4 5 2 2" xfId="36230" xr:uid="{00000000-0005-0000-0000-0000C5650000}"/>
    <cellStyle name="60% - Accent1 3 4 5 3" xfId="25990" xr:uid="{00000000-0005-0000-0000-0000C6650000}"/>
    <cellStyle name="60% - Accent1 3 4 6" xfId="10630" xr:uid="{00000000-0005-0000-0000-0000C7650000}"/>
    <cellStyle name="60% - Accent1 3 4 6 2" xfId="31110" xr:uid="{00000000-0005-0000-0000-0000C8650000}"/>
    <cellStyle name="60% - Accent1 3 4 7" xfId="20870" xr:uid="{00000000-0005-0000-0000-0000C9650000}"/>
    <cellStyle name="60% - Accent1 3 5" xfId="710" xr:uid="{00000000-0005-0000-0000-0000CA650000}"/>
    <cellStyle name="60% - Accent1 3 5 2" xfId="1990" xr:uid="{00000000-0005-0000-0000-0000CB650000}"/>
    <cellStyle name="60% - Accent1 3 5 2 2" xfId="4550" xr:uid="{00000000-0005-0000-0000-0000CC650000}"/>
    <cellStyle name="60% - Accent1 3 5 2 2 2" xfId="9670" xr:uid="{00000000-0005-0000-0000-0000CD650000}"/>
    <cellStyle name="60% - Accent1 3 5 2 2 2 2" xfId="19910" xr:uid="{00000000-0005-0000-0000-0000CE650000}"/>
    <cellStyle name="60% - Accent1 3 5 2 2 2 2 2" xfId="40390" xr:uid="{00000000-0005-0000-0000-0000CF650000}"/>
    <cellStyle name="60% - Accent1 3 5 2 2 2 3" xfId="30150" xr:uid="{00000000-0005-0000-0000-0000D0650000}"/>
    <cellStyle name="60% - Accent1 3 5 2 2 3" xfId="14790" xr:uid="{00000000-0005-0000-0000-0000D1650000}"/>
    <cellStyle name="60% - Accent1 3 5 2 2 3 2" xfId="35270" xr:uid="{00000000-0005-0000-0000-0000D2650000}"/>
    <cellStyle name="60% - Accent1 3 5 2 2 4" xfId="25030" xr:uid="{00000000-0005-0000-0000-0000D3650000}"/>
    <cellStyle name="60% - Accent1 3 5 2 3" xfId="7110" xr:uid="{00000000-0005-0000-0000-0000D4650000}"/>
    <cellStyle name="60% - Accent1 3 5 2 3 2" xfId="17350" xr:uid="{00000000-0005-0000-0000-0000D5650000}"/>
    <cellStyle name="60% - Accent1 3 5 2 3 2 2" xfId="37830" xr:uid="{00000000-0005-0000-0000-0000D6650000}"/>
    <cellStyle name="60% - Accent1 3 5 2 3 3" xfId="27590" xr:uid="{00000000-0005-0000-0000-0000D7650000}"/>
    <cellStyle name="60% - Accent1 3 5 2 4" xfId="12230" xr:uid="{00000000-0005-0000-0000-0000D8650000}"/>
    <cellStyle name="60% - Accent1 3 5 2 4 2" xfId="32710" xr:uid="{00000000-0005-0000-0000-0000D9650000}"/>
    <cellStyle name="60% - Accent1 3 5 2 5" xfId="22470" xr:uid="{00000000-0005-0000-0000-0000DA650000}"/>
    <cellStyle name="60% - Accent1 3 5 3" xfId="3270" xr:uid="{00000000-0005-0000-0000-0000DB650000}"/>
    <cellStyle name="60% - Accent1 3 5 3 2" xfId="8390" xr:uid="{00000000-0005-0000-0000-0000DC650000}"/>
    <cellStyle name="60% - Accent1 3 5 3 2 2" xfId="18630" xr:uid="{00000000-0005-0000-0000-0000DD650000}"/>
    <cellStyle name="60% - Accent1 3 5 3 2 2 2" xfId="39110" xr:uid="{00000000-0005-0000-0000-0000DE650000}"/>
    <cellStyle name="60% - Accent1 3 5 3 2 3" xfId="28870" xr:uid="{00000000-0005-0000-0000-0000DF650000}"/>
    <cellStyle name="60% - Accent1 3 5 3 3" xfId="13510" xr:uid="{00000000-0005-0000-0000-0000E0650000}"/>
    <cellStyle name="60% - Accent1 3 5 3 3 2" xfId="33990" xr:uid="{00000000-0005-0000-0000-0000E1650000}"/>
    <cellStyle name="60% - Accent1 3 5 3 4" xfId="23750" xr:uid="{00000000-0005-0000-0000-0000E2650000}"/>
    <cellStyle name="60% - Accent1 3 5 4" xfId="5830" xr:uid="{00000000-0005-0000-0000-0000E3650000}"/>
    <cellStyle name="60% - Accent1 3 5 4 2" xfId="16070" xr:uid="{00000000-0005-0000-0000-0000E4650000}"/>
    <cellStyle name="60% - Accent1 3 5 4 2 2" xfId="36550" xr:uid="{00000000-0005-0000-0000-0000E5650000}"/>
    <cellStyle name="60% - Accent1 3 5 4 3" xfId="26310" xr:uid="{00000000-0005-0000-0000-0000E6650000}"/>
    <cellStyle name="60% - Accent1 3 5 5" xfId="10950" xr:uid="{00000000-0005-0000-0000-0000E7650000}"/>
    <cellStyle name="60% - Accent1 3 5 5 2" xfId="31430" xr:uid="{00000000-0005-0000-0000-0000E8650000}"/>
    <cellStyle name="60% - Accent1 3 5 6" xfId="21190" xr:uid="{00000000-0005-0000-0000-0000E9650000}"/>
    <cellStyle name="60% - Accent1 3 6" xfId="1350" xr:uid="{00000000-0005-0000-0000-0000EA650000}"/>
    <cellStyle name="60% - Accent1 3 6 2" xfId="3910" xr:uid="{00000000-0005-0000-0000-0000EB650000}"/>
    <cellStyle name="60% - Accent1 3 6 2 2" xfId="9030" xr:uid="{00000000-0005-0000-0000-0000EC650000}"/>
    <cellStyle name="60% - Accent1 3 6 2 2 2" xfId="19270" xr:uid="{00000000-0005-0000-0000-0000ED650000}"/>
    <cellStyle name="60% - Accent1 3 6 2 2 2 2" xfId="39750" xr:uid="{00000000-0005-0000-0000-0000EE650000}"/>
    <cellStyle name="60% - Accent1 3 6 2 2 3" xfId="29510" xr:uid="{00000000-0005-0000-0000-0000EF650000}"/>
    <cellStyle name="60% - Accent1 3 6 2 3" xfId="14150" xr:uid="{00000000-0005-0000-0000-0000F0650000}"/>
    <cellStyle name="60% - Accent1 3 6 2 3 2" xfId="34630" xr:uid="{00000000-0005-0000-0000-0000F1650000}"/>
    <cellStyle name="60% - Accent1 3 6 2 4" xfId="24390" xr:uid="{00000000-0005-0000-0000-0000F2650000}"/>
    <cellStyle name="60% - Accent1 3 6 3" xfId="6470" xr:uid="{00000000-0005-0000-0000-0000F3650000}"/>
    <cellStyle name="60% - Accent1 3 6 3 2" xfId="16710" xr:uid="{00000000-0005-0000-0000-0000F4650000}"/>
    <cellStyle name="60% - Accent1 3 6 3 2 2" xfId="37190" xr:uid="{00000000-0005-0000-0000-0000F5650000}"/>
    <cellStyle name="60% - Accent1 3 6 3 3" xfId="26950" xr:uid="{00000000-0005-0000-0000-0000F6650000}"/>
    <cellStyle name="60% - Accent1 3 6 4" xfId="11590" xr:uid="{00000000-0005-0000-0000-0000F7650000}"/>
    <cellStyle name="60% - Accent1 3 6 4 2" xfId="32070" xr:uid="{00000000-0005-0000-0000-0000F8650000}"/>
    <cellStyle name="60% - Accent1 3 6 5" xfId="21830" xr:uid="{00000000-0005-0000-0000-0000F9650000}"/>
    <cellStyle name="60% - Accent1 3 7" xfId="2630" xr:uid="{00000000-0005-0000-0000-0000FA650000}"/>
    <cellStyle name="60% - Accent1 3 7 2" xfId="7750" xr:uid="{00000000-0005-0000-0000-0000FB650000}"/>
    <cellStyle name="60% - Accent1 3 7 2 2" xfId="17990" xr:uid="{00000000-0005-0000-0000-0000FC650000}"/>
    <cellStyle name="60% - Accent1 3 7 2 2 2" xfId="38470" xr:uid="{00000000-0005-0000-0000-0000FD650000}"/>
    <cellStyle name="60% - Accent1 3 7 2 3" xfId="28230" xr:uid="{00000000-0005-0000-0000-0000FE650000}"/>
    <cellStyle name="60% - Accent1 3 7 3" xfId="12870" xr:uid="{00000000-0005-0000-0000-0000FF650000}"/>
    <cellStyle name="60% - Accent1 3 7 3 2" xfId="33350" xr:uid="{00000000-0005-0000-0000-000000660000}"/>
    <cellStyle name="60% - Accent1 3 7 4" xfId="23110" xr:uid="{00000000-0005-0000-0000-000001660000}"/>
    <cellStyle name="60% - Accent1 3 8" xfId="5190" xr:uid="{00000000-0005-0000-0000-000002660000}"/>
    <cellStyle name="60% - Accent1 3 8 2" xfId="15430" xr:uid="{00000000-0005-0000-0000-000003660000}"/>
    <cellStyle name="60% - Accent1 3 8 2 2" xfId="35910" xr:uid="{00000000-0005-0000-0000-000004660000}"/>
    <cellStyle name="60% - Accent1 3 8 3" xfId="25670" xr:uid="{00000000-0005-0000-0000-000005660000}"/>
    <cellStyle name="60% - Accent1 3 9" xfId="10310" xr:uid="{00000000-0005-0000-0000-000006660000}"/>
    <cellStyle name="60% - Accent1 3 9 2" xfId="30790" xr:uid="{00000000-0005-0000-0000-000007660000}"/>
    <cellStyle name="60% - Accent1 4" xfId="110" xr:uid="{00000000-0005-0000-0000-000008660000}"/>
    <cellStyle name="60% - Accent1 4 2" xfId="270" xr:uid="{00000000-0005-0000-0000-000009660000}"/>
    <cellStyle name="60% - Accent1 4 2 2" xfId="590" xr:uid="{00000000-0005-0000-0000-00000A660000}"/>
    <cellStyle name="60% - Accent1 4 2 2 2" xfId="1230" xr:uid="{00000000-0005-0000-0000-00000B660000}"/>
    <cellStyle name="60% - Accent1 4 2 2 2 2" xfId="2510" xr:uid="{00000000-0005-0000-0000-00000C660000}"/>
    <cellStyle name="60% - Accent1 4 2 2 2 2 2" xfId="5070" xr:uid="{00000000-0005-0000-0000-00000D660000}"/>
    <cellStyle name="60% - Accent1 4 2 2 2 2 2 2" xfId="10190" xr:uid="{00000000-0005-0000-0000-00000E660000}"/>
    <cellStyle name="60% - Accent1 4 2 2 2 2 2 2 2" xfId="20430" xr:uid="{00000000-0005-0000-0000-00000F660000}"/>
    <cellStyle name="60% - Accent1 4 2 2 2 2 2 2 2 2" xfId="40910" xr:uid="{00000000-0005-0000-0000-000010660000}"/>
    <cellStyle name="60% - Accent1 4 2 2 2 2 2 2 3" xfId="30670" xr:uid="{00000000-0005-0000-0000-000011660000}"/>
    <cellStyle name="60% - Accent1 4 2 2 2 2 2 3" xfId="15310" xr:uid="{00000000-0005-0000-0000-000012660000}"/>
    <cellStyle name="60% - Accent1 4 2 2 2 2 2 3 2" xfId="35790" xr:uid="{00000000-0005-0000-0000-000013660000}"/>
    <cellStyle name="60% - Accent1 4 2 2 2 2 2 4" xfId="25550" xr:uid="{00000000-0005-0000-0000-000014660000}"/>
    <cellStyle name="60% - Accent1 4 2 2 2 2 3" xfId="7630" xr:uid="{00000000-0005-0000-0000-000015660000}"/>
    <cellStyle name="60% - Accent1 4 2 2 2 2 3 2" xfId="17870" xr:uid="{00000000-0005-0000-0000-000016660000}"/>
    <cellStyle name="60% - Accent1 4 2 2 2 2 3 2 2" xfId="38350" xr:uid="{00000000-0005-0000-0000-000017660000}"/>
    <cellStyle name="60% - Accent1 4 2 2 2 2 3 3" xfId="28110" xr:uid="{00000000-0005-0000-0000-000018660000}"/>
    <cellStyle name="60% - Accent1 4 2 2 2 2 4" xfId="12750" xr:uid="{00000000-0005-0000-0000-000019660000}"/>
    <cellStyle name="60% - Accent1 4 2 2 2 2 4 2" xfId="33230" xr:uid="{00000000-0005-0000-0000-00001A660000}"/>
    <cellStyle name="60% - Accent1 4 2 2 2 2 5" xfId="22990" xr:uid="{00000000-0005-0000-0000-00001B660000}"/>
    <cellStyle name="60% - Accent1 4 2 2 2 3" xfId="3790" xr:uid="{00000000-0005-0000-0000-00001C660000}"/>
    <cellStyle name="60% - Accent1 4 2 2 2 3 2" xfId="8910" xr:uid="{00000000-0005-0000-0000-00001D660000}"/>
    <cellStyle name="60% - Accent1 4 2 2 2 3 2 2" xfId="19150" xr:uid="{00000000-0005-0000-0000-00001E660000}"/>
    <cellStyle name="60% - Accent1 4 2 2 2 3 2 2 2" xfId="39630" xr:uid="{00000000-0005-0000-0000-00001F660000}"/>
    <cellStyle name="60% - Accent1 4 2 2 2 3 2 3" xfId="29390" xr:uid="{00000000-0005-0000-0000-000020660000}"/>
    <cellStyle name="60% - Accent1 4 2 2 2 3 3" xfId="14030" xr:uid="{00000000-0005-0000-0000-000021660000}"/>
    <cellStyle name="60% - Accent1 4 2 2 2 3 3 2" xfId="34510" xr:uid="{00000000-0005-0000-0000-000022660000}"/>
    <cellStyle name="60% - Accent1 4 2 2 2 3 4" xfId="24270" xr:uid="{00000000-0005-0000-0000-000023660000}"/>
    <cellStyle name="60% - Accent1 4 2 2 2 4" xfId="6350" xr:uid="{00000000-0005-0000-0000-000024660000}"/>
    <cellStyle name="60% - Accent1 4 2 2 2 4 2" xfId="16590" xr:uid="{00000000-0005-0000-0000-000025660000}"/>
    <cellStyle name="60% - Accent1 4 2 2 2 4 2 2" xfId="37070" xr:uid="{00000000-0005-0000-0000-000026660000}"/>
    <cellStyle name="60% - Accent1 4 2 2 2 4 3" xfId="26830" xr:uid="{00000000-0005-0000-0000-000027660000}"/>
    <cellStyle name="60% - Accent1 4 2 2 2 5" xfId="11470" xr:uid="{00000000-0005-0000-0000-000028660000}"/>
    <cellStyle name="60% - Accent1 4 2 2 2 5 2" xfId="31950" xr:uid="{00000000-0005-0000-0000-000029660000}"/>
    <cellStyle name="60% - Accent1 4 2 2 2 6" xfId="21710" xr:uid="{00000000-0005-0000-0000-00002A660000}"/>
    <cellStyle name="60% - Accent1 4 2 2 3" xfId="1870" xr:uid="{00000000-0005-0000-0000-00002B660000}"/>
    <cellStyle name="60% - Accent1 4 2 2 3 2" xfId="4430" xr:uid="{00000000-0005-0000-0000-00002C660000}"/>
    <cellStyle name="60% - Accent1 4 2 2 3 2 2" xfId="9550" xr:uid="{00000000-0005-0000-0000-00002D660000}"/>
    <cellStyle name="60% - Accent1 4 2 2 3 2 2 2" xfId="19790" xr:uid="{00000000-0005-0000-0000-00002E660000}"/>
    <cellStyle name="60% - Accent1 4 2 2 3 2 2 2 2" xfId="40270" xr:uid="{00000000-0005-0000-0000-00002F660000}"/>
    <cellStyle name="60% - Accent1 4 2 2 3 2 2 3" xfId="30030" xr:uid="{00000000-0005-0000-0000-000030660000}"/>
    <cellStyle name="60% - Accent1 4 2 2 3 2 3" xfId="14670" xr:uid="{00000000-0005-0000-0000-000031660000}"/>
    <cellStyle name="60% - Accent1 4 2 2 3 2 3 2" xfId="35150" xr:uid="{00000000-0005-0000-0000-000032660000}"/>
    <cellStyle name="60% - Accent1 4 2 2 3 2 4" xfId="24910" xr:uid="{00000000-0005-0000-0000-000033660000}"/>
    <cellStyle name="60% - Accent1 4 2 2 3 3" xfId="6990" xr:uid="{00000000-0005-0000-0000-000034660000}"/>
    <cellStyle name="60% - Accent1 4 2 2 3 3 2" xfId="17230" xr:uid="{00000000-0005-0000-0000-000035660000}"/>
    <cellStyle name="60% - Accent1 4 2 2 3 3 2 2" xfId="37710" xr:uid="{00000000-0005-0000-0000-000036660000}"/>
    <cellStyle name="60% - Accent1 4 2 2 3 3 3" xfId="27470" xr:uid="{00000000-0005-0000-0000-000037660000}"/>
    <cellStyle name="60% - Accent1 4 2 2 3 4" xfId="12110" xr:uid="{00000000-0005-0000-0000-000038660000}"/>
    <cellStyle name="60% - Accent1 4 2 2 3 4 2" xfId="32590" xr:uid="{00000000-0005-0000-0000-000039660000}"/>
    <cellStyle name="60% - Accent1 4 2 2 3 5" xfId="22350" xr:uid="{00000000-0005-0000-0000-00003A660000}"/>
    <cellStyle name="60% - Accent1 4 2 2 4" xfId="3150" xr:uid="{00000000-0005-0000-0000-00003B660000}"/>
    <cellStyle name="60% - Accent1 4 2 2 4 2" xfId="8270" xr:uid="{00000000-0005-0000-0000-00003C660000}"/>
    <cellStyle name="60% - Accent1 4 2 2 4 2 2" xfId="18510" xr:uid="{00000000-0005-0000-0000-00003D660000}"/>
    <cellStyle name="60% - Accent1 4 2 2 4 2 2 2" xfId="38990" xr:uid="{00000000-0005-0000-0000-00003E660000}"/>
    <cellStyle name="60% - Accent1 4 2 2 4 2 3" xfId="28750" xr:uid="{00000000-0005-0000-0000-00003F660000}"/>
    <cellStyle name="60% - Accent1 4 2 2 4 3" xfId="13390" xr:uid="{00000000-0005-0000-0000-000040660000}"/>
    <cellStyle name="60% - Accent1 4 2 2 4 3 2" xfId="33870" xr:uid="{00000000-0005-0000-0000-000041660000}"/>
    <cellStyle name="60% - Accent1 4 2 2 4 4" xfId="23630" xr:uid="{00000000-0005-0000-0000-000042660000}"/>
    <cellStyle name="60% - Accent1 4 2 2 5" xfId="5710" xr:uid="{00000000-0005-0000-0000-000043660000}"/>
    <cellStyle name="60% - Accent1 4 2 2 5 2" xfId="15950" xr:uid="{00000000-0005-0000-0000-000044660000}"/>
    <cellStyle name="60% - Accent1 4 2 2 5 2 2" xfId="36430" xr:uid="{00000000-0005-0000-0000-000045660000}"/>
    <cellStyle name="60% - Accent1 4 2 2 5 3" xfId="26190" xr:uid="{00000000-0005-0000-0000-000046660000}"/>
    <cellStyle name="60% - Accent1 4 2 2 6" xfId="10830" xr:uid="{00000000-0005-0000-0000-000047660000}"/>
    <cellStyle name="60% - Accent1 4 2 2 6 2" xfId="31310" xr:uid="{00000000-0005-0000-0000-000048660000}"/>
    <cellStyle name="60% - Accent1 4 2 2 7" xfId="21070" xr:uid="{00000000-0005-0000-0000-000049660000}"/>
    <cellStyle name="60% - Accent1 4 2 3" xfId="910" xr:uid="{00000000-0005-0000-0000-00004A660000}"/>
    <cellStyle name="60% - Accent1 4 2 3 2" xfId="2190" xr:uid="{00000000-0005-0000-0000-00004B660000}"/>
    <cellStyle name="60% - Accent1 4 2 3 2 2" xfId="4750" xr:uid="{00000000-0005-0000-0000-00004C660000}"/>
    <cellStyle name="60% - Accent1 4 2 3 2 2 2" xfId="9870" xr:uid="{00000000-0005-0000-0000-00004D660000}"/>
    <cellStyle name="60% - Accent1 4 2 3 2 2 2 2" xfId="20110" xr:uid="{00000000-0005-0000-0000-00004E660000}"/>
    <cellStyle name="60% - Accent1 4 2 3 2 2 2 2 2" xfId="40590" xr:uid="{00000000-0005-0000-0000-00004F660000}"/>
    <cellStyle name="60% - Accent1 4 2 3 2 2 2 3" xfId="30350" xr:uid="{00000000-0005-0000-0000-000050660000}"/>
    <cellStyle name="60% - Accent1 4 2 3 2 2 3" xfId="14990" xr:uid="{00000000-0005-0000-0000-000051660000}"/>
    <cellStyle name="60% - Accent1 4 2 3 2 2 3 2" xfId="35470" xr:uid="{00000000-0005-0000-0000-000052660000}"/>
    <cellStyle name="60% - Accent1 4 2 3 2 2 4" xfId="25230" xr:uid="{00000000-0005-0000-0000-000053660000}"/>
    <cellStyle name="60% - Accent1 4 2 3 2 3" xfId="7310" xr:uid="{00000000-0005-0000-0000-000054660000}"/>
    <cellStyle name="60% - Accent1 4 2 3 2 3 2" xfId="17550" xr:uid="{00000000-0005-0000-0000-000055660000}"/>
    <cellStyle name="60% - Accent1 4 2 3 2 3 2 2" xfId="38030" xr:uid="{00000000-0005-0000-0000-000056660000}"/>
    <cellStyle name="60% - Accent1 4 2 3 2 3 3" xfId="27790" xr:uid="{00000000-0005-0000-0000-000057660000}"/>
    <cellStyle name="60% - Accent1 4 2 3 2 4" xfId="12430" xr:uid="{00000000-0005-0000-0000-000058660000}"/>
    <cellStyle name="60% - Accent1 4 2 3 2 4 2" xfId="32910" xr:uid="{00000000-0005-0000-0000-000059660000}"/>
    <cellStyle name="60% - Accent1 4 2 3 2 5" xfId="22670" xr:uid="{00000000-0005-0000-0000-00005A660000}"/>
    <cellStyle name="60% - Accent1 4 2 3 3" xfId="3470" xr:uid="{00000000-0005-0000-0000-00005B660000}"/>
    <cellStyle name="60% - Accent1 4 2 3 3 2" xfId="8590" xr:uid="{00000000-0005-0000-0000-00005C660000}"/>
    <cellStyle name="60% - Accent1 4 2 3 3 2 2" xfId="18830" xr:uid="{00000000-0005-0000-0000-00005D660000}"/>
    <cellStyle name="60% - Accent1 4 2 3 3 2 2 2" xfId="39310" xr:uid="{00000000-0005-0000-0000-00005E660000}"/>
    <cellStyle name="60% - Accent1 4 2 3 3 2 3" xfId="29070" xr:uid="{00000000-0005-0000-0000-00005F660000}"/>
    <cellStyle name="60% - Accent1 4 2 3 3 3" xfId="13710" xr:uid="{00000000-0005-0000-0000-000060660000}"/>
    <cellStyle name="60% - Accent1 4 2 3 3 3 2" xfId="34190" xr:uid="{00000000-0005-0000-0000-000061660000}"/>
    <cellStyle name="60% - Accent1 4 2 3 3 4" xfId="23950" xr:uid="{00000000-0005-0000-0000-000062660000}"/>
    <cellStyle name="60% - Accent1 4 2 3 4" xfId="6030" xr:uid="{00000000-0005-0000-0000-000063660000}"/>
    <cellStyle name="60% - Accent1 4 2 3 4 2" xfId="16270" xr:uid="{00000000-0005-0000-0000-000064660000}"/>
    <cellStyle name="60% - Accent1 4 2 3 4 2 2" xfId="36750" xr:uid="{00000000-0005-0000-0000-000065660000}"/>
    <cellStyle name="60% - Accent1 4 2 3 4 3" xfId="26510" xr:uid="{00000000-0005-0000-0000-000066660000}"/>
    <cellStyle name="60% - Accent1 4 2 3 5" xfId="11150" xr:uid="{00000000-0005-0000-0000-000067660000}"/>
    <cellStyle name="60% - Accent1 4 2 3 5 2" xfId="31630" xr:uid="{00000000-0005-0000-0000-000068660000}"/>
    <cellStyle name="60% - Accent1 4 2 3 6" xfId="21390" xr:uid="{00000000-0005-0000-0000-000069660000}"/>
    <cellStyle name="60% - Accent1 4 2 4" xfId="1550" xr:uid="{00000000-0005-0000-0000-00006A660000}"/>
    <cellStyle name="60% - Accent1 4 2 4 2" xfId="4110" xr:uid="{00000000-0005-0000-0000-00006B660000}"/>
    <cellStyle name="60% - Accent1 4 2 4 2 2" xfId="9230" xr:uid="{00000000-0005-0000-0000-00006C660000}"/>
    <cellStyle name="60% - Accent1 4 2 4 2 2 2" xfId="19470" xr:uid="{00000000-0005-0000-0000-00006D660000}"/>
    <cellStyle name="60% - Accent1 4 2 4 2 2 2 2" xfId="39950" xr:uid="{00000000-0005-0000-0000-00006E660000}"/>
    <cellStyle name="60% - Accent1 4 2 4 2 2 3" xfId="29710" xr:uid="{00000000-0005-0000-0000-00006F660000}"/>
    <cellStyle name="60% - Accent1 4 2 4 2 3" xfId="14350" xr:uid="{00000000-0005-0000-0000-000070660000}"/>
    <cellStyle name="60% - Accent1 4 2 4 2 3 2" xfId="34830" xr:uid="{00000000-0005-0000-0000-000071660000}"/>
    <cellStyle name="60% - Accent1 4 2 4 2 4" xfId="24590" xr:uid="{00000000-0005-0000-0000-000072660000}"/>
    <cellStyle name="60% - Accent1 4 2 4 3" xfId="6670" xr:uid="{00000000-0005-0000-0000-000073660000}"/>
    <cellStyle name="60% - Accent1 4 2 4 3 2" xfId="16910" xr:uid="{00000000-0005-0000-0000-000074660000}"/>
    <cellStyle name="60% - Accent1 4 2 4 3 2 2" xfId="37390" xr:uid="{00000000-0005-0000-0000-000075660000}"/>
    <cellStyle name="60% - Accent1 4 2 4 3 3" xfId="27150" xr:uid="{00000000-0005-0000-0000-000076660000}"/>
    <cellStyle name="60% - Accent1 4 2 4 4" xfId="11790" xr:uid="{00000000-0005-0000-0000-000077660000}"/>
    <cellStyle name="60% - Accent1 4 2 4 4 2" xfId="32270" xr:uid="{00000000-0005-0000-0000-000078660000}"/>
    <cellStyle name="60% - Accent1 4 2 4 5" xfId="22030" xr:uid="{00000000-0005-0000-0000-000079660000}"/>
    <cellStyle name="60% - Accent1 4 2 5" xfId="2830" xr:uid="{00000000-0005-0000-0000-00007A660000}"/>
    <cellStyle name="60% - Accent1 4 2 5 2" xfId="7950" xr:uid="{00000000-0005-0000-0000-00007B660000}"/>
    <cellStyle name="60% - Accent1 4 2 5 2 2" xfId="18190" xr:uid="{00000000-0005-0000-0000-00007C660000}"/>
    <cellStyle name="60% - Accent1 4 2 5 2 2 2" xfId="38670" xr:uid="{00000000-0005-0000-0000-00007D660000}"/>
    <cellStyle name="60% - Accent1 4 2 5 2 3" xfId="28430" xr:uid="{00000000-0005-0000-0000-00007E660000}"/>
    <cellStyle name="60% - Accent1 4 2 5 3" xfId="13070" xr:uid="{00000000-0005-0000-0000-00007F660000}"/>
    <cellStyle name="60% - Accent1 4 2 5 3 2" xfId="33550" xr:uid="{00000000-0005-0000-0000-000080660000}"/>
    <cellStyle name="60% - Accent1 4 2 5 4" xfId="23310" xr:uid="{00000000-0005-0000-0000-000081660000}"/>
    <cellStyle name="60% - Accent1 4 2 6" xfId="5390" xr:uid="{00000000-0005-0000-0000-000082660000}"/>
    <cellStyle name="60% - Accent1 4 2 6 2" xfId="15630" xr:uid="{00000000-0005-0000-0000-000083660000}"/>
    <cellStyle name="60% - Accent1 4 2 6 2 2" xfId="36110" xr:uid="{00000000-0005-0000-0000-000084660000}"/>
    <cellStyle name="60% - Accent1 4 2 6 3" xfId="25870" xr:uid="{00000000-0005-0000-0000-000085660000}"/>
    <cellStyle name="60% - Accent1 4 2 7" xfId="10510" xr:uid="{00000000-0005-0000-0000-000086660000}"/>
    <cellStyle name="60% - Accent1 4 2 7 2" xfId="30990" xr:uid="{00000000-0005-0000-0000-000087660000}"/>
    <cellStyle name="60% - Accent1 4 2 8" xfId="20750" xr:uid="{00000000-0005-0000-0000-000088660000}"/>
    <cellStyle name="60% - Accent1 4 3" xfId="430" xr:uid="{00000000-0005-0000-0000-000089660000}"/>
    <cellStyle name="60% - Accent1 4 3 2" xfId="1070" xr:uid="{00000000-0005-0000-0000-00008A660000}"/>
    <cellStyle name="60% - Accent1 4 3 2 2" xfId="2350" xr:uid="{00000000-0005-0000-0000-00008B660000}"/>
    <cellStyle name="60% - Accent1 4 3 2 2 2" xfId="4910" xr:uid="{00000000-0005-0000-0000-00008C660000}"/>
    <cellStyle name="60% - Accent1 4 3 2 2 2 2" xfId="10030" xr:uid="{00000000-0005-0000-0000-00008D660000}"/>
    <cellStyle name="60% - Accent1 4 3 2 2 2 2 2" xfId="20270" xr:uid="{00000000-0005-0000-0000-00008E660000}"/>
    <cellStyle name="60% - Accent1 4 3 2 2 2 2 2 2" xfId="40750" xr:uid="{00000000-0005-0000-0000-00008F660000}"/>
    <cellStyle name="60% - Accent1 4 3 2 2 2 2 3" xfId="30510" xr:uid="{00000000-0005-0000-0000-000090660000}"/>
    <cellStyle name="60% - Accent1 4 3 2 2 2 3" xfId="15150" xr:uid="{00000000-0005-0000-0000-000091660000}"/>
    <cellStyle name="60% - Accent1 4 3 2 2 2 3 2" xfId="35630" xr:uid="{00000000-0005-0000-0000-000092660000}"/>
    <cellStyle name="60% - Accent1 4 3 2 2 2 4" xfId="25390" xr:uid="{00000000-0005-0000-0000-000093660000}"/>
    <cellStyle name="60% - Accent1 4 3 2 2 3" xfId="7470" xr:uid="{00000000-0005-0000-0000-000094660000}"/>
    <cellStyle name="60% - Accent1 4 3 2 2 3 2" xfId="17710" xr:uid="{00000000-0005-0000-0000-000095660000}"/>
    <cellStyle name="60% - Accent1 4 3 2 2 3 2 2" xfId="38190" xr:uid="{00000000-0005-0000-0000-000096660000}"/>
    <cellStyle name="60% - Accent1 4 3 2 2 3 3" xfId="27950" xr:uid="{00000000-0005-0000-0000-000097660000}"/>
    <cellStyle name="60% - Accent1 4 3 2 2 4" xfId="12590" xr:uid="{00000000-0005-0000-0000-000098660000}"/>
    <cellStyle name="60% - Accent1 4 3 2 2 4 2" xfId="33070" xr:uid="{00000000-0005-0000-0000-000099660000}"/>
    <cellStyle name="60% - Accent1 4 3 2 2 5" xfId="22830" xr:uid="{00000000-0005-0000-0000-00009A660000}"/>
    <cellStyle name="60% - Accent1 4 3 2 3" xfId="3630" xr:uid="{00000000-0005-0000-0000-00009B660000}"/>
    <cellStyle name="60% - Accent1 4 3 2 3 2" xfId="8750" xr:uid="{00000000-0005-0000-0000-00009C660000}"/>
    <cellStyle name="60% - Accent1 4 3 2 3 2 2" xfId="18990" xr:uid="{00000000-0005-0000-0000-00009D660000}"/>
    <cellStyle name="60% - Accent1 4 3 2 3 2 2 2" xfId="39470" xr:uid="{00000000-0005-0000-0000-00009E660000}"/>
    <cellStyle name="60% - Accent1 4 3 2 3 2 3" xfId="29230" xr:uid="{00000000-0005-0000-0000-00009F660000}"/>
    <cellStyle name="60% - Accent1 4 3 2 3 3" xfId="13870" xr:uid="{00000000-0005-0000-0000-0000A0660000}"/>
    <cellStyle name="60% - Accent1 4 3 2 3 3 2" xfId="34350" xr:uid="{00000000-0005-0000-0000-0000A1660000}"/>
    <cellStyle name="60% - Accent1 4 3 2 3 4" xfId="24110" xr:uid="{00000000-0005-0000-0000-0000A2660000}"/>
    <cellStyle name="60% - Accent1 4 3 2 4" xfId="6190" xr:uid="{00000000-0005-0000-0000-0000A3660000}"/>
    <cellStyle name="60% - Accent1 4 3 2 4 2" xfId="16430" xr:uid="{00000000-0005-0000-0000-0000A4660000}"/>
    <cellStyle name="60% - Accent1 4 3 2 4 2 2" xfId="36910" xr:uid="{00000000-0005-0000-0000-0000A5660000}"/>
    <cellStyle name="60% - Accent1 4 3 2 4 3" xfId="26670" xr:uid="{00000000-0005-0000-0000-0000A6660000}"/>
    <cellStyle name="60% - Accent1 4 3 2 5" xfId="11310" xr:uid="{00000000-0005-0000-0000-0000A7660000}"/>
    <cellStyle name="60% - Accent1 4 3 2 5 2" xfId="31790" xr:uid="{00000000-0005-0000-0000-0000A8660000}"/>
    <cellStyle name="60% - Accent1 4 3 2 6" xfId="21550" xr:uid="{00000000-0005-0000-0000-0000A9660000}"/>
    <cellStyle name="60% - Accent1 4 3 3" xfId="1710" xr:uid="{00000000-0005-0000-0000-0000AA660000}"/>
    <cellStyle name="60% - Accent1 4 3 3 2" xfId="4270" xr:uid="{00000000-0005-0000-0000-0000AB660000}"/>
    <cellStyle name="60% - Accent1 4 3 3 2 2" xfId="9390" xr:uid="{00000000-0005-0000-0000-0000AC660000}"/>
    <cellStyle name="60% - Accent1 4 3 3 2 2 2" xfId="19630" xr:uid="{00000000-0005-0000-0000-0000AD660000}"/>
    <cellStyle name="60% - Accent1 4 3 3 2 2 2 2" xfId="40110" xr:uid="{00000000-0005-0000-0000-0000AE660000}"/>
    <cellStyle name="60% - Accent1 4 3 3 2 2 3" xfId="29870" xr:uid="{00000000-0005-0000-0000-0000AF660000}"/>
    <cellStyle name="60% - Accent1 4 3 3 2 3" xfId="14510" xr:uid="{00000000-0005-0000-0000-0000B0660000}"/>
    <cellStyle name="60% - Accent1 4 3 3 2 3 2" xfId="34990" xr:uid="{00000000-0005-0000-0000-0000B1660000}"/>
    <cellStyle name="60% - Accent1 4 3 3 2 4" xfId="24750" xr:uid="{00000000-0005-0000-0000-0000B2660000}"/>
    <cellStyle name="60% - Accent1 4 3 3 3" xfId="6830" xr:uid="{00000000-0005-0000-0000-0000B3660000}"/>
    <cellStyle name="60% - Accent1 4 3 3 3 2" xfId="17070" xr:uid="{00000000-0005-0000-0000-0000B4660000}"/>
    <cellStyle name="60% - Accent1 4 3 3 3 2 2" xfId="37550" xr:uid="{00000000-0005-0000-0000-0000B5660000}"/>
    <cellStyle name="60% - Accent1 4 3 3 3 3" xfId="27310" xr:uid="{00000000-0005-0000-0000-0000B6660000}"/>
    <cellStyle name="60% - Accent1 4 3 3 4" xfId="11950" xr:uid="{00000000-0005-0000-0000-0000B7660000}"/>
    <cellStyle name="60% - Accent1 4 3 3 4 2" xfId="32430" xr:uid="{00000000-0005-0000-0000-0000B8660000}"/>
    <cellStyle name="60% - Accent1 4 3 3 5" xfId="22190" xr:uid="{00000000-0005-0000-0000-0000B9660000}"/>
    <cellStyle name="60% - Accent1 4 3 4" xfId="2990" xr:uid="{00000000-0005-0000-0000-0000BA660000}"/>
    <cellStyle name="60% - Accent1 4 3 4 2" xfId="8110" xr:uid="{00000000-0005-0000-0000-0000BB660000}"/>
    <cellStyle name="60% - Accent1 4 3 4 2 2" xfId="18350" xr:uid="{00000000-0005-0000-0000-0000BC660000}"/>
    <cellStyle name="60% - Accent1 4 3 4 2 2 2" xfId="38830" xr:uid="{00000000-0005-0000-0000-0000BD660000}"/>
    <cellStyle name="60% - Accent1 4 3 4 2 3" xfId="28590" xr:uid="{00000000-0005-0000-0000-0000BE660000}"/>
    <cellStyle name="60% - Accent1 4 3 4 3" xfId="13230" xr:uid="{00000000-0005-0000-0000-0000BF660000}"/>
    <cellStyle name="60% - Accent1 4 3 4 3 2" xfId="33710" xr:uid="{00000000-0005-0000-0000-0000C0660000}"/>
    <cellStyle name="60% - Accent1 4 3 4 4" xfId="23470" xr:uid="{00000000-0005-0000-0000-0000C1660000}"/>
    <cellStyle name="60% - Accent1 4 3 5" xfId="5550" xr:uid="{00000000-0005-0000-0000-0000C2660000}"/>
    <cellStyle name="60% - Accent1 4 3 5 2" xfId="15790" xr:uid="{00000000-0005-0000-0000-0000C3660000}"/>
    <cellStyle name="60% - Accent1 4 3 5 2 2" xfId="36270" xr:uid="{00000000-0005-0000-0000-0000C4660000}"/>
    <cellStyle name="60% - Accent1 4 3 5 3" xfId="26030" xr:uid="{00000000-0005-0000-0000-0000C5660000}"/>
    <cellStyle name="60% - Accent1 4 3 6" xfId="10670" xr:uid="{00000000-0005-0000-0000-0000C6660000}"/>
    <cellStyle name="60% - Accent1 4 3 6 2" xfId="31150" xr:uid="{00000000-0005-0000-0000-0000C7660000}"/>
    <cellStyle name="60% - Accent1 4 3 7" xfId="20910" xr:uid="{00000000-0005-0000-0000-0000C8660000}"/>
    <cellStyle name="60% - Accent1 4 4" xfId="750" xr:uid="{00000000-0005-0000-0000-0000C9660000}"/>
    <cellStyle name="60% - Accent1 4 4 2" xfId="2030" xr:uid="{00000000-0005-0000-0000-0000CA660000}"/>
    <cellStyle name="60% - Accent1 4 4 2 2" xfId="4590" xr:uid="{00000000-0005-0000-0000-0000CB660000}"/>
    <cellStyle name="60% - Accent1 4 4 2 2 2" xfId="9710" xr:uid="{00000000-0005-0000-0000-0000CC660000}"/>
    <cellStyle name="60% - Accent1 4 4 2 2 2 2" xfId="19950" xr:uid="{00000000-0005-0000-0000-0000CD660000}"/>
    <cellStyle name="60% - Accent1 4 4 2 2 2 2 2" xfId="40430" xr:uid="{00000000-0005-0000-0000-0000CE660000}"/>
    <cellStyle name="60% - Accent1 4 4 2 2 2 3" xfId="30190" xr:uid="{00000000-0005-0000-0000-0000CF660000}"/>
    <cellStyle name="60% - Accent1 4 4 2 2 3" xfId="14830" xr:uid="{00000000-0005-0000-0000-0000D0660000}"/>
    <cellStyle name="60% - Accent1 4 4 2 2 3 2" xfId="35310" xr:uid="{00000000-0005-0000-0000-0000D1660000}"/>
    <cellStyle name="60% - Accent1 4 4 2 2 4" xfId="25070" xr:uid="{00000000-0005-0000-0000-0000D2660000}"/>
    <cellStyle name="60% - Accent1 4 4 2 3" xfId="7150" xr:uid="{00000000-0005-0000-0000-0000D3660000}"/>
    <cellStyle name="60% - Accent1 4 4 2 3 2" xfId="17390" xr:uid="{00000000-0005-0000-0000-0000D4660000}"/>
    <cellStyle name="60% - Accent1 4 4 2 3 2 2" xfId="37870" xr:uid="{00000000-0005-0000-0000-0000D5660000}"/>
    <cellStyle name="60% - Accent1 4 4 2 3 3" xfId="27630" xr:uid="{00000000-0005-0000-0000-0000D6660000}"/>
    <cellStyle name="60% - Accent1 4 4 2 4" xfId="12270" xr:uid="{00000000-0005-0000-0000-0000D7660000}"/>
    <cellStyle name="60% - Accent1 4 4 2 4 2" xfId="32750" xr:uid="{00000000-0005-0000-0000-0000D8660000}"/>
    <cellStyle name="60% - Accent1 4 4 2 5" xfId="22510" xr:uid="{00000000-0005-0000-0000-0000D9660000}"/>
    <cellStyle name="60% - Accent1 4 4 3" xfId="3310" xr:uid="{00000000-0005-0000-0000-0000DA660000}"/>
    <cellStyle name="60% - Accent1 4 4 3 2" xfId="8430" xr:uid="{00000000-0005-0000-0000-0000DB660000}"/>
    <cellStyle name="60% - Accent1 4 4 3 2 2" xfId="18670" xr:uid="{00000000-0005-0000-0000-0000DC660000}"/>
    <cellStyle name="60% - Accent1 4 4 3 2 2 2" xfId="39150" xr:uid="{00000000-0005-0000-0000-0000DD660000}"/>
    <cellStyle name="60% - Accent1 4 4 3 2 3" xfId="28910" xr:uid="{00000000-0005-0000-0000-0000DE660000}"/>
    <cellStyle name="60% - Accent1 4 4 3 3" xfId="13550" xr:uid="{00000000-0005-0000-0000-0000DF660000}"/>
    <cellStyle name="60% - Accent1 4 4 3 3 2" xfId="34030" xr:uid="{00000000-0005-0000-0000-0000E0660000}"/>
    <cellStyle name="60% - Accent1 4 4 3 4" xfId="23790" xr:uid="{00000000-0005-0000-0000-0000E1660000}"/>
    <cellStyle name="60% - Accent1 4 4 4" xfId="5870" xr:uid="{00000000-0005-0000-0000-0000E2660000}"/>
    <cellStyle name="60% - Accent1 4 4 4 2" xfId="16110" xr:uid="{00000000-0005-0000-0000-0000E3660000}"/>
    <cellStyle name="60% - Accent1 4 4 4 2 2" xfId="36590" xr:uid="{00000000-0005-0000-0000-0000E4660000}"/>
    <cellStyle name="60% - Accent1 4 4 4 3" xfId="26350" xr:uid="{00000000-0005-0000-0000-0000E5660000}"/>
    <cellStyle name="60% - Accent1 4 4 5" xfId="10990" xr:uid="{00000000-0005-0000-0000-0000E6660000}"/>
    <cellStyle name="60% - Accent1 4 4 5 2" xfId="31470" xr:uid="{00000000-0005-0000-0000-0000E7660000}"/>
    <cellStyle name="60% - Accent1 4 4 6" xfId="21230" xr:uid="{00000000-0005-0000-0000-0000E8660000}"/>
    <cellStyle name="60% - Accent1 4 5" xfId="1390" xr:uid="{00000000-0005-0000-0000-0000E9660000}"/>
    <cellStyle name="60% - Accent1 4 5 2" xfId="3950" xr:uid="{00000000-0005-0000-0000-0000EA660000}"/>
    <cellStyle name="60% - Accent1 4 5 2 2" xfId="9070" xr:uid="{00000000-0005-0000-0000-0000EB660000}"/>
    <cellStyle name="60% - Accent1 4 5 2 2 2" xfId="19310" xr:uid="{00000000-0005-0000-0000-0000EC660000}"/>
    <cellStyle name="60% - Accent1 4 5 2 2 2 2" xfId="39790" xr:uid="{00000000-0005-0000-0000-0000ED660000}"/>
    <cellStyle name="60% - Accent1 4 5 2 2 3" xfId="29550" xr:uid="{00000000-0005-0000-0000-0000EE660000}"/>
    <cellStyle name="60% - Accent1 4 5 2 3" xfId="14190" xr:uid="{00000000-0005-0000-0000-0000EF660000}"/>
    <cellStyle name="60% - Accent1 4 5 2 3 2" xfId="34670" xr:uid="{00000000-0005-0000-0000-0000F0660000}"/>
    <cellStyle name="60% - Accent1 4 5 2 4" xfId="24430" xr:uid="{00000000-0005-0000-0000-0000F1660000}"/>
    <cellStyle name="60% - Accent1 4 5 3" xfId="6510" xr:uid="{00000000-0005-0000-0000-0000F2660000}"/>
    <cellStyle name="60% - Accent1 4 5 3 2" xfId="16750" xr:uid="{00000000-0005-0000-0000-0000F3660000}"/>
    <cellStyle name="60% - Accent1 4 5 3 2 2" xfId="37230" xr:uid="{00000000-0005-0000-0000-0000F4660000}"/>
    <cellStyle name="60% - Accent1 4 5 3 3" xfId="26990" xr:uid="{00000000-0005-0000-0000-0000F5660000}"/>
    <cellStyle name="60% - Accent1 4 5 4" xfId="11630" xr:uid="{00000000-0005-0000-0000-0000F6660000}"/>
    <cellStyle name="60% - Accent1 4 5 4 2" xfId="32110" xr:uid="{00000000-0005-0000-0000-0000F7660000}"/>
    <cellStyle name="60% - Accent1 4 5 5" xfId="21870" xr:uid="{00000000-0005-0000-0000-0000F8660000}"/>
    <cellStyle name="60% - Accent1 4 6" xfId="2670" xr:uid="{00000000-0005-0000-0000-0000F9660000}"/>
    <cellStyle name="60% - Accent1 4 6 2" xfId="7790" xr:uid="{00000000-0005-0000-0000-0000FA660000}"/>
    <cellStyle name="60% - Accent1 4 6 2 2" xfId="18030" xr:uid="{00000000-0005-0000-0000-0000FB660000}"/>
    <cellStyle name="60% - Accent1 4 6 2 2 2" xfId="38510" xr:uid="{00000000-0005-0000-0000-0000FC660000}"/>
    <cellStyle name="60% - Accent1 4 6 2 3" xfId="28270" xr:uid="{00000000-0005-0000-0000-0000FD660000}"/>
    <cellStyle name="60% - Accent1 4 6 3" xfId="12910" xr:uid="{00000000-0005-0000-0000-0000FE660000}"/>
    <cellStyle name="60% - Accent1 4 6 3 2" xfId="33390" xr:uid="{00000000-0005-0000-0000-0000FF660000}"/>
    <cellStyle name="60% - Accent1 4 6 4" xfId="23150" xr:uid="{00000000-0005-0000-0000-000000670000}"/>
    <cellStyle name="60% - Accent1 4 7" xfId="5230" xr:uid="{00000000-0005-0000-0000-000001670000}"/>
    <cellStyle name="60% - Accent1 4 7 2" xfId="15470" xr:uid="{00000000-0005-0000-0000-000002670000}"/>
    <cellStyle name="60% - Accent1 4 7 2 2" xfId="35950" xr:uid="{00000000-0005-0000-0000-000003670000}"/>
    <cellStyle name="60% - Accent1 4 7 3" xfId="25710" xr:uid="{00000000-0005-0000-0000-000004670000}"/>
    <cellStyle name="60% - Accent1 4 8" xfId="10350" xr:uid="{00000000-0005-0000-0000-000005670000}"/>
    <cellStyle name="60% - Accent1 4 8 2" xfId="30830" xr:uid="{00000000-0005-0000-0000-000006670000}"/>
    <cellStyle name="60% - Accent1 4 9" xfId="20590" xr:uid="{00000000-0005-0000-0000-000007670000}"/>
    <cellStyle name="60% - Accent1 5" xfId="190" xr:uid="{00000000-0005-0000-0000-000008670000}"/>
    <cellStyle name="60% - Accent1 5 2" xfId="510" xr:uid="{00000000-0005-0000-0000-000009670000}"/>
    <cellStyle name="60% - Accent1 5 2 2" xfId="1150" xr:uid="{00000000-0005-0000-0000-00000A670000}"/>
    <cellStyle name="60% - Accent1 5 2 2 2" xfId="2430" xr:uid="{00000000-0005-0000-0000-00000B670000}"/>
    <cellStyle name="60% - Accent1 5 2 2 2 2" xfId="4990" xr:uid="{00000000-0005-0000-0000-00000C670000}"/>
    <cellStyle name="60% - Accent1 5 2 2 2 2 2" xfId="10110" xr:uid="{00000000-0005-0000-0000-00000D670000}"/>
    <cellStyle name="60% - Accent1 5 2 2 2 2 2 2" xfId="20350" xr:uid="{00000000-0005-0000-0000-00000E670000}"/>
    <cellStyle name="60% - Accent1 5 2 2 2 2 2 2 2" xfId="40830" xr:uid="{00000000-0005-0000-0000-00000F670000}"/>
    <cellStyle name="60% - Accent1 5 2 2 2 2 2 3" xfId="30590" xr:uid="{00000000-0005-0000-0000-000010670000}"/>
    <cellStyle name="60% - Accent1 5 2 2 2 2 3" xfId="15230" xr:uid="{00000000-0005-0000-0000-000011670000}"/>
    <cellStyle name="60% - Accent1 5 2 2 2 2 3 2" xfId="35710" xr:uid="{00000000-0005-0000-0000-000012670000}"/>
    <cellStyle name="60% - Accent1 5 2 2 2 2 4" xfId="25470" xr:uid="{00000000-0005-0000-0000-000013670000}"/>
    <cellStyle name="60% - Accent1 5 2 2 2 3" xfId="7550" xr:uid="{00000000-0005-0000-0000-000014670000}"/>
    <cellStyle name="60% - Accent1 5 2 2 2 3 2" xfId="17790" xr:uid="{00000000-0005-0000-0000-000015670000}"/>
    <cellStyle name="60% - Accent1 5 2 2 2 3 2 2" xfId="38270" xr:uid="{00000000-0005-0000-0000-000016670000}"/>
    <cellStyle name="60% - Accent1 5 2 2 2 3 3" xfId="28030" xr:uid="{00000000-0005-0000-0000-000017670000}"/>
    <cellStyle name="60% - Accent1 5 2 2 2 4" xfId="12670" xr:uid="{00000000-0005-0000-0000-000018670000}"/>
    <cellStyle name="60% - Accent1 5 2 2 2 4 2" xfId="33150" xr:uid="{00000000-0005-0000-0000-000019670000}"/>
    <cellStyle name="60% - Accent1 5 2 2 2 5" xfId="22910" xr:uid="{00000000-0005-0000-0000-00001A670000}"/>
    <cellStyle name="60% - Accent1 5 2 2 3" xfId="3710" xr:uid="{00000000-0005-0000-0000-00001B670000}"/>
    <cellStyle name="60% - Accent1 5 2 2 3 2" xfId="8830" xr:uid="{00000000-0005-0000-0000-00001C670000}"/>
    <cellStyle name="60% - Accent1 5 2 2 3 2 2" xfId="19070" xr:uid="{00000000-0005-0000-0000-00001D670000}"/>
    <cellStyle name="60% - Accent1 5 2 2 3 2 2 2" xfId="39550" xr:uid="{00000000-0005-0000-0000-00001E670000}"/>
    <cellStyle name="60% - Accent1 5 2 2 3 2 3" xfId="29310" xr:uid="{00000000-0005-0000-0000-00001F670000}"/>
    <cellStyle name="60% - Accent1 5 2 2 3 3" xfId="13950" xr:uid="{00000000-0005-0000-0000-000020670000}"/>
    <cellStyle name="60% - Accent1 5 2 2 3 3 2" xfId="34430" xr:uid="{00000000-0005-0000-0000-000021670000}"/>
    <cellStyle name="60% - Accent1 5 2 2 3 4" xfId="24190" xr:uid="{00000000-0005-0000-0000-000022670000}"/>
    <cellStyle name="60% - Accent1 5 2 2 4" xfId="6270" xr:uid="{00000000-0005-0000-0000-000023670000}"/>
    <cellStyle name="60% - Accent1 5 2 2 4 2" xfId="16510" xr:uid="{00000000-0005-0000-0000-000024670000}"/>
    <cellStyle name="60% - Accent1 5 2 2 4 2 2" xfId="36990" xr:uid="{00000000-0005-0000-0000-000025670000}"/>
    <cellStyle name="60% - Accent1 5 2 2 4 3" xfId="26750" xr:uid="{00000000-0005-0000-0000-000026670000}"/>
    <cellStyle name="60% - Accent1 5 2 2 5" xfId="11390" xr:uid="{00000000-0005-0000-0000-000027670000}"/>
    <cellStyle name="60% - Accent1 5 2 2 5 2" xfId="31870" xr:uid="{00000000-0005-0000-0000-000028670000}"/>
    <cellStyle name="60% - Accent1 5 2 2 6" xfId="21630" xr:uid="{00000000-0005-0000-0000-000029670000}"/>
    <cellStyle name="60% - Accent1 5 2 3" xfId="1790" xr:uid="{00000000-0005-0000-0000-00002A670000}"/>
    <cellStyle name="60% - Accent1 5 2 3 2" xfId="4350" xr:uid="{00000000-0005-0000-0000-00002B670000}"/>
    <cellStyle name="60% - Accent1 5 2 3 2 2" xfId="9470" xr:uid="{00000000-0005-0000-0000-00002C670000}"/>
    <cellStyle name="60% - Accent1 5 2 3 2 2 2" xfId="19710" xr:uid="{00000000-0005-0000-0000-00002D670000}"/>
    <cellStyle name="60% - Accent1 5 2 3 2 2 2 2" xfId="40190" xr:uid="{00000000-0005-0000-0000-00002E670000}"/>
    <cellStyle name="60% - Accent1 5 2 3 2 2 3" xfId="29950" xr:uid="{00000000-0005-0000-0000-00002F670000}"/>
    <cellStyle name="60% - Accent1 5 2 3 2 3" xfId="14590" xr:uid="{00000000-0005-0000-0000-000030670000}"/>
    <cellStyle name="60% - Accent1 5 2 3 2 3 2" xfId="35070" xr:uid="{00000000-0005-0000-0000-000031670000}"/>
    <cellStyle name="60% - Accent1 5 2 3 2 4" xfId="24830" xr:uid="{00000000-0005-0000-0000-000032670000}"/>
    <cellStyle name="60% - Accent1 5 2 3 3" xfId="6910" xr:uid="{00000000-0005-0000-0000-000033670000}"/>
    <cellStyle name="60% - Accent1 5 2 3 3 2" xfId="17150" xr:uid="{00000000-0005-0000-0000-000034670000}"/>
    <cellStyle name="60% - Accent1 5 2 3 3 2 2" xfId="37630" xr:uid="{00000000-0005-0000-0000-000035670000}"/>
    <cellStyle name="60% - Accent1 5 2 3 3 3" xfId="27390" xr:uid="{00000000-0005-0000-0000-000036670000}"/>
    <cellStyle name="60% - Accent1 5 2 3 4" xfId="12030" xr:uid="{00000000-0005-0000-0000-000037670000}"/>
    <cellStyle name="60% - Accent1 5 2 3 4 2" xfId="32510" xr:uid="{00000000-0005-0000-0000-000038670000}"/>
    <cellStyle name="60% - Accent1 5 2 3 5" xfId="22270" xr:uid="{00000000-0005-0000-0000-000039670000}"/>
    <cellStyle name="60% - Accent1 5 2 4" xfId="3070" xr:uid="{00000000-0005-0000-0000-00003A670000}"/>
    <cellStyle name="60% - Accent1 5 2 4 2" xfId="8190" xr:uid="{00000000-0005-0000-0000-00003B670000}"/>
    <cellStyle name="60% - Accent1 5 2 4 2 2" xfId="18430" xr:uid="{00000000-0005-0000-0000-00003C670000}"/>
    <cellStyle name="60% - Accent1 5 2 4 2 2 2" xfId="38910" xr:uid="{00000000-0005-0000-0000-00003D670000}"/>
    <cellStyle name="60% - Accent1 5 2 4 2 3" xfId="28670" xr:uid="{00000000-0005-0000-0000-00003E670000}"/>
    <cellStyle name="60% - Accent1 5 2 4 3" xfId="13310" xr:uid="{00000000-0005-0000-0000-00003F670000}"/>
    <cellStyle name="60% - Accent1 5 2 4 3 2" xfId="33790" xr:uid="{00000000-0005-0000-0000-000040670000}"/>
    <cellStyle name="60% - Accent1 5 2 4 4" xfId="23550" xr:uid="{00000000-0005-0000-0000-000041670000}"/>
    <cellStyle name="60% - Accent1 5 2 5" xfId="5630" xr:uid="{00000000-0005-0000-0000-000042670000}"/>
    <cellStyle name="60% - Accent1 5 2 5 2" xfId="15870" xr:uid="{00000000-0005-0000-0000-000043670000}"/>
    <cellStyle name="60% - Accent1 5 2 5 2 2" xfId="36350" xr:uid="{00000000-0005-0000-0000-000044670000}"/>
    <cellStyle name="60% - Accent1 5 2 5 3" xfId="26110" xr:uid="{00000000-0005-0000-0000-000045670000}"/>
    <cellStyle name="60% - Accent1 5 2 6" xfId="10750" xr:uid="{00000000-0005-0000-0000-000046670000}"/>
    <cellStyle name="60% - Accent1 5 2 6 2" xfId="31230" xr:uid="{00000000-0005-0000-0000-000047670000}"/>
    <cellStyle name="60% - Accent1 5 2 7" xfId="20990" xr:uid="{00000000-0005-0000-0000-000048670000}"/>
    <cellStyle name="60% - Accent1 5 3" xfId="830" xr:uid="{00000000-0005-0000-0000-000049670000}"/>
    <cellStyle name="60% - Accent1 5 3 2" xfId="2110" xr:uid="{00000000-0005-0000-0000-00004A670000}"/>
    <cellStyle name="60% - Accent1 5 3 2 2" xfId="4670" xr:uid="{00000000-0005-0000-0000-00004B670000}"/>
    <cellStyle name="60% - Accent1 5 3 2 2 2" xfId="9790" xr:uid="{00000000-0005-0000-0000-00004C670000}"/>
    <cellStyle name="60% - Accent1 5 3 2 2 2 2" xfId="20030" xr:uid="{00000000-0005-0000-0000-00004D670000}"/>
    <cellStyle name="60% - Accent1 5 3 2 2 2 2 2" xfId="40510" xr:uid="{00000000-0005-0000-0000-00004E670000}"/>
    <cellStyle name="60% - Accent1 5 3 2 2 2 3" xfId="30270" xr:uid="{00000000-0005-0000-0000-00004F670000}"/>
    <cellStyle name="60% - Accent1 5 3 2 2 3" xfId="14910" xr:uid="{00000000-0005-0000-0000-000050670000}"/>
    <cellStyle name="60% - Accent1 5 3 2 2 3 2" xfId="35390" xr:uid="{00000000-0005-0000-0000-000051670000}"/>
    <cellStyle name="60% - Accent1 5 3 2 2 4" xfId="25150" xr:uid="{00000000-0005-0000-0000-000052670000}"/>
    <cellStyle name="60% - Accent1 5 3 2 3" xfId="7230" xr:uid="{00000000-0005-0000-0000-000053670000}"/>
    <cellStyle name="60% - Accent1 5 3 2 3 2" xfId="17470" xr:uid="{00000000-0005-0000-0000-000054670000}"/>
    <cellStyle name="60% - Accent1 5 3 2 3 2 2" xfId="37950" xr:uid="{00000000-0005-0000-0000-000055670000}"/>
    <cellStyle name="60% - Accent1 5 3 2 3 3" xfId="27710" xr:uid="{00000000-0005-0000-0000-000056670000}"/>
    <cellStyle name="60% - Accent1 5 3 2 4" xfId="12350" xr:uid="{00000000-0005-0000-0000-000057670000}"/>
    <cellStyle name="60% - Accent1 5 3 2 4 2" xfId="32830" xr:uid="{00000000-0005-0000-0000-000058670000}"/>
    <cellStyle name="60% - Accent1 5 3 2 5" xfId="22590" xr:uid="{00000000-0005-0000-0000-000059670000}"/>
    <cellStyle name="60% - Accent1 5 3 3" xfId="3390" xr:uid="{00000000-0005-0000-0000-00005A670000}"/>
    <cellStyle name="60% - Accent1 5 3 3 2" xfId="8510" xr:uid="{00000000-0005-0000-0000-00005B670000}"/>
    <cellStyle name="60% - Accent1 5 3 3 2 2" xfId="18750" xr:uid="{00000000-0005-0000-0000-00005C670000}"/>
    <cellStyle name="60% - Accent1 5 3 3 2 2 2" xfId="39230" xr:uid="{00000000-0005-0000-0000-00005D670000}"/>
    <cellStyle name="60% - Accent1 5 3 3 2 3" xfId="28990" xr:uid="{00000000-0005-0000-0000-00005E670000}"/>
    <cellStyle name="60% - Accent1 5 3 3 3" xfId="13630" xr:uid="{00000000-0005-0000-0000-00005F670000}"/>
    <cellStyle name="60% - Accent1 5 3 3 3 2" xfId="34110" xr:uid="{00000000-0005-0000-0000-000060670000}"/>
    <cellStyle name="60% - Accent1 5 3 3 4" xfId="23870" xr:uid="{00000000-0005-0000-0000-000061670000}"/>
    <cellStyle name="60% - Accent1 5 3 4" xfId="5950" xr:uid="{00000000-0005-0000-0000-000062670000}"/>
    <cellStyle name="60% - Accent1 5 3 4 2" xfId="16190" xr:uid="{00000000-0005-0000-0000-000063670000}"/>
    <cellStyle name="60% - Accent1 5 3 4 2 2" xfId="36670" xr:uid="{00000000-0005-0000-0000-000064670000}"/>
    <cellStyle name="60% - Accent1 5 3 4 3" xfId="26430" xr:uid="{00000000-0005-0000-0000-000065670000}"/>
    <cellStyle name="60% - Accent1 5 3 5" xfId="11070" xr:uid="{00000000-0005-0000-0000-000066670000}"/>
    <cellStyle name="60% - Accent1 5 3 5 2" xfId="31550" xr:uid="{00000000-0005-0000-0000-000067670000}"/>
    <cellStyle name="60% - Accent1 5 3 6" xfId="21310" xr:uid="{00000000-0005-0000-0000-000068670000}"/>
    <cellStyle name="60% - Accent1 5 4" xfId="1470" xr:uid="{00000000-0005-0000-0000-000069670000}"/>
    <cellStyle name="60% - Accent1 5 4 2" xfId="4030" xr:uid="{00000000-0005-0000-0000-00006A670000}"/>
    <cellStyle name="60% - Accent1 5 4 2 2" xfId="9150" xr:uid="{00000000-0005-0000-0000-00006B670000}"/>
    <cellStyle name="60% - Accent1 5 4 2 2 2" xfId="19390" xr:uid="{00000000-0005-0000-0000-00006C670000}"/>
    <cellStyle name="60% - Accent1 5 4 2 2 2 2" xfId="39870" xr:uid="{00000000-0005-0000-0000-00006D670000}"/>
    <cellStyle name="60% - Accent1 5 4 2 2 3" xfId="29630" xr:uid="{00000000-0005-0000-0000-00006E670000}"/>
    <cellStyle name="60% - Accent1 5 4 2 3" xfId="14270" xr:uid="{00000000-0005-0000-0000-00006F670000}"/>
    <cellStyle name="60% - Accent1 5 4 2 3 2" xfId="34750" xr:uid="{00000000-0005-0000-0000-000070670000}"/>
    <cellStyle name="60% - Accent1 5 4 2 4" xfId="24510" xr:uid="{00000000-0005-0000-0000-000071670000}"/>
    <cellStyle name="60% - Accent1 5 4 3" xfId="6590" xr:uid="{00000000-0005-0000-0000-000072670000}"/>
    <cellStyle name="60% - Accent1 5 4 3 2" xfId="16830" xr:uid="{00000000-0005-0000-0000-000073670000}"/>
    <cellStyle name="60% - Accent1 5 4 3 2 2" xfId="37310" xr:uid="{00000000-0005-0000-0000-000074670000}"/>
    <cellStyle name="60% - Accent1 5 4 3 3" xfId="27070" xr:uid="{00000000-0005-0000-0000-000075670000}"/>
    <cellStyle name="60% - Accent1 5 4 4" xfId="11710" xr:uid="{00000000-0005-0000-0000-000076670000}"/>
    <cellStyle name="60% - Accent1 5 4 4 2" xfId="32190" xr:uid="{00000000-0005-0000-0000-000077670000}"/>
    <cellStyle name="60% - Accent1 5 4 5" xfId="21950" xr:uid="{00000000-0005-0000-0000-000078670000}"/>
    <cellStyle name="60% - Accent1 5 5" xfId="2750" xr:uid="{00000000-0005-0000-0000-000079670000}"/>
    <cellStyle name="60% - Accent1 5 5 2" xfId="7870" xr:uid="{00000000-0005-0000-0000-00007A670000}"/>
    <cellStyle name="60% - Accent1 5 5 2 2" xfId="18110" xr:uid="{00000000-0005-0000-0000-00007B670000}"/>
    <cellStyle name="60% - Accent1 5 5 2 2 2" xfId="38590" xr:uid="{00000000-0005-0000-0000-00007C670000}"/>
    <cellStyle name="60% - Accent1 5 5 2 3" xfId="28350" xr:uid="{00000000-0005-0000-0000-00007D670000}"/>
    <cellStyle name="60% - Accent1 5 5 3" xfId="12990" xr:uid="{00000000-0005-0000-0000-00007E670000}"/>
    <cellStyle name="60% - Accent1 5 5 3 2" xfId="33470" xr:uid="{00000000-0005-0000-0000-00007F670000}"/>
    <cellStyle name="60% - Accent1 5 5 4" xfId="23230" xr:uid="{00000000-0005-0000-0000-000080670000}"/>
    <cellStyle name="60% - Accent1 5 6" xfId="5310" xr:uid="{00000000-0005-0000-0000-000081670000}"/>
    <cellStyle name="60% - Accent1 5 6 2" xfId="15550" xr:uid="{00000000-0005-0000-0000-000082670000}"/>
    <cellStyle name="60% - Accent1 5 6 2 2" xfId="36030" xr:uid="{00000000-0005-0000-0000-000083670000}"/>
    <cellStyle name="60% - Accent1 5 6 3" xfId="25790" xr:uid="{00000000-0005-0000-0000-000084670000}"/>
    <cellStyle name="60% - Accent1 5 7" xfId="10430" xr:uid="{00000000-0005-0000-0000-000085670000}"/>
    <cellStyle name="60% - Accent1 5 7 2" xfId="30910" xr:uid="{00000000-0005-0000-0000-000086670000}"/>
    <cellStyle name="60% - Accent1 5 8" xfId="20670" xr:uid="{00000000-0005-0000-0000-000087670000}"/>
    <cellStyle name="60% - Accent1 6" xfId="350" xr:uid="{00000000-0005-0000-0000-000088670000}"/>
    <cellStyle name="60% - Accent1 6 2" xfId="990" xr:uid="{00000000-0005-0000-0000-000089670000}"/>
    <cellStyle name="60% - Accent1 6 2 2" xfId="2270" xr:uid="{00000000-0005-0000-0000-00008A670000}"/>
    <cellStyle name="60% - Accent1 6 2 2 2" xfId="4830" xr:uid="{00000000-0005-0000-0000-00008B670000}"/>
    <cellStyle name="60% - Accent1 6 2 2 2 2" xfId="9950" xr:uid="{00000000-0005-0000-0000-00008C670000}"/>
    <cellStyle name="60% - Accent1 6 2 2 2 2 2" xfId="20190" xr:uid="{00000000-0005-0000-0000-00008D670000}"/>
    <cellStyle name="60% - Accent1 6 2 2 2 2 2 2" xfId="40670" xr:uid="{00000000-0005-0000-0000-00008E670000}"/>
    <cellStyle name="60% - Accent1 6 2 2 2 2 3" xfId="30430" xr:uid="{00000000-0005-0000-0000-00008F670000}"/>
    <cellStyle name="60% - Accent1 6 2 2 2 3" xfId="15070" xr:uid="{00000000-0005-0000-0000-000090670000}"/>
    <cellStyle name="60% - Accent1 6 2 2 2 3 2" xfId="35550" xr:uid="{00000000-0005-0000-0000-000091670000}"/>
    <cellStyle name="60% - Accent1 6 2 2 2 4" xfId="25310" xr:uid="{00000000-0005-0000-0000-000092670000}"/>
    <cellStyle name="60% - Accent1 6 2 2 3" xfId="7390" xr:uid="{00000000-0005-0000-0000-000093670000}"/>
    <cellStyle name="60% - Accent1 6 2 2 3 2" xfId="17630" xr:uid="{00000000-0005-0000-0000-000094670000}"/>
    <cellStyle name="60% - Accent1 6 2 2 3 2 2" xfId="38110" xr:uid="{00000000-0005-0000-0000-000095670000}"/>
    <cellStyle name="60% - Accent1 6 2 2 3 3" xfId="27870" xr:uid="{00000000-0005-0000-0000-000096670000}"/>
    <cellStyle name="60% - Accent1 6 2 2 4" xfId="12510" xr:uid="{00000000-0005-0000-0000-000097670000}"/>
    <cellStyle name="60% - Accent1 6 2 2 4 2" xfId="32990" xr:uid="{00000000-0005-0000-0000-000098670000}"/>
    <cellStyle name="60% - Accent1 6 2 2 5" xfId="22750" xr:uid="{00000000-0005-0000-0000-000099670000}"/>
    <cellStyle name="60% - Accent1 6 2 3" xfId="3550" xr:uid="{00000000-0005-0000-0000-00009A670000}"/>
    <cellStyle name="60% - Accent1 6 2 3 2" xfId="8670" xr:uid="{00000000-0005-0000-0000-00009B670000}"/>
    <cellStyle name="60% - Accent1 6 2 3 2 2" xfId="18910" xr:uid="{00000000-0005-0000-0000-00009C670000}"/>
    <cellStyle name="60% - Accent1 6 2 3 2 2 2" xfId="39390" xr:uid="{00000000-0005-0000-0000-00009D670000}"/>
    <cellStyle name="60% - Accent1 6 2 3 2 3" xfId="29150" xr:uid="{00000000-0005-0000-0000-00009E670000}"/>
    <cellStyle name="60% - Accent1 6 2 3 3" xfId="13790" xr:uid="{00000000-0005-0000-0000-00009F670000}"/>
    <cellStyle name="60% - Accent1 6 2 3 3 2" xfId="34270" xr:uid="{00000000-0005-0000-0000-0000A0670000}"/>
    <cellStyle name="60% - Accent1 6 2 3 4" xfId="24030" xr:uid="{00000000-0005-0000-0000-0000A1670000}"/>
    <cellStyle name="60% - Accent1 6 2 4" xfId="6110" xr:uid="{00000000-0005-0000-0000-0000A2670000}"/>
    <cellStyle name="60% - Accent1 6 2 4 2" xfId="16350" xr:uid="{00000000-0005-0000-0000-0000A3670000}"/>
    <cellStyle name="60% - Accent1 6 2 4 2 2" xfId="36830" xr:uid="{00000000-0005-0000-0000-0000A4670000}"/>
    <cellStyle name="60% - Accent1 6 2 4 3" xfId="26590" xr:uid="{00000000-0005-0000-0000-0000A5670000}"/>
    <cellStyle name="60% - Accent1 6 2 5" xfId="11230" xr:uid="{00000000-0005-0000-0000-0000A6670000}"/>
    <cellStyle name="60% - Accent1 6 2 5 2" xfId="31710" xr:uid="{00000000-0005-0000-0000-0000A7670000}"/>
    <cellStyle name="60% - Accent1 6 2 6" xfId="21470" xr:uid="{00000000-0005-0000-0000-0000A8670000}"/>
    <cellStyle name="60% - Accent1 6 3" xfId="1630" xr:uid="{00000000-0005-0000-0000-0000A9670000}"/>
    <cellStyle name="60% - Accent1 6 3 2" xfId="4190" xr:uid="{00000000-0005-0000-0000-0000AA670000}"/>
    <cellStyle name="60% - Accent1 6 3 2 2" xfId="9310" xr:uid="{00000000-0005-0000-0000-0000AB670000}"/>
    <cellStyle name="60% - Accent1 6 3 2 2 2" xfId="19550" xr:uid="{00000000-0005-0000-0000-0000AC670000}"/>
    <cellStyle name="60% - Accent1 6 3 2 2 2 2" xfId="40030" xr:uid="{00000000-0005-0000-0000-0000AD670000}"/>
    <cellStyle name="60% - Accent1 6 3 2 2 3" xfId="29790" xr:uid="{00000000-0005-0000-0000-0000AE670000}"/>
    <cellStyle name="60% - Accent1 6 3 2 3" xfId="14430" xr:uid="{00000000-0005-0000-0000-0000AF670000}"/>
    <cellStyle name="60% - Accent1 6 3 2 3 2" xfId="34910" xr:uid="{00000000-0005-0000-0000-0000B0670000}"/>
    <cellStyle name="60% - Accent1 6 3 2 4" xfId="24670" xr:uid="{00000000-0005-0000-0000-0000B1670000}"/>
    <cellStyle name="60% - Accent1 6 3 3" xfId="6750" xr:uid="{00000000-0005-0000-0000-0000B2670000}"/>
    <cellStyle name="60% - Accent1 6 3 3 2" xfId="16990" xr:uid="{00000000-0005-0000-0000-0000B3670000}"/>
    <cellStyle name="60% - Accent1 6 3 3 2 2" xfId="37470" xr:uid="{00000000-0005-0000-0000-0000B4670000}"/>
    <cellStyle name="60% - Accent1 6 3 3 3" xfId="27230" xr:uid="{00000000-0005-0000-0000-0000B5670000}"/>
    <cellStyle name="60% - Accent1 6 3 4" xfId="11870" xr:uid="{00000000-0005-0000-0000-0000B6670000}"/>
    <cellStyle name="60% - Accent1 6 3 4 2" xfId="32350" xr:uid="{00000000-0005-0000-0000-0000B7670000}"/>
    <cellStyle name="60% - Accent1 6 3 5" xfId="22110" xr:uid="{00000000-0005-0000-0000-0000B8670000}"/>
    <cellStyle name="60% - Accent1 6 4" xfId="2910" xr:uid="{00000000-0005-0000-0000-0000B9670000}"/>
    <cellStyle name="60% - Accent1 6 4 2" xfId="8030" xr:uid="{00000000-0005-0000-0000-0000BA670000}"/>
    <cellStyle name="60% - Accent1 6 4 2 2" xfId="18270" xr:uid="{00000000-0005-0000-0000-0000BB670000}"/>
    <cellStyle name="60% - Accent1 6 4 2 2 2" xfId="38750" xr:uid="{00000000-0005-0000-0000-0000BC670000}"/>
    <cellStyle name="60% - Accent1 6 4 2 3" xfId="28510" xr:uid="{00000000-0005-0000-0000-0000BD670000}"/>
    <cellStyle name="60% - Accent1 6 4 3" xfId="13150" xr:uid="{00000000-0005-0000-0000-0000BE670000}"/>
    <cellStyle name="60% - Accent1 6 4 3 2" xfId="33630" xr:uid="{00000000-0005-0000-0000-0000BF670000}"/>
    <cellStyle name="60% - Accent1 6 4 4" xfId="23390" xr:uid="{00000000-0005-0000-0000-0000C0670000}"/>
    <cellStyle name="60% - Accent1 6 5" xfId="5470" xr:uid="{00000000-0005-0000-0000-0000C1670000}"/>
    <cellStyle name="60% - Accent1 6 5 2" xfId="15710" xr:uid="{00000000-0005-0000-0000-0000C2670000}"/>
    <cellStyle name="60% - Accent1 6 5 2 2" xfId="36190" xr:uid="{00000000-0005-0000-0000-0000C3670000}"/>
    <cellStyle name="60% - Accent1 6 5 3" xfId="25950" xr:uid="{00000000-0005-0000-0000-0000C4670000}"/>
    <cellStyle name="60% - Accent1 6 6" xfId="10590" xr:uid="{00000000-0005-0000-0000-0000C5670000}"/>
    <cellStyle name="60% - Accent1 6 6 2" xfId="31070" xr:uid="{00000000-0005-0000-0000-0000C6670000}"/>
    <cellStyle name="60% - Accent1 6 7" xfId="20830" xr:uid="{00000000-0005-0000-0000-0000C7670000}"/>
    <cellStyle name="60% - Accent1 7" xfId="670" xr:uid="{00000000-0005-0000-0000-0000C8670000}"/>
    <cellStyle name="60% - Accent1 7 2" xfId="1950" xr:uid="{00000000-0005-0000-0000-0000C9670000}"/>
    <cellStyle name="60% - Accent1 7 2 2" xfId="4510" xr:uid="{00000000-0005-0000-0000-0000CA670000}"/>
    <cellStyle name="60% - Accent1 7 2 2 2" xfId="9630" xr:uid="{00000000-0005-0000-0000-0000CB670000}"/>
    <cellStyle name="60% - Accent1 7 2 2 2 2" xfId="19870" xr:uid="{00000000-0005-0000-0000-0000CC670000}"/>
    <cellStyle name="60% - Accent1 7 2 2 2 2 2" xfId="40350" xr:uid="{00000000-0005-0000-0000-0000CD670000}"/>
    <cellStyle name="60% - Accent1 7 2 2 2 3" xfId="30110" xr:uid="{00000000-0005-0000-0000-0000CE670000}"/>
    <cellStyle name="60% - Accent1 7 2 2 3" xfId="14750" xr:uid="{00000000-0005-0000-0000-0000CF670000}"/>
    <cellStyle name="60% - Accent1 7 2 2 3 2" xfId="35230" xr:uid="{00000000-0005-0000-0000-0000D0670000}"/>
    <cellStyle name="60% - Accent1 7 2 2 4" xfId="24990" xr:uid="{00000000-0005-0000-0000-0000D1670000}"/>
    <cellStyle name="60% - Accent1 7 2 3" xfId="7070" xr:uid="{00000000-0005-0000-0000-0000D2670000}"/>
    <cellStyle name="60% - Accent1 7 2 3 2" xfId="17310" xr:uid="{00000000-0005-0000-0000-0000D3670000}"/>
    <cellStyle name="60% - Accent1 7 2 3 2 2" xfId="37790" xr:uid="{00000000-0005-0000-0000-0000D4670000}"/>
    <cellStyle name="60% - Accent1 7 2 3 3" xfId="27550" xr:uid="{00000000-0005-0000-0000-0000D5670000}"/>
    <cellStyle name="60% - Accent1 7 2 4" xfId="12190" xr:uid="{00000000-0005-0000-0000-0000D6670000}"/>
    <cellStyle name="60% - Accent1 7 2 4 2" xfId="32670" xr:uid="{00000000-0005-0000-0000-0000D7670000}"/>
    <cellStyle name="60% - Accent1 7 2 5" xfId="22430" xr:uid="{00000000-0005-0000-0000-0000D8670000}"/>
    <cellStyle name="60% - Accent1 7 3" xfId="3230" xr:uid="{00000000-0005-0000-0000-0000D9670000}"/>
    <cellStyle name="60% - Accent1 7 3 2" xfId="8350" xr:uid="{00000000-0005-0000-0000-0000DA670000}"/>
    <cellStyle name="60% - Accent1 7 3 2 2" xfId="18590" xr:uid="{00000000-0005-0000-0000-0000DB670000}"/>
    <cellStyle name="60% - Accent1 7 3 2 2 2" xfId="39070" xr:uid="{00000000-0005-0000-0000-0000DC670000}"/>
    <cellStyle name="60% - Accent1 7 3 2 3" xfId="28830" xr:uid="{00000000-0005-0000-0000-0000DD670000}"/>
    <cellStyle name="60% - Accent1 7 3 3" xfId="13470" xr:uid="{00000000-0005-0000-0000-0000DE670000}"/>
    <cellStyle name="60% - Accent1 7 3 3 2" xfId="33950" xr:uid="{00000000-0005-0000-0000-0000DF670000}"/>
    <cellStyle name="60% - Accent1 7 3 4" xfId="23710" xr:uid="{00000000-0005-0000-0000-0000E0670000}"/>
    <cellStyle name="60% - Accent1 7 4" xfId="5790" xr:uid="{00000000-0005-0000-0000-0000E1670000}"/>
    <cellStyle name="60% - Accent1 7 4 2" xfId="16030" xr:uid="{00000000-0005-0000-0000-0000E2670000}"/>
    <cellStyle name="60% - Accent1 7 4 2 2" xfId="36510" xr:uid="{00000000-0005-0000-0000-0000E3670000}"/>
    <cellStyle name="60% - Accent1 7 4 3" xfId="26270" xr:uid="{00000000-0005-0000-0000-0000E4670000}"/>
    <cellStyle name="60% - Accent1 7 5" xfId="10910" xr:uid="{00000000-0005-0000-0000-0000E5670000}"/>
    <cellStyle name="60% - Accent1 7 5 2" xfId="31390" xr:uid="{00000000-0005-0000-0000-0000E6670000}"/>
    <cellStyle name="60% - Accent1 7 6" xfId="21150" xr:uid="{00000000-0005-0000-0000-0000E7670000}"/>
    <cellStyle name="60% - Accent1 8" xfId="1310" xr:uid="{00000000-0005-0000-0000-0000E8670000}"/>
    <cellStyle name="60% - Accent1 8 2" xfId="3870" xr:uid="{00000000-0005-0000-0000-0000E9670000}"/>
    <cellStyle name="60% - Accent1 8 2 2" xfId="8990" xr:uid="{00000000-0005-0000-0000-0000EA670000}"/>
    <cellStyle name="60% - Accent1 8 2 2 2" xfId="19230" xr:uid="{00000000-0005-0000-0000-0000EB670000}"/>
    <cellStyle name="60% - Accent1 8 2 2 2 2" xfId="39710" xr:uid="{00000000-0005-0000-0000-0000EC670000}"/>
    <cellStyle name="60% - Accent1 8 2 2 3" xfId="29470" xr:uid="{00000000-0005-0000-0000-0000ED670000}"/>
    <cellStyle name="60% - Accent1 8 2 3" xfId="14110" xr:uid="{00000000-0005-0000-0000-0000EE670000}"/>
    <cellStyle name="60% - Accent1 8 2 3 2" xfId="34590" xr:uid="{00000000-0005-0000-0000-0000EF670000}"/>
    <cellStyle name="60% - Accent1 8 2 4" xfId="24350" xr:uid="{00000000-0005-0000-0000-0000F0670000}"/>
    <cellStyle name="60% - Accent1 8 3" xfId="6430" xr:uid="{00000000-0005-0000-0000-0000F1670000}"/>
    <cellStyle name="60% - Accent1 8 3 2" xfId="16670" xr:uid="{00000000-0005-0000-0000-0000F2670000}"/>
    <cellStyle name="60% - Accent1 8 3 2 2" xfId="37150" xr:uid="{00000000-0005-0000-0000-0000F3670000}"/>
    <cellStyle name="60% - Accent1 8 3 3" xfId="26910" xr:uid="{00000000-0005-0000-0000-0000F4670000}"/>
    <cellStyle name="60% - Accent1 8 4" xfId="11550" xr:uid="{00000000-0005-0000-0000-0000F5670000}"/>
    <cellStyle name="60% - Accent1 8 4 2" xfId="32030" xr:uid="{00000000-0005-0000-0000-0000F6670000}"/>
    <cellStyle name="60% - Accent1 8 5" xfId="21790" xr:uid="{00000000-0005-0000-0000-0000F7670000}"/>
    <cellStyle name="60% - Accent1 9" xfId="2590" xr:uid="{00000000-0005-0000-0000-0000F8670000}"/>
    <cellStyle name="60% - Accent1 9 2" xfId="7710" xr:uid="{00000000-0005-0000-0000-0000F9670000}"/>
    <cellStyle name="60% - Accent1 9 2 2" xfId="17950" xr:uid="{00000000-0005-0000-0000-0000FA670000}"/>
    <cellStyle name="60% - Accent1 9 2 2 2" xfId="38430" xr:uid="{00000000-0005-0000-0000-0000FB670000}"/>
    <cellStyle name="60% - Accent1 9 2 3" xfId="28190" xr:uid="{00000000-0005-0000-0000-0000FC670000}"/>
    <cellStyle name="60% - Accent1 9 3" xfId="12830" xr:uid="{00000000-0005-0000-0000-0000FD670000}"/>
    <cellStyle name="60% - Accent1 9 3 2" xfId="33310" xr:uid="{00000000-0005-0000-0000-0000FE670000}"/>
    <cellStyle name="60% - Accent1 9 4" xfId="23070" xr:uid="{00000000-0005-0000-0000-0000FF670000}"/>
    <cellStyle name="60% - Accent2 10" xfId="5153" xr:uid="{00000000-0005-0000-0000-000000680000}"/>
    <cellStyle name="60% - Accent2 10 2" xfId="15393" xr:uid="{00000000-0005-0000-0000-000001680000}"/>
    <cellStyle name="60% - Accent2 10 2 2" xfId="35873" xr:uid="{00000000-0005-0000-0000-000002680000}"/>
    <cellStyle name="60% - Accent2 10 3" xfId="25633" xr:uid="{00000000-0005-0000-0000-000003680000}"/>
    <cellStyle name="60% - Accent2 11" xfId="10273" xr:uid="{00000000-0005-0000-0000-000004680000}"/>
    <cellStyle name="60% - Accent2 11 2" xfId="30753" xr:uid="{00000000-0005-0000-0000-000005680000}"/>
    <cellStyle name="60% - Accent2 12" xfId="20513" xr:uid="{00000000-0005-0000-0000-000006680000}"/>
    <cellStyle name="60% - Accent2 13" xfId="29" xr:uid="{00000000-0005-0000-0000-000007680000}"/>
    <cellStyle name="60% - Accent2 2" xfId="53" xr:uid="{00000000-0005-0000-0000-000008680000}"/>
    <cellStyle name="60% - Accent2 2 10" xfId="10293" xr:uid="{00000000-0005-0000-0000-000009680000}"/>
    <cellStyle name="60% - Accent2 2 10 2" xfId="30773" xr:uid="{00000000-0005-0000-0000-00000A680000}"/>
    <cellStyle name="60% - Accent2 2 11" xfId="20533" xr:uid="{00000000-0005-0000-0000-00000B680000}"/>
    <cellStyle name="60% - Accent2 2 2" xfId="93" xr:uid="{00000000-0005-0000-0000-00000C680000}"/>
    <cellStyle name="60% - Accent2 2 2 10" xfId="20573" xr:uid="{00000000-0005-0000-0000-00000D680000}"/>
    <cellStyle name="60% - Accent2 2 2 2" xfId="173" xr:uid="{00000000-0005-0000-0000-00000E680000}"/>
    <cellStyle name="60% - Accent2 2 2 2 2" xfId="333" xr:uid="{00000000-0005-0000-0000-00000F680000}"/>
    <cellStyle name="60% - Accent2 2 2 2 2 2" xfId="653" xr:uid="{00000000-0005-0000-0000-000010680000}"/>
    <cellStyle name="60% - Accent2 2 2 2 2 2 2" xfId="1293" xr:uid="{00000000-0005-0000-0000-000011680000}"/>
    <cellStyle name="60% - Accent2 2 2 2 2 2 2 2" xfId="2573" xr:uid="{00000000-0005-0000-0000-000012680000}"/>
    <cellStyle name="60% - Accent2 2 2 2 2 2 2 2 2" xfId="5133" xr:uid="{00000000-0005-0000-0000-000013680000}"/>
    <cellStyle name="60% - Accent2 2 2 2 2 2 2 2 2 2" xfId="10253" xr:uid="{00000000-0005-0000-0000-000014680000}"/>
    <cellStyle name="60% - Accent2 2 2 2 2 2 2 2 2 2 2" xfId="20493" xr:uid="{00000000-0005-0000-0000-000015680000}"/>
    <cellStyle name="60% - Accent2 2 2 2 2 2 2 2 2 2 2 2" xfId="40973" xr:uid="{00000000-0005-0000-0000-000016680000}"/>
    <cellStyle name="60% - Accent2 2 2 2 2 2 2 2 2 2 3" xfId="30733" xr:uid="{00000000-0005-0000-0000-000017680000}"/>
    <cellStyle name="60% - Accent2 2 2 2 2 2 2 2 2 3" xfId="15373" xr:uid="{00000000-0005-0000-0000-000018680000}"/>
    <cellStyle name="60% - Accent2 2 2 2 2 2 2 2 2 3 2" xfId="35853" xr:uid="{00000000-0005-0000-0000-000019680000}"/>
    <cellStyle name="60% - Accent2 2 2 2 2 2 2 2 2 4" xfId="25613" xr:uid="{00000000-0005-0000-0000-00001A680000}"/>
    <cellStyle name="60% - Accent2 2 2 2 2 2 2 2 3" xfId="7693" xr:uid="{00000000-0005-0000-0000-00001B680000}"/>
    <cellStyle name="60% - Accent2 2 2 2 2 2 2 2 3 2" xfId="17933" xr:uid="{00000000-0005-0000-0000-00001C680000}"/>
    <cellStyle name="60% - Accent2 2 2 2 2 2 2 2 3 2 2" xfId="38413" xr:uid="{00000000-0005-0000-0000-00001D680000}"/>
    <cellStyle name="60% - Accent2 2 2 2 2 2 2 2 3 3" xfId="28173" xr:uid="{00000000-0005-0000-0000-00001E680000}"/>
    <cellStyle name="60% - Accent2 2 2 2 2 2 2 2 4" xfId="12813" xr:uid="{00000000-0005-0000-0000-00001F680000}"/>
    <cellStyle name="60% - Accent2 2 2 2 2 2 2 2 4 2" xfId="33293" xr:uid="{00000000-0005-0000-0000-000020680000}"/>
    <cellStyle name="60% - Accent2 2 2 2 2 2 2 2 5" xfId="23053" xr:uid="{00000000-0005-0000-0000-000021680000}"/>
    <cellStyle name="60% - Accent2 2 2 2 2 2 2 3" xfId="3853" xr:uid="{00000000-0005-0000-0000-000022680000}"/>
    <cellStyle name="60% - Accent2 2 2 2 2 2 2 3 2" xfId="8973" xr:uid="{00000000-0005-0000-0000-000023680000}"/>
    <cellStyle name="60% - Accent2 2 2 2 2 2 2 3 2 2" xfId="19213" xr:uid="{00000000-0005-0000-0000-000024680000}"/>
    <cellStyle name="60% - Accent2 2 2 2 2 2 2 3 2 2 2" xfId="39693" xr:uid="{00000000-0005-0000-0000-000025680000}"/>
    <cellStyle name="60% - Accent2 2 2 2 2 2 2 3 2 3" xfId="29453" xr:uid="{00000000-0005-0000-0000-000026680000}"/>
    <cellStyle name="60% - Accent2 2 2 2 2 2 2 3 3" xfId="14093" xr:uid="{00000000-0005-0000-0000-000027680000}"/>
    <cellStyle name="60% - Accent2 2 2 2 2 2 2 3 3 2" xfId="34573" xr:uid="{00000000-0005-0000-0000-000028680000}"/>
    <cellStyle name="60% - Accent2 2 2 2 2 2 2 3 4" xfId="24333" xr:uid="{00000000-0005-0000-0000-000029680000}"/>
    <cellStyle name="60% - Accent2 2 2 2 2 2 2 4" xfId="6413" xr:uid="{00000000-0005-0000-0000-00002A680000}"/>
    <cellStyle name="60% - Accent2 2 2 2 2 2 2 4 2" xfId="16653" xr:uid="{00000000-0005-0000-0000-00002B680000}"/>
    <cellStyle name="60% - Accent2 2 2 2 2 2 2 4 2 2" xfId="37133" xr:uid="{00000000-0005-0000-0000-00002C680000}"/>
    <cellStyle name="60% - Accent2 2 2 2 2 2 2 4 3" xfId="26893" xr:uid="{00000000-0005-0000-0000-00002D680000}"/>
    <cellStyle name="60% - Accent2 2 2 2 2 2 2 5" xfId="11533" xr:uid="{00000000-0005-0000-0000-00002E680000}"/>
    <cellStyle name="60% - Accent2 2 2 2 2 2 2 5 2" xfId="32013" xr:uid="{00000000-0005-0000-0000-00002F680000}"/>
    <cellStyle name="60% - Accent2 2 2 2 2 2 2 6" xfId="21773" xr:uid="{00000000-0005-0000-0000-000030680000}"/>
    <cellStyle name="60% - Accent2 2 2 2 2 2 3" xfId="1933" xr:uid="{00000000-0005-0000-0000-000031680000}"/>
    <cellStyle name="60% - Accent2 2 2 2 2 2 3 2" xfId="4493" xr:uid="{00000000-0005-0000-0000-000032680000}"/>
    <cellStyle name="60% - Accent2 2 2 2 2 2 3 2 2" xfId="9613" xr:uid="{00000000-0005-0000-0000-000033680000}"/>
    <cellStyle name="60% - Accent2 2 2 2 2 2 3 2 2 2" xfId="19853" xr:uid="{00000000-0005-0000-0000-000034680000}"/>
    <cellStyle name="60% - Accent2 2 2 2 2 2 3 2 2 2 2" xfId="40333" xr:uid="{00000000-0005-0000-0000-000035680000}"/>
    <cellStyle name="60% - Accent2 2 2 2 2 2 3 2 2 3" xfId="30093" xr:uid="{00000000-0005-0000-0000-000036680000}"/>
    <cellStyle name="60% - Accent2 2 2 2 2 2 3 2 3" xfId="14733" xr:uid="{00000000-0005-0000-0000-000037680000}"/>
    <cellStyle name="60% - Accent2 2 2 2 2 2 3 2 3 2" xfId="35213" xr:uid="{00000000-0005-0000-0000-000038680000}"/>
    <cellStyle name="60% - Accent2 2 2 2 2 2 3 2 4" xfId="24973" xr:uid="{00000000-0005-0000-0000-000039680000}"/>
    <cellStyle name="60% - Accent2 2 2 2 2 2 3 3" xfId="7053" xr:uid="{00000000-0005-0000-0000-00003A680000}"/>
    <cellStyle name="60% - Accent2 2 2 2 2 2 3 3 2" xfId="17293" xr:uid="{00000000-0005-0000-0000-00003B680000}"/>
    <cellStyle name="60% - Accent2 2 2 2 2 2 3 3 2 2" xfId="37773" xr:uid="{00000000-0005-0000-0000-00003C680000}"/>
    <cellStyle name="60% - Accent2 2 2 2 2 2 3 3 3" xfId="27533" xr:uid="{00000000-0005-0000-0000-00003D680000}"/>
    <cellStyle name="60% - Accent2 2 2 2 2 2 3 4" xfId="12173" xr:uid="{00000000-0005-0000-0000-00003E680000}"/>
    <cellStyle name="60% - Accent2 2 2 2 2 2 3 4 2" xfId="32653" xr:uid="{00000000-0005-0000-0000-00003F680000}"/>
    <cellStyle name="60% - Accent2 2 2 2 2 2 3 5" xfId="22413" xr:uid="{00000000-0005-0000-0000-000040680000}"/>
    <cellStyle name="60% - Accent2 2 2 2 2 2 4" xfId="3213" xr:uid="{00000000-0005-0000-0000-000041680000}"/>
    <cellStyle name="60% - Accent2 2 2 2 2 2 4 2" xfId="8333" xr:uid="{00000000-0005-0000-0000-000042680000}"/>
    <cellStyle name="60% - Accent2 2 2 2 2 2 4 2 2" xfId="18573" xr:uid="{00000000-0005-0000-0000-000043680000}"/>
    <cellStyle name="60% - Accent2 2 2 2 2 2 4 2 2 2" xfId="39053" xr:uid="{00000000-0005-0000-0000-000044680000}"/>
    <cellStyle name="60% - Accent2 2 2 2 2 2 4 2 3" xfId="28813" xr:uid="{00000000-0005-0000-0000-000045680000}"/>
    <cellStyle name="60% - Accent2 2 2 2 2 2 4 3" xfId="13453" xr:uid="{00000000-0005-0000-0000-000046680000}"/>
    <cellStyle name="60% - Accent2 2 2 2 2 2 4 3 2" xfId="33933" xr:uid="{00000000-0005-0000-0000-000047680000}"/>
    <cellStyle name="60% - Accent2 2 2 2 2 2 4 4" xfId="23693" xr:uid="{00000000-0005-0000-0000-000048680000}"/>
    <cellStyle name="60% - Accent2 2 2 2 2 2 5" xfId="5773" xr:uid="{00000000-0005-0000-0000-000049680000}"/>
    <cellStyle name="60% - Accent2 2 2 2 2 2 5 2" xfId="16013" xr:uid="{00000000-0005-0000-0000-00004A680000}"/>
    <cellStyle name="60% - Accent2 2 2 2 2 2 5 2 2" xfId="36493" xr:uid="{00000000-0005-0000-0000-00004B680000}"/>
    <cellStyle name="60% - Accent2 2 2 2 2 2 5 3" xfId="26253" xr:uid="{00000000-0005-0000-0000-00004C680000}"/>
    <cellStyle name="60% - Accent2 2 2 2 2 2 6" xfId="10893" xr:uid="{00000000-0005-0000-0000-00004D680000}"/>
    <cellStyle name="60% - Accent2 2 2 2 2 2 6 2" xfId="31373" xr:uid="{00000000-0005-0000-0000-00004E680000}"/>
    <cellStyle name="60% - Accent2 2 2 2 2 2 7" xfId="21133" xr:uid="{00000000-0005-0000-0000-00004F680000}"/>
    <cellStyle name="60% - Accent2 2 2 2 2 3" xfId="973" xr:uid="{00000000-0005-0000-0000-000050680000}"/>
    <cellStyle name="60% - Accent2 2 2 2 2 3 2" xfId="2253" xr:uid="{00000000-0005-0000-0000-000051680000}"/>
    <cellStyle name="60% - Accent2 2 2 2 2 3 2 2" xfId="4813" xr:uid="{00000000-0005-0000-0000-000052680000}"/>
    <cellStyle name="60% - Accent2 2 2 2 2 3 2 2 2" xfId="9933" xr:uid="{00000000-0005-0000-0000-000053680000}"/>
    <cellStyle name="60% - Accent2 2 2 2 2 3 2 2 2 2" xfId="20173" xr:uid="{00000000-0005-0000-0000-000054680000}"/>
    <cellStyle name="60% - Accent2 2 2 2 2 3 2 2 2 2 2" xfId="40653" xr:uid="{00000000-0005-0000-0000-000055680000}"/>
    <cellStyle name="60% - Accent2 2 2 2 2 3 2 2 2 3" xfId="30413" xr:uid="{00000000-0005-0000-0000-000056680000}"/>
    <cellStyle name="60% - Accent2 2 2 2 2 3 2 2 3" xfId="15053" xr:uid="{00000000-0005-0000-0000-000057680000}"/>
    <cellStyle name="60% - Accent2 2 2 2 2 3 2 2 3 2" xfId="35533" xr:uid="{00000000-0005-0000-0000-000058680000}"/>
    <cellStyle name="60% - Accent2 2 2 2 2 3 2 2 4" xfId="25293" xr:uid="{00000000-0005-0000-0000-000059680000}"/>
    <cellStyle name="60% - Accent2 2 2 2 2 3 2 3" xfId="7373" xr:uid="{00000000-0005-0000-0000-00005A680000}"/>
    <cellStyle name="60% - Accent2 2 2 2 2 3 2 3 2" xfId="17613" xr:uid="{00000000-0005-0000-0000-00005B680000}"/>
    <cellStyle name="60% - Accent2 2 2 2 2 3 2 3 2 2" xfId="38093" xr:uid="{00000000-0005-0000-0000-00005C680000}"/>
    <cellStyle name="60% - Accent2 2 2 2 2 3 2 3 3" xfId="27853" xr:uid="{00000000-0005-0000-0000-00005D680000}"/>
    <cellStyle name="60% - Accent2 2 2 2 2 3 2 4" xfId="12493" xr:uid="{00000000-0005-0000-0000-00005E680000}"/>
    <cellStyle name="60% - Accent2 2 2 2 2 3 2 4 2" xfId="32973" xr:uid="{00000000-0005-0000-0000-00005F680000}"/>
    <cellStyle name="60% - Accent2 2 2 2 2 3 2 5" xfId="22733" xr:uid="{00000000-0005-0000-0000-000060680000}"/>
    <cellStyle name="60% - Accent2 2 2 2 2 3 3" xfId="3533" xr:uid="{00000000-0005-0000-0000-000061680000}"/>
    <cellStyle name="60% - Accent2 2 2 2 2 3 3 2" xfId="8653" xr:uid="{00000000-0005-0000-0000-000062680000}"/>
    <cellStyle name="60% - Accent2 2 2 2 2 3 3 2 2" xfId="18893" xr:uid="{00000000-0005-0000-0000-000063680000}"/>
    <cellStyle name="60% - Accent2 2 2 2 2 3 3 2 2 2" xfId="39373" xr:uid="{00000000-0005-0000-0000-000064680000}"/>
    <cellStyle name="60% - Accent2 2 2 2 2 3 3 2 3" xfId="29133" xr:uid="{00000000-0005-0000-0000-000065680000}"/>
    <cellStyle name="60% - Accent2 2 2 2 2 3 3 3" xfId="13773" xr:uid="{00000000-0005-0000-0000-000066680000}"/>
    <cellStyle name="60% - Accent2 2 2 2 2 3 3 3 2" xfId="34253" xr:uid="{00000000-0005-0000-0000-000067680000}"/>
    <cellStyle name="60% - Accent2 2 2 2 2 3 3 4" xfId="24013" xr:uid="{00000000-0005-0000-0000-000068680000}"/>
    <cellStyle name="60% - Accent2 2 2 2 2 3 4" xfId="6093" xr:uid="{00000000-0005-0000-0000-000069680000}"/>
    <cellStyle name="60% - Accent2 2 2 2 2 3 4 2" xfId="16333" xr:uid="{00000000-0005-0000-0000-00006A680000}"/>
    <cellStyle name="60% - Accent2 2 2 2 2 3 4 2 2" xfId="36813" xr:uid="{00000000-0005-0000-0000-00006B680000}"/>
    <cellStyle name="60% - Accent2 2 2 2 2 3 4 3" xfId="26573" xr:uid="{00000000-0005-0000-0000-00006C680000}"/>
    <cellStyle name="60% - Accent2 2 2 2 2 3 5" xfId="11213" xr:uid="{00000000-0005-0000-0000-00006D680000}"/>
    <cellStyle name="60% - Accent2 2 2 2 2 3 5 2" xfId="31693" xr:uid="{00000000-0005-0000-0000-00006E680000}"/>
    <cellStyle name="60% - Accent2 2 2 2 2 3 6" xfId="21453" xr:uid="{00000000-0005-0000-0000-00006F680000}"/>
    <cellStyle name="60% - Accent2 2 2 2 2 4" xfId="1613" xr:uid="{00000000-0005-0000-0000-000070680000}"/>
    <cellStyle name="60% - Accent2 2 2 2 2 4 2" xfId="4173" xr:uid="{00000000-0005-0000-0000-000071680000}"/>
    <cellStyle name="60% - Accent2 2 2 2 2 4 2 2" xfId="9293" xr:uid="{00000000-0005-0000-0000-000072680000}"/>
    <cellStyle name="60% - Accent2 2 2 2 2 4 2 2 2" xfId="19533" xr:uid="{00000000-0005-0000-0000-000073680000}"/>
    <cellStyle name="60% - Accent2 2 2 2 2 4 2 2 2 2" xfId="40013" xr:uid="{00000000-0005-0000-0000-000074680000}"/>
    <cellStyle name="60% - Accent2 2 2 2 2 4 2 2 3" xfId="29773" xr:uid="{00000000-0005-0000-0000-000075680000}"/>
    <cellStyle name="60% - Accent2 2 2 2 2 4 2 3" xfId="14413" xr:uid="{00000000-0005-0000-0000-000076680000}"/>
    <cellStyle name="60% - Accent2 2 2 2 2 4 2 3 2" xfId="34893" xr:uid="{00000000-0005-0000-0000-000077680000}"/>
    <cellStyle name="60% - Accent2 2 2 2 2 4 2 4" xfId="24653" xr:uid="{00000000-0005-0000-0000-000078680000}"/>
    <cellStyle name="60% - Accent2 2 2 2 2 4 3" xfId="6733" xr:uid="{00000000-0005-0000-0000-000079680000}"/>
    <cellStyle name="60% - Accent2 2 2 2 2 4 3 2" xfId="16973" xr:uid="{00000000-0005-0000-0000-00007A680000}"/>
    <cellStyle name="60% - Accent2 2 2 2 2 4 3 2 2" xfId="37453" xr:uid="{00000000-0005-0000-0000-00007B680000}"/>
    <cellStyle name="60% - Accent2 2 2 2 2 4 3 3" xfId="27213" xr:uid="{00000000-0005-0000-0000-00007C680000}"/>
    <cellStyle name="60% - Accent2 2 2 2 2 4 4" xfId="11853" xr:uid="{00000000-0005-0000-0000-00007D680000}"/>
    <cellStyle name="60% - Accent2 2 2 2 2 4 4 2" xfId="32333" xr:uid="{00000000-0005-0000-0000-00007E680000}"/>
    <cellStyle name="60% - Accent2 2 2 2 2 4 5" xfId="22093" xr:uid="{00000000-0005-0000-0000-00007F680000}"/>
    <cellStyle name="60% - Accent2 2 2 2 2 5" xfId="2893" xr:uid="{00000000-0005-0000-0000-000080680000}"/>
    <cellStyle name="60% - Accent2 2 2 2 2 5 2" xfId="8013" xr:uid="{00000000-0005-0000-0000-000081680000}"/>
    <cellStyle name="60% - Accent2 2 2 2 2 5 2 2" xfId="18253" xr:uid="{00000000-0005-0000-0000-000082680000}"/>
    <cellStyle name="60% - Accent2 2 2 2 2 5 2 2 2" xfId="38733" xr:uid="{00000000-0005-0000-0000-000083680000}"/>
    <cellStyle name="60% - Accent2 2 2 2 2 5 2 3" xfId="28493" xr:uid="{00000000-0005-0000-0000-000084680000}"/>
    <cellStyle name="60% - Accent2 2 2 2 2 5 3" xfId="13133" xr:uid="{00000000-0005-0000-0000-000085680000}"/>
    <cellStyle name="60% - Accent2 2 2 2 2 5 3 2" xfId="33613" xr:uid="{00000000-0005-0000-0000-000086680000}"/>
    <cellStyle name="60% - Accent2 2 2 2 2 5 4" xfId="23373" xr:uid="{00000000-0005-0000-0000-000087680000}"/>
    <cellStyle name="60% - Accent2 2 2 2 2 6" xfId="5453" xr:uid="{00000000-0005-0000-0000-000088680000}"/>
    <cellStyle name="60% - Accent2 2 2 2 2 6 2" xfId="15693" xr:uid="{00000000-0005-0000-0000-000089680000}"/>
    <cellStyle name="60% - Accent2 2 2 2 2 6 2 2" xfId="36173" xr:uid="{00000000-0005-0000-0000-00008A680000}"/>
    <cellStyle name="60% - Accent2 2 2 2 2 6 3" xfId="25933" xr:uid="{00000000-0005-0000-0000-00008B680000}"/>
    <cellStyle name="60% - Accent2 2 2 2 2 7" xfId="10573" xr:uid="{00000000-0005-0000-0000-00008C680000}"/>
    <cellStyle name="60% - Accent2 2 2 2 2 7 2" xfId="31053" xr:uid="{00000000-0005-0000-0000-00008D680000}"/>
    <cellStyle name="60% - Accent2 2 2 2 2 8" xfId="20813" xr:uid="{00000000-0005-0000-0000-00008E680000}"/>
    <cellStyle name="60% - Accent2 2 2 2 3" xfId="493" xr:uid="{00000000-0005-0000-0000-00008F680000}"/>
    <cellStyle name="60% - Accent2 2 2 2 3 2" xfId="1133" xr:uid="{00000000-0005-0000-0000-000090680000}"/>
    <cellStyle name="60% - Accent2 2 2 2 3 2 2" xfId="2413" xr:uid="{00000000-0005-0000-0000-000091680000}"/>
    <cellStyle name="60% - Accent2 2 2 2 3 2 2 2" xfId="4973" xr:uid="{00000000-0005-0000-0000-000092680000}"/>
    <cellStyle name="60% - Accent2 2 2 2 3 2 2 2 2" xfId="10093" xr:uid="{00000000-0005-0000-0000-000093680000}"/>
    <cellStyle name="60% - Accent2 2 2 2 3 2 2 2 2 2" xfId="20333" xr:uid="{00000000-0005-0000-0000-000094680000}"/>
    <cellStyle name="60% - Accent2 2 2 2 3 2 2 2 2 2 2" xfId="40813" xr:uid="{00000000-0005-0000-0000-000095680000}"/>
    <cellStyle name="60% - Accent2 2 2 2 3 2 2 2 2 3" xfId="30573" xr:uid="{00000000-0005-0000-0000-000096680000}"/>
    <cellStyle name="60% - Accent2 2 2 2 3 2 2 2 3" xfId="15213" xr:uid="{00000000-0005-0000-0000-000097680000}"/>
    <cellStyle name="60% - Accent2 2 2 2 3 2 2 2 3 2" xfId="35693" xr:uid="{00000000-0005-0000-0000-000098680000}"/>
    <cellStyle name="60% - Accent2 2 2 2 3 2 2 2 4" xfId="25453" xr:uid="{00000000-0005-0000-0000-000099680000}"/>
    <cellStyle name="60% - Accent2 2 2 2 3 2 2 3" xfId="7533" xr:uid="{00000000-0005-0000-0000-00009A680000}"/>
    <cellStyle name="60% - Accent2 2 2 2 3 2 2 3 2" xfId="17773" xr:uid="{00000000-0005-0000-0000-00009B680000}"/>
    <cellStyle name="60% - Accent2 2 2 2 3 2 2 3 2 2" xfId="38253" xr:uid="{00000000-0005-0000-0000-00009C680000}"/>
    <cellStyle name="60% - Accent2 2 2 2 3 2 2 3 3" xfId="28013" xr:uid="{00000000-0005-0000-0000-00009D680000}"/>
    <cellStyle name="60% - Accent2 2 2 2 3 2 2 4" xfId="12653" xr:uid="{00000000-0005-0000-0000-00009E680000}"/>
    <cellStyle name="60% - Accent2 2 2 2 3 2 2 4 2" xfId="33133" xr:uid="{00000000-0005-0000-0000-00009F680000}"/>
    <cellStyle name="60% - Accent2 2 2 2 3 2 2 5" xfId="22893" xr:uid="{00000000-0005-0000-0000-0000A0680000}"/>
    <cellStyle name="60% - Accent2 2 2 2 3 2 3" xfId="3693" xr:uid="{00000000-0005-0000-0000-0000A1680000}"/>
    <cellStyle name="60% - Accent2 2 2 2 3 2 3 2" xfId="8813" xr:uid="{00000000-0005-0000-0000-0000A2680000}"/>
    <cellStyle name="60% - Accent2 2 2 2 3 2 3 2 2" xfId="19053" xr:uid="{00000000-0005-0000-0000-0000A3680000}"/>
    <cellStyle name="60% - Accent2 2 2 2 3 2 3 2 2 2" xfId="39533" xr:uid="{00000000-0005-0000-0000-0000A4680000}"/>
    <cellStyle name="60% - Accent2 2 2 2 3 2 3 2 3" xfId="29293" xr:uid="{00000000-0005-0000-0000-0000A5680000}"/>
    <cellStyle name="60% - Accent2 2 2 2 3 2 3 3" xfId="13933" xr:uid="{00000000-0005-0000-0000-0000A6680000}"/>
    <cellStyle name="60% - Accent2 2 2 2 3 2 3 3 2" xfId="34413" xr:uid="{00000000-0005-0000-0000-0000A7680000}"/>
    <cellStyle name="60% - Accent2 2 2 2 3 2 3 4" xfId="24173" xr:uid="{00000000-0005-0000-0000-0000A8680000}"/>
    <cellStyle name="60% - Accent2 2 2 2 3 2 4" xfId="6253" xr:uid="{00000000-0005-0000-0000-0000A9680000}"/>
    <cellStyle name="60% - Accent2 2 2 2 3 2 4 2" xfId="16493" xr:uid="{00000000-0005-0000-0000-0000AA680000}"/>
    <cellStyle name="60% - Accent2 2 2 2 3 2 4 2 2" xfId="36973" xr:uid="{00000000-0005-0000-0000-0000AB680000}"/>
    <cellStyle name="60% - Accent2 2 2 2 3 2 4 3" xfId="26733" xr:uid="{00000000-0005-0000-0000-0000AC680000}"/>
    <cellStyle name="60% - Accent2 2 2 2 3 2 5" xfId="11373" xr:uid="{00000000-0005-0000-0000-0000AD680000}"/>
    <cellStyle name="60% - Accent2 2 2 2 3 2 5 2" xfId="31853" xr:uid="{00000000-0005-0000-0000-0000AE680000}"/>
    <cellStyle name="60% - Accent2 2 2 2 3 2 6" xfId="21613" xr:uid="{00000000-0005-0000-0000-0000AF680000}"/>
    <cellStyle name="60% - Accent2 2 2 2 3 3" xfId="1773" xr:uid="{00000000-0005-0000-0000-0000B0680000}"/>
    <cellStyle name="60% - Accent2 2 2 2 3 3 2" xfId="4333" xr:uid="{00000000-0005-0000-0000-0000B1680000}"/>
    <cellStyle name="60% - Accent2 2 2 2 3 3 2 2" xfId="9453" xr:uid="{00000000-0005-0000-0000-0000B2680000}"/>
    <cellStyle name="60% - Accent2 2 2 2 3 3 2 2 2" xfId="19693" xr:uid="{00000000-0005-0000-0000-0000B3680000}"/>
    <cellStyle name="60% - Accent2 2 2 2 3 3 2 2 2 2" xfId="40173" xr:uid="{00000000-0005-0000-0000-0000B4680000}"/>
    <cellStyle name="60% - Accent2 2 2 2 3 3 2 2 3" xfId="29933" xr:uid="{00000000-0005-0000-0000-0000B5680000}"/>
    <cellStyle name="60% - Accent2 2 2 2 3 3 2 3" xfId="14573" xr:uid="{00000000-0005-0000-0000-0000B6680000}"/>
    <cellStyle name="60% - Accent2 2 2 2 3 3 2 3 2" xfId="35053" xr:uid="{00000000-0005-0000-0000-0000B7680000}"/>
    <cellStyle name="60% - Accent2 2 2 2 3 3 2 4" xfId="24813" xr:uid="{00000000-0005-0000-0000-0000B8680000}"/>
    <cellStyle name="60% - Accent2 2 2 2 3 3 3" xfId="6893" xr:uid="{00000000-0005-0000-0000-0000B9680000}"/>
    <cellStyle name="60% - Accent2 2 2 2 3 3 3 2" xfId="17133" xr:uid="{00000000-0005-0000-0000-0000BA680000}"/>
    <cellStyle name="60% - Accent2 2 2 2 3 3 3 2 2" xfId="37613" xr:uid="{00000000-0005-0000-0000-0000BB680000}"/>
    <cellStyle name="60% - Accent2 2 2 2 3 3 3 3" xfId="27373" xr:uid="{00000000-0005-0000-0000-0000BC680000}"/>
    <cellStyle name="60% - Accent2 2 2 2 3 3 4" xfId="12013" xr:uid="{00000000-0005-0000-0000-0000BD680000}"/>
    <cellStyle name="60% - Accent2 2 2 2 3 3 4 2" xfId="32493" xr:uid="{00000000-0005-0000-0000-0000BE680000}"/>
    <cellStyle name="60% - Accent2 2 2 2 3 3 5" xfId="22253" xr:uid="{00000000-0005-0000-0000-0000BF680000}"/>
    <cellStyle name="60% - Accent2 2 2 2 3 4" xfId="3053" xr:uid="{00000000-0005-0000-0000-0000C0680000}"/>
    <cellStyle name="60% - Accent2 2 2 2 3 4 2" xfId="8173" xr:uid="{00000000-0005-0000-0000-0000C1680000}"/>
    <cellStyle name="60% - Accent2 2 2 2 3 4 2 2" xfId="18413" xr:uid="{00000000-0005-0000-0000-0000C2680000}"/>
    <cellStyle name="60% - Accent2 2 2 2 3 4 2 2 2" xfId="38893" xr:uid="{00000000-0005-0000-0000-0000C3680000}"/>
    <cellStyle name="60% - Accent2 2 2 2 3 4 2 3" xfId="28653" xr:uid="{00000000-0005-0000-0000-0000C4680000}"/>
    <cellStyle name="60% - Accent2 2 2 2 3 4 3" xfId="13293" xr:uid="{00000000-0005-0000-0000-0000C5680000}"/>
    <cellStyle name="60% - Accent2 2 2 2 3 4 3 2" xfId="33773" xr:uid="{00000000-0005-0000-0000-0000C6680000}"/>
    <cellStyle name="60% - Accent2 2 2 2 3 4 4" xfId="23533" xr:uid="{00000000-0005-0000-0000-0000C7680000}"/>
    <cellStyle name="60% - Accent2 2 2 2 3 5" xfId="5613" xr:uid="{00000000-0005-0000-0000-0000C8680000}"/>
    <cellStyle name="60% - Accent2 2 2 2 3 5 2" xfId="15853" xr:uid="{00000000-0005-0000-0000-0000C9680000}"/>
    <cellStyle name="60% - Accent2 2 2 2 3 5 2 2" xfId="36333" xr:uid="{00000000-0005-0000-0000-0000CA680000}"/>
    <cellStyle name="60% - Accent2 2 2 2 3 5 3" xfId="26093" xr:uid="{00000000-0005-0000-0000-0000CB680000}"/>
    <cellStyle name="60% - Accent2 2 2 2 3 6" xfId="10733" xr:uid="{00000000-0005-0000-0000-0000CC680000}"/>
    <cellStyle name="60% - Accent2 2 2 2 3 6 2" xfId="31213" xr:uid="{00000000-0005-0000-0000-0000CD680000}"/>
    <cellStyle name="60% - Accent2 2 2 2 3 7" xfId="20973" xr:uid="{00000000-0005-0000-0000-0000CE680000}"/>
    <cellStyle name="60% - Accent2 2 2 2 4" xfId="813" xr:uid="{00000000-0005-0000-0000-0000CF680000}"/>
    <cellStyle name="60% - Accent2 2 2 2 4 2" xfId="2093" xr:uid="{00000000-0005-0000-0000-0000D0680000}"/>
    <cellStyle name="60% - Accent2 2 2 2 4 2 2" xfId="4653" xr:uid="{00000000-0005-0000-0000-0000D1680000}"/>
    <cellStyle name="60% - Accent2 2 2 2 4 2 2 2" xfId="9773" xr:uid="{00000000-0005-0000-0000-0000D2680000}"/>
    <cellStyle name="60% - Accent2 2 2 2 4 2 2 2 2" xfId="20013" xr:uid="{00000000-0005-0000-0000-0000D3680000}"/>
    <cellStyle name="60% - Accent2 2 2 2 4 2 2 2 2 2" xfId="40493" xr:uid="{00000000-0005-0000-0000-0000D4680000}"/>
    <cellStyle name="60% - Accent2 2 2 2 4 2 2 2 3" xfId="30253" xr:uid="{00000000-0005-0000-0000-0000D5680000}"/>
    <cellStyle name="60% - Accent2 2 2 2 4 2 2 3" xfId="14893" xr:uid="{00000000-0005-0000-0000-0000D6680000}"/>
    <cellStyle name="60% - Accent2 2 2 2 4 2 2 3 2" xfId="35373" xr:uid="{00000000-0005-0000-0000-0000D7680000}"/>
    <cellStyle name="60% - Accent2 2 2 2 4 2 2 4" xfId="25133" xr:uid="{00000000-0005-0000-0000-0000D8680000}"/>
    <cellStyle name="60% - Accent2 2 2 2 4 2 3" xfId="7213" xr:uid="{00000000-0005-0000-0000-0000D9680000}"/>
    <cellStyle name="60% - Accent2 2 2 2 4 2 3 2" xfId="17453" xr:uid="{00000000-0005-0000-0000-0000DA680000}"/>
    <cellStyle name="60% - Accent2 2 2 2 4 2 3 2 2" xfId="37933" xr:uid="{00000000-0005-0000-0000-0000DB680000}"/>
    <cellStyle name="60% - Accent2 2 2 2 4 2 3 3" xfId="27693" xr:uid="{00000000-0005-0000-0000-0000DC680000}"/>
    <cellStyle name="60% - Accent2 2 2 2 4 2 4" xfId="12333" xr:uid="{00000000-0005-0000-0000-0000DD680000}"/>
    <cellStyle name="60% - Accent2 2 2 2 4 2 4 2" xfId="32813" xr:uid="{00000000-0005-0000-0000-0000DE680000}"/>
    <cellStyle name="60% - Accent2 2 2 2 4 2 5" xfId="22573" xr:uid="{00000000-0005-0000-0000-0000DF680000}"/>
    <cellStyle name="60% - Accent2 2 2 2 4 3" xfId="3373" xr:uid="{00000000-0005-0000-0000-0000E0680000}"/>
    <cellStyle name="60% - Accent2 2 2 2 4 3 2" xfId="8493" xr:uid="{00000000-0005-0000-0000-0000E1680000}"/>
    <cellStyle name="60% - Accent2 2 2 2 4 3 2 2" xfId="18733" xr:uid="{00000000-0005-0000-0000-0000E2680000}"/>
    <cellStyle name="60% - Accent2 2 2 2 4 3 2 2 2" xfId="39213" xr:uid="{00000000-0005-0000-0000-0000E3680000}"/>
    <cellStyle name="60% - Accent2 2 2 2 4 3 2 3" xfId="28973" xr:uid="{00000000-0005-0000-0000-0000E4680000}"/>
    <cellStyle name="60% - Accent2 2 2 2 4 3 3" xfId="13613" xr:uid="{00000000-0005-0000-0000-0000E5680000}"/>
    <cellStyle name="60% - Accent2 2 2 2 4 3 3 2" xfId="34093" xr:uid="{00000000-0005-0000-0000-0000E6680000}"/>
    <cellStyle name="60% - Accent2 2 2 2 4 3 4" xfId="23853" xr:uid="{00000000-0005-0000-0000-0000E7680000}"/>
    <cellStyle name="60% - Accent2 2 2 2 4 4" xfId="5933" xr:uid="{00000000-0005-0000-0000-0000E8680000}"/>
    <cellStyle name="60% - Accent2 2 2 2 4 4 2" xfId="16173" xr:uid="{00000000-0005-0000-0000-0000E9680000}"/>
    <cellStyle name="60% - Accent2 2 2 2 4 4 2 2" xfId="36653" xr:uid="{00000000-0005-0000-0000-0000EA680000}"/>
    <cellStyle name="60% - Accent2 2 2 2 4 4 3" xfId="26413" xr:uid="{00000000-0005-0000-0000-0000EB680000}"/>
    <cellStyle name="60% - Accent2 2 2 2 4 5" xfId="11053" xr:uid="{00000000-0005-0000-0000-0000EC680000}"/>
    <cellStyle name="60% - Accent2 2 2 2 4 5 2" xfId="31533" xr:uid="{00000000-0005-0000-0000-0000ED680000}"/>
    <cellStyle name="60% - Accent2 2 2 2 4 6" xfId="21293" xr:uid="{00000000-0005-0000-0000-0000EE680000}"/>
    <cellStyle name="60% - Accent2 2 2 2 5" xfId="1453" xr:uid="{00000000-0005-0000-0000-0000EF680000}"/>
    <cellStyle name="60% - Accent2 2 2 2 5 2" xfId="4013" xr:uid="{00000000-0005-0000-0000-0000F0680000}"/>
    <cellStyle name="60% - Accent2 2 2 2 5 2 2" xfId="9133" xr:uid="{00000000-0005-0000-0000-0000F1680000}"/>
    <cellStyle name="60% - Accent2 2 2 2 5 2 2 2" xfId="19373" xr:uid="{00000000-0005-0000-0000-0000F2680000}"/>
    <cellStyle name="60% - Accent2 2 2 2 5 2 2 2 2" xfId="39853" xr:uid="{00000000-0005-0000-0000-0000F3680000}"/>
    <cellStyle name="60% - Accent2 2 2 2 5 2 2 3" xfId="29613" xr:uid="{00000000-0005-0000-0000-0000F4680000}"/>
    <cellStyle name="60% - Accent2 2 2 2 5 2 3" xfId="14253" xr:uid="{00000000-0005-0000-0000-0000F5680000}"/>
    <cellStyle name="60% - Accent2 2 2 2 5 2 3 2" xfId="34733" xr:uid="{00000000-0005-0000-0000-0000F6680000}"/>
    <cellStyle name="60% - Accent2 2 2 2 5 2 4" xfId="24493" xr:uid="{00000000-0005-0000-0000-0000F7680000}"/>
    <cellStyle name="60% - Accent2 2 2 2 5 3" xfId="6573" xr:uid="{00000000-0005-0000-0000-0000F8680000}"/>
    <cellStyle name="60% - Accent2 2 2 2 5 3 2" xfId="16813" xr:uid="{00000000-0005-0000-0000-0000F9680000}"/>
    <cellStyle name="60% - Accent2 2 2 2 5 3 2 2" xfId="37293" xr:uid="{00000000-0005-0000-0000-0000FA680000}"/>
    <cellStyle name="60% - Accent2 2 2 2 5 3 3" xfId="27053" xr:uid="{00000000-0005-0000-0000-0000FB680000}"/>
    <cellStyle name="60% - Accent2 2 2 2 5 4" xfId="11693" xr:uid="{00000000-0005-0000-0000-0000FC680000}"/>
    <cellStyle name="60% - Accent2 2 2 2 5 4 2" xfId="32173" xr:uid="{00000000-0005-0000-0000-0000FD680000}"/>
    <cellStyle name="60% - Accent2 2 2 2 5 5" xfId="21933" xr:uid="{00000000-0005-0000-0000-0000FE680000}"/>
    <cellStyle name="60% - Accent2 2 2 2 6" xfId="2733" xr:uid="{00000000-0005-0000-0000-0000FF680000}"/>
    <cellStyle name="60% - Accent2 2 2 2 6 2" xfId="7853" xr:uid="{00000000-0005-0000-0000-000000690000}"/>
    <cellStyle name="60% - Accent2 2 2 2 6 2 2" xfId="18093" xr:uid="{00000000-0005-0000-0000-000001690000}"/>
    <cellStyle name="60% - Accent2 2 2 2 6 2 2 2" xfId="38573" xr:uid="{00000000-0005-0000-0000-000002690000}"/>
    <cellStyle name="60% - Accent2 2 2 2 6 2 3" xfId="28333" xr:uid="{00000000-0005-0000-0000-000003690000}"/>
    <cellStyle name="60% - Accent2 2 2 2 6 3" xfId="12973" xr:uid="{00000000-0005-0000-0000-000004690000}"/>
    <cellStyle name="60% - Accent2 2 2 2 6 3 2" xfId="33453" xr:uid="{00000000-0005-0000-0000-000005690000}"/>
    <cellStyle name="60% - Accent2 2 2 2 6 4" xfId="23213" xr:uid="{00000000-0005-0000-0000-000006690000}"/>
    <cellStyle name="60% - Accent2 2 2 2 7" xfId="5293" xr:uid="{00000000-0005-0000-0000-000007690000}"/>
    <cellStyle name="60% - Accent2 2 2 2 7 2" xfId="15533" xr:uid="{00000000-0005-0000-0000-000008690000}"/>
    <cellStyle name="60% - Accent2 2 2 2 7 2 2" xfId="36013" xr:uid="{00000000-0005-0000-0000-000009690000}"/>
    <cellStyle name="60% - Accent2 2 2 2 7 3" xfId="25773" xr:uid="{00000000-0005-0000-0000-00000A690000}"/>
    <cellStyle name="60% - Accent2 2 2 2 8" xfId="10413" xr:uid="{00000000-0005-0000-0000-00000B690000}"/>
    <cellStyle name="60% - Accent2 2 2 2 8 2" xfId="30893" xr:uid="{00000000-0005-0000-0000-00000C690000}"/>
    <cellStyle name="60% - Accent2 2 2 2 9" xfId="20653" xr:uid="{00000000-0005-0000-0000-00000D690000}"/>
    <cellStyle name="60% - Accent2 2 2 3" xfId="253" xr:uid="{00000000-0005-0000-0000-00000E690000}"/>
    <cellStyle name="60% - Accent2 2 2 3 2" xfId="573" xr:uid="{00000000-0005-0000-0000-00000F690000}"/>
    <cellStyle name="60% - Accent2 2 2 3 2 2" xfId="1213" xr:uid="{00000000-0005-0000-0000-000010690000}"/>
    <cellStyle name="60% - Accent2 2 2 3 2 2 2" xfId="2493" xr:uid="{00000000-0005-0000-0000-000011690000}"/>
    <cellStyle name="60% - Accent2 2 2 3 2 2 2 2" xfId="5053" xr:uid="{00000000-0005-0000-0000-000012690000}"/>
    <cellStyle name="60% - Accent2 2 2 3 2 2 2 2 2" xfId="10173" xr:uid="{00000000-0005-0000-0000-000013690000}"/>
    <cellStyle name="60% - Accent2 2 2 3 2 2 2 2 2 2" xfId="20413" xr:uid="{00000000-0005-0000-0000-000014690000}"/>
    <cellStyle name="60% - Accent2 2 2 3 2 2 2 2 2 2 2" xfId="40893" xr:uid="{00000000-0005-0000-0000-000015690000}"/>
    <cellStyle name="60% - Accent2 2 2 3 2 2 2 2 2 3" xfId="30653" xr:uid="{00000000-0005-0000-0000-000016690000}"/>
    <cellStyle name="60% - Accent2 2 2 3 2 2 2 2 3" xfId="15293" xr:uid="{00000000-0005-0000-0000-000017690000}"/>
    <cellStyle name="60% - Accent2 2 2 3 2 2 2 2 3 2" xfId="35773" xr:uid="{00000000-0005-0000-0000-000018690000}"/>
    <cellStyle name="60% - Accent2 2 2 3 2 2 2 2 4" xfId="25533" xr:uid="{00000000-0005-0000-0000-000019690000}"/>
    <cellStyle name="60% - Accent2 2 2 3 2 2 2 3" xfId="7613" xr:uid="{00000000-0005-0000-0000-00001A690000}"/>
    <cellStyle name="60% - Accent2 2 2 3 2 2 2 3 2" xfId="17853" xr:uid="{00000000-0005-0000-0000-00001B690000}"/>
    <cellStyle name="60% - Accent2 2 2 3 2 2 2 3 2 2" xfId="38333" xr:uid="{00000000-0005-0000-0000-00001C690000}"/>
    <cellStyle name="60% - Accent2 2 2 3 2 2 2 3 3" xfId="28093" xr:uid="{00000000-0005-0000-0000-00001D690000}"/>
    <cellStyle name="60% - Accent2 2 2 3 2 2 2 4" xfId="12733" xr:uid="{00000000-0005-0000-0000-00001E690000}"/>
    <cellStyle name="60% - Accent2 2 2 3 2 2 2 4 2" xfId="33213" xr:uid="{00000000-0005-0000-0000-00001F690000}"/>
    <cellStyle name="60% - Accent2 2 2 3 2 2 2 5" xfId="22973" xr:uid="{00000000-0005-0000-0000-000020690000}"/>
    <cellStyle name="60% - Accent2 2 2 3 2 2 3" xfId="3773" xr:uid="{00000000-0005-0000-0000-000021690000}"/>
    <cellStyle name="60% - Accent2 2 2 3 2 2 3 2" xfId="8893" xr:uid="{00000000-0005-0000-0000-000022690000}"/>
    <cellStyle name="60% - Accent2 2 2 3 2 2 3 2 2" xfId="19133" xr:uid="{00000000-0005-0000-0000-000023690000}"/>
    <cellStyle name="60% - Accent2 2 2 3 2 2 3 2 2 2" xfId="39613" xr:uid="{00000000-0005-0000-0000-000024690000}"/>
    <cellStyle name="60% - Accent2 2 2 3 2 2 3 2 3" xfId="29373" xr:uid="{00000000-0005-0000-0000-000025690000}"/>
    <cellStyle name="60% - Accent2 2 2 3 2 2 3 3" xfId="14013" xr:uid="{00000000-0005-0000-0000-000026690000}"/>
    <cellStyle name="60% - Accent2 2 2 3 2 2 3 3 2" xfId="34493" xr:uid="{00000000-0005-0000-0000-000027690000}"/>
    <cellStyle name="60% - Accent2 2 2 3 2 2 3 4" xfId="24253" xr:uid="{00000000-0005-0000-0000-000028690000}"/>
    <cellStyle name="60% - Accent2 2 2 3 2 2 4" xfId="6333" xr:uid="{00000000-0005-0000-0000-000029690000}"/>
    <cellStyle name="60% - Accent2 2 2 3 2 2 4 2" xfId="16573" xr:uid="{00000000-0005-0000-0000-00002A690000}"/>
    <cellStyle name="60% - Accent2 2 2 3 2 2 4 2 2" xfId="37053" xr:uid="{00000000-0005-0000-0000-00002B690000}"/>
    <cellStyle name="60% - Accent2 2 2 3 2 2 4 3" xfId="26813" xr:uid="{00000000-0005-0000-0000-00002C690000}"/>
    <cellStyle name="60% - Accent2 2 2 3 2 2 5" xfId="11453" xr:uid="{00000000-0005-0000-0000-00002D690000}"/>
    <cellStyle name="60% - Accent2 2 2 3 2 2 5 2" xfId="31933" xr:uid="{00000000-0005-0000-0000-00002E690000}"/>
    <cellStyle name="60% - Accent2 2 2 3 2 2 6" xfId="21693" xr:uid="{00000000-0005-0000-0000-00002F690000}"/>
    <cellStyle name="60% - Accent2 2 2 3 2 3" xfId="1853" xr:uid="{00000000-0005-0000-0000-000030690000}"/>
    <cellStyle name="60% - Accent2 2 2 3 2 3 2" xfId="4413" xr:uid="{00000000-0005-0000-0000-000031690000}"/>
    <cellStyle name="60% - Accent2 2 2 3 2 3 2 2" xfId="9533" xr:uid="{00000000-0005-0000-0000-000032690000}"/>
    <cellStyle name="60% - Accent2 2 2 3 2 3 2 2 2" xfId="19773" xr:uid="{00000000-0005-0000-0000-000033690000}"/>
    <cellStyle name="60% - Accent2 2 2 3 2 3 2 2 2 2" xfId="40253" xr:uid="{00000000-0005-0000-0000-000034690000}"/>
    <cellStyle name="60% - Accent2 2 2 3 2 3 2 2 3" xfId="30013" xr:uid="{00000000-0005-0000-0000-000035690000}"/>
    <cellStyle name="60% - Accent2 2 2 3 2 3 2 3" xfId="14653" xr:uid="{00000000-0005-0000-0000-000036690000}"/>
    <cellStyle name="60% - Accent2 2 2 3 2 3 2 3 2" xfId="35133" xr:uid="{00000000-0005-0000-0000-000037690000}"/>
    <cellStyle name="60% - Accent2 2 2 3 2 3 2 4" xfId="24893" xr:uid="{00000000-0005-0000-0000-000038690000}"/>
    <cellStyle name="60% - Accent2 2 2 3 2 3 3" xfId="6973" xr:uid="{00000000-0005-0000-0000-000039690000}"/>
    <cellStyle name="60% - Accent2 2 2 3 2 3 3 2" xfId="17213" xr:uid="{00000000-0005-0000-0000-00003A690000}"/>
    <cellStyle name="60% - Accent2 2 2 3 2 3 3 2 2" xfId="37693" xr:uid="{00000000-0005-0000-0000-00003B690000}"/>
    <cellStyle name="60% - Accent2 2 2 3 2 3 3 3" xfId="27453" xr:uid="{00000000-0005-0000-0000-00003C690000}"/>
    <cellStyle name="60% - Accent2 2 2 3 2 3 4" xfId="12093" xr:uid="{00000000-0005-0000-0000-00003D690000}"/>
    <cellStyle name="60% - Accent2 2 2 3 2 3 4 2" xfId="32573" xr:uid="{00000000-0005-0000-0000-00003E690000}"/>
    <cellStyle name="60% - Accent2 2 2 3 2 3 5" xfId="22333" xr:uid="{00000000-0005-0000-0000-00003F690000}"/>
    <cellStyle name="60% - Accent2 2 2 3 2 4" xfId="3133" xr:uid="{00000000-0005-0000-0000-000040690000}"/>
    <cellStyle name="60% - Accent2 2 2 3 2 4 2" xfId="8253" xr:uid="{00000000-0005-0000-0000-000041690000}"/>
    <cellStyle name="60% - Accent2 2 2 3 2 4 2 2" xfId="18493" xr:uid="{00000000-0005-0000-0000-000042690000}"/>
    <cellStyle name="60% - Accent2 2 2 3 2 4 2 2 2" xfId="38973" xr:uid="{00000000-0005-0000-0000-000043690000}"/>
    <cellStyle name="60% - Accent2 2 2 3 2 4 2 3" xfId="28733" xr:uid="{00000000-0005-0000-0000-000044690000}"/>
    <cellStyle name="60% - Accent2 2 2 3 2 4 3" xfId="13373" xr:uid="{00000000-0005-0000-0000-000045690000}"/>
    <cellStyle name="60% - Accent2 2 2 3 2 4 3 2" xfId="33853" xr:uid="{00000000-0005-0000-0000-000046690000}"/>
    <cellStyle name="60% - Accent2 2 2 3 2 4 4" xfId="23613" xr:uid="{00000000-0005-0000-0000-000047690000}"/>
    <cellStyle name="60% - Accent2 2 2 3 2 5" xfId="5693" xr:uid="{00000000-0005-0000-0000-000048690000}"/>
    <cellStyle name="60% - Accent2 2 2 3 2 5 2" xfId="15933" xr:uid="{00000000-0005-0000-0000-000049690000}"/>
    <cellStyle name="60% - Accent2 2 2 3 2 5 2 2" xfId="36413" xr:uid="{00000000-0005-0000-0000-00004A690000}"/>
    <cellStyle name="60% - Accent2 2 2 3 2 5 3" xfId="26173" xr:uid="{00000000-0005-0000-0000-00004B690000}"/>
    <cellStyle name="60% - Accent2 2 2 3 2 6" xfId="10813" xr:uid="{00000000-0005-0000-0000-00004C690000}"/>
    <cellStyle name="60% - Accent2 2 2 3 2 6 2" xfId="31293" xr:uid="{00000000-0005-0000-0000-00004D690000}"/>
    <cellStyle name="60% - Accent2 2 2 3 2 7" xfId="21053" xr:uid="{00000000-0005-0000-0000-00004E690000}"/>
    <cellStyle name="60% - Accent2 2 2 3 3" xfId="893" xr:uid="{00000000-0005-0000-0000-00004F690000}"/>
    <cellStyle name="60% - Accent2 2 2 3 3 2" xfId="2173" xr:uid="{00000000-0005-0000-0000-000050690000}"/>
    <cellStyle name="60% - Accent2 2 2 3 3 2 2" xfId="4733" xr:uid="{00000000-0005-0000-0000-000051690000}"/>
    <cellStyle name="60% - Accent2 2 2 3 3 2 2 2" xfId="9853" xr:uid="{00000000-0005-0000-0000-000052690000}"/>
    <cellStyle name="60% - Accent2 2 2 3 3 2 2 2 2" xfId="20093" xr:uid="{00000000-0005-0000-0000-000053690000}"/>
    <cellStyle name="60% - Accent2 2 2 3 3 2 2 2 2 2" xfId="40573" xr:uid="{00000000-0005-0000-0000-000054690000}"/>
    <cellStyle name="60% - Accent2 2 2 3 3 2 2 2 3" xfId="30333" xr:uid="{00000000-0005-0000-0000-000055690000}"/>
    <cellStyle name="60% - Accent2 2 2 3 3 2 2 3" xfId="14973" xr:uid="{00000000-0005-0000-0000-000056690000}"/>
    <cellStyle name="60% - Accent2 2 2 3 3 2 2 3 2" xfId="35453" xr:uid="{00000000-0005-0000-0000-000057690000}"/>
    <cellStyle name="60% - Accent2 2 2 3 3 2 2 4" xfId="25213" xr:uid="{00000000-0005-0000-0000-000058690000}"/>
    <cellStyle name="60% - Accent2 2 2 3 3 2 3" xfId="7293" xr:uid="{00000000-0005-0000-0000-000059690000}"/>
    <cellStyle name="60% - Accent2 2 2 3 3 2 3 2" xfId="17533" xr:uid="{00000000-0005-0000-0000-00005A690000}"/>
    <cellStyle name="60% - Accent2 2 2 3 3 2 3 2 2" xfId="38013" xr:uid="{00000000-0005-0000-0000-00005B690000}"/>
    <cellStyle name="60% - Accent2 2 2 3 3 2 3 3" xfId="27773" xr:uid="{00000000-0005-0000-0000-00005C690000}"/>
    <cellStyle name="60% - Accent2 2 2 3 3 2 4" xfId="12413" xr:uid="{00000000-0005-0000-0000-00005D690000}"/>
    <cellStyle name="60% - Accent2 2 2 3 3 2 4 2" xfId="32893" xr:uid="{00000000-0005-0000-0000-00005E690000}"/>
    <cellStyle name="60% - Accent2 2 2 3 3 2 5" xfId="22653" xr:uid="{00000000-0005-0000-0000-00005F690000}"/>
    <cellStyle name="60% - Accent2 2 2 3 3 3" xfId="3453" xr:uid="{00000000-0005-0000-0000-000060690000}"/>
    <cellStyle name="60% - Accent2 2 2 3 3 3 2" xfId="8573" xr:uid="{00000000-0005-0000-0000-000061690000}"/>
    <cellStyle name="60% - Accent2 2 2 3 3 3 2 2" xfId="18813" xr:uid="{00000000-0005-0000-0000-000062690000}"/>
    <cellStyle name="60% - Accent2 2 2 3 3 3 2 2 2" xfId="39293" xr:uid="{00000000-0005-0000-0000-000063690000}"/>
    <cellStyle name="60% - Accent2 2 2 3 3 3 2 3" xfId="29053" xr:uid="{00000000-0005-0000-0000-000064690000}"/>
    <cellStyle name="60% - Accent2 2 2 3 3 3 3" xfId="13693" xr:uid="{00000000-0005-0000-0000-000065690000}"/>
    <cellStyle name="60% - Accent2 2 2 3 3 3 3 2" xfId="34173" xr:uid="{00000000-0005-0000-0000-000066690000}"/>
    <cellStyle name="60% - Accent2 2 2 3 3 3 4" xfId="23933" xr:uid="{00000000-0005-0000-0000-000067690000}"/>
    <cellStyle name="60% - Accent2 2 2 3 3 4" xfId="6013" xr:uid="{00000000-0005-0000-0000-000068690000}"/>
    <cellStyle name="60% - Accent2 2 2 3 3 4 2" xfId="16253" xr:uid="{00000000-0005-0000-0000-000069690000}"/>
    <cellStyle name="60% - Accent2 2 2 3 3 4 2 2" xfId="36733" xr:uid="{00000000-0005-0000-0000-00006A690000}"/>
    <cellStyle name="60% - Accent2 2 2 3 3 4 3" xfId="26493" xr:uid="{00000000-0005-0000-0000-00006B690000}"/>
    <cellStyle name="60% - Accent2 2 2 3 3 5" xfId="11133" xr:uid="{00000000-0005-0000-0000-00006C690000}"/>
    <cellStyle name="60% - Accent2 2 2 3 3 5 2" xfId="31613" xr:uid="{00000000-0005-0000-0000-00006D690000}"/>
    <cellStyle name="60% - Accent2 2 2 3 3 6" xfId="21373" xr:uid="{00000000-0005-0000-0000-00006E690000}"/>
    <cellStyle name="60% - Accent2 2 2 3 4" xfId="1533" xr:uid="{00000000-0005-0000-0000-00006F690000}"/>
    <cellStyle name="60% - Accent2 2 2 3 4 2" xfId="4093" xr:uid="{00000000-0005-0000-0000-000070690000}"/>
    <cellStyle name="60% - Accent2 2 2 3 4 2 2" xfId="9213" xr:uid="{00000000-0005-0000-0000-000071690000}"/>
    <cellStyle name="60% - Accent2 2 2 3 4 2 2 2" xfId="19453" xr:uid="{00000000-0005-0000-0000-000072690000}"/>
    <cellStyle name="60% - Accent2 2 2 3 4 2 2 2 2" xfId="39933" xr:uid="{00000000-0005-0000-0000-000073690000}"/>
    <cellStyle name="60% - Accent2 2 2 3 4 2 2 3" xfId="29693" xr:uid="{00000000-0005-0000-0000-000074690000}"/>
    <cellStyle name="60% - Accent2 2 2 3 4 2 3" xfId="14333" xr:uid="{00000000-0005-0000-0000-000075690000}"/>
    <cellStyle name="60% - Accent2 2 2 3 4 2 3 2" xfId="34813" xr:uid="{00000000-0005-0000-0000-000076690000}"/>
    <cellStyle name="60% - Accent2 2 2 3 4 2 4" xfId="24573" xr:uid="{00000000-0005-0000-0000-000077690000}"/>
    <cellStyle name="60% - Accent2 2 2 3 4 3" xfId="6653" xr:uid="{00000000-0005-0000-0000-000078690000}"/>
    <cellStyle name="60% - Accent2 2 2 3 4 3 2" xfId="16893" xr:uid="{00000000-0005-0000-0000-000079690000}"/>
    <cellStyle name="60% - Accent2 2 2 3 4 3 2 2" xfId="37373" xr:uid="{00000000-0005-0000-0000-00007A690000}"/>
    <cellStyle name="60% - Accent2 2 2 3 4 3 3" xfId="27133" xr:uid="{00000000-0005-0000-0000-00007B690000}"/>
    <cellStyle name="60% - Accent2 2 2 3 4 4" xfId="11773" xr:uid="{00000000-0005-0000-0000-00007C690000}"/>
    <cellStyle name="60% - Accent2 2 2 3 4 4 2" xfId="32253" xr:uid="{00000000-0005-0000-0000-00007D690000}"/>
    <cellStyle name="60% - Accent2 2 2 3 4 5" xfId="22013" xr:uid="{00000000-0005-0000-0000-00007E690000}"/>
    <cellStyle name="60% - Accent2 2 2 3 5" xfId="2813" xr:uid="{00000000-0005-0000-0000-00007F690000}"/>
    <cellStyle name="60% - Accent2 2 2 3 5 2" xfId="7933" xr:uid="{00000000-0005-0000-0000-000080690000}"/>
    <cellStyle name="60% - Accent2 2 2 3 5 2 2" xfId="18173" xr:uid="{00000000-0005-0000-0000-000081690000}"/>
    <cellStyle name="60% - Accent2 2 2 3 5 2 2 2" xfId="38653" xr:uid="{00000000-0005-0000-0000-000082690000}"/>
    <cellStyle name="60% - Accent2 2 2 3 5 2 3" xfId="28413" xr:uid="{00000000-0005-0000-0000-000083690000}"/>
    <cellStyle name="60% - Accent2 2 2 3 5 3" xfId="13053" xr:uid="{00000000-0005-0000-0000-000084690000}"/>
    <cellStyle name="60% - Accent2 2 2 3 5 3 2" xfId="33533" xr:uid="{00000000-0005-0000-0000-000085690000}"/>
    <cellStyle name="60% - Accent2 2 2 3 5 4" xfId="23293" xr:uid="{00000000-0005-0000-0000-000086690000}"/>
    <cellStyle name="60% - Accent2 2 2 3 6" xfId="5373" xr:uid="{00000000-0005-0000-0000-000087690000}"/>
    <cellStyle name="60% - Accent2 2 2 3 6 2" xfId="15613" xr:uid="{00000000-0005-0000-0000-000088690000}"/>
    <cellStyle name="60% - Accent2 2 2 3 6 2 2" xfId="36093" xr:uid="{00000000-0005-0000-0000-000089690000}"/>
    <cellStyle name="60% - Accent2 2 2 3 6 3" xfId="25853" xr:uid="{00000000-0005-0000-0000-00008A690000}"/>
    <cellStyle name="60% - Accent2 2 2 3 7" xfId="10493" xr:uid="{00000000-0005-0000-0000-00008B690000}"/>
    <cellStyle name="60% - Accent2 2 2 3 7 2" xfId="30973" xr:uid="{00000000-0005-0000-0000-00008C690000}"/>
    <cellStyle name="60% - Accent2 2 2 3 8" xfId="20733" xr:uid="{00000000-0005-0000-0000-00008D690000}"/>
    <cellStyle name="60% - Accent2 2 2 4" xfId="413" xr:uid="{00000000-0005-0000-0000-00008E690000}"/>
    <cellStyle name="60% - Accent2 2 2 4 2" xfId="1053" xr:uid="{00000000-0005-0000-0000-00008F690000}"/>
    <cellStyle name="60% - Accent2 2 2 4 2 2" xfId="2333" xr:uid="{00000000-0005-0000-0000-000090690000}"/>
    <cellStyle name="60% - Accent2 2 2 4 2 2 2" xfId="4893" xr:uid="{00000000-0005-0000-0000-000091690000}"/>
    <cellStyle name="60% - Accent2 2 2 4 2 2 2 2" xfId="10013" xr:uid="{00000000-0005-0000-0000-000092690000}"/>
    <cellStyle name="60% - Accent2 2 2 4 2 2 2 2 2" xfId="20253" xr:uid="{00000000-0005-0000-0000-000093690000}"/>
    <cellStyle name="60% - Accent2 2 2 4 2 2 2 2 2 2" xfId="40733" xr:uid="{00000000-0005-0000-0000-000094690000}"/>
    <cellStyle name="60% - Accent2 2 2 4 2 2 2 2 3" xfId="30493" xr:uid="{00000000-0005-0000-0000-000095690000}"/>
    <cellStyle name="60% - Accent2 2 2 4 2 2 2 3" xfId="15133" xr:uid="{00000000-0005-0000-0000-000096690000}"/>
    <cellStyle name="60% - Accent2 2 2 4 2 2 2 3 2" xfId="35613" xr:uid="{00000000-0005-0000-0000-000097690000}"/>
    <cellStyle name="60% - Accent2 2 2 4 2 2 2 4" xfId="25373" xr:uid="{00000000-0005-0000-0000-000098690000}"/>
    <cellStyle name="60% - Accent2 2 2 4 2 2 3" xfId="7453" xr:uid="{00000000-0005-0000-0000-000099690000}"/>
    <cellStyle name="60% - Accent2 2 2 4 2 2 3 2" xfId="17693" xr:uid="{00000000-0005-0000-0000-00009A690000}"/>
    <cellStyle name="60% - Accent2 2 2 4 2 2 3 2 2" xfId="38173" xr:uid="{00000000-0005-0000-0000-00009B690000}"/>
    <cellStyle name="60% - Accent2 2 2 4 2 2 3 3" xfId="27933" xr:uid="{00000000-0005-0000-0000-00009C690000}"/>
    <cellStyle name="60% - Accent2 2 2 4 2 2 4" xfId="12573" xr:uid="{00000000-0005-0000-0000-00009D690000}"/>
    <cellStyle name="60% - Accent2 2 2 4 2 2 4 2" xfId="33053" xr:uid="{00000000-0005-0000-0000-00009E690000}"/>
    <cellStyle name="60% - Accent2 2 2 4 2 2 5" xfId="22813" xr:uid="{00000000-0005-0000-0000-00009F690000}"/>
    <cellStyle name="60% - Accent2 2 2 4 2 3" xfId="3613" xr:uid="{00000000-0005-0000-0000-0000A0690000}"/>
    <cellStyle name="60% - Accent2 2 2 4 2 3 2" xfId="8733" xr:uid="{00000000-0005-0000-0000-0000A1690000}"/>
    <cellStyle name="60% - Accent2 2 2 4 2 3 2 2" xfId="18973" xr:uid="{00000000-0005-0000-0000-0000A2690000}"/>
    <cellStyle name="60% - Accent2 2 2 4 2 3 2 2 2" xfId="39453" xr:uid="{00000000-0005-0000-0000-0000A3690000}"/>
    <cellStyle name="60% - Accent2 2 2 4 2 3 2 3" xfId="29213" xr:uid="{00000000-0005-0000-0000-0000A4690000}"/>
    <cellStyle name="60% - Accent2 2 2 4 2 3 3" xfId="13853" xr:uid="{00000000-0005-0000-0000-0000A5690000}"/>
    <cellStyle name="60% - Accent2 2 2 4 2 3 3 2" xfId="34333" xr:uid="{00000000-0005-0000-0000-0000A6690000}"/>
    <cellStyle name="60% - Accent2 2 2 4 2 3 4" xfId="24093" xr:uid="{00000000-0005-0000-0000-0000A7690000}"/>
    <cellStyle name="60% - Accent2 2 2 4 2 4" xfId="6173" xr:uid="{00000000-0005-0000-0000-0000A8690000}"/>
    <cellStyle name="60% - Accent2 2 2 4 2 4 2" xfId="16413" xr:uid="{00000000-0005-0000-0000-0000A9690000}"/>
    <cellStyle name="60% - Accent2 2 2 4 2 4 2 2" xfId="36893" xr:uid="{00000000-0005-0000-0000-0000AA690000}"/>
    <cellStyle name="60% - Accent2 2 2 4 2 4 3" xfId="26653" xr:uid="{00000000-0005-0000-0000-0000AB690000}"/>
    <cellStyle name="60% - Accent2 2 2 4 2 5" xfId="11293" xr:uid="{00000000-0005-0000-0000-0000AC690000}"/>
    <cellStyle name="60% - Accent2 2 2 4 2 5 2" xfId="31773" xr:uid="{00000000-0005-0000-0000-0000AD690000}"/>
    <cellStyle name="60% - Accent2 2 2 4 2 6" xfId="21533" xr:uid="{00000000-0005-0000-0000-0000AE690000}"/>
    <cellStyle name="60% - Accent2 2 2 4 3" xfId="1693" xr:uid="{00000000-0005-0000-0000-0000AF690000}"/>
    <cellStyle name="60% - Accent2 2 2 4 3 2" xfId="4253" xr:uid="{00000000-0005-0000-0000-0000B0690000}"/>
    <cellStyle name="60% - Accent2 2 2 4 3 2 2" xfId="9373" xr:uid="{00000000-0005-0000-0000-0000B1690000}"/>
    <cellStyle name="60% - Accent2 2 2 4 3 2 2 2" xfId="19613" xr:uid="{00000000-0005-0000-0000-0000B2690000}"/>
    <cellStyle name="60% - Accent2 2 2 4 3 2 2 2 2" xfId="40093" xr:uid="{00000000-0005-0000-0000-0000B3690000}"/>
    <cellStyle name="60% - Accent2 2 2 4 3 2 2 3" xfId="29853" xr:uid="{00000000-0005-0000-0000-0000B4690000}"/>
    <cellStyle name="60% - Accent2 2 2 4 3 2 3" xfId="14493" xr:uid="{00000000-0005-0000-0000-0000B5690000}"/>
    <cellStyle name="60% - Accent2 2 2 4 3 2 3 2" xfId="34973" xr:uid="{00000000-0005-0000-0000-0000B6690000}"/>
    <cellStyle name="60% - Accent2 2 2 4 3 2 4" xfId="24733" xr:uid="{00000000-0005-0000-0000-0000B7690000}"/>
    <cellStyle name="60% - Accent2 2 2 4 3 3" xfId="6813" xr:uid="{00000000-0005-0000-0000-0000B8690000}"/>
    <cellStyle name="60% - Accent2 2 2 4 3 3 2" xfId="17053" xr:uid="{00000000-0005-0000-0000-0000B9690000}"/>
    <cellStyle name="60% - Accent2 2 2 4 3 3 2 2" xfId="37533" xr:uid="{00000000-0005-0000-0000-0000BA690000}"/>
    <cellStyle name="60% - Accent2 2 2 4 3 3 3" xfId="27293" xr:uid="{00000000-0005-0000-0000-0000BB690000}"/>
    <cellStyle name="60% - Accent2 2 2 4 3 4" xfId="11933" xr:uid="{00000000-0005-0000-0000-0000BC690000}"/>
    <cellStyle name="60% - Accent2 2 2 4 3 4 2" xfId="32413" xr:uid="{00000000-0005-0000-0000-0000BD690000}"/>
    <cellStyle name="60% - Accent2 2 2 4 3 5" xfId="22173" xr:uid="{00000000-0005-0000-0000-0000BE690000}"/>
    <cellStyle name="60% - Accent2 2 2 4 4" xfId="2973" xr:uid="{00000000-0005-0000-0000-0000BF690000}"/>
    <cellStyle name="60% - Accent2 2 2 4 4 2" xfId="8093" xr:uid="{00000000-0005-0000-0000-0000C0690000}"/>
    <cellStyle name="60% - Accent2 2 2 4 4 2 2" xfId="18333" xr:uid="{00000000-0005-0000-0000-0000C1690000}"/>
    <cellStyle name="60% - Accent2 2 2 4 4 2 2 2" xfId="38813" xr:uid="{00000000-0005-0000-0000-0000C2690000}"/>
    <cellStyle name="60% - Accent2 2 2 4 4 2 3" xfId="28573" xr:uid="{00000000-0005-0000-0000-0000C3690000}"/>
    <cellStyle name="60% - Accent2 2 2 4 4 3" xfId="13213" xr:uid="{00000000-0005-0000-0000-0000C4690000}"/>
    <cellStyle name="60% - Accent2 2 2 4 4 3 2" xfId="33693" xr:uid="{00000000-0005-0000-0000-0000C5690000}"/>
    <cellStyle name="60% - Accent2 2 2 4 4 4" xfId="23453" xr:uid="{00000000-0005-0000-0000-0000C6690000}"/>
    <cellStyle name="60% - Accent2 2 2 4 5" xfId="5533" xr:uid="{00000000-0005-0000-0000-0000C7690000}"/>
    <cellStyle name="60% - Accent2 2 2 4 5 2" xfId="15773" xr:uid="{00000000-0005-0000-0000-0000C8690000}"/>
    <cellStyle name="60% - Accent2 2 2 4 5 2 2" xfId="36253" xr:uid="{00000000-0005-0000-0000-0000C9690000}"/>
    <cellStyle name="60% - Accent2 2 2 4 5 3" xfId="26013" xr:uid="{00000000-0005-0000-0000-0000CA690000}"/>
    <cellStyle name="60% - Accent2 2 2 4 6" xfId="10653" xr:uid="{00000000-0005-0000-0000-0000CB690000}"/>
    <cellStyle name="60% - Accent2 2 2 4 6 2" xfId="31133" xr:uid="{00000000-0005-0000-0000-0000CC690000}"/>
    <cellStyle name="60% - Accent2 2 2 4 7" xfId="20893" xr:uid="{00000000-0005-0000-0000-0000CD690000}"/>
    <cellStyle name="60% - Accent2 2 2 5" xfId="733" xr:uid="{00000000-0005-0000-0000-0000CE690000}"/>
    <cellStyle name="60% - Accent2 2 2 5 2" xfId="2013" xr:uid="{00000000-0005-0000-0000-0000CF690000}"/>
    <cellStyle name="60% - Accent2 2 2 5 2 2" xfId="4573" xr:uid="{00000000-0005-0000-0000-0000D0690000}"/>
    <cellStyle name="60% - Accent2 2 2 5 2 2 2" xfId="9693" xr:uid="{00000000-0005-0000-0000-0000D1690000}"/>
    <cellStyle name="60% - Accent2 2 2 5 2 2 2 2" xfId="19933" xr:uid="{00000000-0005-0000-0000-0000D2690000}"/>
    <cellStyle name="60% - Accent2 2 2 5 2 2 2 2 2" xfId="40413" xr:uid="{00000000-0005-0000-0000-0000D3690000}"/>
    <cellStyle name="60% - Accent2 2 2 5 2 2 2 3" xfId="30173" xr:uid="{00000000-0005-0000-0000-0000D4690000}"/>
    <cellStyle name="60% - Accent2 2 2 5 2 2 3" xfId="14813" xr:uid="{00000000-0005-0000-0000-0000D5690000}"/>
    <cellStyle name="60% - Accent2 2 2 5 2 2 3 2" xfId="35293" xr:uid="{00000000-0005-0000-0000-0000D6690000}"/>
    <cellStyle name="60% - Accent2 2 2 5 2 2 4" xfId="25053" xr:uid="{00000000-0005-0000-0000-0000D7690000}"/>
    <cellStyle name="60% - Accent2 2 2 5 2 3" xfId="7133" xr:uid="{00000000-0005-0000-0000-0000D8690000}"/>
    <cellStyle name="60% - Accent2 2 2 5 2 3 2" xfId="17373" xr:uid="{00000000-0005-0000-0000-0000D9690000}"/>
    <cellStyle name="60% - Accent2 2 2 5 2 3 2 2" xfId="37853" xr:uid="{00000000-0005-0000-0000-0000DA690000}"/>
    <cellStyle name="60% - Accent2 2 2 5 2 3 3" xfId="27613" xr:uid="{00000000-0005-0000-0000-0000DB690000}"/>
    <cellStyle name="60% - Accent2 2 2 5 2 4" xfId="12253" xr:uid="{00000000-0005-0000-0000-0000DC690000}"/>
    <cellStyle name="60% - Accent2 2 2 5 2 4 2" xfId="32733" xr:uid="{00000000-0005-0000-0000-0000DD690000}"/>
    <cellStyle name="60% - Accent2 2 2 5 2 5" xfId="22493" xr:uid="{00000000-0005-0000-0000-0000DE690000}"/>
    <cellStyle name="60% - Accent2 2 2 5 3" xfId="3293" xr:uid="{00000000-0005-0000-0000-0000DF690000}"/>
    <cellStyle name="60% - Accent2 2 2 5 3 2" xfId="8413" xr:uid="{00000000-0005-0000-0000-0000E0690000}"/>
    <cellStyle name="60% - Accent2 2 2 5 3 2 2" xfId="18653" xr:uid="{00000000-0005-0000-0000-0000E1690000}"/>
    <cellStyle name="60% - Accent2 2 2 5 3 2 2 2" xfId="39133" xr:uid="{00000000-0005-0000-0000-0000E2690000}"/>
    <cellStyle name="60% - Accent2 2 2 5 3 2 3" xfId="28893" xr:uid="{00000000-0005-0000-0000-0000E3690000}"/>
    <cellStyle name="60% - Accent2 2 2 5 3 3" xfId="13533" xr:uid="{00000000-0005-0000-0000-0000E4690000}"/>
    <cellStyle name="60% - Accent2 2 2 5 3 3 2" xfId="34013" xr:uid="{00000000-0005-0000-0000-0000E5690000}"/>
    <cellStyle name="60% - Accent2 2 2 5 3 4" xfId="23773" xr:uid="{00000000-0005-0000-0000-0000E6690000}"/>
    <cellStyle name="60% - Accent2 2 2 5 4" xfId="5853" xr:uid="{00000000-0005-0000-0000-0000E7690000}"/>
    <cellStyle name="60% - Accent2 2 2 5 4 2" xfId="16093" xr:uid="{00000000-0005-0000-0000-0000E8690000}"/>
    <cellStyle name="60% - Accent2 2 2 5 4 2 2" xfId="36573" xr:uid="{00000000-0005-0000-0000-0000E9690000}"/>
    <cellStyle name="60% - Accent2 2 2 5 4 3" xfId="26333" xr:uid="{00000000-0005-0000-0000-0000EA690000}"/>
    <cellStyle name="60% - Accent2 2 2 5 5" xfId="10973" xr:uid="{00000000-0005-0000-0000-0000EB690000}"/>
    <cellStyle name="60% - Accent2 2 2 5 5 2" xfId="31453" xr:uid="{00000000-0005-0000-0000-0000EC690000}"/>
    <cellStyle name="60% - Accent2 2 2 5 6" xfId="21213" xr:uid="{00000000-0005-0000-0000-0000ED690000}"/>
    <cellStyle name="60% - Accent2 2 2 6" xfId="1373" xr:uid="{00000000-0005-0000-0000-0000EE690000}"/>
    <cellStyle name="60% - Accent2 2 2 6 2" xfId="3933" xr:uid="{00000000-0005-0000-0000-0000EF690000}"/>
    <cellStyle name="60% - Accent2 2 2 6 2 2" xfId="9053" xr:uid="{00000000-0005-0000-0000-0000F0690000}"/>
    <cellStyle name="60% - Accent2 2 2 6 2 2 2" xfId="19293" xr:uid="{00000000-0005-0000-0000-0000F1690000}"/>
    <cellStyle name="60% - Accent2 2 2 6 2 2 2 2" xfId="39773" xr:uid="{00000000-0005-0000-0000-0000F2690000}"/>
    <cellStyle name="60% - Accent2 2 2 6 2 2 3" xfId="29533" xr:uid="{00000000-0005-0000-0000-0000F3690000}"/>
    <cellStyle name="60% - Accent2 2 2 6 2 3" xfId="14173" xr:uid="{00000000-0005-0000-0000-0000F4690000}"/>
    <cellStyle name="60% - Accent2 2 2 6 2 3 2" xfId="34653" xr:uid="{00000000-0005-0000-0000-0000F5690000}"/>
    <cellStyle name="60% - Accent2 2 2 6 2 4" xfId="24413" xr:uid="{00000000-0005-0000-0000-0000F6690000}"/>
    <cellStyle name="60% - Accent2 2 2 6 3" xfId="6493" xr:uid="{00000000-0005-0000-0000-0000F7690000}"/>
    <cellStyle name="60% - Accent2 2 2 6 3 2" xfId="16733" xr:uid="{00000000-0005-0000-0000-0000F8690000}"/>
    <cellStyle name="60% - Accent2 2 2 6 3 2 2" xfId="37213" xr:uid="{00000000-0005-0000-0000-0000F9690000}"/>
    <cellStyle name="60% - Accent2 2 2 6 3 3" xfId="26973" xr:uid="{00000000-0005-0000-0000-0000FA690000}"/>
    <cellStyle name="60% - Accent2 2 2 6 4" xfId="11613" xr:uid="{00000000-0005-0000-0000-0000FB690000}"/>
    <cellStyle name="60% - Accent2 2 2 6 4 2" xfId="32093" xr:uid="{00000000-0005-0000-0000-0000FC690000}"/>
    <cellStyle name="60% - Accent2 2 2 6 5" xfId="21853" xr:uid="{00000000-0005-0000-0000-0000FD690000}"/>
    <cellStyle name="60% - Accent2 2 2 7" xfId="2653" xr:uid="{00000000-0005-0000-0000-0000FE690000}"/>
    <cellStyle name="60% - Accent2 2 2 7 2" xfId="7773" xr:uid="{00000000-0005-0000-0000-0000FF690000}"/>
    <cellStyle name="60% - Accent2 2 2 7 2 2" xfId="18013" xr:uid="{00000000-0005-0000-0000-0000006A0000}"/>
    <cellStyle name="60% - Accent2 2 2 7 2 2 2" xfId="38493" xr:uid="{00000000-0005-0000-0000-0000016A0000}"/>
    <cellStyle name="60% - Accent2 2 2 7 2 3" xfId="28253" xr:uid="{00000000-0005-0000-0000-0000026A0000}"/>
    <cellStyle name="60% - Accent2 2 2 7 3" xfId="12893" xr:uid="{00000000-0005-0000-0000-0000036A0000}"/>
    <cellStyle name="60% - Accent2 2 2 7 3 2" xfId="33373" xr:uid="{00000000-0005-0000-0000-0000046A0000}"/>
    <cellStyle name="60% - Accent2 2 2 7 4" xfId="23133" xr:uid="{00000000-0005-0000-0000-0000056A0000}"/>
    <cellStyle name="60% - Accent2 2 2 8" xfId="5213" xr:uid="{00000000-0005-0000-0000-0000066A0000}"/>
    <cellStyle name="60% - Accent2 2 2 8 2" xfId="15453" xr:uid="{00000000-0005-0000-0000-0000076A0000}"/>
    <cellStyle name="60% - Accent2 2 2 8 2 2" xfId="35933" xr:uid="{00000000-0005-0000-0000-0000086A0000}"/>
    <cellStyle name="60% - Accent2 2 2 8 3" xfId="25693" xr:uid="{00000000-0005-0000-0000-0000096A0000}"/>
    <cellStyle name="60% - Accent2 2 2 9" xfId="10333" xr:uid="{00000000-0005-0000-0000-00000A6A0000}"/>
    <cellStyle name="60% - Accent2 2 2 9 2" xfId="30813" xr:uid="{00000000-0005-0000-0000-00000B6A0000}"/>
    <cellStyle name="60% - Accent2 2 3" xfId="133" xr:uid="{00000000-0005-0000-0000-00000C6A0000}"/>
    <cellStyle name="60% - Accent2 2 3 2" xfId="293" xr:uid="{00000000-0005-0000-0000-00000D6A0000}"/>
    <cellStyle name="60% - Accent2 2 3 2 2" xfId="613" xr:uid="{00000000-0005-0000-0000-00000E6A0000}"/>
    <cellStyle name="60% - Accent2 2 3 2 2 2" xfId="1253" xr:uid="{00000000-0005-0000-0000-00000F6A0000}"/>
    <cellStyle name="60% - Accent2 2 3 2 2 2 2" xfId="2533" xr:uid="{00000000-0005-0000-0000-0000106A0000}"/>
    <cellStyle name="60% - Accent2 2 3 2 2 2 2 2" xfId="5093" xr:uid="{00000000-0005-0000-0000-0000116A0000}"/>
    <cellStyle name="60% - Accent2 2 3 2 2 2 2 2 2" xfId="10213" xr:uid="{00000000-0005-0000-0000-0000126A0000}"/>
    <cellStyle name="60% - Accent2 2 3 2 2 2 2 2 2 2" xfId="20453" xr:uid="{00000000-0005-0000-0000-0000136A0000}"/>
    <cellStyle name="60% - Accent2 2 3 2 2 2 2 2 2 2 2" xfId="40933" xr:uid="{00000000-0005-0000-0000-0000146A0000}"/>
    <cellStyle name="60% - Accent2 2 3 2 2 2 2 2 2 3" xfId="30693" xr:uid="{00000000-0005-0000-0000-0000156A0000}"/>
    <cellStyle name="60% - Accent2 2 3 2 2 2 2 2 3" xfId="15333" xr:uid="{00000000-0005-0000-0000-0000166A0000}"/>
    <cellStyle name="60% - Accent2 2 3 2 2 2 2 2 3 2" xfId="35813" xr:uid="{00000000-0005-0000-0000-0000176A0000}"/>
    <cellStyle name="60% - Accent2 2 3 2 2 2 2 2 4" xfId="25573" xr:uid="{00000000-0005-0000-0000-0000186A0000}"/>
    <cellStyle name="60% - Accent2 2 3 2 2 2 2 3" xfId="7653" xr:uid="{00000000-0005-0000-0000-0000196A0000}"/>
    <cellStyle name="60% - Accent2 2 3 2 2 2 2 3 2" xfId="17893" xr:uid="{00000000-0005-0000-0000-00001A6A0000}"/>
    <cellStyle name="60% - Accent2 2 3 2 2 2 2 3 2 2" xfId="38373" xr:uid="{00000000-0005-0000-0000-00001B6A0000}"/>
    <cellStyle name="60% - Accent2 2 3 2 2 2 2 3 3" xfId="28133" xr:uid="{00000000-0005-0000-0000-00001C6A0000}"/>
    <cellStyle name="60% - Accent2 2 3 2 2 2 2 4" xfId="12773" xr:uid="{00000000-0005-0000-0000-00001D6A0000}"/>
    <cellStyle name="60% - Accent2 2 3 2 2 2 2 4 2" xfId="33253" xr:uid="{00000000-0005-0000-0000-00001E6A0000}"/>
    <cellStyle name="60% - Accent2 2 3 2 2 2 2 5" xfId="23013" xr:uid="{00000000-0005-0000-0000-00001F6A0000}"/>
    <cellStyle name="60% - Accent2 2 3 2 2 2 3" xfId="3813" xr:uid="{00000000-0005-0000-0000-0000206A0000}"/>
    <cellStyle name="60% - Accent2 2 3 2 2 2 3 2" xfId="8933" xr:uid="{00000000-0005-0000-0000-0000216A0000}"/>
    <cellStyle name="60% - Accent2 2 3 2 2 2 3 2 2" xfId="19173" xr:uid="{00000000-0005-0000-0000-0000226A0000}"/>
    <cellStyle name="60% - Accent2 2 3 2 2 2 3 2 2 2" xfId="39653" xr:uid="{00000000-0005-0000-0000-0000236A0000}"/>
    <cellStyle name="60% - Accent2 2 3 2 2 2 3 2 3" xfId="29413" xr:uid="{00000000-0005-0000-0000-0000246A0000}"/>
    <cellStyle name="60% - Accent2 2 3 2 2 2 3 3" xfId="14053" xr:uid="{00000000-0005-0000-0000-0000256A0000}"/>
    <cellStyle name="60% - Accent2 2 3 2 2 2 3 3 2" xfId="34533" xr:uid="{00000000-0005-0000-0000-0000266A0000}"/>
    <cellStyle name="60% - Accent2 2 3 2 2 2 3 4" xfId="24293" xr:uid="{00000000-0005-0000-0000-0000276A0000}"/>
    <cellStyle name="60% - Accent2 2 3 2 2 2 4" xfId="6373" xr:uid="{00000000-0005-0000-0000-0000286A0000}"/>
    <cellStyle name="60% - Accent2 2 3 2 2 2 4 2" xfId="16613" xr:uid="{00000000-0005-0000-0000-0000296A0000}"/>
    <cellStyle name="60% - Accent2 2 3 2 2 2 4 2 2" xfId="37093" xr:uid="{00000000-0005-0000-0000-00002A6A0000}"/>
    <cellStyle name="60% - Accent2 2 3 2 2 2 4 3" xfId="26853" xr:uid="{00000000-0005-0000-0000-00002B6A0000}"/>
    <cellStyle name="60% - Accent2 2 3 2 2 2 5" xfId="11493" xr:uid="{00000000-0005-0000-0000-00002C6A0000}"/>
    <cellStyle name="60% - Accent2 2 3 2 2 2 5 2" xfId="31973" xr:uid="{00000000-0005-0000-0000-00002D6A0000}"/>
    <cellStyle name="60% - Accent2 2 3 2 2 2 6" xfId="21733" xr:uid="{00000000-0005-0000-0000-00002E6A0000}"/>
    <cellStyle name="60% - Accent2 2 3 2 2 3" xfId="1893" xr:uid="{00000000-0005-0000-0000-00002F6A0000}"/>
    <cellStyle name="60% - Accent2 2 3 2 2 3 2" xfId="4453" xr:uid="{00000000-0005-0000-0000-0000306A0000}"/>
    <cellStyle name="60% - Accent2 2 3 2 2 3 2 2" xfId="9573" xr:uid="{00000000-0005-0000-0000-0000316A0000}"/>
    <cellStyle name="60% - Accent2 2 3 2 2 3 2 2 2" xfId="19813" xr:uid="{00000000-0005-0000-0000-0000326A0000}"/>
    <cellStyle name="60% - Accent2 2 3 2 2 3 2 2 2 2" xfId="40293" xr:uid="{00000000-0005-0000-0000-0000336A0000}"/>
    <cellStyle name="60% - Accent2 2 3 2 2 3 2 2 3" xfId="30053" xr:uid="{00000000-0005-0000-0000-0000346A0000}"/>
    <cellStyle name="60% - Accent2 2 3 2 2 3 2 3" xfId="14693" xr:uid="{00000000-0005-0000-0000-0000356A0000}"/>
    <cellStyle name="60% - Accent2 2 3 2 2 3 2 3 2" xfId="35173" xr:uid="{00000000-0005-0000-0000-0000366A0000}"/>
    <cellStyle name="60% - Accent2 2 3 2 2 3 2 4" xfId="24933" xr:uid="{00000000-0005-0000-0000-0000376A0000}"/>
    <cellStyle name="60% - Accent2 2 3 2 2 3 3" xfId="7013" xr:uid="{00000000-0005-0000-0000-0000386A0000}"/>
    <cellStyle name="60% - Accent2 2 3 2 2 3 3 2" xfId="17253" xr:uid="{00000000-0005-0000-0000-0000396A0000}"/>
    <cellStyle name="60% - Accent2 2 3 2 2 3 3 2 2" xfId="37733" xr:uid="{00000000-0005-0000-0000-00003A6A0000}"/>
    <cellStyle name="60% - Accent2 2 3 2 2 3 3 3" xfId="27493" xr:uid="{00000000-0005-0000-0000-00003B6A0000}"/>
    <cellStyle name="60% - Accent2 2 3 2 2 3 4" xfId="12133" xr:uid="{00000000-0005-0000-0000-00003C6A0000}"/>
    <cellStyle name="60% - Accent2 2 3 2 2 3 4 2" xfId="32613" xr:uid="{00000000-0005-0000-0000-00003D6A0000}"/>
    <cellStyle name="60% - Accent2 2 3 2 2 3 5" xfId="22373" xr:uid="{00000000-0005-0000-0000-00003E6A0000}"/>
    <cellStyle name="60% - Accent2 2 3 2 2 4" xfId="3173" xr:uid="{00000000-0005-0000-0000-00003F6A0000}"/>
    <cellStyle name="60% - Accent2 2 3 2 2 4 2" xfId="8293" xr:uid="{00000000-0005-0000-0000-0000406A0000}"/>
    <cellStyle name="60% - Accent2 2 3 2 2 4 2 2" xfId="18533" xr:uid="{00000000-0005-0000-0000-0000416A0000}"/>
    <cellStyle name="60% - Accent2 2 3 2 2 4 2 2 2" xfId="39013" xr:uid="{00000000-0005-0000-0000-0000426A0000}"/>
    <cellStyle name="60% - Accent2 2 3 2 2 4 2 3" xfId="28773" xr:uid="{00000000-0005-0000-0000-0000436A0000}"/>
    <cellStyle name="60% - Accent2 2 3 2 2 4 3" xfId="13413" xr:uid="{00000000-0005-0000-0000-0000446A0000}"/>
    <cellStyle name="60% - Accent2 2 3 2 2 4 3 2" xfId="33893" xr:uid="{00000000-0005-0000-0000-0000456A0000}"/>
    <cellStyle name="60% - Accent2 2 3 2 2 4 4" xfId="23653" xr:uid="{00000000-0005-0000-0000-0000466A0000}"/>
    <cellStyle name="60% - Accent2 2 3 2 2 5" xfId="5733" xr:uid="{00000000-0005-0000-0000-0000476A0000}"/>
    <cellStyle name="60% - Accent2 2 3 2 2 5 2" xfId="15973" xr:uid="{00000000-0005-0000-0000-0000486A0000}"/>
    <cellStyle name="60% - Accent2 2 3 2 2 5 2 2" xfId="36453" xr:uid="{00000000-0005-0000-0000-0000496A0000}"/>
    <cellStyle name="60% - Accent2 2 3 2 2 5 3" xfId="26213" xr:uid="{00000000-0005-0000-0000-00004A6A0000}"/>
    <cellStyle name="60% - Accent2 2 3 2 2 6" xfId="10853" xr:uid="{00000000-0005-0000-0000-00004B6A0000}"/>
    <cellStyle name="60% - Accent2 2 3 2 2 6 2" xfId="31333" xr:uid="{00000000-0005-0000-0000-00004C6A0000}"/>
    <cellStyle name="60% - Accent2 2 3 2 2 7" xfId="21093" xr:uid="{00000000-0005-0000-0000-00004D6A0000}"/>
    <cellStyle name="60% - Accent2 2 3 2 3" xfId="933" xr:uid="{00000000-0005-0000-0000-00004E6A0000}"/>
    <cellStyle name="60% - Accent2 2 3 2 3 2" xfId="2213" xr:uid="{00000000-0005-0000-0000-00004F6A0000}"/>
    <cellStyle name="60% - Accent2 2 3 2 3 2 2" xfId="4773" xr:uid="{00000000-0005-0000-0000-0000506A0000}"/>
    <cellStyle name="60% - Accent2 2 3 2 3 2 2 2" xfId="9893" xr:uid="{00000000-0005-0000-0000-0000516A0000}"/>
    <cellStyle name="60% - Accent2 2 3 2 3 2 2 2 2" xfId="20133" xr:uid="{00000000-0005-0000-0000-0000526A0000}"/>
    <cellStyle name="60% - Accent2 2 3 2 3 2 2 2 2 2" xfId="40613" xr:uid="{00000000-0005-0000-0000-0000536A0000}"/>
    <cellStyle name="60% - Accent2 2 3 2 3 2 2 2 3" xfId="30373" xr:uid="{00000000-0005-0000-0000-0000546A0000}"/>
    <cellStyle name="60% - Accent2 2 3 2 3 2 2 3" xfId="15013" xr:uid="{00000000-0005-0000-0000-0000556A0000}"/>
    <cellStyle name="60% - Accent2 2 3 2 3 2 2 3 2" xfId="35493" xr:uid="{00000000-0005-0000-0000-0000566A0000}"/>
    <cellStyle name="60% - Accent2 2 3 2 3 2 2 4" xfId="25253" xr:uid="{00000000-0005-0000-0000-0000576A0000}"/>
    <cellStyle name="60% - Accent2 2 3 2 3 2 3" xfId="7333" xr:uid="{00000000-0005-0000-0000-0000586A0000}"/>
    <cellStyle name="60% - Accent2 2 3 2 3 2 3 2" xfId="17573" xr:uid="{00000000-0005-0000-0000-0000596A0000}"/>
    <cellStyle name="60% - Accent2 2 3 2 3 2 3 2 2" xfId="38053" xr:uid="{00000000-0005-0000-0000-00005A6A0000}"/>
    <cellStyle name="60% - Accent2 2 3 2 3 2 3 3" xfId="27813" xr:uid="{00000000-0005-0000-0000-00005B6A0000}"/>
    <cellStyle name="60% - Accent2 2 3 2 3 2 4" xfId="12453" xr:uid="{00000000-0005-0000-0000-00005C6A0000}"/>
    <cellStyle name="60% - Accent2 2 3 2 3 2 4 2" xfId="32933" xr:uid="{00000000-0005-0000-0000-00005D6A0000}"/>
    <cellStyle name="60% - Accent2 2 3 2 3 2 5" xfId="22693" xr:uid="{00000000-0005-0000-0000-00005E6A0000}"/>
    <cellStyle name="60% - Accent2 2 3 2 3 3" xfId="3493" xr:uid="{00000000-0005-0000-0000-00005F6A0000}"/>
    <cellStyle name="60% - Accent2 2 3 2 3 3 2" xfId="8613" xr:uid="{00000000-0005-0000-0000-0000606A0000}"/>
    <cellStyle name="60% - Accent2 2 3 2 3 3 2 2" xfId="18853" xr:uid="{00000000-0005-0000-0000-0000616A0000}"/>
    <cellStyle name="60% - Accent2 2 3 2 3 3 2 2 2" xfId="39333" xr:uid="{00000000-0005-0000-0000-0000626A0000}"/>
    <cellStyle name="60% - Accent2 2 3 2 3 3 2 3" xfId="29093" xr:uid="{00000000-0005-0000-0000-0000636A0000}"/>
    <cellStyle name="60% - Accent2 2 3 2 3 3 3" xfId="13733" xr:uid="{00000000-0005-0000-0000-0000646A0000}"/>
    <cellStyle name="60% - Accent2 2 3 2 3 3 3 2" xfId="34213" xr:uid="{00000000-0005-0000-0000-0000656A0000}"/>
    <cellStyle name="60% - Accent2 2 3 2 3 3 4" xfId="23973" xr:uid="{00000000-0005-0000-0000-0000666A0000}"/>
    <cellStyle name="60% - Accent2 2 3 2 3 4" xfId="6053" xr:uid="{00000000-0005-0000-0000-0000676A0000}"/>
    <cellStyle name="60% - Accent2 2 3 2 3 4 2" xfId="16293" xr:uid="{00000000-0005-0000-0000-0000686A0000}"/>
    <cellStyle name="60% - Accent2 2 3 2 3 4 2 2" xfId="36773" xr:uid="{00000000-0005-0000-0000-0000696A0000}"/>
    <cellStyle name="60% - Accent2 2 3 2 3 4 3" xfId="26533" xr:uid="{00000000-0005-0000-0000-00006A6A0000}"/>
    <cellStyle name="60% - Accent2 2 3 2 3 5" xfId="11173" xr:uid="{00000000-0005-0000-0000-00006B6A0000}"/>
    <cellStyle name="60% - Accent2 2 3 2 3 5 2" xfId="31653" xr:uid="{00000000-0005-0000-0000-00006C6A0000}"/>
    <cellStyle name="60% - Accent2 2 3 2 3 6" xfId="21413" xr:uid="{00000000-0005-0000-0000-00006D6A0000}"/>
    <cellStyle name="60% - Accent2 2 3 2 4" xfId="1573" xr:uid="{00000000-0005-0000-0000-00006E6A0000}"/>
    <cellStyle name="60% - Accent2 2 3 2 4 2" xfId="4133" xr:uid="{00000000-0005-0000-0000-00006F6A0000}"/>
    <cellStyle name="60% - Accent2 2 3 2 4 2 2" xfId="9253" xr:uid="{00000000-0005-0000-0000-0000706A0000}"/>
    <cellStyle name="60% - Accent2 2 3 2 4 2 2 2" xfId="19493" xr:uid="{00000000-0005-0000-0000-0000716A0000}"/>
    <cellStyle name="60% - Accent2 2 3 2 4 2 2 2 2" xfId="39973" xr:uid="{00000000-0005-0000-0000-0000726A0000}"/>
    <cellStyle name="60% - Accent2 2 3 2 4 2 2 3" xfId="29733" xr:uid="{00000000-0005-0000-0000-0000736A0000}"/>
    <cellStyle name="60% - Accent2 2 3 2 4 2 3" xfId="14373" xr:uid="{00000000-0005-0000-0000-0000746A0000}"/>
    <cellStyle name="60% - Accent2 2 3 2 4 2 3 2" xfId="34853" xr:uid="{00000000-0005-0000-0000-0000756A0000}"/>
    <cellStyle name="60% - Accent2 2 3 2 4 2 4" xfId="24613" xr:uid="{00000000-0005-0000-0000-0000766A0000}"/>
    <cellStyle name="60% - Accent2 2 3 2 4 3" xfId="6693" xr:uid="{00000000-0005-0000-0000-0000776A0000}"/>
    <cellStyle name="60% - Accent2 2 3 2 4 3 2" xfId="16933" xr:uid="{00000000-0005-0000-0000-0000786A0000}"/>
    <cellStyle name="60% - Accent2 2 3 2 4 3 2 2" xfId="37413" xr:uid="{00000000-0005-0000-0000-0000796A0000}"/>
    <cellStyle name="60% - Accent2 2 3 2 4 3 3" xfId="27173" xr:uid="{00000000-0005-0000-0000-00007A6A0000}"/>
    <cellStyle name="60% - Accent2 2 3 2 4 4" xfId="11813" xr:uid="{00000000-0005-0000-0000-00007B6A0000}"/>
    <cellStyle name="60% - Accent2 2 3 2 4 4 2" xfId="32293" xr:uid="{00000000-0005-0000-0000-00007C6A0000}"/>
    <cellStyle name="60% - Accent2 2 3 2 4 5" xfId="22053" xr:uid="{00000000-0005-0000-0000-00007D6A0000}"/>
    <cellStyle name="60% - Accent2 2 3 2 5" xfId="2853" xr:uid="{00000000-0005-0000-0000-00007E6A0000}"/>
    <cellStyle name="60% - Accent2 2 3 2 5 2" xfId="7973" xr:uid="{00000000-0005-0000-0000-00007F6A0000}"/>
    <cellStyle name="60% - Accent2 2 3 2 5 2 2" xfId="18213" xr:uid="{00000000-0005-0000-0000-0000806A0000}"/>
    <cellStyle name="60% - Accent2 2 3 2 5 2 2 2" xfId="38693" xr:uid="{00000000-0005-0000-0000-0000816A0000}"/>
    <cellStyle name="60% - Accent2 2 3 2 5 2 3" xfId="28453" xr:uid="{00000000-0005-0000-0000-0000826A0000}"/>
    <cellStyle name="60% - Accent2 2 3 2 5 3" xfId="13093" xr:uid="{00000000-0005-0000-0000-0000836A0000}"/>
    <cellStyle name="60% - Accent2 2 3 2 5 3 2" xfId="33573" xr:uid="{00000000-0005-0000-0000-0000846A0000}"/>
    <cellStyle name="60% - Accent2 2 3 2 5 4" xfId="23333" xr:uid="{00000000-0005-0000-0000-0000856A0000}"/>
    <cellStyle name="60% - Accent2 2 3 2 6" xfId="5413" xr:uid="{00000000-0005-0000-0000-0000866A0000}"/>
    <cellStyle name="60% - Accent2 2 3 2 6 2" xfId="15653" xr:uid="{00000000-0005-0000-0000-0000876A0000}"/>
    <cellStyle name="60% - Accent2 2 3 2 6 2 2" xfId="36133" xr:uid="{00000000-0005-0000-0000-0000886A0000}"/>
    <cellStyle name="60% - Accent2 2 3 2 6 3" xfId="25893" xr:uid="{00000000-0005-0000-0000-0000896A0000}"/>
    <cellStyle name="60% - Accent2 2 3 2 7" xfId="10533" xr:uid="{00000000-0005-0000-0000-00008A6A0000}"/>
    <cellStyle name="60% - Accent2 2 3 2 7 2" xfId="31013" xr:uid="{00000000-0005-0000-0000-00008B6A0000}"/>
    <cellStyle name="60% - Accent2 2 3 2 8" xfId="20773" xr:uid="{00000000-0005-0000-0000-00008C6A0000}"/>
    <cellStyle name="60% - Accent2 2 3 3" xfId="453" xr:uid="{00000000-0005-0000-0000-00008D6A0000}"/>
    <cellStyle name="60% - Accent2 2 3 3 2" xfId="1093" xr:uid="{00000000-0005-0000-0000-00008E6A0000}"/>
    <cellStyle name="60% - Accent2 2 3 3 2 2" xfId="2373" xr:uid="{00000000-0005-0000-0000-00008F6A0000}"/>
    <cellStyle name="60% - Accent2 2 3 3 2 2 2" xfId="4933" xr:uid="{00000000-0005-0000-0000-0000906A0000}"/>
    <cellStyle name="60% - Accent2 2 3 3 2 2 2 2" xfId="10053" xr:uid="{00000000-0005-0000-0000-0000916A0000}"/>
    <cellStyle name="60% - Accent2 2 3 3 2 2 2 2 2" xfId="20293" xr:uid="{00000000-0005-0000-0000-0000926A0000}"/>
    <cellStyle name="60% - Accent2 2 3 3 2 2 2 2 2 2" xfId="40773" xr:uid="{00000000-0005-0000-0000-0000936A0000}"/>
    <cellStyle name="60% - Accent2 2 3 3 2 2 2 2 3" xfId="30533" xr:uid="{00000000-0005-0000-0000-0000946A0000}"/>
    <cellStyle name="60% - Accent2 2 3 3 2 2 2 3" xfId="15173" xr:uid="{00000000-0005-0000-0000-0000956A0000}"/>
    <cellStyle name="60% - Accent2 2 3 3 2 2 2 3 2" xfId="35653" xr:uid="{00000000-0005-0000-0000-0000966A0000}"/>
    <cellStyle name="60% - Accent2 2 3 3 2 2 2 4" xfId="25413" xr:uid="{00000000-0005-0000-0000-0000976A0000}"/>
    <cellStyle name="60% - Accent2 2 3 3 2 2 3" xfId="7493" xr:uid="{00000000-0005-0000-0000-0000986A0000}"/>
    <cellStyle name="60% - Accent2 2 3 3 2 2 3 2" xfId="17733" xr:uid="{00000000-0005-0000-0000-0000996A0000}"/>
    <cellStyle name="60% - Accent2 2 3 3 2 2 3 2 2" xfId="38213" xr:uid="{00000000-0005-0000-0000-00009A6A0000}"/>
    <cellStyle name="60% - Accent2 2 3 3 2 2 3 3" xfId="27973" xr:uid="{00000000-0005-0000-0000-00009B6A0000}"/>
    <cellStyle name="60% - Accent2 2 3 3 2 2 4" xfId="12613" xr:uid="{00000000-0005-0000-0000-00009C6A0000}"/>
    <cellStyle name="60% - Accent2 2 3 3 2 2 4 2" xfId="33093" xr:uid="{00000000-0005-0000-0000-00009D6A0000}"/>
    <cellStyle name="60% - Accent2 2 3 3 2 2 5" xfId="22853" xr:uid="{00000000-0005-0000-0000-00009E6A0000}"/>
    <cellStyle name="60% - Accent2 2 3 3 2 3" xfId="3653" xr:uid="{00000000-0005-0000-0000-00009F6A0000}"/>
    <cellStyle name="60% - Accent2 2 3 3 2 3 2" xfId="8773" xr:uid="{00000000-0005-0000-0000-0000A06A0000}"/>
    <cellStyle name="60% - Accent2 2 3 3 2 3 2 2" xfId="19013" xr:uid="{00000000-0005-0000-0000-0000A16A0000}"/>
    <cellStyle name="60% - Accent2 2 3 3 2 3 2 2 2" xfId="39493" xr:uid="{00000000-0005-0000-0000-0000A26A0000}"/>
    <cellStyle name="60% - Accent2 2 3 3 2 3 2 3" xfId="29253" xr:uid="{00000000-0005-0000-0000-0000A36A0000}"/>
    <cellStyle name="60% - Accent2 2 3 3 2 3 3" xfId="13893" xr:uid="{00000000-0005-0000-0000-0000A46A0000}"/>
    <cellStyle name="60% - Accent2 2 3 3 2 3 3 2" xfId="34373" xr:uid="{00000000-0005-0000-0000-0000A56A0000}"/>
    <cellStyle name="60% - Accent2 2 3 3 2 3 4" xfId="24133" xr:uid="{00000000-0005-0000-0000-0000A66A0000}"/>
    <cellStyle name="60% - Accent2 2 3 3 2 4" xfId="6213" xr:uid="{00000000-0005-0000-0000-0000A76A0000}"/>
    <cellStyle name="60% - Accent2 2 3 3 2 4 2" xfId="16453" xr:uid="{00000000-0005-0000-0000-0000A86A0000}"/>
    <cellStyle name="60% - Accent2 2 3 3 2 4 2 2" xfId="36933" xr:uid="{00000000-0005-0000-0000-0000A96A0000}"/>
    <cellStyle name="60% - Accent2 2 3 3 2 4 3" xfId="26693" xr:uid="{00000000-0005-0000-0000-0000AA6A0000}"/>
    <cellStyle name="60% - Accent2 2 3 3 2 5" xfId="11333" xr:uid="{00000000-0005-0000-0000-0000AB6A0000}"/>
    <cellStyle name="60% - Accent2 2 3 3 2 5 2" xfId="31813" xr:uid="{00000000-0005-0000-0000-0000AC6A0000}"/>
    <cellStyle name="60% - Accent2 2 3 3 2 6" xfId="21573" xr:uid="{00000000-0005-0000-0000-0000AD6A0000}"/>
    <cellStyle name="60% - Accent2 2 3 3 3" xfId="1733" xr:uid="{00000000-0005-0000-0000-0000AE6A0000}"/>
    <cellStyle name="60% - Accent2 2 3 3 3 2" xfId="4293" xr:uid="{00000000-0005-0000-0000-0000AF6A0000}"/>
    <cellStyle name="60% - Accent2 2 3 3 3 2 2" xfId="9413" xr:uid="{00000000-0005-0000-0000-0000B06A0000}"/>
    <cellStyle name="60% - Accent2 2 3 3 3 2 2 2" xfId="19653" xr:uid="{00000000-0005-0000-0000-0000B16A0000}"/>
    <cellStyle name="60% - Accent2 2 3 3 3 2 2 2 2" xfId="40133" xr:uid="{00000000-0005-0000-0000-0000B26A0000}"/>
    <cellStyle name="60% - Accent2 2 3 3 3 2 2 3" xfId="29893" xr:uid="{00000000-0005-0000-0000-0000B36A0000}"/>
    <cellStyle name="60% - Accent2 2 3 3 3 2 3" xfId="14533" xr:uid="{00000000-0005-0000-0000-0000B46A0000}"/>
    <cellStyle name="60% - Accent2 2 3 3 3 2 3 2" xfId="35013" xr:uid="{00000000-0005-0000-0000-0000B56A0000}"/>
    <cellStyle name="60% - Accent2 2 3 3 3 2 4" xfId="24773" xr:uid="{00000000-0005-0000-0000-0000B66A0000}"/>
    <cellStyle name="60% - Accent2 2 3 3 3 3" xfId="6853" xr:uid="{00000000-0005-0000-0000-0000B76A0000}"/>
    <cellStyle name="60% - Accent2 2 3 3 3 3 2" xfId="17093" xr:uid="{00000000-0005-0000-0000-0000B86A0000}"/>
    <cellStyle name="60% - Accent2 2 3 3 3 3 2 2" xfId="37573" xr:uid="{00000000-0005-0000-0000-0000B96A0000}"/>
    <cellStyle name="60% - Accent2 2 3 3 3 3 3" xfId="27333" xr:uid="{00000000-0005-0000-0000-0000BA6A0000}"/>
    <cellStyle name="60% - Accent2 2 3 3 3 4" xfId="11973" xr:uid="{00000000-0005-0000-0000-0000BB6A0000}"/>
    <cellStyle name="60% - Accent2 2 3 3 3 4 2" xfId="32453" xr:uid="{00000000-0005-0000-0000-0000BC6A0000}"/>
    <cellStyle name="60% - Accent2 2 3 3 3 5" xfId="22213" xr:uid="{00000000-0005-0000-0000-0000BD6A0000}"/>
    <cellStyle name="60% - Accent2 2 3 3 4" xfId="3013" xr:uid="{00000000-0005-0000-0000-0000BE6A0000}"/>
    <cellStyle name="60% - Accent2 2 3 3 4 2" xfId="8133" xr:uid="{00000000-0005-0000-0000-0000BF6A0000}"/>
    <cellStyle name="60% - Accent2 2 3 3 4 2 2" xfId="18373" xr:uid="{00000000-0005-0000-0000-0000C06A0000}"/>
    <cellStyle name="60% - Accent2 2 3 3 4 2 2 2" xfId="38853" xr:uid="{00000000-0005-0000-0000-0000C16A0000}"/>
    <cellStyle name="60% - Accent2 2 3 3 4 2 3" xfId="28613" xr:uid="{00000000-0005-0000-0000-0000C26A0000}"/>
    <cellStyle name="60% - Accent2 2 3 3 4 3" xfId="13253" xr:uid="{00000000-0005-0000-0000-0000C36A0000}"/>
    <cellStyle name="60% - Accent2 2 3 3 4 3 2" xfId="33733" xr:uid="{00000000-0005-0000-0000-0000C46A0000}"/>
    <cellStyle name="60% - Accent2 2 3 3 4 4" xfId="23493" xr:uid="{00000000-0005-0000-0000-0000C56A0000}"/>
    <cellStyle name="60% - Accent2 2 3 3 5" xfId="5573" xr:uid="{00000000-0005-0000-0000-0000C66A0000}"/>
    <cellStyle name="60% - Accent2 2 3 3 5 2" xfId="15813" xr:uid="{00000000-0005-0000-0000-0000C76A0000}"/>
    <cellStyle name="60% - Accent2 2 3 3 5 2 2" xfId="36293" xr:uid="{00000000-0005-0000-0000-0000C86A0000}"/>
    <cellStyle name="60% - Accent2 2 3 3 5 3" xfId="26053" xr:uid="{00000000-0005-0000-0000-0000C96A0000}"/>
    <cellStyle name="60% - Accent2 2 3 3 6" xfId="10693" xr:uid="{00000000-0005-0000-0000-0000CA6A0000}"/>
    <cellStyle name="60% - Accent2 2 3 3 6 2" xfId="31173" xr:uid="{00000000-0005-0000-0000-0000CB6A0000}"/>
    <cellStyle name="60% - Accent2 2 3 3 7" xfId="20933" xr:uid="{00000000-0005-0000-0000-0000CC6A0000}"/>
    <cellStyle name="60% - Accent2 2 3 4" xfId="773" xr:uid="{00000000-0005-0000-0000-0000CD6A0000}"/>
    <cellStyle name="60% - Accent2 2 3 4 2" xfId="2053" xr:uid="{00000000-0005-0000-0000-0000CE6A0000}"/>
    <cellStyle name="60% - Accent2 2 3 4 2 2" xfId="4613" xr:uid="{00000000-0005-0000-0000-0000CF6A0000}"/>
    <cellStyle name="60% - Accent2 2 3 4 2 2 2" xfId="9733" xr:uid="{00000000-0005-0000-0000-0000D06A0000}"/>
    <cellStyle name="60% - Accent2 2 3 4 2 2 2 2" xfId="19973" xr:uid="{00000000-0005-0000-0000-0000D16A0000}"/>
    <cellStyle name="60% - Accent2 2 3 4 2 2 2 2 2" xfId="40453" xr:uid="{00000000-0005-0000-0000-0000D26A0000}"/>
    <cellStyle name="60% - Accent2 2 3 4 2 2 2 3" xfId="30213" xr:uid="{00000000-0005-0000-0000-0000D36A0000}"/>
    <cellStyle name="60% - Accent2 2 3 4 2 2 3" xfId="14853" xr:uid="{00000000-0005-0000-0000-0000D46A0000}"/>
    <cellStyle name="60% - Accent2 2 3 4 2 2 3 2" xfId="35333" xr:uid="{00000000-0005-0000-0000-0000D56A0000}"/>
    <cellStyle name="60% - Accent2 2 3 4 2 2 4" xfId="25093" xr:uid="{00000000-0005-0000-0000-0000D66A0000}"/>
    <cellStyle name="60% - Accent2 2 3 4 2 3" xfId="7173" xr:uid="{00000000-0005-0000-0000-0000D76A0000}"/>
    <cellStyle name="60% - Accent2 2 3 4 2 3 2" xfId="17413" xr:uid="{00000000-0005-0000-0000-0000D86A0000}"/>
    <cellStyle name="60% - Accent2 2 3 4 2 3 2 2" xfId="37893" xr:uid="{00000000-0005-0000-0000-0000D96A0000}"/>
    <cellStyle name="60% - Accent2 2 3 4 2 3 3" xfId="27653" xr:uid="{00000000-0005-0000-0000-0000DA6A0000}"/>
    <cellStyle name="60% - Accent2 2 3 4 2 4" xfId="12293" xr:uid="{00000000-0005-0000-0000-0000DB6A0000}"/>
    <cellStyle name="60% - Accent2 2 3 4 2 4 2" xfId="32773" xr:uid="{00000000-0005-0000-0000-0000DC6A0000}"/>
    <cellStyle name="60% - Accent2 2 3 4 2 5" xfId="22533" xr:uid="{00000000-0005-0000-0000-0000DD6A0000}"/>
    <cellStyle name="60% - Accent2 2 3 4 3" xfId="3333" xr:uid="{00000000-0005-0000-0000-0000DE6A0000}"/>
    <cellStyle name="60% - Accent2 2 3 4 3 2" xfId="8453" xr:uid="{00000000-0005-0000-0000-0000DF6A0000}"/>
    <cellStyle name="60% - Accent2 2 3 4 3 2 2" xfId="18693" xr:uid="{00000000-0005-0000-0000-0000E06A0000}"/>
    <cellStyle name="60% - Accent2 2 3 4 3 2 2 2" xfId="39173" xr:uid="{00000000-0005-0000-0000-0000E16A0000}"/>
    <cellStyle name="60% - Accent2 2 3 4 3 2 3" xfId="28933" xr:uid="{00000000-0005-0000-0000-0000E26A0000}"/>
    <cellStyle name="60% - Accent2 2 3 4 3 3" xfId="13573" xr:uid="{00000000-0005-0000-0000-0000E36A0000}"/>
    <cellStyle name="60% - Accent2 2 3 4 3 3 2" xfId="34053" xr:uid="{00000000-0005-0000-0000-0000E46A0000}"/>
    <cellStyle name="60% - Accent2 2 3 4 3 4" xfId="23813" xr:uid="{00000000-0005-0000-0000-0000E56A0000}"/>
    <cellStyle name="60% - Accent2 2 3 4 4" xfId="5893" xr:uid="{00000000-0005-0000-0000-0000E66A0000}"/>
    <cellStyle name="60% - Accent2 2 3 4 4 2" xfId="16133" xr:uid="{00000000-0005-0000-0000-0000E76A0000}"/>
    <cellStyle name="60% - Accent2 2 3 4 4 2 2" xfId="36613" xr:uid="{00000000-0005-0000-0000-0000E86A0000}"/>
    <cellStyle name="60% - Accent2 2 3 4 4 3" xfId="26373" xr:uid="{00000000-0005-0000-0000-0000E96A0000}"/>
    <cellStyle name="60% - Accent2 2 3 4 5" xfId="11013" xr:uid="{00000000-0005-0000-0000-0000EA6A0000}"/>
    <cellStyle name="60% - Accent2 2 3 4 5 2" xfId="31493" xr:uid="{00000000-0005-0000-0000-0000EB6A0000}"/>
    <cellStyle name="60% - Accent2 2 3 4 6" xfId="21253" xr:uid="{00000000-0005-0000-0000-0000EC6A0000}"/>
    <cellStyle name="60% - Accent2 2 3 5" xfId="1413" xr:uid="{00000000-0005-0000-0000-0000ED6A0000}"/>
    <cellStyle name="60% - Accent2 2 3 5 2" xfId="3973" xr:uid="{00000000-0005-0000-0000-0000EE6A0000}"/>
    <cellStyle name="60% - Accent2 2 3 5 2 2" xfId="9093" xr:uid="{00000000-0005-0000-0000-0000EF6A0000}"/>
    <cellStyle name="60% - Accent2 2 3 5 2 2 2" xfId="19333" xr:uid="{00000000-0005-0000-0000-0000F06A0000}"/>
    <cellStyle name="60% - Accent2 2 3 5 2 2 2 2" xfId="39813" xr:uid="{00000000-0005-0000-0000-0000F16A0000}"/>
    <cellStyle name="60% - Accent2 2 3 5 2 2 3" xfId="29573" xr:uid="{00000000-0005-0000-0000-0000F26A0000}"/>
    <cellStyle name="60% - Accent2 2 3 5 2 3" xfId="14213" xr:uid="{00000000-0005-0000-0000-0000F36A0000}"/>
    <cellStyle name="60% - Accent2 2 3 5 2 3 2" xfId="34693" xr:uid="{00000000-0005-0000-0000-0000F46A0000}"/>
    <cellStyle name="60% - Accent2 2 3 5 2 4" xfId="24453" xr:uid="{00000000-0005-0000-0000-0000F56A0000}"/>
    <cellStyle name="60% - Accent2 2 3 5 3" xfId="6533" xr:uid="{00000000-0005-0000-0000-0000F66A0000}"/>
    <cellStyle name="60% - Accent2 2 3 5 3 2" xfId="16773" xr:uid="{00000000-0005-0000-0000-0000F76A0000}"/>
    <cellStyle name="60% - Accent2 2 3 5 3 2 2" xfId="37253" xr:uid="{00000000-0005-0000-0000-0000F86A0000}"/>
    <cellStyle name="60% - Accent2 2 3 5 3 3" xfId="27013" xr:uid="{00000000-0005-0000-0000-0000F96A0000}"/>
    <cellStyle name="60% - Accent2 2 3 5 4" xfId="11653" xr:uid="{00000000-0005-0000-0000-0000FA6A0000}"/>
    <cellStyle name="60% - Accent2 2 3 5 4 2" xfId="32133" xr:uid="{00000000-0005-0000-0000-0000FB6A0000}"/>
    <cellStyle name="60% - Accent2 2 3 5 5" xfId="21893" xr:uid="{00000000-0005-0000-0000-0000FC6A0000}"/>
    <cellStyle name="60% - Accent2 2 3 6" xfId="2693" xr:uid="{00000000-0005-0000-0000-0000FD6A0000}"/>
    <cellStyle name="60% - Accent2 2 3 6 2" xfId="7813" xr:uid="{00000000-0005-0000-0000-0000FE6A0000}"/>
    <cellStyle name="60% - Accent2 2 3 6 2 2" xfId="18053" xr:uid="{00000000-0005-0000-0000-0000FF6A0000}"/>
    <cellStyle name="60% - Accent2 2 3 6 2 2 2" xfId="38533" xr:uid="{00000000-0005-0000-0000-0000006B0000}"/>
    <cellStyle name="60% - Accent2 2 3 6 2 3" xfId="28293" xr:uid="{00000000-0005-0000-0000-0000016B0000}"/>
    <cellStyle name="60% - Accent2 2 3 6 3" xfId="12933" xr:uid="{00000000-0005-0000-0000-0000026B0000}"/>
    <cellStyle name="60% - Accent2 2 3 6 3 2" xfId="33413" xr:uid="{00000000-0005-0000-0000-0000036B0000}"/>
    <cellStyle name="60% - Accent2 2 3 6 4" xfId="23173" xr:uid="{00000000-0005-0000-0000-0000046B0000}"/>
    <cellStyle name="60% - Accent2 2 3 7" xfId="5253" xr:uid="{00000000-0005-0000-0000-0000056B0000}"/>
    <cellStyle name="60% - Accent2 2 3 7 2" xfId="15493" xr:uid="{00000000-0005-0000-0000-0000066B0000}"/>
    <cellStyle name="60% - Accent2 2 3 7 2 2" xfId="35973" xr:uid="{00000000-0005-0000-0000-0000076B0000}"/>
    <cellStyle name="60% - Accent2 2 3 7 3" xfId="25733" xr:uid="{00000000-0005-0000-0000-0000086B0000}"/>
    <cellStyle name="60% - Accent2 2 3 8" xfId="10373" xr:uid="{00000000-0005-0000-0000-0000096B0000}"/>
    <cellStyle name="60% - Accent2 2 3 8 2" xfId="30853" xr:uid="{00000000-0005-0000-0000-00000A6B0000}"/>
    <cellStyle name="60% - Accent2 2 3 9" xfId="20613" xr:uid="{00000000-0005-0000-0000-00000B6B0000}"/>
    <cellStyle name="60% - Accent2 2 4" xfId="213" xr:uid="{00000000-0005-0000-0000-00000C6B0000}"/>
    <cellStyle name="60% - Accent2 2 4 2" xfId="533" xr:uid="{00000000-0005-0000-0000-00000D6B0000}"/>
    <cellStyle name="60% - Accent2 2 4 2 2" xfId="1173" xr:uid="{00000000-0005-0000-0000-00000E6B0000}"/>
    <cellStyle name="60% - Accent2 2 4 2 2 2" xfId="2453" xr:uid="{00000000-0005-0000-0000-00000F6B0000}"/>
    <cellStyle name="60% - Accent2 2 4 2 2 2 2" xfId="5013" xr:uid="{00000000-0005-0000-0000-0000106B0000}"/>
    <cellStyle name="60% - Accent2 2 4 2 2 2 2 2" xfId="10133" xr:uid="{00000000-0005-0000-0000-0000116B0000}"/>
    <cellStyle name="60% - Accent2 2 4 2 2 2 2 2 2" xfId="20373" xr:uid="{00000000-0005-0000-0000-0000126B0000}"/>
    <cellStyle name="60% - Accent2 2 4 2 2 2 2 2 2 2" xfId="40853" xr:uid="{00000000-0005-0000-0000-0000136B0000}"/>
    <cellStyle name="60% - Accent2 2 4 2 2 2 2 2 3" xfId="30613" xr:uid="{00000000-0005-0000-0000-0000146B0000}"/>
    <cellStyle name="60% - Accent2 2 4 2 2 2 2 3" xfId="15253" xr:uid="{00000000-0005-0000-0000-0000156B0000}"/>
    <cellStyle name="60% - Accent2 2 4 2 2 2 2 3 2" xfId="35733" xr:uid="{00000000-0005-0000-0000-0000166B0000}"/>
    <cellStyle name="60% - Accent2 2 4 2 2 2 2 4" xfId="25493" xr:uid="{00000000-0005-0000-0000-0000176B0000}"/>
    <cellStyle name="60% - Accent2 2 4 2 2 2 3" xfId="7573" xr:uid="{00000000-0005-0000-0000-0000186B0000}"/>
    <cellStyle name="60% - Accent2 2 4 2 2 2 3 2" xfId="17813" xr:uid="{00000000-0005-0000-0000-0000196B0000}"/>
    <cellStyle name="60% - Accent2 2 4 2 2 2 3 2 2" xfId="38293" xr:uid="{00000000-0005-0000-0000-00001A6B0000}"/>
    <cellStyle name="60% - Accent2 2 4 2 2 2 3 3" xfId="28053" xr:uid="{00000000-0005-0000-0000-00001B6B0000}"/>
    <cellStyle name="60% - Accent2 2 4 2 2 2 4" xfId="12693" xr:uid="{00000000-0005-0000-0000-00001C6B0000}"/>
    <cellStyle name="60% - Accent2 2 4 2 2 2 4 2" xfId="33173" xr:uid="{00000000-0005-0000-0000-00001D6B0000}"/>
    <cellStyle name="60% - Accent2 2 4 2 2 2 5" xfId="22933" xr:uid="{00000000-0005-0000-0000-00001E6B0000}"/>
    <cellStyle name="60% - Accent2 2 4 2 2 3" xfId="3733" xr:uid="{00000000-0005-0000-0000-00001F6B0000}"/>
    <cellStyle name="60% - Accent2 2 4 2 2 3 2" xfId="8853" xr:uid="{00000000-0005-0000-0000-0000206B0000}"/>
    <cellStyle name="60% - Accent2 2 4 2 2 3 2 2" xfId="19093" xr:uid="{00000000-0005-0000-0000-0000216B0000}"/>
    <cellStyle name="60% - Accent2 2 4 2 2 3 2 2 2" xfId="39573" xr:uid="{00000000-0005-0000-0000-0000226B0000}"/>
    <cellStyle name="60% - Accent2 2 4 2 2 3 2 3" xfId="29333" xr:uid="{00000000-0005-0000-0000-0000236B0000}"/>
    <cellStyle name="60% - Accent2 2 4 2 2 3 3" xfId="13973" xr:uid="{00000000-0005-0000-0000-0000246B0000}"/>
    <cellStyle name="60% - Accent2 2 4 2 2 3 3 2" xfId="34453" xr:uid="{00000000-0005-0000-0000-0000256B0000}"/>
    <cellStyle name="60% - Accent2 2 4 2 2 3 4" xfId="24213" xr:uid="{00000000-0005-0000-0000-0000266B0000}"/>
    <cellStyle name="60% - Accent2 2 4 2 2 4" xfId="6293" xr:uid="{00000000-0005-0000-0000-0000276B0000}"/>
    <cellStyle name="60% - Accent2 2 4 2 2 4 2" xfId="16533" xr:uid="{00000000-0005-0000-0000-0000286B0000}"/>
    <cellStyle name="60% - Accent2 2 4 2 2 4 2 2" xfId="37013" xr:uid="{00000000-0005-0000-0000-0000296B0000}"/>
    <cellStyle name="60% - Accent2 2 4 2 2 4 3" xfId="26773" xr:uid="{00000000-0005-0000-0000-00002A6B0000}"/>
    <cellStyle name="60% - Accent2 2 4 2 2 5" xfId="11413" xr:uid="{00000000-0005-0000-0000-00002B6B0000}"/>
    <cellStyle name="60% - Accent2 2 4 2 2 5 2" xfId="31893" xr:uid="{00000000-0005-0000-0000-00002C6B0000}"/>
    <cellStyle name="60% - Accent2 2 4 2 2 6" xfId="21653" xr:uid="{00000000-0005-0000-0000-00002D6B0000}"/>
    <cellStyle name="60% - Accent2 2 4 2 3" xfId="1813" xr:uid="{00000000-0005-0000-0000-00002E6B0000}"/>
    <cellStyle name="60% - Accent2 2 4 2 3 2" xfId="4373" xr:uid="{00000000-0005-0000-0000-00002F6B0000}"/>
    <cellStyle name="60% - Accent2 2 4 2 3 2 2" xfId="9493" xr:uid="{00000000-0005-0000-0000-0000306B0000}"/>
    <cellStyle name="60% - Accent2 2 4 2 3 2 2 2" xfId="19733" xr:uid="{00000000-0005-0000-0000-0000316B0000}"/>
    <cellStyle name="60% - Accent2 2 4 2 3 2 2 2 2" xfId="40213" xr:uid="{00000000-0005-0000-0000-0000326B0000}"/>
    <cellStyle name="60% - Accent2 2 4 2 3 2 2 3" xfId="29973" xr:uid="{00000000-0005-0000-0000-0000336B0000}"/>
    <cellStyle name="60% - Accent2 2 4 2 3 2 3" xfId="14613" xr:uid="{00000000-0005-0000-0000-0000346B0000}"/>
    <cellStyle name="60% - Accent2 2 4 2 3 2 3 2" xfId="35093" xr:uid="{00000000-0005-0000-0000-0000356B0000}"/>
    <cellStyle name="60% - Accent2 2 4 2 3 2 4" xfId="24853" xr:uid="{00000000-0005-0000-0000-0000366B0000}"/>
    <cellStyle name="60% - Accent2 2 4 2 3 3" xfId="6933" xr:uid="{00000000-0005-0000-0000-0000376B0000}"/>
    <cellStyle name="60% - Accent2 2 4 2 3 3 2" xfId="17173" xr:uid="{00000000-0005-0000-0000-0000386B0000}"/>
    <cellStyle name="60% - Accent2 2 4 2 3 3 2 2" xfId="37653" xr:uid="{00000000-0005-0000-0000-0000396B0000}"/>
    <cellStyle name="60% - Accent2 2 4 2 3 3 3" xfId="27413" xr:uid="{00000000-0005-0000-0000-00003A6B0000}"/>
    <cellStyle name="60% - Accent2 2 4 2 3 4" xfId="12053" xr:uid="{00000000-0005-0000-0000-00003B6B0000}"/>
    <cellStyle name="60% - Accent2 2 4 2 3 4 2" xfId="32533" xr:uid="{00000000-0005-0000-0000-00003C6B0000}"/>
    <cellStyle name="60% - Accent2 2 4 2 3 5" xfId="22293" xr:uid="{00000000-0005-0000-0000-00003D6B0000}"/>
    <cellStyle name="60% - Accent2 2 4 2 4" xfId="3093" xr:uid="{00000000-0005-0000-0000-00003E6B0000}"/>
    <cellStyle name="60% - Accent2 2 4 2 4 2" xfId="8213" xr:uid="{00000000-0005-0000-0000-00003F6B0000}"/>
    <cellStyle name="60% - Accent2 2 4 2 4 2 2" xfId="18453" xr:uid="{00000000-0005-0000-0000-0000406B0000}"/>
    <cellStyle name="60% - Accent2 2 4 2 4 2 2 2" xfId="38933" xr:uid="{00000000-0005-0000-0000-0000416B0000}"/>
    <cellStyle name="60% - Accent2 2 4 2 4 2 3" xfId="28693" xr:uid="{00000000-0005-0000-0000-0000426B0000}"/>
    <cellStyle name="60% - Accent2 2 4 2 4 3" xfId="13333" xr:uid="{00000000-0005-0000-0000-0000436B0000}"/>
    <cellStyle name="60% - Accent2 2 4 2 4 3 2" xfId="33813" xr:uid="{00000000-0005-0000-0000-0000446B0000}"/>
    <cellStyle name="60% - Accent2 2 4 2 4 4" xfId="23573" xr:uid="{00000000-0005-0000-0000-0000456B0000}"/>
    <cellStyle name="60% - Accent2 2 4 2 5" xfId="5653" xr:uid="{00000000-0005-0000-0000-0000466B0000}"/>
    <cellStyle name="60% - Accent2 2 4 2 5 2" xfId="15893" xr:uid="{00000000-0005-0000-0000-0000476B0000}"/>
    <cellStyle name="60% - Accent2 2 4 2 5 2 2" xfId="36373" xr:uid="{00000000-0005-0000-0000-0000486B0000}"/>
    <cellStyle name="60% - Accent2 2 4 2 5 3" xfId="26133" xr:uid="{00000000-0005-0000-0000-0000496B0000}"/>
    <cellStyle name="60% - Accent2 2 4 2 6" xfId="10773" xr:uid="{00000000-0005-0000-0000-00004A6B0000}"/>
    <cellStyle name="60% - Accent2 2 4 2 6 2" xfId="31253" xr:uid="{00000000-0005-0000-0000-00004B6B0000}"/>
    <cellStyle name="60% - Accent2 2 4 2 7" xfId="21013" xr:uid="{00000000-0005-0000-0000-00004C6B0000}"/>
    <cellStyle name="60% - Accent2 2 4 3" xfId="853" xr:uid="{00000000-0005-0000-0000-00004D6B0000}"/>
    <cellStyle name="60% - Accent2 2 4 3 2" xfId="2133" xr:uid="{00000000-0005-0000-0000-00004E6B0000}"/>
    <cellStyle name="60% - Accent2 2 4 3 2 2" xfId="4693" xr:uid="{00000000-0005-0000-0000-00004F6B0000}"/>
    <cellStyle name="60% - Accent2 2 4 3 2 2 2" xfId="9813" xr:uid="{00000000-0005-0000-0000-0000506B0000}"/>
    <cellStyle name="60% - Accent2 2 4 3 2 2 2 2" xfId="20053" xr:uid="{00000000-0005-0000-0000-0000516B0000}"/>
    <cellStyle name="60% - Accent2 2 4 3 2 2 2 2 2" xfId="40533" xr:uid="{00000000-0005-0000-0000-0000526B0000}"/>
    <cellStyle name="60% - Accent2 2 4 3 2 2 2 3" xfId="30293" xr:uid="{00000000-0005-0000-0000-0000536B0000}"/>
    <cellStyle name="60% - Accent2 2 4 3 2 2 3" xfId="14933" xr:uid="{00000000-0005-0000-0000-0000546B0000}"/>
    <cellStyle name="60% - Accent2 2 4 3 2 2 3 2" xfId="35413" xr:uid="{00000000-0005-0000-0000-0000556B0000}"/>
    <cellStyle name="60% - Accent2 2 4 3 2 2 4" xfId="25173" xr:uid="{00000000-0005-0000-0000-0000566B0000}"/>
    <cellStyle name="60% - Accent2 2 4 3 2 3" xfId="7253" xr:uid="{00000000-0005-0000-0000-0000576B0000}"/>
    <cellStyle name="60% - Accent2 2 4 3 2 3 2" xfId="17493" xr:uid="{00000000-0005-0000-0000-0000586B0000}"/>
    <cellStyle name="60% - Accent2 2 4 3 2 3 2 2" xfId="37973" xr:uid="{00000000-0005-0000-0000-0000596B0000}"/>
    <cellStyle name="60% - Accent2 2 4 3 2 3 3" xfId="27733" xr:uid="{00000000-0005-0000-0000-00005A6B0000}"/>
    <cellStyle name="60% - Accent2 2 4 3 2 4" xfId="12373" xr:uid="{00000000-0005-0000-0000-00005B6B0000}"/>
    <cellStyle name="60% - Accent2 2 4 3 2 4 2" xfId="32853" xr:uid="{00000000-0005-0000-0000-00005C6B0000}"/>
    <cellStyle name="60% - Accent2 2 4 3 2 5" xfId="22613" xr:uid="{00000000-0005-0000-0000-00005D6B0000}"/>
    <cellStyle name="60% - Accent2 2 4 3 3" xfId="3413" xr:uid="{00000000-0005-0000-0000-00005E6B0000}"/>
    <cellStyle name="60% - Accent2 2 4 3 3 2" xfId="8533" xr:uid="{00000000-0005-0000-0000-00005F6B0000}"/>
    <cellStyle name="60% - Accent2 2 4 3 3 2 2" xfId="18773" xr:uid="{00000000-0005-0000-0000-0000606B0000}"/>
    <cellStyle name="60% - Accent2 2 4 3 3 2 2 2" xfId="39253" xr:uid="{00000000-0005-0000-0000-0000616B0000}"/>
    <cellStyle name="60% - Accent2 2 4 3 3 2 3" xfId="29013" xr:uid="{00000000-0005-0000-0000-0000626B0000}"/>
    <cellStyle name="60% - Accent2 2 4 3 3 3" xfId="13653" xr:uid="{00000000-0005-0000-0000-0000636B0000}"/>
    <cellStyle name="60% - Accent2 2 4 3 3 3 2" xfId="34133" xr:uid="{00000000-0005-0000-0000-0000646B0000}"/>
    <cellStyle name="60% - Accent2 2 4 3 3 4" xfId="23893" xr:uid="{00000000-0005-0000-0000-0000656B0000}"/>
    <cellStyle name="60% - Accent2 2 4 3 4" xfId="5973" xr:uid="{00000000-0005-0000-0000-0000666B0000}"/>
    <cellStyle name="60% - Accent2 2 4 3 4 2" xfId="16213" xr:uid="{00000000-0005-0000-0000-0000676B0000}"/>
    <cellStyle name="60% - Accent2 2 4 3 4 2 2" xfId="36693" xr:uid="{00000000-0005-0000-0000-0000686B0000}"/>
    <cellStyle name="60% - Accent2 2 4 3 4 3" xfId="26453" xr:uid="{00000000-0005-0000-0000-0000696B0000}"/>
    <cellStyle name="60% - Accent2 2 4 3 5" xfId="11093" xr:uid="{00000000-0005-0000-0000-00006A6B0000}"/>
    <cellStyle name="60% - Accent2 2 4 3 5 2" xfId="31573" xr:uid="{00000000-0005-0000-0000-00006B6B0000}"/>
    <cellStyle name="60% - Accent2 2 4 3 6" xfId="21333" xr:uid="{00000000-0005-0000-0000-00006C6B0000}"/>
    <cellStyle name="60% - Accent2 2 4 4" xfId="1493" xr:uid="{00000000-0005-0000-0000-00006D6B0000}"/>
    <cellStyle name="60% - Accent2 2 4 4 2" xfId="4053" xr:uid="{00000000-0005-0000-0000-00006E6B0000}"/>
    <cellStyle name="60% - Accent2 2 4 4 2 2" xfId="9173" xr:uid="{00000000-0005-0000-0000-00006F6B0000}"/>
    <cellStyle name="60% - Accent2 2 4 4 2 2 2" xfId="19413" xr:uid="{00000000-0005-0000-0000-0000706B0000}"/>
    <cellStyle name="60% - Accent2 2 4 4 2 2 2 2" xfId="39893" xr:uid="{00000000-0005-0000-0000-0000716B0000}"/>
    <cellStyle name="60% - Accent2 2 4 4 2 2 3" xfId="29653" xr:uid="{00000000-0005-0000-0000-0000726B0000}"/>
    <cellStyle name="60% - Accent2 2 4 4 2 3" xfId="14293" xr:uid="{00000000-0005-0000-0000-0000736B0000}"/>
    <cellStyle name="60% - Accent2 2 4 4 2 3 2" xfId="34773" xr:uid="{00000000-0005-0000-0000-0000746B0000}"/>
    <cellStyle name="60% - Accent2 2 4 4 2 4" xfId="24533" xr:uid="{00000000-0005-0000-0000-0000756B0000}"/>
    <cellStyle name="60% - Accent2 2 4 4 3" xfId="6613" xr:uid="{00000000-0005-0000-0000-0000766B0000}"/>
    <cellStyle name="60% - Accent2 2 4 4 3 2" xfId="16853" xr:uid="{00000000-0005-0000-0000-0000776B0000}"/>
    <cellStyle name="60% - Accent2 2 4 4 3 2 2" xfId="37333" xr:uid="{00000000-0005-0000-0000-0000786B0000}"/>
    <cellStyle name="60% - Accent2 2 4 4 3 3" xfId="27093" xr:uid="{00000000-0005-0000-0000-0000796B0000}"/>
    <cellStyle name="60% - Accent2 2 4 4 4" xfId="11733" xr:uid="{00000000-0005-0000-0000-00007A6B0000}"/>
    <cellStyle name="60% - Accent2 2 4 4 4 2" xfId="32213" xr:uid="{00000000-0005-0000-0000-00007B6B0000}"/>
    <cellStyle name="60% - Accent2 2 4 4 5" xfId="21973" xr:uid="{00000000-0005-0000-0000-00007C6B0000}"/>
    <cellStyle name="60% - Accent2 2 4 5" xfId="2773" xr:uid="{00000000-0005-0000-0000-00007D6B0000}"/>
    <cellStyle name="60% - Accent2 2 4 5 2" xfId="7893" xr:uid="{00000000-0005-0000-0000-00007E6B0000}"/>
    <cellStyle name="60% - Accent2 2 4 5 2 2" xfId="18133" xr:uid="{00000000-0005-0000-0000-00007F6B0000}"/>
    <cellStyle name="60% - Accent2 2 4 5 2 2 2" xfId="38613" xr:uid="{00000000-0005-0000-0000-0000806B0000}"/>
    <cellStyle name="60% - Accent2 2 4 5 2 3" xfId="28373" xr:uid="{00000000-0005-0000-0000-0000816B0000}"/>
    <cellStyle name="60% - Accent2 2 4 5 3" xfId="13013" xr:uid="{00000000-0005-0000-0000-0000826B0000}"/>
    <cellStyle name="60% - Accent2 2 4 5 3 2" xfId="33493" xr:uid="{00000000-0005-0000-0000-0000836B0000}"/>
    <cellStyle name="60% - Accent2 2 4 5 4" xfId="23253" xr:uid="{00000000-0005-0000-0000-0000846B0000}"/>
    <cellStyle name="60% - Accent2 2 4 6" xfId="5333" xr:uid="{00000000-0005-0000-0000-0000856B0000}"/>
    <cellStyle name="60% - Accent2 2 4 6 2" xfId="15573" xr:uid="{00000000-0005-0000-0000-0000866B0000}"/>
    <cellStyle name="60% - Accent2 2 4 6 2 2" xfId="36053" xr:uid="{00000000-0005-0000-0000-0000876B0000}"/>
    <cellStyle name="60% - Accent2 2 4 6 3" xfId="25813" xr:uid="{00000000-0005-0000-0000-0000886B0000}"/>
    <cellStyle name="60% - Accent2 2 4 7" xfId="10453" xr:uid="{00000000-0005-0000-0000-0000896B0000}"/>
    <cellStyle name="60% - Accent2 2 4 7 2" xfId="30933" xr:uid="{00000000-0005-0000-0000-00008A6B0000}"/>
    <cellStyle name="60% - Accent2 2 4 8" xfId="20693" xr:uid="{00000000-0005-0000-0000-00008B6B0000}"/>
    <cellStyle name="60% - Accent2 2 5" xfId="373" xr:uid="{00000000-0005-0000-0000-00008C6B0000}"/>
    <cellStyle name="60% - Accent2 2 5 2" xfId="1013" xr:uid="{00000000-0005-0000-0000-00008D6B0000}"/>
    <cellStyle name="60% - Accent2 2 5 2 2" xfId="2293" xr:uid="{00000000-0005-0000-0000-00008E6B0000}"/>
    <cellStyle name="60% - Accent2 2 5 2 2 2" xfId="4853" xr:uid="{00000000-0005-0000-0000-00008F6B0000}"/>
    <cellStyle name="60% - Accent2 2 5 2 2 2 2" xfId="9973" xr:uid="{00000000-0005-0000-0000-0000906B0000}"/>
    <cellStyle name="60% - Accent2 2 5 2 2 2 2 2" xfId="20213" xr:uid="{00000000-0005-0000-0000-0000916B0000}"/>
    <cellStyle name="60% - Accent2 2 5 2 2 2 2 2 2" xfId="40693" xr:uid="{00000000-0005-0000-0000-0000926B0000}"/>
    <cellStyle name="60% - Accent2 2 5 2 2 2 2 3" xfId="30453" xr:uid="{00000000-0005-0000-0000-0000936B0000}"/>
    <cellStyle name="60% - Accent2 2 5 2 2 2 3" xfId="15093" xr:uid="{00000000-0005-0000-0000-0000946B0000}"/>
    <cellStyle name="60% - Accent2 2 5 2 2 2 3 2" xfId="35573" xr:uid="{00000000-0005-0000-0000-0000956B0000}"/>
    <cellStyle name="60% - Accent2 2 5 2 2 2 4" xfId="25333" xr:uid="{00000000-0005-0000-0000-0000966B0000}"/>
    <cellStyle name="60% - Accent2 2 5 2 2 3" xfId="7413" xr:uid="{00000000-0005-0000-0000-0000976B0000}"/>
    <cellStyle name="60% - Accent2 2 5 2 2 3 2" xfId="17653" xr:uid="{00000000-0005-0000-0000-0000986B0000}"/>
    <cellStyle name="60% - Accent2 2 5 2 2 3 2 2" xfId="38133" xr:uid="{00000000-0005-0000-0000-0000996B0000}"/>
    <cellStyle name="60% - Accent2 2 5 2 2 3 3" xfId="27893" xr:uid="{00000000-0005-0000-0000-00009A6B0000}"/>
    <cellStyle name="60% - Accent2 2 5 2 2 4" xfId="12533" xr:uid="{00000000-0005-0000-0000-00009B6B0000}"/>
    <cellStyle name="60% - Accent2 2 5 2 2 4 2" xfId="33013" xr:uid="{00000000-0005-0000-0000-00009C6B0000}"/>
    <cellStyle name="60% - Accent2 2 5 2 2 5" xfId="22773" xr:uid="{00000000-0005-0000-0000-00009D6B0000}"/>
    <cellStyle name="60% - Accent2 2 5 2 3" xfId="3573" xr:uid="{00000000-0005-0000-0000-00009E6B0000}"/>
    <cellStyle name="60% - Accent2 2 5 2 3 2" xfId="8693" xr:uid="{00000000-0005-0000-0000-00009F6B0000}"/>
    <cellStyle name="60% - Accent2 2 5 2 3 2 2" xfId="18933" xr:uid="{00000000-0005-0000-0000-0000A06B0000}"/>
    <cellStyle name="60% - Accent2 2 5 2 3 2 2 2" xfId="39413" xr:uid="{00000000-0005-0000-0000-0000A16B0000}"/>
    <cellStyle name="60% - Accent2 2 5 2 3 2 3" xfId="29173" xr:uid="{00000000-0005-0000-0000-0000A26B0000}"/>
    <cellStyle name="60% - Accent2 2 5 2 3 3" xfId="13813" xr:uid="{00000000-0005-0000-0000-0000A36B0000}"/>
    <cellStyle name="60% - Accent2 2 5 2 3 3 2" xfId="34293" xr:uid="{00000000-0005-0000-0000-0000A46B0000}"/>
    <cellStyle name="60% - Accent2 2 5 2 3 4" xfId="24053" xr:uid="{00000000-0005-0000-0000-0000A56B0000}"/>
    <cellStyle name="60% - Accent2 2 5 2 4" xfId="6133" xr:uid="{00000000-0005-0000-0000-0000A66B0000}"/>
    <cellStyle name="60% - Accent2 2 5 2 4 2" xfId="16373" xr:uid="{00000000-0005-0000-0000-0000A76B0000}"/>
    <cellStyle name="60% - Accent2 2 5 2 4 2 2" xfId="36853" xr:uid="{00000000-0005-0000-0000-0000A86B0000}"/>
    <cellStyle name="60% - Accent2 2 5 2 4 3" xfId="26613" xr:uid="{00000000-0005-0000-0000-0000A96B0000}"/>
    <cellStyle name="60% - Accent2 2 5 2 5" xfId="11253" xr:uid="{00000000-0005-0000-0000-0000AA6B0000}"/>
    <cellStyle name="60% - Accent2 2 5 2 5 2" xfId="31733" xr:uid="{00000000-0005-0000-0000-0000AB6B0000}"/>
    <cellStyle name="60% - Accent2 2 5 2 6" xfId="21493" xr:uid="{00000000-0005-0000-0000-0000AC6B0000}"/>
    <cellStyle name="60% - Accent2 2 5 3" xfId="1653" xr:uid="{00000000-0005-0000-0000-0000AD6B0000}"/>
    <cellStyle name="60% - Accent2 2 5 3 2" xfId="4213" xr:uid="{00000000-0005-0000-0000-0000AE6B0000}"/>
    <cellStyle name="60% - Accent2 2 5 3 2 2" xfId="9333" xr:uid="{00000000-0005-0000-0000-0000AF6B0000}"/>
    <cellStyle name="60% - Accent2 2 5 3 2 2 2" xfId="19573" xr:uid="{00000000-0005-0000-0000-0000B06B0000}"/>
    <cellStyle name="60% - Accent2 2 5 3 2 2 2 2" xfId="40053" xr:uid="{00000000-0005-0000-0000-0000B16B0000}"/>
    <cellStyle name="60% - Accent2 2 5 3 2 2 3" xfId="29813" xr:uid="{00000000-0005-0000-0000-0000B26B0000}"/>
    <cellStyle name="60% - Accent2 2 5 3 2 3" xfId="14453" xr:uid="{00000000-0005-0000-0000-0000B36B0000}"/>
    <cellStyle name="60% - Accent2 2 5 3 2 3 2" xfId="34933" xr:uid="{00000000-0005-0000-0000-0000B46B0000}"/>
    <cellStyle name="60% - Accent2 2 5 3 2 4" xfId="24693" xr:uid="{00000000-0005-0000-0000-0000B56B0000}"/>
    <cellStyle name="60% - Accent2 2 5 3 3" xfId="6773" xr:uid="{00000000-0005-0000-0000-0000B66B0000}"/>
    <cellStyle name="60% - Accent2 2 5 3 3 2" xfId="17013" xr:uid="{00000000-0005-0000-0000-0000B76B0000}"/>
    <cellStyle name="60% - Accent2 2 5 3 3 2 2" xfId="37493" xr:uid="{00000000-0005-0000-0000-0000B86B0000}"/>
    <cellStyle name="60% - Accent2 2 5 3 3 3" xfId="27253" xr:uid="{00000000-0005-0000-0000-0000B96B0000}"/>
    <cellStyle name="60% - Accent2 2 5 3 4" xfId="11893" xr:uid="{00000000-0005-0000-0000-0000BA6B0000}"/>
    <cellStyle name="60% - Accent2 2 5 3 4 2" xfId="32373" xr:uid="{00000000-0005-0000-0000-0000BB6B0000}"/>
    <cellStyle name="60% - Accent2 2 5 3 5" xfId="22133" xr:uid="{00000000-0005-0000-0000-0000BC6B0000}"/>
    <cellStyle name="60% - Accent2 2 5 4" xfId="2933" xr:uid="{00000000-0005-0000-0000-0000BD6B0000}"/>
    <cellStyle name="60% - Accent2 2 5 4 2" xfId="8053" xr:uid="{00000000-0005-0000-0000-0000BE6B0000}"/>
    <cellStyle name="60% - Accent2 2 5 4 2 2" xfId="18293" xr:uid="{00000000-0005-0000-0000-0000BF6B0000}"/>
    <cellStyle name="60% - Accent2 2 5 4 2 2 2" xfId="38773" xr:uid="{00000000-0005-0000-0000-0000C06B0000}"/>
    <cellStyle name="60% - Accent2 2 5 4 2 3" xfId="28533" xr:uid="{00000000-0005-0000-0000-0000C16B0000}"/>
    <cellStyle name="60% - Accent2 2 5 4 3" xfId="13173" xr:uid="{00000000-0005-0000-0000-0000C26B0000}"/>
    <cellStyle name="60% - Accent2 2 5 4 3 2" xfId="33653" xr:uid="{00000000-0005-0000-0000-0000C36B0000}"/>
    <cellStyle name="60% - Accent2 2 5 4 4" xfId="23413" xr:uid="{00000000-0005-0000-0000-0000C46B0000}"/>
    <cellStyle name="60% - Accent2 2 5 5" xfId="5493" xr:uid="{00000000-0005-0000-0000-0000C56B0000}"/>
    <cellStyle name="60% - Accent2 2 5 5 2" xfId="15733" xr:uid="{00000000-0005-0000-0000-0000C66B0000}"/>
    <cellStyle name="60% - Accent2 2 5 5 2 2" xfId="36213" xr:uid="{00000000-0005-0000-0000-0000C76B0000}"/>
    <cellStyle name="60% - Accent2 2 5 5 3" xfId="25973" xr:uid="{00000000-0005-0000-0000-0000C86B0000}"/>
    <cellStyle name="60% - Accent2 2 5 6" xfId="10613" xr:uid="{00000000-0005-0000-0000-0000C96B0000}"/>
    <cellStyle name="60% - Accent2 2 5 6 2" xfId="31093" xr:uid="{00000000-0005-0000-0000-0000CA6B0000}"/>
    <cellStyle name="60% - Accent2 2 5 7" xfId="20853" xr:uid="{00000000-0005-0000-0000-0000CB6B0000}"/>
    <cellStyle name="60% - Accent2 2 6" xfId="693" xr:uid="{00000000-0005-0000-0000-0000CC6B0000}"/>
    <cellStyle name="60% - Accent2 2 6 2" xfId="1973" xr:uid="{00000000-0005-0000-0000-0000CD6B0000}"/>
    <cellStyle name="60% - Accent2 2 6 2 2" xfId="4533" xr:uid="{00000000-0005-0000-0000-0000CE6B0000}"/>
    <cellStyle name="60% - Accent2 2 6 2 2 2" xfId="9653" xr:uid="{00000000-0005-0000-0000-0000CF6B0000}"/>
    <cellStyle name="60% - Accent2 2 6 2 2 2 2" xfId="19893" xr:uid="{00000000-0005-0000-0000-0000D06B0000}"/>
    <cellStyle name="60% - Accent2 2 6 2 2 2 2 2" xfId="40373" xr:uid="{00000000-0005-0000-0000-0000D16B0000}"/>
    <cellStyle name="60% - Accent2 2 6 2 2 2 3" xfId="30133" xr:uid="{00000000-0005-0000-0000-0000D26B0000}"/>
    <cellStyle name="60% - Accent2 2 6 2 2 3" xfId="14773" xr:uid="{00000000-0005-0000-0000-0000D36B0000}"/>
    <cellStyle name="60% - Accent2 2 6 2 2 3 2" xfId="35253" xr:uid="{00000000-0005-0000-0000-0000D46B0000}"/>
    <cellStyle name="60% - Accent2 2 6 2 2 4" xfId="25013" xr:uid="{00000000-0005-0000-0000-0000D56B0000}"/>
    <cellStyle name="60% - Accent2 2 6 2 3" xfId="7093" xr:uid="{00000000-0005-0000-0000-0000D66B0000}"/>
    <cellStyle name="60% - Accent2 2 6 2 3 2" xfId="17333" xr:uid="{00000000-0005-0000-0000-0000D76B0000}"/>
    <cellStyle name="60% - Accent2 2 6 2 3 2 2" xfId="37813" xr:uid="{00000000-0005-0000-0000-0000D86B0000}"/>
    <cellStyle name="60% - Accent2 2 6 2 3 3" xfId="27573" xr:uid="{00000000-0005-0000-0000-0000D96B0000}"/>
    <cellStyle name="60% - Accent2 2 6 2 4" xfId="12213" xr:uid="{00000000-0005-0000-0000-0000DA6B0000}"/>
    <cellStyle name="60% - Accent2 2 6 2 4 2" xfId="32693" xr:uid="{00000000-0005-0000-0000-0000DB6B0000}"/>
    <cellStyle name="60% - Accent2 2 6 2 5" xfId="22453" xr:uid="{00000000-0005-0000-0000-0000DC6B0000}"/>
    <cellStyle name="60% - Accent2 2 6 3" xfId="3253" xr:uid="{00000000-0005-0000-0000-0000DD6B0000}"/>
    <cellStyle name="60% - Accent2 2 6 3 2" xfId="8373" xr:uid="{00000000-0005-0000-0000-0000DE6B0000}"/>
    <cellStyle name="60% - Accent2 2 6 3 2 2" xfId="18613" xr:uid="{00000000-0005-0000-0000-0000DF6B0000}"/>
    <cellStyle name="60% - Accent2 2 6 3 2 2 2" xfId="39093" xr:uid="{00000000-0005-0000-0000-0000E06B0000}"/>
    <cellStyle name="60% - Accent2 2 6 3 2 3" xfId="28853" xr:uid="{00000000-0005-0000-0000-0000E16B0000}"/>
    <cellStyle name="60% - Accent2 2 6 3 3" xfId="13493" xr:uid="{00000000-0005-0000-0000-0000E26B0000}"/>
    <cellStyle name="60% - Accent2 2 6 3 3 2" xfId="33973" xr:uid="{00000000-0005-0000-0000-0000E36B0000}"/>
    <cellStyle name="60% - Accent2 2 6 3 4" xfId="23733" xr:uid="{00000000-0005-0000-0000-0000E46B0000}"/>
    <cellStyle name="60% - Accent2 2 6 4" xfId="5813" xr:uid="{00000000-0005-0000-0000-0000E56B0000}"/>
    <cellStyle name="60% - Accent2 2 6 4 2" xfId="16053" xr:uid="{00000000-0005-0000-0000-0000E66B0000}"/>
    <cellStyle name="60% - Accent2 2 6 4 2 2" xfId="36533" xr:uid="{00000000-0005-0000-0000-0000E76B0000}"/>
    <cellStyle name="60% - Accent2 2 6 4 3" xfId="26293" xr:uid="{00000000-0005-0000-0000-0000E86B0000}"/>
    <cellStyle name="60% - Accent2 2 6 5" xfId="10933" xr:uid="{00000000-0005-0000-0000-0000E96B0000}"/>
    <cellStyle name="60% - Accent2 2 6 5 2" xfId="31413" xr:uid="{00000000-0005-0000-0000-0000EA6B0000}"/>
    <cellStyle name="60% - Accent2 2 6 6" xfId="21173" xr:uid="{00000000-0005-0000-0000-0000EB6B0000}"/>
    <cellStyle name="60% - Accent2 2 7" xfId="1333" xr:uid="{00000000-0005-0000-0000-0000EC6B0000}"/>
    <cellStyle name="60% - Accent2 2 7 2" xfId="3893" xr:uid="{00000000-0005-0000-0000-0000ED6B0000}"/>
    <cellStyle name="60% - Accent2 2 7 2 2" xfId="9013" xr:uid="{00000000-0005-0000-0000-0000EE6B0000}"/>
    <cellStyle name="60% - Accent2 2 7 2 2 2" xfId="19253" xr:uid="{00000000-0005-0000-0000-0000EF6B0000}"/>
    <cellStyle name="60% - Accent2 2 7 2 2 2 2" xfId="39733" xr:uid="{00000000-0005-0000-0000-0000F06B0000}"/>
    <cellStyle name="60% - Accent2 2 7 2 2 3" xfId="29493" xr:uid="{00000000-0005-0000-0000-0000F16B0000}"/>
    <cellStyle name="60% - Accent2 2 7 2 3" xfId="14133" xr:uid="{00000000-0005-0000-0000-0000F26B0000}"/>
    <cellStyle name="60% - Accent2 2 7 2 3 2" xfId="34613" xr:uid="{00000000-0005-0000-0000-0000F36B0000}"/>
    <cellStyle name="60% - Accent2 2 7 2 4" xfId="24373" xr:uid="{00000000-0005-0000-0000-0000F46B0000}"/>
    <cellStyle name="60% - Accent2 2 7 3" xfId="6453" xr:uid="{00000000-0005-0000-0000-0000F56B0000}"/>
    <cellStyle name="60% - Accent2 2 7 3 2" xfId="16693" xr:uid="{00000000-0005-0000-0000-0000F66B0000}"/>
    <cellStyle name="60% - Accent2 2 7 3 2 2" xfId="37173" xr:uid="{00000000-0005-0000-0000-0000F76B0000}"/>
    <cellStyle name="60% - Accent2 2 7 3 3" xfId="26933" xr:uid="{00000000-0005-0000-0000-0000F86B0000}"/>
    <cellStyle name="60% - Accent2 2 7 4" xfId="11573" xr:uid="{00000000-0005-0000-0000-0000F96B0000}"/>
    <cellStyle name="60% - Accent2 2 7 4 2" xfId="32053" xr:uid="{00000000-0005-0000-0000-0000FA6B0000}"/>
    <cellStyle name="60% - Accent2 2 7 5" xfId="21813" xr:uid="{00000000-0005-0000-0000-0000FB6B0000}"/>
    <cellStyle name="60% - Accent2 2 8" xfId="2613" xr:uid="{00000000-0005-0000-0000-0000FC6B0000}"/>
    <cellStyle name="60% - Accent2 2 8 2" xfId="7733" xr:uid="{00000000-0005-0000-0000-0000FD6B0000}"/>
    <cellStyle name="60% - Accent2 2 8 2 2" xfId="17973" xr:uid="{00000000-0005-0000-0000-0000FE6B0000}"/>
    <cellStyle name="60% - Accent2 2 8 2 2 2" xfId="38453" xr:uid="{00000000-0005-0000-0000-0000FF6B0000}"/>
    <cellStyle name="60% - Accent2 2 8 2 3" xfId="28213" xr:uid="{00000000-0005-0000-0000-0000006C0000}"/>
    <cellStyle name="60% - Accent2 2 8 3" xfId="12853" xr:uid="{00000000-0005-0000-0000-0000016C0000}"/>
    <cellStyle name="60% - Accent2 2 8 3 2" xfId="33333" xr:uid="{00000000-0005-0000-0000-0000026C0000}"/>
    <cellStyle name="60% - Accent2 2 8 4" xfId="23093" xr:uid="{00000000-0005-0000-0000-0000036C0000}"/>
    <cellStyle name="60% - Accent2 2 9" xfId="5173" xr:uid="{00000000-0005-0000-0000-0000046C0000}"/>
    <cellStyle name="60% - Accent2 2 9 2" xfId="15413" xr:uid="{00000000-0005-0000-0000-0000056C0000}"/>
    <cellStyle name="60% - Accent2 2 9 2 2" xfId="35893" xr:uid="{00000000-0005-0000-0000-0000066C0000}"/>
    <cellStyle name="60% - Accent2 2 9 3" xfId="25653" xr:uid="{00000000-0005-0000-0000-0000076C0000}"/>
    <cellStyle name="60% - Accent2 3" xfId="73" xr:uid="{00000000-0005-0000-0000-0000086C0000}"/>
    <cellStyle name="60% - Accent2 3 10" xfId="20553" xr:uid="{00000000-0005-0000-0000-0000096C0000}"/>
    <cellStyle name="60% - Accent2 3 2" xfId="153" xr:uid="{00000000-0005-0000-0000-00000A6C0000}"/>
    <cellStyle name="60% - Accent2 3 2 2" xfId="313" xr:uid="{00000000-0005-0000-0000-00000B6C0000}"/>
    <cellStyle name="60% - Accent2 3 2 2 2" xfId="633" xr:uid="{00000000-0005-0000-0000-00000C6C0000}"/>
    <cellStyle name="60% - Accent2 3 2 2 2 2" xfId="1273" xr:uid="{00000000-0005-0000-0000-00000D6C0000}"/>
    <cellStyle name="60% - Accent2 3 2 2 2 2 2" xfId="2553" xr:uid="{00000000-0005-0000-0000-00000E6C0000}"/>
    <cellStyle name="60% - Accent2 3 2 2 2 2 2 2" xfId="5113" xr:uid="{00000000-0005-0000-0000-00000F6C0000}"/>
    <cellStyle name="60% - Accent2 3 2 2 2 2 2 2 2" xfId="10233" xr:uid="{00000000-0005-0000-0000-0000106C0000}"/>
    <cellStyle name="60% - Accent2 3 2 2 2 2 2 2 2 2" xfId="20473" xr:uid="{00000000-0005-0000-0000-0000116C0000}"/>
    <cellStyle name="60% - Accent2 3 2 2 2 2 2 2 2 2 2" xfId="40953" xr:uid="{00000000-0005-0000-0000-0000126C0000}"/>
    <cellStyle name="60% - Accent2 3 2 2 2 2 2 2 2 3" xfId="30713" xr:uid="{00000000-0005-0000-0000-0000136C0000}"/>
    <cellStyle name="60% - Accent2 3 2 2 2 2 2 2 3" xfId="15353" xr:uid="{00000000-0005-0000-0000-0000146C0000}"/>
    <cellStyle name="60% - Accent2 3 2 2 2 2 2 2 3 2" xfId="35833" xr:uid="{00000000-0005-0000-0000-0000156C0000}"/>
    <cellStyle name="60% - Accent2 3 2 2 2 2 2 2 4" xfId="25593" xr:uid="{00000000-0005-0000-0000-0000166C0000}"/>
    <cellStyle name="60% - Accent2 3 2 2 2 2 2 3" xfId="7673" xr:uid="{00000000-0005-0000-0000-0000176C0000}"/>
    <cellStyle name="60% - Accent2 3 2 2 2 2 2 3 2" xfId="17913" xr:uid="{00000000-0005-0000-0000-0000186C0000}"/>
    <cellStyle name="60% - Accent2 3 2 2 2 2 2 3 2 2" xfId="38393" xr:uid="{00000000-0005-0000-0000-0000196C0000}"/>
    <cellStyle name="60% - Accent2 3 2 2 2 2 2 3 3" xfId="28153" xr:uid="{00000000-0005-0000-0000-00001A6C0000}"/>
    <cellStyle name="60% - Accent2 3 2 2 2 2 2 4" xfId="12793" xr:uid="{00000000-0005-0000-0000-00001B6C0000}"/>
    <cellStyle name="60% - Accent2 3 2 2 2 2 2 4 2" xfId="33273" xr:uid="{00000000-0005-0000-0000-00001C6C0000}"/>
    <cellStyle name="60% - Accent2 3 2 2 2 2 2 5" xfId="23033" xr:uid="{00000000-0005-0000-0000-00001D6C0000}"/>
    <cellStyle name="60% - Accent2 3 2 2 2 2 3" xfId="3833" xr:uid="{00000000-0005-0000-0000-00001E6C0000}"/>
    <cellStyle name="60% - Accent2 3 2 2 2 2 3 2" xfId="8953" xr:uid="{00000000-0005-0000-0000-00001F6C0000}"/>
    <cellStyle name="60% - Accent2 3 2 2 2 2 3 2 2" xfId="19193" xr:uid="{00000000-0005-0000-0000-0000206C0000}"/>
    <cellStyle name="60% - Accent2 3 2 2 2 2 3 2 2 2" xfId="39673" xr:uid="{00000000-0005-0000-0000-0000216C0000}"/>
    <cellStyle name="60% - Accent2 3 2 2 2 2 3 2 3" xfId="29433" xr:uid="{00000000-0005-0000-0000-0000226C0000}"/>
    <cellStyle name="60% - Accent2 3 2 2 2 2 3 3" xfId="14073" xr:uid="{00000000-0005-0000-0000-0000236C0000}"/>
    <cellStyle name="60% - Accent2 3 2 2 2 2 3 3 2" xfId="34553" xr:uid="{00000000-0005-0000-0000-0000246C0000}"/>
    <cellStyle name="60% - Accent2 3 2 2 2 2 3 4" xfId="24313" xr:uid="{00000000-0005-0000-0000-0000256C0000}"/>
    <cellStyle name="60% - Accent2 3 2 2 2 2 4" xfId="6393" xr:uid="{00000000-0005-0000-0000-0000266C0000}"/>
    <cellStyle name="60% - Accent2 3 2 2 2 2 4 2" xfId="16633" xr:uid="{00000000-0005-0000-0000-0000276C0000}"/>
    <cellStyle name="60% - Accent2 3 2 2 2 2 4 2 2" xfId="37113" xr:uid="{00000000-0005-0000-0000-0000286C0000}"/>
    <cellStyle name="60% - Accent2 3 2 2 2 2 4 3" xfId="26873" xr:uid="{00000000-0005-0000-0000-0000296C0000}"/>
    <cellStyle name="60% - Accent2 3 2 2 2 2 5" xfId="11513" xr:uid="{00000000-0005-0000-0000-00002A6C0000}"/>
    <cellStyle name="60% - Accent2 3 2 2 2 2 5 2" xfId="31993" xr:uid="{00000000-0005-0000-0000-00002B6C0000}"/>
    <cellStyle name="60% - Accent2 3 2 2 2 2 6" xfId="21753" xr:uid="{00000000-0005-0000-0000-00002C6C0000}"/>
    <cellStyle name="60% - Accent2 3 2 2 2 3" xfId="1913" xr:uid="{00000000-0005-0000-0000-00002D6C0000}"/>
    <cellStyle name="60% - Accent2 3 2 2 2 3 2" xfId="4473" xr:uid="{00000000-0005-0000-0000-00002E6C0000}"/>
    <cellStyle name="60% - Accent2 3 2 2 2 3 2 2" xfId="9593" xr:uid="{00000000-0005-0000-0000-00002F6C0000}"/>
    <cellStyle name="60% - Accent2 3 2 2 2 3 2 2 2" xfId="19833" xr:uid="{00000000-0005-0000-0000-0000306C0000}"/>
    <cellStyle name="60% - Accent2 3 2 2 2 3 2 2 2 2" xfId="40313" xr:uid="{00000000-0005-0000-0000-0000316C0000}"/>
    <cellStyle name="60% - Accent2 3 2 2 2 3 2 2 3" xfId="30073" xr:uid="{00000000-0005-0000-0000-0000326C0000}"/>
    <cellStyle name="60% - Accent2 3 2 2 2 3 2 3" xfId="14713" xr:uid="{00000000-0005-0000-0000-0000336C0000}"/>
    <cellStyle name="60% - Accent2 3 2 2 2 3 2 3 2" xfId="35193" xr:uid="{00000000-0005-0000-0000-0000346C0000}"/>
    <cellStyle name="60% - Accent2 3 2 2 2 3 2 4" xfId="24953" xr:uid="{00000000-0005-0000-0000-0000356C0000}"/>
    <cellStyle name="60% - Accent2 3 2 2 2 3 3" xfId="7033" xr:uid="{00000000-0005-0000-0000-0000366C0000}"/>
    <cellStyle name="60% - Accent2 3 2 2 2 3 3 2" xfId="17273" xr:uid="{00000000-0005-0000-0000-0000376C0000}"/>
    <cellStyle name="60% - Accent2 3 2 2 2 3 3 2 2" xfId="37753" xr:uid="{00000000-0005-0000-0000-0000386C0000}"/>
    <cellStyle name="60% - Accent2 3 2 2 2 3 3 3" xfId="27513" xr:uid="{00000000-0005-0000-0000-0000396C0000}"/>
    <cellStyle name="60% - Accent2 3 2 2 2 3 4" xfId="12153" xr:uid="{00000000-0005-0000-0000-00003A6C0000}"/>
    <cellStyle name="60% - Accent2 3 2 2 2 3 4 2" xfId="32633" xr:uid="{00000000-0005-0000-0000-00003B6C0000}"/>
    <cellStyle name="60% - Accent2 3 2 2 2 3 5" xfId="22393" xr:uid="{00000000-0005-0000-0000-00003C6C0000}"/>
    <cellStyle name="60% - Accent2 3 2 2 2 4" xfId="3193" xr:uid="{00000000-0005-0000-0000-00003D6C0000}"/>
    <cellStyle name="60% - Accent2 3 2 2 2 4 2" xfId="8313" xr:uid="{00000000-0005-0000-0000-00003E6C0000}"/>
    <cellStyle name="60% - Accent2 3 2 2 2 4 2 2" xfId="18553" xr:uid="{00000000-0005-0000-0000-00003F6C0000}"/>
    <cellStyle name="60% - Accent2 3 2 2 2 4 2 2 2" xfId="39033" xr:uid="{00000000-0005-0000-0000-0000406C0000}"/>
    <cellStyle name="60% - Accent2 3 2 2 2 4 2 3" xfId="28793" xr:uid="{00000000-0005-0000-0000-0000416C0000}"/>
    <cellStyle name="60% - Accent2 3 2 2 2 4 3" xfId="13433" xr:uid="{00000000-0005-0000-0000-0000426C0000}"/>
    <cellStyle name="60% - Accent2 3 2 2 2 4 3 2" xfId="33913" xr:uid="{00000000-0005-0000-0000-0000436C0000}"/>
    <cellStyle name="60% - Accent2 3 2 2 2 4 4" xfId="23673" xr:uid="{00000000-0005-0000-0000-0000446C0000}"/>
    <cellStyle name="60% - Accent2 3 2 2 2 5" xfId="5753" xr:uid="{00000000-0005-0000-0000-0000456C0000}"/>
    <cellStyle name="60% - Accent2 3 2 2 2 5 2" xfId="15993" xr:uid="{00000000-0005-0000-0000-0000466C0000}"/>
    <cellStyle name="60% - Accent2 3 2 2 2 5 2 2" xfId="36473" xr:uid="{00000000-0005-0000-0000-0000476C0000}"/>
    <cellStyle name="60% - Accent2 3 2 2 2 5 3" xfId="26233" xr:uid="{00000000-0005-0000-0000-0000486C0000}"/>
    <cellStyle name="60% - Accent2 3 2 2 2 6" xfId="10873" xr:uid="{00000000-0005-0000-0000-0000496C0000}"/>
    <cellStyle name="60% - Accent2 3 2 2 2 6 2" xfId="31353" xr:uid="{00000000-0005-0000-0000-00004A6C0000}"/>
    <cellStyle name="60% - Accent2 3 2 2 2 7" xfId="21113" xr:uid="{00000000-0005-0000-0000-00004B6C0000}"/>
    <cellStyle name="60% - Accent2 3 2 2 3" xfId="953" xr:uid="{00000000-0005-0000-0000-00004C6C0000}"/>
    <cellStyle name="60% - Accent2 3 2 2 3 2" xfId="2233" xr:uid="{00000000-0005-0000-0000-00004D6C0000}"/>
    <cellStyle name="60% - Accent2 3 2 2 3 2 2" xfId="4793" xr:uid="{00000000-0005-0000-0000-00004E6C0000}"/>
    <cellStyle name="60% - Accent2 3 2 2 3 2 2 2" xfId="9913" xr:uid="{00000000-0005-0000-0000-00004F6C0000}"/>
    <cellStyle name="60% - Accent2 3 2 2 3 2 2 2 2" xfId="20153" xr:uid="{00000000-0005-0000-0000-0000506C0000}"/>
    <cellStyle name="60% - Accent2 3 2 2 3 2 2 2 2 2" xfId="40633" xr:uid="{00000000-0005-0000-0000-0000516C0000}"/>
    <cellStyle name="60% - Accent2 3 2 2 3 2 2 2 3" xfId="30393" xr:uid="{00000000-0005-0000-0000-0000526C0000}"/>
    <cellStyle name="60% - Accent2 3 2 2 3 2 2 3" xfId="15033" xr:uid="{00000000-0005-0000-0000-0000536C0000}"/>
    <cellStyle name="60% - Accent2 3 2 2 3 2 2 3 2" xfId="35513" xr:uid="{00000000-0005-0000-0000-0000546C0000}"/>
    <cellStyle name="60% - Accent2 3 2 2 3 2 2 4" xfId="25273" xr:uid="{00000000-0005-0000-0000-0000556C0000}"/>
    <cellStyle name="60% - Accent2 3 2 2 3 2 3" xfId="7353" xr:uid="{00000000-0005-0000-0000-0000566C0000}"/>
    <cellStyle name="60% - Accent2 3 2 2 3 2 3 2" xfId="17593" xr:uid="{00000000-0005-0000-0000-0000576C0000}"/>
    <cellStyle name="60% - Accent2 3 2 2 3 2 3 2 2" xfId="38073" xr:uid="{00000000-0005-0000-0000-0000586C0000}"/>
    <cellStyle name="60% - Accent2 3 2 2 3 2 3 3" xfId="27833" xr:uid="{00000000-0005-0000-0000-0000596C0000}"/>
    <cellStyle name="60% - Accent2 3 2 2 3 2 4" xfId="12473" xr:uid="{00000000-0005-0000-0000-00005A6C0000}"/>
    <cellStyle name="60% - Accent2 3 2 2 3 2 4 2" xfId="32953" xr:uid="{00000000-0005-0000-0000-00005B6C0000}"/>
    <cellStyle name="60% - Accent2 3 2 2 3 2 5" xfId="22713" xr:uid="{00000000-0005-0000-0000-00005C6C0000}"/>
    <cellStyle name="60% - Accent2 3 2 2 3 3" xfId="3513" xr:uid="{00000000-0005-0000-0000-00005D6C0000}"/>
    <cellStyle name="60% - Accent2 3 2 2 3 3 2" xfId="8633" xr:uid="{00000000-0005-0000-0000-00005E6C0000}"/>
    <cellStyle name="60% - Accent2 3 2 2 3 3 2 2" xfId="18873" xr:uid="{00000000-0005-0000-0000-00005F6C0000}"/>
    <cellStyle name="60% - Accent2 3 2 2 3 3 2 2 2" xfId="39353" xr:uid="{00000000-0005-0000-0000-0000606C0000}"/>
    <cellStyle name="60% - Accent2 3 2 2 3 3 2 3" xfId="29113" xr:uid="{00000000-0005-0000-0000-0000616C0000}"/>
    <cellStyle name="60% - Accent2 3 2 2 3 3 3" xfId="13753" xr:uid="{00000000-0005-0000-0000-0000626C0000}"/>
    <cellStyle name="60% - Accent2 3 2 2 3 3 3 2" xfId="34233" xr:uid="{00000000-0005-0000-0000-0000636C0000}"/>
    <cellStyle name="60% - Accent2 3 2 2 3 3 4" xfId="23993" xr:uid="{00000000-0005-0000-0000-0000646C0000}"/>
    <cellStyle name="60% - Accent2 3 2 2 3 4" xfId="6073" xr:uid="{00000000-0005-0000-0000-0000656C0000}"/>
    <cellStyle name="60% - Accent2 3 2 2 3 4 2" xfId="16313" xr:uid="{00000000-0005-0000-0000-0000666C0000}"/>
    <cellStyle name="60% - Accent2 3 2 2 3 4 2 2" xfId="36793" xr:uid="{00000000-0005-0000-0000-0000676C0000}"/>
    <cellStyle name="60% - Accent2 3 2 2 3 4 3" xfId="26553" xr:uid="{00000000-0005-0000-0000-0000686C0000}"/>
    <cellStyle name="60% - Accent2 3 2 2 3 5" xfId="11193" xr:uid="{00000000-0005-0000-0000-0000696C0000}"/>
    <cellStyle name="60% - Accent2 3 2 2 3 5 2" xfId="31673" xr:uid="{00000000-0005-0000-0000-00006A6C0000}"/>
    <cellStyle name="60% - Accent2 3 2 2 3 6" xfId="21433" xr:uid="{00000000-0005-0000-0000-00006B6C0000}"/>
    <cellStyle name="60% - Accent2 3 2 2 4" xfId="1593" xr:uid="{00000000-0005-0000-0000-00006C6C0000}"/>
    <cellStyle name="60% - Accent2 3 2 2 4 2" xfId="4153" xr:uid="{00000000-0005-0000-0000-00006D6C0000}"/>
    <cellStyle name="60% - Accent2 3 2 2 4 2 2" xfId="9273" xr:uid="{00000000-0005-0000-0000-00006E6C0000}"/>
    <cellStyle name="60% - Accent2 3 2 2 4 2 2 2" xfId="19513" xr:uid="{00000000-0005-0000-0000-00006F6C0000}"/>
    <cellStyle name="60% - Accent2 3 2 2 4 2 2 2 2" xfId="39993" xr:uid="{00000000-0005-0000-0000-0000706C0000}"/>
    <cellStyle name="60% - Accent2 3 2 2 4 2 2 3" xfId="29753" xr:uid="{00000000-0005-0000-0000-0000716C0000}"/>
    <cellStyle name="60% - Accent2 3 2 2 4 2 3" xfId="14393" xr:uid="{00000000-0005-0000-0000-0000726C0000}"/>
    <cellStyle name="60% - Accent2 3 2 2 4 2 3 2" xfId="34873" xr:uid="{00000000-0005-0000-0000-0000736C0000}"/>
    <cellStyle name="60% - Accent2 3 2 2 4 2 4" xfId="24633" xr:uid="{00000000-0005-0000-0000-0000746C0000}"/>
    <cellStyle name="60% - Accent2 3 2 2 4 3" xfId="6713" xr:uid="{00000000-0005-0000-0000-0000756C0000}"/>
    <cellStyle name="60% - Accent2 3 2 2 4 3 2" xfId="16953" xr:uid="{00000000-0005-0000-0000-0000766C0000}"/>
    <cellStyle name="60% - Accent2 3 2 2 4 3 2 2" xfId="37433" xr:uid="{00000000-0005-0000-0000-0000776C0000}"/>
    <cellStyle name="60% - Accent2 3 2 2 4 3 3" xfId="27193" xr:uid="{00000000-0005-0000-0000-0000786C0000}"/>
    <cellStyle name="60% - Accent2 3 2 2 4 4" xfId="11833" xr:uid="{00000000-0005-0000-0000-0000796C0000}"/>
    <cellStyle name="60% - Accent2 3 2 2 4 4 2" xfId="32313" xr:uid="{00000000-0005-0000-0000-00007A6C0000}"/>
    <cellStyle name="60% - Accent2 3 2 2 4 5" xfId="22073" xr:uid="{00000000-0005-0000-0000-00007B6C0000}"/>
    <cellStyle name="60% - Accent2 3 2 2 5" xfId="2873" xr:uid="{00000000-0005-0000-0000-00007C6C0000}"/>
    <cellStyle name="60% - Accent2 3 2 2 5 2" xfId="7993" xr:uid="{00000000-0005-0000-0000-00007D6C0000}"/>
    <cellStyle name="60% - Accent2 3 2 2 5 2 2" xfId="18233" xr:uid="{00000000-0005-0000-0000-00007E6C0000}"/>
    <cellStyle name="60% - Accent2 3 2 2 5 2 2 2" xfId="38713" xr:uid="{00000000-0005-0000-0000-00007F6C0000}"/>
    <cellStyle name="60% - Accent2 3 2 2 5 2 3" xfId="28473" xr:uid="{00000000-0005-0000-0000-0000806C0000}"/>
    <cellStyle name="60% - Accent2 3 2 2 5 3" xfId="13113" xr:uid="{00000000-0005-0000-0000-0000816C0000}"/>
    <cellStyle name="60% - Accent2 3 2 2 5 3 2" xfId="33593" xr:uid="{00000000-0005-0000-0000-0000826C0000}"/>
    <cellStyle name="60% - Accent2 3 2 2 5 4" xfId="23353" xr:uid="{00000000-0005-0000-0000-0000836C0000}"/>
    <cellStyle name="60% - Accent2 3 2 2 6" xfId="5433" xr:uid="{00000000-0005-0000-0000-0000846C0000}"/>
    <cellStyle name="60% - Accent2 3 2 2 6 2" xfId="15673" xr:uid="{00000000-0005-0000-0000-0000856C0000}"/>
    <cellStyle name="60% - Accent2 3 2 2 6 2 2" xfId="36153" xr:uid="{00000000-0005-0000-0000-0000866C0000}"/>
    <cellStyle name="60% - Accent2 3 2 2 6 3" xfId="25913" xr:uid="{00000000-0005-0000-0000-0000876C0000}"/>
    <cellStyle name="60% - Accent2 3 2 2 7" xfId="10553" xr:uid="{00000000-0005-0000-0000-0000886C0000}"/>
    <cellStyle name="60% - Accent2 3 2 2 7 2" xfId="31033" xr:uid="{00000000-0005-0000-0000-0000896C0000}"/>
    <cellStyle name="60% - Accent2 3 2 2 8" xfId="20793" xr:uid="{00000000-0005-0000-0000-00008A6C0000}"/>
    <cellStyle name="60% - Accent2 3 2 3" xfId="473" xr:uid="{00000000-0005-0000-0000-00008B6C0000}"/>
    <cellStyle name="60% - Accent2 3 2 3 2" xfId="1113" xr:uid="{00000000-0005-0000-0000-00008C6C0000}"/>
    <cellStyle name="60% - Accent2 3 2 3 2 2" xfId="2393" xr:uid="{00000000-0005-0000-0000-00008D6C0000}"/>
    <cellStyle name="60% - Accent2 3 2 3 2 2 2" xfId="4953" xr:uid="{00000000-0005-0000-0000-00008E6C0000}"/>
    <cellStyle name="60% - Accent2 3 2 3 2 2 2 2" xfId="10073" xr:uid="{00000000-0005-0000-0000-00008F6C0000}"/>
    <cellStyle name="60% - Accent2 3 2 3 2 2 2 2 2" xfId="20313" xr:uid="{00000000-0005-0000-0000-0000906C0000}"/>
    <cellStyle name="60% - Accent2 3 2 3 2 2 2 2 2 2" xfId="40793" xr:uid="{00000000-0005-0000-0000-0000916C0000}"/>
    <cellStyle name="60% - Accent2 3 2 3 2 2 2 2 3" xfId="30553" xr:uid="{00000000-0005-0000-0000-0000926C0000}"/>
    <cellStyle name="60% - Accent2 3 2 3 2 2 2 3" xfId="15193" xr:uid="{00000000-0005-0000-0000-0000936C0000}"/>
    <cellStyle name="60% - Accent2 3 2 3 2 2 2 3 2" xfId="35673" xr:uid="{00000000-0005-0000-0000-0000946C0000}"/>
    <cellStyle name="60% - Accent2 3 2 3 2 2 2 4" xfId="25433" xr:uid="{00000000-0005-0000-0000-0000956C0000}"/>
    <cellStyle name="60% - Accent2 3 2 3 2 2 3" xfId="7513" xr:uid="{00000000-0005-0000-0000-0000966C0000}"/>
    <cellStyle name="60% - Accent2 3 2 3 2 2 3 2" xfId="17753" xr:uid="{00000000-0005-0000-0000-0000976C0000}"/>
    <cellStyle name="60% - Accent2 3 2 3 2 2 3 2 2" xfId="38233" xr:uid="{00000000-0005-0000-0000-0000986C0000}"/>
    <cellStyle name="60% - Accent2 3 2 3 2 2 3 3" xfId="27993" xr:uid="{00000000-0005-0000-0000-0000996C0000}"/>
    <cellStyle name="60% - Accent2 3 2 3 2 2 4" xfId="12633" xr:uid="{00000000-0005-0000-0000-00009A6C0000}"/>
    <cellStyle name="60% - Accent2 3 2 3 2 2 4 2" xfId="33113" xr:uid="{00000000-0005-0000-0000-00009B6C0000}"/>
    <cellStyle name="60% - Accent2 3 2 3 2 2 5" xfId="22873" xr:uid="{00000000-0005-0000-0000-00009C6C0000}"/>
    <cellStyle name="60% - Accent2 3 2 3 2 3" xfId="3673" xr:uid="{00000000-0005-0000-0000-00009D6C0000}"/>
    <cellStyle name="60% - Accent2 3 2 3 2 3 2" xfId="8793" xr:uid="{00000000-0005-0000-0000-00009E6C0000}"/>
    <cellStyle name="60% - Accent2 3 2 3 2 3 2 2" xfId="19033" xr:uid="{00000000-0005-0000-0000-00009F6C0000}"/>
    <cellStyle name="60% - Accent2 3 2 3 2 3 2 2 2" xfId="39513" xr:uid="{00000000-0005-0000-0000-0000A06C0000}"/>
    <cellStyle name="60% - Accent2 3 2 3 2 3 2 3" xfId="29273" xr:uid="{00000000-0005-0000-0000-0000A16C0000}"/>
    <cellStyle name="60% - Accent2 3 2 3 2 3 3" xfId="13913" xr:uid="{00000000-0005-0000-0000-0000A26C0000}"/>
    <cellStyle name="60% - Accent2 3 2 3 2 3 3 2" xfId="34393" xr:uid="{00000000-0005-0000-0000-0000A36C0000}"/>
    <cellStyle name="60% - Accent2 3 2 3 2 3 4" xfId="24153" xr:uid="{00000000-0005-0000-0000-0000A46C0000}"/>
    <cellStyle name="60% - Accent2 3 2 3 2 4" xfId="6233" xr:uid="{00000000-0005-0000-0000-0000A56C0000}"/>
    <cellStyle name="60% - Accent2 3 2 3 2 4 2" xfId="16473" xr:uid="{00000000-0005-0000-0000-0000A66C0000}"/>
    <cellStyle name="60% - Accent2 3 2 3 2 4 2 2" xfId="36953" xr:uid="{00000000-0005-0000-0000-0000A76C0000}"/>
    <cellStyle name="60% - Accent2 3 2 3 2 4 3" xfId="26713" xr:uid="{00000000-0005-0000-0000-0000A86C0000}"/>
    <cellStyle name="60% - Accent2 3 2 3 2 5" xfId="11353" xr:uid="{00000000-0005-0000-0000-0000A96C0000}"/>
    <cellStyle name="60% - Accent2 3 2 3 2 5 2" xfId="31833" xr:uid="{00000000-0005-0000-0000-0000AA6C0000}"/>
    <cellStyle name="60% - Accent2 3 2 3 2 6" xfId="21593" xr:uid="{00000000-0005-0000-0000-0000AB6C0000}"/>
    <cellStyle name="60% - Accent2 3 2 3 3" xfId="1753" xr:uid="{00000000-0005-0000-0000-0000AC6C0000}"/>
    <cellStyle name="60% - Accent2 3 2 3 3 2" xfId="4313" xr:uid="{00000000-0005-0000-0000-0000AD6C0000}"/>
    <cellStyle name="60% - Accent2 3 2 3 3 2 2" xfId="9433" xr:uid="{00000000-0005-0000-0000-0000AE6C0000}"/>
    <cellStyle name="60% - Accent2 3 2 3 3 2 2 2" xfId="19673" xr:uid="{00000000-0005-0000-0000-0000AF6C0000}"/>
    <cellStyle name="60% - Accent2 3 2 3 3 2 2 2 2" xfId="40153" xr:uid="{00000000-0005-0000-0000-0000B06C0000}"/>
    <cellStyle name="60% - Accent2 3 2 3 3 2 2 3" xfId="29913" xr:uid="{00000000-0005-0000-0000-0000B16C0000}"/>
    <cellStyle name="60% - Accent2 3 2 3 3 2 3" xfId="14553" xr:uid="{00000000-0005-0000-0000-0000B26C0000}"/>
    <cellStyle name="60% - Accent2 3 2 3 3 2 3 2" xfId="35033" xr:uid="{00000000-0005-0000-0000-0000B36C0000}"/>
    <cellStyle name="60% - Accent2 3 2 3 3 2 4" xfId="24793" xr:uid="{00000000-0005-0000-0000-0000B46C0000}"/>
    <cellStyle name="60% - Accent2 3 2 3 3 3" xfId="6873" xr:uid="{00000000-0005-0000-0000-0000B56C0000}"/>
    <cellStyle name="60% - Accent2 3 2 3 3 3 2" xfId="17113" xr:uid="{00000000-0005-0000-0000-0000B66C0000}"/>
    <cellStyle name="60% - Accent2 3 2 3 3 3 2 2" xfId="37593" xr:uid="{00000000-0005-0000-0000-0000B76C0000}"/>
    <cellStyle name="60% - Accent2 3 2 3 3 3 3" xfId="27353" xr:uid="{00000000-0005-0000-0000-0000B86C0000}"/>
    <cellStyle name="60% - Accent2 3 2 3 3 4" xfId="11993" xr:uid="{00000000-0005-0000-0000-0000B96C0000}"/>
    <cellStyle name="60% - Accent2 3 2 3 3 4 2" xfId="32473" xr:uid="{00000000-0005-0000-0000-0000BA6C0000}"/>
    <cellStyle name="60% - Accent2 3 2 3 3 5" xfId="22233" xr:uid="{00000000-0005-0000-0000-0000BB6C0000}"/>
    <cellStyle name="60% - Accent2 3 2 3 4" xfId="3033" xr:uid="{00000000-0005-0000-0000-0000BC6C0000}"/>
    <cellStyle name="60% - Accent2 3 2 3 4 2" xfId="8153" xr:uid="{00000000-0005-0000-0000-0000BD6C0000}"/>
    <cellStyle name="60% - Accent2 3 2 3 4 2 2" xfId="18393" xr:uid="{00000000-0005-0000-0000-0000BE6C0000}"/>
    <cellStyle name="60% - Accent2 3 2 3 4 2 2 2" xfId="38873" xr:uid="{00000000-0005-0000-0000-0000BF6C0000}"/>
    <cellStyle name="60% - Accent2 3 2 3 4 2 3" xfId="28633" xr:uid="{00000000-0005-0000-0000-0000C06C0000}"/>
    <cellStyle name="60% - Accent2 3 2 3 4 3" xfId="13273" xr:uid="{00000000-0005-0000-0000-0000C16C0000}"/>
    <cellStyle name="60% - Accent2 3 2 3 4 3 2" xfId="33753" xr:uid="{00000000-0005-0000-0000-0000C26C0000}"/>
    <cellStyle name="60% - Accent2 3 2 3 4 4" xfId="23513" xr:uid="{00000000-0005-0000-0000-0000C36C0000}"/>
    <cellStyle name="60% - Accent2 3 2 3 5" xfId="5593" xr:uid="{00000000-0005-0000-0000-0000C46C0000}"/>
    <cellStyle name="60% - Accent2 3 2 3 5 2" xfId="15833" xr:uid="{00000000-0005-0000-0000-0000C56C0000}"/>
    <cellStyle name="60% - Accent2 3 2 3 5 2 2" xfId="36313" xr:uid="{00000000-0005-0000-0000-0000C66C0000}"/>
    <cellStyle name="60% - Accent2 3 2 3 5 3" xfId="26073" xr:uid="{00000000-0005-0000-0000-0000C76C0000}"/>
    <cellStyle name="60% - Accent2 3 2 3 6" xfId="10713" xr:uid="{00000000-0005-0000-0000-0000C86C0000}"/>
    <cellStyle name="60% - Accent2 3 2 3 6 2" xfId="31193" xr:uid="{00000000-0005-0000-0000-0000C96C0000}"/>
    <cellStyle name="60% - Accent2 3 2 3 7" xfId="20953" xr:uid="{00000000-0005-0000-0000-0000CA6C0000}"/>
    <cellStyle name="60% - Accent2 3 2 4" xfId="793" xr:uid="{00000000-0005-0000-0000-0000CB6C0000}"/>
    <cellStyle name="60% - Accent2 3 2 4 2" xfId="2073" xr:uid="{00000000-0005-0000-0000-0000CC6C0000}"/>
    <cellStyle name="60% - Accent2 3 2 4 2 2" xfId="4633" xr:uid="{00000000-0005-0000-0000-0000CD6C0000}"/>
    <cellStyle name="60% - Accent2 3 2 4 2 2 2" xfId="9753" xr:uid="{00000000-0005-0000-0000-0000CE6C0000}"/>
    <cellStyle name="60% - Accent2 3 2 4 2 2 2 2" xfId="19993" xr:uid="{00000000-0005-0000-0000-0000CF6C0000}"/>
    <cellStyle name="60% - Accent2 3 2 4 2 2 2 2 2" xfId="40473" xr:uid="{00000000-0005-0000-0000-0000D06C0000}"/>
    <cellStyle name="60% - Accent2 3 2 4 2 2 2 3" xfId="30233" xr:uid="{00000000-0005-0000-0000-0000D16C0000}"/>
    <cellStyle name="60% - Accent2 3 2 4 2 2 3" xfId="14873" xr:uid="{00000000-0005-0000-0000-0000D26C0000}"/>
    <cellStyle name="60% - Accent2 3 2 4 2 2 3 2" xfId="35353" xr:uid="{00000000-0005-0000-0000-0000D36C0000}"/>
    <cellStyle name="60% - Accent2 3 2 4 2 2 4" xfId="25113" xr:uid="{00000000-0005-0000-0000-0000D46C0000}"/>
    <cellStyle name="60% - Accent2 3 2 4 2 3" xfId="7193" xr:uid="{00000000-0005-0000-0000-0000D56C0000}"/>
    <cellStyle name="60% - Accent2 3 2 4 2 3 2" xfId="17433" xr:uid="{00000000-0005-0000-0000-0000D66C0000}"/>
    <cellStyle name="60% - Accent2 3 2 4 2 3 2 2" xfId="37913" xr:uid="{00000000-0005-0000-0000-0000D76C0000}"/>
    <cellStyle name="60% - Accent2 3 2 4 2 3 3" xfId="27673" xr:uid="{00000000-0005-0000-0000-0000D86C0000}"/>
    <cellStyle name="60% - Accent2 3 2 4 2 4" xfId="12313" xr:uid="{00000000-0005-0000-0000-0000D96C0000}"/>
    <cellStyle name="60% - Accent2 3 2 4 2 4 2" xfId="32793" xr:uid="{00000000-0005-0000-0000-0000DA6C0000}"/>
    <cellStyle name="60% - Accent2 3 2 4 2 5" xfId="22553" xr:uid="{00000000-0005-0000-0000-0000DB6C0000}"/>
    <cellStyle name="60% - Accent2 3 2 4 3" xfId="3353" xr:uid="{00000000-0005-0000-0000-0000DC6C0000}"/>
    <cellStyle name="60% - Accent2 3 2 4 3 2" xfId="8473" xr:uid="{00000000-0005-0000-0000-0000DD6C0000}"/>
    <cellStyle name="60% - Accent2 3 2 4 3 2 2" xfId="18713" xr:uid="{00000000-0005-0000-0000-0000DE6C0000}"/>
    <cellStyle name="60% - Accent2 3 2 4 3 2 2 2" xfId="39193" xr:uid="{00000000-0005-0000-0000-0000DF6C0000}"/>
    <cellStyle name="60% - Accent2 3 2 4 3 2 3" xfId="28953" xr:uid="{00000000-0005-0000-0000-0000E06C0000}"/>
    <cellStyle name="60% - Accent2 3 2 4 3 3" xfId="13593" xr:uid="{00000000-0005-0000-0000-0000E16C0000}"/>
    <cellStyle name="60% - Accent2 3 2 4 3 3 2" xfId="34073" xr:uid="{00000000-0005-0000-0000-0000E26C0000}"/>
    <cellStyle name="60% - Accent2 3 2 4 3 4" xfId="23833" xr:uid="{00000000-0005-0000-0000-0000E36C0000}"/>
    <cellStyle name="60% - Accent2 3 2 4 4" xfId="5913" xr:uid="{00000000-0005-0000-0000-0000E46C0000}"/>
    <cellStyle name="60% - Accent2 3 2 4 4 2" xfId="16153" xr:uid="{00000000-0005-0000-0000-0000E56C0000}"/>
    <cellStyle name="60% - Accent2 3 2 4 4 2 2" xfId="36633" xr:uid="{00000000-0005-0000-0000-0000E66C0000}"/>
    <cellStyle name="60% - Accent2 3 2 4 4 3" xfId="26393" xr:uid="{00000000-0005-0000-0000-0000E76C0000}"/>
    <cellStyle name="60% - Accent2 3 2 4 5" xfId="11033" xr:uid="{00000000-0005-0000-0000-0000E86C0000}"/>
    <cellStyle name="60% - Accent2 3 2 4 5 2" xfId="31513" xr:uid="{00000000-0005-0000-0000-0000E96C0000}"/>
    <cellStyle name="60% - Accent2 3 2 4 6" xfId="21273" xr:uid="{00000000-0005-0000-0000-0000EA6C0000}"/>
    <cellStyle name="60% - Accent2 3 2 5" xfId="1433" xr:uid="{00000000-0005-0000-0000-0000EB6C0000}"/>
    <cellStyle name="60% - Accent2 3 2 5 2" xfId="3993" xr:uid="{00000000-0005-0000-0000-0000EC6C0000}"/>
    <cellStyle name="60% - Accent2 3 2 5 2 2" xfId="9113" xr:uid="{00000000-0005-0000-0000-0000ED6C0000}"/>
    <cellStyle name="60% - Accent2 3 2 5 2 2 2" xfId="19353" xr:uid="{00000000-0005-0000-0000-0000EE6C0000}"/>
    <cellStyle name="60% - Accent2 3 2 5 2 2 2 2" xfId="39833" xr:uid="{00000000-0005-0000-0000-0000EF6C0000}"/>
    <cellStyle name="60% - Accent2 3 2 5 2 2 3" xfId="29593" xr:uid="{00000000-0005-0000-0000-0000F06C0000}"/>
    <cellStyle name="60% - Accent2 3 2 5 2 3" xfId="14233" xr:uid="{00000000-0005-0000-0000-0000F16C0000}"/>
    <cellStyle name="60% - Accent2 3 2 5 2 3 2" xfId="34713" xr:uid="{00000000-0005-0000-0000-0000F26C0000}"/>
    <cellStyle name="60% - Accent2 3 2 5 2 4" xfId="24473" xr:uid="{00000000-0005-0000-0000-0000F36C0000}"/>
    <cellStyle name="60% - Accent2 3 2 5 3" xfId="6553" xr:uid="{00000000-0005-0000-0000-0000F46C0000}"/>
    <cellStyle name="60% - Accent2 3 2 5 3 2" xfId="16793" xr:uid="{00000000-0005-0000-0000-0000F56C0000}"/>
    <cellStyle name="60% - Accent2 3 2 5 3 2 2" xfId="37273" xr:uid="{00000000-0005-0000-0000-0000F66C0000}"/>
    <cellStyle name="60% - Accent2 3 2 5 3 3" xfId="27033" xr:uid="{00000000-0005-0000-0000-0000F76C0000}"/>
    <cellStyle name="60% - Accent2 3 2 5 4" xfId="11673" xr:uid="{00000000-0005-0000-0000-0000F86C0000}"/>
    <cellStyle name="60% - Accent2 3 2 5 4 2" xfId="32153" xr:uid="{00000000-0005-0000-0000-0000F96C0000}"/>
    <cellStyle name="60% - Accent2 3 2 5 5" xfId="21913" xr:uid="{00000000-0005-0000-0000-0000FA6C0000}"/>
    <cellStyle name="60% - Accent2 3 2 6" xfId="2713" xr:uid="{00000000-0005-0000-0000-0000FB6C0000}"/>
    <cellStyle name="60% - Accent2 3 2 6 2" xfId="7833" xr:uid="{00000000-0005-0000-0000-0000FC6C0000}"/>
    <cellStyle name="60% - Accent2 3 2 6 2 2" xfId="18073" xr:uid="{00000000-0005-0000-0000-0000FD6C0000}"/>
    <cellStyle name="60% - Accent2 3 2 6 2 2 2" xfId="38553" xr:uid="{00000000-0005-0000-0000-0000FE6C0000}"/>
    <cellStyle name="60% - Accent2 3 2 6 2 3" xfId="28313" xr:uid="{00000000-0005-0000-0000-0000FF6C0000}"/>
    <cellStyle name="60% - Accent2 3 2 6 3" xfId="12953" xr:uid="{00000000-0005-0000-0000-0000006D0000}"/>
    <cellStyle name="60% - Accent2 3 2 6 3 2" xfId="33433" xr:uid="{00000000-0005-0000-0000-0000016D0000}"/>
    <cellStyle name="60% - Accent2 3 2 6 4" xfId="23193" xr:uid="{00000000-0005-0000-0000-0000026D0000}"/>
    <cellStyle name="60% - Accent2 3 2 7" xfId="5273" xr:uid="{00000000-0005-0000-0000-0000036D0000}"/>
    <cellStyle name="60% - Accent2 3 2 7 2" xfId="15513" xr:uid="{00000000-0005-0000-0000-0000046D0000}"/>
    <cellStyle name="60% - Accent2 3 2 7 2 2" xfId="35993" xr:uid="{00000000-0005-0000-0000-0000056D0000}"/>
    <cellStyle name="60% - Accent2 3 2 7 3" xfId="25753" xr:uid="{00000000-0005-0000-0000-0000066D0000}"/>
    <cellStyle name="60% - Accent2 3 2 8" xfId="10393" xr:uid="{00000000-0005-0000-0000-0000076D0000}"/>
    <cellStyle name="60% - Accent2 3 2 8 2" xfId="30873" xr:uid="{00000000-0005-0000-0000-0000086D0000}"/>
    <cellStyle name="60% - Accent2 3 2 9" xfId="20633" xr:uid="{00000000-0005-0000-0000-0000096D0000}"/>
    <cellStyle name="60% - Accent2 3 3" xfId="233" xr:uid="{00000000-0005-0000-0000-00000A6D0000}"/>
    <cellStyle name="60% - Accent2 3 3 2" xfId="553" xr:uid="{00000000-0005-0000-0000-00000B6D0000}"/>
    <cellStyle name="60% - Accent2 3 3 2 2" xfId="1193" xr:uid="{00000000-0005-0000-0000-00000C6D0000}"/>
    <cellStyle name="60% - Accent2 3 3 2 2 2" xfId="2473" xr:uid="{00000000-0005-0000-0000-00000D6D0000}"/>
    <cellStyle name="60% - Accent2 3 3 2 2 2 2" xfId="5033" xr:uid="{00000000-0005-0000-0000-00000E6D0000}"/>
    <cellStyle name="60% - Accent2 3 3 2 2 2 2 2" xfId="10153" xr:uid="{00000000-0005-0000-0000-00000F6D0000}"/>
    <cellStyle name="60% - Accent2 3 3 2 2 2 2 2 2" xfId="20393" xr:uid="{00000000-0005-0000-0000-0000106D0000}"/>
    <cellStyle name="60% - Accent2 3 3 2 2 2 2 2 2 2" xfId="40873" xr:uid="{00000000-0005-0000-0000-0000116D0000}"/>
    <cellStyle name="60% - Accent2 3 3 2 2 2 2 2 3" xfId="30633" xr:uid="{00000000-0005-0000-0000-0000126D0000}"/>
    <cellStyle name="60% - Accent2 3 3 2 2 2 2 3" xfId="15273" xr:uid="{00000000-0005-0000-0000-0000136D0000}"/>
    <cellStyle name="60% - Accent2 3 3 2 2 2 2 3 2" xfId="35753" xr:uid="{00000000-0005-0000-0000-0000146D0000}"/>
    <cellStyle name="60% - Accent2 3 3 2 2 2 2 4" xfId="25513" xr:uid="{00000000-0005-0000-0000-0000156D0000}"/>
    <cellStyle name="60% - Accent2 3 3 2 2 2 3" xfId="7593" xr:uid="{00000000-0005-0000-0000-0000166D0000}"/>
    <cellStyle name="60% - Accent2 3 3 2 2 2 3 2" xfId="17833" xr:uid="{00000000-0005-0000-0000-0000176D0000}"/>
    <cellStyle name="60% - Accent2 3 3 2 2 2 3 2 2" xfId="38313" xr:uid="{00000000-0005-0000-0000-0000186D0000}"/>
    <cellStyle name="60% - Accent2 3 3 2 2 2 3 3" xfId="28073" xr:uid="{00000000-0005-0000-0000-0000196D0000}"/>
    <cellStyle name="60% - Accent2 3 3 2 2 2 4" xfId="12713" xr:uid="{00000000-0005-0000-0000-00001A6D0000}"/>
    <cellStyle name="60% - Accent2 3 3 2 2 2 4 2" xfId="33193" xr:uid="{00000000-0005-0000-0000-00001B6D0000}"/>
    <cellStyle name="60% - Accent2 3 3 2 2 2 5" xfId="22953" xr:uid="{00000000-0005-0000-0000-00001C6D0000}"/>
    <cellStyle name="60% - Accent2 3 3 2 2 3" xfId="3753" xr:uid="{00000000-0005-0000-0000-00001D6D0000}"/>
    <cellStyle name="60% - Accent2 3 3 2 2 3 2" xfId="8873" xr:uid="{00000000-0005-0000-0000-00001E6D0000}"/>
    <cellStyle name="60% - Accent2 3 3 2 2 3 2 2" xfId="19113" xr:uid="{00000000-0005-0000-0000-00001F6D0000}"/>
    <cellStyle name="60% - Accent2 3 3 2 2 3 2 2 2" xfId="39593" xr:uid="{00000000-0005-0000-0000-0000206D0000}"/>
    <cellStyle name="60% - Accent2 3 3 2 2 3 2 3" xfId="29353" xr:uid="{00000000-0005-0000-0000-0000216D0000}"/>
    <cellStyle name="60% - Accent2 3 3 2 2 3 3" xfId="13993" xr:uid="{00000000-0005-0000-0000-0000226D0000}"/>
    <cellStyle name="60% - Accent2 3 3 2 2 3 3 2" xfId="34473" xr:uid="{00000000-0005-0000-0000-0000236D0000}"/>
    <cellStyle name="60% - Accent2 3 3 2 2 3 4" xfId="24233" xr:uid="{00000000-0005-0000-0000-0000246D0000}"/>
    <cellStyle name="60% - Accent2 3 3 2 2 4" xfId="6313" xr:uid="{00000000-0005-0000-0000-0000256D0000}"/>
    <cellStyle name="60% - Accent2 3 3 2 2 4 2" xfId="16553" xr:uid="{00000000-0005-0000-0000-0000266D0000}"/>
    <cellStyle name="60% - Accent2 3 3 2 2 4 2 2" xfId="37033" xr:uid="{00000000-0005-0000-0000-0000276D0000}"/>
    <cellStyle name="60% - Accent2 3 3 2 2 4 3" xfId="26793" xr:uid="{00000000-0005-0000-0000-0000286D0000}"/>
    <cellStyle name="60% - Accent2 3 3 2 2 5" xfId="11433" xr:uid="{00000000-0005-0000-0000-0000296D0000}"/>
    <cellStyle name="60% - Accent2 3 3 2 2 5 2" xfId="31913" xr:uid="{00000000-0005-0000-0000-00002A6D0000}"/>
    <cellStyle name="60% - Accent2 3 3 2 2 6" xfId="21673" xr:uid="{00000000-0005-0000-0000-00002B6D0000}"/>
    <cellStyle name="60% - Accent2 3 3 2 3" xfId="1833" xr:uid="{00000000-0005-0000-0000-00002C6D0000}"/>
    <cellStyle name="60% - Accent2 3 3 2 3 2" xfId="4393" xr:uid="{00000000-0005-0000-0000-00002D6D0000}"/>
    <cellStyle name="60% - Accent2 3 3 2 3 2 2" xfId="9513" xr:uid="{00000000-0005-0000-0000-00002E6D0000}"/>
    <cellStyle name="60% - Accent2 3 3 2 3 2 2 2" xfId="19753" xr:uid="{00000000-0005-0000-0000-00002F6D0000}"/>
    <cellStyle name="60% - Accent2 3 3 2 3 2 2 2 2" xfId="40233" xr:uid="{00000000-0005-0000-0000-0000306D0000}"/>
    <cellStyle name="60% - Accent2 3 3 2 3 2 2 3" xfId="29993" xr:uid="{00000000-0005-0000-0000-0000316D0000}"/>
    <cellStyle name="60% - Accent2 3 3 2 3 2 3" xfId="14633" xr:uid="{00000000-0005-0000-0000-0000326D0000}"/>
    <cellStyle name="60% - Accent2 3 3 2 3 2 3 2" xfId="35113" xr:uid="{00000000-0005-0000-0000-0000336D0000}"/>
    <cellStyle name="60% - Accent2 3 3 2 3 2 4" xfId="24873" xr:uid="{00000000-0005-0000-0000-0000346D0000}"/>
    <cellStyle name="60% - Accent2 3 3 2 3 3" xfId="6953" xr:uid="{00000000-0005-0000-0000-0000356D0000}"/>
    <cellStyle name="60% - Accent2 3 3 2 3 3 2" xfId="17193" xr:uid="{00000000-0005-0000-0000-0000366D0000}"/>
    <cellStyle name="60% - Accent2 3 3 2 3 3 2 2" xfId="37673" xr:uid="{00000000-0005-0000-0000-0000376D0000}"/>
    <cellStyle name="60% - Accent2 3 3 2 3 3 3" xfId="27433" xr:uid="{00000000-0005-0000-0000-0000386D0000}"/>
    <cellStyle name="60% - Accent2 3 3 2 3 4" xfId="12073" xr:uid="{00000000-0005-0000-0000-0000396D0000}"/>
    <cellStyle name="60% - Accent2 3 3 2 3 4 2" xfId="32553" xr:uid="{00000000-0005-0000-0000-00003A6D0000}"/>
    <cellStyle name="60% - Accent2 3 3 2 3 5" xfId="22313" xr:uid="{00000000-0005-0000-0000-00003B6D0000}"/>
    <cellStyle name="60% - Accent2 3 3 2 4" xfId="3113" xr:uid="{00000000-0005-0000-0000-00003C6D0000}"/>
    <cellStyle name="60% - Accent2 3 3 2 4 2" xfId="8233" xr:uid="{00000000-0005-0000-0000-00003D6D0000}"/>
    <cellStyle name="60% - Accent2 3 3 2 4 2 2" xfId="18473" xr:uid="{00000000-0005-0000-0000-00003E6D0000}"/>
    <cellStyle name="60% - Accent2 3 3 2 4 2 2 2" xfId="38953" xr:uid="{00000000-0005-0000-0000-00003F6D0000}"/>
    <cellStyle name="60% - Accent2 3 3 2 4 2 3" xfId="28713" xr:uid="{00000000-0005-0000-0000-0000406D0000}"/>
    <cellStyle name="60% - Accent2 3 3 2 4 3" xfId="13353" xr:uid="{00000000-0005-0000-0000-0000416D0000}"/>
    <cellStyle name="60% - Accent2 3 3 2 4 3 2" xfId="33833" xr:uid="{00000000-0005-0000-0000-0000426D0000}"/>
    <cellStyle name="60% - Accent2 3 3 2 4 4" xfId="23593" xr:uid="{00000000-0005-0000-0000-0000436D0000}"/>
    <cellStyle name="60% - Accent2 3 3 2 5" xfId="5673" xr:uid="{00000000-0005-0000-0000-0000446D0000}"/>
    <cellStyle name="60% - Accent2 3 3 2 5 2" xfId="15913" xr:uid="{00000000-0005-0000-0000-0000456D0000}"/>
    <cellStyle name="60% - Accent2 3 3 2 5 2 2" xfId="36393" xr:uid="{00000000-0005-0000-0000-0000466D0000}"/>
    <cellStyle name="60% - Accent2 3 3 2 5 3" xfId="26153" xr:uid="{00000000-0005-0000-0000-0000476D0000}"/>
    <cellStyle name="60% - Accent2 3 3 2 6" xfId="10793" xr:uid="{00000000-0005-0000-0000-0000486D0000}"/>
    <cellStyle name="60% - Accent2 3 3 2 6 2" xfId="31273" xr:uid="{00000000-0005-0000-0000-0000496D0000}"/>
    <cellStyle name="60% - Accent2 3 3 2 7" xfId="21033" xr:uid="{00000000-0005-0000-0000-00004A6D0000}"/>
    <cellStyle name="60% - Accent2 3 3 3" xfId="873" xr:uid="{00000000-0005-0000-0000-00004B6D0000}"/>
    <cellStyle name="60% - Accent2 3 3 3 2" xfId="2153" xr:uid="{00000000-0005-0000-0000-00004C6D0000}"/>
    <cellStyle name="60% - Accent2 3 3 3 2 2" xfId="4713" xr:uid="{00000000-0005-0000-0000-00004D6D0000}"/>
    <cellStyle name="60% - Accent2 3 3 3 2 2 2" xfId="9833" xr:uid="{00000000-0005-0000-0000-00004E6D0000}"/>
    <cellStyle name="60% - Accent2 3 3 3 2 2 2 2" xfId="20073" xr:uid="{00000000-0005-0000-0000-00004F6D0000}"/>
    <cellStyle name="60% - Accent2 3 3 3 2 2 2 2 2" xfId="40553" xr:uid="{00000000-0005-0000-0000-0000506D0000}"/>
    <cellStyle name="60% - Accent2 3 3 3 2 2 2 3" xfId="30313" xr:uid="{00000000-0005-0000-0000-0000516D0000}"/>
    <cellStyle name="60% - Accent2 3 3 3 2 2 3" xfId="14953" xr:uid="{00000000-0005-0000-0000-0000526D0000}"/>
    <cellStyle name="60% - Accent2 3 3 3 2 2 3 2" xfId="35433" xr:uid="{00000000-0005-0000-0000-0000536D0000}"/>
    <cellStyle name="60% - Accent2 3 3 3 2 2 4" xfId="25193" xr:uid="{00000000-0005-0000-0000-0000546D0000}"/>
    <cellStyle name="60% - Accent2 3 3 3 2 3" xfId="7273" xr:uid="{00000000-0005-0000-0000-0000556D0000}"/>
    <cellStyle name="60% - Accent2 3 3 3 2 3 2" xfId="17513" xr:uid="{00000000-0005-0000-0000-0000566D0000}"/>
    <cellStyle name="60% - Accent2 3 3 3 2 3 2 2" xfId="37993" xr:uid="{00000000-0005-0000-0000-0000576D0000}"/>
    <cellStyle name="60% - Accent2 3 3 3 2 3 3" xfId="27753" xr:uid="{00000000-0005-0000-0000-0000586D0000}"/>
    <cellStyle name="60% - Accent2 3 3 3 2 4" xfId="12393" xr:uid="{00000000-0005-0000-0000-0000596D0000}"/>
    <cellStyle name="60% - Accent2 3 3 3 2 4 2" xfId="32873" xr:uid="{00000000-0005-0000-0000-00005A6D0000}"/>
    <cellStyle name="60% - Accent2 3 3 3 2 5" xfId="22633" xr:uid="{00000000-0005-0000-0000-00005B6D0000}"/>
    <cellStyle name="60% - Accent2 3 3 3 3" xfId="3433" xr:uid="{00000000-0005-0000-0000-00005C6D0000}"/>
    <cellStyle name="60% - Accent2 3 3 3 3 2" xfId="8553" xr:uid="{00000000-0005-0000-0000-00005D6D0000}"/>
    <cellStyle name="60% - Accent2 3 3 3 3 2 2" xfId="18793" xr:uid="{00000000-0005-0000-0000-00005E6D0000}"/>
    <cellStyle name="60% - Accent2 3 3 3 3 2 2 2" xfId="39273" xr:uid="{00000000-0005-0000-0000-00005F6D0000}"/>
    <cellStyle name="60% - Accent2 3 3 3 3 2 3" xfId="29033" xr:uid="{00000000-0005-0000-0000-0000606D0000}"/>
    <cellStyle name="60% - Accent2 3 3 3 3 3" xfId="13673" xr:uid="{00000000-0005-0000-0000-0000616D0000}"/>
    <cellStyle name="60% - Accent2 3 3 3 3 3 2" xfId="34153" xr:uid="{00000000-0005-0000-0000-0000626D0000}"/>
    <cellStyle name="60% - Accent2 3 3 3 3 4" xfId="23913" xr:uid="{00000000-0005-0000-0000-0000636D0000}"/>
    <cellStyle name="60% - Accent2 3 3 3 4" xfId="5993" xr:uid="{00000000-0005-0000-0000-0000646D0000}"/>
    <cellStyle name="60% - Accent2 3 3 3 4 2" xfId="16233" xr:uid="{00000000-0005-0000-0000-0000656D0000}"/>
    <cellStyle name="60% - Accent2 3 3 3 4 2 2" xfId="36713" xr:uid="{00000000-0005-0000-0000-0000666D0000}"/>
    <cellStyle name="60% - Accent2 3 3 3 4 3" xfId="26473" xr:uid="{00000000-0005-0000-0000-0000676D0000}"/>
    <cellStyle name="60% - Accent2 3 3 3 5" xfId="11113" xr:uid="{00000000-0005-0000-0000-0000686D0000}"/>
    <cellStyle name="60% - Accent2 3 3 3 5 2" xfId="31593" xr:uid="{00000000-0005-0000-0000-0000696D0000}"/>
    <cellStyle name="60% - Accent2 3 3 3 6" xfId="21353" xr:uid="{00000000-0005-0000-0000-00006A6D0000}"/>
    <cellStyle name="60% - Accent2 3 3 4" xfId="1513" xr:uid="{00000000-0005-0000-0000-00006B6D0000}"/>
    <cellStyle name="60% - Accent2 3 3 4 2" xfId="4073" xr:uid="{00000000-0005-0000-0000-00006C6D0000}"/>
    <cellStyle name="60% - Accent2 3 3 4 2 2" xfId="9193" xr:uid="{00000000-0005-0000-0000-00006D6D0000}"/>
    <cellStyle name="60% - Accent2 3 3 4 2 2 2" xfId="19433" xr:uid="{00000000-0005-0000-0000-00006E6D0000}"/>
    <cellStyle name="60% - Accent2 3 3 4 2 2 2 2" xfId="39913" xr:uid="{00000000-0005-0000-0000-00006F6D0000}"/>
    <cellStyle name="60% - Accent2 3 3 4 2 2 3" xfId="29673" xr:uid="{00000000-0005-0000-0000-0000706D0000}"/>
    <cellStyle name="60% - Accent2 3 3 4 2 3" xfId="14313" xr:uid="{00000000-0005-0000-0000-0000716D0000}"/>
    <cellStyle name="60% - Accent2 3 3 4 2 3 2" xfId="34793" xr:uid="{00000000-0005-0000-0000-0000726D0000}"/>
    <cellStyle name="60% - Accent2 3 3 4 2 4" xfId="24553" xr:uid="{00000000-0005-0000-0000-0000736D0000}"/>
    <cellStyle name="60% - Accent2 3 3 4 3" xfId="6633" xr:uid="{00000000-0005-0000-0000-0000746D0000}"/>
    <cellStyle name="60% - Accent2 3 3 4 3 2" xfId="16873" xr:uid="{00000000-0005-0000-0000-0000756D0000}"/>
    <cellStyle name="60% - Accent2 3 3 4 3 2 2" xfId="37353" xr:uid="{00000000-0005-0000-0000-0000766D0000}"/>
    <cellStyle name="60% - Accent2 3 3 4 3 3" xfId="27113" xr:uid="{00000000-0005-0000-0000-0000776D0000}"/>
    <cellStyle name="60% - Accent2 3 3 4 4" xfId="11753" xr:uid="{00000000-0005-0000-0000-0000786D0000}"/>
    <cellStyle name="60% - Accent2 3 3 4 4 2" xfId="32233" xr:uid="{00000000-0005-0000-0000-0000796D0000}"/>
    <cellStyle name="60% - Accent2 3 3 4 5" xfId="21993" xr:uid="{00000000-0005-0000-0000-00007A6D0000}"/>
    <cellStyle name="60% - Accent2 3 3 5" xfId="2793" xr:uid="{00000000-0005-0000-0000-00007B6D0000}"/>
    <cellStyle name="60% - Accent2 3 3 5 2" xfId="7913" xr:uid="{00000000-0005-0000-0000-00007C6D0000}"/>
    <cellStyle name="60% - Accent2 3 3 5 2 2" xfId="18153" xr:uid="{00000000-0005-0000-0000-00007D6D0000}"/>
    <cellStyle name="60% - Accent2 3 3 5 2 2 2" xfId="38633" xr:uid="{00000000-0005-0000-0000-00007E6D0000}"/>
    <cellStyle name="60% - Accent2 3 3 5 2 3" xfId="28393" xr:uid="{00000000-0005-0000-0000-00007F6D0000}"/>
    <cellStyle name="60% - Accent2 3 3 5 3" xfId="13033" xr:uid="{00000000-0005-0000-0000-0000806D0000}"/>
    <cellStyle name="60% - Accent2 3 3 5 3 2" xfId="33513" xr:uid="{00000000-0005-0000-0000-0000816D0000}"/>
    <cellStyle name="60% - Accent2 3 3 5 4" xfId="23273" xr:uid="{00000000-0005-0000-0000-0000826D0000}"/>
    <cellStyle name="60% - Accent2 3 3 6" xfId="5353" xr:uid="{00000000-0005-0000-0000-0000836D0000}"/>
    <cellStyle name="60% - Accent2 3 3 6 2" xfId="15593" xr:uid="{00000000-0005-0000-0000-0000846D0000}"/>
    <cellStyle name="60% - Accent2 3 3 6 2 2" xfId="36073" xr:uid="{00000000-0005-0000-0000-0000856D0000}"/>
    <cellStyle name="60% - Accent2 3 3 6 3" xfId="25833" xr:uid="{00000000-0005-0000-0000-0000866D0000}"/>
    <cellStyle name="60% - Accent2 3 3 7" xfId="10473" xr:uid="{00000000-0005-0000-0000-0000876D0000}"/>
    <cellStyle name="60% - Accent2 3 3 7 2" xfId="30953" xr:uid="{00000000-0005-0000-0000-0000886D0000}"/>
    <cellStyle name="60% - Accent2 3 3 8" xfId="20713" xr:uid="{00000000-0005-0000-0000-0000896D0000}"/>
    <cellStyle name="60% - Accent2 3 4" xfId="393" xr:uid="{00000000-0005-0000-0000-00008A6D0000}"/>
    <cellStyle name="60% - Accent2 3 4 2" xfId="1033" xr:uid="{00000000-0005-0000-0000-00008B6D0000}"/>
    <cellStyle name="60% - Accent2 3 4 2 2" xfId="2313" xr:uid="{00000000-0005-0000-0000-00008C6D0000}"/>
    <cellStyle name="60% - Accent2 3 4 2 2 2" xfId="4873" xr:uid="{00000000-0005-0000-0000-00008D6D0000}"/>
    <cellStyle name="60% - Accent2 3 4 2 2 2 2" xfId="9993" xr:uid="{00000000-0005-0000-0000-00008E6D0000}"/>
    <cellStyle name="60% - Accent2 3 4 2 2 2 2 2" xfId="20233" xr:uid="{00000000-0005-0000-0000-00008F6D0000}"/>
    <cellStyle name="60% - Accent2 3 4 2 2 2 2 2 2" xfId="40713" xr:uid="{00000000-0005-0000-0000-0000906D0000}"/>
    <cellStyle name="60% - Accent2 3 4 2 2 2 2 3" xfId="30473" xr:uid="{00000000-0005-0000-0000-0000916D0000}"/>
    <cellStyle name="60% - Accent2 3 4 2 2 2 3" xfId="15113" xr:uid="{00000000-0005-0000-0000-0000926D0000}"/>
    <cellStyle name="60% - Accent2 3 4 2 2 2 3 2" xfId="35593" xr:uid="{00000000-0005-0000-0000-0000936D0000}"/>
    <cellStyle name="60% - Accent2 3 4 2 2 2 4" xfId="25353" xr:uid="{00000000-0005-0000-0000-0000946D0000}"/>
    <cellStyle name="60% - Accent2 3 4 2 2 3" xfId="7433" xr:uid="{00000000-0005-0000-0000-0000956D0000}"/>
    <cellStyle name="60% - Accent2 3 4 2 2 3 2" xfId="17673" xr:uid="{00000000-0005-0000-0000-0000966D0000}"/>
    <cellStyle name="60% - Accent2 3 4 2 2 3 2 2" xfId="38153" xr:uid="{00000000-0005-0000-0000-0000976D0000}"/>
    <cellStyle name="60% - Accent2 3 4 2 2 3 3" xfId="27913" xr:uid="{00000000-0005-0000-0000-0000986D0000}"/>
    <cellStyle name="60% - Accent2 3 4 2 2 4" xfId="12553" xr:uid="{00000000-0005-0000-0000-0000996D0000}"/>
    <cellStyle name="60% - Accent2 3 4 2 2 4 2" xfId="33033" xr:uid="{00000000-0005-0000-0000-00009A6D0000}"/>
    <cellStyle name="60% - Accent2 3 4 2 2 5" xfId="22793" xr:uid="{00000000-0005-0000-0000-00009B6D0000}"/>
    <cellStyle name="60% - Accent2 3 4 2 3" xfId="3593" xr:uid="{00000000-0005-0000-0000-00009C6D0000}"/>
    <cellStyle name="60% - Accent2 3 4 2 3 2" xfId="8713" xr:uid="{00000000-0005-0000-0000-00009D6D0000}"/>
    <cellStyle name="60% - Accent2 3 4 2 3 2 2" xfId="18953" xr:uid="{00000000-0005-0000-0000-00009E6D0000}"/>
    <cellStyle name="60% - Accent2 3 4 2 3 2 2 2" xfId="39433" xr:uid="{00000000-0005-0000-0000-00009F6D0000}"/>
    <cellStyle name="60% - Accent2 3 4 2 3 2 3" xfId="29193" xr:uid="{00000000-0005-0000-0000-0000A06D0000}"/>
    <cellStyle name="60% - Accent2 3 4 2 3 3" xfId="13833" xr:uid="{00000000-0005-0000-0000-0000A16D0000}"/>
    <cellStyle name="60% - Accent2 3 4 2 3 3 2" xfId="34313" xr:uid="{00000000-0005-0000-0000-0000A26D0000}"/>
    <cellStyle name="60% - Accent2 3 4 2 3 4" xfId="24073" xr:uid="{00000000-0005-0000-0000-0000A36D0000}"/>
    <cellStyle name="60% - Accent2 3 4 2 4" xfId="6153" xr:uid="{00000000-0005-0000-0000-0000A46D0000}"/>
    <cellStyle name="60% - Accent2 3 4 2 4 2" xfId="16393" xr:uid="{00000000-0005-0000-0000-0000A56D0000}"/>
    <cellStyle name="60% - Accent2 3 4 2 4 2 2" xfId="36873" xr:uid="{00000000-0005-0000-0000-0000A66D0000}"/>
    <cellStyle name="60% - Accent2 3 4 2 4 3" xfId="26633" xr:uid="{00000000-0005-0000-0000-0000A76D0000}"/>
    <cellStyle name="60% - Accent2 3 4 2 5" xfId="11273" xr:uid="{00000000-0005-0000-0000-0000A86D0000}"/>
    <cellStyle name="60% - Accent2 3 4 2 5 2" xfId="31753" xr:uid="{00000000-0005-0000-0000-0000A96D0000}"/>
    <cellStyle name="60% - Accent2 3 4 2 6" xfId="21513" xr:uid="{00000000-0005-0000-0000-0000AA6D0000}"/>
    <cellStyle name="60% - Accent2 3 4 3" xfId="1673" xr:uid="{00000000-0005-0000-0000-0000AB6D0000}"/>
    <cellStyle name="60% - Accent2 3 4 3 2" xfId="4233" xr:uid="{00000000-0005-0000-0000-0000AC6D0000}"/>
    <cellStyle name="60% - Accent2 3 4 3 2 2" xfId="9353" xr:uid="{00000000-0005-0000-0000-0000AD6D0000}"/>
    <cellStyle name="60% - Accent2 3 4 3 2 2 2" xfId="19593" xr:uid="{00000000-0005-0000-0000-0000AE6D0000}"/>
    <cellStyle name="60% - Accent2 3 4 3 2 2 2 2" xfId="40073" xr:uid="{00000000-0005-0000-0000-0000AF6D0000}"/>
    <cellStyle name="60% - Accent2 3 4 3 2 2 3" xfId="29833" xr:uid="{00000000-0005-0000-0000-0000B06D0000}"/>
    <cellStyle name="60% - Accent2 3 4 3 2 3" xfId="14473" xr:uid="{00000000-0005-0000-0000-0000B16D0000}"/>
    <cellStyle name="60% - Accent2 3 4 3 2 3 2" xfId="34953" xr:uid="{00000000-0005-0000-0000-0000B26D0000}"/>
    <cellStyle name="60% - Accent2 3 4 3 2 4" xfId="24713" xr:uid="{00000000-0005-0000-0000-0000B36D0000}"/>
    <cellStyle name="60% - Accent2 3 4 3 3" xfId="6793" xr:uid="{00000000-0005-0000-0000-0000B46D0000}"/>
    <cellStyle name="60% - Accent2 3 4 3 3 2" xfId="17033" xr:uid="{00000000-0005-0000-0000-0000B56D0000}"/>
    <cellStyle name="60% - Accent2 3 4 3 3 2 2" xfId="37513" xr:uid="{00000000-0005-0000-0000-0000B66D0000}"/>
    <cellStyle name="60% - Accent2 3 4 3 3 3" xfId="27273" xr:uid="{00000000-0005-0000-0000-0000B76D0000}"/>
    <cellStyle name="60% - Accent2 3 4 3 4" xfId="11913" xr:uid="{00000000-0005-0000-0000-0000B86D0000}"/>
    <cellStyle name="60% - Accent2 3 4 3 4 2" xfId="32393" xr:uid="{00000000-0005-0000-0000-0000B96D0000}"/>
    <cellStyle name="60% - Accent2 3 4 3 5" xfId="22153" xr:uid="{00000000-0005-0000-0000-0000BA6D0000}"/>
    <cellStyle name="60% - Accent2 3 4 4" xfId="2953" xr:uid="{00000000-0005-0000-0000-0000BB6D0000}"/>
    <cellStyle name="60% - Accent2 3 4 4 2" xfId="8073" xr:uid="{00000000-0005-0000-0000-0000BC6D0000}"/>
    <cellStyle name="60% - Accent2 3 4 4 2 2" xfId="18313" xr:uid="{00000000-0005-0000-0000-0000BD6D0000}"/>
    <cellStyle name="60% - Accent2 3 4 4 2 2 2" xfId="38793" xr:uid="{00000000-0005-0000-0000-0000BE6D0000}"/>
    <cellStyle name="60% - Accent2 3 4 4 2 3" xfId="28553" xr:uid="{00000000-0005-0000-0000-0000BF6D0000}"/>
    <cellStyle name="60% - Accent2 3 4 4 3" xfId="13193" xr:uid="{00000000-0005-0000-0000-0000C06D0000}"/>
    <cellStyle name="60% - Accent2 3 4 4 3 2" xfId="33673" xr:uid="{00000000-0005-0000-0000-0000C16D0000}"/>
    <cellStyle name="60% - Accent2 3 4 4 4" xfId="23433" xr:uid="{00000000-0005-0000-0000-0000C26D0000}"/>
    <cellStyle name="60% - Accent2 3 4 5" xfId="5513" xr:uid="{00000000-0005-0000-0000-0000C36D0000}"/>
    <cellStyle name="60% - Accent2 3 4 5 2" xfId="15753" xr:uid="{00000000-0005-0000-0000-0000C46D0000}"/>
    <cellStyle name="60% - Accent2 3 4 5 2 2" xfId="36233" xr:uid="{00000000-0005-0000-0000-0000C56D0000}"/>
    <cellStyle name="60% - Accent2 3 4 5 3" xfId="25993" xr:uid="{00000000-0005-0000-0000-0000C66D0000}"/>
    <cellStyle name="60% - Accent2 3 4 6" xfId="10633" xr:uid="{00000000-0005-0000-0000-0000C76D0000}"/>
    <cellStyle name="60% - Accent2 3 4 6 2" xfId="31113" xr:uid="{00000000-0005-0000-0000-0000C86D0000}"/>
    <cellStyle name="60% - Accent2 3 4 7" xfId="20873" xr:uid="{00000000-0005-0000-0000-0000C96D0000}"/>
    <cellStyle name="60% - Accent2 3 5" xfId="713" xr:uid="{00000000-0005-0000-0000-0000CA6D0000}"/>
    <cellStyle name="60% - Accent2 3 5 2" xfId="1993" xr:uid="{00000000-0005-0000-0000-0000CB6D0000}"/>
    <cellStyle name="60% - Accent2 3 5 2 2" xfId="4553" xr:uid="{00000000-0005-0000-0000-0000CC6D0000}"/>
    <cellStyle name="60% - Accent2 3 5 2 2 2" xfId="9673" xr:uid="{00000000-0005-0000-0000-0000CD6D0000}"/>
    <cellStyle name="60% - Accent2 3 5 2 2 2 2" xfId="19913" xr:uid="{00000000-0005-0000-0000-0000CE6D0000}"/>
    <cellStyle name="60% - Accent2 3 5 2 2 2 2 2" xfId="40393" xr:uid="{00000000-0005-0000-0000-0000CF6D0000}"/>
    <cellStyle name="60% - Accent2 3 5 2 2 2 3" xfId="30153" xr:uid="{00000000-0005-0000-0000-0000D06D0000}"/>
    <cellStyle name="60% - Accent2 3 5 2 2 3" xfId="14793" xr:uid="{00000000-0005-0000-0000-0000D16D0000}"/>
    <cellStyle name="60% - Accent2 3 5 2 2 3 2" xfId="35273" xr:uid="{00000000-0005-0000-0000-0000D26D0000}"/>
    <cellStyle name="60% - Accent2 3 5 2 2 4" xfId="25033" xr:uid="{00000000-0005-0000-0000-0000D36D0000}"/>
    <cellStyle name="60% - Accent2 3 5 2 3" xfId="7113" xr:uid="{00000000-0005-0000-0000-0000D46D0000}"/>
    <cellStyle name="60% - Accent2 3 5 2 3 2" xfId="17353" xr:uid="{00000000-0005-0000-0000-0000D56D0000}"/>
    <cellStyle name="60% - Accent2 3 5 2 3 2 2" xfId="37833" xr:uid="{00000000-0005-0000-0000-0000D66D0000}"/>
    <cellStyle name="60% - Accent2 3 5 2 3 3" xfId="27593" xr:uid="{00000000-0005-0000-0000-0000D76D0000}"/>
    <cellStyle name="60% - Accent2 3 5 2 4" xfId="12233" xr:uid="{00000000-0005-0000-0000-0000D86D0000}"/>
    <cellStyle name="60% - Accent2 3 5 2 4 2" xfId="32713" xr:uid="{00000000-0005-0000-0000-0000D96D0000}"/>
    <cellStyle name="60% - Accent2 3 5 2 5" xfId="22473" xr:uid="{00000000-0005-0000-0000-0000DA6D0000}"/>
    <cellStyle name="60% - Accent2 3 5 3" xfId="3273" xr:uid="{00000000-0005-0000-0000-0000DB6D0000}"/>
    <cellStyle name="60% - Accent2 3 5 3 2" xfId="8393" xr:uid="{00000000-0005-0000-0000-0000DC6D0000}"/>
    <cellStyle name="60% - Accent2 3 5 3 2 2" xfId="18633" xr:uid="{00000000-0005-0000-0000-0000DD6D0000}"/>
    <cellStyle name="60% - Accent2 3 5 3 2 2 2" xfId="39113" xr:uid="{00000000-0005-0000-0000-0000DE6D0000}"/>
    <cellStyle name="60% - Accent2 3 5 3 2 3" xfId="28873" xr:uid="{00000000-0005-0000-0000-0000DF6D0000}"/>
    <cellStyle name="60% - Accent2 3 5 3 3" xfId="13513" xr:uid="{00000000-0005-0000-0000-0000E06D0000}"/>
    <cellStyle name="60% - Accent2 3 5 3 3 2" xfId="33993" xr:uid="{00000000-0005-0000-0000-0000E16D0000}"/>
    <cellStyle name="60% - Accent2 3 5 3 4" xfId="23753" xr:uid="{00000000-0005-0000-0000-0000E26D0000}"/>
    <cellStyle name="60% - Accent2 3 5 4" xfId="5833" xr:uid="{00000000-0005-0000-0000-0000E36D0000}"/>
    <cellStyle name="60% - Accent2 3 5 4 2" xfId="16073" xr:uid="{00000000-0005-0000-0000-0000E46D0000}"/>
    <cellStyle name="60% - Accent2 3 5 4 2 2" xfId="36553" xr:uid="{00000000-0005-0000-0000-0000E56D0000}"/>
    <cellStyle name="60% - Accent2 3 5 4 3" xfId="26313" xr:uid="{00000000-0005-0000-0000-0000E66D0000}"/>
    <cellStyle name="60% - Accent2 3 5 5" xfId="10953" xr:uid="{00000000-0005-0000-0000-0000E76D0000}"/>
    <cellStyle name="60% - Accent2 3 5 5 2" xfId="31433" xr:uid="{00000000-0005-0000-0000-0000E86D0000}"/>
    <cellStyle name="60% - Accent2 3 5 6" xfId="21193" xr:uid="{00000000-0005-0000-0000-0000E96D0000}"/>
    <cellStyle name="60% - Accent2 3 6" xfId="1353" xr:uid="{00000000-0005-0000-0000-0000EA6D0000}"/>
    <cellStyle name="60% - Accent2 3 6 2" xfId="3913" xr:uid="{00000000-0005-0000-0000-0000EB6D0000}"/>
    <cellStyle name="60% - Accent2 3 6 2 2" xfId="9033" xr:uid="{00000000-0005-0000-0000-0000EC6D0000}"/>
    <cellStyle name="60% - Accent2 3 6 2 2 2" xfId="19273" xr:uid="{00000000-0005-0000-0000-0000ED6D0000}"/>
    <cellStyle name="60% - Accent2 3 6 2 2 2 2" xfId="39753" xr:uid="{00000000-0005-0000-0000-0000EE6D0000}"/>
    <cellStyle name="60% - Accent2 3 6 2 2 3" xfId="29513" xr:uid="{00000000-0005-0000-0000-0000EF6D0000}"/>
    <cellStyle name="60% - Accent2 3 6 2 3" xfId="14153" xr:uid="{00000000-0005-0000-0000-0000F06D0000}"/>
    <cellStyle name="60% - Accent2 3 6 2 3 2" xfId="34633" xr:uid="{00000000-0005-0000-0000-0000F16D0000}"/>
    <cellStyle name="60% - Accent2 3 6 2 4" xfId="24393" xr:uid="{00000000-0005-0000-0000-0000F26D0000}"/>
    <cellStyle name="60% - Accent2 3 6 3" xfId="6473" xr:uid="{00000000-0005-0000-0000-0000F36D0000}"/>
    <cellStyle name="60% - Accent2 3 6 3 2" xfId="16713" xr:uid="{00000000-0005-0000-0000-0000F46D0000}"/>
    <cellStyle name="60% - Accent2 3 6 3 2 2" xfId="37193" xr:uid="{00000000-0005-0000-0000-0000F56D0000}"/>
    <cellStyle name="60% - Accent2 3 6 3 3" xfId="26953" xr:uid="{00000000-0005-0000-0000-0000F66D0000}"/>
    <cellStyle name="60% - Accent2 3 6 4" xfId="11593" xr:uid="{00000000-0005-0000-0000-0000F76D0000}"/>
    <cellStyle name="60% - Accent2 3 6 4 2" xfId="32073" xr:uid="{00000000-0005-0000-0000-0000F86D0000}"/>
    <cellStyle name="60% - Accent2 3 6 5" xfId="21833" xr:uid="{00000000-0005-0000-0000-0000F96D0000}"/>
    <cellStyle name="60% - Accent2 3 7" xfId="2633" xr:uid="{00000000-0005-0000-0000-0000FA6D0000}"/>
    <cellStyle name="60% - Accent2 3 7 2" xfId="7753" xr:uid="{00000000-0005-0000-0000-0000FB6D0000}"/>
    <cellStyle name="60% - Accent2 3 7 2 2" xfId="17993" xr:uid="{00000000-0005-0000-0000-0000FC6D0000}"/>
    <cellStyle name="60% - Accent2 3 7 2 2 2" xfId="38473" xr:uid="{00000000-0005-0000-0000-0000FD6D0000}"/>
    <cellStyle name="60% - Accent2 3 7 2 3" xfId="28233" xr:uid="{00000000-0005-0000-0000-0000FE6D0000}"/>
    <cellStyle name="60% - Accent2 3 7 3" xfId="12873" xr:uid="{00000000-0005-0000-0000-0000FF6D0000}"/>
    <cellStyle name="60% - Accent2 3 7 3 2" xfId="33353" xr:uid="{00000000-0005-0000-0000-0000006E0000}"/>
    <cellStyle name="60% - Accent2 3 7 4" xfId="23113" xr:uid="{00000000-0005-0000-0000-0000016E0000}"/>
    <cellStyle name="60% - Accent2 3 8" xfId="5193" xr:uid="{00000000-0005-0000-0000-0000026E0000}"/>
    <cellStyle name="60% - Accent2 3 8 2" xfId="15433" xr:uid="{00000000-0005-0000-0000-0000036E0000}"/>
    <cellStyle name="60% - Accent2 3 8 2 2" xfId="35913" xr:uid="{00000000-0005-0000-0000-0000046E0000}"/>
    <cellStyle name="60% - Accent2 3 8 3" xfId="25673" xr:uid="{00000000-0005-0000-0000-0000056E0000}"/>
    <cellStyle name="60% - Accent2 3 9" xfId="10313" xr:uid="{00000000-0005-0000-0000-0000066E0000}"/>
    <cellStyle name="60% - Accent2 3 9 2" xfId="30793" xr:uid="{00000000-0005-0000-0000-0000076E0000}"/>
    <cellStyle name="60% - Accent2 4" xfId="113" xr:uid="{00000000-0005-0000-0000-0000086E0000}"/>
    <cellStyle name="60% - Accent2 4 2" xfId="273" xr:uid="{00000000-0005-0000-0000-0000096E0000}"/>
    <cellStyle name="60% - Accent2 4 2 2" xfId="593" xr:uid="{00000000-0005-0000-0000-00000A6E0000}"/>
    <cellStyle name="60% - Accent2 4 2 2 2" xfId="1233" xr:uid="{00000000-0005-0000-0000-00000B6E0000}"/>
    <cellStyle name="60% - Accent2 4 2 2 2 2" xfId="2513" xr:uid="{00000000-0005-0000-0000-00000C6E0000}"/>
    <cellStyle name="60% - Accent2 4 2 2 2 2 2" xfId="5073" xr:uid="{00000000-0005-0000-0000-00000D6E0000}"/>
    <cellStyle name="60% - Accent2 4 2 2 2 2 2 2" xfId="10193" xr:uid="{00000000-0005-0000-0000-00000E6E0000}"/>
    <cellStyle name="60% - Accent2 4 2 2 2 2 2 2 2" xfId="20433" xr:uid="{00000000-0005-0000-0000-00000F6E0000}"/>
    <cellStyle name="60% - Accent2 4 2 2 2 2 2 2 2 2" xfId="40913" xr:uid="{00000000-0005-0000-0000-0000106E0000}"/>
    <cellStyle name="60% - Accent2 4 2 2 2 2 2 2 3" xfId="30673" xr:uid="{00000000-0005-0000-0000-0000116E0000}"/>
    <cellStyle name="60% - Accent2 4 2 2 2 2 2 3" xfId="15313" xr:uid="{00000000-0005-0000-0000-0000126E0000}"/>
    <cellStyle name="60% - Accent2 4 2 2 2 2 2 3 2" xfId="35793" xr:uid="{00000000-0005-0000-0000-0000136E0000}"/>
    <cellStyle name="60% - Accent2 4 2 2 2 2 2 4" xfId="25553" xr:uid="{00000000-0005-0000-0000-0000146E0000}"/>
    <cellStyle name="60% - Accent2 4 2 2 2 2 3" xfId="7633" xr:uid="{00000000-0005-0000-0000-0000156E0000}"/>
    <cellStyle name="60% - Accent2 4 2 2 2 2 3 2" xfId="17873" xr:uid="{00000000-0005-0000-0000-0000166E0000}"/>
    <cellStyle name="60% - Accent2 4 2 2 2 2 3 2 2" xfId="38353" xr:uid="{00000000-0005-0000-0000-0000176E0000}"/>
    <cellStyle name="60% - Accent2 4 2 2 2 2 3 3" xfId="28113" xr:uid="{00000000-0005-0000-0000-0000186E0000}"/>
    <cellStyle name="60% - Accent2 4 2 2 2 2 4" xfId="12753" xr:uid="{00000000-0005-0000-0000-0000196E0000}"/>
    <cellStyle name="60% - Accent2 4 2 2 2 2 4 2" xfId="33233" xr:uid="{00000000-0005-0000-0000-00001A6E0000}"/>
    <cellStyle name="60% - Accent2 4 2 2 2 2 5" xfId="22993" xr:uid="{00000000-0005-0000-0000-00001B6E0000}"/>
    <cellStyle name="60% - Accent2 4 2 2 2 3" xfId="3793" xr:uid="{00000000-0005-0000-0000-00001C6E0000}"/>
    <cellStyle name="60% - Accent2 4 2 2 2 3 2" xfId="8913" xr:uid="{00000000-0005-0000-0000-00001D6E0000}"/>
    <cellStyle name="60% - Accent2 4 2 2 2 3 2 2" xfId="19153" xr:uid="{00000000-0005-0000-0000-00001E6E0000}"/>
    <cellStyle name="60% - Accent2 4 2 2 2 3 2 2 2" xfId="39633" xr:uid="{00000000-0005-0000-0000-00001F6E0000}"/>
    <cellStyle name="60% - Accent2 4 2 2 2 3 2 3" xfId="29393" xr:uid="{00000000-0005-0000-0000-0000206E0000}"/>
    <cellStyle name="60% - Accent2 4 2 2 2 3 3" xfId="14033" xr:uid="{00000000-0005-0000-0000-0000216E0000}"/>
    <cellStyle name="60% - Accent2 4 2 2 2 3 3 2" xfId="34513" xr:uid="{00000000-0005-0000-0000-0000226E0000}"/>
    <cellStyle name="60% - Accent2 4 2 2 2 3 4" xfId="24273" xr:uid="{00000000-0005-0000-0000-0000236E0000}"/>
    <cellStyle name="60% - Accent2 4 2 2 2 4" xfId="6353" xr:uid="{00000000-0005-0000-0000-0000246E0000}"/>
    <cellStyle name="60% - Accent2 4 2 2 2 4 2" xfId="16593" xr:uid="{00000000-0005-0000-0000-0000256E0000}"/>
    <cellStyle name="60% - Accent2 4 2 2 2 4 2 2" xfId="37073" xr:uid="{00000000-0005-0000-0000-0000266E0000}"/>
    <cellStyle name="60% - Accent2 4 2 2 2 4 3" xfId="26833" xr:uid="{00000000-0005-0000-0000-0000276E0000}"/>
    <cellStyle name="60% - Accent2 4 2 2 2 5" xfId="11473" xr:uid="{00000000-0005-0000-0000-0000286E0000}"/>
    <cellStyle name="60% - Accent2 4 2 2 2 5 2" xfId="31953" xr:uid="{00000000-0005-0000-0000-0000296E0000}"/>
    <cellStyle name="60% - Accent2 4 2 2 2 6" xfId="21713" xr:uid="{00000000-0005-0000-0000-00002A6E0000}"/>
    <cellStyle name="60% - Accent2 4 2 2 3" xfId="1873" xr:uid="{00000000-0005-0000-0000-00002B6E0000}"/>
    <cellStyle name="60% - Accent2 4 2 2 3 2" xfId="4433" xr:uid="{00000000-0005-0000-0000-00002C6E0000}"/>
    <cellStyle name="60% - Accent2 4 2 2 3 2 2" xfId="9553" xr:uid="{00000000-0005-0000-0000-00002D6E0000}"/>
    <cellStyle name="60% - Accent2 4 2 2 3 2 2 2" xfId="19793" xr:uid="{00000000-0005-0000-0000-00002E6E0000}"/>
    <cellStyle name="60% - Accent2 4 2 2 3 2 2 2 2" xfId="40273" xr:uid="{00000000-0005-0000-0000-00002F6E0000}"/>
    <cellStyle name="60% - Accent2 4 2 2 3 2 2 3" xfId="30033" xr:uid="{00000000-0005-0000-0000-0000306E0000}"/>
    <cellStyle name="60% - Accent2 4 2 2 3 2 3" xfId="14673" xr:uid="{00000000-0005-0000-0000-0000316E0000}"/>
    <cellStyle name="60% - Accent2 4 2 2 3 2 3 2" xfId="35153" xr:uid="{00000000-0005-0000-0000-0000326E0000}"/>
    <cellStyle name="60% - Accent2 4 2 2 3 2 4" xfId="24913" xr:uid="{00000000-0005-0000-0000-0000336E0000}"/>
    <cellStyle name="60% - Accent2 4 2 2 3 3" xfId="6993" xr:uid="{00000000-0005-0000-0000-0000346E0000}"/>
    <cellStyle name="60% - Accent2 4 2 2 3 3 2" xfId="17233" xr:uid="{00000000-0005-0000-0000-0000356E0000}"/>
    <cellStyle name="60% - Accent2 4 2 2 3 3 2 2" xfId="37713" xr:uid="{00000000-0005-0000-0000-0000366E0000}"/>
    <cellStyle name="60% - Accent2 4 2 2 3 3 3" xfId="27473" xr:uid="{00000000-0005-0000-0000-0000376E0000}"/>
    <cellStyle name="60% - Accent2 4 2 2 3 4" xfId="12113" xr:uid="{00000000-0005-0000-0000-0000386E0000}"/>
    <cellStyle name="60% - Accent2 4 2 2 3 4 2" xfId="32593" xr:uid="{00000000-0005-0000-0000-0000396E0000}"/>
    <cellStyle name="60% - Accent2 4 2 2 3 5" xfId="22353" xr:uid="{00000000-0005-0000-0000-00003A6E0000}"/>
    <cellStyle name="60% - Accent2 4 2 2 4" xfId="3153" xr:uid="{00000000-0005-0000-0000-00003B6E0000}"/>
    <cellStyle name="60% - Accent2 4 2 2 4 2" xfId="8273" xr:uid="{00000000-0005-0000-0000-00003C6E0000}"/>
    <cellStyle name="60% - Accent2 4 2 2 4 2 2" xfId="18513" xr:uid="{00000000-0005-0000-0000-00003D6E0000}"/>
    <cellStyle name="60% - Accent2 4 2 2 4 2 2 2" xfId="38993" xr:uid="{00000000-0005-0000-0000-00003E6E0000}"/>
    <cellStyle name="60% - Accent2 4 2 2 4 2 3" xfId="28753" xr:uid="{00000000-0005-0000-0000-00003F6E0000}"/>
    <cellStyle name="60% - Accent2 4 2 2 4 3" xfId="13393" xr:uid="{00000000-0005-0000-0000-0000406E0000}"/>
    <cellStyle name="60% - Accent2 4 2 2 4 3 2" xfId="33873" xr:uid="{00000000-0005-0000-0000-0000416E0000}"/>
    <cellStyle name="60% - Accent2 4 2 2 4 4" xfId="23633" xr:uid="{00000000-0005-0000-0000-0000426E0000}"/>
    <cellStyle name="60% - Accent2 4 2 2 5" xfId="5713" xr:uid="{00000000-0005-0000-0000-0000436E0000}"/>
    <cellStyle name="60% - Accent2 4 2 2 5 2" xfId="15953" xr:uid="{00000000-0005-0000-0000-0000446E0000}"/>
    <cellStyle name="60% - Accent2 4 2 2 5 2 2" xfId="36433" xr:uid="{00000000-0005-0000-0000-0000456E0000}"/>
    <cellStyle name="60% - Accent2 4 2 2 5 3" xfId="26193" xr:uid="{00000000-0005-0000-0000-0000466E0000}"/>
    <cellStyle name="60% - Accent2 4 2 2 6" xfId="10833" xr:uid="{00000000-0005-0000-0000-0000476E0000}"/>
    <cellStyle name="60% - Accent2 4 2 2 6 2" xfId="31313" xr:uid="{00000000-0005-0000-0000-0000486E0000}"/>
    <cellStyle name="60% - Accent2 4 2 2 7" xfId="21073" xr:uid="{00000000-0005-0000-0000-0000496E0000}"/>
    <cellStyle name="60% - Accent2 4 2 3" xfId="913" xr:uid="{00000000-0005-0000-0000-00004A6E0000}"/>
    <cellStyle name="60% - Accent2 4 2 3 2" xfId="2193" xr:uid="{00000000-0005-0000-0000-00004B6E0000}"/>
    <cellStyle name="60% - Accent2 4 2 3 2 2" xfId="4753" xr:uid="{00000000-0005-0000-0000-00004C6E0000}"/>
    <cellStyle name="60% - Accent2 4 2 3 2 2 2" xfId="9873" xr:uid="{00000000-0005-0000-0000-00004D6E0000}"/>
    <cellStyle name="60% - Accent2 4 2 3 2 2 2 2" xfId="20113" xr:uid="{00000000-0005-0000-0000-00004E6E0000}"/>
    <cellStyle name="60% - Accent2 4 2 3 2 2 2 2 2" xfId="40593" xr:uid="{00000000-0005-0000-0000-00004F6E0000}"/>
    <cellStyle name="60% - Accent2 4 2 3 2 2 2 3" xfId="30353" xr:uid="{00000000-0005-0000-0000-0000506E0000}"/>
    <cellStyle name="60% - Accent2 4 2 3 2 2 3" xfId="14993" xr:uid="{00000000-0005-0000-0000-0000516E0000}"/>
    <cellStyle name="60% - Accent2 4 2 3 2 2 3 2" xfId="35473" xr:uid="{00000000-0005-0000-0000-0000526E0000}"/>
    <cellStyle name="60% - Accent2 4 2 3 2 2 4" xfId="25233" xr:uid="{00000000-0005-0000-0000-0000536E0000}"/>
    <cellStyle name="60% - Accent2 4 2 3 2 3" xfId="7313" xr:uid="{00000000-0005-0000-0000-0000546E0000}"/>
    <cellStyle name="60% - Accent2 4 2 3 2 3 2" xfId="17553" xr:uid="{00000000-0005-0000-0000-0000556E0000}"/>
    <cellStyle name="60% - Accent2 4 2 3 2 3 2 2" xfId="38033" xr:uid="{00000000-0005-0000-0000-0000566E0000}"/>
    <cellStyle name="60% - Accent2 4 2 3 2 3 3" xfId="27793" xr:uid="{00000000-0005-0000-0000-0000576E0000}"/>
    <cellStyle name="60% - Accent2 4 2 3 2 4" xfId="12433" xr:uid="{00000000-0005-0000-0000-0000586E0000}"/>
    <cellStyle name="60% - Accent2 4 2 3 2 4 2" xfId="32913" xr:uid="{00000000-0005-0000-0000-0000596E0000}"/>
    <cellStyle name="60% - Accent2 4 2 3 2 5" xfId="22673" xr:uid="{00000000-0005-0000-0000-00005A6E0000}"/>
    <cellStyle name="60% - Accent2 4 2 3 3" xfId="3473" xr:uid="{00000000-0005-0000-0000-00005B6E0000}"/>
    <cellStyle name="60% - Accent2 4 2 3 3 2" xfId="8593" xr:uid="{00000000-0005-0000-0000-00005C6E0000}"/>
    <cellStyle name="60% - Accent2 4 2 3 3 2 2" xfId="18833" xr:uid="{00000000-0005-0000-0000-00005D6E0000}"/>
    <cellStyle name="60% - Accent2 4 2 3 3 2 2 2" xfId="39313" xr:uid="{00000000-0005-0000-0000-00005E6E0000}"/>
    <cellStyle name="60% - Accent2 4 2 3 3 2 3" xfId="29073" xr:uid="{00000000-0005-0000-0000-00005F6E0000}"/>
    <cellStyle name="60% - Accent2 4 2 3 3 3" xfId="13713" xr:uid="{00000000-0005-0000-0000-0000606E0000}"/>
    <cellStyle name="60% - Accent2 4 2 3 3 3 2" xfId="34193" xr:uid="{00000000-0005-0000-0000-0000616E0000}"/>
    <cellStyle name="60% - Accent2 4 2 3 3 4" xfId="23953" xr:uid="{00000000-0005-0000-0000-0000626E0000}"/>
    <cellStyle name="60% - Accent2 4 2 3 4" xfId="6033" xr:uid="{00000000-0005-0000-0000-0000636E0000}"/>
    <cellStyle name="60% - Accent2 4 2 3 4 2" xfId="16273" xr:uid="{00000000-0005-0000-0000-0000646E0000}"/>
    <cellStyle name="60% - Accent2 4 2 3 4 2 2" xfId="36753" xr:uid="{00000000-0005-0000-0000-0000656E0000}"/>
    <cellStyle name="60% - Accent2 4 2 3 4 3" xfId="26513" xr:uid="{00000000-0005-0000-0000-0000666E0000}"/>
    <cellStyle name="60% - Accent2 4 2 3 5" xfId="11153" xr:uid="{00000000-0005-0000-0000-0000676E0000}"/>
    <cellStyle name="60% - Accent2 4 2 3 5 2" xfId="31633" xr:uid="{00000000-0005-0000-0000-0000686E0000}"/>
    <cellStyle name="60% - Accent2 4 2 3 6" xfId="21393" xr:uid="{00000000-0005-0000-0000-0000696E0000}"/>
    <cellStyle name="60% - Accent2 4 2 4" xfId="1553" xr:uid="{00000000-0005-0000-0000-00006A6E0000}"/>
    <cellStyle name="60% - Accent2 4 2 4 2" xfId="4113" xr:uid="{00000000-0005-0000-0000-00006B6E0000}"/>
    <cellStyle name="60% - Accent2 4 2 4 2 2" xfId="9233" xr:uid="{00000000-0005-0000-0000-00006C6E0000}"/>
    <cellStyle name="60% - Accent2 4 2 4 2 2 2" xfId="19473" xr:uid="{00000000-0005-0000-0000-00006D6E0000}"/>
    <cellStyle name="60% - Accent2 4 2 4 2 2 2 2" xfId="39953" xr:uid="{00000000-0005-0000-0000-00006E6E0000}"/>
    <cellStyle name="60% - Accent2 4 2 4 2 2 3" xfId="29713" xr:uid="{00000000-0005-0000-0000-00006F6E0000}"/>
    <cellStyle name="60% - Accent2 4 2 4 2 3" xfId="14353" xr:uid="{00000000-0005-0000-0000-0000706E0000}"/>
    <cellStyle name="60% - Accent2 4 2 4 2 3 2" xfId="34833" xr:uid="{00000000-0005-0000-0000-0000716E0000}"/>
    <cellStyle name="60% - Accent2 4 2 4 2 4" xfId="24593" xr:uid="{00000000-0005-0000-0000-0000726E0000}"/>
    <cellStyle name="60% - Accent2 4 2 4 3" xfId="6673" xr:uid="{00000000-0005-0000-0000-0000736E0000}"/>
    <cellStyle name="60% - Accent2 4 2 4 3 2" xfId="16913" xr:uid="{00000000-0005-0000-0000-0000746E0000}"/>
    <cellStyle name="60% - Accent2 4 2 4 3 2 2" xfId="37393" xr:uid="{00000000-0005-0000-0000-0000756E0000}"/>
    <cellStyle name="60% - Accent2 4 2 4 3 3" xfId="27153" xr:uid="{00000000-0005-0000-0000-0000766E0000}"/>
    <cellStyle name="60% - Accent2 4 2 4 4" xfId="11793" xr:uid="{00000000-0005-0000-0000-0000776E0000}"/>
    <cellStyle name="60% - Accent2 4 2 4 4 2" xfId="32273" xr:uid="{00000000-0005-0000-0000-0000786E0000}"/>
    <cellStyle name="60% - Accent2 4 2 4 5" xfId="22033" xr:uid="{00000000-0005-0000-0000-0000796E0000}"/>
    <cellStyle name="60% - Accent2 4 2 5" xfId="2833" xr:uid="{00000000-0005-0000-0000-00007A6E0000}"/>
    <cellStyle name="60% - Accent2 4 2 5 2" xfId="7953" xr:uid="{00000000-0005-0000-0000-00007B6E0000}"/>
    <cellStyle name="60% - Accent2 4 2 5 2 2" xfId="18193" xr:uid="{00000000-0005-0000-0000-00007C6E0000}"/>
    <cellStyle name="60% - Accent2 4 2 5 2 2 2" xfId="38673" xr:uid="{00000000-0005-0000-0000-00007D6E0000}"/>
    <cellStyle name="60% - Accent2 4 2 5 2 3" xfId="28433" xr:uid="{00000000-0005-0000-0000-00007E6E0000}"/>
    <cellStyle name="60% - Accent2 4 2 5 3" xfId="13073" xr:uid="{00000000-0005-0000-0000-00007F6E0000}"/>
    <cellStyle name="60% - Accent2 4 2 5 3 2" xfId="33553" xr:uid="{00000000-0005-0000-0000-0000806E0000}"/>
    <cellStyle name="60% - Accent2 4 2 5 4" xfId="23313" xr:uid="{00000000-0005-0000-0000-0000816E0000}"/>
    <cellStyle name="60% - Accent2 4 2 6" xfId="5393" xr:uid="{00000000-0005-0000-0000-0000826E0000}"/>
    <cellStyle name="60% - Accent2 4 2 6 2" xfId="15633" xr:uid="{00000000-0005-0000-0000-0000836E0000}"/>
    <cellStyle name="60% - Accent2 4 2 6 2 2" xfId="36113" xr:uid="{00000000-0005-0000-0000-0000846E0000}"/>
    <cellStyle name="60% - Accent2 4 2 6 3" xfId="25873" xr:uid="{00000000-0005-0000-0000-0000856E0000}"/>
    <cellStyle name="60% - Accent2 4 2 7" xfId="10513" xr:uid="{00000000-0005-0000-0000-0000866E0000}"/>
    <cellStyle name="60% - Accent2 4 2 7 2" xfId="30993" xr:uid="{00000000-0005-0000-0000-0000876E0000}"/>
    <cellStyle name="60% - Accent2 4 2 8" xfId="20753" xr:uid="{00000000-0005-0000-0000-0000886E0000}"/>
    <cellStyle name="60% - Accent2 4 3" xfId="433" xr:uid="{00000000-0005-0000-0000-0000896E0000}"/>
    <cellStyle name="60% - Accent2 4 3 2" xfId="1073" xr:uid="{00000000-0005-0000-0000-00008A6E0000}"/>
    <cellStyle name="60% - Accent2 4 3 2 2" xfId="2353" xr:uid="{00000000-0005-0000-0000-00008B6E0000}"/>
    <cellStyle name="60% - Accent2 4 3 2 2 2" xfId="4913" xr:uid="{00000000-0005-0000-0000-00008C6E0000}"/>
    <cellStyle name="60% - Accent2 4 3 2 2 2 2" xfId="10033" xr:uid="{00000000-0005-0000-0000-00008D6E0000}"/>
    <cellStyle name="60% - Accent2 4 3 2 2 2 2 2" xfId="20273" xr:uid="{00000000-0005-0000-0000-00008E6E0000}"/>
    <cellStyle name="60% - Accent2 4 3 2 2 2 2 2 2" xfId="40753" xr:uid="{00000000-0005-0000-0000-00008F6E0000}"/>
    <cellStyle name="60% - Accent2 4 3 2 2 2 2 3" xfId="30513" xr:uid="{00000000-0005-0000-0000-0000906E0000}"/>
    <cellStyle name="60% - Accent2 4 3 2 2 2 3" xfId="15153" xr:uid="{00000000-0005-0000-0000-0000916E0000}"/>
    <cellStyle name="60% - Accent2 4 3 2 2 2 3 2" xfId="35633" xr:uid="{00000000-0005-0000-0000-0000926E0000}"/>
    <cellStyle name="60% - Accent2 4 3 2 2 2 4" xfId="25393" xr:uid="{00000000-0005-0000-0000-0000936E0000}"/>
    <cellStyle name="60% - Accent2 4 3 2 2 3" xfId="7473" xr:uid="{00000000-0005-0000-0000-0000946E0000}"/>
    <cellStyle name="60% - Accent2 4 3 2 2 3 2" xfId="17713" xr:uid="{00000000-0005-0000-0000-0000956E0000}"/>
    <cellStyle name="60% - Accent2 4 3 2 2 3 2 2" xfId="38193" xr:uid="{00000000-0005-0000-0000-0000966E0000}"/>
    <cellStyle name="60% - Accent2 4 3 2 2 3 3" xfId="27953" xr:uid="{00000000-0005-0000-0000-0000976E0000}"/>
    <cellStyle name="60% - Accent2 4 3 2 2 4" xfId="12593" xr:uid="{00000000-0005-0000-0000-0000986E0000}"/>
    <cellStyle name="60% - Accent2 4 3 2 2 4 2" xfId="33073" xr:uid="{00000000-0005-0000-0000-0000996E0000}"/>
    <cellStyle name="60% - Accent2 4 3 2 2 5" xfId="22833" xr:uid="{00000000-0005-0000-0000-00009A6E0000}"/>
    <cellStyle name="60% - Accent2 4 3 2 3" xfId="3633" xr:uid="{00000000-0005-0000-0000-00009B6E0000}"/>
    <cellStyle name="60% - Accent2 4 3 2 3 2" xfId="8753" xr:uid="{00000000-0005-0000-0000-00009C6E0000}"/>
    <cellStyle name="60% - Accent2 4 3 2 3 2 2" xfId="18993" xr:uid="{00000000-0005-0000-0000-00009D6E0000}"/>
    <cellStyle name="60% - Accent2 4 3 2 3 2 2 2" xfId="39473" xr:uid="{00000000-0005-0000-0000-00009E6E0000}"/>
    <cellStyle name="60% - Accent2 4 3 2 3 2 3" xfId="29233" xr:uid="{00000000-0005-0000-0000-00009F6E0000}"/>
    <cellStyle name="60% - Accent2 4 3 2 3 3" xfId="13873" xr:uid="{00000000-0005-0000-0000-0000A06E0000}"/>
    <cellStyle name="60% - Accent2 4 3 2 3 3 2" xfId="34353" xr:uid="{00000000-0005-0000-0000-0000A16E0000}"/>
    <cellStyle name="60% - Accent2 4 3 2 3 4" xfId="24113" xr:uid="{00000000-0005-0000-0000-0000A26E0000}"/>
    <cellStyle name="60% - Accent2 4 3 2 4" xfId="6193" xr:uid="{00000000-0005-0000-0000-0000A36E0000}"/>
    <cellStyle name="60% - Accent2 4 3 2 4 2" xfId="16433" xr:uid="{00000000-0005-0000-0000-0000A46E0000}"/>
    <cellStyle name="60% - Accent2 4 3 2 4 2 2" xfId="36913" xr:uid="{00000000-0005-0000-0000-0000A56E0000}"/>
    <cellStyle name="60% - Accent2 4 3 2 4 3" xfId="26673" xr:uid="{00000000-0005-0000-0000-0000A66E0000}"/>
    <cellStyle name="60% - Accent2 4 3 2 5" xfId="11313" xr:uid="{00000000-0005-0000-0000-0000A76E0000}"/>
    <cellStyle name="60% - Accent2 4 3 2 5 2" xfId="31793" xr:uid="{00000000-0005-0000-0000-0000A86E0000}"/>
    <cellStyle name="60% - Accent2 4 3 2 6" xfId="21553" xr:uid="{00000000-0005-0000-0000-0000A96E0000}"/>
    <cellStyle name="60% - Accent2 4 3 3" xfId="1713" xr:uid="{00000000-0005-0000-0000-0000AA6E0000}"/>
    <cellStyle name="60% - Accent2 4 3 3 2" xfId="4273" xr:uid="{00000000-0005-0000-0000-0000AB6E0000}"/>
    <cellStyle name="60% - Accent2 4 3 3 2 2" xfId="9393" xr:uid="{00000000-0005-0000-0000-0000AC6E0000}"/>
    <cellStyle name="60% - Accent2 4 3 3 2 2 2" xfId="19633" xr:uid="{00000000-0005-0000-0000-0000AD6E0000}"/>
    <cellStyle name="60% - Accent2 4 3 3 2 2 2 2" xfId="40113" xr:uid="{00000000-0005-0000-0000-0000AE6E0000}"/>
    <cellStyle name="60% - Accent2 4 3 3 2 2 3" xfId="29873" xr:uid="{00000000-0005-0000-0000-0000AF6E0000}"/>
    <cellStyle name="60% - Accent2 4 3 3 2 3" xfId="14513" xr:uid="{00000000-0005-0000-0000-0000B06E0000}"/>
    <cellStyle name="60% - Accent2 4 3 3 2 3 2" xfId="34993" xr:uid="{00000000-0005-0000-0000-0000B16E0000}"/>
    <cellStyle name="60% - Accent2 4 3 3 2 4" xfId="24753" xr:uid="{00000000-0005-0000-0000-0000B26E0000}"/>
    <cellStyle name="60% - Accent2 4 3 3 3" xfId="6833" xr:uid="{00000000-0005-0000-0000-0000B36E0000}"/>
    <cellStyle name="60% - Accent2 4 3 3 3 2" xfId="17073" xr:uid="{00000000-0005-0000-0000-0000B46E0000}"/>
    <cellStyle name="60% - Accent2 4 3 3 3 2 2" xfId="37553" xr:uid="{00000000-0005-0000-0000-0000B56E0000}"/>
    <cellStyle name="60% - Accent2 4 3 3 3 3" xfId="27313" xr:uid="{00000000-0005-0000-0000-0000B66E0000}"/>
    <cellStyle name="60% - Accent2 4 3 3 4" xfId="11953" xr:uid="{00000000-0005-0000-0000-0000B76E0000}"/>
    <cellStyle name="60% - Accent2 4 3 3 4 2" xfId="32433" xr:uid="{00000000-0005-0000-0000-0000B86E0000}"/>
    <cellStyle name="60% - Accent2 4 3 3 5" xfId="22193" xr:uid="{00000000-0005-0000-0000-0000B96E0000}"/>
    <cellStyle name="60% - Accent2 4 3 4" xfId="2993" xr:uid="{00000000-0005-0000-0000-0000BA6E0000}"/>
    <cellStyle name="60% - Accent2 4 3 4 2" xfId="8113" xr:uid="{00000000-0005-0000-0000-0000BB6E0000}"/>
    <cellStyle name="60% - Accent2 4 3 4 2 2" xfId="18353" xr:uid="{00000000-0005-0000-0000-0000BC6E0000}"/>
    <cellStyle name="60% - Accent2 4 3 4 2 2 2" xfId="38833" xr:uid="{00000000-0005-0000-0000-0000BD6E0000}"/>
    <cellStyle name="60% - Accent2 4 3 4 2 3" xfId="28593" xr:uid="{00000000-0005-0000-0000-0000BE6E0000}"/>
    <cellStyle name="60% - Accent2 4 3 4 3" xfId="13233" xr:uid="{00000000-0005-0000-0000-0000BF6E0000}"/>
    <cellStyle name="60% - Accent2 4 3 4 3 2" xfId="33713" xr:uid="{00000000-0005-0000-0000-0000C06E0000}"/>
    <cellStyle name="60% - Accent2 4 3 4 4" xfId="23473" xr:uid="{00000000-0005-0000-0000-0000C16E0000}"/>
    <cellStyle name="60% - Accent2 4 3 5" xfId="5553" xr:uid="{00000000-0005-0000-0000-0000C26E0000}"/>
    <cellStyle name="60% - Accent2 4 3 5 2" xfId="15793" xr:uid="{00000000-0005-0000-0000-0000C36E0000}"/>
    <cellStyle name="60% - Accent2 4 3 5 2 2" xfId="36273" xr:uid="{00000000-0005-0000-0000-0000C46E0000}"/>
    <cellStyle name="60% - Accent2 4 3 5 3" xfId="26033" xr:uid="{00000000-0005-0000-0000-0000C56E0000}"/>
    <cellStyle name="60% - Accent2 4 3 6" xfId="10673" xr:uid="{00000000-0005-0000-0000-0000C66E0000}"/>
    <cellStyle name="60% - Accent2 4 3 6 2" xfId="31153" xr:uid="{00000000-0005-0000-0000-0000C76E0000}"/>
    <cellStyle name="60% - Accent2 4 3 7" xfId="20913" xr:uid="{00000000-0005-0000-0000-0000C86E0000}"/>
    <cellStyle name="60% - Accent2 4 4" xfId="753" xr:uid="{00000000-0005-0000-0000-0000C96E0000}"/>
    <cellStyle name="60% - Accent2 4 4 2" xfId="2033" xr:uid="{00000000-0005-0000-0000-0000CA6E0000}"/>
    <cellStyle name="60% - Accent2 4 4 2 2" xfId="4593" xr:uid="{00000000-0005-0000-0000-0000CB6E0000}"/>
    <cellStyle name="60% - Accent2 4 4 2 2 2" xfId="9713" xr:uid="{00000000-0005-0000-0000-0000CC6E0000}"/>
    <cellStyle name="60% - Accent2 4 4 2 2 2 2" xfId="19953" xr:uid="{00000000-0005-0000-0000-0000CD6E0000}"/>
    <cellStyle name="60% - Accent2 4 4 2 2 2 2 2" xfId="40433" xr:uid="{00000000-0005-0000-0000-0000CE6E0000}"/>
    <cellStyle name="60% - Accent2 4 4 2 2 2 3" xfId="30193" xr:uid="{00000000-0005-0000-0000-0000CF6E0000}"/>
    <cellStyle name="60% - Accent2 4 4 2 2 3" xfId="14833" xr:uid="{00000000-0005-0000-0000-0000D06E0000}"/>
    <cellStyle name="60% - Accent2 4 4 2 2 3 2" xfId="35313" xr:uid="{00000000-0005-0000-0000-0000D16E0000}"/>
    <cellStyle name="60% - Accent2 4 4 2 2 4" xfId="25073" xr:uid="{00000000-0005-0000-0000-0000D26E0000}"/>
    <cellStyle name="60% - Accent2 4 4 2 3" xfId="7153" xr:uid="{00000000-0005-0000-0000-0000D36E0000}"/>
    <cellStyle name="60% - Accent2 4 4 2 3 2" xfId="17393" xr:uid="{00000000-0005-0000-0000-0000D46E0000}"/>
    <cellStyle name="60% - Accent2 4 4 2 3 2 2" xfId="37873" xr:uid="{00000000-0005-0000-0000-0000D56E0000}"/>
    <cellStyle name="60% - Accent2 4 4 2 3 3" xfId="27633" xr:uid="{00000000-0005-0000-0000-0000D66E0000}"/>
    <cellStyle name="60% - Accent2 4 4 2 4" xfId="12273" xr:uid="{00000000-0005-0000-0000-0000D76E0000}"/>
    <cellStyle name="60% - Accent2 4 4 2 4 2" xfId="32753" xr:uid="{00000000-0005-0000-0000-0000D86E0000}"/>
    <cellStyle name="60% - Accent2 4 4 2 5" xfId="22513" xr:uid="{00000000-0005-0000-0000-0000D96E0000}"/>
    <cellStyle name="60% - Accent2 4 4 3" xfId="3313" xr:uid="{00000000-0005-0000-0000-0000DA6E0000}"/>
    <cellStyle name="60% - Accent2 4 4 3 2" xfId="8433" xr:uid="{00000000-0005-0000-0000-0000DB6E0000}"/>
    <cellStyle name="60% - Accent2 4 4 3 2 2" xfId="18673" xr:uid="{00000000-0005-0000-0000-0000DC6E0000}"/>
    <cellStyle name="60% - Accent2 4 4 3 2 2 2" xfId="39153" xr:uid="{00000000-0005-0000-0000-0000DD6E0000}"/>
    <cellStyle name="60% - Accent2 4 4 3 2 3" xfId="28913" xr:uid="{00000000-0005-0000-0000-0000DE6E0000}"/>
    <cellStyle name="60% - Accent2 4 4 3 3" xfId="13553" xr:uid="{00000000-0005-0000-0000-0000DF6E0000}"/>
    <cellStyle name="60% - Accent2 4 4 3 3 2" xfId="34033" xr:uid="{00000000-0005-0000-0000-0000E06E0000}"/>
    <cellStyle name="60% - Accent2 4 4 3 4" xfId="23793" xr:uid="{00000000-0005-0000-0000-0000E16E0000}"/>
    <cellStyle name="60% - Accent2 4 4 4" xfId="5873" xr:uid="{00000000-0005-0000-0000-0000E26E0000}"/>
    <cellStyle name="60% - Accent2 4 4 4 2" xfId="16113" xr:uid="{00000000-0005-0000-0000-0000E36E0000}"/>
    <cellStyle name="60% - Accent2 4 4 4 2 2" xfId="36593" xr:uid="{00000000-0005-0000-0000-0000E46E0000}"/>
    <cellStyle name="60% - Accent2 4 4 4 3" xfId="26353" xr:uid="{00000000-0005-0000-0000-0000E56E0000}"/>
    <cellStyle name="60% - Accent2 4 4 5" xfId="10993" xr:uid="{00000000-0005-0000-0000-0000E66E0000}"/>
    <cellStyle name="60% - Accent2 4 4 5 2" xfId="31473" xr:uid="{00000000-0005-0000-0000-0000E76E0000}"/>
    <cellStyle name="60% - Accent2 4 4 6" xfId="21233" xr:uid="{00000000-0005-0000-0000-0000E86E0000}"/>
    <cellStyle name="60% - Accent2 4 5" xfId="1393" xr:uid="{00000000-0005-0000-0000-0000E96E0000}"/>
    <cellStyle name="60% - Accent2 4 5 2" xfId="3953" xr:uid="{00000000-0005-0000-0000-0000EA6E0000}"/>
    <cellStyle name="60% - Accent2 4 5 2 2" xfId="9073" xr:uid="{00000000-0005-0000-0000-0000EB6E0000}"/>
    <cellStyle name="60% - Accent2 4 5 2 2 2" xfId="19313" xr:uid="{00000000-0005-0000-0000-0000EC6E0000}"/>
    <cellStyle name="60% - Accent2 4 5 2 2 2 2" xfId="39793" xr:uid="{00000000-0005-0000-0000-0000ED6E0000}"/>
    <cellStyle name="60% - Accent2 4 5 2 2 3" xfId="29553" xr:uid="{00000000-0005-0000-0000-0000EE6E0000}"/>
    <cellStyle name="60% - Accent2 4 5 2 3" xfId="14193" xr:uid="{00000000-0005-0000-0000-0000EF6E0000}"/>
    <cellStyle name="60% - Accent2 4 5 2 3 2" xfId="34673" xr:uid="{00000000-0005-0000-0000-0000F06E0000}"/>
    <cellStyle name="60% - Accent2 4 5 2 4" xfId="24433" xr:uid="{00000000-0005-0000-0000-0000F16E0000}"/>
    <cellStyle name="60% - Accent2 4 5 3" xfId="6513" xr:uid="{00000000-0005-0000-0000-0000F26E0000}"/>
    <cellStyle name="60% - Accent2 4 5 3 2" xfId="16753" xr:uid="{00000000-0005-0000-0000-0000F36E0000}"/>
    <cellStyle name="60% - Accent2 4 5 3 2 2" xfId="37233" xr:uid="{00000000-0005-0000-0000-0000F46E0000}"/>
    <cellStyle name="60% - Accent2 4 5 3 3" xfId="26993" xr:uid="{00000000-0005-0000-0000-0000F56E0000}"/>
    <cellStyle name="60% - Accent2 4 5 4" xfId="11633" xr:uid="{00000000-0005-0000-0000-0000F66E0000}"/>
    <cellStyle name="60% - Accent2 4 5 4 2" xfId="32113" xr:uid="{00000000-0005-0000-0000-0000F76E0000}"/>
    <cellStyle name="60% - Accent2 4 5 5" xfId="21873" xr:uid="{00000000-0005-0000-0000-0000F86E0000}"/>
    <cellStyle name="60% - Accent2 4 6" xfId="2673" xr:uid="{00000000-0005-0000-0000-0000F96E0000}"/>
    <cellStyle name="60% - Accent2 4 6 2" xfId="7793" xr:uid="{00000000-0005-0000-0000-0000FA6E0000}"/>
    <cellStyle name="60% - Accent2 4 6 2 2" xfId="18033" xr:uid="{00000000-0005-0000-0000-0000FB6E0000}"/>
    <cellStyle name="60% - Accent2 4 6 2 2 2" xfId="38513" xr:uid="{00000000-0005-0000-0000-0000FC6E0000}"/>
    <cellStyle name="60% - Accent2 4 6 2 3" xfId="28273" xr:uid="{00000000-0005-0000-0000-0000FD6E0000}"/>
    <cellStyle name="60% - Accent2 4 6 3" xfId="12913" xr:uid="{00000000-0005-0000-0000-0000FE6E0000}"/>
    <cellStyle name="60% - Accent2 4 6 3 2" xfId="33393" xr:uid="{00000000-0005-0000-0000-0000FF6E0000}"/>
    <cellStyle name="60% - Accent2 4 6 4" xfId="23153" xr:uid="{00000000-0005-0000-0000-0000006F0000}"/>
    <cellStyle name="60% - Accent2 4 7" xfId="5233" xr:uid="{00000000-0005-0000-0000-0000016F0000}"/>
    <cellStyle name="60% - Accent2 4 7 2" xfId="15473" xr:uid="{00000000-0005-0000-0000-0000026F0000}"/>
    <cellStyle name="60% - Accent2 4 7 2 2" xfId="35953" xr:uid="{00000000-0005-0000-0000-0000036F0000}"/>
    <cellStyle name="60% - Accent2 4 7 3" xfId="25713" xr:uid="{00000000-0005-0000-0000-0000046F0000}"/>
    <cellStyle name="60% - Accent2 4 8" xfId="10353" xr:uid="{00000000-0005-0000-0000-0000056F0000}"/>
    <cellStyle name="60% - Accent2 4 8 2" xfId="30833" xr:uid="{00000000-0005-0000-0000-0000066F0000}"/>
    <cellStyle name="60% - Accent2 4 9" xfId="20593" xr:uid="{00000000-0005-0000-0000-0000076F0000}"/>
    <cellStyle name="60% - Accent2 5" xfId="193" xr:uid="{00000000-0005-0000-0000-0000086F0000}"/>
    <cellStyle name="60% - Accent2 5 2" xfId="513" xr:uid="{00000000-0005-0000-0000-0000096F0000}"/>
    <cellStyle name="60% - Accent2 5 2 2" xfId="1153" xr:uid="{00000000-0005-0000-0000-00000A6F0000}"/>
    <cellStyle name="60% - Accent2 5 2 2 2" xfId="2433" xr:uid="{00000000-0005-0000-0000-00000B6F0000}"/>
    <cellStyle name="60% - Accent2 5 2 2 2 2" xfId="4993" xr:uid="{00000000-0005-0000-0000-00000C6F0000}"/>
    <cellStyle name="60% - Accent2 5 2 2 2 2 2" xfId="10113" xr:uid="{00000000-0005-0000-0000-00000D6F0000}"/>
    <cellStyle name="60% - Accent2 5 2 2 2 2 2 2" xfId="20353" xr:uid="{00000000-0005-0000-0000-00000E6F0000}"/>
    <cellStyle name="60% - Accent2 5 2 2 2 2 2 2 2" xfId="40833" xr:uid="{00000000-0005-0000-0000-00000F6F0000}"/>
    <cellStyle name="60% - Accent2 5 2 2 2 2 2 3" xfId="30593" xr:uid="{00000000-0005-0000-0000-0000106F0000}"/>
    <cellStyle name="60% - Accent2 5 2 2 2 2 3" xfId="15233" xr:uid="{00000000-0005-0000-0000-0000116F0000}"/>
    <cellStyle name="60% - Accent2 5 2 2 2 2 3 2" xfId="35713" xr:uid="{00000000-0005-0000-0000-0000126F0000}"/>
    <cellStyle name="60% - Accent2 5 2 2 2 2 4" xfId="25473" xr:uid="{00000000-0005-0000-0000-0000136F0000}"/>
    <cellStyle name="60% - Accent2 5 2 2 2 3" xfId="7553" xr:uid="{00000000-0005-0000-0000-0000146F0000}"/>
    <cellStyle name="60% - Accent2 5 2 2 2 3 2" xfId="17793" xr:uid="{00000000-0005-0000-0000-0000156F0000}"/>
    <cellStyle name="60% - Accent2 5 2 2 2 3 2 2" xfId="38273" xr:uid="{00000000-0005-0000-0000-0000166F0000}"/>
    <cellStyle name="60% - Accent2 5 2 2 2 3 3" xfId="28033" xr:uid="{00000000-0005-0000-0000-0000176F0000}"/>
    <cellStyle name="60% - Accent2 5 2 2 2 4" xfId="12673" xr:uid="{00000000-0005-0000-0000-0000186F0000}"/>
    <cellStyle name="60% - Accent2 5 2 2 2 4 2" xfId="33153" xr:uid="{00000000-0005-0000-0000-0000196F0000}"/>
    <cellStyle name="60% - Accent2 5 2 2 2 5" xfId="22913" xr:uid="{00000000-0005-0000-0000-00001A6F0000}"/>
    <cellStyle name="60% - Accent2 5 2 2 3" xfId="3713" xr:uid="{00000000-0005-0000-0000-00001B6F0000}"/>
    <cellStyle name="60% - Accent2 5 2 2 3 2" xfId="8833" xr:uid="{00000000-0005-0000-0000-00001C6F0000}"/>
    <cellStyle name="60% - Accent2 5 2 2 3 2 2" xfId="19073" xr:uid="{00000000-0005-0000-0000-00001D6F0000}"/>
    <cellStyle name="60% - Accent2 5 2 2 3 2 2 2" xfId="39553" xr:uid="{00000000-0005-0000-0000-00001E6F0000}"/>
    <cellStyle name="60% - Accent2 5 2 2 3 2 3" xfId="29313" xr:uid="{00000000-0005-0000-0000-00001F6F0000}"/>
    <cellStyle name="60% - Accent2 5 2 2 3 3" xfId="13953" xr:uid="{00000000-0005-0000-0000-0000206F0000}"/>
    <cellStyle name="60% - Accent2 5 2 2 3 3 2" xfId="34433" xr:uid="{00000000-0005-0000-0000-0000216F0000}"/>
    <cellStyle name="60% - Accent2 5 2 2 3 4" xfId="24193" xr:uid="{00000000-0005-0000-0000-0000226F0000}"/>
    <cellStyle name="60% - Accent2 5 2 2 4" xfId="6273" xr:uid="{00000000-0005-0000-0000-0000236F0000}"/>
    <cellStyle name="60% - Accent2 5 2 2 4 2" xfId="16513" xr:uid="{00000000-0005-0000-0000-0000246F0000}"/>
    <cellStyle name="60% - Accent2 5 2 2 4 2 2" xfId="36993" xr:uid="{00000000-0005-0000-0000-0000256F0000}"/>
    <cellStyle name="60% - Accent2 5 2 2 4 3" xfId="26753" xr:uid="{00000000-0005-0000-0000-0000266F0000}"/>
    <cellStyle name="60% - Accent2 5 2 2 5" xfId="11393" xr:uid="{00000000-0005-0000-0000-0000276F0000}"/>
    <cellStyle name="60% - Accent2 5 2 2 5 2" xfId="31873" xr:uid="{00000000-0005-0000-0000-0000286F0000}"/>
    <cellStyle name="60% - Accent2 5 2 2 6" xfId="21633" xr:uid="{00000000-0005-0000-0000-0000296F0000}"/>
    <cellStyle name="60% - Accent2 5 2 3" xfId="1793" xr:uid="{00000000-0005-0000-0000-00002A6F0000}"/>
    <cellStyle name="60% - Accent2 5 2 3 2" xfId="4353" xr:uid="{00000000-0005-0000-0000-00002B6F0000}"/>
    <cellStyle name="60% - Accent2 5 2 3 2 2" xfId="9473" xr:uid="{00000000-0005-0000-0000-00002C6F0000}"/>
    <cellStyle name="60% - Accent2 5 2 3 2 2 2" xfId="19713" xr:uid="{00000000-0005-0000-0000-00002D6F0000}"/>
    <cellStyle name="60% - Accent2 5 2 3 2 2 2 2" xfId="40193" xr:uid="{00000000-0005-0000-0000-00002E6F0000}"/>
    <cellStyle name="60% - Accent2 5 2 3 2 2 3" xfId="29953" xr:uid="{00000000-0005-0000-0000-00002F6F0000}"/>
    <cellStyle name="60% - Accent2 5 2 3 2 3" xfId="14593" xr:uid="{00000000-0005-0000-0000-0000306F0000}"/>
    <cellStyle name="60% - Accent2 5 2 3 2 3 2" xfId="35073" xr:uid="{00000000-0005-0000-0000-0000316F0000}"/>
    <cellStyle name="60% - Accent2 5 2 3 2 4" xfId="24833" xr:uid="{00000000-0005-0000-0000-0000326F0000}"/>
    <cellStyle name="60% - Accent2 5 2 3 3" xfId="6913" xr:uid="{00000000-0005-0000-0000-0000336F0000}"/>
    <cellStyle name="60% - Accent2 5 2 3 3 2" xfId="17153" xr:uid="{00000000-0005-0000-0000-0000346F0000}"/>
    <cellStyle name="60% - Accent2 5 2 3 3 2 2" xfId="37633" xr:uid="{00000000-0005-0000-0000-0000356F0000}"/>
    <cellStyle name="60% - Accent2 5 2 3 3 3" xfId="27393" xr:uid="{00000000-0005-0000-0000-0000366F0000}"/>
    <cellStyle name="60% - Accent2 5 2 3 4" xfId="12033" xr:uid="{00000000-0005-0000-0000-0000376F0000}"/>
    <cellStyle name="60% - Accent2 5 2 3 4 2" xfId="32513" xr:uid="{00000000-0005-0000-0000-0000386F0000}"/>
    <cellStyle name="60% - Accent2 5 2 3 5" xfId="22273" xr:uid="{00000000-0005-0000-0000-0000396F0000}"/>
    <cellStyle name="60% - Accent2 5 2 4" xfId="3073" xr:uid="{00000000-0005-0000-0000-00003A6F0000}"/>
    <cellStyle name="60% - Accent2 5 2 4 2" xfId="8193" xr:uid="{00000000-0005-0000-0000-00003B6F0000}"/>
    <cellStyle name="60% - Accent2 5 2 4 2 2" xfId="18433" xr:uid="{00000000-0005-0000-0000-00003C6F0000}"/>
    <cellStyle name="60% - Accent2 5 2 4 2 2 2" xfId="38913" xr:uid="{00000000-0005-0000-0000-00003D6F0000}"/>
    <cellStyle name="60% - Accent2 5 2 4 2 3" xfId="28673" xr:uid="{00000000-0005-0000-0000-00003E6F0000}"/>
    <cellStyle name="60% - Accent2 5 2 4 3" xfId="13313" xr:uid="{00000000-0005-0000-0000-00003F6F0000}"/>
    <cellStyle name="60% - Accent2 5 2 4 3 2" xfId="33793" xr:uid="{00000000-0005-0000-0000-0000406F0000}"/>
    <cellStyle name="60% - Accent2 5 2 4 4" xfId="23553" xr:uid="{00000000-0005-0000-0000-0000416F0000}"/>
    <cellStyle name="60% - Accent2 5 2 5" xfId="5633" xr:uid="{00000000-0005-0000-0000-0000426F0000}"/>
    <cellStyle name="60% - Accent2 5 2 5 2" xfId="15873" xr:uid="{00000000-0005-0000-0000-0000436F0000}"/>
    <cellStyle name="60% - Accent2 5 2 5 2 2" xfId="36353" xr:uid="{00000000-0005-0000-0000-0000446F0000}"/>
    <cellStyle name="60% - Accent2 5 2 5 3" xfId="26113" xr:uid="{00000000-0005-0000-0000-0000456F0000}"/>
    <cellStyle name="60% - Accent2 5 2 6" xfId="10753" xr:uid="{00000000-0005-0000-0000-0000466F0000}"/>
    <cellStyle name="60% - Accent2 5 2 6 2" xfId="31233" xr:uid="{00000000-0005-0000-0000-0000476F0000}"/>
    <cellStyle name="60% - Accent2 5 2 7" xfId="20993" xr:uid="{00000000-0005-0000-0000-0000486F0000}"/>
    <cellStyle name="60% - Accent2 5 3" xfId="833" xr:uid="{00000000-0005-0000-0000-0000496F0000}"/>
    <cellStyle name="60% - Accent2 5 3 2" xfId="2113" xr:uid="{00000000-0005-0000-0000-00004A6F0000}"/>
    <cellStyle name="60% - Accent2 5 3 2 2" xfId="4673" xr:uid="{00000000-0005-0000-0000-00004B6F0000}"/>
    <cellStyle name="60% - Accent2 5 3 2 2 2" xfId="9793" xr:uid="{00000000-0005-0000-0000-00004C6F0000}"/>
    <cellStyle name="60% - Accent2 5 3 2 2 2 2" xfId="20033" xr:uid="{00000000-0005-0000-0000-00004D6F0000}"/>
    <cellStyle name="60% - Accent2 5 3 2 2 2 2 2" xfId="40513" xr:uid="{00000000-0005-0000-0000-00004E6F0000}"/>
    <cellStyle name="60% - Accent2 5 3 2 2 2 3" xfId="30273" xr:uid="{00000000-0005-0000-0000-00004F6F0000}"/>
    <cellStyle name="60% - Accent2 5 3 2 2 3" xfId="14913" xr:uid="{00000000-0005-0000-0000-0000506F0000}"/>
    <cellStyle name="60% - Accent2 5 3 2 2 3 2" xfId="35393" xr:uid="{00000000-0005-0000-0000-0000516F0000}"/>
    <cellStyle name="60% - Accent2 5 3 2 2 4" xfId="25153" xr:uid="{00000000-0005-0000-0000-0000526F0000}"/>
    <cellStyle name="60% - Accent2 5 3 2 3" xfId="7233" xr:uid="{00000000-0005-0000-0000-0000536F0000}"/>
    <cellStyle name="60% - Accent2 5 3 2 3 2" xfId="17473" xr:uid="{00000000-0005-0000-0000-0000546F0000}"/>
    <cellStyle name="60% - Accent2 5 3 2 3 2 2" xfId="37953" xr:uid="{00000000-0005-0000-0000-0000556F0000}"/>
    <cellStyle name="60% - Accent2 5 3 2 3 3" xfId="27713" xr:uid="{00000000-0005-0000-0000-0000566F0000}"/>
    <cellStyle name="60% - Accent2 5 3 2 4" xfId="12353" xr:uid="{00000000-0005-0000-0000-0000576F0000}"/>
    <cellStyle name="60% - Accent2 5 3 2 4 2" xfId="32833" xr:uid="{00000000-0005-0000-0000-0000586F0000}"/>
    <cellStyle name="60% - Accent2 5 3 2 5" xfId="22593" xr:uid="{00000000-0005-0000-0000-0000596F0000}"/>
    <cellStyle name="60% - Accent2 5 3 3" xfId="3393" xr:uid="{00000000-0005-0000-0000-00005A6F0000}"/>
    <cellStyle name="60% - Accent2 5 3 3 2" xfId="8513" xr:uid="{00000000-0005-0000-0000-00005B6F0000}"/>
    <cellStyle name="60% - Accent2 5 3 3 2 2" xfId="18753" xr:uid="{00000000-0005-0000-0000-00005C6F0000}"/>
    <cellStyle name="60% - Accent2 5 3 3 2 2 2" xfId="39233" xr:uid="{00000000-0005-0000-0000-00005D6F0000}"/>
    <cellStyle name="60% - Accent2 5 3 3 2 3" xfId="28993" xr:uid="{00000000-0005-0000-0000-00005E6F0000}"/>
    <cellStyle name="60% - Accent2 5 3 3 3" xfId="13633" xr:uid="{00000000-0005-0000-0000-00005F6F0000}"/>
    <cellStyle name="60% - Accent2 5 3 3 3 2" xfId="34113" xr:uid="{00000000-0005-0000-0000-0000606F0000}"/>
    <cellStyle name="60% - Accent2 5 3 3 4" xfId="23873" xr:uid="{00000000-0005-0000-0000-0000616F0000}"/>
    <cellStyle name="60% - Accent2 5 3 4" xfId="5953" xr:uid="{00000000-0005-0000-0000-0000626F0000}"/>
    <cellStyle name="60% - Accent2 5 3 4 2" xfId="16193" xr:uid="{00000000-0005-0000-0000-0000636F0000}"/>
    <cellStyle name="60% - Accent2 5 3 4 2 2" xfId="36673" xr:uid="{00000000-0005-0000-0000-0000646F0000}"/>
    <cellStyle name="60% - Accent2 5 3 4 3" xfId="26433" xr:uid="{00000000-0005-0000-0000-0000656F0000}"/>
    <cellStyle name="60% - Accent2 5 3 5" xfId="11073" xr:uid="{00000000-0005-0000-0000-0000666F0000}"/>
    <cellStyle name="60% - Accent2 5 3 5 2" xfId="31553" xr:uid="{00000000-0005-0000-0000-0000676F0000}"/>
    <cellStyle name="60% - Accent2 5 3 6" xfId="21313" xr:uid="{00000000-0005-0000-0000-0000686F0000}"/>
    <cellStyle name="60% - Accent2 5 4" xfId="1473" xr:uid="{00000000-0005-0000-0000-0000696F0000}"/>
    <cellStyle name="60% - Accent2 5 4 2" xfId="4033" xr:uid="{00000000-0005-0000-0000-00006A6F0000}"/>
    <cellStyle name="60% - Accent2 5 4 2 2" xfId="9153" xr:uid="{00000000-0005-0000-0000-00006B6F0000}"/>
    <cellStyle name="60% - Accent2 5 4 2 2 2" xfId="19393" xr:uid="{00000000-0005-0000-0000-00006C6F0000}"/>
    <cellStyle name="60% - Accent2 5 4 2 2 2 2" xfId="39873" xr:uid="{00000000-0005-0000-0000-00006D6F0000}"/>
    <cellStyle name="60% - Accent2 5 4 2 2 3" xfId="29633" xr:uid="{00000000-0005-0000-0000-00006E6F0000}"/>
    <cellStyle name="60% - Accent2 5 4 2 3" xfId="14273" xr:uid="{00000000-0005-0000-0000-00006F6F0000}"/>
    <cellStyle name="60% - Accent2 5 4 2 3 2" xfId="34753" xr:uid="{00000000-0005-0000-0000-0000706F0000}"/>
    <cellStyle name="60% - Accent2 5 4 2 4" xfId="24513" xr:uid="{00000000-0005-0000-0000-0000716F0000}"/>
    <cellStyle name="60% - Accent2 5 4 3" xfId="6593" xr:uid="{00000000-0005-0000-0000-0000726F0000}"/>
    <cellStyle name="60% - Accent2 5 4 3 2" xfId="16833" xr:uid="{00000000-0005-0000-0000-0000736F0000}"/>
    <cellStyle name="60% - Accent2 5 4 3 2 2" xfId="37313" xr:uid="{00000000-0005-0000-0000-0000746F0000}"/>
    <cellStyle name="60% - Accent2 5 4 3 3" xfId="27073" xr:uid="{00000000-0005-0000-0000-0000756F0000}"/>
    <cellStyle name="60% - Accent2 5 4 4" xfId="11713" xr:uid="{00000000-0005-0000-0000-0000766F0000}"/>
    <cellStyle name="60% - Accent2 5 4 4 2" xfId="32193" xr:uid="{00000000-0005-0000-0000-0000776F0000}"/>
    <cellStyle name="60% - Accent2 5 4 5" xfId="21953" xr:uid="{00000000-0005-0000-0000-0000786F0000}"/>
    <cellStyle name="60% - Accent2 5 5" xfId="2753" xr:uid="{00000000-0005-0000-0000-0000796F0000}"/>
    <cellStyle name="60% - Accent2 5 5 2" xfId="7873" xr:uid="{00000000-0005-0000-0000-00007A6F0000}"/>
    <cellStyle name="60% - Accent2 5 5 2 2" xfId="18113" xr:uid="{00000000-0005-0000-0000-00007B6F0000}"/>
    <cellStyle name="60% - Accent2 5 5 2 2 2" xfId="38593" xr:uid="{00000000-0005-0000-0000-00007C6F0000}"/>
    <cellStyle name="60% - Accent2 5 5 2 3" xfId="28353" xr:uid="{00000000-0005-0000-0000-00007D6F0000}"/>
    <cellStyle name="60% - Accent2 5 5 3" xfId="12993" xr:uid="{00000000-0005-0000-0000-00007E6F0000}"/>
    <cellStyle name="60% - Accent2 5 5 3 2" xfId="33473" xr:uid="{00000000-0005-0000-0000-00007F6F0000}"/>
    <cellStyle name="60% - Accent2 5 5 4" xfId="23233" xr:uid="{00000000-0005-0000-0000-0000806F0000}"/>
    <cellStyle name="60% - Accent2 5 6" xfId="5313" xr:uid="{00000000-0005-0000-0000-0000816F0000}"/>
    <cellStyle name="60% - Accent2 5 6 2" xfId="15553" xr:uid="{00000000-0005-0000-0000-0000826F0000}"/>
    <cellStyle name="60% - Accent2 5 6 2 2" xfId="36033" xr:uid="{00000000-0005-0000-0000-0000836F0000}"/>
    <cellStyle name="60% - Accent2 5 6 3" xfId="25793" xr:uid="{00000000-0005-0000-0000-0000846F0000}"/>
    <cellStyle name="60% - Accent2 5 7" xfId="10433" xr:uid="{00000000-0005-0000-0000-0000856F0000}"/>
    <cellStyle name="60% - Accent2 5 7 2" xfId="30913" xr:uid="{00000000-0005-0000-0000-0000866F0000}"/>
    <cellStyle name="60% - Accent2 5 8" xfId="20673" xr:uid="{00000000-0005-0000-0000-0000876F0000}"/>
    <cellStyle name="60% - Accent2 6" xfId="353" xr:uid="{00000000-0005-0000-0000-0000886F0000}"/>
    <cellStyle name="60% - Accent2 6 2" xfId="993" xr:uid="{00000000-0005-0000-0000-0000896F0000}"/>
    <cellStyle name="60% - Accent2 6 2 2" xfId="2273" xr:uid="{00000000-0005-0000-0000-00008A6F0000}"/>
    <cellStyle name="60% - Accent2 6 2 2 2" xfId="4833" xr:uid="{00000000-0005-0000-0000-00008B6F0000}"/>
    <cellStyle name="60% - Accent2 6 2 2 2 2" xfId="9953" xr:uid="{00000000-0005-0000-0000-00008C6F0000}"/>
    <cellStyle name="60% - Accent2 6 2 2 2 2 2" xfId="20193" xr:uid="{00000000-0005-0000-0000-00008D6F0000}"/>
    <cellStyle name="60% - Accent2 6 2 2 2 2 2 2" xfId="40673" xr:uid="{00000000-0005-0000-0000-00008E6F0000}"/>
    <cellStyle name="60% - Accent2 6 2 2 2 2 3" xfId="30433" xr:uid="{00000000-0005-0000-0000-00008F6F0000}"/>
    <cellStyle name="60% - Accent2 6 2 2 2 3" xfId="15073" xr:uid="{00000000-0005-0000-0000-0000906F0000}"/>
    <cellStyle name="60% - Accent2 6 2 2 2 3 2" xfId="35553" xr:uid="{00000000-0005-0000-0000-0000916F0000}"/>
    <cellStyle name="60% - Accent2 6 2 2 2 4" xfId="25313" xr:uid="{00000000-0005-0000-0000-0000926F0000}"/>
    <cellStyle name="60% - Accent2 6 2 2 3" xfId="7393" xr:uid="{00000000-0005-0000-0000-0000936F0000}"/>
    <cellStyle name="60% - Accent2 6 2 2 3 2" xfId="17633" xr:uid="{00000000-0005-0000-0000-0000946F0000}"/>
    <cellStyle name="60% - Accent2 6 2 2 3 2 2" xfId="38113" xr:uid="{00000000-0005-0000-0000-0000956F0000}"/>
    <cellStyle name="60% - Accent2 6 2 2 3 3" xfId="27873" xr:uid="{00000000-0005-0000-0000-0000966F0000}"/>
    <cellStyle name="60% - Accent2 6 2 2 4" xfId="12513" xr:uid="{00000000-0005-0000-0000-0000976F0000}"/>
    <cellStyle name="60% - Accent2 6 2 2 4 2" xfId="32993" xr:uid="{00000000-0005-0000-0000-0000986F0000}"/>
    <cellStyle name="60% - Accent2 6 2 2 5" xfId="22753" xr:uid="{00000000-0005-0000-0000-0000996F0000}"/>
    <cellStyle name="60% - Accent2 6 2 3" xfId="3553" xr:uid="{00000000-0005-0000-0000-00009A6F0000}"/>
    <cellStyle name="60% - Accent2 6 2 3 2" xfId="8673" xr:uid="{00000000-0005-0000-0000-00009B6F0000}"/>
    <cellStyle name="60% - Accent2 6 2 3 2 2" xfId="18913" xr:uid="{00000000-0005-0000-0000-00009C6F0000}"/>
    <cellStyle name="60% - Accent2 6 2 3 2 2 2" xfId="39393" xr:uid="{00000000-0005-0000-0000-00009D6F0000}"/>
    <cellStyle name="60% - Accent2 6 2 3 2 3" xfId="29153" xr:uid="{00000000-0005-0000-0000-00009E6F0000}"/>
    <cellStyle name="60% - Accent2 6 2 3 3" xfId="13793" xr:uid="{00000000-0005-0000-0000-00009F6F0000}"/>
    <cellStyle name="60% - Accent2 6 2 3 3 2" xfId="34273" xr:uid="{00000000-0005-0000-0000-0000A06F0000}"/>
    <cellStyle name="60% - Accent2 6 2 3 4" xfId="24033" xr:uid="{00000000-0005-0000-0000-0000A16F0000}"/>
    <cellStyle name="60% - Accent2 6 2 4" xfId="6113" xr:uid="{00000000-0005-0000-0000-0000A26F0000}"/>
    <cellStyle name="60% - Accent2 6 2 4 2" xfId="16353" xr:uid="{00000000-0005-0000-0000-0000A36F0000}"/>
    <cellStyle name="60% - Accent2 6 2 4 2 2" xfId="36833" xr:uid="{00000000-0005-0000-0000-0000A46F0000}"/>
    <cellStyle name="60% - Accent2 6 2 4 3" xfId="26593" xr:uid="{00000000-0005-0000-0000-0000A56F0000}"/>
    <cellStyle name="60% - Accent2 6 2 5" xfId="11233" xr:uid="{00000000-0005-0000-0000-0000A66F0000}"/>
    <cellStyle name="60% - Accent2 6 2 5 2" xfId="31713" xr:uid="{00000000-0005-0000-0000-0000A76F0000}"/>
    <cellStyle name="60% - Accent2 6 2 6" xfId="21473" xr:uid="{00000000-0005-0000-0000-0000A86F0000}"/>
    <cellStyle name="60% - Accent2 6 3" xfId="1633" xr:uid="{00000000-0005-0000-0000-0000A96F0000}"/>
    <cellStyle name="60% - Accent2 6 3 2" xfId="4193" xr:uid="{00000000-0005-0000-0000-0000AA6F0000}"/>
    <cellStyle name="60% - Accent2 6 3 2 2" xfId="9313" xr:uid="{00000000-0005-0000-0000-0000AB6F0000}"/>
    <cellStyle name="60% - Accent2 6 3 2 2 2" xfId="19553" xr:uid="{00000000-0005-0000-0000-0000AC6F0000}"/>
    <cellStyle name="60% - Accent2 6 3 2 2 2 2" xfId="40033" xr:uid="{00000000-0005-0000-0000-0000AD6F0000}"/>
    <cellStyle name="60% - Accent2 6 3 2 2 3" xfId="29793" xr:uid="{00000000-0005-0000-0000-0000AE6F0000}"/>
    <cellStyle name="60% - Accent2 6 3 2 3" xfId="14433" xr:uid="{00000000-0005-0000-0000-0000AF6F0000}"/>
    <cellStyle name="60% - Accent2 6 3 2 3 2" xfId="34913" xr:uid="{00000000-0005-0000-0000-0000B06F0000}"/>
    <cellStyle name="60% - Accent2 6 3 2 4" xfId="24673" xr:uid="{00000000-0005-0000-0000-0000B16F0000}"/>
    <cellStyle name="60% - Accent2 6 3 3" xfId="6753" xr:uid="{00000000-0005-0000-0000-0000B26F0000}"/>
    <cellStyle name="60% - Accent2 6 3 3 2" xfId="16993" xr:uid="{00000000-0005-0000-0000-0000B36F0000}"/>
    <cellStyle name="60% - Accent2 6 3 3 2 2" xfId="37473" xr:uid="{00000000-0005-0000-0000-0000B46F0000}"/>
    <cellStyle name="60% - Accent2 6 3 3 3" xfId="27233" xr:uid="{00000000-0005-0000-0000-0000B56F0000}"/>
    <cellStyle name="60% - Accent2 6 3 4" xfId="11873" xr:uid="{00000000-0005-0000-0000-0000B66F0000}"/>
    <cellStyle name="60% - Accent2 6 3 4 2" xfId="32353" xr:uid="{00000000-0005-0000-0000-0000B76F0000}"/>
    <cellStyle name="60% - Accent2 6 3 5" xfId="22113" xr:uid="{00000000-0005-0000-0000-0000B86F0000}"/>
    <cellStyle name="60% - Accent2 6 4" xfId="2913" xr:uid="{00000000-0005-0000-0000-0000B96F0000}"/>
    <cellStyle name="60% - Accent2 6 4 2" xfId="8033" xr:uid="{00000000-0005-0000-0000-0000BA6F0000}"/>
    <cellStyle name="60% - Accent2 6 4 2 2" xfId="18273" xr:uid="{00000000-0005-0000-0000-0000BB6F0000}"/>
    <cellStyle name="60% - Accent2 6 4 2 2 2" xfId="38753" xr:uid="{00000000-0005-0000-0000-0000BC6F0000}"/>
    <cellStyle name="60% - Accent2 6 4 2 3" xfId="28513" xr:uid="{00000000-0005-0000-0000-0000BD6F0000}"/>
    <cellStyle name="60% - Accent2 6 4 3" xfId="13153" xr:uid="{00000000-0005-0000-0000-0000BE6F0000}"/>
    <cellStyle name="60% - Accent2 6 4 3 2" xfId="33633" xr:uid="{00000000-0005-0000-0000-0000BF6F0000}"/>
    <cellStyle name="60% - Accent2 6 4 4" xfId="23393" xr:uid="{00000000-0005-0000-0000-0000C06F0000}"/>
    <cellStyle name="60% - Accent2 6 5" xfId="5473" xr:uid="{00000000-0005-0000-0000-0000C16F0000}"/>
    <cellStyle name="60% - Accent2 6 5 2" xfId="15713" xr:uid="{00000000-0005-0000-0000-0000C26F0000}"/>
    <cellStyle name="60% - Accent2 6 5 2 2" xfId="36193" xr:uid="{00000000-0005-0000-0000-0000C36F0000}"/>
    <cellStyle name="60% - Accent2 6 5 3" xfId="25953" xr:uid="{00000000-0005-0000-0000-0000C46F0000}"/>
    <cellStyle name="60% - Accent2 6 6" xfId="10593" xr:uid="{00000000-0005-0000-0000-0000C56F0000}"/>
    <cellStyle name="60% - Accent2 6 6 2" xfId="31073" xr:uid="{00000000-0005-0000-0000-0000C66F0000}"/>
    <cellStyle name="60% - Accent2 6 7" xfId="20833" xr:uid="{00000000-0005-0000-0000-0000C76F0000}"/>
    <cellStyle name="60% - Accent2 7" xfId="673" xr:uid="{00000000-0005-0000-0000-0000C86F0000}"/>
    <cellStyle name="60% - Accent2 7 2" xfId="1953" xr:uid="{00000000-0005-0000-0000-0000C96F0000}"/>
    <cellStyle name="60% - Accent2 7 2 2" xfId="4513" xr:uid="{00000000-0005-0000-0000-0000CA6F0000}"/>
    <cellStyle name="60% - Accent2 7 2 2 2" xfId="9633" xr:uid="{00000000-0005-0000-0000-0000CB6F0000}"/>
    <cellStyle name="60% - Accent2 7 2 2 2 2" xfId="19873" xr:uid="{00000000-0005-0000-0000-0000CC6F0000}"/>
    <cellStyle name="60% - Accent2 7 2 2 2 2 2" xfId="40353" xr:uid="{00000000-0005-0000-0000-0000CD6F0000}"/>
    <cellStyle name="60% - Accent2 7 2 2 2 3" xfId="30113" xr:uid="{00000000-0005-0000-0000-0000CE6F0000}"/>
    <cellStyle name="60% - Accent2 7 2 2 3" xfId="14753" xr:uid="{00000000-0005-0000-0000-0000CF6F0000}"/>
    <cellStyle name="60% - Accent2 7 2 2 3 2" xfId="35233" xr:uid="{00000000-0005-0000-0000-0000D06F0000}"/>
    <cellStyle name="60% - Accent2 7 2 2 4" xfId="24993" xr:uid="{00000000-0005-0000-0000-0000D16F0000}"/>
    <cellStyle name="60% - Accent2 7 2 3" xfId="7073" xr:uid="{00000000-0005-0000-0000-0000D26F0000}"/>
    <cellStyle name="60% - Accent2 7 2 3 2" xfId="17313" xr:uid="{00000000-0005-0000-0000-0000D36F0000}"/>
    <cellStyle name="60% - Accent2 7 2 3 2 2" xfId="37793" xr:uid="{00000000-0005-0000-0000-0000D46F0000}"/>
    <cellStyle name="60% - Accent2 7 2 3 3" xfId="27553" xr:uid="{00000000-0005-0000-0000-0000D56F0000}"/>
    <cellStyle name="60% - Accent2 7 2 4" xfId="12193" xr:uid="{00000000-0005-0000-0000-0000D66F0000}"/>
    <cellStyle name="60% - Accent2 7 2 4 2" xfId="32673" xr:uid="{00000000-0005-0000-0000-0000D76F0000}"/>
    <cellStyle name="60% - Accent2 7 2 5" xfId="22433" xr:uid="{00000000-0005-0000-0000-0000D86F0000}"/>
    <cellStyle name="60% - Accent2 7 3" xfId="3233" xr:uid="{00000000-0005-0000-0000-0000D96F0000}"/>
    <cellStyle name="60% - Accent2 7 3 2" xfId="8353" xr:uid="{00000000-0005-0000-0000-0000DA6F0000}"/>
    <cellStyle name="60% - Accent2 7 3 2 2" xfId="18593" xr:uid="{00000000-0005-0000-0000-0000DB6F0000}"/>
    <cellStyle name="60% - Accent2 7 3 2 2 2" xfId="39073" xr:uid="{00000000-0005-0000-0000-0000DC6F0000}"/>
    <cellStyle name="60% - Accent2 7 3 2 3" xfId="28833" xr:uid="{00000000-0005-0000-0000-0000DD6F0000}"/>
    <cellStyle name="60% - Accent2 7 3 3" xfId="13473" xr:uid="{00000000-0005-0000-0000-0000DE6F0000}"/>
    <cellStyle name="60% - Accent2 7 3 3 2" xfId="33953" xr:uid="{00000000-0005-0000-0000-0000DF6F0000}"/>
    <cellStyle name="60% - Accent2 7 3 4" xfId="23713" xr:uid="{00000000-0005-0000-0000-0000E06F0000}"/>
    <cellStyle name="60% - Accent2 7 4" xfId="5793" xr:uid="{00000000-0005-0000-0000-0000E16F0000}"/>
    <cellStyle name="60% - Accent2 7 4 2" xfId="16033" xr:uid="{00000000-0005-0000-0000-0000E26F0000}"/>
    <cellStyle name="60% - Accent2 7 4 2 2" xfId="36513" xr:uid="{00000000-0005-0000-0000-0000E36F0000}"/>
    <cellStyle name="60% - Accent2 7 4 3" xfId="26273" xr:uid="{00000000-0005-0000-0000-0000E46F0000}"/>
    <cellStyle name="60% - Accent2 7 5" xfId="10913" xr:uid="{00000000-0005-0000-0000-0000E56F0000}"/>
    <cellStyle name="60% - Accent2 7 5 2" xfId="31393" xr:uid="{00000000-0005-0000-0000-0000E66F0000}"/>
    <cellStyle name="60% - Accent2 7 6" xfId="21153" xr:uid="{00000000-0005-0000-0000-0000E76F0000}"/>
    <cellStyle name="60% - Accent2 8" xfId="1313" xr:uid="{00000000-0005-0000-0000-0000E86F0000}"/>
    <cellStyle name="60% - Accent2 8 2" xfId="3873" xr:uid="{00000000-0005-0000-0000-0000E96F0000}"/>
    <cellStyle name="60% - Accent2 8 2 2" xfId="8993" xr:uid="{00000000-0005-0000-0000-0000EA6F0000}"/>
    <cellStyle name="60% - Accent2 8 2 2 2" xfId="19233" xr:uid="{00000000-0005-0000-0000-0000EB6F0000}"/>
    <cellStyle name="60% - Accent2 8 2 2 2 2" xfId="39713" xr:uid="{00000000-0005-0000-0000-0000EC6F0000}"/>
    <cellStyle name="60% - Accent2 8 2 2 3" xfId="29473" xr:uid="{00000000-0005-0000-0000-0000ED6F0000}"/>
    <cellStyle name="60% - Accent2 8 2 3" xfId="14113" xr:uid="{00000000-0005-0000-0000-0000EE6F0000}"/>
    <cellStyle name="60% - Accent2 8 2 3 2" xfId="34593" xr:uid="{00000000-0005-0000-0000-0000EF6F0000}"/>
    <cellStyle name="60% - Accent2 8 2 4" xfId="24353" xr:uid="{00000000-0005-0000-0000-0000F06F0000}"/>
    <cellStyle name="60% - Accent2 8 3" xfId="6433" xr:uid="{00000000-0005-0000-0000-0000F16F0000}"/>
    <cellStyle name="60% - Accent2 8 3 2" xfId="16673" xr:uid="{00000000-0005-0000-0000-0000F26F0000}"/>
    <cellStyle name="60% - Accent2 8 3 2 2" xfId="37153" xr:uid="{00000000-0005-0000-0000-0000F36F0000}"/>
    <cellStyle name="60% - Accent2 8 3 3" xfId="26913" xr:uid="{00000000-0005-0000-0000-0000F46F0000}"/>
    <cellStyle name="60% - Accent2 8 4" xfId="11553" xr:uid="{00000000-0005-0000-0000-0000F56F0000}"/>
    <cellStyle name="60% - Accent2 8 4 2" xfId="32033" xr:uid="{00000000-0005-0000-0000-0000F66F0000}"/>
    <cellStyle name="60% - Accent2 8 5" xfId="21793" xr:uid="{00000000-0005-0000-0000-0000F76F0000}"/>
    <cellStyle name="60% - Accent2 9" xfId="2593" xr:uid="{00000000-0005-0000-0000-0000F86F0000}"/>
    <cellStyle name="60% - Accent2 9 2" xfId="7713" xr:uid="{00000000-0005-0000-0000-0000F96F0000}"/>
    <cellStyle name="60% - Accent2 9 2 2" xfId="17953" xr:uid="{00000000-0005-0000-0000-0000FA6F0000}"/>
    <cellStyle name="60% - Accent2 9 2 2 2" xfId="38433" xr:uid="{00000000-0005-0000-0000-0000FB6F0000}"/>
    <cellStyle name="60% - Accent2 9 2 3" xfId="28193" xr:uid="{00000000-0005-0000-0000-0000FC6F0000}"/>
    <cellStyle name="60% - Accent2 9 3" xfId="12833" xr:uid="{00000000-0005-0000-0000-0000FD6F0000}"/>
    <cellStyle name="60% - Accent2 9 3 2" xfId="33313" xr:uid="{00000000-0005-0000-0000-0000FE6F0000}"/>
    <cellStyle name="60% - Accent2 9 4" xfId="23073" xr:uid="{00000000-0005-0000-0000-0000FF6F0000}"/>
    <cellStyle name="60% - Accent3 10" xfId="5156" xr:uid="{00000000-0005-0000-0000-000000700000}"/>
    <cellStyle name="60% - Accent3 10 2" xfId="15396" xr:uid="{00000000-0005-0000-0000-000001700000}"/>
    <cellStyle name="60% - Accent3 10 2 2" xfId="35876" xr:uid="{00000000-0005-0000-0000-000002700000}"/>
    <cellStyle name="60% - Accent3 10 3" xfId="25636" xr:uid="{00000000-0005-0000-0000-000003700000}"/>
    <cellStyle name="60% - Accent3 11" xfId="10276" xr:uid="{00000000-0005-0000-0000-000004700000}"/>
    <cellStyle name="60% - Accent3 11 2" xfId="30756" xr:uid="{00000000-0005-0000-0000-000005700000}"/>
    <cellStyle name="60% - Accent3 12" xfId="20516" xr:uid="{00000000-0005-0000-0000-000006700000}"/>
    <cellStyle name="60% - Accent3 13" xfId="33" xr:uid="{00000000-0005-0000-0000-000007700000}"/>
    <cellStyle name="60% - Accent3 2" xfId="56" xr:uid="{00000000-0005-0000-0000-000008700000}"/>
    <cellStyle name="60% - Accent3 2 10" xfId="10296" xr:uid="{00000000-0005-0000-0000-000009700000}"/>
    <cellStyle name="60% - Accent3 2 10 2" xfId="30776" xr:uid="{00000000-0005-0000-0000-00000A700000}"/>
    <cellStyle name="60% - Accent3 2 11" xfId="20536" xr:uid="{00000000-0005-0000-0000-00000B700000}"/>
    <cellStyle name="60% - Accent3 2 2" xfId="96" xr:uid="{00000000-0005-0000-0000-00000C700000}"/>
    <cellStyle name="60% - Accent3 2 2 10" xfId="20576" xr:uid="{00000000-0005-0000-0000-00000D700000}"/>
    <cellStyle name="60% - Accent3 2 2 2" xfId="176" xr:uid="{00000000-0005-0000-0000-00000E700000}"/>
    <cellStyle name="60% - Accent3 2 2 2 2" xfId="336" xr:uid="{00000000-0005-0000-0000-00000F700000}"/>
    <cellStyle name="60% - Accent3 2 2 2 2 2" xfId="656" xr:uid="{00000000-0005-0000-0000-000010700000}"/>
    <cellStyle name="60% - Accent3 2 2 2 2 2 2" xfId="1296" xr:uid="{00000000-0005-0000-0000-000011700000}"/>
    <cellStyle name="60% - Accent3 2 2 2 2 2 2 2" xfId="2576" xr:uid="{00000000-0005-0000-0000-000012700000}"/>
    <cellStyle name="60% - Accent3 2 2 2 2 2 2 2 2" xfId="5136" xr:uid="{00000000-0005-0000-0000-000013700000}"/>
    <cellStyle name="60% - Accent3 2 2 2 2 2 2 2 2 2" xfId="10256" xr:uid="{00000000-0005-0000-0000-000014700000}"/>
    <cellStyle name="60% - Accent3 2 2 2 2 2 2 2 2 2 2" xfId="20496" xr:uid="{00000000-0005-0000-0000-000015700000}"/>
    <cellStyle name="60% - Accent3 2 2 2 2 2 2 2 2 2 2 2" xfId="40976" xr:uid="{00000000-0005-0000-0000-000016700000}"/>
    <cellStyle name="60% - Accent3 2 2 2 2 2 2 2 2 2 3" xfId="30736" xr:uid="{00000000-0005-0000-0000-000017700000}"/>
    <cellStyle name="60% - Accent3 2 2 2 2 2 2 2 2 3" xfId="15376" xr:uid="{00000000-0005-0000-0000-000018700000}"/>
    <cellStyle name="60% - Accent3 2 2 2 2 2 2 2 2 3 2" xfId="35856" xr:uid="{00000000-0005-0000-0000-000019700000}"/>
    <cellStyle name="60% - Accent3 2 2 2 2 2 2 2 2 4" xfId="25616" xr:uid="{00000000-0005-0000-0000-00001A700000}"/>
    <cellStyle name="60% - Accent3 2 2 2 2 2 2 2 3" xfId="7696" xr:uid="{00000000-0005-0000-0000-00001B700000}"/>
    <cellStyle name="60% - Accent3 2 2 2 2 2 2 2 3 2" xfId="17936" xr:uid="{00000000-0005-0000-0000-00001C700000}"/>
    <cellStyle name="60% - Accent3 2 2 2 2 2 2 2 3 2 2" xfId="38416" xr:uid="{00000000-0005-0000-0000-00001D700000}"/>
    <cellStyle name="60% - Accent3 2 2 2 2 2 2 2 3 3" xfId="28176" xr:uid="{00000000-0005-0000-0000-00001E700000}"/>
    <cellStyle name="60% - Accent3 2 2 2 2 2 2 2 4" xfId="12816" xr:uid="{00000000-0005-0000-0000-00001F700000}"/>
    <cellStyle name="60% - Accent3 2 2 2 2 2 2 2 4 2" xfId="33296" xr:uid="{00000000-0005-0000-0000-000020700000}"/>
    <cellStyle name="60% - Accent3 2 2 2 2 2 2 2 5" xfId="23056" xr:uid="{00000000-0005-0000-0000-000021700000}"/>
    <cellStyle name="60% - Accent3 2 2 2 2 2 2 3" xfId="3856" xr:uid="{00000000-0005-0000-0000-000022700000}"/>
    <cellStyle name="60% - Accent3 2 2 2 2 2 2 3 2" xfId="8976" xr:uid="{00000000-0005-0000-0000-000023700000}"/>
    <cellStyle name="60% - Accent3 2 2 2 2 2 2 3 2 2" xfId="19216" xr:uid="{00000000-0005-0000-0000-000024700000}"/>
    <cellStyle name="60% - Accent3 2 2 2 2 2 2 3 2 2 2" xfId="39696" xr:uid="{00000000-0005-0000-0000-000025700000}"/>
    <cellStyle name="60% - Accent3 2 2 2 2 2 2 3 2 3" xfId="29456" xr:uid="{00000000-0005-0000-0000-000026700000}"/>
    <cellStyle name="60% - Accent3 2 2 2 2 2 2 3 3" xfId="14096" xr:uid="{00000000-0005-0000-0000-000027700000}"/>
    <cellStyle name="60% - Accent3 2 2 2 2 2 2 3 3 2" xfId="34576" xr:uid="{00000000-0005-0000-0000-000028700000}"/>
    <cellStyle name="60% - Accent3 2 2 2 2 2 2 3 4" xfId="24336" xr:uid="{00000000-0005-0000-0000-000029700000}"/>
    <cellStyle name="60% - Accent3 2 2 2 2 2 2 4" xfId="6416" xr:uid="{00000000-0005-0000-0000-00002A700000}"/>
    <cellStyle name="60% - Accent3 2 2 2 2 2 2 4 2" xfId="16656" xr:uid="{00000000-0005-0000-0000-00002B700000}"/>
    <cellStyle name="60% - Accent3 2 2 2 2 2 2 4 2 2" xfId="37136" xr:uid="{00000000-0005-0000-0000-00002C700000}"/>
    <cellStyle name="60% - Accent3 2 2 2 2 2 2 4 3" xfId="26896" xr:uid="{00000000-0005-0000-0000-00002D700000}"/>
    <cellStyle name="60% - Accent3 2 2 2 2 2 2 5" xfId="11536" xr:uid="{00000000-0005-0000-0000-00002E700000}"/>
    <cellStyle name="60% - Accent3 2 2 2 2 2 2 5 2" xfId="32016" xr:uid="{00000000-0005-0000-0000-00002F700000}"/>
    <cellStyle name="60% - Accent3 2 2 2 2 2 2 6" xfId="21776" xr:uid="{00000000-0005-0000-0000-000030700000}"/>
    <cellStyle name="60% - Accent3 2 2 2 2 2 3" xfId="1936" xr:uid="{00000000-0005-0000-0000-000031700000}"/>
    <cellStyle name="60% - Accent3 2 2 2 2 2 3 2" xfId="4496" xr:uid="{00000000-0005-0000-0000-000032700000}"/>
    <cellStyle name="60% - Accent3 2 2 2 2 2 3 2 2" xfId="9616" xr:uid="{00000000-0005-0000-0000-000033700000}"/>
    <cellStyle name="60% - Accent3 2 2 2 2 2 3 2 2 2" xfId="19856" xr:uid="{00000000-0005-0000-0000-000034700000}"/>
    <cellStyle name="60% - Accent3 2 2 2 2 2 3 2 2 2 2" xfId="40336" xr:uid="{00000000-0005-0000-0000-000035700000}"/>
    <cellStyle name="60% - Accent3 2 2 2 2 2 3 2 2 3" xfId="30096" xr:uid="{00000000-0005-0000-0000-000036700000}"/>
    <cellStyle name="60% - Accent3 2 2 2 2 2 3 2 3" xfId="14736" xr:uid="{00000000-0005-0000-0000-000037700000}"/>
    <cellStyle name="60% - Accent3 2 2 2 2 2 3 2 3 2" xfId="35216" xr:uid="{00000000-0005-0000-0000-000038700000}"/>
    <cellStyle name="60% - Accent3 2 2 2 2 2 3 2 4" xfId="24976" xr:uid="{00000000-0005-0000-0000-000039700000}"/>
    <cellStyle name="60% - Accent3 2 2 2 2 2 3 3" xfId="7056" xr:uid="{00000000-0005-0000-0000-00003A700000}"/>
    <cellStyle name="60% - Accent3 2 2 2 2 2 3 3 2" xfId="17296" xr:uid="{00000000-0005-0000-0000-00003B700000}"/>
    <cellStyle name="60% - Accent3 2 2 2 2 2 3 3 2 2" xfId="37776" xr:uid="{00000000-0005-0000-0000-00003C700000}"/>
    <cellStyle name="60% - Accent3 2 2 2 2 2 3 3 3" xfId="27536" xr:uid="{00000000-0005-0000-0000-00003D700000}"/>
    <cellStyle name="60% - Accent3 2 2 2 2 2 3 4" xfId="12176" xr:uid="{00000000-0005-0000-0000-00003E700000}"/>
    <cellStyle name="60% - Accent3 2 2 2 2 2 3 4 2" xfId="32656" xr:uid="{00000000-0005-0000-0000-00003F700000}"/>
    <cellStyle name="60% - Accent3 2 2 2 2 2 3 5" xfId="22416" xr:uid="{00000000-0005-0000-0000-000040700000}"/>
    <cellStyle name="60% - Accent3 2 2 2 2 2 4" xfId="3216" xr:uid="{00000000-0005-0000-0000-000041700000}"/>
    <cellStyle name="60% - Accent3 2 2 2 2 2 4 2" xfId="8336" xr:uid="{00000000-0005-0000-0000-000042700000}"/>
    <cellStyle name="60% - Accent3 2 2 2 2 2 4 2 2" xfId="18576" xr:uid="{00000000-0005-0000-0000-000043700000}"/>
    <cellStyle name="60% - Accent3 2 2 2 2 2 4 2 2 2" xfId="39056" xr:uid="{00000000-0005-0000-0000-000044700000}"/>
    <cellStyle name="60% - Accent3 2 2 2 2 2 4 2 3" xfId="28816" xr:uid="{00000000-0005-0000-0000-000045700000}"/>
    <cellStyle name="60% - Accent3 2 2 2 2 2 4 3" xfId="13456" xr:uid="{00000000-0005-0000-0000-000046700000}"/>
    <cellStyle name="60% - Accent3 2 2 2 2 2 4 3 2" xfId="33936" xr:uid="{00000000-0005-0000-0000-000047700000}"/>
    <cellStyle name="60% - Accent3 2 2 2 2 2 4 4" xfId="23696" xr:uid="{00000000-0005-0000-0000-000048700000}"/>
    <cellStyle name="60% - Accent3 2 2 2 2 2 5" xfId="5776" xr:uid="{00000000-0005-0000-0000-000049700000}"/>
    <cellStyle name="60% - Accent3 2 2 2 2 2 5 2" xfId="16016" xr:uid="{00000000-0005-0000-0000-00004A700000}"/>
    <cellStyle name="60% - Accent3 2 2 2 2 2 5 2 2" xfId="36496" xr:uid="{00000000-0005-0000-0000-00004B700000}"/>
    <cellStyle name="60% - Accent3 2 2 2 2 2 5 3" xfId="26256" xr:uid="{00000000-0005-0000-0000-00004C700000}"/>
    <cellStyle name="60% - Accent3 2 2 2 2 2 6" xfId="10896" xr:uid="{00000000-0005-0000-0000-00004D700000}"/>
    <cellStyle name="60% - Accent3 2 2 2 2 2 6 2" xfId="31376" xr:uid="{00000000-0005-0000-0000-00004E700000}"/>
    <cellStyle name="60% - Accent3 2 2 2 2 2 7" xfId="21136" xr:uid="{00000000-0005-0000-0000-00004F700000}"/>
    <cellStyle name="60% - Accent3 2 2 2 2 3" xfId="976" xr:uid="{00000000-0005-0000-0000-000050700000}"/>
    <cellStyle name="60% - Accent3 2 2 2 2 3 2" xfId="2256" xr:uid="{00000000-0005-0000-0000-000051700000}"/>
    <cellStyle name="60% - Accent3 2 2 2 2 3 2 2" xfId="4816" xr:uid="{00000000-0005-0000-0000-000052700000}"/>
    <cellStyle name="60% - Accent3 2 2 2 2 3 2 2 2" xfId="9936" xr:uid="{00000000-0005-0000-0000-000053700000}"/>
    <cellStyle name="60% - Accent3 2 2 2 2 3 2 2 2 2" xfId="20176" xr:uid="{00000000-0005-0000-0000-000054700000}"/>
    <cellStyle name="60% - Accent3 2 2 2 2 3 2 2 2 2 2" xfId="40656" xr:uid="{00000000-0005-0000-0000-000055700000}"/>
    <cellStyle name="60% - Accent3 2 2 2 2 3 2 2 2 3" xfId="30416" xr:uid="{00000000-0005-0000-0000-000056700000}"/>
    <cellStyle name="60% - Accent3 2 2 2 2 3 2 2 3" xfId="15056" xr:uid="{00000000-0005-0000-0000-000057700000}"/>
    <cellStyle name="60% - Accent3 2 2 2 2 3 2 2 3 2" xfId="35536" xr:uid="{00000000-0005-0000-0000-000058700000}"/>
    <cellStyle name="60% - Accent3 2 2 2 2 3 2 2 4" xfId="25296" xr:uid="{00000000-0005-0000-0000-000059700000}"/>
    <cellStyle name="60% - Accent3 2 2 2 2 3 2 3" xfId="7376" xr:uid="{00000000-0005-0000-0000-00005A700000}"/>
    <cellStyle name="60% - Accent3 2 2 2 2 3 2 3 2" xfId="17616" xr:uid="{00000000-0005-0000-0000-00005B700000}"/>
    <cellStyle name="60% - Accent3 2 2 2 2 3 2 3 2 2" xfId="38096" xr:uid="{00000000-0005-0000-0000-00005C700000}"/>
    <cellStyle name="60% - Accent3 2 2 2 2 3 2 3 3" xfId="27856" xr:uid="{00000000-0005-0000-0000-00005D700000}"/>
    <cellStyle name="60% - Accent3 2 2 2 2 3 2 4" xfId="12496" xr:uid="{00000000-0005-0000-0000-00005E700000}"/>
    <cellStyle name="60% - Accent3 2 2 2 2 3 2 4 2" xfId="32976" xr:uid="{00000000-0005-0000-0000-00005F700000}"/>
    <cellStyle name="60% - Accent3 2 2 2 2 3 2 5" xfId="22736" xr:uid="{00000000-0005-0000-0000-000060700000}"/>
    <cellStyle name="60% - Accent3 2 2 2 2 3 3" xfId="3536" xr:uid="{00000000-0005-0000-0000-000061700000}"/>
    <cellStyle name="60% - Accent3 2 2 2 2 3 3 2" xfId="8656" xr:uid="{00000000-0005-0000-0000-000062700000}"/>
    <cellStyle name="60% - Accent3 2 2 2 2 3 3 2 2" xfId="18896" xr:uid="{00000000-0005-0000-0000-000063700000}"/>
    <cellStyle name="60% - Accent3 2 2 2 2 3 3 2 2 2" xfId="39376" xr:uid="{00000000-0005-0000-0000-000064700000}"/>
    <cellStyle name="60% - Accent3 2 2 2 2 3 3 2 3" xfId="29136" xr:uid="{00000000-0005-0000-0000-000065700000}"/>
    <cellStyle name="60% - Accent3 2 2 2 2 3 3 3" xfId="13776" xr:uid="{00000000-0005-0000-0000-000066700000}"/>
    <cellStyle name="60% - Accent3 2 2 2 2 3 3 3 2" xfId="34256" xr:uid="{00000000-0005-0000-0000-000067700000}"/>
    <cellStyle name="60% - Accent3 2 2 2 2 3 3 4" xfId="24016" xr:uid="{00000000-0005-0000-0000-000068700000}"/>
    <cellStyle name="60% - Accent3 2 2 2 2 3 4" xfId="6096" xr:uid="{00000000-0005-0000-0000-000069700000}"/>
    <cellStyle name="60% - Accent3 2 2 2 2 3 4 2" xfId="16336" xr:uid="{00000000-0005-0000-0000-00006A700000}"/>
    <cellStyle name="60% - Accent3 2 2 2 2 3 4 2 2" xfId="36816" xr:uid="{00000000-0005-0000-0000-00006B700000}"/>
    <cellStyle name="60% - Accent3 2 2 2 2 3 4 3" xfId="26576" xr:uid="{00000000-0005-0000-0000-00006C700000}"/>
    <cellStyle name="60% - Accent3 2 2 2 2 3 5" xfId="11216" xr:uid="{00000000-0005-0000-0000-00006D700000}"/>
    <cellStyle name="60% - Accent3 2 2 2 2 3 5 2" xfId="31696" xr:uid="{00000000-0005-0000-0000-00006E700000}"/>
    <cellStyle name="60% - Accent3 2 2 2 2 3 6" xfId="21456" xr:uid="{00000000-0005-0000-0000-00006F700000}"/>
    <cellStyle name="60% - Accent3 2 2 2 2 4" xfId="1616" xr:uid="{00000000-0005-0000-0000-000070700000}"/>
    <cellStyle name="60% - Accent3 2 2 2 2 4 2" xfId="4176" xr:uid="{00000000-0005-0000-0000-000071700000}"/>
    <cellStyle name="60% - Accent3 2 2 2 2 4 2 2" xfId="9296" xr:uid="{00000000-0005-0000-0000-000072700000}"/>
    <cellStyle name="60% - Accent3 2 2 2 2 4 2 2 2" xfId="19536" xr:uid="{00000000-0005-0000-0000-000073700000}"/>
    <cellStyle name="60% - Accent3 2 2 2 2 4 2 2 2 2" xfId="40016" xr:uid="{00000000-0005-0000-0000-000074700000}"/>
    <cellStyle name="60% - Accent3 2 2 2 2 4 2 2 3" xfId="29776" xr:uid="{00000000-0005-0000-0000-000075700000}"/>
    <cellStyle name="60% - Accent3 2 2 2 2 4 2 3" xfId="14416" xr:uid="{00000000-0005-0000-0000-000076700000}"/>
    <cellStyle name="60% - Accent3 2 2 2 2 4 2 3 2" xfId="34896" xr:uid="{00000000-0005-0000-0000-000077700000}"/>
    <cellStyle name="60% - Accent3 2 2 2 2 4 2 4" xfId="24656" xr:uid="{00000000-0005-0000-0000-000078700000}"/>
    <cellStyle name="60% - Accent3 2 2 2 2 4 3" xfId="6736" xr:uid="{00000000-0005-0000-0000-000079700000}"/>
    <cellStyle name="60% - Accent3 2 2 2 2 4 3 2" xfId="16976" xr:uid="{00000000-0005-0000-0000-00007A700000}"/>
    <cellStyle name="60% - Accent3 2 2 2 2 4 3 2 2" xfId="37456" xr:uid="{00000000-0005-0000-0000-00007B700000}"/>
    <cellStyle name="60% - Accent3 2 2 2 2 4 3 3" xfId="27216" xr:uid="{00000000-0005-0000-0000-00007C700000}"/>
    <cellStyle name="60% - Accent3 2 2 2 2 4 4" xfId="11856" xr:uid="{00000000-0005-0000-0000-00007D700000}"/>
    <cellStyle name="60% - Accent3 2 2 2 2 4 4 2" xfId="32336" xr:uid="{00000000-0005-0000-0000-00007E700000}"/>
    <cellStyle name="60% - Accent3 2 2 2 2 4 5" xfId="22096" xr:uid="{00000000-0005-0000-0000-00007F700000}"/>
    <cellStyle name="60% - Accent3 2 2 2 2 5" xfId="2896" xr:uid="{00000000-0005-0000-0000-000080700000}"/>
    <cellStyle name="60% - Accent3 2 2 2 2 5 2" xfId="8016" xr:uid="{00000000-0005-0000-0000-000081700000}"/>
    <cellStyle name="60% - Accent3 2 2 2 2 5 2 2" xfId="18256" xr:uid="{00000000-0005-0000-0000-000082700000}"/>
    <cellStyle name="60% - Accent3 2 2 2 2 5 2 2 2" xfId="38736" xr:uid="{00000000-0005-0000-0000-000083700000}"/>
    <cellStyle name="60% - Accent3 2 2 2 2 5 2 3" xfId="28496" xr:uid="{00000000-0005-0000-0000-000084700000}"/>
    <cellStyle name="60% - Accent3 2 2 2 2 5 3" xfId="13136" xr:uid="{00000000-0005-0000-0000-000085700000}"/>
    <cellStyle name="60% - Accent3 2 2 2 2 5 3 2" xfId="33616" xr:uid="{00000000-0005-0000-0000-000086700000}"/>
    <cellStyle name="60% - Accent3 2 2 2 2 5 4" xfId="23376" xr:uid="{00000000-0005-0000-0000-000087700000}"/>
    <cellStyle name="60% - Accent3 2 2 2 2 6" xfId="5456" xr:uid="{00000000-0005-0000-0000-000088700000}"/>
    <cellStyle name="60% - Accent3 2 2 2 2 6 2" xfId="15696" xr:uid="{00000000-0005-0000-0000-000089700000}"/>
    <cellStyle name="60% - Accent3 2 2 2 2 6 2 2" xfId="36176" xr:uid="{00000000-0005-0000-0000-00008A700000}"/>
    <cellStyle name="60% - Accent3 2 2 2 2 6 3" xfId="25936" xr:uid="{00000000-0005-0000-0000-00008B700000}"/>
    <cellStyle name="60% - Accent3 2 2 2 2 7" xfId="10576" xr:uid="{00000000-0005-0000-0000-00008C700000}"/>
    <cellStyle name="60% - Accent3 2 2 2 2 7 2" xfId="31056" xr:uid="{00000000-0005-0000-0000-00008D700000}"/>
    <cellStyle name="60% - Accent3 2 2 2 2 8" xfId="20816" xr:uid="{00000000-0005-0000-0000-00008E700000}"/>
    <cellStyle name="60% - Accent3 2 2 2 3" xfId="496" xr:uid="{00000000-0005-0000-0000-00008F700000}"/>
    <cellStyle name="60% - Accent3 2 2 2 3 2" xfId="1136" xr:uid="{00000000-0005-0000-0000-000090700000}"/>
    <cellStyle name="60% - Accent3 2 2 2 3 2 2" xfId="2416" xr:uid="{00000000-0005-0000-0000-000091700000}"/>
    <cellStyle name="60% - Accent3 2 2 2 3 2 2 2" xfId="4976" xr:uid="{00000000-0005-0000-0000-000092700000}"/>
    <cellStyle name="60% - Accent3 2 2 2 3 2 2 2 2" xfId="10096" xr:uid="{00000000-0005-0000-0000-000093700000}"/>
    <cellStyle name="60% - Accent3 2 2 2 3 2 2 2 2 2" xfId="20336" xr:uid="{00000000-0005-0000-0000-000094700000}"/>
    <cellStyle name="60% - Accent3 2 2 2 3 2 2 2 2 2 2" xfId="40816" xr:uid="{00000000-0005-0000-0000-000095700000}"/>
    <cellStyle name="60% - Accent3 2 2 2 3 2 2 2 2 3" xfId="30576" xr:uid="{00000000-0005-0000-0000-000096700000}"/>
    <cellStyle name="60% - Accent3 2 2 2 3 2 2 2 3" xfId="15216" xr:uid="{00000000-0005-0000-0000-000097700000}"/>
    <cellStyle name="60% - Accent3 2 2 2 3 2 2 2 3 2" xfId="35696" xr:uid="{00000000-0005-0000-0000-000098700000}"/>
    <cellStyle name="60% - Accent3 2 2 2 3 2 2 2 4" xfId="25456" xr:uid="{00000000-0005-0000-0000-000099700000}"/>
    <cellStyle name="60% - Accent3 2 2 2 3 2 2 3" xfId="7536" xr:uid="{00000000-0005-0000-0000-00009A700000}"/>
    <cellStyle name="60% - Accent3 2 2 2 3 2 2 3 2" xfId="17776" xr:uid="{00000000-0005-0000-0000-00009B700000}"/>
    <cellStyle name="60% - Accent3 2 2 2 3 2 2 3 2 2" xfId="38256" xr:uid="{00000000-0005-0000-0000-00009C700000}"/>
    <cellStyle name="60% - Accent3 2 2 2 3 2 2 3 3" xfId="28016" xr:uid="{00000000-0005-0000-0000-00009D700000}"/>
    <cellStyle name="60% - Accent3 2 2 2 3 2 2 4" xfId="12656" xr:uid="{00000000-0005-0000-0000-00009E700000}"/>
    <cellStyle name="60% - Accent3 2 2 2 3 2 2 4 2" xfId="33136" xr:uid="{00000000-0005-0000-0000-00009F700000}"/>
    <cellStyle name="60% - Accent3 2 2 2 3 2 2 5" xfId="22896" xr:uid="{00000000-0005-0000-0000-0000A0700000}"/>
    <cellStyle name="60% - Accent3 2 2 2 3 2 3" xfId="3696" xr:uid="{00000000-0005-0000-0000-0000A1700000}"/>
    <cellStyle name="60% - Accent3 2 2 2 3 2 3 2" xfId="8816" xr:uid="{00000000-0005-0000-0000-0000A2700000}"/>
    <cellStyle name="60% - Accent3 2 2 2 3 2 3 2 2" xfId="19056" xr:uid="{00000000-0005-0000-0000-0000A3700000}"/>
    <cellStyle name="60% - Accent3 2 2 2 3 2 3 2 2 2" xfId="39536" xr:uid="{00000000-0005-0000-0000-0000A4700000}"/>
    <cellStyle name="60% - Accent3 2 2 2 3 2 3 2 3" xfId="29296" xr:uid="{00000000-0005-0000-0000-0000A5700000}"/>
    <cellStyle name="60% - Accent3 2 2 2 3 2 3 3" xfId="13936" xr:uid="{00000000-0005-0000-0000-0000A6700000}"/>
    <cellStyle name="60% - Accent3 2 2 2 3 2 3 3 2" xfId="34416" xr:uid="{00000000-0005-0000-0000-0000A7700000}"/>
    <cellStyle name="60% - Accent3 2 2 2 3 2 3 4" xfId="24176" xr:uid="{00000000-0005-0000-0000-0000A8700000}"/>
    <cellStyle name="60% - Accent3 2 2 2 3 2 4" xfId="6256" xr:uid="{00000000-0005-0000-0000-0000A9700000}"/>
    <cellStyle name="60% - Accent3 2 2 2 3 2 4 2" xfId="16496" xr:uid="{00000000-0005-0000-0000-0000AA700000}"/>
    <cellStyle name="60% - Accent3 2 2 2 3 2 4 2 2" xfId="36976" xr:uid="{00000000-0005-0000-0000-0000AB700000}"/>
    <cellStyle name="60% - Accent3 2 2 2 3 2 4 3" xfId="26736" xr:uid="{00000000-0005-0000-0000-0000AC700000}"/>
    <cellStyle name="60% - Accent3 2 2 2 3 2 5" xfId="11376" xr:uid="{00000000-0005-0000-0000-0000AD700000}"/>
    <cellStyle name="60% - Accent3 2 2 2 3 2 5 2" xfId="31856" xr:uid="{00000000-0005-0000-0000-0000AE700000}"/>
    <cellStyle name="60% - Accent3 2 2 2 3 2 6" xfId="21616" xr:uid="{00000000-0005-0000-0000-0000AF700000}"/>
    <cellStyle name="60% - Accent3 2 2 2 3 3" xfId="1776" xr:uid="{00000000-0005-0000-0000-0000B0700000}"/>
    <cellStyle name="60% - Accent3 2 2 2 3 3 2" xfId="4336" xr:uid="{00000000-0005-0000-0000-0000B1700000}"/>
    <cellStyle name="60% - Accent3 2 2 2 3 3 2 2" xfId="9456" xr:uid="{00000000-0005-0000-0000-0000B2700000}"/>
    <cellStyle name="60% - Accent3 2 2 2 3 3 2 2 2" xfId="19696" xr:uid="{00000000-0005-0000-0000-0000B3700000}"/>
    <cellStyle name="60% - Accent3 2 2 2 3 3 2 2 2 2" xfId="40176" xr:uid="{00000000-0005-0000-0000-0000B4700000}"/>
    <cellStyle name="60% - Accent3 2 2 2 3 3 2 2 3" xfId="29936" xr:uid="{00000000-0005-0000-0000-0000B5700000}"/>
    <cellStyle name="60% - Accent3 2 2 2 3 3 2 3" xfId="14576" xr:uid="{00000000-0005-0000-0000-0000B6700000}"/>
    <cellStyle name="60% - Accent3 2 2 2 3 3 2 3 2" xfId="35056" xr:uid="{00000000-0005-0000-0000-0000B7700000}"/>
    <cellStyle name="60% - Accent3 2 2 2 3 3 2 4" xfId="24816" xr:uid="{00000000-0005-0000-0000-0000B8700000}"/>
    <cellStyle name="60% - Accent3 2 2 2 3 3 3" xfId="6896" xr:uid="{00000000-0005-0000-0000-0000B9700000}"/>
    <cellStyle name="60% - Accent3 2 2 2 3 3 3 2" xfId="17136" xr:uid="{00000000-0005-0000-0000-0000BA700000}"/>
    <cellStyle name="60% - Accent3 2 2 2 3 3 3 2 2" xfId="37616" xr:uid="{00000000-0005-0000-0000-0000BB700000}"/>
    <cellStyle name="60% - Accent3 2 2 2 3 3 3 3" xfId="27376" xr:uid="{00000000-0005-0000-0000-0000BC700000}"/>
    <cellStyle name="60% - Accent3 2 2 2 3 3 4" xfId="12016" xr:uid="{00000000-0005-0000-0000-0000BD700000}"/>
    <cellStyle name="60% - Accent3 2 2 2 3 3 4 2" xfId="32496" xr:uid="{00000000-0005-0000-0000-0000BE700000}"/>
    <cellStyle name="60% - Accent3 2 2 2 3 3 5" xfId="22256" xr:uid="{00000000-0005-0000-0000-0000BF700000}"/>
    <cellStyle name="60% - Accent3 2 2 2 3 4" xfId="3056" xr:uid="{00000000-0005-0000-0000-0000C0700000}"/>
    <cellStyle name="60% - Accent3 2 2 2 3 4 2" xfId="8176" xr:uid="{00000000-0005-0000-0000-0000C1700000}"/>
    <cellStyle name="60% - Accent3 2 2 2 3 4 2 2" xfId="18416" xr:uid="{00000000-0005-0000-0000-0000C2700000}"/>
    <cellStyle name="60% - Accent3 2 2 2 3 4 2 2 2" xfId="38896" xr:uid="{00000000-0005-0000-0000-0000C3700000}"/>
    <cellStyle name="60% - Accent3 2 2 2 3 4 2 3" xfId="28656" xr:uid="{00000000-0005-0000-0000-0000C4700000}"/>
    <cellStyle name="60% - Accent3 2 2 2 3 4 3" xfId="13296" xr:uid="{00000000-0005-0000-0000-0000C5700000}"/>
    <cellStyle name="60% - Accent3 2 2 2 3 4 3 2" xfId="33776" xr:uid="{00000000-0005-0000-0000-0000C6700000}"/>
    <cellStyle name="60% - Accent3 2 2 2 3 4 4" xfId="23536" xr:uid="{00000000-0005-0000-0000-0000C7700000}"/>
    <cellStyle name="60% - Accent3 2 2 2 3 5" xfId="5616" xr:uid="{00000000-0005-0000-0000-0000C8700000}"/>
    <cellStyle name="60% - Accent3 2 2 2 3 5 2" xfId="15856" xr:uid="{00000000-0005-0000-0000-0000C9700000}"/>
    <cellStyle name="60% - Accent3 2 2 2 3 5 2 2" xfId="36336" xr:uid="{00000000-0005-0000-0000-0000CA700000}"/>
    <cellStyle name="60% - Accent3 2 2 2 3 5 3" xfId="26096" xr:uid="{00000000-0005-0000-0000-0000CB700000}"/>
    <cellStyle name="60% - Accent3 2 2 2 3 6" xfId="10736" xr:uid="{00000000-0005-0000-0000-0000CC700000}"/>
    <cellStyle name="60% - Accent3 2 2 2 3 6 2" xfId="31216" xr:uid="{00000000-0005-0000-0000-0000CD700000}"/>
    <cellStyle name="60% - Accent3 2 2 2 3 7" xfId="20976" xr:uid="{00000000-0005-0000-0000-0000CE700000}"/>
    <cellStyle name="60% - Accent3 2 2 2 4" xfId="816" xr:uid="{00000000-0005-0000-0000-0000CF700000}"/>
    <cellStyle name="60% - Accent3 2 2 2 4 2" xfId="2096" xr:uid="{00000000-0005-0000-0000-0000D0700000}"/>
    <cellStyle name="60% - Accent3 2 2 2 4 2 2" xfId="4656" xr:uid="{00000000-0005-0000-0000-0000D1700000}"/>
    <cellStyle name="60% - Accent3 2 2 2 4 2 2 2" xfId="9776" xr:uid="{00000000-0005-0000-0000-0000D2700000}"/>
    <cellStyle name="60% - Accent3 2 2 2 4 2 2 2 2" xfId="20016" xr:uid="{00000000-0005-0000-0000-0000D3700000}"/>
    <cellStyle name="60% - Accent3 2 2 2 4 2 2 2 2 2" xfId="40496" xr:uid="{00000000-0005-0000-0000-0000D4700000}"/>
    <cellStyle name="60% - Accent3 2 2 2 4 2 2 2 3" xfId="30256" xr:uid="{00000000-0005-0000-0000-0000D5700000}"/>
    <cellStyle name="60% - Accent3 2 2 2 4 2 2 3" xfId="14896" xr:uid="{00000000-0005-0000-0000-0000D6700000}"/>
    <cellStyle name="60% - Accent3 2 2 2 4 2 2 3 2" xfId="35376" xr:uid="{00000000-0005-0000-0000-0000D7700000}"/>
    <cellStyle name="60% - Accent3 2 2 2 4 2 2 4" xfId="25136" xr:uid="{00000000-0005-0000-0000-0000D8700000}"/>
    <cellStyle name="60% - Accent3 2 2 2 4 2 3" xfId="7216" xr:uid="{00000000-0005-0000-0000-0000D9700000}"/>
    <cellStyle name="60% - Accent3 2 2 2 4 2 3 2" xfId="17456" xr:uid="{00000000-0005-0000-0000-0000DA700000}"/>
    <cellStyle name="60% - Accent3 2 2 2 4 2 3 2 2" xfId="37936" xr:uid="{00000000-0005-0000-0000-0000DB700000}"/>
    <cellStyle name="60% - Accent3 2 2 2 4 2 3 3" xfId="27696" xr:uid="{00000000-0005-0000-0000-0000DC700000}"/>
    <cellStyle name="60% - Accent3 2 2 2 4 2 4" xfId="12336" xr:uid="{00000000-0005-0000-0000-0000DD700000}"/>
    <cellStyle name="60% - Accent3 2 2 2 4 2 4 2" xfId="32816" xr:uid="{00000000-0005-0000-0000-0000DE700000}"/>
    <cellStyle name="60% - Accent3 2 2 2 4 2 5" xfId="22576" xr:uid="{00000000-0005-0000-0000-0000DF700000}"/>
    <cellStyle name="60% - Accent3 2 2 2 4 3" xfId="3376" xr:uid="{00000000-0005-0000-0000-0000E0700000}"/>
    <cellStyle name="60% - Accent3 2 2 2 4 3 2" xfId="8496" xr:uid="{00000000-0005-0000-0000-0000E1700000}"/>
    <cellStyle name="60% - Accent3 2 2 2 4 3 2 2" xfId="18736" xr:uid="{00000000-0005-0000-0000-0000E2700000}"/>
    <cellStyle name="60% - Accent3 2 2 2 4 3 2 2 2" xfId="39216" xr:uid="{00000000-0005-0000-0000-0000E3700000}"/>
    <cellStyle name="60% - Accent3 2 2 2 4 3 2 3" xfId="28976" xr:uid="{00000000-0005-0000-0000-0000E4700000}"/>
    <cellStyle name="60% - Accent3 2 2 2 4 3 3" xfId="13616" xr:uid="{00000000-0005-0000-0000-0000E5700000}"/>
    <cellStyle name="60% - Accent3 2 2 2 4 3 3 2" xfId="34096" xr:uid="{00000000-0005-0000-0000-0000E6700000}"/>
    <cellStyle name="60% - Accent3 2 2 2 4 3 4" xfId="23856" xr:uid="{00000000-0005-0000-0000-0000E7700000}"/>
    <cellStyle name="60% - Accent3 2 2 2 4 4" xfId="5936" xr:uid="{00000000-0005-0000-0000-0000E8700000}"/>
    <cellStyle name="60% - Accent3 2 2 2 4 4 2" xfId="16176" xr:uid="{00000000-0005-0000-0000-0000E9700000}"/>
    <cellStyle name="60% - Accent3 2 2 2 4 4 2 2" xfId="36656" xr:uid="{00000000-0005-0000-0000-0000EA700000}"/>
    <cellStyle name="60% - Accent3 2 2 2 4 4 3" xfId="26416" xr:uid="{00000000-0005-0000-0000-0000EB700000}"/>
    <cellStyle name="60% - Accent3 2 2 2 4 5" xfId="11056" xr:uid="{00000000-0005-0000-0000-0000EC700000}"/>
    <cellStyle name="60% - Accent3 2 2 2 4 5 2" xfId="31536" xr:uid="{00000000-0005-0000-0000-0000ED700000}"/>
    <cellStyle name="60% - Accent3 2 2 2 4 6" xfId="21296" xr:uid="{00000000-0005-0000-0000-0000EE700000}"/>
    <cellStyle name="60% - Accent3 2 2 2 5" xfId="1456" xr:uid="{00000000-0005-0000-0000-0000EF700000}"/>
    <cellStyle name="60% - Accent3 2 2 2 5 2" xfId="4016" xr:uid="{00000000-0005-0000-0000-0000F0700000}"/>
    <cellStyle name="60% - Accent3 2 2 2 5 2 2" xfId="9136" xr:uid="{00000000-0005-0000-0000-0000F1700000}"/>
    <cellStyle name="60% - Accent3 2 2 2 5 2 2 2" xfId="19376" xr:uid="{00000000-0005-0000-0000-0000F2700000}"/>
    <cellStyle name="60% - Accent3 2 2 2 5 2 2 2 2" xfId="39856" xr:uid="{00000000-0005-0000-0000-0000F3700000}"/>
    <cellStyle name="60% - Accent3 2 2 2 5 2 2 3" xfId="29616" xr:uid="{00000000-0005-0000-0000-0000F4700000}"/>
    <cellStyle name="60% - Accent3 2 2 2 5 2 3" xfId="14256" xr:uid="{00000000-0005-0000-0000-0000F5700000}"/>
    <cellStyle name="60% - Accent3 2 2 2 5 2 3 2" xfId="34736" xr:uid="{00000000-0005-0000-0000-0000F6700000}"/>
    <cellStyle name="60% - Accent3 2 2 2 5 2 4" xfId="24496" xr:uid="{00000000-0005-0000-0000-0000F7700000}"/>
    <cellStyle name="60% - Accent3 2 2 2 5 3" xfId="6576" xr:uid="{00000000-0005-0000-0000-0000F8700000}"/>
    <cellStyle name="60% - Accent3 2 2 2 5 3 2" xfId="16816" xr:uid="{00000000-0005-0000-0000-0000F9700000}"/>
    <cellStyle name="60% - Accent3 2 2 2 5 3 2 2" xfId="37296" xr:uid="{00000000-0005-0000-0000-0000FA700000}"/>
    <cellStyle name="60% - Accent3 2 2 2 5 3 3" xfId="27056" xr:uid="{00000000-0005-0000-0000-0000FB700000}"/>
    <cellStyle name="60% - Accent3 2 2 2 5 4" xfId="11696" xr:uid="{00000000-0005-0000-0000-0000FC700000}"/>
    <cellStyle name="60% - Accent3 2 2 2 5 4 2" xfId="32176" xr:uid="{00000000-0005-0000-0000-0000FD700000}"/>
    <cellStyle name="60% - Accent3 2 2 2 5 5" xfId="21936" xr:uid="{00000000-0005-0000-0000-0000FE700000}"/>
    <cellStyle name="60% - Accent3 2 2 2 6" xfId="2736" xr:uid="{00000000-0005-0000-0000-0000FF700000}"/>
    <cellStyle name="60% - Accent3 2 2 2 6 2" xfId="7856" xr:uid="{00000000-0005-0000-0000-000000710000}"/>
    <cellStyle name="60% - Accent3 2 2 2 6 2 2" xfId="18096" xr:uid="{00000000-0005-0000-0000-000001710000}"/>
    <cellStyle name="60% - Accent3 2 2 2 6 2 2 2" xfId="38576" xr:uid="{00000000-0005-0000-0000-000002710000}"/>
    <cellStyle name="60% - Accent3 2 2 2 6 2 3" xfId="28336" xr:uid="{00000000-0005-0000-0000-000003710000}"/>
    <cellStyle name="60% - Accent3 2 2 2 6 3" xfId="12976" xr:uid="{00000000-0005-0000-0000-000004710000}"/>
    <cellStyle name="60% - Accent3 2 2 2 6 3 2" xfId="33456" xr:uid="{00000000-0005-0000-0000-000005710000}"/>
    <cellStyle name="60% - Accent3 2 2 2 6 4" xfId="23216" xr:uid="{00000000-0005-0000-0000-000006710000}"/>
    <cellStyle name="60% - Accent3 2 2 2 7" xfId="5296" xr:uid="{00000000-0005-0000-0000-000007710000}"/>
    <cellStyle name="60% - Accent3 2 2 2 7 2" xfId="15536" xr:uid="{00000000-0005-0000-0000-000008710000}"/>
    <cellStyle name="60% - Accent3 2 2 2 7 2 2" xfId="36016" xr:uid="{00000000-0005-0000-0000-000009710000}"/>
    <cellStyle name="60% - Accent3 2 2 2 7 3" xfId="25776" xr:uid="{00000000-0005-0000-0000-00000A710000}"/>
    <cellStyle name="60% - Accent3 2 2 2 8" xfId="10416" xr:uid="{00000000-0005-0000-0000-00000B710000}"/>
    <cellStyle name="60% - Accent3 2 2 2 8 2" xfId="30896" xr:uid="{00000000-0005-0000-0000-00000C710000}"/>
    <cellStyle name="60% - Accent3 2 2 2 9" xfId="20656" xr:uid="{00000000-0005-0000-0000-00000D710000}"/>
    <cellStyle name="60% - Accent3 2 2 3" xfId="256" xr:uid="{00000000-0005-0000-0000-00000E710000}"/>
    <cellStyle name="60% - Accent3 2 2 3 2" xfId="576" xr:uid="{00000000-0005-0000-0000-00000F710000}"/>
    <cellStyle name="60% - Accent3 2 2 3 2 2" xfId="1216" xr:uid="{00000000-0005-0000-0000-000010710000}"/>
    <cellStyle name="60% - Accent3 2 2 3 2 2 2" xfId="2496" xr:uid="{00000000-0005-0000-0000-000011710000}"/>
    <cellStyle name="60% - Accent3 2 2 3 2 2 2 2" xfId="5056" xr:uid="{00000000-0005-0000-0000-000012710000}"/>
    <cellStyle name="60% - Accent3 2 2 3 2 2 2 2 2" xfId="10176" xr:uid="{00000000-0005-0000-0000-000013710000}"/>
    <cellStyle name="60% - Accent3 2 2 3 2 2 2 2 2 2" xfId="20416" xr:uid="{00000000-0005-0000-0000-000014710000}"/>
    <cellStyle name="60% - Accent3 2 2 3 2 2 2 2 2 2 2" xfId="40896" xr:uid="{00000000-0005-0000-0000-000015710000}"/>
    <cellStyle name="60% - Accent3 2 2 3 2 2 2 2 2 3" xfId="30656" xr:uid="{00000000-0005-0000-0000-000016710000}"/>
    <cellStyle name="60% - Accent3 2 2 3 2 2 2 2 3" xfId="15296" xr:uid="{00000000-0005-0000-0000-000017710000}"/>
    <cellStyle name="60% - Accent3 2 2 3 2 2 2 2 3 2" xfId="35776" xr:uid="{00000000-0005-0000-0000-000018710000}"/>
    <cellStyle name="60% - Accent3 2 2 3 2 2 2 2 4" xfId="25536" xr:uid="{00000000-0005-0000-0000-000019710000}"/>
    <cellStyle name="60% - Accent3 2 2 3 2 2 2 3" xfId="7616" xr:uid="{00000000-0005-0000-0000-00001A710000}"/>
    <cellStyle name="60% - Accent3 2 2 3 2 2 2 3 2" xfId="17856" xr:uid="{00000000-0005-0000-0000-00001B710000}"/>
    <cellStyle name="60% - Accent3 2 2 3 2 2 2 3 2 2" xfId="38336" xr:uid="{00000000-0005-0000-0000-00001C710000}"/>
    <cellStyle name="60% - Accent3 2 2 3 2 2 2 3 3" xfId="28096" xr:uid="{00000000-0005-0000-0000-00001D710000}"/>
    <cellStyle name="60% - Accent3 2 2 3 2 2 2 4" xfId="12736" xr:uid="{00000000-0005-0000-0000-00001E710000}"/>
    <cellStyle name="60% - Accent3 2 2 3 2 2 2 4 2" xfId="33216" xr:uid="{00000000-0005-0000-0000-00001F710000}"/>
    <cellStyle name="60% - Accent3 2 2 3 2 2 2 5" xfId="22976" xr:uid="{00000000-0005-0000-0000-000020710000}"/>
    <cellStyle name="60% - Accent3 2 2 3 2 2 3" xfId="3776" xr:uid="{00000000-0005-0000-0000-000021710000}"/>
    <cellStyle name="60% - Accent3 2 2 3 2 2 3 2" xfId="8896" xr:uid="{00000000-0005-0000-0000-000022710000}"/>
    <cellStyle name="60% - Accent3 2 2 3 2 2 3 2 2" xfId="19136" xr:uid="{00000000-0005-0000-0000-000023710000}"/>
    <cellStyle name="60% - Accent3 2 2 3 2 2 3 2 2 2" xfId="39616" xr:uid="{00000000-0005-0000-0000-000024710000}"/>
    <cellStyle name="60% - Accent3 2 2 3 2 2 3 2 3" xfId="29376" xr:uid="{00000000-0005-0000-0000-000025710000}"/>
    <cellStyle name="60% - Accent3 2 2 3 2 2 3 3" xfId="14016" xr:uid="{00000000-0005-0000-0000-000026710000}"/>
    <cellStyle name="60% - Accent3 2 2 3 2 2 3 3 2" xfId="34496" xr:uid="{00000000-0005-0000-0000-000027710000}"/>
    <cellStyle name="60% - Accent3 2 2 3 2 2 3 4" xfId="24256" xr:uid="{00000000-0005-0000-0000-000028710000}"/>
    <cellStyle name="60% - Accent3 2 2 3 2 2 4" xfId="6336" xr:uid="{00000000-0005-0000-0000-000029710000}"/>
    <cellStyle name="60% - Accent3 2 2 3 2 2 4 2" xfId="16576" xr:uid="{00000000-0005-0000-0000-00002A710000}"/>
    <cellStyle name="60% - Accent3 2 2 3 2 2 4 2 2" xfId="37056" xr:uid="{00000000-0005-0000-0000-00002B710000}"/>
    <cellStyle name="60% - Accent3 2 2 3 2 2 4 3" xfId="26816" xr:uid="{00000000-0005-0000-0000-00002C710000}"/>
    <cellStyle name="60% - Accent3 2 2 3 2 2 5" xfId="11456" xr:uid="{00000000-0005-0000-0000-00002D710000}"/>
    <cellStyle name="60% - Accent3 2 2 3 2 2 5 2" xfId="31936" xr:uid="{00000000-0005-0000-0000-00002E710000}"/>
    <cellStyle name="60% - Accent3 2 2 3 2 2 6" xfId="21696" xr:uid="{00000000-0005-0000-0000-00002F710000}"/>
    <cellStyle name="60% - Accent3 2 2 3 2 3" xfId="1856" xr:uid="{00000000-0005-0000-0000-000030710000}"/>
    <cellStyle name="60% - Accent3 2 2 3 2 3 2" xfId="4416" xr:uid="{00000000-0005-0000-0000-000031710000}"/>
    <cellStyle name="60% - Accent3 2 2 3 2 3 2 2" xfId="9536" xr:uid="{00000000-0005-0000-0000-000032710000}"/>
    <cellStyle name="60% - Accent3 2 2 3 2 3 2 2 2" xfId="19776" xr:uid="{00000000-0005-0000-0000-000033710000}"/>
    <cellStyle name="60% - Accent3 2 2 3 2 3 2 2 2 2" xfId="40256" xr:uid="{00000000-0005-0000-0000-000034710000}"/>
    <cellStyle name="60% - Accent3 2 2 3 2 3 2 2 3" xfId="30016" xr:uid="{00000000-0005-0000-0000-000035710000}"/>
    <cellStyle name="60% - Accent3 2 2 3 2 3 2 3" xfId="14656" xr:uid="{00000000-0005-0000-0000-000036710000}"/>
    <cellStyle name="60% - Accent3 2 2 3 2 3 2 3 2" xfId="35136" xr:uid="{00000000-0005-0000-0000-000037710000}"/>
    <cellStyle name="60% - Accent3 2 2 3 2 3 2 4" xfId="24896" xr:uid="{00000000-0005-0000-0000-000038710000}"/>
    <cellStyle name="60% - Accent3 2 2 3 2 3 3" xfId="6976" xr:uid="{00000000-0005-0000-0000-000039710000}"/>
    <cellStyle name="60% - Accent3 2 2 3 2 3 3 2" xfId="17216" xr:uid="{00000000-0005-0000-0000-00003A710000}"/>
    <cellStyle name="60% - Accent3 2 2 3 2 3 3 2 2" xfId="37696" xr:uid="{00000000-0005-0000-0000-00003B710000}"/>
    <cellStyle name="60% - Accent3 2 2 3 2 3 3 3" xfId="27456" xr:uid="{00000000-0005-0000-0000-00003C710000}"/>
    <cellStyle name="60% - Accent3 2 2 3 2 3 4" xfId="12096" xr:uid="{00000000-0005-0000-0000-00003D710000}"/>
    <cellStyle name="60% - Accent3 2 2 3 2 3 4 2" xfId="32576" xr:uid="{00000000-0005-0000-0000-00003E710000}"/>
    <cellStyle name="60% - Accent3 2 2 3 2 3 5" xfId="22336" xr:uid="{00000000-0005-0000-0000-00003F710000}"/>
    <cellStyle name="60% - Accent3 2 2 3 2 4" xfId="3136" xr:uid="{00000000-0005-0000-0000-000040710000}"/>
    <cellStyle name="60% - Accent3 2 2 3 2 4 2" xfId="8256" xr:uid="{00000000-0005-0000-0000-000041710000}"/>
    <cellStyle name="60% - Accent3 2 2 3 2 4 2 2" xfId="18496" xr:uid="{00000000-0005-0000-0000-000042710000}"/>
    <cellStyle name="60% - Accent3 2 2 3 2 4 2 2 2" xfId="38976" xr:uid="{00000000-0005-0000-0000-000043710000}"/>
    <cellStyle name="60% - Accent3 2 2 3 2 4 2 3" xfId="28736" xr:uid="{00000000-0005-0000-0000-000044710000}"/>
    <cellStyle name="60% - Accent3 2 2 3 2 4 3" xfId="13376" xr:uid="{00000000-0005-0000-0000-000045710000}"/>
    <cellStyle name="60% - Accent3 2 2 3 2 4 3 2" xfId="33856" xr:uid="{00000000-0005-0000-0000-000046710000}"/>
    <cellStyle name="60% - Accent3 2 2 3 2 4 4" xfId="23616" xr:uid="{00000000-0005-0000-0000-000047710000}"/>
    <cellStyle name="60% - Accent3 2 2 3 2 5" xfId="5696" xr:uid="{00000000-0005-0000-0000-000048710000}"/>
    <cellStyle name="60% - Accent3 2 2 3 2 5 2" xfId="15936" xr:uid="{00000000-0005-0000-0000-000049710000}"/>
    <cellStyle name="60% - Accent3 2 2 3 2 5 2 2" xfId="36416" xr:uid="{00000000-0005-0000-0000-00004A710000}"/>
    <cellStyle name="60% - Accent3 2 2 3 2 5 3" xfId="26176" xr:uid="{00000000-0005-0000-0000-00004B710000}"/>
    <cellStyle name="60% - Accent3 2 2 3 2 6" xfId="10816" xr:uid="{00000000-0005-0000-0000-00004C710000}"/>
    <cellStyle name="60% - Accent3 2 2 3 2 6 2" xfId="31296" xr:uid="{00000000-0005-0000-0000-00004D710000}"/>
    <cellStyle name="60% - Accent3 2 2 3 2 7" xfId="21056" xr:uid="{00000000-0005-0000-0000-00004E710000}"/>
    <cellStyle name="60% - Accent3 2 2 3 3" xfId="896" xr:uid="{00000000-0005-0000-0000-00004F710000}"/>
    <cellStyle name="60% - Accent3 2 2 3 3 2" xfId="2176" xr:uid="{00000000-0005-0000-0000-000050710000}"/>
    <cellStyle name="60% - Accent3 2 2 3 3 2 2" xfId="4736" xr:uid="{00000000-0005-0000-0000-000051710000}"/>
    <cellStyle name="60% - Accent3 2 2 3 3 2 2 2" xfId="9856" xr:uid="{00000000-0005-0000-0000-000052710000}"/>
    <cellStyle name="60% - Accent3 2 2 3 3 2 2 2 2" xfId="20096" xr:uid="{00000000-0005-0000-0000-000053710000}"/>
    <cellStyle name="60% - Accent3 2 2 3 3 2 2 2 2 2" xfId="40576" xr:uid="{00000000-0005-0000-0000-000054710000}"/>
    <cellStyle name="60% - Accent3 2 2 3 3 2 2 2 3" xfId="30336" xr:uid="{00000000-0005-0000-0000-000055710000}"/>
    <cellStyle name="60% - Accent3 2 2 3 3 2 2 3" xfId="14976" xr:uid="{00000000-0005-0000-0000-000056710000}"/>
    <cellStyle name="60% - Accent3 2 2 3 3 2 2 3 2" xfId="35456" xr:uid="{00000000-0005-0000-0000-000057710000}"/>
    <cellStyle name="60% - Accent3 2 2 3 3 2 2 4" xfId="25216" xr:uid="{00000000-0005-0000-0000-000058710000}"/>
    <cellStyle name="60% - Accent3 2 2 3 3 2 3" xfId="7296" xr:uid="{00000000-0005-0000-0000-000059710000}"/>
    <cellStyle name="60% - Accent3 2 2 3 3 2 3 2" xfId="17536" xr:uid="{00000000-0005-0000-0000-00005A710000}"/>
    <cellStyle name="60% - Accent3 2 2 3 3 2 3 2 2" xfId="38016" xr:uid="{00000000-0005-0000-0000-00005B710000}"/>
    <cellStyle name="60% - Accent3 2 2 3 3 2 3 3" xfId="27776" xr:uid="{00000000-0005-0000-0000-00005C710000}"/>
    <cellStyle name="60% - Accent3 2 2 3 3 2 4" xfId="12416" xr:uid="{00000000-0005-0000-0000-00005D710000}"/>
    <cellStyle name="60% - Accent3 2 2 3 3 2 4 2" xfId="32896" xr:uid="{00000000-0005-0000-0000-00005E710000}"/>
    <cellStyle name="60% - Accent3 2 2 3 3 2 5" xfId="22656" xr:uid="{00000000-0005-0000-0000-00005F710000}"/>
    <cellStyle name="60% - Accent3 2 2 3 3 3" xfId="3456" xr:uid="{00000000-0005-0000-0000-000060710000}"/>
    <cellStyle name="60% - Accent3 2 2 3 3 3 2" xfId="8576" xr:uid="{00000000-0005-0000-0000-000061710000}"/>
    <cellStyle name="60% - Accent3 2 2 3 3 3 2 2" xfId="18816" xr:uid="{00000000-0005-0000-0000-000062710000}"/>
    <cellStyle name="60% - Accent3 2 2 3 3 3 2 2 2" xfId="39296" xr:uid="{00000000-0005-0000-0000-000063710000}"/>
    <cellStyle name="60% - Accent3 2 2 3 3 3 2 3" xfId="29056" xr:uid="{00000000-0005-0000-0000-000064710000}"/>
    <cellStyle name="60% - Accent3 2 2 3 3 3 3" xfId="13696" xr:uid="{00000000-0005-0000-0000-000065710000}"/>
    <cellStyle name="60% - Accent3 2 2 3 3 3 3 2" xfId="34176" xr:uid="{00000000-0005-0000-0000-000066710000}"/>
    <cellStyle name="60% - Accent3 2 2 3 3 3 4" xfId="23936" xr:uid="{00000000-0005-0000-0000-000067710000}"/>
    <cellStyle name="60% - Accent3 2 2 3 3 4" xfId="6016" xr:uid="{00000000-0005-0000-0000-000068710000}"/>
    <cellStyle name="60% - Accent3 2 2 3 3 4 2" xfId="16256" xr:uid="{00000000-0005-0000-0000-000069710000}"/>
    <cellStyle name="60% - Accent3 2 2 3 3 4 2 2" xfId="36736" xr:uid="{00000000-0005-0000-0000-00006A710000}"/>
    <cellStyle name="60% - Accent3 2 2 3 3 4 3" xfId="26496" xr:uid="{00000000-0005-0000-0000-00006B710000}"/>
    <cellStyle name="60% - Accent3 2 2 3 3 5" xfId="11136" xr:uid="{00000000-0005-0000-0000-00006C710000}"/>
    <cellStyle name="60% - Accent3 2 2 3 3 5 2" xfId="31616" xr:uid="{00000000-0005-0000-0000-00006D710000}"/>
    <cellStyle name="60% - Accent3 2 2 3 3 6" xfId="21376" xr:uid="{00000000-0005-0000-0000-00006E710000}"/>
    <cellStyle name="60% - Accent3 2 2 3 4" xfId="1536" xr:uid="{00000000-0005-0000-0000-00006F710000}"/>
    <cellStyle name="60% - Accent3 2 2 3 4 2" xfId="4096" xr:uid="{00000000-0005-0000-0000-000070710000}"/>
    <cellStyle name="60% - Accent3 2 2 3 4 2 2" xfId="9216" xr:uid="{00000000-0005-0000-0000-000071710000}"/>
    <cellStyle name="60% - Accent3 2 2 3 4 2 2 2" xfId="19456" xr:uid="{00000000-0005-0000-0000-000072710000}"/>
    <cellStyle name="60% - Accent3 2 2 3 4 2 2 2 2" xfId="39936" xr:uid="{00000000-0005-0000-0000-000073710000}"/>
    <cellStyle name="60% - Accent3 2 2 3 4 2 2 3" xfId="29696" xr:uid="{00000000-0005-0000-0000-000074710000}"/>
    <cellStyle name="60% - Accent3 2 2 3 4 2 3" xfId="14336" xr:uid="{00000000-0005-0000-0000-000075710000}"/>
    <cellStyle name="60% - Accent3 2 2 3 4 2 3 2" xfId="34816" xr:uid="{00000000-0005-0000-0000-000076710000}"/>
    <cellStyle name="60% - Accent3 2 2 3 4 2 4" xfId="24576" xr:uid="{00000000-0005-0000-0000-000077710000}"/>
    <cellStyle name="60% - Accent3 2 2 3 4 3" xfId="6656" xr:uid="{00000000-0005-0000-0000-000078710000}"/>
    <cellStyle name="60% - Accent3 2 2 3 4 3 2" xfId="16896" xr:uid="{00000000-0005-0000-0000-000079710000}"/>
    <cellStyle name="60% - Accent3 2 2 3 4 3 2 2" xfId="37376" xr:uid="{00000000-0005-0000-0000-00007A710000}"/>
    <cellStyle name="60% - Accent3 2 2 3 4 3 3" xfId="27136" xr:uid="{00000000-0005-0000-0000-00007B710000}"/>
    <cellStyle name="60% - Accent3 2 2 3 4 4" xfId="11776" xr:uid="{00000000-0005-0000-0000-00007C710000}"/>
    <cellStyle name="60% - Accent3 2 2 3 4 4 2" xfId="32256" xr:uid="{00000000-0005-0000-0000-00007D710000}"/>
    <cellStyle name="60% - Accent3 2 2 3 4 5" xfId="22016" xr:uid="{00000000-0005-0000-0000-00007E710000}"/>
    <cellStyle name="60% - Accent3 2 2 3 5" xfId="2816" xr:uid="{00000000-0005-0000-0000-00007F710000}"/>
    <cellStyle name="60% - Accent3 2 2 3 5 2" xfId="7936" xr:uid="{00000000-0005-0000-0000-000080710000}"/>
    <cellStyle name="60% - Accent3 2 2 3 5 2 2" xfId="18176" xr:uid="{00000000-0005-0000-0000-000081710000}"/>
    <cellStyle name="60% - Accent3 2 2 3 5 2 2 2" xfId="38656" xr:uid="{00000000-0005-0000-0000-000082710000}"/>
    <cellStyle name="60% - Accent3 2 2 3 5 2 3" xfId="28416" xr:uid="{00000000-0005-0000-0000-000083710000}"/>
    <cellStyle name="60% - Accent3 2 2 3 5 3" xfId="13056" xr:uid="{00000000-0005-0000-0000-000084710000}"/>
    <cellStyle name="60% - Accent3 2 2 3 5 3 2" xfId="33536" xr:uid="{00000000-0005-0000-0000-000085710000}"/>
    <cellStyle name="60% - Accent3 2 2 3 5 4" xfId="23296" xr:uid="{00000000-0005-0000-0000-000086710000}"/>
    <cellStyle name="60% - Accent3 2 2 3 6" xfId="5376" xr:uid="{00000000-0005-0000-0000-000087710000}"/>
    <cellStyle name="60% - Accent3 2 2 3 6 2" xfId="15616" xr:uid="{00000000-0005-0000-0000-000088710000}"/>
    <cellStyle name="60% - Accent3 2 2 3 6 2 2" xfId="36096" xr:uid="{00000000-0005-0000-0000-000089710000}"/>
    <cellStyle name="60% - Accent3 2 2 3 6 3" xfId="25856" xr:uid="{00000000-0005-0000-0000-00008A710000}"/>
    <cellStyle name="60% - Accent3 2 2 3 7" xfId="10496" xr:uid="{00000000-0005-0000-0000-00008B710000}"/>
    <cellStyle name="60% - Accent3 2 2 3 7 2" xfId="30976" xr:uid="{00000000-0005-0000-0000-00008C710000}"/>
    <cellStyle name="60% - Accent3 2 2 3 8" xfId="20736" xr:uid="{00000000-0005-0000-0000-00008D710000}"/>
    <cellStyle name="60% - Accent3 2 2 4" xfId="416" xr:uid="{00000000-0005-0000-0000-00008E710000}"/>
    <cellStyle name="60% - Accent3 2 2 4 2" xfId="1056" xr:uid="{00000000-0005-0000-0000-00008F710000}"/>
    <cellStyle name="60% - Accent3 2 2 4 2 2" xfId="2336" xr:uid="{00000000-0005-0000-0000-000090710000}"/>
    <cellStyle name="60% - Accent3 2 2 4 2 2 2" xfId="4896" xr:uid="{00000000-0005-0000-0000-000091710000}"/>
    <cellStyle name="60% - Accent3 2 2 4 2 2 2 2" xfId="10016" xr:uid="{00000000-0005-0000-0000-000092710000}"/>
    <cellStyle name="60% - Accent3 2 2 4 2 2 2 2 2" xfId="20256" xr:uid="{00000000-0005-0000-0000-000093710000}"/>
    <cellStyle name="60% - Accent3 2 2 4 2 2 2 2 2 2" xfId="40736" xr:uid="{00000000-0005-0000-0000-000094710000}"/>
    <cellStyle name="60% - Accent3 2 2 4 2 2 2 2 3" xfId="30496" xr:uid="{00000000-0005-0000-0000-000095710000}"/>
    <cellStyle name="60% - Accent3 2 2 4 2 2 2 3" xfId="15136" xr:uid="{00000000-0005-0000-0000-000096710000}"/>
    <cellStyle name="60% - Accent3 2 2 4 2 2 2 3 2" xfId="35616" xr:uid="{00000000-0005-0000-0000-000097710000}"/>
    <cellStyle name="60% - Accent3 2 2 4 2 2 2 4" xfId="25376" xr:uid="{00000000-0005-0000-0000-000098710000}"/>
    <cellStyle name="60% - Accent3 2 2 4 2 2 3" xfId="7456" xr:uid="{00000000-0005-0000-0000-000099710000}"/>
    <cellStyle name="60% - Accent3 2 2 4 2 2 3 2" xfId="17696" xr:uid="{00000000-0005-0000-0000-00009A710000}"/>
    <cellStyle name="60% - Accent3 2 2 4 2 2 3 2 2" xfId="38176" xr:uid="{00000000-0005-0000-0000-00009B710000}"/>
    <cellStyle name="60% - Accent3 2 2 4 2 2 3 3" xfId="27936" xr:uid="{00000000-0005-0000-0000-00009C710000}"/>
    <cellStyle name="60% - Accent3 2 2 4 2 2 4" xfId="12576" xr:uid="{00000000-0005-0000-0000-00009D710000}"/>
    <cellStyle name="60% - Accent3 2 2 4 2 2 4 2" xfId="33056" xr:uid="{00000000-0005-0000-0000-00009E710000}"/>
    <cellStyle name="60% - Accent3 2 2 4 2 2 5" xfId="22816" xr:uid="{00000000-0005-0000-0000-00009F710000}"/>
    <cellStyle name="60% - Accent3 2 2 4 2 3" xfId="3616" xr:uid="{00000000-0005-0000-0000-0000A0710000}"/>
    <cellStyle name="60% - Accent3 2 2 4 2 3 2" xfId="8736" xr:uid="{00000000-0005-0000-0000-0000A1710000}"/>
    <cellStyle name="60% - Accent3 2 2 4 2 3 2 2" xfId="18976" xr:uid="{00000000-0005-0000-0000-0000A2710000}"/>
    <cellStyle name="60% - Accent3 2 2 4 2 3 2 2 2" xfId="39456" xr:uid="{00000000-0005-0000-0000-0000A3710000}"/>
    <cellStyle name="60% - Accent3 2 2 4 2 3 2 3" xfId="29216" xr:uid="{00000000-0005-0000-0000-0000A4710000}"/>
    <cellStyle name="60% - Accent3 2 2 4 2 3 3" xfId="13856" xr:uid="{00000000-0005-0000-0000-0000A5710000}"/>
    <cellStyle name="60% - Accent3 2 2 4 2 3 3 2" xfId="34336" xr:uid="{00000000-0005-0000-0000-0000A6710000}"/>
    <cellStyle name="60% - Accent3 2 2 4 2 3 4" xfId="24096" xr:uid="{00000000-0005-0000-0000-0000A7710000}"/>
    <cellStyle name="60% - Accent3 2 2 4 2 4" xfId="6176" xr:uid="{00000000-0005-0000-0000-0000A8710000}"/>
    <cellStyle name="60% - Accent3 2 2 4 2 4 2" xfId="16416" xr:uid="{00000000-0005-0000-0000-0000A9710000}"/>
    <cellStyle name="60% - Accent3 2 2 4 2 4 2 2" xfId="36896" xr:uid="{00000000-0005-0000-0000-0000AA710000}"/>
    <cellStyle name="60% - Accent3 2 2 4 2 4 3" xfId="26656" xr:uid="{00000000-0005-0000-0000-0000AB710000}"/>
    <cellStyle name="60% - Accent3 2 2 4 2 5" xfId="11296" xr:uid="{00000000-0005-0000-0000-0000AC710000}"/>
    <cellStyle name="60% - Accent3 2 2 4 2 5 2" xfId="31776" xr:uid="{00000000-0005-0000-0000-0000AD710000}"/>
    <cellStyle name="60% - Accent3 2 2 4 2 6" xfId="21536" xr:uid="{00000000-0005-0000-0000-0000AE710000}"/>
    <cellStyle name="60% - Accent3 2 2 4 3" xfId="1696" xr:uid="{00000000-0005-0000-0000-0000AF710000}"/>
    <cellStyle name="60% - Accent3 2 2 4 3 2" xfId="4256" xr:uid="{00000000-0005-0000-0000-0000B0710000}"/>
    <cellStyle name="60% - Accent3 2 2 4 3 2 2" xfId="9376" xr:uid="{00000000-0005-0000-0000-0000B1710000}"/>
    <cellStyle name="60% - Accent3 2 2 4 3 2 2 2" xfId="19616" xr:uid="{00000000-0005-0000-0000-0000B2710000}"/>
    <cellStyle name="60% - Accent3 2 2 4 3 2 2 2 2" xfId="40096" xr:uid="{00000000-0005-0000-0000-0000B3710000}"/>
    <cellStyle name="60% - Accent3 2 2 4 3 2 2 3" xfId="29856" xr:uid="{00000000-0005-0000-0000-0000B4710000}"/>
    <cellStyle name="60% - Accent3 2 2 4 3 2 3" xfId="14496" xr:uid="{00000000-0005-0000-0000-0000B5710000}"/>
    <cellStyle name="60% - Accent3 2 2 4 3 2 3 2" xfId="34976" xr:uid="{00000000-0005-0000-0000-0000B6710000}"/>
    <cellStyle name="60% - Accent3 2 2 4 3 2 4" xfId="24736" xr:uid="{00000000-0005-0000-0000-0000B7710000}"/>
    <cellStyle name="60% - Accent3 2 2 4 3 3" xfId="6816" xr:uid="{00000000-0005-0000-0000-0000B8710000}"/>
    <cellStyle name="60% - Accent3 2 2 4 3 3 2" xfId="17056" xr:uid="{00000000-0005-0000-0000-0000B9710000}"/>
    <cellStyle name="60% - Accent3 2 2 4 3 3 2 2" xfId="37536" xr:uid="{00000000-0005-0000-0000-0000BA710000}"/>
    <cellStyle name="60% - Accent3 2 2 4 3 3 3" xfId="27296" xr:uid="{00000000-0005-0000-0000-0000BB710000}"/>
    <cellStyle name="60% - Accent3 2 2 4 3 4" xfId="11936" xr:uid="{00000000-0005-0000-0000-0000BC710000}"/>
    <cellStyle name="60% - Accent3 2 2 4 3 4 2" xfId="32416" xr:uid="{00000000-0005-0000-0000-0000BD710000}"/>
    <cellStyle name="60% - Accent3 2 2 4 3 5" xfId="22176" xr:uid="{00000000-0005-0000-0000-0000BE710000}"/>
    <cellStyle name="60% - Accent3 2 2 4 4" xfId="2976" xr:uid="{00000000-0005-0000-0000-0000BF710000}"/>
    <cellStyle name="60% - Accent3 2 2 4 4 2" xfId="8096" xr:uid="{00000000-0005-0000-0000-0000C0710000}"/>
    <cellStyle name="60% - Accent3 2 2 4 4 2 2" xfId="18336" xr:uid="{00000000-0005-0000-0000-0000C1710000}"/>
    <cellStyle name="60% - Accent3 2 2 4 4 2 2 2" xfId="38816" xr:uid="{00000000-0005-0000-0000-0000C2710000}"/>
    <cellStyle name="60% - Accent3 2 2 4 4 2 3" xfId="28576" xr:uid="{00000000-0005-0000-0000-0000C3710000}"/>
    <cellStyle name="60% - Accent3 2 2 4 4 3" xfId="13216" xr:uid="{00000000-0005-0000-0000-0000C4710000}"/>
    <cellStyle name="60% - Accent3 2 2 4 4 3 2" xfId="33696" xr:uid="{00000000-0005-0000-0000-0000C5710000}"/>
    <cellStyle name="60% - Accent3 2 2 4 4 4" xfId="23456" xr:uid="{00000000-0005-0000-0000-0000C6710000}"/>
    <cellStyle name="60% - Accent3 2 2 4 5" xfId="5536" xr:uid="{00000000-0005-0000-0000-0000C7710000}"/>
    <cellStyle name="60% - Accent3 2 2 4 5 2" xfId="15776" xr:uid="{00000000-0005-0000-0000-0000C8710000}"/>
    <cellStyle name="60% - Accent3 2 2 4 5 2 2" xfId="36256" xr:uid="{00000000-0005-0000-0000-0000C9710000}"/>
    <cellStyle name="60% - Accent3 2 2 4 5 3" xfId="26016" xr:uid="{00000000-0005-0000-0000-0000CA710000}"/>
    <cellStyle name="60% - Accent3 2 2 4 6" xfId="10656" xr:uid="{00000000-0005-0000-0000-0000CB710000}"/>
    <cellStyle name="60% - Accent3 2 2 4 6 2" xfId="31136" xr:uid="{00000000-0005-0000-0000-0000CC710000}"/>
    <cellStyle name="60% - Accent3 2 2 4 7" xfId="20896" xr:uid="{00000000-0005-0000-0000-0000CD710000}"/>
    <cellStyle name="60% - Accent3 2 2 5" xfId="736" xr:uid="{00000000-0005-0000-0000-0000CE710000}"/>
    <cellStyle name="60% - Accent3 2 2 5 2" xfId="2016" xr:uid="{00000000-0005-0000-0000-0000CF710000}"/>
    <cellStyle name="60% - Accent3 2 2 5 2 2" xfId="4576" xr:uid="{00000000-0005-0000-0000-0000D0710000}"/>
    <cellStyle name="60% - Accent3 2 2 5 2 2 2" xfId="9696" xr:uid="{00000000-0005-0000-0000-0000D1710000}"/>
    <cellStyle name="60% - Accent3 2 2 5 2 2 2 2" xfId="19936" xr:uid="{00000000-0005-0000-0000-0000D2710000}"/>
    <cellStyle name="60% - Accent3 2 2 5 2 2 2 2 2" xfId="40416" xr:uid="{00000000-0005-0000-0000-0000D3710000}"/>
    <cellStyle name="60% - Accent3 2 2 5 2 2 2 3" xfId="30176" xr:uid="{00000000-0005-0000-0000-0000D4710000}"/>
    <cellStyle name="60% - Accent3 2 2 5 2 2 3" xfId="14816" xr:uid="{00000000-0005-0000-0000-0000D5710000}"/>
    <cellStyle name="60% - Accent3 2 2 5 2 2 3 2" xfId="35296" xr:uid="{00000000-0005-0000-0000-0000D6710000}"/>
    <cellStyle name="60% - Accent3 2 2 5 2 2 4" xfId="25056" xr:uid="{00000000-0005-0000-0000-0000D7710000}"/>
    <cellStyle name="60% - Accent3 2 2 5 2 3" xfId="7136" xr:uid="{00000000-0005-0000-0000-0000D8710000}"/>
    <cellStyle name="60% - Accent3 2 2 5 2 3 2" xfId="17376" xr:uid="{00000000-0005-0000-0000-0000D9710000}"/>
    <cellStyle name="60% - Accent3 2 2 5 2 3 2 2" xfId="37856" xr:uid="{00000000-0005-0000-0000-0000DA710000}"/>
    <cellStyle name="60% - Accent3 2 2 5 2 3 3" xfId="27616" xr:uid="{00000000-0005-0000-0000-0000DB710000}"/>
    <cellStyle name="60% - Accent3 2 2 5 2 4" xfId="12256" xr:uid="{00000000-0005-0000-0000-0000DC710000}"/>
    <cellStyle name="60% - Accent3 2 2 5 2 4 2" xfId="32736" xr:uid="{00000000-0005-0000-0000-0000DD710000}"/>
    <cellStyle name="60% - Accent3 2 2 5 2 5" xfId="22496" xr:uid="{00000000-0005-0000-0000-0000DE710000}"/>
    <cellStyle name="60% - Accent3 2 2 5 3" xfId="3296" xr:uid="{00000000-0005-0000-0000-0000DF710000}"/>
    <cellStyle name="60% - Accent3 2 2 5 3 2" xfId="8416" xr:uid="{00000000-0005-0000-0000-0000E0710000}"/>
    <cellStyle name="60% - Accent3 2 2 5 3 2 2" xfId="18656" xr:uid="{00000000-0005-0000-0000-0000E1710000}"/>
    <cellStyle name="60% - Accent3 2 2 5 3 2 2 2" xfId="39136" xr:uid="{00000000-0005-0000-0000-0000E2710000}"/>
    <cellStyle name="60% - Accent3 2 2 5 3 2 3" xfId="28896" xr:uid="{00000000-0005-0000-0000-0000E3710000}"/>
    <cellStyle name="60% - Accent3 2 2 5 3 3" xfId="13536" xr:uid="{00000000-0005-0000-0000-0000E4710000}"/>
    <cellStyle name="60% - Accent3 2 2 5 3 3 2" xfId="34016" xr:uid="{00000000-0005-0000-0000-0000E5710000}"/>
    <cellStyle name="60% - Accent3 2 2 5 3 4" xfId="23776" xr:uid="{00000000-0005-0000-0000-0000E6710000}"/>
    <cellStyle name="60% - Accent3 2 2 5 4" xfId="5856" xr:uid="{00000000-0005-0000-0000-0000E7710000}"/>
    <cellStyle name="60% - Accent3 2 2 5 4 2" xfId="16096" xr:uid="{00000000-0005-0000-0000-0000E8710000}"/>
    <cellStyle name="60% - Accent3 2 2 5 4 2 2" xfId="36576" xr:uid="{00000000-0005-0000-0000-0000E9710000}"/>
    <cellStyle name="60% - Accent3 2 2 5 4 3" xfId="26336" xr:uid="{00000000-0005-0000-0000-0000EA710000}"/>
    <cellStyle name="60% - Accent3 2 2 5 5" xfId="10976" xr:uid="{00000000-0005-0000-0000-0000EB710000}"/>
    <cellStyle name="60% - Accent3 2 2 5 5 2" xfId="31456" xr:uid="{00000000-0005-0000-0000-0000EC710000}"/>
    <cellStyle name="60% - Accent3 2 2 5 6" xfId="21216" xr:uid="{00000000-0005-0000-0000-0000ED710000}"/>
    <cellStyle name="60% - Accent3 2 2 6" xfId="1376" xr:uid="{00000000-0005-0000-0000-0000EE710000}"/>
    <cellStyle name="60% - Accent3 2 2 6 2" xfId="3936" xr:uid="{00000000-0005-0000-0000-0000EF710000}"/>
    <cellStyle name="60% - Accent3 2 2 6 2 2" xfId="9056" xr:uid="{00000000-0005-0000-0000-0000F0710000}"/>
    <cellStyle name="60% - Accent3 2 2 6 2 2 2" xfId="19296" xr:uid="{00000000-0005-0000-0000-0000F1710000}"/>
    <cellStyle name="60% - Accent3 2 2 6 2 2 2 2" xfId="39776" xr:uid="{00000000-0005-0000-0000-0000F2710000}"/>
    <cellStyle name="60% - Accent3 2 2 6 2 2 3" xfId="29536" xr:uid="{00000000-0005-0000-0000-0000F3710000}"/>
    <cellStyle name="60% - Accent3 2 2 6 2 3" xfId="14176" xr:uid="{00000000-0005-0000-0000-0000F4710000}"/>
    <cellStyle name="60% - Accent3 2 2 6 2 3 2" xfId="34656" xr:uid="{00000000-0005-0000-0000-0000F5710000}"/>
    <cellStyle name="60% - Accent3 2 2 6 2 4" xfId="24416" xr:uid="{00000000-0005-0000-0000-0000F6710000}"/>
    <cellStyle name="60% - Accent3 2 2 6 3" xfId="6496" xr:uid="{00000000-0005-0000-0000-0000F7710000}"/>
    <cellStyle name="60% - Accent3 2 2 6 3 2" xfId="16736" xr:uid="{00000000-0005-0000-0000-0000F8710000}"/>
    <cellStyle name="60% - Accent3 2 2 6 3 2 2" xfId="37216" xr:uid="{00000000-0005-0000-0000-0000F9710000}"/>
    <cellStyle name="60% - Accent3 2 2 6 3 3" xfId="26976" xr:uid="{00000000-0005-0000-0000-0000FA710000}"/>
    <cellStyle name="60% - Accent3 2 2 6 4" xfId="11616" xr:uid="{00000000-0005-0000-0000-0000FB710000}"/>
    <cellStyle name="60% - Accent3 2 2 6 4 2" xfId="32096" xr:uid="{00000000-0005-0000-0000-0000FC710000}"/>
    <cellStyle name="60% - Accent3 2 2 6 5" xfId="21856" xr:uid="{00000000-0005-0000-0000-0000FD710000}"/>
    <cellStyle name="60% - Accent3 2 2 7" xfId="2656" xr:uid="{00000000-0005-0000-0000-0000FE710000}"/>
    <cellStyle name="60% - Accent3 2 2 7 2" xfId="7776" xr:uid="{00000000-0005-0000-0000-0000FF710000}"/>
    <cellStyle name="60% - Accent3 2 2 7 2 2" xfId="18016" xr:uid="{00000000-0005-0000-0000-000000720000}"/>
    <cellStyle name="60% - Accent3 2 2 7 2 2 2" xfId="38496" xr:uid="{00000000-0005-0000-0000-000001720000}"/>
    <cellStyle name="60% - Accent3 2 2 7 2 3" xfId="28256" xr:uid="{00000000-0005-0000-0000-000002720000}"/>
    <cellStyle name="60% - Accent3 2 2 7 3" xfId="12896" xr:uid="{00000000-0005-0000-0000-000003720000}"/>
    <cellStyle name="60% - Accent3 2 2 7 3 2" xfId="33376" xr:uid="{00000000-0005-0000-0000-000004720000}"/>
    <cellStyle name="60% - Accent3 2 2 7 4" xfId="23136" xr:uid="{00000000-0005-0000-0000-000005720000}"/>
    <cellStyle name="60% - Accent3 2 2 8" xfId="5216" xr:uid="{00000000-0005-0000-0000-000006720000}"/>
    <cellStyle name="60% - Accent3 2 2 8 2" xfId="15456" xr:uid="{00000000-0005-0000-0000-000007720000}"/>
    <cellStyle name="60% - Accent3 2 2 8 2 2" xfId="35936" xr:uid="{00000000-0005-0000-0000-000008720000}"/>
    <cellStyle name="60% - Accent3 2 2 8 3" xfId="25696" xr:uid="{00000000-0005-0000-0000-000009720000}"/>
    <cellStyle name="60% - Accent3 2 2 9" xfId="10336" xr:uid="{00000000-0005-0000-0000-00000A720000}"/>
    <cellStyle name="60% - Accent3 2 2 9 2" xfId="30816" xr:uid="{00000000-0005-0000-0000-00000B720000}"/>
    <cellStyle name="60% - Accent3 2 3" xfId="136" xr:uid="{00000000-0005-0000-0000-00000C720000}"/>
    <cellStyle name="60% - Accent3 2 3 2" xfId="296" xr:uid="{00000000-0005-0000-0000-00000D720000}"/>
    <cellStyle name="60% - Accent3 2 3 2 2" xfId="616" xr:uid="{00000000-0005-0000-0000-00000E720000}"/>
    <cellStyle name="60% - Accent3 2 3 2 2 2" xfId="1256" xr:uid="{00000000-0005-0000-0000-00000F720000}"/>
    <cellStyle name="60% - Accent3 2 3 2 2 2 2" xfId="2536" xr:uid="{00000000-0005-0000-0000-000010720000}"/>
    <cellStyle name="60% - Accent3 2 3 2 2 2 2 2" xfId="5096" xr:uid="{00000000-0005-0000-0000-000011720000}"/>
    <cellStyle name="60% - Accent3 2 3 2 2 2 2 2 2" xfId="10216" xr:uid="{00000000-0005-0000-0000-000012720000}"/>
    <cellStyle name="60% - Accent3 2 3 2 2 2 2 2 2 2" xfId="20456" xr:uid="{00000000-0005-0000-0000-000013720000}"/>
    <cellStyle name="60% - Accent3 2 3 2 2 2 2 2 2 2 2" xfId="40936" xr:uid="{00000000-0005-0000-0000-000014720000}"/>
    <cellStyle name="60% - Accent3 2 3 2 2 2 2 2 2 3" xfId="30696" xr:uid="{00000000-0005-0000-0000-000015720000}"/>
    <cellStyle name="60% - Accent3 2 3 2 2 2 2 2 3" xfId="15336" xr:uid="{00000000-0005-0000-0000-000016720000}"/>
    <cellStyle name="60% - Accent3 2 3 2 2 2 2 2 3 2" xfId="35816" xr:uid="{00000000-0005-0000-0000-000017720000}"/>
    <cellStyle name="60% - Accent3 2 3 2 2 2 2 2 4" xfId="25576" xr:uid="{00000000-0005-0000-0000-000018720000}"/>
    <cellStyle name="60% - Accent3 2 3 2 2 2 2 3" xfId="7656" xr:uid="{00000000-0005-0000-0000-000019720000}"/>
    <cellStyle name="60% - Accent3 2 3 2 2 2 2 3 2" xfId="17896" xr:uid="{00000000-0005-0000-0000-00001A720000}"/>
    <cellStyle name="60% - Accent3 2 3 2 2 2 2 3 2 2" xfId="38376" xr:uid="{00000000-0005-0000-0000-00001B720000}"/>
    <cellStyle name="60% - Accent3 2 3 2 2 2 2 3 3" xfId="28136" xr:uid="{00000000-0005-0000-0000-00001C720000}"/>
    <cellStyle name="60% - Accent3 2 3 2 2 2 2 4" xfId="12776" xr:uid="{00000000-0005-0000-0000-00001D720000}"/>
    <cellStyle name="60% - Accent3 2 3 2 2 2 2 4 2" xfId="33256" xr:uid="{00000000-0005-0000-0000-00001E720000}"/>
    <cellStyle name="60% - Accent3 2 3 2 2 2 2 5" xfId="23016" xr:uid="{00000000-0005-0000-0000-00001F720000}"/>
    <cellStyle name="60% - Accent3 2 3 2 2 2 3" xfId="3816" xr:uid="{00000000-0005-0000-0000-000020720000}"/>
    <cellStyle name="60% - Accent3 2 3 2 2 2 3 2" xfId="8936" xr:uid="{00000000-0005-0000-0000-000021720000}"/>
    <cellStyle name="60% - Accent3 2 3 2 2 2 3 2 2" xfId="19176" xr:uid="{00000000-0005-0000-0000-000022720000}"/>
    <cellStyle name="60% - Accent3 2 3 2 2 2 3 2 2 2" xfId="39656" xr:uid="{00000000-0005-0000-0000-000023720000}"/>
    <cellStyle name="60% - Accent3 2 3 2 2 2 3 2 3" xfId="29416" xr:uid="{00000000-0005-0000-0000-000024720000}"/>
    <cellStyle name="60% - Accent3 2 3 2 2 2 3 3" xfId="14056" xr:uid="{00000000-0005-0000-0000-000025720000}"/>
    <cellStyle name="60% - Accent3 2 3 2 2 2 3 3 2" xfId="34536" xr:uid="{00000000-0005-0000-0000-000026720000}"/>
    <cellStyle name="60% - Accent3 2 3 2 2 2 3 4" xfId="24296" xr:uid="{00000000-0005-0000-0000-000027720000}"/>
    <cellStyle name="60% - Accent3 2 3 2 2 2 4" xfId="6376" xr:uid="{00000000-0005-0000-0000-000028720000}"/>
    <cellStyle name="60% - Accent3 2 3 2 2 2 4 2" xfId="16616" xr:uid="{00000000-0005-0000-0000-000029720000}"/>
    <cellStyle name="60% - Accent3 2 3 2 2 2 4 2 2" xfId="37096" xr:uid="{00000000-0005-0000-0000-00002A720000}"/>
    <cellStyle name="60% - Accent3 2 3 2 2 2 4 3" xfId="26856" xr:uid="{00000000-0005-0000-0000-00002B720000}"/>
    <cellStyle name="60% - Accent3 2 3 2 2 2 5" xfId="11496" xr:uid="{00000000-0005-0000-0000-00002C720000}"/>
    <cellStyle name="60% - Accent3 2 3 2 2 2 5 2" xfId="31976" xr:uid="{00000000-0005-0000-0000-00002D720000}"/>
    <cellStyle name="60% - Accent3 2 3 2 2 2 6" xfId="21736" xr:uid="{00000000-0005-0000-0000-00002E720000}"/>
    <cellStyle name="60% - Accent3 2 3 2 2 3" xfId="1896" xr:uid="{00000000-0005-0000-0000-00002F720000}"/>
    <cellStyle name="60% - Accent3 2 3 2 2 3 2" xfId="4456" xr:uid="{00000000-0005-0000-0000-000030720000}"/>
    <cellStyle name="60% - Accent3 2 3 2 2 3 2 2" xfId="9576" xr:uid="{00000000-0005-0000-0000-000031720000}"/>
    <cellStyle name="60% - Accent3 2 3 2 2 3 2 2 2" xfId="19816" xr:uid="{00000000-0005-0000-0000-000032720000}"/>
    <cellStyle name="60% - Accent3 2 3 2 2 3 2 2 2 2" xfId="40296" xr:uid="{00000000-0005-0000-0000-000033720000}"/>
    <cellStyle name="60% - Accent3 2 3 2 2 3 2 2 3" xfId="30056" xr:uid="{00000000-0005-0000-0000-000034720000}"/>
    <cellStyle name="60% - Accent3 2 3 2 2 3 2 3" xfId="14696" xr:uid="{00000000-0005-0000-0000-000035720000}"/>
    <cellStyle name="60% - Accent3 2 3 2 2 3 2 3 2" xfId="35176" xr:uid="{00000000-0005-0000-0000-000036720000}"/>
    <cellStyle name="60% - Accent3 2 3 2 2 3 2 4" xfId="24936" xr:uid="{00000000-0005-0000-0000-000037720000}"/>
    <cellStyle name="60% - Accent3 2 3 2 2 3 3" xfId="7016" xr:uid="{00000000-0005-0000-0000-000038720000}"/>
    <cellStyle name="60% - Accent3 2 3 2 2 3 3 2" xfId="17256" xr:uid="{00000000-0005-0000-0000-000039720000}"/>
    <cellStyle name="60% - Accent3 2 3 2 2 3 3 2 2" xfId="37736" xr:uid="{00000000-0005-0000-0000-00003A720000}"/>
    <cellStyle name="60% - Accent3 2 3 2 2 3 3 3" xfId="27496" xr:uid="{00000000-0005-0000-0000-00003B720000}"/>
    <cellStyle name="60% - Accent3 2 3 2 2 3 4" xfId="12136" xr:uid="{00000000-0005-0000-0000-00003C720000}"/>
    <cellStyle name="60% - Accent3 2 3 2 2 3 4 2" xfId="32616" xr:uid="{00000000-0005-0000-0000-00003D720000}"/>
    <cellStyle name="60% - Accent3 2 3 2 2 3 5" xfId="22376" xr:uid="{00000000-0005-0000-0000-00003E720000}"/>
    <cellStyle name="60% - Accent3 2 3 2 2 4" xfId="3176" xr:uid="{00000000-0005-0000-0000-00003F720000}"/>
    <cellStyle name="60% - Accent3 2 3 2 2 4 2" xfId="8296" xr:uid="{00000000-0005-0000-0000-000040720000}"/>
    <cellStyle name="60% - Accent3 2 3 2 2 4 2 2" xfId="18536" xr:uid="{00000000-0005-0000-0000-000041720000}"/>
    <cellStyle name="60% - Accent3 2 3 2 2 4 2 2 2" xfId="39016" xr:uid="{00000000-0005-0000-0000-000042720000}"/>
    <cellStyle name="60% - Accent3 2 3 2 2 4 2 3" xfId="28776" xr:uid="{00000000-0005-0000-0000-000043720000}"/>
    <cellStyle name="60% - Accent3 2 3 2 2 4 3" xfId="13416" xr:uid="{00000000-0005-0000-0000-000044720000}"/>
    <cellStyle name="60% - Accent3 2 3 2 2 4 3 2" xfId="33896" xr:uid="{00000000-0005-0000-0000-000045720000}"/>
    <cellStyle name="60% - Accent3 2 3 2 2 4 4" xfId="23656" xr:uid="{00000000-0005-0000-0000-000046720000}"/>
    <cellStyle name="60% - Accent3 2 3 2 2 5" xfId="5736" xr:uid="{00000000-0005-0000-0000-000047720000}"/>
    <cellStyle name="60% - Accent3 2 3 2 2 5 2" xfId="15976" xr:uid="{00000000-0005-0000-0000-000048720000}"/>
    <cellStyle name="60% - Accent3 2 3 2 2 5 2 2" xfId="36456" xr:uid="{00000000-0005-0000-0000-000049720000}"/>
    <cellStyle name="60% - Accent3 2 3 2 2 5 3" xfId="26216" xr:uid="{00000000-0005-0000-0000-00004A720000}"/>
    <cellStyle name="60% - Accent3 2 3 2 2 6" xfId="10856" xr:uid="{00000000-0005-0000-0000-00004B720000}"/>
    <cellStyle name="60% - Accent3 2 3 2 2 6 2" xfId="31336" xr:uid="{00000000-0005-0000-0000-00004C720000}"/>
    <cellStyle name="60% - Accent3 2 3 2 2 7" xfId="21096" xr:uid="{00000000-0005-0000-0000-00004D720000}"/>
    <cellStyle name="60% - Accent3 2 3 2 3" xfId="936" xr:uid="{00000000-0005-0000-0000-00004E720000}"/>
    <cellStyle name="60% - Accent3 2 3 2 3 2" xfId="2216" xr:uid="{00000000-0005-0000-0000-00004F720000}"/>
    <cellStyle name="60% - Accent3 2 3 2 3 2 2" xfId="4776" xr:uid="{00000000-0005-0000-0000-000050720000}"/>
    <cellStyle name="60% - Accent3 2 3 2 3 2 2 2" xfId="9896" xr:uid="{00000000-0005-0000-0000-000051720000}"/>
    <cellStyle name="60% - Accent3 2 3 2 3 2 2 2 2" xfId="20136" xr:uid="{00000000-0005-0000-0000-000052720000}"/>
    <cellStyle name="60% - Accent3 2 3 2 3 2 2 2 2 2" xfId="40616" xr:uid="{00000000-0005-0000-0000-000053720000}"/>
    <cellStyle name="60% - Accent3 2 3 2 3 2 2 2 3" xfId="30376" xr:uid="{00000000-0005-0000-0000-000054720000}"/>
    <cellStyle name="60% - Accent3 2 3 2 3 2 2 3" xfId="15016" xr:uid="{00000000-0005-0000-0000-000055720000}"/>
    <cellStyle name="60% - Accent3 2 3 2 3 2 2 3 2" xfId="35496" xr:uid="{00000000-0005-0000-0000-000056720000}"/>
    <cellStyle name="60% - Accent3 2 3 2 3 2 2 4" xfId="25256" xr:uid="{00000000-0005-0000-0000-000057720000}"/>
    <cellStyle name="60% - Accent3 2 3 2 3 2 3" xfId="7336" xr:uid="{00000000-0005-0000-0000-000058720000}"/>
    <cellStyle name="60% - Accent3 2 3 2 3 2 3 2" xfId="17576" xr:uid="{00000000-0005-0000-0000-000059720000}"/>
    <cellStyle name="60% - Accent3 2 3 2 3 2 3 2 2" xfId="38056" xr:uid="{00000000-0005-0000-0000-00005A720000}"/>
    <cellStyle name="60% - Accent3 2 3 2 3 2 3 3" xfId="27816" xr:uid="{00000000-0005-0000-0000-00005B720000}"/>
    <cellStyle name="60% - Accent3 2 3 2 3 2 4" xfId="12456" xr:uid="{00000000-0005-0000-0000-00005C720000}"/>
    <cellStyle name="60% - Accent3 2 3 2 3 2 4 2" xfId="32936" xr:uid="{00000000-0005-0000-0000-00005D720000}"/>
    <cellStyle name="60% - Accent3 2 3 2 3 2 5" xfId="22696" xr:uid="{00000000-0005-0000-0000-00005E720000}"/>
    <cellStyle name="60% - Accent3 2 3 2 3 3" xfId="3496" xr:uid="{00000000-0005-0000-0000-00005F720000}"/>
    <cellStyle name="60% - Accent3 2 3 2 3 3 2" xfId="8616" xr:uid="{00000000-0005-0000-0000-000060720000}"/>
    <cellStyle name="60% - Accent3 2 3 2 3 3 2 2" xfId="18856" xr:uid="{00000000-0005-0000-0000-000061720000}"/>
    <cellStyle name="60% - Accent3 2 3 2 3 3 2 2 2" xfId="39336" xr:uid="{00000000-0005-0000-0000-000062720000}"/>
    <cellStyle name="60% - Accent3 2 3 2 3 3 2 3" xfId="29096" xr:uid="{00000000-0005-0000-0000-000063720000}"/>
    <cellStyle name="60% - Accent3 2 3 2 3 3 3" xfId="13736" xr:uid="{00000000-0005-0000-0000-000064720000}"/>
    <cellStyle name="60% - Accent3 2 3 2 3 3 3 2" xfId="34216" xr:uid="{00000000-0005-0000-0000-000065720000}"/>
    <cellStyle name="60% - Accent3 2 3 2 3 3 4" xfId="23976" xr:uid="{00000000-0005-0000-0000-000066720000}"/>
    <cellStyle name="60% - Accent3 2 3 2 3 4" xfId="6056" xr:uid="{00000000-0005-0000-0000-000067720000}"/>
    <cellStyle name="60% - Accent3 2 3 2 3 4 2" xfId="16296" xr:uid="{00000000-0005-0000-0000-000068720000}"/>
    <cellStyle name="60% - Accent3 2 3 2 3 4 2 2" xfId="36776" xr:uid="{00000000-0005-0000-0000-000069720000}"/>
    <cellStyle name="60% - Accent3 2 3 2 3 4 3" xfId="26536" xr:uid="{00000000-0005-0000-0000-00006A720000}"/>
    <cellStyle name="60% - Accent3 2 3 2 3 5" xfId="11176" xr:uid="{00000000-0005-0000-0000-00006B720000}"/>
    <cellStyle name="60% - Accent3 2 3 2 3 5 2" xfId="31656" xr:uid="{00000000-0005-0000-0000-00006C720000}"/>
    <cellStyle name="60% - Accent3 2 3 2 3 6" xfId="21416" xr:uid="{00000000-0005-0000-0000-00006D720000}"/>
    <cellStyle name="60% - Accent3 2 3 2 4" xfId="1576" xr:uid="{00000000-0005-0000-0000-00006E720000}"/>
    <cellStyle name="60% - Accent3 2 3 2 4 2" xfId="4136" xr:uid="{00000000-0005-0000-0000-00006F720000}"/>
    <cellStyle name="60% - Accent3 2 3 2 4 2 2" xfId="9256" xr:uid="{00000000-0005-0000-0000-000070720000}"/>
    <cellStyle name="60% - Accent3 2 3 2 4 2 2 2" xfId="19496" xr:uid="{00000000-0005-0000-0000-000071720000}"/>
    <cellStyle name="60% - Accent3 2 3 2 4 2 2 2 2" xfId="39976" xr:uid="{00000000-0005-0000-0000-000072720000}"/>
    <cellStyle name="60% - Accent3 2 3 2 4 2 2 3" xfId="29736" xr:uid="{00000000-0005-0000-0000-000073720000}"/>
    <cellStyle name="60% - Accent3 2 3 2 4 2 3" xfId="14376" xr:uid="{00000000-0005-0000-0000-000074720000}"/>
    <cellStyle name="60% - Accent3 2 3 2 4 2 3 2" xfId="34856" xr:uid="{00000000-0005-0000-0000-000075720000}"/>
    <cellStyle name="60% - Accent3 2 3 2 4 2 4" xfId="24616" xr:uid="{00000000-0005-0000-0000-000076720000}"/>
    <cellStyle name="60% - Accent3 2 3 2 4 3" xfId="6696" xr:uid="{00000000-0005-0000-0000-000077720000}"/>
    <cellStyle name="60% - Accent3 2 3 2 4 3 2" xfId="16936" xr:uid="{00000000-0005-0000-0000-000078720000}"/>
    <cellStyle name="60% - Accent3 2 3 2 4 3 2 2" xfId="37416" xr:uid="{00000000-0005-0000-0000-000079720000}"/>
    <cellStyle name="60% - Accent3 2 3 2 4 3 3" xfId="27176" xr:uid="{00000000-0005-0000-0000-00007A720000}"/>
    <cellStyle name="60% - Accent3 2 3 2 4 4" xfId="11816" xr:uid="{00000000-0005-0000-0000-00007B720000}"/>
    <cellStyle name="60% - Accent3 2 3 2 4 4 2" xfId="32296" xr:uid="{00000000-0005-0000-0000-00007C720000}"/>
    <cellStyle name="60% - Accent3 2 3 2 4 5" xfId="22056" xr:uid="{00000000-0005-0000-0000-00007D720000}"/>
    <cellStyle name="60% - Accent3 2 3 2 5" xfId="2856" xr:uid="{00000000-0005-0000-0000-00007E720000}"/>
    <cellStyle name="60% - Accent3 2 3 2 5 2" xfId="7976" xr:uid="{00000000-0005-0000-0000-00007F720000}"/>
    <cellStyle name="60% - Accent3 2 3 2 5 2 2" xfId="18216" xr:uid="{00000000-0005-0000-0000-000080720000}"/>
    <cellStyle name="60% - Accent3 2 3 2 5 2 2 2" xfId="38696" xr:uid="{00000000-0005-0000-0000-000081720000}"/>
    <cellStyle name="60% - Accent3 2 3 2 5 2 3" xfId="28456" xr:uid="{00000000-0005-0000-0000-000082720000}"/>
    <cellStyle name="60% - Accent3 2 3 2 5 3" xfId="13096" xr:uid="{00000000-0005-0000-0000-000083720000}"/>
    <cellStyle name="60% - Accent3 2 3 2 5 3 2" xfId="33576" xr:uid="{00000000-0005-0000-0000-000084720000}"/>
    <cellStyle name="60% - Accent3 2 3 2 5 4" xfId="23336" xr:uid="{00000000-0005-0000-0000-000085720000}"/>
    <cellStyle name="60% - Accent3 2 3 2 6" xfId="5416" xr:uid="{00000000-0005-0000-0000-000086720000}"/>
    <cellStyle name="60% - Accent3 2 3 2 6 2" xfId="15656" xr:uid="{00000000-0005-0000-0000-000087720000}"/>
    <cellStyle name="60% - Accent3 2 3 2 6 2 2" xfId="36136" xr:uid="{00000000-0005-0000-0000-000088720000}"/>
    <cellStyle name="60% - Accent3 2 3 2 6 3" xfId="25896" xr:uid="{00000000-0005-0000-0000-000089720000}"/>
    <cellStyle name="60% - Accent3 2 3 2 7" xfId="10536" xr:uid="{00000000-0005-0000-0000-00008A720000}"/>
    <cellStyle name="60% - Accent3 2 3 2 7 2" xfId="31016" xr:uid="{00000000-0005-0000-0000-00008B720000}"/>
    <cellStyle name="60% - Accent3 2 3 2 8" xfId="20776" xr:uid="{00000000-0005-0000-0000-00008C720000}"/>
    <cellStyle name="60% - Accent3 2 3 3" xfId="456" xr:uid="{00000000-0005-0000-0000-00008D720000}"/>
    <cellStyle name="60% - Accent3 2 3 3 2" xfId="1096" xr:uid="{00000000-0005-0000-0000-00008E720000}"/>
    <cellStyle name="60% - Accent3 2 3 3 2 2" xfId="2376" xr:uid="{00000000-0005-0000-0000-00008F720000}"/>
    <cellStyle name="60% - Accent3 2 3 3 2 2 2" xfId="4936" xr:uid="{00000000-0005-0000-0000-000090720000}"/>
    <cellStyle name="60% - Accent3 2 3 3 2 2 2 2" xfId="10056" xr:uid="{00000000-0005-0000-0000-000091720000}"/>
    <cellStyle name="60% - Accent3 2 3 3 2 2 2 2 2" xfId="20296" xr:uid="{00000000-0005-0000-0000-000092720000}"/>
    <cellStyle name="60% - Accent3 2 3 3 2 2 2 2 2 2" xfId="40776" xr:uid="{00000000-0005-0000-0000-000093720000}"/>
    <cellStyle name="60% - Accent3 2 3 3 2 2 2 2 3" xfId="30536" xr:uid="{00000000-0005-0000-0000-000094720000}"/>
    <cellStyle name="60% - Accent3 2 3 3 2 2 2 3" xfId="15176" xr:uid="{00000000-0005-0000-0000-000095720000}"/>
    <cellStyle name="60% - Accent3 2 3 3 2 2 2 3 2" xfId="35656" xr:uid="{00000000-0005-0000-0000-000096720000}"/>
    <cellStyle name="60% - Accent3 2 3 3 2 2 2 4" xfId="25416" xr:uid="{00000000-0005-0000-0000-000097720000}"/>
    <cellStyle name="60% - Accent3 2 3 3 2 2 3" xfId="7496" xr:uid="{00000000-0005-0000-0000-000098720000}"/>
    <cellStyle name="60% - Accent3 2 3 3 2 2 3 2" xfId="17736" xr:uid="{00000000-0005-0000-0000-000099720000}"/>
    <cellStyle name="60% - Accent3 2 3 3 2 2 3 2 2" xfId="38216" xr:uid="{00000000-0005-0000-0000-00009A720000}"/>
    <cellStyle name="60% - Accent3 2 3 3 2 2 3 3" xfId="27976" xr:uid="{00000000-0005-0000-0000-00009B720000}"/>
    <cellStyle name="60% - Accent3 2 3 3 2 2 4" xfId="12616" xr:uid="{00000000-0005-0000-0000-00009C720000}"/>
    <cellStyle name="60% - Accent3 2 3 3 2 2 4 2" xfId="33096" xr:uid="{00000000-0005-0000-0000-00009D720000}"/>
    <cellStyle name="60% - Accent3 2 3 3 2 2 5" xfId="22856" xr:uid="{00000000-0005-0000-0000-00009E720000}"/>
    <cellStyle name="60% - Accent3 2 3 3 2 3" xfId="3656" xr:uid="{00000000-0005-0000-0000-00009F720000}"/>
    <cellStyle name="60% - Accent3 2 3 3 2 3 2" xfId="8776" xr:uid="{00000000-0005-0000-0000-0000A0720000}"/>
    <cellStyle name="60% - Accent3 2 3 3 2 3 2 2" xfId="19016" xr:uid="{00000000-0005-0000-0000-0000A1720000}"/>
    <cellStyle name="60% - Accent3 2 3 3 2 3 2 2 2" xfId="39496" xr:uid="{00000000-0005-0000-0000-0000A2720000}"/>
    <cellStyle name="60% - Accent3 2 3 3 2 3 2 3" xfId="29256" xr:uid="{00000000-0005-0000-0000-0000A3720000}"/>
    <cellStyle name="60% - Accent3 2 3 3 2 3 3" xfId="13896" xr:uid="{00000000-0005-0000-0000-0000A4720000}"/>
    <cellStyle name="60% - Accent3 2 3 3 2 3 3 2" xfId="34376" xr:uid="{00000000-0005-0000-0000-0000A5720000}"/>
    <cellStyle name="60% - Accent3 2 3 3 2 3 4" xfId="24136" xr:uid="{00000000-0005-0000-0000-0000A6720000}"/>
    <cellStyle name="60% - Accent3 2 3 3 2 4" xfId="6216" xr:uid="{00000000-0005-0000-0000-0000A7720000}"/>
    <cellStyle name="60% - Accent3 2 3 3 2 4 2" xfId="16456" xr:uid="{00000000-0005-0000-0000-0000A8720000}"/>
    <cellStyle name="60% - Accent3 2 3 3 2 4 2 2" xfId="36936" xr:uid="{00000000-0005-0000-0000-0000A9720000}"/>
    <cellStyle name="60% - Accent3 2 3 3 2 4 3" xfId="26696" xr:uid="{00000000-0005-0000-0000-0000AA720000}"/>
    <cellStyle name="60% - Accent3 2 3 3 2 5" xfId="11336" xr:uid="{00000000-0005-0000-0000-0000AB720000}"/>
    <cellStyle name="60% - Accent3 2 3 3 2 5 2" xfId="31816" xr:uid="{00000000-0005-0000-0000-0000AC720000}"/>
    <cellStyle name="60% - Accent3 2 3 3 2 6" xfId="21576" xr:uid="{00000000-0005-0000-0000-0000AD720000}"/>
    <cellStyle name="60% - Accent3 2 3 3 3" xfId="1736" xr:uid="{00000000-0005-0000-0000-0000AE720000}"/>
    <cellStyle name="60% - Accent3 2 3 3 3 2" xfId="4296" xr:uid="{00000000-0005-0000-0000-0000AF720000}"/>
    <cellStyle name="60% - Accent3 2 3 3 3 2 2" xfId="9416" xr:uid="{00000000-0005-0000-0000-0000B0720000}"/>
    <cellStyle name="60% - Accent3 2 3 3 3 2 2 2" xfId="19656" xr:uid="{00000000-0005-0000-0000-0000B1720000}"/>
    <cellStyle name="60% - Accent3 2 3 3 3 2 2 2 2" xfId="40136" xr:uid="{00000000-0005-0000-0000-0000B2720000}"/>
    <cellStyle name="60% - Accent3 2 3 3 3 2 2 3" xfId="29896" xr:uid="{00000000-0005-0000-0000-0000B3720000}"/>
    <cellStyle name="60% - Accent3 2 3 3 3 2 3" xfId="14536" xr:uid="{00000000-0005-0000-0000-0000B4720000}"/>
    <cellStyle name="60% - Accent3 2 3 3 3 2 3 2" xfId="35016" xr:uid="{00000000-0005-0000-0000-0000B5720000}"/>
    <cellStyle name="60% - Accent3 2 3 3 3 2 4" xfId="24776" xr:uid="{00000000-0005-0000-0000-0000B6720000}"/>
    <cellStyle name="60% - Accent3 2 3 3 3 3" xfId="6856" xr:uid="{00000000-0005-0000-0000-0000B7720000}"/>
    <cellStyle name="60% - Accent3 2 3 3 3 3 2" xfId="17096" xr:uid="{00000000-0005-0000-0000-0000B8720000}"/>
    <cellStyle name="60% - Accent3 2 3 3 3 3 2 2" xfId="37576" xr:uid="{00000000-0005-0000-0000-0000B9720000}"/>
    <cellStyle name="60% - Accent3 2 3 3 3 3 3" xfId="27336" xr:uid="{00000000-0005-0000-0000-0000BA720000}"/>
    <cellStyle name="60% - Accent3 2 3 3 3 4" xfId="11976" xr:uid="{00000000-0005-0000-0000-0000BB720000}"/>
    <cellStyle name="60% - Accent3 2 3 3 3 4 2" xfId="32456" xr:uid="{00000000-0005-0000-0000-0000BC720000}"/>
    <cellStyle name="60% - Accent3 2 3 3 3 5" xfId="22216" xr:uid="{00000000-0005-0000-0000-0000BD720000}"/>
    <cellStyle name="60% - Accent3 2 3 3 4" xfId="3016" xr:uid="{00000000-0005-0000-0000-0000BE720000}"/>
    <cellStyle name="60% - Accent3 2 3 3 4 2" xfId="8136" xr:uid="{00000000-0005-0000-0000-0000BF720000}"/>
    <cellStyle name="60% - Accent3 2 3 3 4 2 2" xfId="18376" xr:uid="{00000000-0005-0000-0000-0000C0720000}"/>
    <cellStyle name="60% - Accent3 2 3 3 4 2 2 2" xfId="38856" xr:uid="{00000000-0005-0000-0000-0000C1720000}"/>
    <cellStyle name="60% - Accent3 2 3 3 4 2 3" xfId="28616" xr:uid="{00000000-0005-0000-0000-0000C2720000}"/>
    <cellStyle name="60% - Accent3 2 3 3 4 3" xfId="13256" xr:uid="{00000000-0005-0000-0000-0000C3720000}"/>
    <cellStyle name="60% - Accent3 2 3 3 4 3 2" xfId="33736" xr:uid="{00000000-0005-0000-0000-0000C4720000}"/>
    <cellStyle name="60% - Accent3 2 3 3 4 4" xfId="23496" xr:uid="{00000000-0005-0000-0000-0000C5720000}"/>
    <cellStyle name="60% - Accent3 2 3 3 5" xfId="5576" xr:uid="{00000000-0005-0000-0000-0000C6720000}"/>
    <cellStyle name="60% - Accent3 2 3 3 5 2" xfId="15816" xr:uid="{00000000-0005-0000-0000-0000C7720000}"/>
    <cellStyle name="60% - Accent3 2 3 3 5 2 2" xfId="36296" xr:uid="{00000000-0005-0000-0000-0000C8720000}"/>
    <cellStyle name="60% - Accent3 2 3 3 5 3" xfId="26056" xr:uid="{00000000-0005-0000-0000-0000C9720000}"/>
    <cellStyle name="60% - Accent3 2 3 3 6" xfId="10696" xr:uid="{00000000-0005-0000-0000-0000CA720000}"/>
    <cellStyle name="60% - Accent3 2 3 3 6 2" xfId="31176" xr:uid="{00000000-0005-0000-0000-0000CB720000}"/>
    <cellStyle name="60% - Accent3 2 3 3 7" xfId="20936" xr:uid="{00000000-0005-0000-0000-0000CC720000}"/>
    <cellStyle name="60% - Accent3 2 3 4" xfId="776" xr:uid="{00000000-0005-0000-0000-0000CD720000}"/>
    <cellStyle name="60% - Accent3 2 3 4 2" xfId="2056" xr:uid="{00000000-0005-0000-0000-0000CE720000}"/>
    <cellStyle name="60% - Accent3 2 3 4 2 2" xfId="4616" xr:uid="{00000000-0005-0000-0000-0000CF720000}"/>
    <cellStyle name="60% - Accent3 2 3 4 2 2 2" xfId="9736" xr:uid="{00000000-0005-0000-0000-0000D0720000}"/>
    <cellStyle name="60% - Accent3 2 3 4 2 2 2 2" xfId="19976" xr:uid="{00000000-0005-0000-0000-0000D1720000}"/>
    <cellStyle name="60% - Accent3 2 3 4 2 2 2 2 2" xfId="40456" xr:uid="{00000000-0005-0000-0000-0000D2720000}"/>
    <cellStyle name="60% - Accent3 2 3 4 2 2 2 3" xfId="30216" xr:uid="{00000000-0005-0000-0000-0000D3720000}"/>
    <cellStyle name="60% - Accent3 2 3 4 2 2 3" xfId="14856" xr:uid="{00000000-0005-0000-0000-0000D4720000}"/>
    <cellStyle name="60% - Accent3 2 3 4 2 2 3 2" xfId="35336" xr:uid="{00000000-0005-0000-0000-0000D5720000}"/>
    <cellStyle name="60% - Accent3 2 3 4 2 2 4" xfId="25096" xr:uid="{00000000-0005-0000-0000-0000D6720000}"/>
    <cellStyle name="60% - Accent3 2 3 4 2 3" xfId="7176" xr:uid="{00000000-0005-0000-0000-0000D7720000}"/>
    <cellStyle name="60% - Accent3 2 3 4 2 3 2" xfId="17416" xr:uid="{00000000-0005-0000-0000-0000D8720000}"/>
    <cellStyle name="60% - Accent3 2 3 4 2 3 2 2" xfId="37896" xr:uid="{00000000-0005-0000-0000-0000D9720000}"/>
    <cellStyle name="60% - Accent3 2 3 4 2 3 3" xfId="27656" xr:uid="{00000000-0005-0000-0000-0000DA720000}"/>
    <cellStyle name="60% - Accent3 2 3 4 2 4" xfId="12296" xr:uid="{00000000-0005-0000-0000-0000DB720000}"/>
    <cellStyle name="60% - Accent3 2 3 4 2 4 2" xfId="32776" xr:uid="{00000000-0005-0000-0000-0000DC720000}"/>
    <cellStyle name="60% - Accent3 2 3 4 2 5" xfId="22536" xr:uid="{00000000-0005-0000-0000-0000DD720000}"/>
    <cellStyle name="60% - Accent3 2 3 4 3" xfId="3336" xr:uid="{00000000-0005-0000-0000-0000DE720000}"/>
    <cellStyle name="60% - Accent3 2 3 4 3 2" xfId="8456" xr:uid="{00000000-0005-0000-0000-0000DF720000}"/>
    <cellStyle name="60% - Accent3 2 3 4 3 2 2" xfId="18696" xr:uid="{00000000-0005-0000-0000-0000E0720000}"/>
    <cellStyle name="60% - Accent3 2 3 4 3 2 2 2" xfId="39176" xr:uid="{00000000-0005-0000-0000-0000E1720000}"/>
    <cellStyle name="60% - Accent3 2 3 4 3 2 3" xfId="28936" xr:uid="{00000000-0005-0000-0000-0000E2720000}"/>
    <cellStyle name="60% - Accent3 2 3 4 3 3" xfId="13576" xr:uid="{00000000-0005-0000-0000-0000E3720000}"/>
    <cellStyle name="60% - Accent3 2 3 4 3 3 2" xfId="34056" xr:uid="{00000000-0005-0000-0000-0000E4720000}"/>
    <cellStyle name="60% - Accent3 2 3 4 3 4" xfId="23816" xr:uid="{00000000-0005-0000-0000-0000E5720000}"/>
    <cellStyle name="60% - Accent3 2 3 4 4" xfId="5896" xr:uid="{00000000-0005-0000-0000-0000E6720000}"/>
    <cellStyle name="60% - Accent3 2 3 4 4 2" xfId="16136" xr:uid="{00000000-0005-0000-0000-0000E7720000}"/>
    <cellStyle name="60% - Accent3 2 3 4 4 2 2" xfId="36616" xr:uid="{00000000-0005-0000-0000-0000E8720000}"/>
    <cellStyle name="60% - Accent3 2 3 4 4 3" xfId="26376" xr:uid="{00000000-0005-0000-0000-0000E9720000}"/>
    <cellStyle name="60% - Accent3 2 3 4 5" xfId="11016" xr:uid="{00000000-0005-0000-0000-0000EA720000}"/>
    <cellStyle name="60% - Accent3 2 3 4 5 2" xfId="31496" xr:uid="{00000000-0005-0000-0000-0000EB720000}"/>
    <cellStyle name="60% - Accent3 2 3 4 6" xfId="21256" xr:uid="{00000000-0005-0000-0000-0000EC720000}"/>
    <cellStyle name="60% - Accent3 2 3 5" xfId="1416" xr:uid="{00000000-0005-0000-0000-0000ED720000}"/>
    <cellStyle name="60% - Accent3 2 3 5 2" xfId="3976" xr:uid="{00000000-0005-0000-0000-0000EE720000}"/>
    <cellStyle name="60% - Accent3 2 3 5 2 2" xfId="9096" xr:uid="{00000000-0005-0000-0000-0000EF720000}"/>
    <cellStyle name="60% - Accent3 2 3 5 2 2 2" xfId="19336" xr:uid="{00000000-0005-0000-0000-0000F0720000}"/>
    <cellStyle name="60% - Accent3 2 3 5 2 2 2 2" xfId="39816" xr:uid="{00000000-0005-0000-0000-0000F1720000}"/>
    <cellStyle name="60% - Accent3 2 3 5 2 2 3" xfId="29576" xr:uid="{00000000-0005-0000-0000-0000F2720000}"/>
    <cellStyle name="60% - Accent3 2 3 5 2 3" xfId="14216" xr:uid="{00000000-0005-0000-0000-0000F3720000}"/>
    <cellStyle name="60% - Accent3 2 3 5 2 3 2" xfId="34696" xr:uid="{00000000-0005-0000-0000-0000F4720000}"/>
    <cellStyle name="60% - Accent3 2 3 5 2 4" xfId="24456" xr:uid="{00000000-0005-0000-0000-0000F5720000}"/>
    <cellStyle name="60% - Accent3 2 3 5 3" xfId="6536" xr:uid="{00000000-0005-0000-0000-0000F6720000}"/>
    <cellStyle name="60% - Accent3 2 3 5 3 2" xfId="16776" xr:uid="{00000000-0005-0000-0000-0000F7720000}"/>
    <cellStyle name="60% - Accent3 2 3 5 3 2 2" xfId="37256" xr:uid="{00000000-0005-0000-0000-0000F8720000}"/>
    <cellStyle name="60% - Accent3 2 3 5 3 3" xfId="27016" xr:uid="{00000000-0005-0000-0000-0000F9720000}"/>
    <cellStyle name="60% - Accent3 2 3 5 4" xfId="11656" xr:uid="{00000000-0005-0000-0000-0000FA720000}"/>
    <cellStyle name="60% - Accent3 2 3 5 4 2" xfId="32136" xr:uid="{00000000-0005-0000-0000-0000FB720000}"/>
    <cellStyle name="60% - Accent3 2 3 5 5" xfId="21896" xr:uid="{00000000-0005-0000-0000-0000FC720000}"/>
    <cellStyle name="60% - Accent3 2 3 6" xfId="2696" xr:uid="{00000000-0005-0000-0000-0000FD720000}"/>
    <cellStyle name="60% - Accent3 2 3 6 2" xfId="7816" xr:uid="{00000000-0005-0000-0000-0000FE720000}"/>
    <cellStyle name="60% - Accent3 2 3 6 2 2" xfId="18056" xr:uid="{00000000-0005-0000-0000-0000FF720000}"/>
    <cellStyle name="60% - Accent3 2 3 6 2 2 2" xfId="38536" xr:uid="{00000000-0005-0000-0000-000000730000}"/>
    <cellStyle name="60% - Accent3 2 3 6 2 3" xfId="28296" xr:uid="{00000000-0005-0000-0000-000001730000}"/>
    <cellStyle name="60% - Accent3 2 3 6 3" xfId="12936" xr:uid="{00000000-0005-0000-0000-000002730000}"/>
    <cellStyle name="60% - Accent3 2 3 6 3 2" xfId="33416" xr:uid="{00000000-0005-0000-0000-000003730000}"/>
    <cellStyle name="60% - Accent3 2 3 6 4" xfId="23176" xr:uid="{00000000-0005-0000-0000-000004730000}"/>
    <cellStyle name="60% - Accent3 2 3 7" xfId="5256" xr:uid="{00000000-0005-0000-0000-000005730000}"/>
    <cellStyle name="60% - Accent3 2 3 7 2" xfId="15496" xr:uid="{00000000-0005-0000-0000-000006730000}"/>
    <cellStyle name="60% - Accent3 2 3 7 2 2" xfId="35976" xr:uid="{00000000-0005-0000-0000-000007730000}"/>
    <cellStyle name="60% - Accent3 2 3 7 3" xfId="25736" xr:uid="{00000000-0005-0000-0000-000008730000}"/>
    <cellStyle name="60% - Accent3 2 3 8" xfId="10376" xr:uid="{00000000-0005-0000-0000-000009730000}"/>
    <cellStyle name="60% - Accent3 2 3 8 2" xfId="30856" xr:uid="{00000000-0005-0000-0000-00000A730000}"/>
    <cellStyle name="60% - Accent3 2 3 9" xfId="20616" xr:uid="{00000000-0005-0000-0000-00000B730000}"/>
    <cellStyle name="60% - Accent3 2 4" xfId="216" xr:uid="{00000000-0005-0000-0000-00000C730000}"/>
    <cellStyle name="60% - Accent3 2 4 2" xfId="536" xr:uid="{00000000-0005-0000-0000-00000D730000}"/>
    <cellStyle name="60% - Accent3 2 4 2 2" xfId="1176" xr:uid="{00000000-0005-0000-0000-00000E730000}"/>
    <cellStyle name="60% - Accent3 2 4 2 2 2" xfId="2456" xr:uid="{00000000-0005-0000-0000-00000F730000}"/>
    <cellStyle name="60% - Accent3 2 4 2 2 2 2" xfId="5016" xr:uid="{00000000-0005-0000-0000-000010730000}"/>
    <cellStyle name="60% - Accent3 2 4 2 2 2 2 2" xfId="10136" xr:uid="{00000000-0005-0000-0000-000011730000}"/>
    <cellStyle name="60% - Accent3 2 4 2 2 2 2 2 2" xfId="20376" xr:uid="{00000000-0005-0000-0000-000012730000}"/>
    <cellStyle name="60% - Accent3 2 4 2 2 2 2 2 2 2" xfId="40856" xr:uid="{00000000-0005-0000-0000-000013730000}"/>
    <cellStyle name="60% - Accent3 2 4 2 2 2 2 2 3" xfId="30616" xr:uid="{00000000-0005-0000-0000-000014730000}"/>
    <cellStyle name="60% - Accent3 2 4 2 2 2 2 3" xfId="15256" xr:uid="{00000000-0005-0000-0000-000015730000}"/>
    <cellStyle name="60% - Accent3 2 4 2 2 2 2 3 2" xfId="35736" xr:uid="{00000000-0005-0000-0000-000016730000}"/>
    <cellStyle name="60% - Accent3 2 4 2 2 2 2 4" xfId="25496" xr:uid="{00000000-0005-0000-0000-000017730000}"/>
    <cellStyle name="60% - Accent3 2 4 2 2 2 3" xfId="7576" xr:uid="{00000000-0005-0000-0000-000018730000}"/>
    <cellStyle name="60% - Accent3 2 4 2 2 2 3 2" xfId="17816" xr:uid="{00000000-0005-0000-0000-000019730000}"/>
    <cellStyle name="60% - Accent3 2 4 2 2 2 3 2 2" xfId="38296" xr:uid="{00000000-0005-0000-0000-00001A730000}"/>
    <cellStyle name="60% - Accent3 2 4 2 2 2 3 3" xfId="28056" xr:uid="{00000000-0005-0000-0000-00001B730000}"/>
    <cellStyle name="60% - Accent3 2 4 2 2 2 4" xfId="12696" xr:uid="{00000000-0005-0000-0000-00001C730000}"/>
    <cellStyle name="60% - Accent3 2 4 2 2 2 4 2" xfId="33176" xr:uid="{00000000-0005-0000-0000-00001D730000}"/>
    <cellStyle name="60% - Accent3 2 4 2 2 2 5" xfId="22936" xr:uid="{00000000-0005-0000-0000-00001E730000}"/>
    <cellStyle name="60% - Accent3 2 4 2 2 3" xfId="3736" xr:uid="{00000000-0005-0000-0000-00001F730000}"/>
    <cellStyle name="60% - Accent3 2 4 2 2 3 2" xfId="8856" xr:uid="{00000000-0005-0000-0000-000020730000}"/>
    <cellStyle name="60% - Accent3 2 4 2 2 3 2 2" xfId="19096" xr:uid="{00000000-0005-0000-0000-000021730000}"/>
    <cellStyle name="60% - Accent3 2 4 2 2 3 2 2 2" xfId="39576" xr:uid="{00000000-0005-0000-0000-000022730000}"/>
    <cellStyle name="60% - Accent3 2 4 2 2 3 2 3" xfId="29336" xr:uid="{00000000-0005-0000-0000-000023730000}"/>
    <cellStyle name="60% - Accent3 2 4 2 2 3 3" xfId="13976" xr:uid="{00000000-0005-0000-0000-000024730000}"/>
    <cellStyle name="60% - Accent3 2 4 2 2 3 3 2" xfId="34456" xr:uid="{00000000-0005-0000-0000-000025730000}"/>
    <cellStyle name="60% - Accent3 2 4 2 2 3 4" xfId="24216" xr:uid="{00000000-0005-0000-0000-000026730000}"/>
    <cellStyle name="60% - Accent3 2 4 2 2 4" xfId="6296" xr:uid="{00000000-0005-0000-0000-000027730000}"/>
    <cellStyle name="60% - Accent3 2 4 2 2 4 2" xfId="16536" xr:uid="{00000000-0005-0000-0000-000028730000}"/>
    <cellStyle name="60% - Accent3 2 4 2 2 4 2 2" xfId="37016" xr:uid="{00000000-0005-0000-0000-000029730000}"/>
    <cellStyle name="60% - Accent3 2 4 2 2 4 3" xfId="26776" xr:uid="{00000000-0005-0000-0000-00002A730000}"/>
    <cellStyle name="60% - Accent3 2 4 2 2 5" xfId="11416" xr:uid="{00000000-0005-0000-0000-00002B730000}"/>
    <cellStyle name="60% - Accent3 2 4 2 2 5 2" xfId="31896" xr:uid="{00000000-0005-0000-0000-00002C730000}"/>
    <cellStyle name="60% - Accent3 2 4 2 2 6" xfId="21656" xr:uid="{00000000-0005-0000-0000-00002D730000}"/>
    <cellStyle name="60% - Accent3 2 4 2 3" xfId="1816" xr:uid="{00000000-0005-0000-0000-00002E730000}"/>
    <cellStyle name="60% - Accent3 2 4 2 3 2" xfId="4376" xr:uid="{00000000-0005-0000-0000-00002F730000}"/>
    <cellStyle name="60% - Accent3 2 4 2 3 2 2" xfId="9496" xr:uid="{00000000-0005-0000-0000-000030730000}"/>
    <cellStyle name="60% - Accent3 2 4 2 3 2 2 2" xfId="19736" xr:uid="{00000000-0005-0000-0000-000031730000}"/>
    <cellStyle name="60% - Accent3 2 4 2 3 2 2 2 2" xfId="40216" xr:uid="{00000000-0005-0000-0000-000032730000}"/>
    <cellStyle name="60% - Accent3 2 4 2 3 2 2 3" xfId="29976" xr:uid="{00000000-0005-0000-0000-000033730000}"/>
    <cellStyle name="60% - Accent3 2 4 2 3 2 3" xfId="14616" xr:uid="{00000000-0005-0000-0000-000034730000}"/>
    <cellStyle name="60% - Accent3 2 4 2 3 2 3 2" xfId="35096" xr:uid="{00000000-0005-0000-0000-000035730000}"/>
    <cellStyle name="60% - Accent3 2 4 2 3 2 4" xfId="24856" xr:uid="{00000000-0005-0000-0000-000036730000}"/>
    <cellStyle name="60% - Accent3 2 4 2 3 3" xfId="6936" xr:uid="{00000000-0005-0000-0000-000037730000}"/>
    <cellStyle name="60% - Accent3 2 4 2 3 3 2" xfId="17176" xr:uid="{00000000-0005-0000-0000-000038730000}"/>
    <cellStyle name="60% - Accent3 2 4 2 3 3 2 2" xfId="37656" xr:uid="{00000000-0005-0000-0000-000039730000}"/>
    <cellStyle name="60% - Accent3 2 4 2 3 3 3" xfId="27416" xr:uid="{00000000-0005-0000-0000-00003A730000}"/>
    <cellStyle name="60% - Accent3 2 4 2 3 4" xfId="12056" xr:uid="{00000000-0005-0000-0000-00003B730000}"/>
    <cellStyle name="60% - Accent3 2 4 2 3 4 2" xfId="32536" xr:uid="{00000000-0005-0000-0000-00003C730000}"/>
    <cellStyle name="60% - Accent3 2 4 2 3 5" xfId="22296" xr:uid="{00000000-0005-0000-0000-00003D730000}"/>
    <cellStyle name="60% - Accent3 2 4 2 4" xfId="3096" xr:uid="{00000000-0005-0000-0000-00003E730000}"/>
    <cellStyle name="60% - Accent3 2 4 2 4 2" xfId="8216" xr:uid="{00000000-0005-0000-0000-00003F730000}"/>
    <cellStyle name="60% - Accent3 2 4 2 4 2 2" xfId="18456" xr:uid="{00000000-0005-0000-0000-000040730000}"/>
    <cellStyle name="60% - Accent3 2 4 2 4 2 2 2" xfId="38936" xr:uid="{00000000-0005-0000-0000-000041730000}"/>
    <cellStyle name="60% - Accent3 2 4 2 4 2 3" xfId="28696" xr:uid="{00000000-0005-0000-0000-000042730000}"/>
    <cellStyle name="60% - Accent3 2 4 2 4 3" xfId="13336" xr:uid="{00000000-0005-0000-0000-000043730000}"/>
    <cellStyle name="60% - Accent3 2 4 2 4 3 2" xfId="33816" xr:uid="{00000000-0005-0000-0000-000044730000}"/>
    <cellStyle name="60% - Accent3 2 4 2 4 4" xfId="23576" xr:uid="{00000000-0005-0000-0000-000045730000}"/>
    <cellStyle name="60% - Accent3 2 4 2 5" xfId="5656" xr:uid="{00000000-0005-0000-0000-000046730000}"/>
    <cellStyle name="60% - Accent3 2 4 2 5 2" xfId="15896" xr:uid="{00000000-0005-0000-0000-000047730000}"/>
    <cellStyle name="60% - Accent3 2 4 2 5 2 2" xfId="36376" xr:uid="{00000000-0005-0000-0000-000048730000}"/>
    <cellStyle name="60% - Accent3 2 4 2 5 3" xfId="26136" xr:uid="{00000000-0005-0000-0000-000049730000}"/>
    <cellStyle name="60% - Accent3 2 4 2 6" xfId="10776" xr:uid="{00000000-0005-0000-0000-00004A730000}"/>
    <cellStyle name="60% - Accent3 2 4 2 6 2" xfId="31256" xr:uid="{00000000-0005-0000-0000-00004B730000}"/>
    <cellStyle name="60% - Accent3 2 4 2 7" xfId="21016" xr:uid="{00000000-0005-0000-0000-00004C730000}"/>
    <cellStyle name="60% - Accent3 2 4 3" xfId="856" xr:uid="{00000000-0005-0000-0000-00004D730000}"/>
    <cellStyle name="60% - Accent3 2 4 3 2" xfId="2136" xr:uid="{00000000-0005-0000-0000-00004E730000}"/>
    <cellStyle name="60% - Accent3 2 4 3 2 2" xfId="4696" xr:uid="{00000000-0005-0000-0000-00004F730000}"/>
    <cellStyle name="60% - Accent3 2 4 3 2 2 2" xfId="9816" xr:uid="{00000000-0005-0000-0000-000050730000}"/>
    <cellStyle name="60% - Accent3 2 4 3 2 2 2 2" xfId="20056" xr:uid="{00000000-0005-0000-0000-000051730000}"/>
    <cellStyle name="60% - Accent3 2 4 3 2 2 2 2 2" xfId="40536" xr:uid="{00000000-0005-0000-0000-000052730000}"/>
    <cellStyle name="60% - Accent3 2 4 3 2 2 2 3" xfId="30296" xr:uid="{00000000-0005-0000-0000-000053730000}"/>
    <cellStyle name="60% - Accent3 2 4 3 2 2 3" xfId="14936" xr:uid="{00000000-0005-0000-0000-000054730000}"/>
    <cellStyle name="60% - Accent3 2 4 3 2 2 3 2" xfId="35416" xr:uid="{00000000-0005-0000-0000-000055730000}"/>
    <cellStyle name="60% - Accent3 2 4 3 2 2 4" xfId="25176" xr:uid="{00000000-0005-0000-0000-000056730000}"/>
    <cellStyle name="60% - Accent3 2 4 3 2 3" xfId="7256" xr:uid="{00000000-0005-0000-0000-000057730000}"/>
    <cellStyle name="60% - Accent3 2 4 3 2 3 2" xfId="17496" xr:uid="{00000000-0005-0000-0000-000058730000}"/>
    <cellStyle name="60% - Accent3 2 4 3 2 3 2 2" xfId="37976" xr:uid="{00000000-0005-0000-0000-000059730000}"/>
    <cellStyle name="60% - Accent3 2 4 3 2 3 3" xfId="27736" xr:uid="{00000000-0005-0000-0000-00005A730000}"/>
    <cellStyle name="60% - Accent3 2 4 3 2 4" xfId="12376" xr:uid="{00000000-0005-0000-0000-00005B730000}"/>
    <cellStyle name="60% - Accent3 2 4 3 2 4 2" xfId="32856" xr:uid="{00000000-0005-0000-0000-00005C730000}"/>
    <cellStyle name="60% - Accent3 2 4 3 2 5" xfId="22616" xr:uid="{00000000-0005-0000-0000-00005D730000}"/>
    <cellStyle name="60% - Accent3 2 4 3 3" xfId="3416" xr:uid="{00000000-0005-0000-0000-00005E730000}"/>
    <cellStyle name="60% - Accent3 2 4 3 3 2" xfId="8536" xr:uid="{00000000-0005-0000-0000-00005F730000}"/>
    <cellStyle name="60% - Accent3 2 4 3 3 2 2" xfId="18776" xr:uid="{00000000-0005-0000-0000-000060730000}"/>
    <cellStyle name="60% - Accent3 2 4 3 3 2 2 2" xfId="39256" xr:uid="{00000000-0005-0000-0000-000061730000}"/>
    <cellStyle name="60% - Accent3 2 4 3 3 2 3" xfId="29016" xr:uid="{00000000-0005-0000-0000-000062730000}"/>
    <cellStyle name="60% - Accent3 2 4 3 3 3" xfId="13656" xr:uid="{00000000-0005-0000-0000-000063730000}"/>
    <cellStyle name="60% - Accent3 2 4 3 3 3 2" xfId="34136" xr:uid="{00000000-0005-0000-0000-000064730000}"/>
    <cellStyle name="60% - Accent3 2 4 3 3 4" xfId="23896" xr:uid="{00000000-0005-0000-0000-000065730000}"/>
    <cellStyle name="60% - Accent3 2 4 3 4" xfId="5976" xr:uid="{00000000-0005-0000-0000-000066730000}"/>
    <cellStyle name="60% - Accent3 2 4 3 4 2" xfId="16216" xr:uid="{00000000-0005-0000-0000-000067730000}"/>
    <cellStyle name="60% - Accent3 2 4 3 4 2 2" xfId="36696" xr:uid="{00000000-0005-0000-0000-000068730000}"/>
    <cellStyle name="60% - Accent3 2 4 3 4 3" xfId="26456" xr:uid="{00000000-0005-0000-0000-000069730000}"/>
    <cellStyle name="60% - Accent3 2 4 3 5" xfId="11096" xr:uid="{00000000-0005-0000-0000-00006A730000}"/>
    <cellStyle name="60% - Accent3 2 4 3 5 2" xfId="31576" xr:uid="{00000000-0005-0000-0000-00006B730000}"/>
    <cellStyle name="60% - Accent3 2 4 3 6" xfId="21336" xr:uid="{00000000-0005-0000-0000-00006C730000}"/>
    <cellStyle name="60% - Accent3 2 4 4" xfId="1496" xr:uid="{00000000-0005-0000-0000-00006D730000}"/>
    <cellStyle name="60% - Accent3 2 4 4 2" xfId="4056" xr:uid="{00000000-0005-0000-0000-00006E730000}"/>
    <cellStyle name="60% - Accent3 2 4 4 2 2" xfId="9176" xr:uid="{00000000-0005-0000-0000-00006F730000}"/>
    <cellStyle name="60% - Accent3 2 4 4 2 2 2" xfId="19416" xr:uid="{00000000-0005-0000-0000-000070730000}"/>
    <cellStyle name="60% - Accent3 2 4 4 2 2 2 2" xfId="39896" xr:uid="{00000000-0005-0000-0000-000071730000}"/>
    <cellStyle name="60% - Accent3 2 4 4 2 2 3" xfId="29656" xr:uid="{00000000-0005-0000-0000-000072730000}"/>
    <cellStyle name="60% - Accent3 2 4 4 2 3" xfId="14296" xr:uid="{00000000-0005-0000-0000-000073730000}"/>
    <cellStyle name="60% - Accent3 2 4 4 2 3 2" xfId="34776" xr:uid="{00000000-0005-0000-0000-000074730000}"/>
    <cellStyle name="60% - Accent3 2 4 4 2 4" xfId="24536" xr:uid="{00000000-0005-0000-0000-000075730000}"/>
    <cellStyle name="60% - Accent3 2 4 4 3" xfId="6616" xr:uid="{00000000-0005-0000-0000-000076730000}"/>
    <cellStyle name="60% - Accent3 2 4 4 3 2" xfId="16856" xr:uid="{00000000-0005-0000-0000-000077730000}"/>
    <cellStyle name="60% - Accent3 2 4 4 3 2 2" xfId="37336" xr:uid="{00000000-0005-0000-0000-000078730000}"/>
    <cellStyle name="60% - Accent3 2 4 4 3 3" xfId="27096" xr:uid="{00000000-0005-0000-0000-000079730000}"/>
    <cellStyle name="60% - Accent3 2 4 4 4" xfId="11736" xr:uid="{00000000-0005-0000-0000-00007A730000}"/>
    <cellStyle name="60% - Accent3 2 4 4 4 2" xfId="32216" xr:uid="{00000000-0005-0000-0000-00007B730000}"/>
    <cellStyle name="60% - Accent3 2 4 4 5" xfId="21976" xr:uid="{00000000-0005-0000-0000-00007C730000}"/>
    <cellStyle name="60% - Accent3 2 4 5" xfId="2776" xr:uid="{00000000-0005-0000-0000-00007D730000}"/>
    <cellStyle name="60% - Accent3 2 4 5 2" xfId="7896" xr:uid="{00000000-0005-0000-0000-00007E730000}"/>
    <cellStyle name="60% - Accent3 2 4 5 2 2" xfId="18136" xr:uid="{00000000-0005-0000-0000-00007F730000}"/>
    <cellStyle name="60% - Accent3 2 4 5 2 2 2" xfId="38616" xr:uid="{00000000-0005-0000-0000-000080730000}"/>
    <cellStyle name="60% - Accent3 2 4 5 2 3" xfId="28376" xr:uid="{00000000-0005-0000-0000-000081730000}"/>
    <cellStyle name="60% - Accent3 2 4 5 3" xfId="13016" xr:uid="{00000000-0005-0000-0000-000082730000}"/>
    <cellStyle name="60% - Accent3 2 4 5 3 2" xfId="33496" xr:uid="{00000000-0005-0000-0000-000083730000}"/>
    <cellStyle name="60% - Accent3 2 4 5 4" xfId="23256" xr:uid="{00000000-0005-0000-0000-000084730000}"/>
    <cellStyle name="60% - Accent3 2 4 6" xfId="5336" xr:uid="{00000000-0005-0000-0000-000085730000}"/>
    <cellStyle name="60% - Accent3 2 4 6 2" xfId="15576" xr:uid="{00000000-0005-0000-0000-000086730000}"/>
    <cellStyle name="60% - Accent3 2 4 6 2 2" xfId="36056" xr:uid="{00000000-0005-0000-0000-000087730000}"/>
    <cellStyle name="60% - Accent3 2 4 6 3" xfId="25816" xr:uid="{00000000-0005-0000-0000-000088730000}"/>
    <cellStyle name="60% - Accent3 2 4 7" xfId="10456" xr:uid="{00000000-0005-0000-0000-000089730000}"/>
    <cellStyle name="60% - Accent3 2 4 7 2" xfId="30936" xr:uid="{00000000-0005-0000-0000-00008A730000}"/>
    <cellStyle name="60% - Accent3 2 4 8" xfId="20696" xr:uid="{00000000-0005-0000-0000-00008B730000}"/>
    <cellStyle name="60% - Accent3 2 5" xfId="376" xr:uid="{00000000-0005-0000-0000-00008C730000}"/>
    <cellStyle name="60% - Accent3 2 5 2" xfId="1016" xr:uid="{00000000-0005-0000-0000-00008D730000}"/>
    <cellStyle name="60% - Accent3 2 5 2 2" xfId="2296" xr:uid="{00000000-0005-0000-0000-00008E730000}"/>
    <cellStyle name="60% - Accent3 2 5 2 2 2" xfId="4856" xr:uid="{00000000-0005-0000-0000-00008F730000}"/>
    <cellStyle name="60% - Accent3 2 5 2 2 2 2" xfId="9976" xr:uid="{00000000-0005-0000-0000-000090730000}"/>
    <cellStyle name="60% - Accent3 2 5 2 2 2 2 2" xfId="20216" xr:uid="{00000000-0005-0000-0000-000091730000}"/>
    <cellStyle name="60% - Accent3 2 5 2 2 2 2 2 2" xfId="40696" xr:uid="{00000000-0005-0000-0000-000092730000}"/>
    <cellStyle name="60% - Accent3 2 5 2 2 2 2 3" xfId="30456" xr:uid="{00000000-0005-0000-0000-000093730000}"/>
    <cellStyle name="60% - Accent3 2 5 2 2 2 3" xfId="15096" xr:uid="{00000000-0005-0000-0000-000094730000}"/>
    <cellStyle name="60% - Accent3 2 5 2 2 2 3 2" xfId="35576" xr:uid="{00000000-0005-0000-0000-000095730000}"/>
    <cellStyle name="60% - Accent3 2 5 2 2 2 4" xfId="25336" xr:uid="{00000000-0005-0000-0000-000096730000}"/>
    <cellStyle name="60% - Accent3 2 5 2 2 3" xfId="7416" xr:uid="{00000000-0005-0000-0000-000097730000}"/>
    <cellStyle name="60% - Accent3 2 5 2 2 3 2" xfId="17656" xr:uid="{00000000-0005-0000-0000-000098730000}"/>
    <cellStyle name="60% - Accent3 2 5 2 2 3 2 2" xfId="38136" xr:uid="{00000000-0005-0000-0000-000099730000}"/>
    <cellStyle name="60% - Accent3 2 5 2 2 3 3" xfId="27896" xr:uid="{00000000-0005-0000-0000-00009A730000}"/>
    <cellStyle name="60% - Accent3 2 5 2 2 4" xfId="12536" xr:uid="{00000000-0005-0000-0000-00009B730000}"/>
    <cellStyle name="60% - Accent3 2 5 2 2 4 2" xfId="33016" xr:uid="{00000000-0005-0000-0000-00009C730000}"/>
    <cellStyle name="60% - Accent3 2 5 2 2 5" xfId="22776" xr:uid="{00000000-0005-0000-0000-00009D730000}"/>
    <cellStyle name="60% - Accent3 2 5 2 3" xfId="3576" xr:uid="{00000000-0005-0000-0000-00009E730000}"/>
    <cellStyle name="60% - Accent3 2 5 2 3 2" xfId="8696" xr:uid="{00000000-0005-0000-0000-00009F730000}"/>
    <cellStyle name="60% - Accent3 2 5 2 3 2 2" xfId="18936" xr:uid="{00000000-0005-0000-0000-0000A0730000}"/>
    <cellStyle name="60% - Accent3 2 5 2 3 2 2 2" xfId="39416" xr:uid="{00000000-0005-0000-0000-0000A1730000}"/>
    <cellStyle name="60% - Accent3 2 5 2 3 2 3" xfId="29176" xr:uid="{00000000-0005-0000-0000-0000A2730000}"/>
    <cellStyle name="60% - Accent3 2 5 2 3 3" xfId="13816" xr:uid="{00000000-0005-0000-0000-0000A3730000}"/>
    <cellStyle name="60% - Accent3 2 5 2 3 3 2" xfId="34296" xr:uid="{00000000-0005-0000-0000-0000A4730000}"/>
    <cellStyle name="60% - Accent3 2 5 2 3 4" xfId="24056" xr:uid="{00000000-0005-0000-0000-0000A5730000}"/>
    <cellStyle name="60% - Accent3 2 5 2 4" xfId="6136" xr:uid="{00000000-0005-0000-0000-0000A6730000}"/>
    <cellStyle name="60% - Accent3 2 5 2 4 2" xfId="16376" xr:uid="{00000000-0005-0000-0000-0000A7730000}"/>
    <cellStyle name="60% - Accent3 2 5 2 4 2 2" xfId="36856" xr:uid="{00000000-0005-0000-0000-0000A8730000}"/>
    <cellStyle name="60% - Accent3 2 5 2 4 3" xfId="26616" xr:uid="{00000000-0005-0000-0000-0000A9730000}"/>
    <cellStyle name="60% - Accent3 2 5 2 5" xfId="11256" xr:uid="{00000000-0005-0000-0000-0000AA730000}"/>
    <cellStyle name="60% - Accent3 2 5 2 5 2" xfId="31736" xr:uid="{00000000-0005-0000-0000-0000AB730000}"/>
    <cellStyle name="60% - Accent3 2 5 2 6" xfId="21496" xr:uid="{00000000-0005-0000-0000-0000AC730000}"/>
    <cellStyle name="60% - Accent3 2 5 3" xfId="1656" xr:uid="{00000000-0005-0000-0000-0000AD730000}"/>
    <cellStyle name="60% - Accent3 2 5 3 2" xfId="4216" xr:uid="{00000000-0005-0000-0000-0000AE730000}"/>
    <cellStyle name="60% - Accent3 2 5 3 2 2" xfId="9336" xr:uid="{00000000-0005-0000-0000-0000AF730000}"/>
    <cellStyle name="60% - Accent3 2 5 3 2 2 2" xfId="19576" xr:uid="{00000000-0005-0000-0000-0000B0730000}"/>
    <cellStyle name="60% - Accent3 2 5 3 2 2 2 2" xfId="40056" xr:uid="{00000000-0005-0000-0000-0000B1730000}"/>
    <cellStyle name="60% - Accent3 2 5 3 2 2 3" xfId="29816" xr:uid="{00000000-0005-0000-0000-0000B2730000}"/>
    <cellStyle name="60% - Accent3 2 5 3 2 3" xfId="14456" xr:uid="{00000000-0005-0000-0000-0000B3730000}"/>
    <cellStyle name="60% - Accent3 2 5 3 2 3 2" xfId="34936" xr:uid="{00000000-0005-0000-0000-0000B4730000}"/>
    <cellStyle name="60% - Accent3 2 5 3 2 4" xfId="24696" xr:uid="{00000000-0005-0000-0000-0000B5730000}"/>
    <cellStyle name="60% - Accent3 2 5 3 3" xfId="6776" xr:uid="{00000000-0005-0000-0000-0000B6730000}"/>
    <cellStyle name="60% - Accent3 2 5 3 3 2" xfId="17016" xr:uid="{00000000-0005-0000-0000-0000B7730000}"/>
    <cellStyle name="60% - Accent3 2 5 3 3 2 2" xfId="37496" xr:uid="{00000000-0005-0000-0000-0000B8730000}"/>
    <cellStyle name="60% - Accent3 2 5 3 3 3" xfId="27256" xr:uid="{00000000-0005-0000-0000-0000B9730000}"/>
    <cellStyle name="60% - Accent3 2 5 3 4" xfId="11896" xr:uid="{00000000-0005-0000-0000-0000BA730000}"/>
    <cellStyle name="60% - Accent3 2 5 3 4 2" xfId="32376" xr:uid="{00000000-0005-0000-0000-0000BB730000}"/>
    <cellStyle name="60% - Accent3 2 5 3 5" xfId="22136" xr:uid="{00000000-0005-0000-0000-0000BC730000}"/>
    <cellStyle name="60% - Accent3 2 5 4" xfId="2936" xr:uid="{00000000-0005-0000-0000-0000BD730000}"/>
    <cellStyle name="60% - Accent3 2 5 4 2" xfId="8056" xr:uid="{00000000-0005-0000-0000-0000BE730000}"/>
    <cellStyle name="60% - Accent3 2 5 4 2 2" xfId="18296" xr:uid="{00000000-0005-0000-0000-0000BF730000}"/>
    <cellStyle name="60% - Accent3 2 5 4 2 2 2" xfId="38776" xr:uid="{00000000-0005-0000-0000-0000C0730000}"/>
    <cellStyle name="60% - Accent3 2 5 4 2 3" xfId="28536" xr:uid="{00000000-0005-0000-0000-0000C1730000}"/>
    <cellStyle name="60% - Accent3 2 5 4 3" xfId="13176" xr:uid="{00000000-0005-0000-0000-0000C2730000}"/>
    <cellStyle name="60% - Accent3 2 5 4 3 2" xfId="33656" xr:uid="{00000000-0005-0000-0000-0000C3730000}"/>
    <cellStyle name="60% - Accent3 2 5 4 4" xfId="23416" xr:uid="{00000000-0005-0000-0000-0000C4730000}"/>
    <cellStyle name="60% - Accent3 2 5 5" xfId="5496" xr:uid="{00000000-0005-0000-0000-0000C5730000}"/>
    <cellStyle name="60% - Accent3 2 5 5 2" xfId="15736" xr:uid="{00000000-0005-0000-0000-0000C6730000}"/>
    <cellStyle name="60% - Accent3 2 5 5 2 2" xfId="36216" xr:uid="{00000000-0005-0000-0000-0000C7730000}"/>
    <cellStyle name="60% - Accent3 2 5 5 3" xfId="25976" xr:uid="{00000000-0005-0000-0000-0000C8730000}"/>
    <cellStyle name="60% - Accent3 2 5 6" xfId="10616" xr:uid="{00000000-0005-0000-0000-0000C9730000}"/>
    <cellStyle name="60% - Accent3 2 5 6 2" xfId="31096" xr:uid="{00000000-0005-0000-0000-0000CA730000}"/>
    <cellStyle name="60% - Accent3 2 5 7" xfId="20856" xr:uid="{00000000-0005-0000-0000-0000CB730000}"/>
    <cellStyle name="60% - Accent3 2 6" xfId="696" xr:uid="{00000000-0005-0000-0000-0000CC730000}"/>
    <cellStyle name="60% - Accent3 2 6 2" xfId="1976" xr:uid="{00000000-0005-0000-0000-0000CD730000}"/>
    <cellStyle name="60% - Accent3 2 6 2 2" xfId="4536" xr:uid="{00000000-0005-0000-0000-0000CE730000}"/>
    <cellStyle name="60% - Accent3 2 6 2 2 2" xfId="9656" xr:uid="{00000000-0005-0000-0000-0000CF730000}"/>
    <cellStyle name="60% - Accent3 2 6 2 2 2 2" xfId="19896" xr:uid="{00000000-0005-0000-0000-0000D0730000}"/>
    <cellStyle name="60% - Accent3 2 6 2 2 2 2 2" xfId="40376" xr:uid="{00000000-0005-0000-0000-0000D1730000}"/>
    <cellStyle name="60% - Accent3 2 6 2 2 2 3" xfId="30136" xr:uid="{00000000-0005-0000-0000-0000D2730000}"/>
    <cellStyle name="60% - Accent3 2 6 2 2 3" xfId="14776" xr:uid="{00000000-0005-0000-0000-0000D3730000}"/>
    <cellStyle name="60% - Accent3 2 6 2 2 3 2" xfId="35256" xr:uid="{00000000-0005-0000-0000-0000D4730000}"/>
    <cellStyle name="60% - Accent3 2 6 2 2 4" xfId="25016" xr:uid="{00000000-0005-0000-0000-0000D5730000}"/>
    <cellStyle name="60% - Accent3 2 6 2 3" xfId="7096" xr:uid="{00000000-0005-0000-0000-0000D6730000}"/>
    <cellStyle name="60% - Accent3 2 6 2 3 2" xfId="17336" xr:uid="{00000000-0005-0000-0000-0000D7730000}"/>
    <cellStyle name="60% - Accent3 2 6 2 3 2 2" xfId="37816" xr:uid="{00000000-0005-0000-0000-0000D8730000}"/>
    <cellStyle name="60% - Accent3 2 6 2 3 3" xfId="27576" xr:uid="{00000000-0005-0000-0000-0000D9730000}"/>
    <cellStyle name="60% - Accent3 2 6 2 4" xfId="12216" xr:uid="{00000000-0005-0000-0000-0000DA730000}"/>
    <cellStyle name="60% - Accent3 2 6 2 4 2" xfId="32696" xr:uid="{00000000-0005-0000-0000-0000DB730000}"/>
    <cellStyle name="60% - Accent3 2 6 2 5" xfId="22456" xr:uid="{00000000-0005-0000-0000-0000DC730000}"/>
    <cellStyle name="60% - Accent3 2 6 3" xfId="3256" xr:uid="{00000000-0005-0000-0000-0000DD730000}"/>
    <cellStyle name="60% - Accent3 2 6 3 2" xfId="8376" xr:uid="{00000000-0005-0000-0000-0000DE730000}"/>
    <cellStyle name="60% - Accent3 2 6 3 2 2" xfId="18616" xr:uid="{00000000-0005-0000-0000-0000DF730000}"/>
    <cellStyle name="60% - Accent3 2 6 3 2 2 2" xfId="39096" xr:uid="{00000000-0005-0000-0000-0000E0730000}"/>
    <cellStyle name="60% - Accent3 2 6 3 2 3" xfId="28856" xr:uid="{00000000-0005-0000-0000-0000E1730000}"/>
    <cellStyle name="60% - Accent3 2 6 3 3" xfId="13496" xr:uid="{00000000-0005-0000-0000-0000E2730000}"/>
    <cellStyle name="60% - Accent3 2 6 3 3 2" xfId="33976" xr:uid="{00000000-0005-0000-0000-0000E3730000}"/>
    <cellStyle name="60% - Accent3 2 6 3 4" xfId="23736" xr:uid="{00000000-0005-0000-0000-0000E4730000}"/>
    <cellStyle name="60% - Accent3 2 6 4" xfId="5816" xr:uid="{00000000-0005-0000-0000-0000E5730000}"/>
    <cellStyle name="60% - Accent3 2 6 4 2" xfId="16056" xr:uid="{00000000-0005-0000-0000-0000E6730000}"/>
    <cellStyle name="60% - Accent3 2 6 4 2 2" xfId="36536" xr:uid="{00000000-0005-0000-0000-0000E7730000}"/>
    <cellStyle name="60% - Accent3 2 6 4 3" xfId="26296" xr:uid="{00000000-0005-0000-0000-0000E8730000}"/>
    <cellStyle name="60% - Accent3 2 6 5" xfId="10936" xr:uid="{00000000-0005-0000-0000-0000E9730000}"/>
    <cellStyle name="60% - Accent3 2 6 5 2" xfId="31416" xr:uid="{00000000-0005-0000-0000-0000EA730000}"/>
    <cellStyle name="60% - Accent3 2 6 6" xfId="21176" xr:uid="{00000000-0005-0000-0000-0000EB730000}"/>
    <cellStyle name="60% - Accent3 2 7" xfId="1336" xr:uid="{00000000-0005-0000-0000-0000EC730000}"/>
    <cellStyle name="60% - Accent3 2 7 2" xfId="3896" xr:uid="{00000000-0005-0000-0000-0000ED730000}"/>
    <cellStyle name="60% - Accent3 2 7 2 2" xfId="9016" xr:uid="{00000000-0005-0000-0000-0000EE730000}"/>
    <cellStyle name="60% - Accent3 2 7 2 2 2" xfId="19256" xr:uid="{00000000-0005-0000-0000-0000EF730000}"/>
    <cellStyle name="60% - Accent3 2 7 2 2 2 2" xfId="39736" xr:uid="{00000000-0005-0000-0000-0000F0730000}"/>
    <cellStyle name="60% - Accent3 2 7 2 2 3" xfId="29496" xr:uid="{00000000-0005-0000-0000-0000F1730000}"/>
    <cellStyle name="60% - Accent3 2 7 2 3" xfId="14136" xr:uid="{00000000-0005-0000-0000-0000F2730000}"/>
    <cellStyle name="60% - Accent3 2 7 2 3 2" xfId="34616" xr:uid="{00000000-0005-0000-0000-0000F3730000}"/>
    <cellStyle name="60% - Accent3 2 7 2 4" xfId="24376" xr:uid="{00000000-0005-0000-0000-0000F4730000}"/>
    <cellStyle name="60% - Accent3 2 7 3" xfId="6456" xr:uid="{00000000-0005-0000-0000-0000F5730000}"/>
    <cellStyle name="60% - Accent3 2 7 3 2" xfId="16696" xr:uid="{00000000-0005-0000-0000-0000F6730000}"/>
    <cellStyle name="60% - Accent3 2 7 3 2 2" xfId="37176" xr:uid="{00000000-0005-0000-0000-0000F7730000}"/>
    <cellStyle name="60% - Accent3 2 7 3 3" xfId="26936" xr:uid="{00000000-0005-0000-0000-0000F8730000}"/>
    <cellStyle name="60% - Accent3 2 7 4" xfId="11576" xr:uid="{00000000-0005-0000-0000-0000F9730000}"/>
    <cellStyle name="60% - Accent3 2 7 4 2" xfId="32056" xr:uid="{00000000-0005-0000-0000-0000FA730000}"/>
    <cellStyle name="60% - Accent3 2 7 5" xfId="21816" xr:uid="{00000000-0005-0000-0000-0000FB730000}"/>
    <cellStyle name="60% - Accent3 2 8" xfId="2616" xr:uid="{00000000-0005-0000-0000-0000FC730000}"/>
    <cellStyle name="60% - Accent3 2 8 2" xfId="7736" xr:uid="{00000000-0005-0000-0000-0000FD730000}"/>
    <cellStyle name="60% - Accent3 2 8 2 2" xfId="17976" xr:uid="{00000000-0005-0000-0000-0000FE730000}"/>
    <cellStyle name="60% - Accent3 2 8 2 2 2" xfId="38456" xr:uid="{00000000-0005-0000-0000-0000FF730000}"/>
    <cellStyle name="60% - Accent3 2 8 2 3" xfId="28216" xr:uid="{00000000-0005-0000-0000-000000740000}"/>
    <cellStyle name="60% - Accent3 2 8 3" xfId="12856" xr:uid="{00000000-0005-0000-0000-000001740000}"/>
    <cellStyle name="60% - Accent3 2 8 3 2" xfId="33336" xr:uid="{00000000-0005-0000-0000-000002740000}"/>
    <cellStyle name="60% - Accent3 2 8 4" xfId="23096" xr:uid="{00000000-0005-0000-0000-000003740000}"/>
    <cellStyle name="60% - Accent3 2 9" xfId="5176" xr:uid="{00000000-0005-0000-0000-000004740000}"/>
    <cellStyle name="60% - Accent3 2 9 2" xfId="15416" xr:uid="{00000000-0005-0000-0000-000005740000}"/>
    <cellStyle name="60% - Accent3 2 9 2 2" xfId="35896" xr:uid="{00000000-0005-0000-0000-000006740000}"/>
    <cellStyle name="60% - Accent3 2 9 3" xfId="25656" xr:uid="{00000000-0005-0000-0000-000007740000}"/>
    <cellStyle name="60% - Accent3 3" xfId="76" xr:uid="{00000000-0005-0000-0000-000008740000}"/>
    <cellStyle name="60% - Accent3 3 10" xfId="20556" xr:uid="{00000000-0005-0000-0000-000009740000}"/>
    <cellStyle name="60% - Accent3 3 2" xfId="156" xr:uid="{00000000-0005-0000-0000-00000A740000}"/>
    <cellStyle name="60% - Accent3 3 2 2" xfId="316" xr:uid="{00000000-0005-0000-0000-00000B740000}"/>
    <cellStyle name="60% - Accent3 3 2 2 2" xfId="636" xr:uid="{00000000-0005-0000-0000-00000C740000}"/>
    <cellStyle name="60% - Accent3 3 2 2 2 2" xfId="1276" xr:uid="{00000000-0005-0000-0000-00000D740000}"/>
    <cellStyle name="60% - Accent3 3 2 2 2 2 2" xfId="2556" xr:uid="{00000000-0005-0000-0000-00000E740000}"/>
    <cellStyle name="60% - Accent3 3 2 2 2 2 2 2" xfId="5116" xr:uid="{00000000-0005-0000-0000-00000F740000}"/>
    <cellStyle name="60% - Accent3 3 2 2 2 2 2 2 2" xfId="10236" xr:uid="{00000000-0005-0000-0000-000010740000}"/>
    <cellStyle name="60% - Accent3 3 2 2 2 2 2 2 2 2" xfId="20476" xr:uid="{00000000-0005-0000-0000-000011740000}"/>
    <cellStyle name="60% - Accent3 3 2 2 2 2 2 2 2 2 2" xfId="40956" xr:uid="{00000000-0005-0000-0000-000012740000}"/>
    <cellStyle name="60% - Accent3 3 2 2 2 2 2 2 2 3" xfId="30716" xr:uid="{00000000-0005-0000-0000-000013740000}"/>
    <cellStyle name="60% - Accent3 3 2 2 2 2 2 2 3" xfId="15356" xr:uid="{00000000-0005-0000-0000-000014740000}"/>
    <cellStyle name="60% - Accent3 3 2 2 2 2 2 2 3 2" xfId="35836" xr:uid="{00000000-0005-0000-0000-000015740000}"/>
    <cellStyle name="60% - Accent3 3 2 2 2 2 2 2 4" xfId="25596" xr:uid="{00000000-0005-0000-0000-000016740000}"/>
    <cellStyle name="60% - Accent3 3 2 2 2 2 2 3" xfId="7676" xr:uid="{00000000-0005-0000-0000-000017740000}"/>
    <cellStyle name="60% - Accent3 3 2 2 2 2 2 3 2" xfId="17916" xr:uid="{00000000-0005-0000-0000-000018740000}"/>
    <cellStyle name="60% - Accent3 3 2 2 2 2 2 3 2 2" xfId="38396" xr:uid="{00000000-0005-0000-0000-000019740000}"/>
    <cellStyle name="60% - Accent3 3 2 2 2 2 2 3 3" xfId="28156" xr:uid="{00000000-0005-0000-0000-00001A740000}"/>
    <cellStyle name="60% - Accent3 3 2 2 2 2 2 4" xfId="12796" xr:uid="{00000000-0005-0000-0000-00001B740000}"/>
    <cellStyle name="60% - Accent3 3 2 2 2 2 2 4 2" xfId="33276" xr:uid="{00000000-0005-0000-0000-00001C740000}"/>
    <cellStyle name="60% - Accent3 3 2 2 2 2 2 5" xfId="23036" xr:uid="{00000000-0005-0000-0000-00001D740000}"/>
    <cellStyle name="60% - Accent3 3 2 2 2 2 3" xfId="3836" xr:uid="{00000000-0005-0000-0000-00001E740000}"/>
    <cellStyle name="60% - Accent3 3 2 2 2 2 3 2" xfId="8956" xr:uid="{00000000-0005-0000-0000-00001F740000}"/>
    <cellStyle name="60% - Accent3 3 2 2 2 2 3 2 2" xfId="19196" xr:uid="{00000000-0005-0000-0000-000020740000}"/>
    <cellStyle name="60% - Accent3 3 2 2 2 2 3 2 2 2" xfId="39676" xr:uid="{00000000-0005-0000-0000-000021740000}"/>
    <cellStyle name="60% - Accent3 3 2 2 2 2 3 2 3" xfId="29436" xr:uid="{00000000-0005-0000-0000-000022740000}"/>
    <cellStyle name="60% - Accent3 3 2 2 2 2 3 3" xfId="14076" xr:uid="{00000000-0005-0000-0000-000023740000}"/>
    <cellStyle name="60% - Accent3 3 2 2 2 2 3 3 2" xfId="34556" xr:uid="{00000000-0005-0000-0000-000024740000}"/>
    <cellStyle name="60% - Accent3 3 2 2 2 2 3 4" xfId="24316" xr:uid="{00000000-0005-0000-0000-000025740000}"/>
    <cellStyle name="60% - Accent3 3 2 2 2 2 4" xfId="6396" xr:uid="{00000000-0005-0000-0000-000026740000}"/>
    <cellStyle name="60% - Accent3 3 2 2 2 2 4 2" xfId="16636" xr:uid="{00000000-0005-0000-0000-000027740000}"/>
    <cellStyle name="60% - Accent3 3 2 2 2 2 4 2 2" xfId="37116" xr:uid="{00000000-0005-0000-0000-000028740000}"/>
    <cellStyle name="60% - Accent3 3 2 2 2 2 4 3" xfId="26876" xr:uid="{00000000-0005-0000-0000-000029740000}"/>
    <cellStyle name="60% - Accent3 3 2 2 2 2 5" xfId="11516" xr:uid="{00000000-0005-0000-0000-00002A740000}"/>
    <cellStyle name="60% - Accent3 3 2 2 2 2 5 2" xfId="31996" xr:uid="{00000000-0005-0000-0000-00002B740000}"/>
    <cellStyle name="60% - Accent3 3 2 2 2 2 6" xfId="21756" xr:uid="{00000000-0005-0000-0000-00002C740000}"/>
    <cellStyle name="60% - Accent3 3 2 2 2 3" xfId="1916" xr:uid="{00000000-0005-0000-0000-00002D740000}"/>
    <cellStyle name="60% - Accent3 3 2 2 2 3 2" xfId="4476" xr:uid="{00000000-0005-0000-0000-00002E740000}"/>
    <cellStyle name="60% - Accent3 3 2 2 2 3 2 2" xfId="9596" xr:uid="{00000000-0005-0000-0000-00002F740000}"/>
    <cellStyle name="60% - Accent3 3 2 2 2 3 2 2 2" xfId="19836" xr:uid="{00000000-0005-0000-0000-000030740000}"/>
    <cellStyle name="60% - Accent3 3 2 2 2 3 2 2 2 2" xfId="40316" xr:uid="{00000000-0005-0000-0000-000031740000}"/>
    <cellStyle name="60% - Accent3 3 2 2 2 3 2 2 3" xfId="30076" xr:uid="{00000000-0005-0000-0000-000032740000}"/>
    <cellStyle name="60% - Accent3 3 2 2 2 3 2 3" xfId="14716" xr:uid="{00000000-0005-0000-0000-000033740000}"/>
    <cellStyle name="60% - Accent3 3 2 2 2 3 2 3 2" xfId="35196" xr:uid="{00000000-0005-0000-0000-000034740000}"/>
    <cellStyle name="60% - Accent3 3 2 2 2 3 2 4" xfId="24956" xr:uid="{00000000-0005-0000-0000-000035740000}"/>
    <cellStyle name="60% - Accent3 3 2 2 2 3 3" xfId="7036" xr:uid="{00000000-0005-0000-0000-000036740000}"/>
    <cellStyle name="60% - Accent3 3 2 2 2 3 3 2" xfId="17276" xr:uid="{00000000-0005-0000-0000-000037740000}"/>
    <cellStyle name="60% - Accent3 3 2 2 2 3 3 2 2" xfId="37756" xr:uid="{00000000-0005-0000-0000-000038740000}"/>
    <cellStyle name="60% - Accent3 3 2 2 2 3 3 3" xfId="27516" xr:uid="{00000000-0005-0000-0000-000039740000}"/>
    <cellStyle name="60% - Accent3 3 2 2 2 3 4" xfId="12156" xr:uid="{00000000-0005-0000-0000-00003A740000}"/>
    <cellStyle name="60% - Accent3 3 2 2 2 3 4 2" xfId="32636" xr:uid="{00000000-0005-0000-0000-00003B740000}"/>
    <cellStyle name="60% - Accent3 3 2 2 2 3 5" xfId="22396" xr:uid="{00000000-0005-0000-0000-00003C740000}"/>
    <cellStyle name="60% - Accent3 3 2 2 2 4" xfId="3196" xr:uid="{00000000-0005-0000-0000-00003D740000}"/>
    <cellStyle name="60% - Accent3 3 2 2 2 4 2" xfId="8316" xr:uid="{00000000-0005-0000-0000-00003E740000}"/>
    <cellStyle name="60% - Accent3 3 2 2 2 4 2 2" xfId="18556" xr:uid="{00000000-0005-0000-0000-00003F740000}"/>
    <cellStyle name="60% - Accent3 3 2 2 2 4 2 2 2" xfId="39036" xr:uid="{00000000-0005-0000-0000-000040740000}"/>
    <cellStyle name="60% - Accent3 3 2 2 2 4 2 3" xfId="28796" xr:uid="{00000000-0005-0000-0000-000041740000}"/>
    <cellStyle name="60% - Accent3 3 2 2 2 4 3" xfId="13436" xr:uid="{00000000-0005-0000-0000-000042740000}"/>
    <cellStyle name="60% - Accent3 3 2 2 2 4 3 2" xfId="33916" xr:uid="{00000000-0005-0000-0000-000043740000}"/>
    <cellStyle name="60% - Accent3 3 2 2 2 4 4" xfId="23676" xr:uid="{00000000-0005-0000-0000-000044740000}"/>
    <cellStyle name="60% - Accent3 3 2 2 2 5" xfId="5756" xr:uid="{00000000-0005-0000-0000-000045740000}"/>
    <cellStyle name="60% - Accent3 3 2 2 2 5 2" xfId="15996" xr:uid="{00000000-0005-0000-0000-000046740000}"/>
    <cellStyle name="60% - Accent3 3 2 2 2 5 2 2" xfId="36476" xr:uid="{00000000-0005-0000-0000-000047740000}"/>
    <cellStyle name="60% - Accent3 3 2 2 2 5 3" xfId="26236" xr:uid="{00000000-0005-0000-0000-000048740000}"/>
    <cellStyle name="60% - Accent3 3 2 2 2 6" xfId="10876" xr:uid="{00000000-0005-0000-0000-000049740000}"/>
    <cellStyle name="60% - Accent3 3 2 2 2 6 2" xfId="31356" xr:uid="{00000000-0005-0000-0000-00004A740000}"/>
    <cellStyle name="60% - Accent3 3 2 2 2 7" xfId="21116" xr:uid="{00000000-0005-0000-0000-00004B740000}"/>
    <cellStyle name="60% - Accent3 3 2 2 3" xfId="956" xr:uid="{00000000-0005-0000-0000-00004C740000}"/>
    <cellStyle name="60% - Accent3 3 2 2 3 2" xfId="2236" xr:uid="{00000000-0005-0000-0000-00004D740000}"/>
    <cellStyle name="60% - Accent3 3 2 2 3 2 2" xfId="4796" xr:uid="{00000000-0005-0000-0000-00004E740000}"/>
    <cellStyle name="60% - Accent3 3 2 2 3 2 2 2" xfId="9916" xr:uid="{00000000-0005-0000-0000-00004F740000}"/>
    <cellStyle name="60% - Accent3 3 2 2 3 2 2 2 2" xfId="20156" xr:uid="{00000000-0005-0000-0000-000050740000}"/>
    <cellStyle name="60% - Accent3 3 2 2 3 2 2 2 2 2" xfId="40636" xr:uid="{00000000-0005-0000-0000-000051740000}"/>
    <cellStyle name="60% - Accent3 3 2 2 3 2 2 2 3" xfId="30396" xr:uid="{00000000-0005-0000-0000-000052740000}"/>
    <cellStyle name="60% - Accent3 3 2 2 3 2 2 3" xfId="15036" xr:uid="{00000000-0005-0000-0000-000053740000}"/>
    <cellStyle name="60% - Accent3 3 2 2 3 2 2 3 2" xfId="35516" xr:uid="{00000000-0005-0000-0000-000054740000}"/>
    <cellStyle name="60% - Accent3 3 2 2 3 2 2 4" xfId="25276" xr:uid="{00000000-0005-0000-0000-000055740000}"/>
    <cellStyle name="60% - Accent3 3 2 2 3 2 3" xfId="7356" xr:uid="{00000000-0005-0000-0000-000056740000}"/>
    <cellStyle name="60% - Accent3 3 2 2 3 2 3 2" xfId="17596" xr:uid="{00000000-0005-0000-0000-000057740000}"/>
    <cellStyle name="60% - Accent3 3 2 2 3 2 3 2 2" xfId="38076" xr:uid="{00000000-0005-0000-0000-000058740000}"/>
    <cellStyle name="60% - Accent3 3 2 2 3 2 3 3" xfId="27836" xr:uid="{00000000-0005-0000-0000-000059740000}"/>
    <cellStyle name="60% - Accent3 3 2 2 3 2 4" xfId="12476" xr:uid="{00000000-0005-0000-0000-00005A740000}"/>
    <cellStyle name="60% - Accent3 3 2 2 3 2 4 2" xfId="32956" xr:uid="{00000000-0005-0000-0000-00005B740000}"/>
    <cellStyle name="60% - Accent3 3 2 2 3 2 5" xfId="22716" xr:uid="{00000000-0005-0000-0000-00005C740000}"/>
    <cellStyle name="60% - Accent3 3 2 2 3 3" xfId="3516" xr:uid="{00000000-0005-0000-0000-00005D740000}"/>
    <cellStyle name="60% - Accent3 3 2 2 3 3 2" xfId="8636" xr:uid="{00000000-0005-0000-0000-00005E740000}"/>
    <cellStyle name="60% - Accent3 3 2 2 3 3 2 2" xfId="18876" xr:uid="{00000000-0005-0000-0000-00005F740000}"/>
    <cellStyle name="60% - Accent3 3 2 2 3 3 2 2 2" xfId="39356" xr:uid="{00000000-0005-0000-0000-000060740000}"/>
    <cellStyle name="60% - Accent3 3 2 2 3 3 2 3" xfId="29116" xr:uid="{00000000-0005-0000-0000-000061740000}"/>
    <cellStyle name="60% - Accent3 3 2 2 3 3 3" xfId="13756" xr:uid="{00000000-0005-0000-0000-000062740000}"/>
    <cellStyle name="60% - Accent3 3 2 2 3 3 3 2" xfId="34236" xr:uid="{00000000-0005-0000-0000-000063740000}"/>
    <cellStyle name="60% - Accent3 3 2 2 3 3 4" xfId="23996" xr:uid="{00000000-0005-0000-0000-000064740000}"/>
    <cellStyle name="60% - Accent3 3 2 2 3 4" xfId="6076" xr:uid="{00000000-0005-0000-0000-000065740000}"/>
    <cellStyle name="60% - Accent3 3 2 2 3 4 2" xfId="16316" xr:uid="{00000000-0005-0000-0000-000066740000}"/>
    <cellStyle name="60% - Accent3 3 2 2 3 4 2 2" xfId="36796" xr:uid="{00000000-0005-0000-0000-000067740000}"/>
    <cellStyle name="60% - Accent3 3 2 2 3 4 3" xfId="26556" xr:uid="{00000000-0005-0000-0000-000068740000}"/>
    <cellStyle name="60% - Accent3 3 2 2 3 5" xfId="11196" xr:uid="{00000000-0005-0000-0000-000069740000}"/>
    <cellStyle name="60% - Accent3 3 2 2 3 5 2" xfId="31676" xr:uid="{00000000-0005-0000-0000-00006A740000}"/>
    <cellStyle name="60% - Accent3 3 2 2 3 6" xfId="21436" xr:uid="{00000000-0005-0000-0000-00006B740000}"/>
    <cellStyle name="60% - Accent3 3 2 2 4" xfId="1596" xr:uid="{00000000-0005-0000-0000-00006C740000}"/>
    <cellStyle name="60% - Accent3 3 2 2 4 2" xfId="4156" xr:uid="{00000000-0005-0000-0000-00006D740000}"/>
    <cellStyle name="60% - Accent3 3 2 2 4 2 2" xfId="9276" xr:uid="{00000000-0005-0000-0000-00006E740000}"/>
    <cellStyle name="60% - Accent3 3 2 2 4 2 2 2" xfId="19516" xr:uid="{00000000-0005-0000-0000-00006F740000}"/>
    <cellStyle name="60% - Accent3 3 2 2 4 2 2 2 2" xfId="39996" xr:uid="{00000000-0005-0000-0000-000070740000}"/>
    <cellStyle name="60% - Accent3 3 2 2 4 2 2 3" xfId="29756" xr:uid="{00000000-0005-0000-0000-000071740000}"/>
    <cellStyle name="60% - Accent3 3 2 2 4 2 3" xfId="14396" xr:uid="{00000000-0005-0000-0000-000072740000}"/>
    <cellStyle name="60% - Accent3 3 2 2 4 2 3 2" xfId="34876" xr:uid="{00000000-0005-0000-0000-000073740000}"/>
    <cellStyle name="60% - Accent3 3 2 2 4 2 4" xfId="24636" xr:uid="{00000000-0005-0000-0000-000074740000}"/>
    <cellStyle name="60% - Accent3 3 2 2 4 3" xfId="6716" xr:uid="{00000000-0005-0000-0000-000075740000}"/>
    <cellStyle name="60% - Accent3 3 2 2 4 3 2" xfId="16956" xr:uid="{00000000-0005-0000-0000-000076740000}"/>
    <cellStyle name="60% - Accent3 3 2 2 4 3 2 2" xfId="37436" xr:uid="{00000000-0005-0000-0000-000077740000}"/>
    <cellStyle name="60% - Accent3 3 2 2 4 3 3" xfId="27196" xr:uid="{00000000-0005-0000-0000-000078740000}"/>
    <cellStyle name="60% - Accent3 3 2 2 4 4" xfId="11836" xr:uid="{00000000-0005-0000-0000-000079740000}"/>
    <cellStyle name="60% - Accent3 3 2 2 4 4 2" xfId="32316" xr:uid="{00000000-0005-0000-0000-00007A740000}"/>
    <cellStyle name="60% - Accent3 3 2 2 4 5" xfId="22076" xr:uid="{00000000-0005-0000-0000-00007B740000}"/>
    <cellStyle name="60% - Accent3 3 2 2 5" xfId="2876" xr:uid="{00000000-0005-0000-0000-00007C740000}"/>
    <cellStyle name="60% - Accent3 3 2 2 5 2" xfId="7996" xr:uid="{00000000-0005-0000-0000-00007D740000}"/>
    <cellStyle name="60% - Accent3 3 2 2 5 2 2" xfId="18236" xr:uid="{00000000-0005-0000-0000-00007E740000}"/>
    <cellStyle name="60% - Accent3 3 2 2 5 2 2 2" xfId="38716" xr:uid="{00000000-0005-0000-0000-00007F740000}"/>
    <cellStyle name="60% - Accent3 3 2 2 5 2 3" xfId="28476" xr:uid="{00000000-0005-0000-0000-000080740000}"/>
    <cellStyle name="60% - Accent3 3 2 2 5 3" xfId="13116" xr:uid="{00000000-0005-0000-0000-000081740000}"/>
    <cellStyle name="60% - Accent3 3 2 2 5 3 2" xfId="33596" xr:uid="{00000000-0005-0000-0000-000082740000}"/>
    <cellStyle name="60% - Accent3 3 2 2 5 4" xfId="23356" xr:uid="{00000000-0005-0000-0000-000083740000}"/>
    <cellStyle name="60% - Accent3 3 2 2 6" xfId="5436" xr:uid="{00000000-0005-0000-0000-000084740000}"/>
    <cellStyle name="60% - Accent3 3 2 2 6 2" xfId="15676" xr:uid="{00000000-0005-0000-0000-000085740000}"/>
    <cellStyle name="60% - Accent3 3 2 2 6 2 2" xfId="36156" xr:uid="{00000000-0005-0000-0000-000086740000}"/>
    <cellStyle name="60% - Accent3 3 2 2 6 3" xfId="25916" xr:uid="{00000000-0005-0000-0000-000087740000}"/>
    <cellStyle name="60% - Accent3 3 2 2 7" xfId="10556" xr:uid="{00000000-0005-0000-0000-000088740000}"/>
    <cellStyle name="60% - Accent3 3 2 2 7 2" xfId="31036" xr:uid="{00000000-0005-0000-0000-000089740000}"/>
    <cellStyle name="60% - Accent3 3 2 2 8" xfId="20796" xr:uid="{00000000-0005-0000-0000-00008A740000}"/>
    <cellStyle name="60% - Accent3 3 2 3" xfId="476" xr:uid="{00000000-0005-0000-0000-00008B740000}"/>
    <cellStyle name="60% - Accent3 3 2 3 2" xfId="1116" xr:uid="{00000000-0005-0000-0000-00008C740000}"/>
    <cellStyle name="60% - Accent3 3 2 3 2 2" xfId="2396" xr:uid="{00000000-0005-0000-0000-00008D740000}"/>
    <cellStyle name="60% - Accent3 3 2 3 2 2 2" xfId="4956" xr:uid="{00000000-0005-0000-0000-00008E740000}"/>
    <cellStyle name="60% - Accent3 3 2 3 2 2 2 2" xfId="10076" xr:uid="{00000000-0005-0000-0000-00008F740000}"/>
    <cellStyle name="60% - Accent3 3 2 3 2 2 2 2 2" xfId="20316" xr:uid="{00000000-0005-0000-0000-000090740000}"/>
    <cellStyle name="60% - Accent3 3 2 3 2 2 2 2 2 2" xfId="40796" xr:uid="{00000000-0005-0000-0000-000091740000}"/>
    <cellStyle name="60% - Accent3 3 2 3 2 2 2 2 3" xfId="30556" xr:uid="{00000000-0005-0000-0000-000092740000}"/>
    <cellStyle name="60% - Accent3 3 2 3 2 2 2 3" xfId="15196" xr:uid="{00000000-0005-0000-0000-000093740000}"/>
    <cellStyle name="60% - Accent3 3 2 3 2 2 2 3 2" xfId="35676" xr:uid="{00000000-0005-0000-0000-000094740000}"/>
    <cellStyle name="60% - Accent3 3 2 3 2 2 2 4" xfId="25436" xr:uid="{00000000-0005-0000-0000-000095740000}"/>
    <cellStyle name="60% - Accent3 3 2 3 2 2 3" xfId="7516" xr:uid="{00000000-0005-0000-0000-000096740000}"/>
    <cellStyle name="60% - Accent3 3 2 3 2 2 3 2" xfId="17756" xr:uid="{00000000-0005-0000-0000-000097740000}"/>
    <cellStyle name="60% - Accent3 3 2 3 2 2 3 2 2" xfId="38236" xr:uid="{00000000-0005-0000-0000-000098740000}"/>
    <cellStyle name="60% - Accent3 3 2 3 2 2 3 3" xfId="27996" xr:uid="{00000000-0005-0000-0000-000099740000}"/>
    <cellStyle name="60% - Accent3 3 2 3 2 2 4" xfId="12636" xr:uid="{00000000-0005-0000-0000-00009A740000}"/>
    <cellStyle name="60% - Accent3 3 2 3 2 2 4 2" xfId="33116" xr:uid="{00000000-0005-0000-0000-00009B740000}"/>
    <cellStyle name="60% - Accent3 3 2 3 2 2 5" xfId="22876" xr:uid="{00000000-0005-0000-0000-00009C740000}"/>
    <cellStyle name="60% - Accent3 3 2 3 2 3" xfId="3676" xr:uid="{00000000-0005-0000-0000-00009D740000}"/>
    <cellStyle name="60% - Accent3 3 2 3 2 3 2" xfId="8796" xr:uid="{00000000-0005-0000-0000-00009E740000}"/>
    <cellStyle name="60% - Accent3 3 2 3 2 3 2 2" xfId="19036" xr:uid="{00000000-0005-0000-0000-00009F740000}"/>
    <cellStyle name="60% - Accent3 3 2 3 2 3 2 2 2" xfId="39516" xr:uid="{00000000-0005-0000-0000-0000A0740000}"/>
    <cellStyle name="60% - Accent3 3 2 3 2 3 2 3" xfId="29276" xr:uid="{00000000-0005-0000-0000-0000A1740000}"/>
    <cellStyle name="60% - Accent3 3 2 3 2 3 3" xfId="13916" xr:uid="{00000000-0005-0000-0000-0000A2740000}"/>
    <cellStyle name="60% - Accent3 3 2 3 2 3 3 2" xfId="34396" xr:uid="{00000000-0005-0000-0000-0000A3740000}"/>
    <cellStyle name="60% - Accent3 3 2 3 2 3 4" xfId="24156" xr:uid="{00000000-0005-0000-0000-0000A4740000}"/>
    <cellStyle name="60% - Accent3 3 2 3 2 4" xfId="6236" xr:uid="{00000000-0005-0000-0000-0000A5740000}"/>
    <cellStyle name="60% - Accent3 3 2 3 2 4 2" xfId="16476" xr:uid="{00000000-0005-0000-0000-0000A6740000}"/>
    <cellStyle name="60% - Accent3 3 2 3 2 4 2 2" xfId="36956" xr:uid="{00000000-0005-0000-0000-0000A7740000}"/>
    <cellStyle name="60% - Accent3 3 2 3 2 4 3" xfId="26716" xr:uid="{00000000-0005-0000-0000-0000A8740000}"/>
    <cellStyle name="60% - Accent3 3 2 3 2 5" xfId="11356" xr:uid="{00000000-0005-0000-0000-0000A9740000}"/>
    <cellStyle name="60% - Accent3 3 2 3 2 5 2" xfId="31836" xr:uid="{00000000-0005-0000-0000-0000AA740000}"/>
    <cellStyle name="60% - Accent3 3 2 3 2 6" xfId="21596" xr:uid="{00000000-0005-0000-0000-0000AB740000}"/>
    <cellStyle name="60% - Accent3 3 2 3 3" xfId="1756" xr:uid="{00000000-0005-0000-0000-0000AC740000}"/>
    <cellStyle name="60% - Accent3 3 2 3 3 2" xfId="4316" xr:uid="{00000000-0005-0000-0000-0000AD740000}"/>
    <cellStyle name="60% - Accent3 3 2 3 3 2 2" xfId="9436" xr:uid="{00000000-0005-0000-0000-0000AE740000}"/>
    <cellStyle name="60% - Accent3 3 2 3 3 2 2 2" xfId="19676" xr:uid="{00000000-0005-0000-0000-0000AF740000}"/>
    <cellStyle name="60% - Accent3 3 2 3 3 2 2 2 2" xfId="40156" xr:uid="{00000000-0005-0000-0000-0000B0740000}"/>
    <cellStyle name="60% - Accent3 3 2 3 3 2 2 3" xfId="29916" xr:uid="{00000000-0005-0000-0000-0000B1740000}"/>
    <cellStyle name="60% - Accent3 3 2 3 3 2 3" xfId="14556" xr:uid="{00000000-0005-0000-0000-0000B2740000}"/>
    <cellStyle name="60% - Accent3 3 2 3 3 2 3 2" xfId="35036" xr:uid="{00000000-0005-0000-0000-0000B3740000}"/>
    <cellStyle name="60% - Accent3 3 2 3 3 2 4" xfId="24796" xr:uid="{00000000-0005-0000-0000-0000B4740000}"/>
    <cellStyle name="60% - Accent3 3 2 3 3 3" xfId="6876" xr:uid="{00000000-0005-0000-0000-0000B5740000}"/>
    <cellStyle name="60% - Accent3 3 2 3 3 3 2" xfId="17116" xr:uid="{00000000-0005-0000-0000-0000B6740000}"/>
    <cellStyle name="60% - Accent3 3 2 3 3 3 2 2" xfId="37596" xr:uid="{00000000-0005-0000-0000-0000B7740000}"/>
    <cellStyle name="60% - Accent3 3 2 3 3 3 3" xfId="27356" xr:uid="{00000000-0005-0000-0000-0000B8740000}"/>
    <cellStyle name="60% - Accent3 3 2 3 3 4" xfId="11996" xr:uid="{00000000-0005-0000-0000-0000B9740000}"/>
    <cellStyle name="60% - Accent3 3 2 3 3 4 2" xfId="32476" xr:uid="{00000000-0005-0000-0000-0000BA740000}"/>
    <cellStyle name="60% - Accent3 3 2 3 3 5" xfId="22236" xr:uid="{00000000-0005-0000-0000-0000BB740000}"/>
    <cellStyle name="60% - Accent3 3 2 3 4" xfId="3036" xr:uid="{00000000-0005-0000-0000-0000BC740000}"/>
    <cellStyle name="60% - Accent3 3 2 3 4 2" xfId="8156" xr:uid="{00000000-0005-0000-0000-0000BD740000}"/>
    <cellStyle name="60% - Accent3 3 2 3 4 2 2" xfId="18396" xr:uid="{00000000-0005-0000-0000-0000BE740000}"/>
    <cellStyle name="60% - Accent3 3 2 3 4 2 2 2" xfId="38876" xr:uid="{00000000-0005-0000-0000-0000BF740000}"/>
    <cellStyle name="60% - Accent3 3 2 3 4 2 3" xfId="28636" xr:uid="{00000000-0005-0000-0000-0000C0740000}"/>
    <cellStyle name="60% - Accent3 3 2 3 4 3" xfId="13276" xr:uid="{00000000-0005-0000-0000-0000C1740000}"/>
    <cellStyle name="60% - Accent3 3 2 3 4 3 2" xfId="33756" xr:uid="{00000000-0005-0000-0000-0000C2740000}"/>
    <cellStyle name="60% - Accent3 3 2 3 4 4" xfId="23516" xr:uid="{00000000-0005-0000-0000-0000C3740000}"/>
    <cellStyle name="60% - Accent3 3 2 3 5" xfId="5596" xr:uid="{00000000-0005-0000-0000-0000C4740000}"/>
    <cellStyle name="60% - Accent3 3 2 3 5 2" xfId="15836" xr:uid="{00000000-0005-0000-0000-0000C5740000}"/>
    <cellStyle name="60% - Accent3 3 2 3 5 2 2" xfId="36316" xr:uid="{00000000-0005-0000-0000-0000C6740000}"/>
    <cellStyle name="60% - Accent3 3 2 3 5 3" xfId="26076" xr:uid="{00000000-0005-0000-0000-0000C7740000}"/>
    <cellStyle name="60% - Accent3 3 2 3 6" xfId="10716" xr:uid="{00000000-0005-0000-0000-0000C8740000}"/>
    <cellStyle name="60% - Accent3 3 2 3 6 2" xfId="31196" xr:uid="{00000000-0005-0000-0000-0000C9740000}"/>
    <cellStyle name="60% - Accent3 3 2 3 7" xfId="20956" xr:uid="{00000000-0005-0000-0000-0000CA740000}"/>
    <cellStyle name="60% - Accent3 3 2 4" xfId="796" xr:uid="{00000000-0005-0000-0000-0000CB740000}"/>
    <cellStyle name="60% - Accent3 3 2 4 2" xfId="2076" xr:uid="{00000000-0005-0000-0000-0000CC740000}"/>
    <cellStyle name="60% - Accent3 3 2 4 2 2" xfId="4636" xr:uid="{00000000-0005-0000-0000-0000CD740000}"/>
    <cellStyle name="60% - Accent3 3 2 4 2 2 2" xfId="9756" xr:uid="{00000000-0005-0000-0000-0000CE740000}"/>
    <cellStyle name="60% - Accent3 3 2 4 2 2 2 2" xfId="19996" xr:uid="{00000000-0005-0000-0000-0000CF740000}"/>
    <cellStyle name="60% - Accent3 3 2 4 2 2 2 2 2" xfId="40476" xr:uid="{00000000-0005-0000-0000-0000D0740000}"/>
    <cellStyle name="60% - Accent3 3 2 4 2 2 2 3" xfId="30236" xr:uid="{00000000-0005-0000-0000-0000D1740000}"/>
    <cellStyle name="60% - Accent3 3 2 4 2 2 3" xfId="14876" xr:uid="{00000000-0005-0000-0000-0000D2740000}"/>
    <cellStyle name="60% - Accent3 3 2 4 2 2 3 2" xfId="35356" xr:uid="{00000000-0005-0000-0000-0000D3740000}"/>
    <cellStyle name="60% - Accent3 3 2 4 2 2 4" xfId="25116" xr:uid="{00000000-0005-0000-0000-0000D4740000}"/>
    <cellStyle name="60% - Accent3 3 2 4 2 3" xfId="7196" xr:uid="{00000000-0005-0000-0000-0000D5740000}"/>
    <cellStyle name="60% - Accent3 3 2 4 2 3 2" xfId="17436" xr:uid="{00000000-0005-0000-0000-0000D6740000}"/>
    <cellStyle name="60% - Accent3 3 2 4 2 3 2 2" xfId="37916" xr:uid="{00000000-0005-0000-0000-0000D7740000}"/>
    <cellStyle name="60% - Accent3 3 2 4 2 3 3" xfId="27676" xr:uid="{00000000-0005-0000-0000-0000D8740000}"/>
    <cellStyle name="60% - Accent3 3 2 4 2 4" xfId="12316" xr:uid="{00000000-0005-0000-0000-0000D9740000}"/>
    <cellStyle name="60% - Accent3 3 2 4 2 4 2" xfId="32796" xr:uid="{00000000-0005-0000-0000-0000DA740000}"/>
    <cellStyle name="60% - Accent3 3 2 4 2 5" xfId="22556" xr:uid="{00000000-0005-0000-0000-0000DB740000}"/>
    <cellStyle name="60% - Accent3 3 2 4 3" xfId="3356" xr:uid="{00000000-0005-0000-0000-0000DC740000}"/>
    <cellStyle name="60% - Accent3 3 2 4 3 2" xfId="8476" xr:uid="{00000000-0005-0000-0000-0000DD740000}"/>
    <cellStyle name="60% - Accent3 3 2 4 3 2 2" xfId="18716" xr:uid="{00000000-0005-0000-0000-0000DE740000}"/>
    <cellStyle name="60% - Accent3 3 2 4 3 2 2 2" xfId="39196" xr:uid="{00000000-0005-0000-0000-0000DF740000}"/>
    <cellStyle name="60% - Accent3 3 2 4 3 2 3" xfId="28956" xr:uid="{00000000-0005-0000-0000-0000E0740000}"/>
    <cellStyle name="60% - Accent3 3 2 4 3 3" xfId="13596" xr:uid="{00000000-0005-0000-0000-0000E1740000}"/>
    <cellStyle name="60% - Accent3 3 2 4 3 3 2" xfId="34076" xr:uid="{00000000-0005-0000-0000-0000E2740000}"/>
    <cellStyle name="60% - Accent3 3 2 4 3 4" xfId="23836" xr:uid="{00000000-0005-0000-0000-0000E3740000}"/>
    <cellStyle name="60% - Accent3 3 2 4 4" xfId="5916" xr:uid="{00000000-0005-0000-0000-0000E4740000}"/>
    <cellStyle name="60% - Accent3 3 2 4 4 2" xfId="16156" xr:uid="{00000000-0005-0000-0000-0000E5740000}"/>
    <cellStyle name="60% - Accent3 3 2 4 4 2 2" xfId="36636" xr:uid="{00000000-0005-0000-0000-0000E6740000}"/>
    <cellStyle name="60% - Accent3 3 2 4 4 3" xfId="26396" xr:uid="{00000000-0005-0000-0000-0000E7740000}"/>
    <cellStyle name="60% - Accent3 3 2 4 5" xfId="11036" xr:uid="{00000000-0005-0000-0000-0000E8740000}"/>
    <cellStyle name="60% - Accent3 3 2 4 5 2" xfId="31516" xr:uid="{00000000-0005-0000-0000-0000E9740000}"/>
    <cellStyle name="60% - Accent3 3 2 4 6" xfId="21276" xr:uid="{00000000-0005-0000-0000-0000EA740000}"/>
    <cellStyle name="60% - Accent3 3 2 5" xfId="1436" xr:uid="{00000000-0005-0000-0000-0000EB740000}"/>
    <cellStyle name="60% - Accent3 3 2 5 2" xfId="3996" xr:uid="{00000000-0005-0000-0000-0000EC740000}"/>
    <cellStyle name="60% - Accent3 3 2 5 2 2" xfId="9116" xr:uid="{00000000-0005-0000-0000-0000ED740000}"/>
    <cellStyle name="60% - Accent3 3 2 5 2 2 2" xfId="19356" xr:uid="{00000000-0005-0000-0000-0000EE740000}"/>
    <cellStyle name="60% - Accent3 3 2 5 2 2 2 2" xfId="39836" xr:uid="{00000000-0005-0000-0000-0000EF740000}"/>
    <cellStyle name="60% - Accent3 3 2 5 2 2 3" xfId="29596" xr:uid="{00000000-0005-0000-0000-0000F0740000}"/>
    <cellStyle name="60% - Accent3 3 2 5 2 3" xfId="14236" xr:uid="{00000000-0005-0000-0000-0000F1740000}"/>
    <cellStyle name="60% - Accent3 3 2 5 2 3 2" xfId="34716" xr:uid="{00000000-0005-0000-0000-0000F2740000}"/>
    <cellStyle name="60% - Accent3 3 2 5 2 4" xfId="24476" xr:uid="{00000000-0005-0000-0000-0000F3740000}"/>
    <cellStyle name="60% - Accent3 3 2 5 3" xfId="6556" xr:uid="{00000000-0005-0000-0000-0000F4740000}"/>
    <cellStyle name="60% - Accent3 3 2 5 3 2" xfId="16796" xr:uid="{00000000-0005-0000-0000-0000F5740000}"/>
    <cellStyle name="60% - Accent3 3 2 5 3 2 2" xfId="37276" xr:uid="{00000000-0005-0000-0000-0000F6740000}"/>
    <cellStyle name="60% - Accent3 3 2 5 3 3" xfId="27036" xr:uid="{00000000-0005-0000-0000-0000F7740000}"/>
    <cellStyle name="60% - Accent3 3 2 5 4" xfId="11676" xr:uid="{00000000-0005-0000-0000-0000F8740000}"/>
    <cellStyle name="60% - Accent3 3 2 5 4 2" xfId="32156" xr:uid="{00000000-0005-0000-0000-0000F9740000}"/>
    <cellStyle name="60% - Accent3 3 2 5 5" xfId="21916" xr:uid="{00000000-0005-0000-0000-0000FA740000}"/>
    <cellStyle name="60% - Accent3 3 2 6" xfId="2716" xr:uid="{00000000-0005-0000-0000-0000FB740000}"/>
    <cellStyle name="60% - Accent3 3 2 6 2" xfId="7836" xr:uid="{00000000-0005-0000-0000-0000FC740000}"/>
    <cellStyle name="60% - Accent3 3 2 6 2 2" xfId="18076" xr:uid="{00000000-0005-0000-0000-0000FD740000}"/>
    <cellStyle name="60% - Accent3 3 2 6 2 2 2" xfId="38556" xr:uid="{00000000-0005-0000-0000-0000FE740000}"/>
    <cellStyle name="60% - Accent3 3 2 6 2 3" xfId="28316" xr:uid="{00000000-0005-0000-0000-0000FF740000}"/>
    <cellStyle name="60% - Accent3 3 2 6 3" xfId="12956" xr:uid="{00000000-0005-0000-0000-000000750000}"/>
    <cellStyle name="60% - Accent3 3 2 6 3 2" xfId="33436" xr:uid="{00000000-0005-0000-0000-000001750000}"/>
    <cellStyle name="60% - Accent3 3 2 6 4" xfId="23196" xr:uid="{00000000-0005-0000-0000-000002750000}"/>
    <cellStyle name="60% - Accent3 3 2 7" xfId="5276" xr:uid="{00000000-0005-0000-0000-000003750000}"/>
    <cellStyle name="60% - Accent3 3 2 7 2" xfId="15516" xr:uid="{00000000-0005-0000-0000-000004750000}"/>
    <cellStyle name="60% - Accent3 3 2 7 2 2" xfId="35996" xr:uid="{00000000-0005-0000-0000-000005750000}"/>
    <cellStyle name="60% - Accent3 3 2 7 3" xfId="25756" xr:uid="{00000000-0005-0000-0000-000006750000}"/>
    <cellStyle name="60% - Accent3 3 2 8" xfId="10396" xr:uid="{00000000-0005-0000-0000-000007750000}"/>
    <cellStyle name="60% - Accent3 3 2 8 2" xfId="30876" xr:uid="{00000000-0005-0000-0000-000008750000}"/>
    <cellStyle name="60% - Accent3 3 2 9" xfId="20636" xr:uid="{00000000-0005-0000-0000-000009750000}"/>
    <cellStyle name="60% - Accent3 3 3" xfId="236" xr:uid="{00000000-0005-0000-0000-00000A750000}"/>
    <cellStyle name="60% - Accent3 3 3 2" xfId="556" xr:uid="{00000000-0005-0000-0000-00000B750000}"/>
    <cellStyle name="60% - Accent3 3 3 2 2" xfId="1196" xr:uid="{00000000-0005-0000-0000-00000C750000}"/>
    <cellStyle name="60% - Accent3 3 3 2 2 2" xfId="2476" xr:uid="{00000000-0005-0000-0000-00000D750000}"/>
    <cellStyle name="60% - Accent3 3 3 2 2 2 2" xfId="5036" xr:uid="{00000000-0005-0000-0000-00000E750000}"/>
    <cellStyle name="60% - Accent3 3 3 2 2 2 2 2" xfId="10156" xr:uid="{00000000-0005-0000-0000-00000F750000}"/>
    <cellStyle name="60% - Accent3 3 3 2 2 2 2 2 2" xfId="20396" xr:uid="{00000000-0005-0000-0000-000010750000}"/>
    <cellStyle name="60% - Accent3 3 3 2 2 2 2 2 2 2" xfId="40876" xr:uid="{00000000-0005-0000-0000-000011750000}"/>
    <cellStyle name="60% - Accent3 3 3 2 2 2 2 2 3" xfId="30636" xr:uid="{00000000-0005-0000-0000-000012750000}"/>
    <cellStyle name="60% - Accent3 3 3 2 2 2 2 3" xfId="15276" xr:uid="{00000000-0005-0000-0000-000013750000}"/>
    <cellStyle name="60% - Accent3 3 3 2 2 2 2 3 2" xfId="35756" xr:uid="{00000000-0005-0000-0000-000014750000}"/>
    <cellStyle name="60% - Accent3 3 3 2 2 2 2 4" xfId="25516" xr:uid="{00000000-0005-0000-0000-000015750000}"/>
    <cellStyle name="60% - Accent3 3 3 2 2 2 3" xfId="7596" xr:uid="{00000000-0005-0000-0000-000016750000}"/>
    <cellStyle name="60% - Accent3 3 3 2 2 2 3 2" xfId="17836" xr:uid="{00000000-0005-0000-0000-000017750000}"/>
    <cellStyle name="60% - Accent3 3 3 2 2 2 3 2 2" xfId="38316" xr:uid="{00000000-0005-0000-0000-000018750000}"/>
    <cellStyle name="60% - Accent3 3 3 2 2 2 3 3" xfId="28076" xr:uid="{00000000-0005-0000-0000-000019750000}"/>
    <cellStyle name="60% - Accent3 3 3 2 2 2 4" xfId="12716" xr:uid="{00000000-0005-0000-0000-00001A750000}"/>
    <cellStyle name="60% - Accent3 3 3 2 2 2 4 2" xfId="33196" xr:uid="{00000000-0005-0000-0000-00001B750000}"/>
    <cellStyle name="60% - Accent3 3 3 2 2 2 5" xfId="22956" xr:uid="{00000000-0005-0000-0000-00001C750000}"/>
    <cellStyle name="60% - Accent3 3 3 2 2 3" xfId="3756" xr:uid="{00000000-0005-0000-0000-00001D750000}"/>
    <cellStyle name="60% - Accent3 3 3 2 2 3 2" xfId="8876" xr:uid="{00000000-0005-0000-0000-00001E750000}"/>
    <cellStyle name="60% - Accent3 3 3 2 2 3 2 2" xfId="19116" xr:uid="{00000000-0005-0000-0000-00001F750000}"/>
    <cellStyle name="60% - Accent3 3 3 2 2 3 2 2 2" xfId="39596" xr:uid="{00000000-0005-0000-0000-000020750000}"/>
    <cellStyle name="60% - Accent3 3 3 2 2 3 2 3" xfId="29356" xr:uid="{00000000-0005-0000-0000-000021750000}"/>
    <cellStyle name="60% - Accent3 3 3 2 2 3 3" xfId="13996" xr:uid="{00000000-0005-0000-0000-000022750000}"/>
    <cellStyle name="60% - Accent3 3 3 2 2 3 3 2" xfId="34476" xr:uid="{00000000-0005-0000-0000-000023750000}"/>
    <cellStyle name="60% - Accent3 3 3 2 2 3 4" xfId="24236" xr:uid="{00000000-0005-0000-0000-000024750000}"/>
    <cellStyle name="60% - Accent3 3 3 2 2 4" xfId="6316" xr:uid="{00000000-0005-0000-0000-000025750000}"/>
    <cellStyle name="60% - Accent3 3 3 2 2 4 2" xfId="16556" xr:uid="{00000000-0005-0000-0000-000026750000}"/>
    <cellStyle name="60% - Accent3 3 3 2 2 4 2 2" xfId="37036" xr:uid="{00000000-0005-0000-0000-000027750000}"/>
    <cellStyle name="60% - Accent3 3 3 2 2 4 3" xfId="26796" xr:uid="{00000000-0005-0000-0000-000028750000}"/>
    <cellStyle name="60% - Accent3 3 3 2 2 5" xfId="11436" xr:uid="{00000000-0005-0000-0000-000029750000}"/>
    <cellStyle name="60% - Accent3 3 3 2 2 5 2" xfId="31916" xr:uid="{00000000-0005-0000-0000-00002A750000}"/>
    <cellStyle name="60% - Accent3 3 3 2 2 6" xfId="21676" xr:uid="{00000000-0005-0000-0000-00002B750000}"/>
    <cellStyle name="60% - Accent3 3 3 2 3" xfId="1836" xr:uid="{00000000-0005-0000-0000-00002C750000}"/>
    <cellStyle name="60% - Accent3 3 3 2 3 2" xfId="4396" xr:uid="{00000000-0005-0000-0000-00002D750000}"/>
    <cellStyle name="60% - Accent3 3 3 2 3 2 2" xfId="9516" xr:uid="{00000000-0005-0000-0000-00002E750000}"/>
    <cellStyle name="60% - Accent3 3 3 2 3 2 2 2" xfId="19756" xr:uid="{00000000-0005-0000-0000-00002F750000}"/>
    <cellStyle name="60% - Accent3 3 3 2 3 2 2 2 2" xfId="40236" xr:uid="{00000000-0005-0000-0000-000030750000}"/>
    <cellStyle name="60% - Accent3 3 3 2 3 2 2 3" xfId="29996" xr:uid="{00000000-0005-0000-0000-000031750000}"/>
    <cellStyle name="60% - Accent3 3 3 2 3 2 3" xfId="14636" xr:uid="{00000000-0005-0000-0000-000032750000}"/>
    <cellStyle name="60% - Accent3 3 3 2 3 2 3 2" xfId="35116" xr:uid="{00000000-0005-0000-0000-000033750000}"/>
    <cellStyle name="60% - Accent3 3 3 2 3 2 4" xfId="24876" xr:uid="{00000000-0005-0000-0000-000034750000}"/>
    <cellStyle name="60% - Accent3 3 3 2 3 3" xfId="6956" xr:uid="{00000000-0005-0000-0000-000035750000}"/>
    <cellStyle name="60% - Accent3 3 3 2 3 3 2" xfId="17196" xr:uid="{00000000-0005-0000-0000-000036750000}"/>
    <cellStyle name="60% - Accent3 3 3 2 3 3 2 2" xfId="37676" xr:uid="{00000000-0005-0000-0000-000037750000}"/>
    <cellStyle name="60% - Accent3 3 3 2 3 3 3" xfId="27436" xr:uid="{00000000-0005-0000-0000-000038750000}"/>
    <cellStyle name="60% - Accent3 3 3 2 3 4" xfId="12076" xr:uid="{00000000-0005-0000-0000-000039750000}"/>
    <cellStyle name="60% - Accent3 3 3 2 3 4 2" xfId="32556" xr:uid="{00000000-0005-0000-0000-00003A750000}"/>
    <cellStyle name="60% - Accent3 3 3 2 3 5" xfId="22316" xr:uid="{00000000-0005-0000-0000-00003B750000}"/>
    <cellStyle name="60% - Accent3 3 3 2 4" xfId="3116" xr:uid="{00000000-0005-0000-0000-00003C750000}"/>
    <cellStyle name="60% - Accent3 3 3 2 4 2" xfId="8236" xr:uid="{00000000-0005-0000-0000-00003D750000}"/>
    <cellStyle name="60% - Accent3 3 3 2 4 2 2" xfId="18476" xr:uid="{00000000-0005-0000-0000-00003E750000}"/>
    <cellStyle name="60% - Accent3 3 3 2 4 2 2 2" xfId="38956" xr:uid="{00000000-0005-0000-0000-00003F750000}"/>
    <cellStyle name="60% - Accent3 3 3 2 4 2 3" xfId="28716" xr:uid="{00000000-0005-0000-0000-000040750000}"/>
    <cellStyle name="60% - Accent3 3 3 2 4 3" xfId="13356" xr:uid="{00000000-0005-0000-0000-000041750000}"/>
    <cellStyle name="60% - Accent3 3 3 2 4 3 2" xfId="33836" xr:uid="{00000000-0005-0000-0000-000042750000}"/>
    <cellStyle name="60% - Accent3 3 3 2 4 4" xfId="23596" xr:uid="{00000000-0005-0000-0000-000043750000}"/>
    <cellStyle name="60% - Accent3 3 3 2 5" xfId="5676" xr:uid="{00000000-0005-0000-0000-000044750000}"/>
    <cellStyle name="60% - Accent3 3 3 2 5 2" xfId="15916" xr:uid="{00000000-0005-0000-0000-000045750000}"/>
    <cellStyle name="60% - Accent3 3 3 2 5 2 2" xfId="36396" xr:uid="{00000000-0005-0000-0000-000046750000}"/>
    <cellStyle name="60% - Accent3 3 3 2 5 3" xfId="26156" xr:uid="{00000000-0005-0000-0000-000047750000}"/>
    <cellStyle name="60% - Accent3 3 3 2 6" xfId="10796" xr:uid="{00000000-0005-0000-0000-000048750000}"/>
    <cellStyle name="60% - Accent3 3 3 2 6 2" xfId="31276" xr:uid="{00000000-0005-0000-0000-000049750000}"/>
    <cellStyle name="60% - Accent3 3 3 2 7" xfId="21036" xr:uid="{00000000-0005-0000-0000-00004A750000}"/>
    <cellStyle name="60% - Accent3 3 3 3" xfId="876" xr:uid="{00000000-0005-0000-0000-00004B750000}"/>
    <cellStyle name="60% - Accent3 3 3 3 2" xfId="2156" xr:uid="{00000000-0005-0000-0000-00004C750000}"/>
    <cellStyle name="60% - Accent3 3 3 3 2 2" xfId="4716" xr:uid="{00000000-0005-0000-0000-00004D750000}"/>
    <cellStyle name="60% - Accent3 3 3 3 2 2 2" xfId="9836" xr:uid="{00000000-0005-0000-0000-00004E750000}"/>
    <cellStyle name="60% - Accent3 3 3 3 2 2 2 2" xfId="20076" xr:uid="{00000000-0005-0000-0000-00004F750000}"/>
    <cellStyle name="60% - Accent3 3 3 3 2 2 2 2 2" xfId="40556" xr:uid="{00000000-0005-0000-0000-000050750000}"/>
    <cellStyle name="60% - Accent3 3 3 3 2 2 2 3" xfId="30316" xr:uid="{00000000-0005-0000-0000-000051750000}"/>
    <cellStyle name="60% - Accent3 3 3 3 2 2 3" xfId="14956" xr:uid="{00000000-0005-0000-0000-000052750000}"/>
    <cellStyle name="60% - Accent3 3 3 3 2 2 3 2" xfId="35436" xr:uid="{00000000-0005-0000-0000-000053750000}"/>
    <cellStyle name="60% - Accent3 3 3 3 2 2 4" xfId="25196" xr:uid="{00000000-0005-0000-0000-000054750000}"/>
    <cellStyle name="60% - Accent3 3 3 3 2 3" xfId="7276" xr:uid="{00000000-0005-0000-0000-000055750000}"/>
    <cellStyle name="60% - Accent3 3 3 3 2 3 2" xfId="17516" xr:uid="{00000000-0005-0000-0000-000056750000}"/>
    <cellStyle name="60% - Accent3 3 3 3 2 3 2 2" xfId="37996" xr:uid="{00000000-0005-0000-0000-000057750000}"/>
    <cellStyle name="60% - Accent3 3 3 3 2 3 3" xfId="27756" xr:uid="{00000000-0005-0000-0000-000058750000}"/>
    <cellStyle name="60% - Accent3 3 3 3 2 4" xfId="12396" xr:uid="{00000000-0005-0000-0000-000059750000}"/>
    <cellStyle name="60% - Accent3 3 3 3 2 4 2" xfId="32876" xr:uid="{00000000-0005-0000-0000-00005A750000}"/>
    <cellStyle name="60% - Accent3 3 3 3 2 5" xfId="22636" xr:uid="{00000000-0005-0000-0000-00005B750000}"/>
    <cellStyle name="60% - Accent3 3 3 3 3" xfId="3436" xr:uid="{00000000-0005-0000-0000-00005C750000}"/>
    <cellStyle name="60% - Accent3 3 3 3 3 2" xfId="8556" xr:uid="{00000000-0005-0000-0000-00005D750000}"/>
    <cellStyle name="60% - Accent3 3 3 3 3 2 2" xfId="18796" xr:uid="{00000000-0005-0000-0000-00005E750000}"/>
    <cellStyle name="60% - Accent3 3 3 3 3 2 2 2" xfId="39276" xr:uid="{00000000-0005-0000-0000-00005F750000}"/>
    <cellStyle name="60% - Accent3 3 3 3 3 2 3" xfId="29036" xr:uid="{00000000-0005-0000-0000-000060750000}"/>
    <cellStyle name="60% - Accent3 3 3 3 3 3" xfId="13676" xr:uid="{00000000-0005-0000-0000-000061750000}"/>
    <cellStyle name="60% - Accent3 3 3 3 3 3 2" xfId="34156" xr:uid="{00000000-0005-0000-0000-000062750000}"/>
    <cellStyle name="60% - Accent3 3 3 3 3 4" xfId="23916" xr:uid="{00000000-0005-0000-0000-000063750000}"/>
    <cellStyle name="60% - Accent3 3 3 3 4" xfId="5996" xr:uid="{00000000-0005-0000-0000-000064750000}"/>
    <cellStyle name="60% - Accent3 3 3 3 4 2" xfId="16236" xr:uid="{00000000-0005-0000-0000-000065750000}"/>
    <cellStyle name="60% - Accent3 3 3 3 4 2 2" xfId="36716" xr:uid="{00000000-0005-0000-0000-000066750000}"/>
    <cellStyle name="60% - Accent3 3 3 3 4 3" xfId="26476" xr:uid="{00000000-0005-0000-0000-000067750000}"/>
    <cellStyle name="60% - Accent3 3 3 3 5" xfId="11116" xr:uid="{00000000-0005-0000-0000-000068750000}"/>
    <cellStyle name="60% - Accent3 3 3 3 5 2" xfId="31596" xr:uid="{00000000-0005-0000-0000-000069750000}"/>
    <cellStyle name="60% - Accent3 3 3 3 6" xfId="21356" xr:uid="{00000000-0005-0000-0000-00006A750000}"/>
    <cellStyle name="60% - Accent3 3 3 4" xfId="1516" xr:uid="{00000000-0005-0000-0000-00006B750000}"/>
    <cellStyle name="60% - Accent3 3 3 4 2" xfId="4076" xr:uid="{00000000-0005-0000-0000-00006C750000}"/>
    <cellStyle name="60% - Accent3 3 3 4 2 2" xfId="9196" xr:uid="{00000000-0005-0000-0000-00006D750000}"/>
    <cellStyle name="60% - Accent3 3 3 4 2 2 2" xfId="19436" xr:uid="{00000000-0005-0000-0000-00006E750000}"/>
    <cellStyle name="60% - Accent3 3 3 4 2 2 2 2" xfId="39916" xr:uid="{00000000-0005-0000-0000-00006F750000}"/>
    <cellStyle name="60% - Accent3 3 3 4 2 2 3" xfId="29676" xr:uid="{00000000-0005-0000-0000-000070750000}"/>
    <cellStyle name="60% - Accent3 3 3 4 2 3" xfId="14316" xr:uid="{00000000-0005-0000-0000-000071750000}"/>
    <cellStyle name="60% - Accent3 3 3 4 2 3 2" xfId="34796" xr:uid="{00000000-0005-0000-0000-000072750000}"/>
    <cellStyle name="60% - Accent3 3 3 4 2 4" xfId="24556" xr:uid="{00000000-0005-0000-0000-000073750000}"/>
    <cellStyle name="60% - Accent3 3 3 4 3" xfId="6636" xr:uid="{00000000-0005-0000-0000-000074750000}"/>
    <cellStyle name="60% - Accent3 3 3 4 3 2" xfId="16876" xr:uid="{00000000-0005-0000-0000-000075750000}"/>
    <cellStyle name="60% - Accent3 3 3 4 3 2 2" xfId="37356" xr:uid="{00000000-0005-0000-0000-000076750000}"/>
    <cellStyle name="60% - Accent3 3 3 4 3 3" xfId="27116" xr:uid="{00000000-0005-0000-0000-000077750000}"/>
    <cellStyle name="60% - Accent3 3 3 4 4" xfId="11756" xr:uid="{00000000-0005-0000-0000-000078750000}"/>
    <cellStyle name="60% - Accent3 3 3 4 4 2" xfId="32236" xr:uid="{00000000-0005-0000-0000-000079750000}"/>
    <cellStyle name="60% - Accent3 3 3 4 5" xfId="21996" xr:uid="{00000000-0005-0000-0000-00007A750000}"/>
    <cellStyle name="60% - Accent3 3 3 5" xfId="2796" xr:uid="{00000000-0005-0000-0000-00007B750000}"/>
    <cellStyle name="60% - Accent3 3 3 5 2" xfId="7916" xr:uid="{00000000-0005-0000-0000-00007C750000}"/>
    <cellStyle name="60% - Accent3 3 3 5 2 2" xfId="18156" xr:uid="{00000000-0005-0000-0000-00007D750000}"/>
    <cellStyle name="60% - Accent3 3 3 5 2 2 2" xfId="38636" xr:uid="{00000000-0005-0000-0000-00007E750000}"/>
    <cellStyle name="60% - Accent3 3 3 5 2 3" xfId="28396" xr:uid="{00000000-0005-0000-0000-00007F750000}"/>
    <cellStyle name="60% - Accent3 3 3 5 3" xfId="13036" xr:uid="{00000000-0005-0000-0000-000080750000}"/>
    <cellStyle name="60% - Accent3 3 3 5 3 2" xfId="33516" xr:uid="{00000000-0005-0000-0000-000081750000}"/>
    <cellStyle name="60% - Accent3 3 3 5 4" xfId="23276" xr:uid="{00000000-0005-0000-0000-000082750000}"/>
    <cellStyle name="60% - Accent3 3 3 6" xfId="5356" xr:uid="{00000000-0005-0000-0000-000083750000}"/>
    <cellStyle name="60% - Accent3 3 3 6 2" xfId="15596" xr:uid="{00000000-0005-0000-0000-000084750000}"/>
    <cellStyle name="60% - Accent3 3 3 6 2 2" xfId="36076" xr:uid="{00000000-0005-0000-0000-000085750000}"/>
    <cellStyle name="60% - Accent3 3 3 6 3" xfId="25836" xr:uid="{00000000-0005-0000-0000-000086750000}"/>
    <cellStyle name="60% - Accent3 3 3 7" xfId="10476" xr:uid="{00000000-0005-0000-0000-000087750000}"/>
    <cellStyle name="60% - Accent3 3 3 7 2" xfId="30956" xr:uid="{00000000-0005-0000-0000-000088750000}"/>
    <cellStyle name="60% - Accent3 3 3 8" xfId="20716" xr:uid="{00000000-0005-0000-0000-000089750000}"/>
    <cellStyle name="60% - Accent3 3 4" xfId="396" xr:uid="{00000000-0005-0000-0000-00008A750000}"/>
    <cellStyle name="60% - Accent3 3 4 2" xfId="1036" xr:uid="{00000000-0005-0000-0000-00008B750000}"/>
    <cellStyle name="60% - Accent3 3 4 2 2" xfId="2316" xr:uid="{00000000-0005-0000-0000-00008C750000}"/>
    <cellStyle name="60% - Accent3 3 4 2 2 2" xfId="4876" xr:uid="{00000000-0005-0000-0000-00008D750000}"/>
    <cellStyle name="60% - Accent3 3 4 2 2 2 2" xfId="9996" xr:uid="{00000000-0005-0000-0000-00008E750000}"/>
    <cellStyle name="60% - Accent3 3 4 2 2 2 2 2" xfId="20236" xr:uid="{00000000-0005-0000-0000-00008F750000}"/>
    <cellStyle name="60% - Accent3 3 4 2 2 2 2 2 2" xfId="40716" xr:uid="{00000000-0005-0000-0000-000090750000}"/>
    <cellStyle name="60% - Accent3 3 4 2 2 2 2 3" xfId="30476" xr:uid="{00000000-0005-0000-0000-000091750000}"/>
    <cellStyle name="60% - Accent3 3 4 2 2 2 3" xfId="15116" xr:uid="{00000000-0005-0000-0000-000092750000}"/>
    <cellStyle name="60% - Accent3 3 4 2 2 2 3 2" xfId="35596" xr:uid="{00000000-0005-0000-0000-000093750000}"/>
    <cellStyle name="60% - Accent3 3 4 2 2 2 4" xfId="25356" xr:uid="{00000000-0005-0000-0000-000094750000}"/>
    <cellStyle name="60% - Accent3 3 4 2 2 3" xfId="7436" xr:uid="{00000000-0005-0000-0000-000095750000}"/>
    <cellStyle name="60% - Accent3 3 4 2 2 3 2" xfId="17676" xr:uid="{00000000-0005-0000-0000-000096750000}"/>
    <cellStyle name="60% - Accent3 3 4 2 2 3 2 2" xfId="38156" xr:uid="{00000000-0005-0000-0000-000097750000}"/>
    <cellStyle name="60% - Accent3 3 4 2 2 3 3" xfId="27916" xr:uid="{00000000-0005-0000-0000-000098750000}"/>
    <cellStyle name="60% - Accent3 3 4 2 2 4" xfId="12556" xr:uid="{00000000-0005-0000-0000-000099750000}"/>
    <cellStyle name="60% - Accent3 3 4 2 2 4 2" xfId="33036" xr:uid="{00000000-0005-0000-0000-00009A750000}"/>
    <cellStyle name="60% - Accent3 3 4 2 2 5" xfId="22796" xr:uid="{00000000-0005-0000-0000-00009B750000}"/>
    <cellStyle name="60% - Accent3 3 4 2 3" xfId="3596" xr:uid="{00000000-0005-0000-0000-00009C750000}"/>
    <cellStyle name="60% - Accent3 3 4 2 3 2" xfId="8716" xr:uid="{00000000-0005-0000-0000-00009D750000}"/>
    <cellStyle name="60% - Accent3 3 4 2 3 2 2" xfId="18956" xr:uid="{00000000-0005-0000-0000-00009E750000}"/>
    <cellStyle name="60% - Accent3 3 4 2 3 2 2 2" xfId="39436" xr:uid="{00000000-0005-0000-0000-00009F750000}"/>
    <cellStyle name="60% - Accent3 3 4 2 3 2 3" xfId="29196" xr:uid="{00000000-0005-0000-0000-0000A0750000}"/>
    <cellStyle name="60% - Accent3 3 4 2 3 3" xfId="13836" xr:uid="{00000000-0005-0000-0000-0000A1750000}"/>
    <cellStyle name="60% - Accent3 3 4 2 3 3 2" xfId="34316" xr:uid="{00000000-0005-0000-0000-0000A2750000}"/>
    <cellStyle name="60% - Accent3 3 4 2 3 4" xfId="24076" xr:uid="{00000000-0005-0000-0000-0000A3750000}"/>
    <cellStyle name="60% - Accent3 3 4 2 4" xfId="6156" xr:uid="{00000000-0005-0000-0000-0000A4750000}"/>
    <cellStyle name="60% - Accent3 3 4 2 4 2" xfId="16396" xr:uid="{00000000-0005-0000-0000-0000A5750000}"/>
    <cellStyle name="60% - Accent3 3 4 2 4 2 2" xfId="36876" xr:uid="{00000000-0005-0000-0000-0000A6750000}"/>
    <cellStyle name="60% - Accent3 3 4 2 4 3" xfId="26636" xr:uid="{00000000-0005-0000-0000-0000A7750000}"/>
    <cellStyle name="60% - Accent3 3 4 2 5" xfId="11276" xr:uid="{00000000-0005-0000-0000-0000A8750000}"/>
    <cellStyle name="60% - Accent3 3 4 2 5 2" xfId="31756" xr:uid="{00000000-0005-0000-0000-0000A9750000}"/>
    <cellStyle name="60% - Accent3 3 4 2 6" xfId="21516" xr:uid="{00000000-0005-0000-0000-0000AA750000}"/>
    <cellStyle name="60% - Accent3 3 4 3" xfId="1676" xr:uid="{00000000-0005-0000-0000-0000AB750000}"/>
    <cellStyle name="60% - Accent3 3 4 3 2" xfId="4236" xr:uid="{00000000-0005-0000-0000-0000AC750000}"/>
    <cellStyle name="60% - Accent3 3 4 3 2 2" xfId="9356" xr:uid="{00000000-0005-0000-0000-0000AD750000}"/>
    <cellStyle name="60% - Accent3 3 4 3 2 2 2" xfId="19596" xr:uid="{00000000-0005-0000-0000-0000AE750000}"/>
    <cellStyle name="60% - Accent3 3 4 3 2 2 2 2" xfId="40076" xr:uid="{00000000-0005-0000-0000-0000AF750000}"/>
    <cellStyle name="60% - Accent3 3 4 3 2 2 3" xfId="29836" xr:uid="{00000000-0005-0000-0000-0000B0750000}"/>
    <cellStyle name="60% - Accent3 3 4 3 2 3" xfId="14476" xr:uid="{00000000-0005-0000-0000-0000B1750000}"/>
    <cellStyle name="60% - Accent3 3 4 3 2 3 2" xfId="34956" xr:uid="{00000000-0005-0000-0000-0000B2750000}"/>
    <cellStyle name="60% - Accent3 3 4 3 2 4" xfId="24716" xr:uid="{00000000-0005-0000-0000-0000B3750000}"/>
    <cellStyle name="60% - Accent3 3 4 3 3" xfId="6796" xr:uid="{00000000-0005-0000-0000-0000B4750000}"/>
    <cellStyle name="60% - Accent3 3 4 3 3 2" xfId="17036" xr:uid="{00000000-0005-0000-0000-0000B5750000}"/>
    <cellStyle name="60% - Accent3 3 4 3 3 2 2" xfId="37516" xr:uid="{00000000-0005-0000-0000-0000B6750000}"/>
    <cellStyle name="60% - Accent3 3 4 3 3 3" xfId="27276" xr:uid="{00000000-0005-0000-0000-0000B7750000}"/>
    <cellStyle name="60% - Accent3 3 4 3 4" xfId="11916" xr:uid="{00000000-0005-0000-0000-0000B8750000}"/>
    <cellStyle name="60% - Accent3 3 4 3 4 2" xfId="32396" xr:uid="{00000000-0005-0000-0000-0000B9750000}"/>
    <cellStyle name="60% - Accent3 3 4 3 5" xfId="22156" xr:uid="{00000000-0005-0000-0000-0000BA750000}"/>
    <cellStyle name="60% - Accent3 3 4 4" xfId="2956" xr:uid="{00000000-0005-0000-0000-0000BB750000}"/>
    <cellStyle name="60% - Accent3 3 4 4 2" xfId="8076" xr:uid="{00000000-0005-0000-0000-0000BC750000}"/>
    <cellStyle name="60% - Accent3 3 4 4 2 2" xfId="18316" xr:uid="{00000000-0005-0000-0000-0000BD750000}"/>
    <cellStyle name="60% - Accent3 3 4 4 2 2 2" xfId="38796" xr:uid="{00000000-0005-0000-0000-0000BE750000}"/>
    <cellStyle name="60% - Accent3 3 4 4 2 3" xfId="28556" xr:uid="{00000000-0005-0000-0000-0000BF750000}"/>
    <cellStyle name="60% - Accent3 3 4 4 3" xfId="13196" xr:uid="{00000000-0005-0000-0000-0000C0750000}"/>
    <cellStyle name="60% - Accent3 3 4 4 3 2" xfId="33676" xr:uid="{00000000-0005-0000-0000-0000C1750000}"/>
    <cellStyle name="60% - Accent3 3 4 4 4" xfId="23436" xr:uid="{00000000-0005-0000-0000-0000C2750000}"/>
    <cellStyle name="60% - Accent3 3 4 5" xfId="5516" xr:uid="{00000000-0005-0000-0000-0000C3750000}"/>
    <cellStyle name="60% - Accent3 3 4 5 2" xfId="15756" xr:uid="{00000000-0005-0000-0000-0000C4750000}"/>
    <cellStyle name="60% - Accent3 3 4 5 2 2" xfId="36236" xr:uid="{00000000-0005-0000-0000-0000C5750000}"/>
    <cellStyle name="60% - Accent3 3 4 5 3" xfId="25996" xr:uid="{00000000-0005-0000-0000-0000C6750000}"/>
    <cellStyle name="60% - Accent3 3 4 6" xfId="10636" xr:uid="{00000000-0005-0000-0000-0000C7750000}"/>
    <cellStyle name="60% - Accent3 3 4 6 2" xfId="31116" xr:uid="{00000000-0005-0000-0000-0000C8750000}"/>
    <cellStyle name="60% - Accent3 3 4 7" xfId="20876" xr:uid="{00000000-0005-0000-0000-0000C9750000}"/>
    <cellStyle name="60% - Accent3 3 5" xfId="716" xr:uid="{00000000-0005-0000-0000-0000CA750000}"/>
    <cellStyle name="60% - Accent3 3 5 2" xfId="1996" xr:uid="{00000000-0005-0000-0000-0000CB750000}"/>
    <cellStyle name="60% - Accent3 3 5 2 2" xfId="4556" xr:uid="{00000000-0005-0000-0000-0000CC750000}"/>
    <cellStyle name="60% - Accent3 3 5 2 2 2" xfId="9676" xr:uid="{00000000-0005-0000-0000-0000CD750000}"/>
    <cellStyle name="60% - Accent3 3 5 2 2 2 2" xfId="19916" xr:uid="{00000000-0005-0000-0000-0000CE750000}"/>
    <cellStyle name="60% - Accent3 3 5 2 2 2 2 2" xfId="40396" xr:uid="{00000000-0005-0000-0000-0000CF750000}"/>
    <cellStyle name="60% - Accent3 3 5 2 2 2 3" xfId="30156" xr:uid="{00000000-0005-0000-0000-0000D0750000}"/>
    <cellStyle name="60% - Accent3 3 5 2 2 3" xfId="14796" xr:uid="{00000000-0005-0000-0000-0000D1750000}"/>
    <cellStyle name="60% - Accent3 3 5 2 2 3 2" xfId="35276" xr:uid="{00000000-0005-0000-0000-0000D2750000}"/>
    <cellStyle name="60% - Accent3 3 5 2 2 4" xfId="25036" xr:uid="{00000000-0005-0000-0000-0000D3750000}"/>
    <cellStyle name="60% - Accent3 3 5 2 3" xfId="7116" xr:uid="{00000000-0005-0000-0000-0000D4750000}"/>
    <cellStyle name="60% - Accent3 3 5 2 3 2" xfId="17356" xr:uid="{00000000-0005-0000-0000-0000D5750000}"/>
    <cellStyle name="60% - Accent3 3 5 2 3 2 2" xfId="37836" xr:uid="{00000000-0005-0000-0000-0000D6750000}"/>
    <cellStyle name="60% - Accent3 3 5 2 3 3" xfId="27596" xr:uid="{00000000-0005-0000-0000-0000D7750000}"/>
    <cellStyle name="60% - Accent3 3 5 2 4" xfId="12236" xr:uid="{00000000-0005-0000-0000-0000D8750000}"/>
    <cellStyle name="60% - Accent3 3 5 2 4 2" xfId="32716" xr:uid="{00000000-0005-0000-0000-0000D9750000}"/>
    <cellStyle name="60% - Accent3 3 5 2 5" xfId="22476" xr:uid="{00000000-0005-0000-0000-0000DA750000}"/>
    <cellStyle name="60% - Accent3 3 5 3" xfId="3276" xr:uid="{00000000-0005-0000-0000-0000DB750000}"/>
    <cellStyle name="60% - Accent3 3 5 3 2" xfId="8396" xr:uid="{00000000-0005-0000-0000-0000DC750000}"/>
    <cellStyle name="60% - Accent3 3 5 3 2 2" xfId="18636" xr:uid="{00000000-0005-0000-0000-0000DD750000}"/>
    <cellStyle name="60% - Accent3 3 5 3 2 2 2" xfId="39116" xr:uid="{00000000-0005-0000-0000-0000DE750000}"/>
    <cellStyle name="60% - Accent3 3 5 3 2 3" xfId="28876" xr:uid="{00000000-0005-0000-0000-0000DF750000}"/>
    <cellStyle name="60% - Accent3 3 5 3 3" xfId="13516" xr:uid="{00000000-0005-0000-0000-0000E0750000}"/>
    <cellStyle name="60% - Accent3 3 5 3 3 2" xfId="33996" xr:uid="{00000000-0005-0000-0000-0000E1750000}"/>
    <cellStyle name="60% - Accent3 3 5 3 4" xfId="23756" xr:uid="{00000000-0005-0000-0000-0000E2750000}"/>
    <cellStyle name="60% - Accent3 3 5 4" xfId="5836" xr:uid="{00000000-0005-0000-0000-0000E3750000}"/>
    <cellStyle name="60% - Accent3 3 5 4 2" xfId="16076" xr:uid="{00000000-0005-0000-0000-0000E4750000}"/>
    <cellStyle name="60% - Accent3 3 5 4 2 2" xfId="36556" xr:uid="{00000000-0005-0000-0000-0000E5750000}"/>
    <cellStyle name="60% - Accent3 3 5 4 3" xfId="26316" xr:uid="{00000000-0005-0000-0000-0000E6750000}"/>
    <cellStyle name="60% - Accent3 3 5 5" xfId="10956" xr:uid="{00000000-0005-0000-0000-0000E7750000}"/>
    <cellStyle name="60% - Accent3 3 5 5 2" xfId="31436" xr:uid="{00000000-0005-0000-0000-0000E8750000}"/>
    <cellStyle name="60% - Accent3 3 5 6" xfId="21196" xr:uid="{00000000-0005-0000-0000-0000E9750000}"/>
    <cellStyle name="60% - Accent3 3 6" xfId="1356" xr:uid="{00000000-0005-0000-0000-0000EA750000}"/>
    <cellStyle name="60% - Accent3 3 6 2" xfId="3916" xr:uid="{00000000-0005-0000-0000-0000EB750000}"/>
    <cellStyle name="60% - Accent3 3 6 2 2" xfId="9036" xr:uid="{00000000-0005-0000-0000-0000EC750000}"/>
    <cellStyle name="60% - Accent3 3 6 2 2 2" xfId="19276" xr:uid="{00000000-0005-0000-0000-0000ED750000}"/>
    <cellStyle name="60% - Accent3 3 6 2 2 2 2" xfId="39756" xr:uid="{00000000-0005-0000-0000-0000EE750000}"/>
    <cellStyle name="60% - Accent3 3 6 2 2 3" xfId="29516" xr:uid="{00000000-0005-0000-0000-0000EF750000}"/>
    <cellStyle name="60% - Accent3 3 6 2 3" xfId="14156" xr:uid="{00000000-0005-0000-0000-0000F0750000}"/>
    <cellStyle name="60% - Accent3 3 6 2 3 2" xfId="34636" xr:uid="{00000000-0005-0000-0000-0000F1750000}"/>
    <cellStyle name="60% - Accent3 3 6 2 4" xfId="24396" xr:uid="{00000000-0005-0000-0000-0000F2750000}"/>
    <cellStyle name="60% - Accent3 3 6 3" xfId="6476" xr:uid="{00000000-0005-0000-0000-0000F3750000}"/>
    <cellStyle name="60% - Accent3 3 6 3 2" xfId="16716" xr:uid="{00000000-0005-0000-0000-0000F4750000}"/>
    <cellStyle name="60% - Accent3 3 6 3 2 2" xfId="37196" xr:uid="{00000000-0005-0000-0000-0000F5750000}"/>
    <cellStyle name="60% - Accent3 3 6 3 3" xfId="26956" xr:uid="{00000000-0005-0000-0000-0000F6750000}"/>
    <cellStyle name="60% - Accent3 3 6 4" xfId="11596" xr:uid="{00000000-0005-0000-0000-0000F7750000}"/>
    <cellStyle name="60% - Accent3 3 6 4 2" xfId="32076" xr:uid="{00000000-0005-0000-0000-0000F8750000}"/>
    <cellStyle name="60% - Accent3 3 6 5" xfId="21836" xr:uid="{00000000-0005-0000-0000-0000F9750000}"/>
    <cellStyle name="60% - Accent3 3 7" xfId="2636" xr:uid="{00000000-0005-0000-0000-0000FA750000}"/>
    <cellStyle name="60% - Accent3 3 7 2" xfId="7756" xr:uid="{00000000-0005-0000-0000-0000FB750000}"/>
    <cellStyle name="60% - Accent3 3 7 2 2" xfId="17996" xr:uid="{00000000-0005-0000-0000-0000FC750000}"/>
    <cellStyle name="60% - Accent3 3 7 2 2 2" xfId="38476" xr:uid="{00000000-0005-0000-0000-0000FD750000}"/>
    <cellStyle name="60% - Accent3 3 7 2 3" xfId="28236" xr:uid="{00000000-0005-0000-0000-0000FE750000}"/>
    <cellStyle name="60% - Accent3 3 7 3" xfId="12876" xr:uid="{00000000-0005-0000-0000-0000FF750000}"/>
    <cellStyle name="60% - Accent3 3 7 3 2" xfId="33356" xr:uid="{00000000-0005-0000-0000-000000760000}"/>
    <cellStyle name="60% - Accent3 3 7 4" xfId="23116" xr:uid="{00000000-0005-0000-0000-000001760000}"/>
    <cellStyle name="60% - Accent3 3 8" xfId="5196" xr:uid="{00000000-0005-0000-0000-000002760000}"/>
    <cellStyle name="60% - Accent3 3 8 2" xfId="15436" xr:uid="{00000000-0005-0000-0000-000003760000}"/>
    <cellStyle name="60% - Accent3 3 8 2 2" xfId="35916" xr:uid="{00000000-0005-0000-0000-000004760000}"/>
    <cellStyle name="60% - Accent3 3 8 3" xfId="25676" xr:uid="{00000000-0005-0000-0000-000005760000}"/>
    <cellStyle name="60% - Accent3 3 9" xfId="10316" xr:uid="{00000000-0005-0000-0000-000006760000}"/>
    <cellStyle name="60% - Accent3 3 9 2" xfId="30796" xr:uid="{00000000-0005-0000-0000-000007760000}"/>
    <cellStyle name="60% - Accent3 4" xfId="116" xr:uid="{00000000-0005-0000-0000-000008760000}"/>
    <cellStyle name="60% - Accent3 4 2" xfId="276" xr:uid="{00000000-0005-0000-0000-000009760000}"/>
    <cellStyle name="60% - Accent3 4 2 2" xfId="596" xr:uid="{00000000-0005-0000-0000-00000A760000}"/>
    <cellStyle name="60% - Accent3 4 2 2 2" xfId="1236" xr:uid="{00000000-0005-0000-0000-00000B760000}"/>
    <cellStyle name="60% - Accent3 4 2 2 2 2" xfId="2516" xr:uid="{00000000-0005-0000-0000-00000C760000}"/>
    <cellStyle name="60% - Accent3 4 2 2 2 2 2" xfId="5076" xr:uid="{00000000-0005-0000-0000-00000D760000}"/>
    <cellStyle name="60% - Accent3 4 2 2 2 2 2 2" xfId="10196" xr:uid="{00000000-0005-0000-0000-00000E760000}"/>
    <cellStyle name="60% - Accent3 4 2 2 2 2 2 2 2" xfId="20436" xr:uid="{00000000-0005-0000-0000-00000F760000}"/>
    <cellStyle name="60% - Accent3 4 2 2 2 2 2 2 2 2" xfId="40916" xr:uid="{00000000-0005-0000-0000-000010760000}"/>
    <cellStyle name="60% - Accent3 4 2 2 2 2 2 2 3" xfId="30676" xr:uid="{00000000-0005-0000-0000-000011760000}"/>
    <cellStyle name="60% - Accent3 4 2 2 2 2 2 3" xfId="15316" xr:uid="{00000000-0005-0000-0000-000012760000}"/>
    <cellStyle name="60% - Accent3 4 2 2 2 2 2 3 2" xfId="35796" xr:uid="{00000000-0005-0000-0000-000013760000}"/>
    <cellStyle name="60% - Accent3 4 2 2 2 2 2 4" xfId="25556" xr:uid="{00000000-0005-0000-0000-000014760000}"/>
    <cellStyle name="60% - Accent3 4 2 2 2 2 3" xfId="7636" xr:uid="{00000000-0005-0000-0000-000015760000}"/>
    <cellStyle name="60% - Accent3 4 2 2 2 2 3 2" xfId="17876" xr:uid="{00000000-0005-0000-0000-000016760000}"/>
    <cellStyle name="60% - Accent3 4 2 2 2 2 3 2 2" xfId="38356" xr:uid="{00000000-0005-0000-0000-000017760000}"/>
    <cellStyle name="60% - Accent3 4 2 2 2 2 3 3" xfId="28116" xr:uid="{00000000-0005-0000-0000-000018760000}"/>
    <cellStyle name="60% - Accent3 4 2 2 2 2 4" xfId="12756" xr:uid="{00000000-0005-0000-0000-000019760000}"/>
    <cellStyle name="60% - Accent3 4 2 2 2 2 4 2" xfId="33236" xr:uid="{00000000-0005-0000-0000-00001A760000}"/>
    <cellStyle name="60% - Accent3 4 2 2 2 2 5" xfId="22996" xr:uid="{00000000-0005-0000-0000-00001B760000}"/>
    <cellStyle name="60% - Accent3 4 2 2 2 3" xfId="3796" xr:uid="{00000000-0005-0000-0000-00001C760000}"/>
    <cellStyle name="60% - Accent3 4 2 2 2 3 2" xfId="8916" xr:uid="{00000000-0005-0000-0000-00001D760000}"/>
    <cellStyle name="60% - Accent3 4 2 2 2 3 2 2" xfId="19156" xr:uid="{00000000-0005-0000-0000-00001E760000}"/>
    <cellStyle name="60% - Accent3 4 2 2 2 3 2 2 2" xfId="39636" xr:uid="{00000000-0005-0000-0000-00001F760000}"/>
    <cellStyle name="60% - Accent3 4 2 2 2 3 2 3" xfId="29396" xr:uid="{00000000-0005-0000-0000-000020760000}"/>
    <cellStyle name="60% - Accent3 4 2 2 2 3 3" xfId="14036" xr:uid="{00000000-0005-0000-0000-000021760000}"/>
    <cellStyle name="60% - Accent3 4 2 2 2 3 3 2" xfId="34516" xr:uid="{00000000-0005-0000-0000-000022760000}"/>
    <cellStyle name="60% - Accent3 4 2 2 2 3 4" xfId="24276" xr:uid="{00000000-0005-0000-0000-000023760000}"/>
    <cellStyle name="60% - Accent3 4 2 2 2 4" xfId="6356" xr:uid="{00000000-0005-0000-0000-000024760000}"/>
    <cellStyle name="60% - Accent3 4 2 2 2 4 2" xfId="16596" xr:uid="{00000000-0005-0000-0000-000025760000}"/>
    <cellStyle name="60% - Accent3 4 2 2 2 4 2 2" xfId="37076" xr:uid="{00000000-0005-0000-0000-000026760000}"/>
    <cellStyle name="60% - Accent3 4 2 2 2 4 3" xfId="26836" xr:uid="{00000000-0005-0000-0000-000027760000}"/>
    <cellStyle name="60% - Accent3 4 2 2 2 5" xfId="11476" xr:uid="{00000000-0005-0000-0000-000028760000}"/>
    <cellStyle name="60% - Accent3 4 2 2 2 5 2" xfId="31956" xr:uid="{00000000-0005-0000-0000-000029760000}"/>
    <cellStyle name="60% - Accent3 4 2 2 2 6" xfId="21716" xr:uid="{00000000-0005-0000-0000-00002A760000}"/>
    <cellStyle name="60% - Accent3 4 2 2 3" xfId="1876" xr:uid="{00000000-0005-0000-0000-00002B760000}"/>
    <cellStyle name="60% - Accent3 4 2 2 3 2" xfId="4436" xr:uid="{00000000-0005-0000-0000-00002C760000}"/>
    <cellStyle name="60% - Accent3 4 2 2 3 2 2" xfId="9556" xr:uid="{00000000-0005-0000-0000-00002D760000}"/>
    <cellStyle name="60% - Accent3 4 2 2 3 2 2 2" xfId="19796" xr:uid="{00000000-0005-0000-0000-00002E760000}"/>
    <cellStyle name="60% - Accent3 4 2 2 3 2 2 2 2" xfId="40276" xr:uid="{00000000-0005-0000-0000-00002F760000}"/>
    <cellStyle name="60% - Accent3 4 2 2 3 2 2 3" xfId="30036" xr:uid="{00000000-0005-0000-0000-000030760000}"/>
    <cellStyle name="60% - Accent3 4 2 2 3 2 3" xfId="14676" xr:uid="{00000000-0005-0000-0000-000031760000}"/>
    <cellStyle name="60% - Accent3 4 2 2 3 2 3 2" xfId="35156" xr:uid="{00000000-0005-0000-0000-000032760000}"/>
    <cellStyle name="60% - Accent3 4 2 2 3 2 4" xfId="24916" xr:uid="{00000000-0005-0000-0000-000033760000}"/>
    <cellStyle name="60% - Accent3 4 2 2 3 3" xfId="6996" xr:uid="{00000000-0005-0000-0000-000034760000}"/>
    <cellStyle name="60% - Accent3 4 2 2 3 3 2" xfId="17236" xr:uid="{00000000-0005-0000-0000-000035760000}"/>
    <cellStyle name="60% - Accent3 4 2 2 3 3 2 2" xfId="37716" xr:uid="{00000000-0005-0000-0000-000036760000}"/>
    <cellStyle name="60% - Accent3 4 2 2 3 3 3" xfId="27476" xr:uid="{00000000-0005-0000-0000-000037760000}"/>
    <cellStyle name="60% - Accent3 4 2 2 3 4" xfId="12116" xr:uid="{00000000-0005-0000-0000-000038760000}"/>
    <cellStyle name="60% - Accent3 4 2 2 3 4 2" xfId="32596" xr:uid="{00000000-0005-0000-0000-000039760000}"/>
    <cellStyle name="60% - Accent3 4 2 2 3 5" xfId="22356" xr:uid="{00000000-0005-0000-0000-00003A760000}"/>
    <cellStyle name="60% - Accent3 4 2 2 4" xfId="3156" xr:uid="{00000000-0005-0000-0000-00003B760000}"/>
    <cellStyle name="60% - Accent3 4 2 2 4 2" xfId="8276" xr:uid="{00000000-0005-0000-0000-00003C760000}"/>
    <cellStyle name="60% - Accent3 4 2 2 4 2 2" xfId="18516" xr:uid="{00000000-0005-0000-0000-00003D760000}"/>
    <cellStyle name="60% - Accent3 4 2 2 4 2 2 2" xfId="38996" xr:uid="{00000000-0005-0000-0000-00003E760000}"/>
    <cellStyle name="60% - Accent3 4 2 2 4 2 3" xfId="28756" xr:uid="{00000000-0005-0000-0000-00003F760000}"/>
    <cellStyle name="60% - Accent3 4 2 2 4 3" xfId="13396" xr:uid="{00000000-0005-0000-0000-000040760000}"/>
    <cellStyle name="60% - Accent3 4 2 2 4 3 2" xfId="33876" xr:uid="{00000000-0005-0000-0000-000041760000}"/>
    <cellStyle name="60% - Accent3 4 2 2 4 4" xfId="23636" xr:uid="{00000000-0005-0000-0000-000042760000}"/>
    <cellStyle name="60% - Accent3 4 2 2 5" xfId="5716" xr:uid="{00000000-0005-0000-0000-000043760000}"/>
    <cellStyle name="60% - Accent3 4 2 2 5 2" xfId="15956" xr:uid="{00000000-0005-0000-0000-000044760000}"/>
    <cellStyle name="60% - Accent3 4 2 2 5 2 2" xfId="36436" xr:uid="{00000000-0005-0000-0000-000045760000}"/>
    <cellStyle name="60% - Accent3 4 2 2 5 3" xfId="26196" xr:uid="{00000000-0005-0000-0000-000046760000}"/>
    <cellStyle name="60% - Accent3 4 2 2 6" xfId="10836" xr:uid="{00000000-0005-0000-0000-000047760000}"/>
    <cellStyle name="60% - Accent3 4 2 2 6 2" xfId="31316" xr:uid="{00000000-0005-0000-0000-000048760000}"/>
    <cellStyle name="60% - Accent3 4 2 2 7" xfId="21076" xr:uid="{00000000-0005-0000-0000-000049760000}"/>
    <cellStyle name="60% - Accent3 4 2 3" xfId="916" xr:uid="{00000000-0005-0000-0000-00004A760000}"/>
    <cellStyle name="60% - Accent3 4 2 3 2" xfId="2196" xr:uid="{00000000-0005-0000-0000-00004B760000}"/>
    <cellStyle name="60% - Accent3 4 2 3 2 2" xfId="4756" xr:uid="{00000000-0005-0000-0000-00004C760000}"/>
    <cellStyle name="60% - Accent3 4 2 3 2 2 2" xfId="9876" xr:uid="{00000000-0005-0000-0000-00004D760000}"/>
    <cellStyle name="60% - Accent3 4 2 3 2 2 2 2" xfId="20116" xr:uid="{00000000-0005-0000-0000-00004E760000}"/>
    <cellStyle name="60% - Accent3 4 2 3 2 2 2 2 2" xfId="40596" xr:uid="{00000000-0005-0000-0000-00004F760000}"/>
    <cellStyle name="60% - Accent3 4 2 3 2 2 2 3" xfId="30356" xr:uid="{00000000-0005-0000-0000-000050760000}"/>
    <cellStyle name="60% - Accent3 4 2 3 2 2 3" xfId="14996" xr:uid="{00000000-0005-0000-0000-000051760000}"/>
    <cellStyle name="60% - Accent3 4 2 3 2 2 3 2" xfId="35476" xr:uid="{00000000-0005-0000-0000-000052760000}"/>
    <cellStyle name="60% - Accent3 4 2 3 2 2 4" xfId="25236" xr:uid="{00000000-0005-0000-0000-000053760000}"/>
    <cellStyle name="60% - Accent3 4 2 3 2 3" xfId="7316" xr:uid="{00000000-0005-0000-0000-000054760000}"/>
    <cellStyle name="60% - Accent3 4 2 3 2 3 2" xfId="17556" xr:uid="{00000000-0005-0000-0000-000055760000}"/>
    <cellStyle name="60% - Accent3 4 2 3 2 3 2 2" xfId="38036" xr:uid="{00000000-0005-0000-0000-000056760000}"/>
    <cellStyle name="60% - Accent3 4 2 3 2 3 3" xfId="27796" xr:uid="{00000000-0005-0000-0000-000057760000}"/>
    <cellStyle name="60% - Accent3 4 2 3 2 4" xfId="12436" xr:uid="{00000000-0005-0000-0000-000058760000}"/>
    <cellStyle name="60% - Accent3 4 2 3 2 4 2" xfId="32916" xr:uid="{00000000-0005-0000-0000-000059760000}"/>
    <cellStyle name="60% - Accent3 4 2 3 2 5" xfId="22676" xr:uid="{00000000-0005-0000-0000-00005A760000}"/>
    <cellStyle name="60% - Accent3 4 2 3 3" xfId="3476" xr:uid="{00000000-0005-0000-0000-00005B760000}"/>
    <cellStyle name="60% - Accent3 4 2 3 3 2" xfId="8596" xr:uid="{00000000-0005-0000-0000-00005C760000}"/>
    <cellStyle name="60% - Accent3 4 2 3 3 2 2" xfId="18836" xr:uid="{00000000-0005-0000-0000-00005D760000}"/>
    <cellStyle name="60% - Accent3 4 2 3 3 2 2 2" xfId="39316" xr:uid="{00000000-0005-0000-0000-00005E760000}"/>
    <cellStyle name="60% - Accent3 4 2 3 3 2 3" xfId="29076" xr:uid="{00000000-0005-0000-0000-00005F760000}"/>
    <cellStyle name="60% - Accent3 4 2 3 3 3" xfId="13716" xr:uid="{00000000-0005-0000-0000-000060760000}"/>
    <cellStyle name="60% - Accent3 4 2 3 3 3 2" xfId="34196" xr:uid="{00000000-0005-0000-0000-000061760000}"/>
    <cellStyle name="60% - Accent3 4 2 3 3 4" xfId="23956" xr:uid="{00000000-0005-0000-0000-000062760000}"/>
    <cellStyle name="60% - Accent3 4 2 3 4" xfId="6036" xr:uid="{00000000-0005-0000-0000-000063760000}"/>
    <cellStyle name="60% - Accent3 4 2 3 4 2" xfId="16276" xr:uid="{00000000-0005-0000-0000-000064760000}"/>
    <cellStyle name="60% - Accent3 4 2 3 4 2 2" xfId="36756" xr:uid="{00000000-0005-0000-0000-000065760000}"/>
    <cellStyle name="60% - Accent3 4 2 3 4 3" xfId="26516" xr:uid="{00000000-0005-0000-0000-000066760000}"/>
    <cellStyle name="60% - Accent3 4 2 3 5" xfId="11156" xr:uid="{00000000-0005-0000-0000-000067760000}"/>
    <cellStyle name="60% - Accent3 4 2 3 5 2" xfId="31636" xr:uid="{00000000-0005-0000-0000-000068760000}"/>
    <cellStyle name="60% - Accent3 4 2 3 6" xfId="21396" xr:uid="{00000000-0005-0000-0000-000069760000}"/>
    <cellStyle name="60% - Accent3 4 2 4" xfId="1556" xr:uid="{00000000-0005-0000-0000-00006A760000}"/>
    <cellStyle name="60% - Accent3 4 2 4 2" xfId="4116" xr:uid="{00000000-0005-0000-0000-00006B760000}"/>
    <cellStyle name="60% - Accent3 4 2 4 2 2" xfId="9236" xr:uid="{00000000-0005-0000-0000-00006C760000}"/>
    <cellStyle name="60% - Accent3 4 2 4 2 2 2" xfId="19476" xr:uid="{00000000-0005-0000-0000-00006D760000}"/>
    <cellStyle name="60% - Accent3 4 2 4 2 2 2 2" xfId="39956" xr:uid="{00000000-0005-0000-0000-00006E760000}"/>
    <cellStyle name="60% - Accent3 4 2 4 2 2 3" xfId="29716" xr:uid="{00000000-0005-0000-0000-00006F760000}"/>
    <cellStyle name="60% - Accent3 4 2 4 2 3" xfId="14356" xr:uid="{00000000-0005-0000-0000-000070760000}"/>
    <cellStyle name="60% - Accent3 4 2 4 2 3 2" xfId="34836" xr:uid="{00000000-0005-0000-0000-000071760000}"/>
    <cellStyle name="60% - Accent3 4 2 4 2 4" xfId="24596" xr:uid="{00000000-0005-0000-0000-000072760000}"/>
    <cellStyle name="60% - Accent3 4 2 4 3" xfId="6676" xr:uid="{00000000-0005-0000-0000-000073760000}"/>
    <cellStyle name="60% - Accent3 4 2 4 3 2" xfId="16916" xr:uid="{00000000-0005-0000-0000-000074760000}"/>
    <cellStyle name="60% - Accent3 4 2 4 3 2 2" xfId="37396" xr:uid="{00000000-0005-0000-0000-000075760000}"/>
    <cellStyle name="60% - Accent3 4 2 4 3 3" xfId="27156" xr:uid="{00000000-0005-0000-0000-000076760000}"/>
    <cellStyle name="60% - Accent3 4 2 4 4" xfId="11796" xr:uid="{00000000-0005-0000-0000-000077760000}"/>
    <cellStyle name="60% - Accent3 4 2 4 4 2" xfId="32276" xr:uid="{00000000-0005-0000-0000-000078760000}"/>
    <cellStyle name="60% - Accent3 4 2 4 5" xfId="22036" xr:uid="{00000000-0005-0000-0000-000079760000}"/>
    <cellStyle name="60% - Accent3 4 2 5" xfId="2836" xr:uid="{00000000-0005-0000-0000-00007A760000}"/>
    <cellStyle name="60% - Accent3 4 2 5 2" xfId="7956" xr:uid="{00000000-0005-0000-0000-00007B760000}"/>
    <cellStyle name="60% - Accent3 4 2 5 2 2" xfId="18196" xr:uid="{00000000-0005-0000-0000-00007C760000}"/>
    <cellStyle name="60% - Accent3 4 2 5 2 2 2" xfId="38676" xr:uid="{00000000-0005-0000-0000-00007D760000}"/>
    <cellStyle name="60% - Accent3 4 2 5 2 3" xfId="28436" xr:uid="{00000000-0005-0000-0000-00007E760000}"/>
    <cellStyle name="60% - Accent3 4 2 5 3" xfId="13076" xr:uid="{00000000-0005-0000-0000-00007F760000}"/>
    <cellStyle name="60% - Accent3 4 2 5 3 2" xfId="33556" xr:uid="{00000000-0005-0000-0000-000080760000}"/>
    <cellStyle name="60% - Accent3 4 2 5 4" xfId="23316" xr:uid="{00000000-0005-0000-0000-000081760000}"/>
    <cellStyle name="60% - Accent3 4 2 6" xfId="5396" xr:uid="{00000000-0005-0000-0000-000082760000}"/>
    <cellStyle name="60% - Accent3 4 2 6 2" xfId="15636" xr:uid="{00000000-0005-0000-0000-000083760000}"/>
    <cellStyle name="60% - Accent3 4 2 6 2 2" xfId="36116" xr:uid="{00000000-0005-0000-0000-000084760000}"/>
    <cellStyle name="60% - Accent3 4 2 6 3" xfId="25876" xr:uid="{00000000-0005-0000-0000-000085760000}"/>
    <cellStyle name="60% - Accent3 4 2 7" xfId="10516" xr:uid="{00000000-0005-0000-0000-000086760000}"/>
    <cellStyle name="60% - Accent3 4 2 7 2" xfId="30996" xr:uid="{00000000-0005-0000-0000-000087760000}"/>
    <cellStyle name="60% - Accent3 4 2 8" xfId="20756" xr:uid="{00000000-0005-0000-0000-000088760000}"/>
    <cellStyle name="60% - Accent3 4 3" xfId="436" xr:uid="{00000000-0005-0000-0000-000089760000}"/>
    <cellStyle name="60% - Accent3 4 3 2" xfId="1076" xr:uid="{00000000-0005-0000-0000-00008A760000}"/>
    <cellStyle name="60% - Accent3 4 3 2 2" xfId="2356" xr:uid="{00000000-0005-0000-0000-00008B760000}"/>
    <cellStyle name="60% - Accent3 4 3 2 2 2" xfId="4916" xr:uid="{00000000-0005-0000-0000-00008C760000}"/>
    <cellStyle name="60% - Accent3 4 3 2 2 2 2" xfId="10036" xr:uid="{00000000-0005-0000-0000-00008D760000}"/>
    <cellStyle name="60% - Accent3 4 3 2 2 2 2 2" xfId="20276" xr:uid="{00000000-0005-0000-0000-00008E760000}"/>
    <cellStyle name="60% - Accent3 4 3 2 2 2 2 2 2" xfId="40756" xr:uid="{00000000-0005-0000-0000-00008F760000}"/>
    <cellStyle name="60% - Accent3 4 3 2 2 2 2 3" xfId="30516" xr:uid="{00000000-0005-0000-0000-000090760000}"/>
    <cellStyle name="60% - Accent3 4 3 2 2 2 3" xfId="15156" xr:uid="{00000000-0005-0000-0000-000091760000}"/>
    <cellStyle name="60% - Accent3 4 3 2 2 2 3 2" xfId="35636" xr:uid="{00000000-0005-0000-0000-000092760000}"/>
    <cellStyle name="60% - Accent3 4 3 2 2 2 4" xfId="25396" xr:uid="{00000000-0005-0000-0000-000093760000}"/>
    <cellStyle name="60% - Accent3 4 3 2 2 3" xfId="7476" xr:uid="{00000000-0005-0000-0000-000094760000}"/>
    <cellStyle name="60% - Accent3 4 3 2 2 3 2" xfId="17716" xr:uid="{00000000-0005-0000-0000-000095760000}"/>
    <cellStyle name="60% - Accent3 4 3 2 2 3 2 2" xfId="38196" xr:uid="{00000000-0005-0000-0000-000096760000}"/>
    <cellStyle name="60% - Accent3 4 3 2 2 3 3" xfId="27956" xr:uid="{00000000-0005-0000-0000-000097760000}"/>
    <cellStyle name="60% - Accent3 4 3 2 2 4" xfId="12596" xr:uid="{00000000-0005-0000-0000-000098760000}"/>
    <cellStyle name="60% - Accent3 4 3 2 2 4 2" xfId="33076" xr:uid="{00000000-0005-0000-0000-000099760000}"/>
    <cellStyle name="60% - Accent3 4 3 2 2 5" xfId="22836" xr:uid="{00000000-0005-0000-0000-00009A760000}"/>
    <cellStyle name="60% - Accent3 4 3 2 3" xfId="3636" xr:uid="{00000000-0005-0000-0000-00009B760000}"/>
    <cellStyle name="60% - Accent3 4 3 2 3 2" xfId="8756" xr:uid="{00000000-0005-0000-0000-00009C760000}"/>
    <cellStyle name="60% - Accent3 4 3 2 3 2 2" xfId="18996" xr:uid="{00000000-0005-0000-0000-00009D760000}"/>
    <cellStyle name="60% - Accent3 4 3 2 3 2 2 2" xfId="39476" xr:uid="{00000000-0005-0000-0000-00009E760000}"/>
    <cellStyle name="60% - Accent3 4 3 2 3 2 3" xfId="29236" xr:uid="{00000000-0005-0000-0000-00009F760000}"/>
    <cellStyle name="60% - Accent3 4 3 2 3 3" xfId="13876" xr:uid="{00000000-0005-0000-0000-0000A0760000}"/>
    <cellStyle name="60% - Accent3 4 3 2 3 3 2" xfId="34356" xr:uid="{00000000-0005-0000-0000-0000A1760000}"/>
    <cellStyle name="60% - Accent3 4 3 2 3 4" xfId="24116" xr:uid="{00000000-0005-0000-0000-0000A2760000}"/>
    <cellStyle name="60% - Accent3 4 3 2 4" xfId="6196" xr:uid="{00000000-0005-0000-0000-0000A3760000}"/>
    <cellStyle name="60% - Accent3 4 3 2 4 2" xfId="16436" xr:uid="{00000000-0005-0000-0000-0000A4760000}"/>
    <cellStyle name="60% - Accent3 4 3 2 4 2 2" xfId="36916" xr:uid="{00000000-0005-0000-0000-0000A5760000}"/>
    <cellStyle name="60% - Accent3 4 3 2 4 3" xfId="26676" xr:uid="{00000000-0005-0000-0000-0000A6760000}"/>
    <cellStyle name="60% - Accent3 4 3 2 5" xfId="11316" xr:uid="{00000000-0005-0000-0000-0000A7760000}"/>
    <cellStyle name="60% - Accent3 4 3 2 5 2" xfId="31796" xr:uid="{00000000-0005-0000-0000-0000A8760000}"/>
    <cellStyle name="60% - Accent3 4 3 2 6" xfId="21556" xr:uid="{00000000-0005-0000-0000-0000A9760000}"/>
    <cellStyle name="60% - Accent3 4 3 3" xfId="1716" xr:uid="{00000000-0005-0000-0000-0000AA760000}"/>
    <cellStyle name="60% - Accent3 4 3 3 2" xfId="4276" xr:uid="{00000000-0005-0000-0000-0000AB760000}"/>
    <cellStyle name="60% - Accent3 4 3 3 2 2" xfId="9396" xr:uid="{00000000-0005-0000-0000-0000AC760000}"/>
    <cellStyle name="60% - Accent3 4 3 3 2 2 2" xfId="19636" xr:uid="{00000000-0005-0000-0000-0000AD760000}"/>
    <cellStyle name="60% - Accent3 4 3 3 2 2 2 2" xfId="40116" xr:uid="{00000000-0005-0000-0000-0000AE760000}"/>
    <cellStyle name="60% - Accent3 4 3 3 2 2 3" xfId="29876" xr:uid="{00000000-0005-0000-0000-0000AF760000}"/>
    <cellStyle name="60% - Accent3 4 3 3 2 3" xfId="14516" xr:uid="{00000000-0005-0000-0000-0000B0760000}"/>
    <cellStyle name="60% - Accent3 4 3 3 2 3 2" xfId="34996" xr:uid="{00000000-0005-0000-0000-0000B1760000}"/>
    <cellStyle name="60% - Accent3 4 3 3 2 4" xfId="24756" xr:uid="{00000000-0005-0000-0000-0000B2760000}"/>
    <cellStyle name="60% - Accent3 4 3 3 3" xfId="6836" xr:uid="{00000000-0005-0000-0000-0000B3760000}"/>
    <cellStyle name="60% - Accent3 4 3 3 3 2" xfId="17076" xr:uid="{00000000-0005-0000-0000-0000B4760000}"/>
    <cellStyle name="60% - Accent3 4 3 3 3 2 2" xfId="37556" xr:uid="{00000000-0005-0000-0000-0000B5760000}"/>
    <cellStyle name="60% - Accent3 4 3 3 3 3" xfId="27316" xr:uid="{00000000-0005-0000-0000-0000B6760000}"/>
    <cellStyle name="60% - Accent3 4 3 3 4" xfId="11956" xr:uid="{00000000-0005-0000-0000-0000B7760000}"/>
    <cellStyle name="60% - Accent3 4 3 3 4 2" xfId="32436" xr:uid="{00000000-0005-0000-0000-0000B8760000}"/>
    <cellStyle name="60% - Accent3 4 3 3 5" xfId="22196" xr:uid="{00000000-0005-0000-0000-0000B9760000}"/>
    <cellStyle name="60% - Accent3 4 3 4" xfId="2996" xr:uid="{00000000-0005-0000-0000-0000BA760000}"/>
    <cellStyle name="60% - Accent3 4 3 4 2" xfId="8116" xr:uid="{00000000-0005-0000-0000-0000BB760000}"/>
    <cellStyle name="60% - Accent3 4 3 4 2 2" xfId="18356" xr:uid="{00000000-0005-0000-0000-0000BC760000}"/>
    <cellStyle name="60% - Accent3 4 3 4 2 2 2" xfId="38836" xr:uid="{00000000-0005-0000-0000-0000BD760000}"/>
    <cellStyle name="60% - Accent3 4 3 4 2 3" xfId="28596" xr:uid="{00000000-0005-0000-0000-0000BE760000}"/>
    <cellStyle name="60% - Accent3 4 3 4 3" xfId="13236" xr:uid="{00000000-0005-0000-0000-0000BF760000}"/>
    <cellStyle name="60% - Accent3 4 3 4 3 2" xfId="33716" xr:uid="{00000000-0005-0000-0000-0000C0760000}"/>
    <cellStyle name="60% - Accent3 4 3 4 4" xfId="23476" xr:uid="{00000000-0005-0000-0000-0000C1760000}"/>
    <cellStyle name="60% - Accent3 4 3 5" xfId="5556" xr:uid="{00000000-0005-0000-0000-0000C2760000}"/>
    <cellStyle name="60% - Accent3 4 3 5 2" xfId="15796" xr:uid="{00000000-0005-0000-0000-0000C3760000}"/>
    <cellStyle name="60% - Accent3 4 3 5 2 2" xfId="36276" xr:uid="{00000000-0005-0000-0000-0000C4760000}"/>
    <cellStyle name="60% - Accent3 4 3 5 3" xfId="26036" xr:uid="{00000000-0005-0000-0000-0000C5760000}"/>
    <cellStyle name="60% - Accent3 4 3 6" xfId="10676" xr:uid="{00000000-0005-0000-0000-0000C6760000}"/>
    <cellStyle name="60% - Accent3 4 3 6 2" xfId="31156" xr:uid="{00000000-0005-0000-0000-0000C7760000}"/>
    <cellStyle name="60% - Accent3 4 3 7" xfId="20916" xr:uid="{00000000-0005-0000-0000-0000C8760000}"/>
    <cellStyle name="60% - Accent3 4 4" xfId="756" xr:uid="{00000000-0005-0000-0000-0000C9760000}"/>
    <cellStyle name="60% - Accent3 4 4 2" xfId="2036" xr:uid="{00000000-0005-0000-0000-0000CA760000}"/>
    <cellStyle name="60% - Accent3 4 4 2 2" xfId="4596" xr:uid="{00000000-0005-0000-0000-0000CB760000}"/>
    <cellStyle name="60% - Accent3 4 4 2 2 2" xfId="9716" xr:uid="{00000000-0005-0000-0000-0000CC760000}"/>
    <cellStyle name="60% - Accent3 4 4 2 2 2 2" xfId="19956" xr:uid="{00000000-0005-0000-0000-0000CD760000}"/>
    <cellStyle name="60% - Accent3 4 4 2 2 2 2 2" xfId="40436" xr:uid="{00000000-0005-0000-0000-0000CE760000}"/>
    <cellStyle name="60% - Accent3 4 4 2 2 2 3" xfId="30196" xr:uid="{00000000-0005-0000-0000-0000CF760000}"/>
    <cellStyle name="60% - Accent3 4 4 2 2 3" xfId="14836" xr:uid="{00000000-0005-0000-0000-0000D0760000}"/>
    <cellStyle name="60% - Accent3 4 4 2 2 3 2" xfId="35316" xr:uid="{00000000-0005-0000-0000-0000D1760000}"/>
    <cellStyle name="60% - Accent3 4 4 2 2 4" xfId="25076" xr:uid="{00000000-0005-0000-0000-0000D2760000}"/>
    <cellStyle name="60% - Accent3 4 4 2 3" xfId="7156" xr:uid="{00000000-0005-0000-0000-0000D3760000}"/>
    <cellStyle name="60% - Accent3 4 4 2 3 2" xfId="17396" xr:uid="{00000000-0005-0000-0000-0000D4760000}"/>
    <cellStyle name="60% - Accent3 4 4 2 3 2 2" xfId="37876" xr:uid="{00000000-0005-0000-0000-0000D5760000}"/>
    <cellStyle name="60% - Accent3 4 4 2 3 3" xfId="27636" xr:uid="{00000000-0005-0000-0000-0000D6760000}"/>
    <cellStyle name="60% - Accent3 4 4 2 4" xfId="12276" xr:uid="{00000000-0005-0000-0000-0000D7760000}"/>
    <cellStyle name="60% - Accent3 4 4 2 4 2" xfId="32756" xr:uid="{00000000-0005-0000-0000-0000D8760000}"/>
    <cellStyle name="60% - Accent3 4 4 2 5" xfId="22516" xr:uid="{00000000-0005-0000-0000-0000D9760000}"/>
    <cellStyle name="60% - Accent3 4 4 3" xfId="3316" xr:uid="{00000000-0005-0000-0000-0000DA760000}"/>
    <cellStyle name="60% - Accent3 4 4 3 2" xfId="8436" xr:uid="{00000000-0005-0000-0000-0000DB760000}"/>
    <cellStyle name="60% - Accent3 4 4 3 2 2" xfId="18676" xr:uid="{00000000-0005-0000-0000-0000DC760000}"/>
    <cellStyle name="60% - Accent3 4 4 3 2 2 2" xfId="39156" xr:uid="{00000000-0005-0000-0000-0000DD760000}"/>
    <cellStyle name="60% - Accent3 4 4 3 2 3" xfId="28916" xr:uid="{00000000-0005-0000-0000-0000DE760000}"/>
    <cellStyle name="60% - Accent3 4 4 3 3" xfId="13556" xr:uid="{00000000-0005-0000-0000-0000DF760000}"/>
    <cellStyle name="60% - Accent3 4 4 3 3 2" xfId="34036" xr:uid="{00000000-0005-0000-0000-0000E0760000}"/>
    <cellStyle name="60% - Accent3 4 4 3 4" xfId="23796" xr:uid="{00000000-0005-0000-0000-0000E1760000}"/>
    <cellStyle name="60% - Accent3 4 4 4" xfId="5876" xr:uid="{00000000-0005-0000-0000-0000E2760000}"/>
    <cellStyle name="60% - Accent3 4 4 4 2" xfId="16116" xr:uid="{00000000-0005-0000-0000-0000E3760000}"/>
    <cellStyle name="60% - Accent3 4 4 4 2 2" xfId="36596" xr:uid="{00000000-0005-0000-0000-0000E4760000}"/>
    <cellStyle name="60% - Accent3 4 4 4 3" xfId="26356" xr:uid="{00000000-0005-0000-0000-0000E5760000}"/>
    <cellStyle name="60% - Accent3 4 4 5" xfId="10996" xr:uid="{00000000-0005-0000-0000-0000E6760000}"/>
    <cellStyle name="60% - Accent3 4 4 5 2" xfId="31476" xr:uid="{00000000-0005-0000-0000-0000E7760000}"/>
    <cellStyle name="60% - Accent3 4 4 6" xfId="21236" xr:uid="{00000000-0005-0000-0000-0000E8760000}"/>
    <cellStyle name="60% - Accent3 4 5" xfId="1396" xr:uid="{00000000-0005-0000-0000-0000E9760000}"/>
    <cellStyle name="60% - Accent3 4 5 2" xfId="3956" xr:uid="{00000000-0005-0000-0000-0000EA760000}"/>
    <cellStyle name="60% - Accent3 4 5 2 2" xfId="9076" xr:uid="{00000000-0005-0000-0000-0000EB760000}"/>
    <cellStyle name="60% - Accent3 4 5 2 2 2" xfId="19316" xr:uid="{00000000-0005-0000-0000-0000EC760000}"/>
    <cellStyle name="60% - Accent3 4 5 2 2 2 2" xfId="39796" xr:uid="{00000000-0005-0000-0000-0000ED760000}"/>
    <cellStyle name="60% - Accent3 4 5 2 2 3" xfId="29556" xr:uid="{00000000-0005-0000-0000-0000EE760000}"/>
    <cellStyle name="60% - Accent3 4 5 2 3" xfId="14196" xr:uid="{00000000-0005-0000-0000-0000EF760000}"/>
    <cellStyle name="60% - Accent3 4 5 2 3 2" xfId="34676" xr:uid="{00000000-0005-0000-0000-0000F0760000}"/>
    <cellStyle name="60% - Accent3 4 5 2 4" xfId="24436" xr:uid="{00000000-0005-0000-0000-0000F1760000}"/>
    <cellStyle name="60% - Accent3 4 5 3" xfId="6516" xr:uid="{00000000-0005-0000-0000-0000F2760000}"/>
    <cellStyle name="60% - Accent3 4 5 3 2" xfId="16756" xr:uid="{00000000-0005-0000-0000-0000F3760000}"/>
    <cellStyle name="60% - Accent3 4 5 3 2 2" xfId="37236" xr:uid="{00000000-0005-0000-0000-0000F4760000}"/>
    <cellStyle name="60% - Accent3 4 5 3 3" xfId="26996" xr:uid="{00000000-0005-0000-0000-0000F5760000}"/>
    <cellStyle name="60% - Accent3 4 5 4" xfId="11636" xr:uid="{00000000-0005-0000-0000-0000F6760000}"/>
    <cellStyle name="60% - Accent3 4 5 4 2" xfId="32116" xr:uid="{00000000-0005-0000-0000-0000F7760000}"/>
    <cellStyle name="60% - Accent3 4 5 5" xfId="21876" xr:uid="{00000000-0005-0000-0000-0000F8760000}"/>
    <cellStyle name="60% - Accent3 4 6" xfId="2676" xr:uid="{00000000-0005-0000-0000-0000F9760000}"/>
    <cellStyle name="60% - Accent3 4 6 2" xfId="7796" xr:uid="{00000000-0005-0000-0000-0000FA760000}"/>
    <cellStyle name="60% - Accent3 4 6 2 2" xfId="18036" xr:uid="{00000000-0005-0000-0000-0000FB760000}"/>
    <cellStyle name="60% - Accent3 4 6 2 2 2" xfId="38516" xr:uid="{00000000-0005-0000-0000-0000FC760000}"/>
    <cellStyle name="60% - Accent3 4 6 2 3" xfId="28276" xr:uid="{00000000-0005-0000-0000-0000FD760000}"/>
    <cellStyle name="60% - Accent3 4 6 3" xfId="12916" xr:uid="{00000000-0005-0000-0000-0000FE760000}"/>
    <cellStyle name="60% - Accent3 4 6 3 2" xfId="33396" xr:uid="{00000000-0005-0000-0000-0000FF760000}"/>
    <cellStyle name="60% - Accent3 4 6 4" xfId="23156" xr:uid="{00000000-0005-0000-0000-000000770000}"/>
    <cellStyle name="60% - Accent3 4 7" xfId="5236" xr:uid="{00000000-0005-0000-0000-000001770000}"/>
    <cellStyle name="60% - Accent3 4 7 2" xfId="15476" xr:uid="{00000000-0005-0000-0000-000002770000}"/>
    <cellStyle name="60% - Accent3 4 7 2 2" xfId="35956" xr:uid="{00000000-0005-0000-0000-000003770000}"/>
    <cellStyle name="60% - Accent3 4 7 3" xfId="25716" xr:uid="{00000000-0005-0000-0000-000004770000}"/>
    <cellStyle name="60% - Accent3 4 8" xfId="10356" xr:uid="{00000000-0005-0000-0000-000005770000}"/>
    <cellStyle name="60% - Accent3 4 8 2" xfId="30836" xr:uid="{00000000-0005-0000-0000-000006770000}"/>
    <cellStyle name="60% - Accent3 4 9" xfId="20596" xr:uid="{00000000-0005-0000-0000-000007770000}"/>
    <cellStyle name="60% - Accent3 5" xfId="196" xr:uid="{00000000-0005-0000-0000-000008770000}"/>
    <cellStyle name="60% - Accent3 5 2" xfId="516" xr:uid="{00000000-0005-0000-0000-000009770000}"/>
    <cellStyle name="60% - Accent3 5 2 2" xfId="1156" xr:uid="{00000000-0005-0000-0000-00000A770000}"/>
    <cellStyle name="60% - Accent3 5 2 2 2" xfId="2436" xr:uid="{00000000-0005-0000-0000-00000B770000}"/>
    <cellStyle name="60% - Accent3 5 2 2 2 2" xfId="4996" xr:uid="{00000000-0005-0000-0000-00000C770000}"/>
    <cellStyle name="60% - Accent3 5 2 2 2 2 2" xfId="10116" xr:uid="{00000000-0005-0000-0000-00000D770000}"/>
    <cellStyle name="60% - Accent3 5 2 2 2 2 2 2" xfId="20356" xr:uid="{00000000-0005-0000-0000-00000E770000}"/>
    <cellStyle name="60% - Accent3 5 2 2 2 2 2 2 2" xfId="40836" xr:uid="{00000000-0005-0000-0000-00000F770000}"/>
    <cellStyle name="60% - Accent3 5 2 2 2 2 2 3" xfId="30596" xr:uid="{00000000-0005-0000-0000-000010770000}"/>
    <cellStyle name="60% - Accent3 5 2 2 2 2 3" xfId="15236" xr:uid="{00000000-0005-0000-0000-000011770000}"/>
    <cellStyle name="60% - Accent3 5 2 2 2 2 3 2" xfId="35716" xr:uid="{00000000-0005-0000-0000-000012770000}"/>
    <cellStyle name="60% - Accent3 5 2 2 2 2 4" xfId="25476" xr:uid="{00000000-0005-0000-0000-000013770000}"/>
    <cellStyle name="60% - Accent3 5 2 2 2 3" xfId="7556" xr:uid="{00000000-0005-0000-0000-000014770000}"/>
    <cellStyle name="60% - Accent3 5 2 2 2 3 2" xfId="17796" xr:uid="{00000000-0005-0000-0000-000015770000}"/>
    <cellStyle name="60% - Accent3 5 2 2 2 3 2 2" xfId="38276" xr:uid="{00000000-0005-0000-0000-000016770000}"/>
    <cellStyle name="60% - Accent3 5 2 2 2 3 3" xfId="28036" xr:uid="{00000000-0005-0000-0000-000017770000}"/>
    <cellStyle name="60% - Accent3 5 2 2 2 4" xfId="12676" xr:uid="{00000000-0005-0000-0000-000018770000}"/>
    <cellStyle name="60% - Accent3 5 2 2 2 4 2" xfId="33156" xr:uid="{00000000-0005-0000-0000-000019770000}"/>
    <cellStyle name="60% - Accent3 5 2 2 2 5" xfId="22916" xr:uid="{00000000-0005-0000-0000-00001A770000}"/>
    <cellStyle name="60% - Accent3 5 2 2 3" xfId="3716" xr:uid="{00000000-0005-0000-0000-00001B770000}"/>
    <cellStyle name="60% - Accent3 5 2 2 3 2" xfId="8836" xr:uid="{00000000-0005-0000-0000-00001C770000}"/>
    <cellStyle name="60% - Accent3 5 2 2 3 2 2" xfId="19076" xr:uid="{00000000-0005-0000-0000-00001D770000}"/>
    <cellStyle name="60% - Accent3 5 2 2 3 2 2 2" xfId="39556" xr:uid="{00000000-0005-0000-0000-00001E770000}"/>
    <cellStyle name="60% - Accent3 5 2 2 3 2 3" xfId="29316" xr:uid="{00000000-0005-0000-0000-00001F770000}"/>
    <cellStyle name="60% - Accent3 5 2 2 3 3" xfId="13956" xr:uid="{00000000-0005-0000-0000-000020770000}"/>
    <cellStyle name="60% - Accent3 5 2 2 3 3 2" xfId="34436" xr:uid="{00000000-0005-0000-0000-000021770000}"/>
    <cellStyle name="60% - Accent3 5 2 2 3 4" xfId="24196" xr:uid="{00000000-0005-0000-0000-000022770000}"/>
    <cellStyle name="60% - Accent3 5 2 2 4" xfId="6276" xr:uid="{00000000-0005-0000-0000-000023770000}"/>
    <cellStyle name="60% - Accent3 5 2 2 4 2" xfId="16516" xr:uid="{00000000-0005-0000-0000-000024770000}"/>
    <cellStyle name="60% - Accent3 5 2 2 4 2 2" xfId="36996" xr:uid="{00000000-0005-0000-0000-000025770000}"/>
    <cellStyle name="60% - Accent3 5 2 2 4 3" xfId="26756" xr:uid="{00000000-0005-0000-0000-000026770000}"/>
    <cellStyle name="60% - Accent3 5 2 2 5" xfId="11396" xr:uid="{00000000-0005-0000-0000-000027770000}"/>
    <cellStyle name="60% - Accent3 5 2 2 5 2" xfId="31876" xr:uid="{00000000-0005-0000-0000-000028770000}"/>
    <cellStyle name="60% - Accent3 5 2 2 6" xfId="21636" xr:uid="{00000000-0005-0000-0000-000029770000}"/>
    <cellStyle name="60% - Accent3 5 2 3" xfId="1796" xr:uid="{00000000-0005-0000-0000-00002A770000}"/>
    <cellStyle name="60% - Accent3 5 2 3 2" xfId="4356" xr:uid="{00000000-0005-0000-0000-00002B770000}"/>
    <cellStyle name="60% - Accent3 5 2 3 2 2" xfId="9476" xr:uid="{00000000-0005-0000-0000-00002C770000}"/>
    <cellStyle name="60% - Accent3 5 2 3 2 2 2" xfId="19716" xr:uid="{00000000-0005-0000-0000-00002D770000}"/>
    <cellStyle name="60% - Accent3 5 2 3 2 2 2 2" xfId="40196" xr:uid="{00000000-0005-0000-0000-00002E770000}"/>
    <cellStyle name="60% - Accent3 5 2 3 2 2 3" xfId="29956" xr:uid="{00000000-0005-0000-0000-00002F770000}"/>
    <cellStyle name="60% - Accent3 5 2 3 2 3" xfId="14596" xr:uid="{00000000-0005-0000-0000-000030770000}"/>
    <cellStyle name="60% - Accent3 5 2 3 2 3 2" xfId="35076" xr:uid="{00000000-0005-0000-0000-000031770000}"/>
    <cellStyle name="60% - Accent3 5 2 3 2 4" xfId="24836" xr:uid="{00000000-0005-0000-0000-000032770000}"/>
    <cellStyle name="60% - Accent3 5 2 3 3" xfId="6916" xr:uid="{00000000-0005-0000-0000-000033770000}"/>
    <cellStyle name="60% - Accent3 5 2 3 3 2" xfId="17156" xr:uid="{00000000-0005-0000-0000-000034770000}"/>
    <cellStyle name="60% - Accent3 5 2 3 3 2 2" xfId="37636" xr:uid="{00000000-0005-0000-0000-000035770000}"/>
    <cellStyle name="60% - Accent3 5 2 3 3 3" xfId="27396" xr:uid="{00000000-0005-0000-0000-000036770000}"/>
    <cellStyle name="60% - Accent3 5 2 3 4" xfId="12036" xr:uid="{00000000-0005-0000-0000-000037770000}"/>
    <cellStyle name="60% - Accent3 5 2 3 4 2" xfId="32516" xr:uid="{00000000-0005-0000-0000-000038770000}"/>
    <cellStyle name="60% - Accent3 5 2 3 5" xfId="22276" xr:uid="{00000000-0005-0000-0000-000039770000}"/>
    <cellStyle name="60% - Accent3 5 2 4" xfId="3076" xr:uid="{00000000-0005-0000-0000-00003A770000}"/>
    <cellStyle name="60% - Accent3 5 2 4 2" xfId="8196" xr:uid="{00000000-0005-0000-0000-00003B770000}"/>
    <cellStyle name="60% - Accent3 5 2 4 2 2" xfId="18436" xr:uid="{00000000-0005-0000-0000-00003C770000}"/>
    <cellStyle name="60% - Accent3 5 2 4 2 2 2" xfId="38916" xr:uid="{00000000-0005-0000-0000-00003D770000}"/>
    <cellStyle name="60% - Accent3 5 2 4 2 3" xfId="28676" xr:uid="{00000000-0005-0000-0000-00003E770000}"/>
    <cellStyle name="60% - Accent3 5 2 4 3" xfId="13316" xr:uid="{00000000-0005-0000-0000-00003F770000}"/>
    <cellStyle name="60% - Accent3 5 2 4 3 2" xfId="33796" xr:uid="{00000000-0005-0000-0000-000040770000}"/>
    <cellStyle name="60% - Accent3 5 2 4 4" xfId="23556" xr:uid="{00000000-0005-0000-0000-000041770000}"/>
    <cellStyle name="60% - Accent3 5 2 5" xfId="5636" xr:uid="{00000000-0005-0000-0000-000042770000}"/>
    <cellStyle name="60% - Accent3 5 2 5 2" xfId="15876" xr:uid="{00000000-0005-0000-0000-000043770000}"/>
    <cellStyle name="60% - Accent3 5 2 5 2 2" xfId="36356" xr:uid="{00000000-0005-0000-0000-000044770000}"/>
    <cellStyle name="60% - Accent3 5 2 5 3" xfId="26116" xr:uid="{00000000-0005-0000-0000-000045770000}"/>
    <cellStyle name="60% - Accent3 5 2 6" xfId="10756" xr:uid="{00000000-0005-0000-0000-000046770000}"/>
    <cellStyle name="60% - Accent3 5 2 6 2" xfId="31236" xr:uid="{00000000-0005-0000-0000-000047770000}"/>
    <cellStyle name="60% - Accent3 5 2 7" xfId="20996" xr:uid="{00000000-0005-0000-0000-000048770000}"/>
    <cellStyle name="60% - Accent3 5 3" xfId="836" xr:uid="{00000000-0005-0000-0000-000049770000}"/>
    <cellStyle name="60% - Accent3 5 3 2" xfId="2116" xr:uid="{00000000-0005-0000-0000-00004A770000}"/>
    <cellStyle name="60% - Accent3 5 3 2 2" xfId="4676" xr:uid="{00000000-0005-0000-0000-00004B770000}"/>
    <cellStyle name="60% - Accent3 5 3 2 2 2" xfId="9796" xr:uid="{00000000-0005-0000-0000-00004C770000}"/>
    <cellStyle name="60% - Accent3 5 3 2 2 2 2" xfId="20036" xr:uid="{00000000-0005-0000-0000-00004D770000}"/>
    <cellStyle name="60% - Accent3 5 3 2 2 2 2 2" xfId="40516" xr:uid="{00000000-0005-0000-0000-00004E770000}"/>
    <cellStyle name="60% - Accent3 5 3 2 2 2 3" xfId="30276" xr:uid="{00000000-0005-0000-0000-00004F770000}"/>
    <cellStyle name="60% - Accent3 5 3 2 2 3" xfId="14916" xr:uid="{00000000-0005-0000-0000-000050770000}"/>
    <cellStyle name="60% - Accent3 5 3 2 2 3 2" xfId="35396" xr:uid="{00000000-0005-0000-0000-000051770000}"/>
    <cellStyle name="60% - Accent3 5 3 2 2 4" xfId="25156" xr:uid="{00000000-0005-0000-0000-000052770000}"/>
    <cellStyle name="60% - Accent3 5 3 2 3" xfId="7236" xr:uid="{00000000-0005-0000-0000-000053770000}"/>
    <cellStyle name="60% - Accent3 5 3 2 3 2" xfId="17476" xr:uid="{00000000-0005-0000-0000-000054770000}"/>
    <cellStyle name="60% - Accent3 5 3 2 3 2 2" xfId="37956" xr:uid="{00000000-0005-0000-0000-000055770000}"/>
    <cellStyle name="60% - Accent3 5 3 2 3 3" xfId="27716" xr:uid="{00000000-0005-0000-0000-000056770000}"/>
    <cellStyle name="60% - Accent3 5 3 2 4" xfId="12356" xr:uid="{00000000-0005-0000-0000-000057770000}"/>
    <cellStyle name="60% - Accent3 5 3 2 4 2" xfId="32836" xr:uid="{00000000-0005-0000-0000-000058770000}"/>
    <cellStyle name="60% - Accent3 5 3 2 5" xfId="22596" xr:uid="{00000000-0005-0000-0000-000059770000}"/>
    <cellStyle name="60% - Accent3 5 3 3" xfId="3396" xr:uid="{00000000-0005-0000-0000-00005A770000}"/>
    <cellStyle name="60% - Accent3 5 3 3 2" xfId="8516" xr:uid="{00000000-0005-0000-0000-00005B770000}"/>
    <cellStyle name="60% - Accent3 5 3 3 2 2" xfId="18756" xr:uid="{00000000-0005-0000-0000-00005C770000}"/>
    <cellStyle name="60% - Accent3 5 3 3 2 2 2" xfId="39236" xr:uid="{00000000-0005-0000-0000-00005D770000}"/>
    <cellStyle name="60% - Accent3 5 3 3 2 3" xfId="28996" xr:uid="{00000000-0005-0000-0000-00005E770000}"/>
    <cellStyle name="60% - Accent3 5 3 3 3" xfId="13636" xr:uid="{00000000-0005-0000-0000-00005F770000}"/>
    <cellStyle name="60% - Accent3 5 3 3 3 2" xfId="34116" xr:uid="{00000000-0005-0000-0000-000060770000}"/>
    <cellStyle name="60% - Accent3 5 3 3 4" xfId="23876" xr:uid="{00000000-0005-0000-0000-000061770000}"/>
    <cellStyle name="60% - Accent3 5 3 4" xfId="5956" xr:uid="{00000000-0005-0000-0000-000062770000}"/>
    <cellStyle name="60% - Accent3 5 3 4 2" xfId="16196" xr:uid="{00000000-0005-0000-0000-000063770000}"/>
    <cellStyle name="60% - Accent3 5 3 4 2 2" xfId="36676" xr:uid="{00000000-0005-0000-0000-000064770000}"/>
    <cellStyle name="60% - Accent3 5 3 4 3" xfId="26436" xr:uid="{00000000-0005-0000-0000-000065770000}"/>
    <cellStyle name="60% - Accent3 5 3 5" xfId="11076" xr:uid="{00000000-0005-0000-0000-000066770000}"/>
    <cellStyle name="60% - Accent3 5 3 5 2" xfId="31556" xr:uid="{00000000-0005-0000-0000-000067770000}"/>
    <cellStyle name="60% - Accent3 5 3 6" xfId="21316" xr:uid="{00000000-0005-0000-0000-000068770000}"/>
    <cellStyle name="60% - Accent3 5 4" xfId="1476" xr:uid="{00000000-0005-0000-0000-000069770000}"/>
    <cellStyle name="60% - Accent3 5 4 2" xfId="4036" xr:uid="{00000000-0005-0000-0000-00006A770000}"/>
    <cellStyle name="60% - Accent3 5 4 2 2" xfId="9156" xr:uid="{00000000-0005-0000-0000-00006B770000}"/>
    <cellStyle name="60% - Accent3 5 4 2 2 2" xfId="19396" xr:uid="{00000000-0005-0000-0000-00006C770000}"/>
    <cellStyle name="60% - Accent3 5 4 2 2 2 2" xfId="39876" xr:uid="{00000000-0005-0000-0000-00006D770000}"/>
    <cellStyle name="60% - Accent3 5 4 2 2 3" xfId="29636" xr:uid="{00000000-0005-0000-0000-00006E770000}"/>
    <cellStyle name="60% - Accent3 5 4 2 3" xfId="14276" xr:uid="{00000000-0005-0000-0000-00006F770000}"/>
    <cellStyle name="60% - Accent3 5 4 2 3 2" xfId="34756" xr:uid="{00000000-0005-0000-0000-000070770000}"/>
    <cellStyle name="60% - Accent3 5 4 2 4" xfId="24516" xr:uid="{00000000-0005-0000-0000-000071770000}"/>
    <cellStyle name="60% - Accent3 5 4 3" xfId="6596" xr:uid="{00000000-0005-0000-0000-000072770000}"/>
    <cellStyle name="60% - Accent3 5 4 3 2" xfId="16836" xr:uid="{00000000-0005-0000-0000-000073770000}"/>
    <cellStyle name="60% - Accent3 5 4 3 2 2" xfId="37316" xr:uid="{00000000-0005-0000-0000-000074770000}"/>
    <cellStyle name="60% - Accent3 5 4 3 3" xfId="27076" xr:uid="{00000000-0005-0000-0000-000075770000}"/>
    <cellStyle name="60% - Accent3 5 4 4" xfId="11716" xr:uid="{00000000-0005-0000-0000-000076770000}"/>
    <cellStyle name="60% - Accent3 5 4 4 2" xfId="32196" xr:uid="{00000000-0005-0000-0000-000077770000}"/>
    <cellStyle name="60% - Accent3 5 4 5" xfId="21956" xr:uid="{00000000-0005-0000-0000-000078770000}"/>
    <cellStyle name="60% - Accent3 5 5" xfId="2756" xr:uid="{00000000-0005-0000-0000-000079770000}"/>
    <cellStyle name="60% - Accent3 5 5 2" xfId="7876" xr:uid="{00000000-0005-0000-0000-00007A770000}"/>
    <cellStyle name="60% - Accent3 5 5 2 2" xfId="18116" xr:uid="{00000000-0005-0000-0000-00007B770000}"/>
    <cellStyle name="60% - Accent3 5 5 2 2 2" xfId="38596" xr:uid="{00000000-0005-0000-0000-00007C770000}"/>
    <cellStyle name="60% - Accent3 5 5 2 3" xfId="28356" xr:uid="{00000000-0005-0000-0000-00007D770000}"/>
    <cellStyle name="60% - Accent3 5 5 3" xfId="12996" xr:uid="{00000000-0005-0000-0000-00007E770000}"/>
    <cellStyle name="60% - Accent3 5 5 3 2" xfId="33476" xr:uid="{00000000-0005-0000-0000-00007F770000}"/>
    <cellStyle name="60% - Accent3 5 5 4" xfId="23236" xr:uid="{00000000-0005-0000-0000-000080770000}"/>
    <cellStyle name="60% - Accent3 5 6" xfId="5316" xr:uid="{00000000-0005-0000-0000-000081770000}"/>
    <cellStyle name="60% - Accent3 5 6 2" xfId="15556" xr:uid="{00000000-0005-0000-0000-000082770000}"/>
    <cellStyle name="60% - Accent3 5 6 2 2" xfId="36036" xr:uid="{00000000-0005-0000-0000-000083770000}"/>
    <cellStyle name="60% - Accent3 5 6 3" xfId="25796" xr:uid="{00000000-0005-0000-0000-000084770000}"/>
    <cellStyle name="60% - Accent3 5 7" xfId="10436" xr:uid="{00000000-0005-0000-0000-000085770000}"/>
    <cellStyle name="60% - Accent3 5 7 2" xfId="30916" xr:uid="{00000000-0005-0000-0000-000086770000}"/>
    <cellStyle name="60% - Accent3 5 8" xfId="20676" xr:uid="{00000000-0005-0000-0000-000087770000}"/>
    <cellStyle name="60% - Accent3 6" xfId="356" xr:uid="{00000000-0005-0000-0000-000088770000}"/>
    <cellStyle name="60% - Accent3 6 2" xfId="996" xr:uid="{00000000-0005-0000-0000-000089770000}"/>
    <cellStyle name="60% - Accent3 6 2 2" xfId="2276" xr:uid="{00000000-0005-0000-0000-00008A770000}"/>
    <cellStyle name="60% - Accent3 6 2 2 2" xfId="4836" xr:uid="{00000000-0005-0000-0000-00008B770000}"/>
    <cellStyle name="60% - Accent3 6 2 2 2 2" xfId="9956" xr:uid="{00000000-0005-0000-0000-00008C770000}"/>
    <cellStyle name="60% - Accent3 6 2 2 2 2 2" xfId="20196" xr:uid="{00000000-0005-0000-0000-00008D770000}"/>
    <cellStyle name="60% - Accent3 6 2 2 2 2 2 2" xfId="40676" xr:uid="{00000000-0005-0000-0000-00008E770000}"/>
    <cellStyle name="60% - Accent3 6 2 2 2 2 3" xfId="30436" xr:uid="{00000000-0005-0000-0000-00008F770000}"/>
    <cellStyle name="60% - Accent3 6 2 2 2 3" xfId="15076" xr:uid="{00000000-0005-0000-0000-000090770000}"/>
    <cellStyle name="60% - Accent3 6 2 2 2 3 2" xfId="35556" xr:uid="{00000000-0005-0000-0000-000091770000}"/>
    <cellStyle name="60% - Accent3 6 2 2 2 4" xfId="25316" xr:uid="{00000000-0005-0000-0000-000092770000}"/>
    <cellStyle name="60% - Accent3 6 2 2 3" xfId="7396" xr:uid="{00000000-0005-0000-0000-000093770000}"/>
    <cellStyle name="60% - Accent3 6 2 2 3 2" xfId="17636" xr:uid="{00000000-0005-0000-0000-000094770000}"/>
    <cellStyle name="60% - Accent3 6 2 2 3 2 2" xfId="38116" xr:uid="{00000000-0005-0000-0000-000095770000}"/>
    <cellStyle name="60% - Accent3 6 2 2 3 3" xfId="27876" xr:uid="{00000000-0005-0000-0000-000096770000}"/>
    <cellStyle name="60% - Accent3 6 2 2 4" xfId="12516" xr:uid="{00000000-0005-0000-0000-000097770000}"/>
    <cellStyle name="60% - Accent3 6 2 2 4 2" xfId="32996" xr:uid="{00000000-0005-0000-0000-000098770000}"/>
    <cellStyle name="60% - Accent3 6 2 2 5" xfId="22756" xr:uid="{00000000-0005-0000-0000-000099770000}"/>
    <cellStyle name="60% - Accent3 6 2 3" xfId="3556" xr:uid="{00000000-0005-0000-0000-00009A770000}"/>
    <cellStyle name="60% - Accent3 6 2 3 2" xfId="8676" xr:uid="{00000000-0005-0000-0000-00009B770000}"/>
    <cellStyle name="60% - Accent3 6 2 3 2 2" xfId="18916" xr:uid="{00000000-0005-0000-0000-00009C770000}"/>
    <cellStyle name="60% - Accent3 6 2 3 2 2 2" xfId="39396" xr:uid="{00000000-0005-0000-0000-00009D770000}"/>
    <cellStyle name="60% - Accent3 6 2 3 2 3" xfId="29156" xr:uid="{00000000-0005-0000-0000-00009E770000}"/>
    <cellStyle name="60% - Accent3 6 2 3 3" xfId="13796" xr:uid="{00000000-0005-0000-0000-00009F770000}"/>
    <cellStyle name="60% - Accent3 6 2 3 3 2" xfId="34276" xr:uid="{00000000-0005-0000-0000-0000A0770000}"/>
    <cellStyle name="60% - Accent3 6 2 3 4" xfId="24036" xr:uid="{00000000-0005-0000-0000-0000A1770000}"/>
    <cellStyle name="60% - Accent3 6 2 4" xfId="6116" xr:uid="{00000000-0005-0000-0000-0000A2770000}"/>
    <cellStyle name="60% - Accent3 6 2 4 2" xfId="16356" xr:uid="{00000000-0005-0000-0000-0000A3770000}"/>
    <cellStyle name="60% - Accent3 6 2 4 2 2" xfId="36836" xr:uid="{00000000-0005-0000-0000-0000A4770000}"/>
    <cellStyle name="60% - Accent3 6 2 4 3" xfId="26596" xr:uid="{00000000-0005-0000-0000-0000A5770000}"/>
    <cellStyle name="60% - Accent3 6 2 5" xfId="11236" xr:uid="{00000000-0005-0000-0000-0000A6770000}"/>
    <cellStyle name="60% - Accent3 6 2 5 2" xfId="31716" xr:uid="{00000000-0005-0000-0000-0000A7770000}"/>
    <cellStyle name="60% - Accent3 6 2 6" xfId="21476" xr:uid="{00000000-0005-0000-0000-0000A8770000}"/>
    <cellStyle name="60% - Accent3 6 3" xfId="1636" xr:uid="{00000000-0005-0000-0000-0000A9770000}"/>
    <cellStyle name="60% - Accent3 6 3 2" xfId="4196" xr:uid="{00000000-0005-0000-0000-0000AA770000}"/>
    <cellStyle name="60% - Accent3 6 3 2 2" xfId="9316" xr:uid="{00000000-0005-0000-0000-0000AB770000}"/>
    <cellStyle name="60% - Accent3 6 3 2 2 2" xfId="19556" xr:uid="{00000000-0005-0000-0000-0000AC770000}"/>
    <cellStyle name="60% - Accent3 6 3 2 2 2 2" xfId="40036" xr:uid="{00000000-0005-0000-0000-0000AD770000}"/>
    <cellStyle name="60% - Accent3 6 3 2 2 3" xfId="29796" xr:uid="{00000000-0005-0000-0000-0000AE770000}"/>
    <cellStyle name="60% - Accent3 6 3 2 3" xfId="14436" xr:uid="{00000000-0005-0000-0000-0000AF770000}"/>
    <cellStyle name="60% - Accent3 6 3 2 3 2" xfId="34916" xr:uid="{00000000-0005-0000-0000-0000B0770000}"/>
    <cellStyle name="60% - Accent3 6 3 2 4" xfId="24676" xr:uid="{00000000-0005-0000-0000-0000B1770000}"/>
    <cellStyle name="60% - Accent3 6 3 3" xfId="6756" xr:uid="{00000000-0005-0000-0000-0000B2770000}"/>
    <cellStyle name="60% - Accent3 6 3 3 2" xfId="16996" xr:uid="{00000000-0005-0000-0000-0000B3770000}"/>
    <cellStyle name="60% - Accent3 6 3 3 2 2" xfId="37476" xr:uid="{00000000-0005-0000-0000-0000B4770000}"/>
    <cellStyle name="60% - Accent3 6 3 3 3" xfId="27236" xr:uid="{00000000-0005-0000-0000-0000B5770000}"/>
    <cellStyle name="60% - Accent3 6 3 4" xfId="11876" xr:uid="{00000000-0005-0000-0000-0000B6770000}"/>
    <cellStyle name="60% - Accent3 6 3 4 2" xfId="32356" xr:uid="{00000000-0005-0000-0000-0000B7770000}"/>
    <cellStyle name="60% - Accent3 6 3 5" xfId="22116" xr:uid="{00000000-0005-0000-0000-0000B8770000}"/>
    <cellStyle name="60% - Accent3 6 4" xfId="2916" xr:uid="{00000000-0005-0000-0000-0000B9770000}"/>
    <cellStyle name="60% - Accent3 6 4 2" xfId="8036" xr:uid="{00000000-0005-0000-0000-0000BA770000}"/>
    <cellStyle name="60% - Accent3 6 4 2 2" xfId="18276" xr:uid="{00000000-0005-0000-0000-0000BB770000}"/>
    <cellStyle name="60% - Accent3 6 4 2 2 2" xfId="38756" xr:uid="{00000000-0005-0000-0000-0000BC770000}"/>
    <cellStyle name="60% - Accent3 6 4 2 3" xfId="28516" xr:uid="{00000000-0005-0000-0000-0000BD770000}"/>
    <cellStyle name="60% - Accent3 6 4 3" xfId="13156" xr:uid="{00000000-0005-0000-0000-0000BE770000}"/>
    <cellStyle name="60% - Accent3 6 4 3 2" xfId="33636" xr:uid="{00000000-0005-0000-0000-0000BF770000}"/>
    <cellStyle name="60% - Accent3 6 4 4" xfId="23396" xr:uid="{00000000-0005-0000-0000-0000C0770000}"/>
    <cellStyle name="60% - Accent3 6 5" xfId="5476" xr:uid="{00000000-0005-0000-0000-0000C1770000}"/>
    <cellStyle name="60% - Accent3 6 5 2" xfId="15716" xr:uid="{00000000-0005-0000-0000-0000C2770000}"/>
    <cellStyle name="60% - Accent3 6 5 2 2" xfId="36196" xr:uid="{00000000-0005-0000-0000-0000C3770000}"/>
    <cellStyle name="60% - Accent3 6 5 3" xfId="25956" xr:uid="{00000000-0005-0000-0000-0000C4770000}"/>
    <cellStyle name="60% - Accent3 6 6" xfId="10596" xr:uid="{00000000-0005-0000-0000-0000C5770000}"/>
    <cellStyle name="60% - Accent3 6 6 2" xfId="31076" xr:uid="{00000000-0005-0000-0000-0000C6770000}"/>
    <cellStyle name="60% - Accent3 6 7" xfId="20836" xr:uid="{00000000-0005-0000-0000-0000C7770000}"/>
    <cellStyle name="60% - Accent3 7" xfId="676" xr:uid="{00000000-0005-0000-0000-0000C8770000}"/>
    <cellStyle name="60% - Accent3 7 2" xfId="1956" xr:uid="{00000000-0005-0000-0000-0000C9770000}"/>
    <cellStyle name="60% - Accent3 7 2 2" xfId="4516" xr:uid="{00000000-0005-0000-0000-0000CA770000}"/>
    <cellStyle name="60% - Accent3 7 2 2 2" xfId="9636" xr:uid="{00000000-0005-0000-0000-0000CB770000}"/>
    <cellStyle name="60% - Accent3 7 2 2 2 2" xfId="19876" xr:uid="{00000000-0005-0000-0000-0000CC770000}"/>
    <cellStyle name="60% - Accent3 7 2 2 2 2 2" xfId="40356" xr:uid="{00000000-0005-0000-0000-0000CD770000}"/>
    <cellStyle name="60% - Accent3 7 2 2 2 3" xfId="30116" xr:uid="{00000000-0005-0000-0000-0000CE770000}"/>
    <cellStyle name="60% - Accent3 7 2 2 3" xfId="14756" xr:uid="{00000000-0005-0000-0000-0000CF770000}"/>
    <cellStyle name="60% - Accent3 7 2 2 3 2" xfId="35236" xr:uid="{00000000-0005-0000-0000-0000D0770000}"/>
    <cellStyle name="60% - Accent3 7 2 2 4" xfId="24996" xr:uid="{00000000-0005-0000-0000-0000D1770000}"/>
    <cellStyle name="60% - Accent3 7 2 3" xfId="7076" xr:uid="{00000000-0005-0000-0000-0000D2770000}"/>
    <cellStyle name="60% - Accent3 7 2 3 2" xfId="17316" xr:uid="{00000000-0005-0000-0000-0000D3770000}"/>
    <cellStyle name="60% - Accent3 7 2 3 2 2" xfId="37796" xr:uid="{00000000-0005-0000-0000-0000D4770000}"/>
    <cellStyle name="60% - Accent3 7 2 3 3" xfId="27556" xr:uid="{00000000-0005-0000-0000-0000D5770000}"/>
    <cellStyle name="60% - Accent3 7 2 4" xfId="12196" xr:uid="{00000000-0005-0000-0000-0000D6770000}"/>
    <cellStyle name="60% - Accent3 7 2 4 2" xfId="32676" xr:uid="{00000000-0005-0000-0000-0000D7770000}"/>
    <cellStyle name="60% - Accent3 7 2 5" xfId="22436" xr:uid="{00000000-0005-0000-0000-0000D8770000}"/>
    <cellStyle name="60% - Accent3 7 3" xfId="3236" xr:uid="{00000000-0005-0000-0000-0000D9770000}"/>
    <cellStyle name="60% - Accent3 7 3 2" xfId="8356" xr:uid="{00000000-0005-0000-0000-0000DA770000}"/>
    <cellStyle name="60% - Accent3 7 3 2 2" xfId="18596" xr:uid="{00000000-0005-0000-0000-0000DB770000}"/>
    <cellStyle name="60% - Accent3 7 3 2 2 2" xfId="39076" xr:uid="{00000000-0005-0000-0000-0000DC770000}"/>
    <cellStyle name="60% - Accent3 7 3 2 3" xfId="28836" xr:uid="{00000000-0005-0000-0000-0000DD770000}"/>
    <cellStyle name="60% - Accent3 7 3 3" xfId="13476" xr:uid="{00000000-0005-0000-0000-0000DE770000}"/>
    <cellStyle name="60% - Accent3 7 3 3 2" xfId="33956" xr:uid="{00000000-0005-0000-0000-0000DF770000}"/>
    <cellStyle name="60% - Accent3 7 3 4" xfId="23716" xr:uid="{00000000-0005-0000-0000-0000E0770000}"/>
    <cellStyle name="60% - Accent3 7 4" xfId="5796" xr:uid="{00000000-0005-0000-0000-0000E1770000}"/>
    <cellStyle name="60% - Accent3 7 4 2" xfId="16036" xr:uid="{00000000-0005-0000-0000-0000E2770000}"/>
    <cellStyle name="60% - Accent3 7 4 2 2" xfId="36516" xr:uid="{00000000-0005-0000-0000-0000E3770000}"/>
    <cellStyle name="60% - Accent3 7 4 3" xfId="26276" xr:uid="{00000000-0005-0000-0000-0000E4770000}"/>
    <cellStyle name="60% - Accent3 7 5" xfId="10916" xr:uid="{00000000-0005-0000-0000-0000E5770000}"/>
    <cellStyle name="60% - Accent3 7 5 2" xfId="31396" xr:uid="{00000000-0005-0000-0000-0000E6770000}"/>
    <cellStyle name="60% - Accent3 7 6" xfId="21156" xr:uid="{00000000-0005-0000-0000-0000E7770000}"/>
    <cellStyle name="60% - Accent3 8" xfId="1316" xr:uid="{00000000-0005-0000-0000-0000E8770000}"/>
    <cellStyle name="60% - Accent3 8 2" xfId="3876" xr:uid="{00000000-0005-0000-0000-0000E9770000}"/>
    <cellStyle name="60% - Accent3 8 2 2" xfId="8996" xr:uid="{00000000-0005-0000-0000-0000EA770000}"/>
    <cellStyle name="60% - Accent3 8 2 2 2" xfId="19236" xr:uid="{00000000-0005-0000-0000-0000EB770000}"/>
    <cellStyle name="60% - Accent3 8 2 2 2 2" xfId="39716" xr:uid="{00000000-0005-0000-0000-0000EC770000}"/>
    <cellStyle name="60% - Accent3 8 2 2 3" xfId="29476" xr:uid="{00000000-0005-0000-0000-0000ED770000}"/>
    <cellStyle name="60% - Accent3 8 2 3" xfId="14116" xr:uid="{00000000-0005-0000-0000-0000EE770000}"/>
    <cellStyle name="60% - Accent3 8 2 3 2" xfId="34596" xr:uid="{00000000-0005-0000-0000-0000EF770000}"/>
    <cellStyle name="60% - Accent3 8 2 4" xfId="24356" xr:uid="{00000000-0005-0000-0000-0000F0770000}"/>
    <cellStyle name="60% - Accent3 8 3" xfId="6436" xr:uid="{00000000-0005-0000-0000-0000F1770000}"/>
    <cellStyle name="60% - Accent3 8 3 2" xfId="16676" xr:uid="{00000000-0005-0000-0000-0000F2770000}"/>
    <cellStyle name="60% - Accent3 8 3 2 2" xfId="37156" xr:uid="{00000000-0005-0000-0000-0000F3770000}"/>
    <cellStyle name="60% - Accent3 8 3 3" xfId="26916" xr:uid="{00000000-0005-0000-0000-0000F4770000}"/>
    <cellStyle name="60% - Accent3 8 4" xfId="11556" xr:uid="{00000000-0005-0000-0000-0000F5770000}"/>
    <cellStyle name="60% - Accent3 8 4 2" xfId="32036" xr:uid="{00000000-0005-0000-0000-0000F6770000}"/>
    <cellStyle name="60% - Accent3 8 5" xfId="21796" xr:uid="{00000000-0005-0000-0000-0000F7770000}"/>
    <cellStyle name="60% - Accent3 9" xfId="2596" xr:uid="{00000000-0005-0000-0000-0000F8770000}"/>
    <cellStyle name="60% - Accent3 9 2" xfId="7716" xr:uid="{00000000-0005-0000-0000-0000F9770000}"/>
    <cellStyle name="60% - Accent3 9 2 2" xfId="17956" xr:uid="{00000000-0005-0000-0000-0000FA770000}"/>
    <cellStyle name="60% - Accent3 9 2 2 2" xfId="38436" xr:uid="{00000000-0005-0000-0000-0000FB770000}"/>
    <cellStyle name="60% - Accent3 9 2 3" xfId="28196" xr:uid="{00000000-0005-0000-0000-0000FC770000}"/>
    <cellStyle name="60% - Accent3 9 3" xfId="12836" xr:uid="{00000000-0005-0000-0000-0000FD770000}"/>
    <cellStyle name="60% - Accent3 9 3 2" xfId="33316" xr:uid="{00000000-0005-0000-0000-0000FE770000}"/>
    <cellStyle name="60% - Accent3 9 4" xfId="23076" xr:uid="{00000000-0005-0000-0000-0000FF770000}"/>
    <cellStyle name="60% - Accent4 10" xfId="5159" xr:uid="{00000000-0005-0000-0000-000000780000}"/>
    <cellStyle name="60% - Accent4 10 2" xfId="15399" xr:uid="{00000000-0005-0000-0000-000001780000}"/>
    <cellStyle name="60% - Accent4 10 2 2" xfId="35879" xr:uid="{00000000-0005-0000-0000-000002780000}"/>
    <cellStyle name="60% - Accent4 10 3" xfId="25639" xr:uid="{00000000-0005-0000-0000-000003780000}"/>
    <cellStyle name="60% - Accent4 11" xfId="10279" xr:uid="{00000000-0005-0000-0000-000004780000}"/>
    <cellStyle name="60% - Accent4 11 2" xfId="30759" xr:uid="{00000000-0005-0000-0000-000005780000}"/>
    <cellStyle name="60% - Accent4 12" xfId="20519" xr:uid="{00000000-0005-0000-0000-000006780000}"/>
    <cellStyle name="60% - Accent4 13" xfId="37" xr:uid="{00000000-0005-0000-0000-000007780000}"/>
    <cellStyle name="60% - Accent4 2" xfId="59" xr:uid="{00000000-0005-0000-0000-000008780000}"/>
    <cellStyle name="60% - Accent4 2 10" xfId="10299" xr:uid="{00000000-0005-0000-0000-000009780000}"/>
    <cellStyle name="60% - Accent4 2 10 2" xfId="30779" xr:uid="{00000000-0005-0000-0000-00000A780000}"/>
    <cellStyle name="60% - Accent4 2 11" xfId="20539" xr:uid="{00000000-0005-0000-0000-00000B780000}"/>
    <cellStyle name="60% - Accent4 2 2" xfId="99" xr:uid="{00000000-0005-0000-0000-00000C780000}"/>
    <cellStyle name="60% - Accent4 2 2 10" xfId="20579" xr:uid="{00000000-0005-0000-0000-00000D780000}"/>
    <cellStyle name="60% - Accent4 2 2 2" xfId="179" xr:uid="{00000000-0005-0000-0000-00000E780000}"/>
    <cellStyle name="60% - Accent4 2 2 2 2" xfId="339" xr:uid="{00000000-0005-0000-0000-00000F780000}"/>
    <cellStyle name="60% - Accent4 2 2 2 2 2" xfId="659" xr:uid="{00000000-0005-0000-0000-000010780000}"/>
    <cellStyle name="60% - Accent4 2 2 2 2 2 2" xfId="1299" xr:uid="{00000000-0005-0000-0000-000011780000}"/>
    <cellStyle name="60% - Accent4 2 2 2 2 2 2 2" xfId="2579" xr:uid="{00000000-0005-0000-0000-000012780000}"/>
    <cellStyle name="60% - Accent4 2 2 2 2 2 2 2 2" xfId="5139" xr:uid="{00000000-0005-0000-0000-000013780000}"/>
    <cellStyle name="60% - Accent4 2 2 2 2 2 2 2 2 2" xfId="10259" xr:uid="{00000000-0005-0000-0000-000014780000}"/>
    <cellStyle name="60% - Accent4 2 2 2 2 2 2 2 2 2 2" xfId="20499" xr:uid="{00000000-0005-0000-0000-000015780000}"/>
    <cellStyle name="60% - Accent4 2 2 2 2 2 2 2 2 2 2 2" xfId="40979" xr:uid="{00000000-0005-0000-0000-000016780000}"/>
    <cellStyle name="60% - Accent4 2 2 2 2 2 2 2 2 2 3" xfId="30739" xr:uid="{00000000-0005-0000-0000-000017780000}"/>
    <cellStyle name="60% - Accent4 2 2 2 2 2 2 2 2 3" xfId="15379" xr:uid="{00000000-0005-0000-0000-000018780000}"/>
    <cellStyle name="60% - Accent4 2 2 2 2 2 2 2 2 3 2" xfId="35859" xr:uid="{00000000-0005-0000-0000-000019780000}"/>
    <cellStyle name="60% - Accent4 2 2 2 2 2 2 2 2 4" xfId="25619" xr:uid="{00000000-0005-0000-0000-00001A780000}"/>
    <cellStyle name="60% - Accent4 2 2 2 2 2 2 2 3" xfId="7699" xr:uid="{00000000-0005-0000-0000-00001B780000}"/>
    <cellStyle name="60% - Accent4 2 2 2 2 2 2 2 3 2" xfId="17939" xr:uid="{00000000-0005-0000-0000-00001C780000}"/>
    <cellStyle name="60% - Accent4 2 2 2 2 2 2 2 3 2 2" xfId="38419" xr:uid="{00000000-0005-0000-0000-00001D780000}"/>
    <cellStyle name="60% - Accent4 2 2 2 2 2 2 2 3 3" xfId="28179" xr:uid="{00000000-0005-0000-0000-00001E780000}"/>
    <cellStyle name="60% - Accent4 2 2 2 2 2 2 2 4" xfId="12819" xr:uid="{00000000-0005-0000-0000-00001F780000}"/>
    <cellStyle name="60% - Accent4 2 2 2 2 2 2 2 4 2" xfId="33299" xr:uid="{00000000-0005-0000-0000-000020780000}"/>
    <cellStyle name="60% - Accent4 2 2 2 2 2 2 2 5" xfId="23059" xr:uid="{00000000-0005-0000-0000-000021780000}"/>
    <cellStyle name="60% - Accent4 2 2 2 2 2 2 3" xfId="3859" xr:uid="{00000000-0005-0000-0000-000022780000}"/>
    <cellStyle name="60% - Accent4 2 2 2 2 2 2 3 2" xfId="8979" xr:uid="{00000000-0005-0000-0000-000023780000}"/>
    <cellStyle name="60% - Accent4 2 2 2 2 2 2 3 2 2" xfId="19219" xr:uid="{00000000-0005-0000-0000-000024780000}"/>
    <cellStyle name="60% - Accent4 2 2 2 2 2 2 3 2 2 2" xfId="39699" xr:uid="{00000000-0005-0000-0000-000025780000}"/>
    <cellStyle name="60% - Accent4 2 2 2 2 2 2 3 2 3" xfId="29459" xr:uid="{00000000-0005-0000-0000-000026780000}"/>
    <cellStyle name="60% - Accent4 2 2 2 2 2 2 3 3" xfId="14099" xr:uid="{00000000-0005-0000-0000-000027780000}"/>
    <cellStyle name="60% - Accent4 2 2 2 2 2 2 3 3 2" xfId="34579" xr:uid="{00000000-0005-0000-0000-000028780000}"/>
    <cellStyle name="60% - Accent4 2 2 2 2 2 2 3 4" xfId="24339" xr:uid="{00000000-0005-0000-0000-000029780000}"/>
    <cellStyle name="60% - Accent4 2 2 2 2 2 2 4" xfId="6419" xr:uid="{00000000-0005-0000-0000-00002A780000}"/>
    <cellStyle name="60% - Accent4 2 2 2 2 2 2 4 2" xfId="16659" xr:uid="{00000000-0005-0000-0000-00002B780000}"/>
    <cellStyle name="60% - Accent4 2 2 2 2 2 2 4 2 2" xfId="37139" xr:uid="{00000000-0005-0000-0000-00002C780000}"/>
    <cellStyle name="60% - Accent4 2 2 2 2 2 2 4 3" xfId="26899" xr:uid="{00000000-0005-0000-0000-00002D780000}"/>
    <cellStyle name="60% - Accent4 2 2 2 2 2 2 5" xfId="11539" xr:uid="{00000000-0005-0000-0000-00002E780000}"/>
    <cellStyle name="60% - Accent4 2 2 2 2 2 2 5 2" xfId="32019" xr:uid="{00000000-0005-0000-0000-00002F780000}"/>
    <cellStyle name="60% - Accent4 2 2 2 2 2 2 6" xfId="21779" xr:uid="{00000000-0005-0000-0000-000030780000}"/>
    <cellStyle name="60% - Accent4 2 2 2 2 2 3" xfId="1939" xr:uid="{00000000-0005-0000-0000-000031780000}"/>
    <cellStyle name="60% - Accent4 2 2 2 2 2 3 2" xfId="4499" xr:uid="{00000000-0005-0000-0000-000032780000}"/>
    <cellStyle name="60% - Accent4 2 2 2 2 2 3 2 2" xfId="9619" xr:uid="{00000000-0005-0000-0000-000033780000}"/>
    <cellStyle name="60% - Accent4 2 2 2 2 2 3 2 2 2" xfId="19859" xr:uid="{00000000-0005-0000-0000-000034780000}"/>
    <cellStyle name="60% - Accent4 2 2 2 2 2 3 2 2 2 2" xfId="40339" xr:uid="{00000000-0005-0000-0000-000035780000}"/>
    <cellStyle name="60% - Accent4 2 2 2 2 2 3 2 2 3" xfId="30099" xr:uid="{00000000-0005-0000-0000-000036780000}"/>
    <cellStyle name="60% - Accent4 2 2 2 2 2 3 2 3" xfId="14739" xr:uid="{00000000-0005-0000-0000-000037780000}"/>
    <cellStyle name="60% - Accent4 2 2 2 2 2 3 2 3 2" xfId="35219" xr:uid="{00000000-0005-0000-0000-000038780000}"/>
    <cellStyle name="60% - Accent4 2 2 2 2 2 3 2 4" xfId="24979" xr:uid="{00000000-0005-0000-0000-000039780000}"/>
    <cellStyle name="60% - Accent4 2 2 2 2 2 3 3" xfId="7059" xr:uid="{00000000-0005-0000-0000-00003A780000}"/>
    <cellStyle name="60% - Accent4 2 2 2 2 2 3 3 2" xfId="17299" xr:uid="{00000000-0005-0000-0000-00003B780000}"/>
    <cellStyle name="60% - Accent4 2 2 2 2 2 3 3 2 2" xfId="37779" xr:uid="{00000000-0005-0000-0000-00003C780000}"/>
    <cellStyle name="60% - Accent4 2 2 2 2 2 3 3 3" xfId="27539" xr:uid="{00000000-0005-0000-0000-00003D780000}"/>
    <cellStyle name="60% - Accent4 2 2 2 2 2 3 4" xfId="12179" xr:uid="{00000000-0005-0000-0000-00003E780000}"/>
    <cellStyle name="60% - Accent4 2 2 2 2 2 3 4 2" xfId="32659" xr:uid="{00000000-0005-0000-0000-00003F780000}"/>
    <cellStyle name="60% - Accent4 2 2 2 2 2 3 5" xfId="22419" xr:uid="{00000000-0005-0000-0000-000040780000}"/>
    <cellStyle name="60% - Accent4 2 2 2 2 2 4" xfId="3219" xr:uid="{00000000-0005-0000-0000-000041780000}"/>
    <cellStyle name="60% - Accent4 2 2 2 2 2 4 2" xfId="8339" xr:uid="{00000000-0005-0000-0000-000042780000}"/>
    <cellStyle name="60% - Accent4 2 2 2 2 2 4 2 2" xfId="18579" xr:uid="{00000000-0005-0000-0000-000043780000}"/>
    <cellStyle name="60% - Accent4 2 2 2 2 2 4 2 2 2" xfId="39059" xr:uid="{00000000-0005-0000-0000-000044780000}"/>
    <cellStyle name="60% - Accent4 2 2 2 2 2 4 2 3" xfId="28819" xr:uid="{00000000-0005-0000-0000-000045780000}"/>
    <cellStyle name="60% - Accent4 2 2 2 2 2 4 3" xfId="13459" xr:uid="{00000000-0005-0000-0000-000046780000}"/>
    <cellStyle name="60% - Accent4 2 2 2 2 2 4 3 2" xfId="33939" xr:uid="{00000000-0005-0000-0000-000047780000}"/>
    <cellStyle name="60% - Accent4 2 2 2 2 2 4 4" xfId="23699" xr:uid="{00000000-0005-0000-0000-000048780000}"/>
    <cellStyle name="60% - Accent4 2 2 2 2 2 5" xfId="5779" xr:uid="{00000000-0005-0000-0000-000049780000}"/>
    <cellStyle name="60% - Accent4 2 2 2 2 2 5 2" xfId="16019" xr:uid="{00000000-0005-0000-0000-00004A780000}"/>
    <cellStyle name="60% - Accent4 2 2 2 2 2 5 2 2" xfId="36499" xr:uid="{00000000-0005-0000-0000-00004B780000}"/>
    <cellStyle name="60% - Accent4 2 2 2 2 2 5 3" xfId="26259" xr:uid="{00000000-0005-0000-0000-00004C780000}"/>
    <cellStyle name="60% - Accent4 2 2 2 2 2 6" xfId="10899" xr:uid="{00000000-0005-0000-0000-00004D780000}"/>
    <cellStyle name="60% - Accent4 2 2 2 2 2 6 2" xfId="31379" xr:uid="{00000000-0005-0000-0000-00004E780000}"/>
    <cellStyle name="60% - Accent4 2 2 2 2 2 7" xfId="21139" xr:uid="{00000000-0005-0000-0000-00004F780000}"/>
    <cellStyle name="60% - Accent4 2 2 2 2 3" xfId="979" xr:uid="{00000000-0005-0000-0000-000050780000}"/>
    <cellStyle name="60% - Accent4 2 2 2 2 3 2" xfId="2259" xr:uid="{00000000-0005-0000-0000-000051780000}"/>
    <cellStyle name="60% - Accent4 2 2 2 2 3 2 2" xfId="4819" xr:uid="{00000000-0005-0000-0000-000052780000}"/>
    <cellStyle name="60% - Accent4 2 2 2 2 3 2 2 2" xfId="9939" xr:uid="{00000000-0005-0000-0000-000053780000}"/>
    <cellStyle name="60% - Accent4 2 2 2 2 3 2 2 2 2" xfId="20179" xr:uid="{00000000-0005-0000-0000-000054780000}"/>
    <cellStyle name="60% - Accent4 2 2 2 2 3 2 2 2 2 2" xfId="40659" xr:uid="{00000000-0005-0000-0000-000055780000}"/>
    <cellStyle name="60% - Accent4 2 2 2 2 3 2 2 2 3" xfId="30419" xr:uid="{00000000-0005-0000-0000-000056780000}"/>
    <cellStyle name="60% - Accent4 2 2 2 2 3 2 2 3" xfId="15059" xr:uid="{00000000-0005-0000-0000-000057780000}"/>
    <cellStyle name="60% - Accent4 2 2 2 2 3 2 2 3 2" xfId="35539" xr:uid="{00000000-0005-0000-0000-000058780000}"/>
    <cellStyle name="60% - Accent4 2 2 2 2 3 2 2 4" xfId="25299" xr:uid="{00000000-0005-0000-0000-000059780000}"/>
    <cellStyle name="60% - Accent4 2 2 2 2 3 2 3" xfId="7379" xr:uid="{00000000-0005-0000-0000-00005A780000}"/>
    <cellStyle name="60% - Accent4 2 2 2 2 3 2 3 2" xfId="17619" xr:uid="{00000000-0005-0000-0000-00005B780000}"/>
    <cellStyle name="60% - Accent4 2 2 2 2 3 2 3 2 2" xfId="38099" xr:uid="{00000000-0005-0000-0000-00005C780000}"/>
    <cellStyle name="60% - Accent4 2 2 2 2 3 2 3 3" xfId="27859" xr:uid="{00000000-0005-0000-0000-00005D780000}"/>
    <cellStyle name="60% - Accent4 2 2 2 2 3 2 4" xfId="12499" xr:uid="{00000000-0005-0000-0000-00005E780000}"/>
    <cellStyle name="60% - Accent4 2 2 2 2 3 2 4 2" xfId="32979" xr:uid="{00000000-0005-0000-0000-00005F780000}"/>
    <cellStyle name="60% - Accent4 2 2 2 2 3 2 5" xfId="22739" xr:uid="{00000000-0005-0000-0000-000060780000}"/>
    <cellStyle name="60% - Accent4 2 2 2 2 3 3" xfId="3539" xr:uid="{00000000-0005-0000-0000-000061780000}"/>
    <cellStyle name="60% - Accent4 2 2 2 2 3 3 2" xfId="8659" xr:uid="{00000000-0005-0000-0000-000062780000}"/>
    <cellStyle name="60% - Accent4 2 2 2 2 3 3 2 2" xfId="18899" xr:uid="{00000000-0005-0000-0000-000063780000}"/>
    <cellStyle name="60% - Accent4 2 2 2 2 3 3 2 2 2" xfId="39379" xr:uid="{00000000-0005-0000-0000-000064780000}"/>
    <cellStyle name="60% - Accent4 2 2 2 2 3 3 2 3" xfId="29139" xr:uid="{00000000-0005-0000-0000-000065780000}"/>
    <cellStyle name="60% - Accent4 2 2 2 2 3 3 3" xfId="13779" xr:uid="{00000000-0005-0000-0000-000066780000}"/>
    <cellStyle name="60% - Accent4 2 2 2 2 3 3 3 2" xfId="34259" xr:uid="{00000000-0005-0000-0000-000067780000}"/>
    <cellStyle name="60% - Accent4 2 2 2 2 3 3 4" xfId="24019" xr:uid="{00000000-0005-0000-0000-000068780000}"/>
    <cellStyle name="60% - Accent4 2 2 2 2 3 4" xfId="6099" xr:uid="{00000000-0005-0000-0000-000069780000}"/>
    <cellStyle name="60% - Accent4 2 2 2 2 3 4 2" xfId="16339" xr:uid="{00000000-0005-0000-0000-00006A780000}"/>
    <cellStyle name="60% - Accent4 2 2 2 2 3 4 2 2" xfId="36819" xr:uid="{00000000-0005-0000-0000-00006B780000}"/>
    <cellStyle name="60% - Accent4 2 2 2 2 3 4 3" xfId="26579" xr:uid="{00000000-0005-0000-0000-00006C780000}"/>
    <cellStyle name="60% - Accent4 2 2 2 2 3 5" xfId="11219" xr:uid="{00000000-0005-0000-0000-00006D780000}"/>
    <cellStyle name="60% - Accent4 2 2 2 2 3 5 2" xfId="31699" xr:uid="{00000000-0005-0000-0000-00006E780000}"/>
    <cellStyle name="60% - Accent4 2 2 2 2 3 6" xfId="21459" xr:uid="{00000000-0005-0000-0000-00006F780000}"/>
    <cellStyle name="60% - Accent4 2 2 2 2 4" xfId="1619" xr:uid="{00000000-0005-0000-0000-000070780000}"/>
    <cellStyle name="60% - Accent4 2 2 2 2 4 2" xfId="4179" xr:uid="{00000000-0005-0000-0000-000071780000}"/>
    <cellStyle name="60% - Accent4 2 2 2 2 4 2 2" xfId="9299" xr:uid="{00000000-0005-0000-0000-000072780000}"/>
    <cellStyle name="60% - Accent4 2 2 2 2 4 2 2 2" xfId="19539" xr:uid="{00000000-0005-0000-0000-000073780000}"/>
    <cellStyle name="60% - Accent4 2 2 2 2 4 2 2 2 2" xfId="40019" xr:uid="{00000000-0005-0000-0000-000074780000}"/>
    <cellStyle name="60% - Accent4 2 2 2 2 4 2 2 3" xfId="29779" xr:uid="{00000000-0005-0000-0000-000075780000}"/>
    <cellStyle name="60% - Accent4 2 2 2 2 4 2 3" xfId="14419" xr:uid="{00000000-0005-0000-0000-000076780000}"/>
    <cellStyle name="60% - Accent4 2 2 2 2 4 2 3 2" xfId="34899" xr:uid="{00000000-0005-0000-0000-000077780000}"/>
    <cellStyle name="60% - Accent4 2 2 2 2 4 2 4" xfId="24659" xr:uid="{00000000-0005-0000-0000-000078780000}"/>
    <cellStyle name="60% - Accent4 2 2 2 2 4 3" xfId="6739" xr:uid="{00000000-0005-0000-0000-000079780000}"/>
    <cellStyle name="60% - Accent4 2 2 2 2 4 3 2" xfId="16979" xr:uid="{00000000-0005-0000-0000-00007A780000}"/>
    <cellStyle name="60% - Accent4 2 2 2 2 4 3 2 2" xfId="37459" xr:uid="{00000000-0005-0000-0000-00007B780000}"/>
    <cellStyle name="60% - Accent4 2 2 2 2 4 3 3" xfId="27219" xr:uid="{00000000-0005-0000-0000-00007C780000}"/>
    <cellStyle name="60% - Accent4 2 2 2 2 4 4" xfId="11859" xr:uid="{00000000-0005-0000-0000-00007D780000}"/>
    <cellStyle name="60% - Accent4 2 2 2 2 4 4 2" xfId="32339" xr:uid="{00000000-0005-0000-0000-00007E780000}"/>
    <cellStyle name="60% - Accent4 2 2 2 2 4 5" xfId="22099" xr:uid="{00000000-0005-0000-0000-00007F780000}"/>
    <cellStyle name="60% - Accent4 2 2 2 2 5" xfId="2899" xr:uid="{00000000-0005-0000-0000-000080780000}"/>
    <cellStyle name="60% - Accent4 2 2 2 2 5 2" xfId="8019" xr:uid="{00000000-0005-0000-0000-000081780000}"/>
    <cellStyle name="60% - Accent4 2 2 2 2 5 2 2" xfId="18259" xr:uid="{00000000-0005-0000-0000-000082780000}"/>
    <cellStyle name="60% - Accent4 2 2 2 2 5 2 2 2" xfId="38739" xr:uid="{00000000-0005-0000-0000-000083780000}"/>
    <cellStyle name="60% - Accent4 2 2 2 2 5 2 3" xfId="28499" xr:uid="{00000000-0005-0000-0000-000084780000}"/>
    <cellStyle name="60% - Accent4 2 2 2 2 5 3" xfId="13139" xr:uid="{00000000-0005-0000-0000-000085780000}"/>
    <cellStyle name="60% - Accent4 2 2 2 2 5 3 2" xfId="33619" xr:uid="{00000000-0005-0000-0000-000086780000}"/>
    <cellStyle name="60% - Accent4 2 2 2 2 5 4" xfId="23379" xr:uid="{00000000-0005-0000-0000-000087780000}"/>
    <cellStyle name="60% - Accent4 2 2 2 2 6" xfId="5459" xr:uid="{00000000-0005-0000-0000-000088780000}"/>
    <cellStyle name="60% - Accent4 2 2 2 2 6 2" xfId="15699" xr:uid="{00000000-0005-0000-0000-000089780000}"/>
    <cellStyle name="60% - Accent4 2 2 2 2 6 2 2" xfId="36179" xr:uid="{00000000-0005-0000-0000-00008A780000}"/>
    <cellStyle name="60% - Accent4 2 2 2 2 6 3" xfId="25939" xr:uid="{00000000-0005-0000-0000-00008B780000}"/>
    <cellStyle name="60% - Accent4 2 2 2 2 7" xfId="10579" xr:uid="{00000000-0005-0000-0000-00008C780000}"/>
    <cellStyle name="60% - Accent4 2 2 2 2 7 2" xfId="31059" xr:uid="{00000000-0005-0000-0000-00008D780000}"/>
    <cellStyle name="60% - Accent4 2 2 2 2 8" xfId="20819" xr:uid="{00000000-0005-0000-0000-00008E780000}"/>
    <cellStyle name="60% - Accent4 2 2 2 3" xfId="499" xr:uid="{00000000-0005-0000-0000-00008F780000}"/>
    <cellStyle name="60% - Accent4 2 2 2 3 2" xfId="1139" xr:uid="{00000000-0005-0000-0000-000090780000}"/>
    <cellStyle name="60% - Accent4 2 2 2 3 2 2" xfId="2419" xr:uid="{00000000-0005-0000-0000-000091780000}"/>
    <cellStyle name="60% - Accent4 2 2 2 3 2 2 2" xfId="4979" xr:uid="{00000000-0005-0000-0000-000092780000}"/>
    <cellStyle name="60% - Accent4 2 2 2 3 2 2 2 2" xfId="10099" xr:uid="{00000000-0005-0000-0000-000093780000}"/>
    <cellStyle name="60% - Accent4 2 2 2 3 2 2 2 2 2" xfId="20339" xr:uid="{00000000-0005-0000-0000-000094780000}"/>
    <cellStyle name="60% - Accent4 2 2 2 3 2 2 2 2 2 2" xfId="40819" xr:uid="{00000000-0005-0000-0000-000095780000}"/>
    <cellStyle name="60% - Accent4 2 2 2 3 2 2 2 2 3" xfId="30579" xr:uid="{00000000-0005-0000-0000-000096780000}"/>
    <cellStyle name="60% - Accent4 2 2 2 3 2 2 2 3" xfId="15219" xr:uid="{00000000-0005-0000-0000-000097780000}"/>
    <cellStyle name="60% - Accent4 2 2 2 3 2 2 2 3 2" xfId="35699" xr:uid="{00000000-0005-0000-0000-000098780000}"/>
    <cellStyle name="60% - Accent4 2 2 2 3 2 2 2 4" xfId="25459" xr:uid="{00000000-0005-0000-0000-000099780000}"/>
    <cellStyle name="60% - Accent4 2 2 2 3 2 2 3" xfId="7539" xr:uid="{00000000-0005-0000-0000-00009A780000}"/>
    <cellStyle name="60% - Accent4 2 2 2 3 2 2 3 2" xfId="17779" xr:uid="{00000000-0005-0000-0000-00009B780000}"/>
    <cellStyle name="60% - Accent4 2 2 2 3 2 2 3 2 2" xfId="38259" xr:uid="{00000000-0005-0000-0000-00009C780000}"/>
    <cellStyle name="60% - Accent4 2 2 2 3 2 2 3 3" xfId="28019" xr:uid="{00000000-0005-0000-0000-00009D780000}"/>
    <cellStyle name="60% - Accent4 2 2 2 3 2 2 4" xfId="12659" xr:uid="{00000000-0005-0000-0000-00009E780000}"/>
    <cellStyle name="60% - Accent4 2 2 2 3 2 2 4 2" xfId="33139" xr:uid="{00000000-0005-0000-0000-00009F780000}"/>
    <cellStyle name="60% - Accent4 2 2 2 3 2 2 5" xfId="22899" xr:uid="{00000000-0005-0000-0000-0000A0780000}"/>
    <cellStyle name="60% - Accent4 2 2 2 3 2 3" xfId="3699" xr:uid="{00000000-0005-0000-0000-0000A1780000}"/>
    <cellStyle name="60% - Accent4 2 2 2 3 2 3 2" xfId="8819" xr:uid="{00000000-0005-0000-0000-0000A2780000}"/>
    <cellStyle name="60% - Accent4 2 2 2 3 2 3 2 2" xfId="19059" xr:uid="{00000000-0005-0000-0000-0000A3780000}"/>
    <cellStyle name="60% - Accent4 2 2 2 3 2 3 2 2 2" xfId="39539" xr:uid="{00000000-0005-0000-0000-0000A4780000}"/>
    <cellStyle name="60% - Accent4 2 2 2 3 2 3 2 3" xfId="29299" xr:uid="{00000000-0005-0000-0000-0000A5780000}"/>
    <cellStyle name="60% - Accent4 2 2 2 3 2 3 3" xfId="13939" xr:uid="{00000000-0005-0000-0000-0000A6780000}"/>
    <cellStyle name="60% - Accent4 2 2 2 3 2 3 3 2" xfId="34419" xr:uid="{00000000-0005-0000-0000-0000A7780000}"/>
    <cellStyle name="60% - Accent4 2 2 2 3 2 3 4" xfId="24179" xr:uid="{00000000-0005-0000-0000-0000A8780000}"/>
    <cellStyle name="60% - Accent4 2 2 2 3 2 4" xfId="6259" xr:uid="{00000000-0005-0000-0000-0000A9780000}"/>
    <cellStyle name="60% - Accent4 2 2 2 3 2 4 2" xfId="16499" xr:uid="{00000000-0005-0000-0000-0000AA780000}"/>
    <cellStyle name="60% - Accent4 2 2 2 3 2 4 2 2" xfId="36979" xr:uid="{00000000-0005-0000-0000-0000AB780000}"/>
    <cellStyle name="60% - Accent4 2 2 2 3 2 4 3" xfId="26739" xr:uid="{00000000-0005-0000-0000-0000AC780000}"/>
    <cellStyle name="60% - Accent4 2 2 2 3 2 5" xfId="11379" xr:uid="{00000000-0005-0000-0000-0000AD780000}"/>
    <cellStyle name="60% - Accent4 2 2 2 3 2 5 2" xfId="31859" xr:uid="{00000000-0005-0000-0000-0000AE780000}"/>
    <cellStyle name="60% - Accent4 2 2 2 3 2 6" xfId="21619" xr:uid="{00000000-0005-0000-0000-0000AF780000}"/>
    <cellStyle name="60% - Accent4 2 2 2 3 3" xfId="1779" xr:uid="{00000000-0005-0000-0000-0000B0780000}"/>
    <cellStyle name="60% - Accent4 2 2 2 3 3 2" xfId="4339" xr:uid="{00000000-0005-0000-0000-0000B1780000}"/>
    <cellStyle name="60% - Accent4 2 2 2 3 3 2 2" xfId="9459" xr:uid="{00000000-0005-0000-0000-0000B2780000}"/>
    <cellStyle name="60% - Accent4 2 2 2 3 3 2 2 2" xfId="19699" xr:uid="{00000000-0005-0000-0000-0000B3780000}"/>
    <cellStyle name="60% - Accent4 2 2 2 3 3 2 2 2 2" xfId="40179" xr:uid="{00000000-0005-0000-0000-0000B4780000}"/>
    <cellStyle name="60% - Accent4 2 2 2 3 3 2 2 3" xfId="29939" xr:uid="{00000000-0005-0000-0000-0000B5780000}"/>
    <cellStyle name="60% - Accent4 2 2 2 3 3 2 3" xfId="14579" xr:uid="{00000000-0005-0000-0000-0000B6780000}"/>
    <cellStyle name="60% - Accent4 2 2 2 3 3 2 3 2" xfId="35059" xr:uid="{00000000-0005-0000-0000-0000B7780000}"/>
    <cellStyle name="60% - Accent4 2 2 2 3 3 2 4" xfId="24819" xr:uid="{00000000-0005-0000-0000-0000B8780000}"/>
    <cellStyle name="60% - Accent4 2 2 2 3 3 3" xfId="6899" xr:uid="{00000000-0005-0000-0000-0000B9780000}"/>
    <cellStyle name="60% - Accent4 2 2 2 3 3 3 2" xfId="17139" xr:uid="{00000000-0005-0000-0000-0000BA780000}"/>
    <cellStyle name="60% - Accent4 2 2 2 3 3 3 2 2" xfId="37619" xr:uid="{00000000-0005-0000-0000-0000BB780000}"/>
    <cellStyle name="60% - Accent4 2 2 2 3 3 3 3" xfId="27379" xr:uid="{00000000-0005-0000-0000-0000BC780000}"/>
    <cellStyle name="60% - Accent4 2 2 2 3 3 4" xfId="12019" xr:uid="{00000000-0005-0000-0000-0000BD780000}"/>
    <cellStyle name="60% - Accent4 2 2 2 3 3 4 2" xfId="32499" xr:uid="{00000000-0005-0000-0000-0000BE780000}"/>
    <cellStyle name="60% - Accent4 2 2 2 3 3 5" xfId="22259" xr:uid="{00000000-0005-0000-0000-0000BF780000}"/>
    <cellStyle name="60% - Accent4 2 2 2 3 4" xfId="3059" xr:uid="{00000000-0005-0000-0000-0000C0780000}"/>
    <cellStyle name="60% - Accent4 2 2 2 3 4 2" xfId="8179" xr:uid="{00000000-0005-0000-0000-0000C1780000}"/>
    <cellStyle name="60% - Accent4 2 2 2 3 4 2 2" xfId="18419" xr:uid="{00000000-0005-0000-0000-0000C2780000}"/>
    <cellStyle name="60% - Accent4 2 2 2 3 4 2 2 2" xfId="38899" xr:uid="{00000000-0005-0000-0000-0000C3780000}"/>
    <cellStyle name="60% - Accent4 2 2 2 3 4 2 3" xfId="28659" xr:uid="{00000000-0005-0000-0000-0000C4780000}"/>
    <cellStyle name="60% - Accent4 2 2 2 3 4 3" xfId="13299" xr:uid="{00000000-0005-0000-0000-0000C5780000}"/>
    <cellStyle name="60% - Accent4 2 2 2 3 4 3 2" xfId="33779" xr:uid="{00000000-0005-0000-0000-0000C6780000}"/>
    <cellStyle name="60% - Accent4 2 2 2 3 4 4" xfId="23539" xr:uid="{00000000-0005-0000-0000-0000C7780000}"/>
    <cellStyle name="60% - Accent4 2 2 2 3 5" xfId="5619" xr:uid="{00000000-0005-0000-0000-0000C8780000}"/>
    <cellStyle name="60% - Accent4 2 2 2 3 5 2" xfId="15859" xr:uid="{00000000-0005-0000-0000-0000C9780000}"/>
    <cellStyle name="60% - Accent4 2 2 2 3 5 2 2" xfId="36339" xr:uid="{00000000-0005-0000-0000-0000CA780000}"/>
    <cellStyle name="60% - Accent4 2 2 2 3 5 3" xfId="26099" xr:uid="{00000000-0005-0000-0000-0000CB780000}"/>
    <cellStyle name="60% - Accent4 2 2 2 3 6" xfId="10739" xr:uid="{00000000-0005-0000-0000-0000CC780000}"/>
    <cellStyle name="60% - Accent4 2 2 2 3 6 2" xfId="31219" xr:uid="{00000000-0005-0000-0000-0000CD780000}"/>
    <cellStyle name="60% - Accent4 2 2 2 3 7" xfId="20979" xr:uid="{00000000-0005-0000-0000-0000CE780000}"/>
    <cellStyle name="60% - Accent4 2 2 2 4" xfId="819" xr:uid="{00000000-0005-0000-0000-0000CF780000}"/>
    <cellStyle name="60% - Accent4 2 2 2 4 2" xfId="2099" xr:uid="{00000000-0005-0000-0000-0000D0780000}"/>
    <cellStyle name="60% - Accent4 2 2 2 4 2 2" xfId="4659" xr:uid="{00000000-0005-0000-0000-0000D1780000}"/>
    <cellStyle name="60% - Accent4 2 2 2 4 2 2 2" xfId="9779" xr:uid="{00000000-0005-0000-0000-0000D2780000}"/>
    <cellStyle name="60% - Accent4 2 2 2 4 2 2 2 2" xfId="20019" xr:uid="{00000000-0005-0000-0000-0000D3780000}"/>
    <cellStyle name="60% - Accent4 2 2 2 4 2 2 2 2 2" xfId="40499" xr:uid="{00000000-0005-0000-0000-0000D4780000}"/>
    <cellStyle name="60% - Accent4 2 2 2 4 2 2 2 3" xfId="30259" xr:uid="{00000000-0005-0000-0000-0000D5780000}"/>
    <cellStyle name="60% - Accent4 2 2 2 4 2 2 3" xfId="14899" xr:uid="{00000000-0005-0000-0000-0000D6780000}"/>
    <cellStyle name="60% - Accent4 2 2 2 4 2 2 3 2" xfId="35379" xr:uid="{00000000-0005-0000-0000-0000D7780000}"/>
    <cellStyle name="60% - Accent4 2 2 2 4 2 2 4" xfId="25139" xr:uid="{00000000-0005-0000-0000-0000D8780000}"/>
    <cellStyle name="60% - Accent4 2 2 2 4 2 3" xfId="7219" xr:uid="{00000000-0005-0000-0000-0000D9780000}"/>
    <cellStyle name="60% - Accent4 2 2 2 4 2 3 2" xfId="17459" xr:uid="{00000000-0005-0000-0000-0000DA780000}"/>
    <cellStyle name="60% - Accent4 2 2 2 4 2 3 2 2" xfId="37939" xr:uid="{00000000-0005-0000-0000-0000DB780000}"/>
    <cellStyle name="60% - Accent4 2 2 2 4 2 3 3" xfId="27699" xr:uid="{00000000-0005-0000-0000-0000DC780000}"/>
    <cellStyle name="60% - Accent4 2 2 2 4 2 4" xfId="12339" xr:uid="{00000000-0005-0000-0000-0000DD780000}"/>
    <cellStyle name="60% - Accent4 2 2 2 4 2 4 2" xfId="32819" xr:uid="{00000000-0005-0000-0000-0000DE780000}"/>
    <cellStyle name="60% - Accent4 2 2 2 4 2 5" xfId="22579" xr:uid="{00000000-0005-0000-0000-0000DF780000}"/>
    <cellStyle name="60% - Accent4 2 2 2 4 3" xfId="3379" xr:uid="{00000000-0005-0000-0000-0000E0780000}"/>
    <cellStyle name="60% - Accent4 2 2 2 4 3 2" xfId="8499" xr:uid="{00000000-0005-0000-0000-0000E1780000}"/>
    <cellStyle name="60% - Accent4 2 2 2 4 3 2 2" xfId="18739" xr:uid="{00000000-0005-0000-0000-0000E2780000}"/>
    <cellStyle name="60% - Accent4 2 2 2 4 3 2 2 2" xfId="39219" xr:uid="{00000000-0005-0000-0000-0000E3780000}"/>
    <cellStyle name="60% - Accent4 2 2 2 4 3 2 3" xfId="28979" xr:uid="{00000000-0005-0000-0000-0000E4780000}"/>
    <cellStyle name="60% - Accent4 2 2 2 4 3 3" xfId="13619" xr:uid="{00000000-0005-0000-0000-0000E5780000}"/>
    <cellStyle name="60% - Accent4 2 2 2 4 3 3 2" xfId="34099" xr:uid="{00000000-0005-0000-0000-0000E6780000}"/>
    <cellStyle name="60% - Accent4 2 2 2 4 3 4" xfId="23859" xr:uid="{00000000-0005-0000-0000-0000E7780000}"/>
    <cellStyle name="60% - Accent4 2 2 2 4 4" xfId="5939" xr:uid="{00000000-0005-0000-0000-0000E8780000}"/>
    <cellStyle name="60% - Accent4 2 2 2 4 4 2" xfId="16179" xr:uid="{00000000-0005-0000-0000-0000E9780000}"/>
    <cellStyle name="60% - Accent4 2 2 2 4 4 2 2" xfId="36659" xr:uid="{00000000-0005-0000-0000-0000EA780000}"/>
    <cellStyle name="60% - Accent4 2 2 2 4 4 3" xfId="26419" xr:uid="{00000000-0005-0000-0000-0000EB780000}"/>
    <cellStyle name="60% - Accent4 2 2 2 4 5" xfId="11059" xr:uid="{00000000-0005-0000-0000-0000EC780000}"/>
    <cellStyle name="60% - Accent4 2 2 2 4 5 2" xfId="31539" xr:uid="{00000000-0005-0000-0000-0000ED780000}"/>
    <cellStyle name="60% - Accent4 2 2 2 4 6" xfId="21299" xr:uid="{00000000-0005-0000-0000-0000EE780000}"/>
    <cellStyle name="60% - Accent4 2 2 2 5" xfId="1459" xr:uid="{00000000-0005-0000-0000-0000EF780000}"/>
    <cellStyle name="60% - Accent4 2 2 2 5 2" xfId="4019" xr:uid="{00000000-0005-0000-0000-0000F0780000}"/>
    <cellStyle name="60% - Accent4 2 2 2 5 2 2" xfId="9139" xr:uid="{00000000-0005-0000-0000-0000F1780000}"/>
    <cellStyle name="60% - Accent4 2 2 2 5 2 2 2" xfId="19379" xr:uid="{00000000-0005-0000-0000-0000F2780000}"/>
    <cellStyle name="60% - Accent4 2 2 2 5 2 2 2 2" xfId="39859" xr:uid="{00000000-0005-0000-0000-0000F3780000}"/>
    <cellStyle name="60% - Accent4 2 2 2 5 2 2 3" xfId="29619" xr:uid="{00000000-0005-0000-0000-0000F4780000}"/>
    <cellStyle name="60% - Accent4 2 2 2 5 2 3" xfId="14259" xr:uid="{00000000-0005-0000-0000-0000F5780000}"/>
    <cellStyle name="60% - Accent4 2 2 2 5 2 3 2" xfId="34739" xr:uid="{00000000-0005-0000-0000-0000F6780000}"/>
    <cellStyle name="60% - Accent4 2 2 2 5 2 4" xfId="24499" xr:uid="{00000000-0005-0000-0000-0000F7780000}"/>
    <cellStyle name="60% - Accent4 2 2 2 5 3" xfId="6579" xr:uid="{00000000-0005-0000-0000-0000F8780000}"/>
    <cellStyle name="60% - Accent4 2 2 2 5 3 2" xfId="16819" xr:uid="{00000000-0005-0000-0000-0000F9780000}"/>
    <cellStyle name="60% - Accent4 2 2 2 5 3 2 2" xfId="37299" xr:uid="{00000000-0005-0000-0000-0000FA780000}"/>
    <cellStyle name="60% - Accent4 2 2 2 5 3 3" xfId="27059" xr:uid="{00000000-0005-0000-0000-0000FB780000}"/>
    <cellStyle name="60% - Accent4 2 2 2 5 4" xfId="11699" xr:uid="{00000000-0005-0000-0000-0000FC780000}"/>
    <cellStyle name="60% - Accent4 2 2 2 5 4 2" xfId="32179" xr:uid="{00000000-0005-0000-0000-0000FD780000}"/>
    <cellStyle name="60% - Accent4 2 2 2 5 5" xfId="21939" xr:uid="{00000000-0005-0000-0000-0000FE780000}"/>
    <cellStyle name="60% - Accent4 2 2 2 6" xfId="2739" xr:uid="{00000000-0005-0000-0000-0000FF780000}"/>
    <cellStyle name="60% - Accent4 2 2 2 6 2" xfId="7859" xr:uid="{00000000-0005-0000-0000-000000790000}"/>
    <cellStyle name="60% - Accent4 2 2 2 6 2 2" xfId="18099" xr:uid="{00000000-0005-0000-0000-000001790000}"/>
    <cellStyle name="60% - Accent4 2 2 2 6 2 2 2" xfId="38579" xr:uid="{00000000-0005-0000-0000-000002790000}"/>
    <cellStyle name="60% - Accent4 2 2 2 6 2 3" xfId="28339" xr:uid="{00000000-0005-0000-0000-000003790000}"/>
    <cellStyle name="60% - Accent4 2 2 2 6 3" xfId="12979" xr:uid="{00000000-0005-0000-0000-000004790000}"/>
    <cellStyle name="60% - Accent4 2 2 2 6 3 2" xfId="33459" xr:uid="{00000000-0005-0000-0000-000005790000}"/>
    <cellStyle name="60% - Accent4 2 2 2 6 4" xfId="23219" xr:uid="{00000000-0005-0000-0000-000006790000}"/>
    <cellStyle name="60% - Accent4 2 2 2 7" xfId="5299" xr:uid="{00000000-0005-0000-0000-000007790000}"/>
    <cellStyle name="60% - Accent4 2 2 2 7 2" xfId="15539" xr:uid="{00000000-0005-0000-0000-000008790000}"/>
    <cellStyle name="60% - Accent4 2 2 2 7 2 2" xfId="36019" xr:uid="{00000000-0005-0000-0000-000009790000}"/>
    <cellStyle name="60% - Accent4 2 2 2 7 3" xfId="25779" xr:uid="{00000000-0005-0000-0000-00000A790000}"/>
    <cellStyle name="60% - Accent4 2 2 2 8" xfId="10419" xr:uid="{00000000-0005-0000-0000-00000B790000}"/>
    <cellStyle name="60% - Accent4 2 2 2 8 2" xfId="30899" xr:uid="{00000000-0005-0000-0000-00000C790000}"/>
    <cellStyle name="60% - Accent4 2 2 2 9" xfId="20659" xr:uid="{00000000-0005-0000-0000-00000D790000}"/>
    <cellStyle name="60% - Accent4 2 2 3" xfId="259" xr:uid="{00000000-0005-0000-0000-00000E790000}"/>
    <cellStyle name="60% - Accent4 2 2 3 2" xfId="579" xr:uid="{00000000-0005-0000-0000-00000F790000}"/>
    <cellStyle name="60% - Accent4 2 2 3 2 2" xfId="1219" xr:uid="{00000000-0005-0000-0000-000010790000}"/>
    <cellStyle name="60% - Accent4 2 2 3 2 2 2" xfId="2499" xr:uid="{00000000-0005-0000-0000-000011790000}"/>
    <cellStyle name="60% - Accent4 2 2 3 2 2 2 2" xfId="5059" xr:uid="{00000000-0005-0000-0000-000012790000}"/>
    <cellStyle name="60% - Accent4 2 2 3 2 2 2 2 2" xfId="10179" xr:uid="{00000000-0005-0000-0000-000013790000}"/>
    <cellStyle name="60% - Accent4 2 2 3 2 2 2 2 2 2" xfId="20419" xr:uid="{00000000-0005-0000-0000-000014790000}"/>
    <cellStyle name="60% - Accent4 2 2 3 2 2 2 2 2 2 2" xfId="40899" xr:uid="{00000000-0005-0000-0000-000015790000}"/>
    <cellStyle name="60% - Accent4 2 2 3 2 2 2 2 2 3" xfId="30659" xr:uid="{00000000-0005-0000-0000-000016790000}"/>
    <cellStyle name="60% - Accent4 2 2 3 2 2 2 2 3" xfId="15299" xr:uid="{00000000-0005-0000-0000-000017790000}"/>
    <cellStyle name="60% - Accent4 2 2 3 2 2 2 2 3 2" xfId="35779" xr:uid="{00000000-0005-0000-0000-000018790000}"/>
    <cellStyle name="60% - Accent4 2 2 3 2 2 2 2 4" xfId="25539" xr:uid="{00000000-0005-0000-0000-000019790000}"/>
    <cellStyle name="60% - Accent4 2 2 3 2 2 2 3" xfId="7619" xr:uid="{00000000-0005-0000-0000-00001A790000}"/>
    <cellStyle name="60% - Accent4 2 2 3 2 2 2 3 2" xfId="17859" xr:uid="{00000000-0005-0000-0000-00001B790000}"/>
    <cellStyle name="60% - Accent4 2 2 3 2 2 2 3 2 2" xfId="38339" xr:uid="{00000000-0005-0000-0000-00001C790000}"/>
    <cellStyle name="60% - Accent4 2 2 3 2 2 2 3 3" xfId="28099" xr:uid="{00000000-0005-0000-0000-00001D790000}"/>
    <cellStyle name="60% - Accent4 2 2 3 2 2 2 4" xfId="12739" xr:uid="{00000000-0005-0000-0000-00001E790000}"/>
    <cellStyle name="60% - Accent4 2 2 3 2 2 2 4 2" xfId="33219" xr:uid="{00000000-0005-0000-0000-00001F790000}"/>
    <cellStyle name="60% - Accent4 2 2 3 2 2 2 5" xfId="22979" xr:uid="{00000000-0005-0000-0000-000020790000}"/>
    <cellStyle name="60% - Accent4 2 2 3 2 2 3" xfId="3779" xr:uid="{00000000-0005-0000-0000-000021790000}"/>
    <cellStyle name="60% - Accent4 2 2 3 2 2 3 2" xfId="8899" xr:uid="{00000000-0005-0000-0000-000022790000}"/>
    <cellStyle name="60% - Accent4 2 2 3 2 2 3 2 2" xfId="19139" xr:uid="{00000000-0005-0000-0000-000023790000}"/>
    <cellStyle name="60% - Accent4 2 2 3 2 2 3 2 2 2" xfId="39619" xr:uid="{00000000-0005-0000-0000-000024790000}"/>
    <cellStyle name="60% - Accent4 2 2 3 2 2 3 2 3" xfId="29379" xr:uid="{00000000-0005-0000-0000-000025790000}"/>
    <cellStyle name="60% - Accent4 2 2 3 2 2 3 3" xfId="14019" xr:uid="{00000000-0005-0000-0000-000026790000}"/>
    <cellStyle name="60% - Accent4 2 2 3 2 2 3 3 2" xfId="34499" xr:uid="{00000000-0005-0000-0000-000027790000}"/>
    <cellStyle name="60% - Accent4 2 2 3 2 2 3 4" xfId="24259" xr:uid="{00000000-0005-0000-0000-000028790000}"/>
    <cellStyle name="60% - Accent4 2 2 3 2 2 4" xfId="6339" xr:uid="{00000000-0005-0000-0000-000029790000}"/>
    <cellStyle name="60% - Accent4 2 2 3 2 2 4 2" xfId="16579" xr:uid="{00000000-0005-0000-0000-00002A790000}"/>
    <cellStyle name="60% - Accent4 2 2 3 2 2 4 2 2" xfId="37059" xr:uid="{00000000-0005-0000-0000-00002B790000}"/>
    <cellStyle name="60% - Accent4 2 2 3 2 2 4 3" xfId="26819" xr:uid="{00000000-0005-0000-0000-00002C790000}"/>
    <cellStyle name="60% - Accent4 2 2 3 2 2 5" xfId="11459" xr:uid="{00000000-0005-0000-0000-00002D790000}"/>
    <cellStyle name="60% - Accent4 2 2 3 2 2 5 2" xfId="31939" xr:uid="{00000000-0005-0000-0000-00002E790000}"/>
    <cellStyle name="60% - Accent4 2 2 3 2 2 6" xfId="21699" xr:uid="{00000000-0005-0000-0000-00002F790000}"/>
    <cellStyle name="60% - Accent4 2 2 3 2 3" xfId="1859" xr:uid="{00000000-0005-0000-0000-000030790000}"/>
    <cellStyle name="60% - Accent4 2 2 3 2 3 2" xfId="4419" xr:uid="{00000000-0005-0000-0000-000031790000}"/>
    <cellStyle name="60% - Accent4 2 2 3 2 3 2 2" xfId="9539" xr:uid="{00000000-0005-0000-0000-000032790000}"/>
    <cellStyle name="60% - Accent4 2 2 3 2 3 2 2 2" xfId="19779" xr:uid="{00000000-0005-0000-0000-000033790000}"/>
    <cellStyle name="60% - Accent4 2 2 3 2 3 2 2 2 2" xfId="40259" xr:uid="{00000000-0005-0000-0000-000034790000}"/>
    <cellStyle name="60% - Accent4 2 2 3 2 3 2 2 3" xfId="30019" xr:uid="{00000000-0005-0000-0000-000035790000}"/>
    <cellStyle name="60% - Accent4 2 2 3 2 3 2 3" xfId="14659" xr:uid="{00000000-0005-0000-0000-000036790000}"/>
    <cellStyle name="60% - Accent4 2 2 3 2 3 2 3 2" xfId="35139" xr:uid="{00000000-0005-0000-0000-000037790000}"/>
    <cellStyle name="60% - Accent4 2 2 3 2 3 2 4" xfId="24899" xr:uid="{00000000-0005-0000-0000-000038790000}"/>
    <cellStyle name="60% - Accent4 2 2 3 2 3 3" xfId="6979" xr:uid="{00000000-0005-0000-0000-000039790000}"/>
    <cellStyle name="60% - Accent4 2 2 3 2 3 3 2" xfId="17219" xr:uid="{00000000-0005-0000-0000-00003A790000}"/>
    <cellStyle name="60% - Accent4 2 2 3 2 3 3 2 2" xfId="37699" xr:uid="{00000000-0005-0000-0000-00003B790000}"/>
    <cellStyle name="60% - Accent4 2 2 3 2 3 3 3" xfId="27459" xr:uid="{00000000-0005-0000-0000-00003C790000}"/>
    <cellStyle name="60% - Accent4 2 2 3 2 3 4" xfId="12099" xr:uid="{00000000-0005-0000-0000-00003D790000}"/>
    <cellStyle name="60% - Accent4 2 2 3 2 3 4 2" xfId="32579" xr:uid="{00000000-0005-0000-0000-00003E790000}"/>
    <cellStyle name="60% - Accent4 2 2 3 2 3 5" xfId="22339" xr:uid="{00000000-0005-0000-0000-00003F790000}"/>
    <cellStyle name="60% - Accent4 2 2 3 2 4" xfId="3139" xr:uid="{00000000-0005-0000-0000-000040790000}"/>
    <cellStyle name="60% - Accent4 2 2 3 2 4 2" xfId="8259" xr:uid="{00000000-0005-0000-0000-000041790000}"/>
    <cellStyle name="60% - Accent4 2 2 3 2 4 2 2" xfId="18499" xr:uid="{00000000-0005-0000-0000-000042790000}"/>
    <cellStyle name="60% - Accent4 2 2 3 2 4 2 2 2" xfId="38979" xr:uid="{00000000-0005-0000-0000-000043790000}"/>
    <cellStyle name="60% - Accent4 2 2 3 2 4 2 3" xfId="28739" xr:uid="{00000000-0005-0000-0000-000044790000}"/>
    <cellStyle name="60% - Accent4 2 2 3 2 4 3" xfId="13379" xr:uid="{00000000-0005-0000-0000-000045790000}"/>
    <cellStyle name="60% - Accent4 2 2 3 2 4 3 2" xfId="33859" xr:uid="{00000000-0005-0000-0000-000046790000}"/>
    <cellStyle name="60% - Accent4 2 2 3 2 4 4" xfId="23619" xr:uid="{00000000-0005-0000-0000-000047790000}"/>
    <cellStyle name="60% - Accent4 2 2 3 2 5" xfId="5699" xr:uid="{00000000-0005-0000-0000-000048790000}"/>
    <cellStyle name="60% - Accent4 2 2 3 2 5 2" xfId="15939" xr:uid="{00000000-0005-0000-0000-000049790000}"/>
    <cellStyle name="60% - Accent4 2 2 3 2 5 2 2" xfId="36419" xr:uid="{00000000-0005-0000-0000-00004A790000}"/>
    <cellStyle name="60% - Accent4 2 2 3 2 5 3" xfId="26179" xr:uid="{00000000-0005-0000-0000-00004B790000}"/>
    <cellStyle name="60% - Accent4 2 2 3 2 6" xfId="10819" xr:uid="{00000000-0005-0000-0000-00004C790000}"/>
    <cellStyle name="60% - Accent4 2 2 3 2 6 2" xfId="31299" xr:uid="{00000000-0005-0000-0000-00004D790000}"/>
    <cellStyle name="60% - Accent4 2 2 3 2 7" xfId="21059" xr:uid="{00000000-0005-0000-0000-00004E790000}"/>
    <cellStyle name="60% - Accent4 2 2 3 3" xfId="899" xr:uid="{00000000-0005-0000-0000-00004F790000}"/>
    <cellStyle name="60% - Accent4 2 2 3 3 2" xfId="2179" xr:uid="{00000000-0005-0000-0000-000050790000}"/>
    <cellStyle name="60% - Accent4 2 2 3 3 2 2" xfId="4739" xr:uid="{00000000-0005-0000-0000-000051790000}"/>
    <cellStyle name="60% - Accent4 2 2 3 3 2 2 2" xfId="9859" xr:uid="{00000000-0005-0000-0000-000052790000}"/>
    <cellStyle name="60% - Accent4 2 2 3 3 2 2 2 2" xfId="20099" xr:uid="{00000000-0005-0000-0000-000053790000}"/>
    <cellStyle name="60% - Accent4 2 2 3 3 2 2 2 2 2" xfId="40579" xr:uid="{00000000-0005-0000-0000-000054790000}"/>
    <cellStyle name="60% - Accent4 2 2 3 3 2 2 2 3" xfId="30339" xr:uid="{00000000-0005-0000-0000-000055790000}"/>
    <cellStyle name="60% - Accent4 2 2 3 3 2 2 3" xfId="14979" xr:uid="{00000000-0005-0000-0000-000056790000}"/>
    <cellStyle name="60% - Accent4 2 2 3 3 2 2 3 2" xfId="35459" xr:uid="{00000000-0005-0000-0000-000057790000}"/>
    <cellStyle name="60% - Accent4 2 2 3 3 2 2 4" xfId="25219" xr:uid="{00000000-0005-0000-0000-000058790000}"/>
    <cellStyle name="60% - Accent4 2 2 3 3 2 3" xfId="7299" xr:uid="{00000000-0005-0000-0000-000059790000}"/>
    <cellStyle name="60% - Accent4 2 2 3 3 2 3 2" xfId="17539" xr:uid="{00000000-0005-0000-0000-00005A790000}"/>
    <cellStyle name="60% - Accent4 2 2 3 3 2 3 2 2" xfId="38019" xr:uid="{00000000-0005-0000-0000-00005B790000}"/>
    <cellStyle name="60% - Accent4 2 2 3 3 2 3 3" xfId="27779" xr:uid="{00000000-0005-0000-0000-00005C790000}"/>
    <cellStyle name="60% - Accent4 2 2 3 3 2 4" xfId="12419" xr:uid="{00000000-0005-0000-0000-00005D790000}"/>
    <cellStyle name="60% - Accent4 2 2 3 3 2 4 2" xfId="32899" xr:uid="{00000000-0005-0000-0000-00005E790000}"/>
    <cellStyle name="60% - Accent4 2 2 3 3 2 5" xfId="22659" xr:uid="{00000000-0005-0000-0000-00005F790000}"/>
    <cellStyle name="60% - Accent4 2 2 3 3 3" xfId="3459" xr:uid="{00000000-0005-0000-0000-000060790000}"/>
    <cellStyle name="60% - Accent4 2 2 3 3 3 2" xfId="8579" xr:uid="{00000000-0005-0000-0000-000061790000}"/>
    <cellStyle name="60% - Accent4 2 2 3 3 3 2 2" xfId="18819" xr:uid="{00000000-0005-0000-0000-000062790000}"/>
    <cellStyle name="60% - Accent4 2 2 3 3 3 2 2 2" xfId="39299" xr:uid="{00000000-0005-0000-0000-000063790000}"/>
    <cellStyle name="60% - Accent4 2 2 3 3 3 2 3" xfId="29059" xr:uid="{00000000-0005-0000-0000-000064790000}"/>
    <cellStyle name="60% - Accent4 2 2 3 3 3 3" xfId="13699" xr:uid="{00000000-0005-0000-0000-000065790000}"/>
    <cellStyle name="60% - Accent4 2 2 3 3 3 3 2" xfId="34179" xr:uid="{00000000-0005-0000-0000-000066790000}"/>
    <cellStyle name="60% - Accent4 2 2 3 3 3 4" xfId="23939" xr:uid="{00000000-0005-0000-0000-000067790000}"/>
    <cellStyle name="60% - Accent4 2 2 3 3 4" xfId="6019" xr:uid="{00000000-0005-0000-0000-000068790000}"/>
    <cellStyle name="60% - Accent4 2 2 3 3 4 2" xfId="16259" xr:uid="{00000000-0005-0000-0000-000069790000}"/>
    <cellStyle name="60% - Accent4 2 2 3 3 4 2 2" xfId="36739" xr:uid="{00000000-0005-0000-0000-00006A790000}"/>
    <cellStyle name="60% - Accent4 2 2 3 3 4 3" xfId="26499" xr:uid="{00000000-0005-0000-0000-00006B790000}"/>
    <cellStyle name="60% - Accent4 2 2 3 3 5" xfId="11139" xr:uid="{00000000-0005-0000-0000-00006C790000}"/>
    <cellStyle name="60% - Accent4 2 2 3 3 5 2" xfId="31619" xr:uid="{00000000-0005-0000-0000-00006D790000}"/>
    <cellStyle name="60% - Accent4 2 2 3 3 6" xfId="21379" xr:uid="{00000000-0005-0000-0000-00006E790000}"/>
    <cellStyle name="60% - Accent4 2 2 3 4" xfId="1539" xr:uid="{00000000-0005-0000-0000-00006F790000}"/>
    <cellStyle name="60% - Accent4 2 2 3 4 2" xfId="4099" xr:uid="{00000000-0005-0000-0000-000070790000}"/>
    <cellStyle name="60% - Accent4 2 2 3 4 2 2" xfId="9219" xr:uid="{00000000-0005-0000-0000-000071790000}"/>
    <cellStyle name="60% - Accent4 2 2 3 4 2 2 2" xfId="19459" xr:uid="{00000000-0005-0000-0000-000072790000}"/>
    <cellStyle name="60% - Accent4 2 2 3 4 2 2 2 2" xfId="39939" xr:uid="{00000000-0005-0000-0000-000073790000}"/>
    <cellStyle name="60% - Accent4 2 2 3 4 2 2 3" xfId="29699" xr:uid="{00000000-0005-0000-0000-000074790000}"/>
    <cellStyle name="60% - Accent4 2 2 3 4 2 3" xfId="14339" xr:uid="{00000000-0005-0000-0000-000075790000}"/>
    <cellStyle name="60% - Accent4 2 2 3 4 2 3 2" xfId="34819" xr:uid="{00000000-0005-0000-0000-000076790000}"/>
    <cellStyle name="60% - Accent4 2 2 3 4 2 4" xfId="24579" xr:uid="{00000000-0005-0000-0000-000077790000}"/>
    <cellStyle name="60% - Accent4 2 2 3 4 3" xfId="6659" xr:uid="{00000000-0005-0000-0000-000078790000}"/>
    <cellStyle name="60% - Accent4 2 2 3 4 3 2" xfId="16899" xr:uid="{00000000-0005-0000-0000-000079790000}"/>
    <cellStyle name="60% - Accent4 2 2 3 4 3 2 2" xfId="37379" xr:uid="{00000000-0005-0000-0000-00007A790000}"/>
    <cellStyle name="60% - Accent4 2 2 3 4 3 3" xfId="27139" xr:uid="{00000000-0005-0000-0000-00007B790000}"/>
    <cellStyle name="60% - Accent4 2 2 3 4 4" xfId="11779" xr:uid="{00000000-0005-0000-0000-00007C790000}"/>
    <cellStyle name="60% - Accent4 2 2 3 4 4 2" xfId="32259" xr:uid="{00000000-0005-0000-0000-00007D790000}"/>
    <cellStyle name="60% - Accent4 2 2 3 4 5" xfId="22019" xr:uid="{00000000-0005-0000-0000-00007E790000}"/>
    <cellStyle name="60% - Accent4 2 2 3 5" xfId="2819" xr:uid="{00000000-0005-0000-0000-00007F790000}"/>
    <cellStyle name="60% - Accent4 2 2 3 5 2" xfId="7939" xr:uid="{00000000-0005-0000-0000-000080790000}"/>
    <cellStyle name="60% - Accent4 2 2 3 5 2 2" xfId="18179" xr:uid="{00000000-0005-0000-0000-000081790000}"/>
    <cellStyle name="60% - Accent4 2 2 3 5 2 2 2" xfId="38659" xr:uid="{00000000-0005-0000-0000-000082790000}"/>
    <cellStyle name="60% - Accent4 2 2 3 5 2 3" xfId="28419" xr:uid="{00000000-0005-0000-0000-000083790000}"/>
    <cellStyle name="60% - Accent4 2 2 3 5 3" xfId="13059" xr:uid="{00000000-0005-0000-0000-000084790000}"/>
    <cellStyle name="60% - Accent4 2 2 3 5 3 2" xfId="33539" xr:uid="{00000000-0005-0000-0000-000085790000}"/>
    <cellStyle name="60% - Accent4 2 2 3 5 4" xfId="23299" xr:uid="{00000000-0005-0000-0000-000086790000}"/>
    <cellStyle name="60% - Accent4 2 2 3 6" xfId="5379" xr:uid="{00000000-0005-0000-0000-000087790000}"/>
    <cellStyle name="60% - Accent4 2 2 3 6 2" xfId="15619" xr:uid="{00000000-0005-0000-0000-000088790000}"/>
    <cellStyle name="60% - Accent4 2 2 3 6 2 2" xfId="36099" xr:uid="{00000000-0005-0000-0000-000089790000}"/>
    <cellStyle name="60% - Accent4 2 2 3 6 3" xfId="25859" xr:uid="{00000000-0005-0000-0000-00008A790000}"/>
    <cellStyle name="60% - Accent4 2 2 3 7" xfId="10499" xr:uid="{00000000-0005-0000-0000-00008B790000}"/>
    <cellStyle name="60% - Accent4 2 2 3 7 2" xfId="30979" xr:uid="{00000000-0005-0000-0000-00008C790000}"/>
    <cellStyle name="60% - Accent4 2 2 3 8" xfId="20739" xr:uid="{00000000-0005-0000-0000-00008D790000}"/>
    <cellStyle name="60% - Accent4 2 2 4" xfId="419" xr:uid="{00000000-0005-0000-0000-00008E790000}"/>
    <cellStyle name="60% - Accent4 2 2 4 2" xfId="1059" xr:uid="{00000000-0005-0000-0000-00008F790000}"/>
    <cellStyle name="60% - Accent4 2 2 4 2 2" xfId="2339" xr:uid="{00000000-0005-0000-0000-000090790000}"/>
    <cellStyle name="60% - Accent4 2 2 4 2 2 2" xfId="4899" xr:uid="{00000000-0005-0000-0000-000091790000}"/>
    <cellStyle name="60% - Accent4 2 2 4 2 2 2 2" xfId="10019" xr:uid="{00000000-0005-0000-0000-000092790000}"/>
    <cellStyle name="60% - Accent4 2 2 4 2 2 2 2 2" xfId="20259" xr:uid="{00000000-0005-0000-0000-000093790000}"/>
    <cellStyle name="60% - Accent4 2 2 4 2 2 2 2 2 2" xfId="40739" xr:uid="{00000000-0005-0000-0000-000094790000}"/>
    <cellStyle name="60% - Accent4 2 2 4 2 2 2 2 3" xfId="30499" xr:uid="{00000000-0005-0000-0000-000095790000}"/>
    <cellStyle name="60% - Accent4 2 2 4 2 2 2 3" xfId="15139" xr:uid="{00000000-0005-0000-0000-000096790000}"/>
    <cellStyle name="60% - Accent4 2 2 4 2 2 2 3 2" xfId="35619" xr:uid="{00000000-0005-0000-0000-000097790000}"/>
    <cellStyle name="60% - Accent4 2 2 4 2 2 2 4" xfId="25379" xr:uid="{00000000-0005-0000-0000-000098790000}"/>
    <cellStyle name="60% - Accent4 2 2 4 2 2 3" xfId="7459" xr:uid="{00000000-0005-0000-0000-000099790000}"/>
    <cellStyle name="60% - Accent4 2 2 4 2 2 3 2" xfId="17699" xr:uid="{00000000-0005-0000-0000-00009A790000}"/>
    <cellStyle name="60% - Accent4 2 2 4 2 2 3 2 2" xfId="38179" xr:uid="{00000000-0005-0000-0000-00009B790000}"/>
    <cellStyle name="60% - Accent4 2 2 4 2 2 3 3" xfId="27939" xr:uid="{00000000-0005-0000-0000-00009C790000}"/>
    <cellStyle name="60% - Accent4 2 2 4 2 2 4" xfId="12579" xr:uid="{00000000-0005-0000-0000-00009D790000}"/>
    <cellStyle name="60% - Accent4 2 2 4 2 2 4 2" xfId="33059" xr:uid="{00000000-0005-0000-0000-00009E790000}"/>
    <cellStyle name="60% - Accent4 2 2 4 2 2 5" xfId="22819" xr:uid="{00000000-0005-0000-0000-00009F790000}"/>
    <cellStyle name="60% - Accent4 2 2 4 2 3" xfId="3619" xr:uid="{00000000-0005-0000-0000-0000A0790000}"/>
    <cellStyle name="60% - Accent4 2 2 4 2 3 2" xfId="8739" xr:uid="{00000000-0005-0000-0000-0000A1790000}"/>
    <cellStyle name="60% - Accent4 2 2 4 2 3 2 2" xfId="18979" xr:uid="{00000000-0005-0000-0000-0000A2790000}"/>
    <cellStyle name="60% - Accent4 2 2 4 2 3 2 2 2" xfId="39459" xr:uid="{00000000-0005-0000-0000-0000A3790000}"/>
    <cellStyle name="60% - Accent4 2 2 4 2 3 2 3" xfId="29219" xr:uid="{00000000-0005-0000-0000-0000A4790000}"/>
    <cellStyle name="60% - Accent4 2 2 4 2 3 3" xfId="13859" xr:uid="{00000000-0005-0000-0000-0000A5790000}"/>
    <cellStyle name="60% - Accent4 2 2 4 2 3 3 2" xfId="34339" xr:uid="{00000000-0005-0000-0000-0000A6790000}"/>
    <cellStyle name="60% - Accent4 2 2 4 2 3 4" xfId="24099" xr:uid="{00000000-0005-0000-0000-0000A7790000}"/>
    <cellStyle name="60% - Accent4 2 2 4 2 4" xfId="6179" xr:uid="{00000000-0005-0000-0000-0000A8790000}"/>
    <cellStyle name="60% - Accent4 2 2 4 2 4 2" xfId="16419" xr:uid="{00000000-0005-0000-0000-0000A9790000}"/>
    <cellStyle name="60% - Accent4 2 2 4 2 4 2 2" xfId="36899" xr:uid="{00000000-0005-0000-0000-0000AA790000}"/>
    <cellStyle name="60% - Accent4 2 2 4 2 4 3" xfId="26659" xr:uid="{00000000-0005-0000-0000-0000AB790000}"/>
    <cellStyle name="60% - Accent4 2 2 4 2 5" xfId="11299" xr:uid="{00000000-0005-0000-0000-0000AC790000}"/>
    <cellStyle name="60% - Accent4 2 2 4 2 5 2" xfId="31779" xr:uid="{00000000-0005-0000-0000-0000AD790000}"/>
    <cellStyle name="60% - Accent4 2 2 4 2 6" xfId="21539" xr:uid="{00000000-0005-0000-0000-0000AE790000}"/>
    <cellStyle name="60% - Accent4 2 2 4 3" xfId="1699" xr:uid="{00000000-0005-0000-0000-0000AF790000}"/>
    <cellStyle name="60% - Accent4 2 2 4 3 2" xfId="4259" xr:uid="{00000000-0005-0000-0000-0000B0790000}"/>
    <cellStyle name="60% - Accent4 2 2 4 3 2 2" xfId="9379" xr:uid="{00000000-0005-0000-0000-0000B1790000}"/>
    <cellStyle name="60% - Accent4 2 2 4 3 2 2 2" xfId="19619" xr:uid="{00000000-0005-0000-0000-0000B2790000}"/>
    <cellStyle name="60% - Accent4 2 2 4 3 2 2 2 2" xfId="40099" xr:uid="{00000000-0005-0000-0000-0000B3790000}"/>
    <cellStyle name="60% - Accent4 2 2 4 3 2 2 3" xfId="29859" xr:uid="{00000000-0005-0000-0000-0000B4790000}"/>
    <cellStyle name="60% - Accent4 2 2 4 3 2 3" xfId="14499" xr:uid="{00000000-0005-0000-0000-0000B5790000}"/>
    <cellStyle name="60% - Accent4 2 2 4 3 2 3 2" xfId="34979" xr:uid="{00000000-0005-0000-0000-0000B6790000}"/>
    <cellStyle name="60% - Accent4 2 2 4 3 2 4" xfId="24739" xr:uid="{00000000-0005-0000-0000-0000B7790000}"/>
    <cellStyle name="60% - Accent4 2 2 4 3 3" xfId="6819" xr:uid="{00000000-0005-0000-0000-0000B8790000}"/>
    <cellStyle name="60% - Accent4 2 2 4 3 3 2" xfId="17059" xr:uid="{00000000-0005-0000-0000-0000B9790000}"/>
    <cellStyle name="60% - Accent4 2 2 4 3 3 2 2" xfId="37539" xr:uid="{00000000-0005-0000-0000-0000BA790000}"/>
    <cellStyle name="60% - Accent4 2 2 4 3 3 3" xfId="27299" xr:uid="{00000000-0005-0000-0000-0000BB790000}"/>
    <cellStyle name="60% - Accent4 2 2 4 3 4" xfId="11939" xr:uid="{00000000-0005-0000-0000-0000BC790000}"/>
    <cellStyle name="60% - Accent4 2 2 4 3 4 2" xfId="32419" xr:uid="{00000000-0005-0000-0000-0000BD790000}"/>
    <cellStyle name="60% - Accent4 2 2 4 3 5" xfId="22179" xr:uid="{00000000-0005-0000-0000-0000BE790000}"/>
    <cellStyle name="60% - Accent4 2 2 4 4" xfId="2979" xr:uid="{00000000-0005-0000-0000-0000BF790000}"/>
    <cellStyle name="60% - Accent4 2 2 4 4 2" xfId="8099" xr:uid="{00000000-0005-0000-0000-0000C0790000}"/>
    <cellStyle name="60% - Accent4 2 2 4 4 2 2" xfId="18339" xr:uid="{00000000-0005-0000-0000-0000C1790000}"/>
    <cellStyle name="60% - Accent4 2 2 4 4 2 2 2" xfId="38819" xr:uid="{00000000-0005-0000-0000-0000C2790000}"/>
    <cellStyle name="60% - Accent4 2 2 4 4 2 3" xfId="28579" xr:uid="{00000000-0005-0000-0000-0000C3790000}"/>
    <cellStyle name="60% - Accent4 2 2 4 4 3" xfId="13219" xr:uid="{00000000-0005-0000-0000-0000C4790000}"/>
    <cellStyle name="60% - Accent4 2 2 4 4 3 2" xfId="33699" xr:uid="{00000000-0005-0000-0000-0000C5790000}"/>
    <cellStyle name="60% - Accent4 2 2 4 4 4" xfId="23459" xr:uid="{00000000-0005-0000-0000-0000C6790000}"/>
    <cellStyle name="60% - Accent4 2 2 4 5" xfId="5539" xr:uid="{00000000-0005-0000-0000-0000C7790000}"/>
    <cellStyle name="60% - Accent4 2 2 4 5 2" xfId="15779" xr:uid="{00000000-0005-0000-0000-0000C8790000}"/>
    <cellStyle name="60% - Accent4 2 2 4 5 2 2" xfId="36259" xr:uid="{00000000-0005-0000-0000-0000C9790000}"/>
    <cellStyle name="60% - Accent4 2 2 4 5 3" xfId="26019" xr:uid="{00000000-0005-0000-0000-0000CA790000}"/>
    <cellStyle name="60% - Accent4 2 2 4 6" xfId="10659" xr:uid="{00000000-0005-0000-0000-0000CB790000}"/>
    <cellStyle name="60% - Accent4 2 2 4 6 2" xfId="31139" xr:uid="{00000000-0005-0000-0000-0000CC790000}"/>
    <cellStyle name="60% - Accent4 2 2 4 7" xfId="20899" xr:uid="{00000000-0005-0000-0000-0000CD790000}"/>
    <cellStyle name="60% - Accent4 2 2 5" xfId="739" xr:uid="{00000000-0005-0000-0000-0000CE790000}"/>
    <cellStyle name="60% - Accent4 2 2 5 2" xfId="2019" xr:uid="{00000000-0005-0000-0000-0000CF790000}"/>
    <cellStyle name="60% - Accent4 2 2 5 2 2" xfId="4579" xr:uid="{00000000-0005-0000-0000-0000D0790000}"/>
    <cellStyle name="60% - Accent4 2 2 5 2 2 2" xfId="9699" xr:uid="{00000000-0005-0000-0000-0000D1790000}"/>
    <cellStyle name="60% - Accent4 2 2 5 2 2 2 2" xfId="19939" xr:uid="{00000000-0005-0000-0000-0000D2790000}"/>
    <cellStyle name="60% - Accent4 2 2 5 2 2 2 2 2" xfId="40419" xr:uid="{00000000-0005-0000-0000-0000D3790000}"/>
    <cellStyle name="60% - Accent4 2 2 5 2 2 2 3" xfId="30179" xr:uid="{00000000-0005-0000-0000-0000D4790000}"/>
    <cellStyle name="60% - Accent4 2 2 5 2 2 3" xfId="14819" xr:uid="{00000000-0005-0000-0000-0000D5790000}"/>
    <cellStyle name="60% - Accent4 2 2 5 2 2 3 2" xfId="35299" xr:uid="{00000000-0005-0000-0000-0000D6790000}"/>
    <cellStyle name="60% - Accent4 2 2 5 2 2 4" xfId="25059" xr:uid="{00000000-0005-0000-0000-0000D7790000}"/>
    <cellStyle name="60% - Accent4 2 2 5 2 3" xfId="7139" xr:uid="{00000000-0005-0000-0000-0000D8790000}"/>
    <cellStyle name="60% - Accent4 2 2 5 2 3 2" xfId="17379" xr:uid="{00000000-0005-0000-0000-0000D9790000}"/>
    <cellStyle name="60% - Accent4 2 2 5 2 3 2 2" xfId="37859" xr:uid="{00000000-0005-0000-0000-0000DA790000}"/>
    <cellStyle name="60% - Accent4 2 2 5 2 3 3" xfId="27619" xr:uid="{00000000-0005-0000-0000-0000DB790000}"/>
    <cellStyle name="60% - Accent4 2 2 5 2 4" xfId="12259" xr:uid="{00000000-0005-0000-0000-0000DC790000}"/>
    <cellStyle name="60% - Accent4 2 2 5 2 4 2" xfId="32739" xr:uid="{00000000-0005-0000-0000-0000DD790000}"/>
    <cellStyle name="60% - Accent4 2 2 5 2 5" xfId="22499" xr:uid="{00000000-0005-0000-0000-0000DE790000}"/>
    <cellStyle name="60% - Accent4 2 2 5 3" xfId="3299" xr:uid="{00000000-0005-0000-0000-0000DF790000}"/>
    <cellStyle name="60% - Accent4 2 2 5 3 2" xfId="8419" xr:uid="{00000000-0005-0000-0000-0000E0790000}"/>
    <cellStyle name="60% - Accent4 2 2 5 3 2 2" xfId="18659" xr:uid="{00000000-0005-0000-0000-0000E1790000}"/>
    <cellStyle name="60% - Accent4 2 2 5 3 2 2 2" xfId="39139" xr:uid="{00000000-0005-0000-0000-0000E2790000}"/>
    <cellStyle name="60% - Accent4 2 2 5 3 2 3" xfId="28899" xr:uid="{00000000-0005-0000-0000-0000E3790000}"/>
    <cellStyle name="60% - Accent4 2 2 5 3 3" xfId="13539" xr:uid="{00000000-0005-0000-0000-0000E4790000}"/>
    <cellStyle name="60% - Accent4 2 2 5 3 3 2" xfId="34019" xr:uid="{00000000-0005-0000-0000-0000E5790000}"/>
    <cellStyle name="60% - Accent4 2 2 5 3 4" xfId="23779" xr:uid="{00000000-0005-0000-0000-0000E6790000}"/>
    <cellStyle name="60% - Accent4 2 2 5 4" xfId="5859" xr:uid="{00000000-0005-0000-0000-0000E7790000}"/>
    <cellStyle name="60% - Accent4 2 2 5 4 2" xfId="16099" xr:uid="{00000000-0005-0000-0000-0000E8790000}"/>
    <cellStyle name="60% - Accent4 2 2 5 4 2 2" xfId="36579" xr:uid="{00000000-0005-0000-0000-0000E9790000}"/>
    <cellStyle name="60% - Accent4 2 2 5 4 3" xfId="26339" xr:uid="{00000000-0005-0000-0000-0000EA790000}"/>
    <cellStyle name="60% - Accent4 2 2 5 5" xfId="10979" xr:uid="{00000000-0005-0000-0000-0000EB790000}"/>
    <cellStyle name="60% - Accent4 2 2 5 5 2" xfId="31459" xr:uid="{00000000-0005-0000-0000-0000EC790000}"/>
    <cellStyle name="60% - Accent4 2 2 5 6" xfId="21219" xr:uid="{00000000-0005-0000-0000-0000ED790000}"/>
    <cellStyle name="60% - Accent4 2 2 6" xfId="1379" xr:uid="{00000000-0005-0000-0000-0000EE790000}"/>
    <cellStyle name="60% - Accent4 2 2 6 2" xfId="3939" xr:uid="{00000000-0005-0000-0000-0000EF790000}"/>
    <cellStyle name="60% - Accent4 2 2 6 2 2" xfId="9059" xr:uid="{00000000-0005-0000-0000-0000F0790000}"/>
    <cellStyle name="60% - Accent4 2 2 6 2 2 2" xfId="19299" xr:uid="{00000000-0005-0000-0000-0000F1790000}"/>
    <cellStyle name="60% - Accent4 2 2 6 2 2 2 2" xfId="39779" xr:uid="{00000000-0005-0000-0000-0000F2790000}"/>
    <cellStyle name="60% - Accent4 2 2 6 2 2 3" xfId="29539" xr:uid="{00000000-0005-0000-0000-0000F3790000}"/>
    <cellStyle name="60% - Accent4 2 2 6 2 3" xfId="14179" xr:uid="{00000000-0005-0000-0000-0000F4790000}"/>
    <cellStyle name="60% - Accent4 2 2 6 2 3 2" xfId="34659" xr:uid="{00000000-0005-0000-0000-0000F5790000}"/>
    <cellStyle name="60% - Accent4 2 2 6 2 4" xfId="24419" xr:uid="{00000000-0005-0000-0000-0000F6790000}"/>
    <cellStyle name="60% - Accent4 2 2 6 3" xfId="6499" xr:uid="{00000000-0005-0000-0000-0000F7790000}"/>
    <cellStyle name="60% - Accent4 2 2 6 3 2" xfId="16739" xr:uid="{00000000-0005-0000-0000-0000F8790000}"/>
    <cellStyle name="60% - Accent4 2 2 6 3 2 2" xfId="37219" xr:uid="{00000000-0005-0000-0000-0000F9790000}"/>
    <cellStyle name="60% - Accent4 2 2 6 3 3" xfId="26979" xr:uid="{00000000-0005-0000-0000-0000FA790000}"/>
    <cellStyle name="60% - Accent4 2 2 6 4" xfId="11619" xr:uid="{00000000-0005-0000-0000-0000FB790000}"/>
    <cellStyle name="60% - Accent4 2 2 6 4 2" xfId="32099" xr:uid="{00000000-0005-0000-0000-0000FC790000}"/>
    <cellStyle name="60% - Accent4 2 2 6 5" xfId="21859" xr:uid="{00000000-0005-0000-0000-0000FD790000}"/>
    <cellStyle name="60% - Accent4 2 2 7" xfId="2659" xr:uid="{00000000-0005-0000-0000-0000FE790000}"/>
    <cellStyle name="60% - Accent4 2 2 7 2" xfId="7779" xr:uid="{00000000-0005-0000-0000-0000FF790000}"/>
    <cellStyle name="60% - Accent4 2 2 7 2 2" xfId="18019" xr:uid="{00000000-0005-0000-0000-0000007A0000}"/>
    <cellStyle name="60% - Accent4 2 2 7 2 2 2" xfId="38499" xr:uid="{00000000-0005-0000-0000-0000017A0000}"/>
    <cellStyle name="60% - Accent4 2 2 7 2 3" xfId="28259" xr:uid="{00000000-0005-0000-0000-0000027A0000}"/>
    <cellStyle name="60% - Accent4 2 2 7 3" xfId="12899" xr:uid="{00000000-0005-0000-0000-0000037A0000}"/>
    <cellStyle name="60% - Accent4 2 2 7 3 2" xfId="33379" xr:uid="{00000000-0005-0000-0000-0000047A0000}"/>
    <cellStyle name="60% - Accent4 2 2 7 4" xfId="23139" xr:uid="{00000000-0005-0000-0000-0000057A0000}"/>
    <cellStyle name="60% - Accent4 2 2 8" xfId="5219" xr:uid="{00000000-0005-0000-0000-0000067A0000}"/>
    <cellStyle name="60% - Accent4 2 2 8 2" xfId="15459" xr:uid="{00000000-0005-0000-0000-0000077A0000}"/>
    <cellStyle name="60% - Accent4 2 2 8 2 2" xfId="35939" xr:uid="{00000000-0005-0000-0000-0000087A0000}"/>
    <cellStyle name="60% - Accent4 2 2 8 3" xfId="25699" xr:uid="{00000000-0005-0000-0000-0000097A0000}"/>
    <cellStyle name="60% - Accent4 2 2 9" xfId="10339" xr:uid="{00000000-0005-0000-0000-00000A7A0000}"/>
    <cellStyle name="60% - Accent4 2 2 9 2" xfId="30819" xr:uid="{00000000-0005-0000-0000-00000B7A0000}"/>
    <cellStyle name="60% - Accent4 2 3" xfId="139" xr:uid="{00000000-0005-0000-0000-00000C7A0000}"/>
    <cellStyle name="60% - Accent4 2 3 2" xfId="299" xr:uid="{00000000-0005-0000-0000-00000D7A0000}"/>
    <cellStyle name="60% - Accent4 2 3 2 2" xfId="619" xr:uid="{00000000-0005-0000-0000-00000E7A0000}"/>
    <cellStyle name="60% - Accent4 2 3 2 2 2" xfId="1259" xr:uid="{00000000-0005-0000-0000-00000F7A0000}"/>
    <cellStyle name="60% - Accent4 2 3 2 2 2 2" xfId="2539" xr:uid="{00000000-0005-0000-0000-0000107A0000}"/>
    <cellStyle name="60% - Accent4 2 3 2 2 2 2 2" xfId="5099" xr:uid="{00000000-0005-0000-0000-0000117A0000}"/>
    <cellStyle name="60% - Accent4 2 3 2 2 2 2 2 2" xfId="10219" xr:uid="{00000000-0005-0000-0000-0000127A0000}"/>
    <cellStyle name="60% - Accent4 2 3 2 2 2 2 2 2 2" xfId="20459" xr:uid="{00000000-0005-0000-0000-0000137A0000}"/>
    <cellStyle name="60% - Accent4 2 3 2 2 2 2 2 2 2 2" xfId="40939" xr:uid="{00000000-0005-0000-0000-0000147A0000}"/>
    <cellStyle name="60% - Accent4 2 3 2 2 2 2 2 2 3" xfId="30699" xr:uid="{00000000-0005-0000-0000-0000157A0000}"/>
    <cellStyle name="60% - Accent4 2 3 2 2 2 2 2 3" xfId="15339" xr:uid="{00000000-0005-0000-0000-0000167A0000}"/>
    <cellStyle name="60% - Accent4 2 3 2 2 2 2 2 3 2" xfId="35819" xr:uid="{00000000-0005-0000-0000-0000177A0000}"/>
    <cellStyle name="60% - Accent4 2 3 2 2 2 2 2 4" xfId="25579" xr:uid="{00000000-0005-0000-0000-0000187A0000}"/>
    <cellStyle name="60% - Accent4 2 3 2 2 2 2 3" xfId="7659" xr:uid="{00000000-0005-0000-0000-0000197A0000}"/>
    <cellStyle name="60% - Accent4 2 3 2 2 2 2 3 2" xfId="17899" xr:uid="{00000000-0005-0000-0000-00001A7A0000}"/>
    <cellStyle name="60% - Accent4 2 3 2 2 2 2 3 2 2" xfId="38379" xr:uid="{00000000-0005-0000-0000-00001B7A0000}"/>
    <cellStyle name="60% - Accent4 2 3 2 2 2 2 3 3" xfId="28139" xr:uid="{00000000-0005-0000-0000-00001C7A0000}"/>
    <cellStyle name="60% - Accent4 2 3 2 2 2 2 4" xfId="12779" xr:uid="{00000000-0005-0000-0000-00001D7A0000}"/>
    <cellStyle name="60% - Accent4 2 3 2 2 2 2 4 2" xfId="33259" xr:uid="{00000000-0005-0000-0000-00001E7A0000}"/>
    <cellStyle name="60% - Accent4 2 3 2 2 2 2 5" xfId="23019" xr:uid="{00000000-0005-0000-0000-00001F7A0000}"/>
    <cellStyle name="60% - Accent4 2 3 2 2 2 3" xfId="3819" xr:uid="{00000000-0005-0000-0000-0000207A0000}"/>
    <cellStyle name="60% - Accent4 2 3 2 2 2 3 2" xfId="8939" xr:uid="{00000000-0005-0000-0000-0000217A0000}"/>
    <cellStyle name="60% - Accent4 2 3 2 2 2 3 2 2" xfId="19179" xr:uid="{00000000-0005-0000-0000-0000227A0000}"/>
    <cellStyle name="60% - Accent4 2 3 2 2 2 3 2 2 2" xfId="39659" xr:uid="{00000000-0005-0000-0000-0000237A0000}"/>
    <cellStyle name="60% - Accent4 2 3 2 2 2 3 2 3" xfId="29419" xr:uid="{00000000-0005-0000-0000-0000247A0000}"/>
    <cellStyle name="60% - Accent4 2 3 2 2 2 3 3" xfId="14059" xr:uid="{00000000-0005-0000-0000-0000257A0000}"/>
    <cellStyle name="60% - Accent4 2 3 2 2 2 3 3 2" xfId="34539" xr:uid="{00000000-0005-0000-0000-0000267A0000}"/>
    <cellStyle name="60% - Accent4 2 3 2 2 2 3 4" xfId="24299" xr:uid="{00000000-0005-0000-0000-0000277A0000}"/>
    <cellStyle name="60% - Accent4 2 3 2 2 2 4" xfId="6379" xr:uid="{00000000-0005-0000-0000-0000287A0000}"/>
    <cellStyle name="60% - Accent4 2 3 2 2 2 4 2" xfId="16619" xr:uid="{00000000-0005-0000-0000-0000297A0000}"/>
    <cellStyle name="60% - Accent4 2 3 2 2 2 4 2 2" xfId="37099" xr:uid="{00000000-0005-0000-0000-00002A7A0000}"/>
    <cellStyle name="60% - Accent4 2 3 2 2 2 4 3" xfId="26859" xr:uid="{00000000-0005-0000-0000-00002B7A0000}"/>
    <cellStyle name="60% - Accent4 2 3 2 2 2 5" xfId="11499" xr:uid="{00000000-0005-0000-0000-00002C7A0000}"/>
    <cellStyle name="60% - Accent4 2 3 2 2 2 5 2" xfId="31979" xr:uid="{00000000-0005-0000-0000-00002D7A0000}"/>
    <cellStyle name="60% - Accent4 2 3 2 2 2 6" xfId="21739" xr:uid="{00000000-0005-0000-0000-00002E7A0000}"/>
    <cellStyle name="60% - Accent4 2 3 2 2 3" xfId="1899" xr:uid="{00000000-0005-0000-0000-00002F7A0000}"/>
    <cellStyle name="60% - Accent4 2 3 2 2 3 2" xfId="4459" xr:uid="{00000000-0005-0000-0000-0000307A0000}"/>
    <cellStyle name="60% - Accent4 2 3 2 2 3 2 2" xfId="9579" xr:uid="{00000000-0005-0000-0000-0000317A0000}"/>
    <cellStyle name="60% - Accent4 2 3 2 2 3 2 2 2" xfId="19819" xr:uid="{00000000-0005-0000-0000-0000327A0000}"/>
    <cellStyle name="60% - Accent4 2 3 2 2 3 2 2 2 2" xfId="40299" xr:uid="{00000000-0005-0000-0000-0000337A0000}"/>
    <cellStyle name="60% - Accent4 2 3 2 2 3 2 2 3" xfId="30059" xr:uid="{00000000-0005-0000-0000-0000347A0000}"/>
    <cellStyle name="60% - Accent4 2 3 2 2 3 2 3" xfId="14699" xr:uid="{00000000-0005-0000-0000-0000357A0000}"/>
    <cellStyle name="60% - Accent4 2 3 2 2 3 2 3 2" xfId="35179" xr:uid="{00000000-0005-0000-0000-0000367A0000}"/>
    <cellStyle name="60% - Accent4 2 3 2 2 3 2 4" xfId="24939" xr:uid="{00000000-0005-0000-0000-0000377A0000}"/>
    <cellStyle name="60% - Accent4 2 3 2 2 3 3" xfId="7019" xr:uid="{00000000-0005-0000-0000-0000387A0000}"/>
    <cellStyle name="60% - Accent4 2 3 2 2 3 3 2" xfId="17259" xr:uid="{00000000-0005-0000-0000-0000397A0000}"/>
    <cellStyle name="60% - Accent4 2 3 2 2 3 3 2 2" xfId="37739" xr:uid="{00000000-0005-0000-0000-00003A7A0000}"/>
    <cellStyle name="60% - Accent4 2 3 2 2 3 3 3" xfId="27499" xr:uid="{00000000-0005-0000-0000-00003B7A0000}"/>
    <cellStyle name="60% - Accent4 2 3 2 2 3 4" xfId="12139" xr:uid="{00000000-0005-0000-0000-00003C7A0000}"/>
    <cellStyle name="60% - Accent4 2 3 2 2 3 4 2" xfId="32619" xr:uid="{00000000-0005-0000-0000-00003D7A0000}"/>
    <cellStyle name="60% - Accent4 2 3 2 2 3 5" xfId="22379" xr:uid="{00000000-0005-0000-0000-00003E7A0000}"/>
    <cellStyle name="60% - Accent4 2 3 2 2 4" xfId="3179" xr:uid="{00000000-0005-0000-0000-00003F7A0000}"/>
    <cellStyle name="60% - Accent4 2 3 2 2 4 2" xfId="8299" xr:uid="{00000000-0005-0000-0000-0000407A0000}"/>
    <cellStyle name="60% - Accent4 2 3 2 2 4 2 2" xfId="18539" xr:uid="{00000000-0005-0000-0000-0000417A0000}"/>
    <cellStyle name="60% - Accent4 2 3 2 2 4 2 2 2" xfId="39019" xr:uid="{00000000-0005-0000-0000-0000427A0000}"/>
    <cellStyle name="60% - Accent4 2 3 2 2 4 2 3" xfId="28779" xr:uid="{00000000-0005-0000-0000-0000437A0000}"/>
    <cellStyle name="60% - Accent4 2 3 2 2 4 3" xfId="13419" xr:uid="{00000000-0005-0000-0000-0000447A0000}"/>
    <cellStyle name="60% - Accent4 2 3 2 2 4 3 2" xfId="33899" xr:uid="{00000000-0005-0000-0000-0000457A0000}"/>
    <cellStyle name="60% - Accent4 2 3 2 2 4 4" xfId="23659" xr:uid="{00000000-0005-0000-0000-0000467A0000}"/>
    <cellStyle name="60% - Accent4 2 3 2 2 5" xfId="5739" xr:uid="{00000000-0005-0000-0000-0000477A0000}"/>
    <cellStyle name="60% - Accent4 2 3 2 2 5 2" xfId="15979" xr:uid="{00000000-0005-0000-0000-0000487A0000}"/>
    <cellStyle name="60% - Accent4 2 3 2 2 5 2 2" xfId="36459" xr:uid="{00000000-0005-0000-0000-0000497A0000}"/>
    <cellStyle name="60% - Accent4 2 3 2 2 5 3" xfId="26219" xr:uid="{00000000-0005-0000-0000-00004A7A0000}"/>
    <cellStyle name="60% - Accent4 2 3 2 2 6" xfId="10859" xr:uid="{00000000-0005-0000-0000-00004B7A0000}"/>
    <cellStyle name="60% - Accent4 2 3 2 2 6 2" xfId="31339" xr:uid="{00000000-0005-0000-0000-00004C7A0000}"/>
    <cellStyle name="60% - Accent4 2 3 2 2 7" xfId="21099" xr:uid="{00000000-0005-0000-0000-00004D7A0000}"/>
    <cellStyle name="60% - Accent4 2 3 2 3" xfId="939" xr:uid="{00000000-0005-0000-0000-00004E7A0000}"/>
    <cellStyle name="60% - Accent4 2 3 2 3 2" xfId="2219" xr:uid="{00000000-0005-0000-0000-00004F7A0000}"/>
    <cellStyle name="60% - Accent4 2 3 2 3 2 2" xfId="4779" xr:uid="{00000000-0005-0000-0000-0000507A0000}"/>
    <cellStyle name="60% - Accent4 2 3 2 3 2 2 2" xfId="9899" xr:uid="{00000000-0005-0000-0000-0000517A0000}"/>
    <cellStyle name="60% - Accent4 2 3 2 3 2 2 2 2" xfId="20139" xr:uid="{00000000-0005-0000-0000-0000527A0000}"/>
    <cellStyle name="60% - Accent4 2 3 2 3 2 2 2 2 2" xfId="40619" xr:uid="{00000000-0005-0000-0000-0000537A0000}"/>
    <cellStyle name="60% - Accent4 2 3 2 3 2 2 2 3" xfId="30379" xr:uid="{00000000-0005-0000-0000-0000547A0000}"/>
    <cellStyle name="60% - Accent4 2 3 2 3 2 2 3" xfId="15019" xr:uid="{00000000-0005-0000-0000-0000557A0000}"/>
    <cellStyle name="60% - Accent4 2 3 2 3 2 2 3 2" xfId="35499" xr:uid="{00000000-0005-0000-0000-0000567A0000}"/>
    <cellStyle name="60% - Accent4 2 3 2 3 2 2 4" xfId="25259" xr:uid="{00000000-0005-0000-0000-0000577A0000}"/>
    <cellStyle name="60% - Accent4 2 3 2 3 2 3" xfId="7339" xr:uid="{00000000-0005-0000-0000-0000587A0000}"/>
    <cellStyle name="60% - Accent4 2 3 2 3 2 3 2" xfId="17579" xr:uid="{00000000-0005-0000-0000-0000597A0000}"/>
    <cellStyle name="60% - Accent4 2 3 2 3 2 3 2 2" xfId="38059" xr:uid="{00000000-0005-0000-0000-00005A7A0000}"/>
    <cellStyle name="60% - Accent4 2 3 2 3 2 3 3" xfId="27819" xr:uid="{00000000-0005-0000-0000-00005B7A0000}"/>
    <cellStyle name="60% - Accent4 2 3 2 3 2 4" xfId="12459" xr:uid="{00000000-0005-0000-0000-00005C7A0000}"/>
    <cellStyle name="60% - Accent4 2 3 2 3 2 4 2" xfId="32939" xr:uid="{00000000-0005-0000-0000-00005D7A0000}"/>
    <cellStyle name="60% - Accent4 2 3 2 3 2 5" xfId="22699" xr:uid="{00000000-0005-0000-0000-00005E7A0000}"/>
    <cellStyle name="60% - Accent4 2 3 2 3 3" xfId="3499" xr:uid="{00000000-0005-0000-0000-00005F7A0000}"/>
    <cellStyle name="60% - Accent4 2 3 2 3 3 2" xfId="8619" xr:uid="{00000000-0005-0000-0000-0000607A0000}"/>
    <cellStyle name="60% - Accent4 2 3 2 3 3 2 2" xfId="18859" xr:uid="{00000000-0005-0000-0000-0000617A0000}"/>
    <cellStyle name="60% - Accent4 2 3 2 3 3 2 2 2" xfId="39339" xr:uid="{00000000-0005-0000-0000-0000627A0000}"/>
    <cellStyle name="60% - Accent4 2 3 2 3 3 2 3" xfId="29099" xr:uid="{00000000-0005-0000-0000-0000637A0000}"/>
    <cellStyle name="60% - Accent4 2 3 2 3 3 3" xfId="13739" xr:uid="{00000000-0005-0000-0000-0000647A0000}"/>
    <cellStyle name="60% - Accent4 2 3 2 3 3 3 2" xfId="34219" xr:uid="{00000000-0005-0000-0000-0000657A0000}"/>
    <cellStyle name="60% - Accent4 2 3 2 3 3 4" xfId="23979" xr:uid="{00000000-0005-0000-0000-0000667A0000}"/>
    <cellStyle name="60% - Accent4 2 3 2 3 4" xfId="6059" xr:uid="{00000000-0005-0000-0000-0000677A0000}"/>
    <cellStyle name="60% - Accent4 2 3 2 3 4 2" xfId="16299" xr:uid="{00000000-0005-0000-0000-0000687A0000}"/>
    <cellStyle name="60% - Accent4 2 3 2 3 4 2 2" xfId="36779" xr:uid="{00000000-0005-0000-0000-0000697A0000}"/>
    <cellStyle name="60% - Accent4 2 3 2 3 4 3" xfId="26539" xr:uid="{00000000-0005-0000-0000-00006A7A0000}"/>
    <cellStyle name="60% - Accent4 2 3 2 3 5" xfId="11179" xr:uid="{00000000-0005-0000-0000-00006B7A0000}"/>
    <cellStyle name="60% - Accent4 2 3 2 3 5 2" xfId="31659" xr:uid="{00000000-0005-0000-0000-00006C7A0000}"/>
    <cellStyle name="60% - Accent4 2 3 2 3 6" xfId="21419" xr:uid="{00000000-0005-0000-0000-00006D7A0000}"/>
    <cellStyle name="60% - Accent4 2 3 2 4" xfId="1579" xr:uid="{00000000-0005-0000-0000-00006E7A0000}"/>
    <cellStyle name="60% - Accent4 2 3 2 4 2" xfId="4139" xr:uid="{00000000-0005-0000-0000-00006F7A0000}"/>
    <cellStyle name="60% - Accent4 2 3 2 4 2 2" xfId="9259" xr:uid="{00000000-0005-0000-0000-0000707A0000}"/>
    <cellStyle name="60% - Accent4 2 3 2 4 2 2 2" xfId="19499" xr:uid="{00000000-0005-0000-0000-0000717A0000}"/>
    <cellStyle name="60% - Accent4 2 3 2 4 2 2 2 2" xfId="39979" xr:uid="{00000000-0005-0000-0000-0000727A0000}"/>
    <cellStyle name="60% - Accent4 2 3 2 4 2 2 3" xfId="29739" xr:uid="{00000000-0005-0000-0000-0000737A0000}"/>
    <cellStyle name="60% - Accent4 2 3 2 4 2 3" xfId="14379" xr:uid="{00000000-0005-0000-0000-0000747A0000}"/>
    <cellStyle name="60% - Accent4 2 3 2 4 2 3 2" xfId="34859" xr:uid="{00000000-0005-0000-0000-0000757A0000}"/>
    <cellStyle name="60% - Accent4 2 3 2 4 2 4" xfId="24619" xr:uid="{00000000-0005-0000-0000-0000767A0000}"/>
    <cellStyle name="60% - Accent4 2 3 2 4 3" xfId="6699" xr:uid="{00000000-0005-0000-0000-0000777A0000}"/>
    <cellStyle name="60% - Accent4 2 3 2 4 3 2" xfId="16939" xr:uid="{00000000-0005-0000-0000-0000787A0000}"/>
    <cellStyle name="60% - Accent4 2 3 2 4 3 2 2" xfId="37419" xr:uid="{00000000-0005-0000-0000-0000797A0000}"/>
    <cellStyle name="60% - Accent4 2 3 2 4 3 3" xfId="27179" xr:uid="{00000000-0005-0000-0000-00007A7A0000}"/>
    <cellStyle name="60% - Accent4 2 3 2 4 4" xfId="11819" xr:uid="{00000000-0005-0000-0000-00007B7A0000}"/>
    <cellStyle name="60% - Accent4 2 3 2 4 4 2" xfId="32299" xr:uid="{00000000-0005-0000-0000-00007C7A0000}"/>
    <cellStyle name="60% - Accent4 2 3 2 4 5" xfId="22059" xr:uid="{00000000-0005-0000-0000-00007D7A0000}"/>
    <cellStyle name="60% - Accent4 2 3 2 5" xfId="2859" xr:uid="{00000000-0005-0000-0000-00007E7A0000}"/>
    <cellStyle name="60% - Accent4 2 3 2 5 2" xfId="7979" xr:uid="{00000000-0005-0000-0000-00007F7A0000}"/>
    <cellStyle name="60% - Accent4 2 3 2 5 2 2" xfId="18219" xr:uid="{00000000-0005-0000-0000-0000807A0000}"/>
    <cellStyle name="60% - Accent4 2 3 2 5 2 2 2" xfId="38699" xr:uid="{00000000-0005-0000-0000-0000817A0000}"/>
    <cellStyle name="60% - Accent4 2 3 2 5 2 3" xfId="28459" xr:uid="{00000000-0005-0000-0000-0000827A0000}"/>
    <cellStyle name="60% - Accent4 2 3 2 5 3" xfId="13099" xr:uid="{00000000-0005-0000-0000-0000837A0000}"/>
    <cellStyle name="60% - Accent4 2 3 2 5 3 2" xfId="33579" xr:uid="{00000000-0005-0000-0000-0000847A0000}"/>
    <cellStyle name="60% - Accent4 2 3 2 5 4" xfId="23339" xr:uid="{00000000-0005-0000-0000-0000857A0000}"/>
    <cellStyle name="60% - Accent4 2 3 2 6" xfId="5419" xr:uid="{00000000-0005-0000-0000-0000867A0000}"/>
    <cellStyle name="60% - Accent4 2 3 2 6 2" xfId="15659" xr:uid="{00000000-0005-0000-0000-0000877A0000}"/>
    <cellStyle name="60% - Accent4 2 3 2 6 2 2" xfId="36139" xr:uid="{00000000-0005-0000-0000-0000887A0000}"/>
    <cellStyle name="60% - Accent4 2 3 2 6 3" xfId="25899" xr:uid="{00000000-0005-0000-0000-0000897A0000}"/>
    <cellStyle name="60% - Accent4 2 3 2 7" xfId="10539" xr:uid="{00000000-0005-0000-0000-00008A7A0000}"/>
    <cellStyle name="60% - Accent4 2 3 2 7 2" xfId="31019" xr:uid="{00000000-0005-0000-0000-00008B7A0000}"/>
    <cellStyle name="60% - Accent4 2 3 2 8" xfId="20779" xr:uid="{00000000-0005-0000-0000-00008C7A0000}"/>
    <cellStyle name="60% - Accent4 2 3 3" xfId="459" xr:uid="{00000000-0005-0000-0000-00008D7A0000}"/>
    <cellStyle name="60% - Accent4 2 3 3 2" xfId="1099" xr:uid="{00000000-0005-0000-0000-00008E7A0000}"/>
    <cellStyle name="60% - Accent4 2 3 3 2 2" xfId="2379" xr:uid="{00000000-0005-0000-0000-00008F7A0000}"/>
    <cellStyle name="60% - Accent4 2 3 3 2 2 2" xfId="4939" xr:uid="{00000000-0005-0000-0000-0000907A0000}"/>
    <cellStyle name="60% - Accent4 2 3 3 2 2 2 2" xfId="10059" xr:uid="{00000000-0005-0000-0000-0000917A0000}"/>
    <cellStyle name="60% - Accent4 2 3 3 2 2 2 2 2" xfId="20299" xr:uid="{00000000-0005-0000-0000-0000927A0000}"/>
    <cellStyle name="60% - Accent4 2 3 3 2 2 2 2 2 2" xfId="40779" xr:uid="{00000000-0005-0000-0000-0000937A0000}"/>
    <cellStyle name="60% - Accent4 2 3 3 2 2 2 2 3" xfId="30539" xr:uid="{00000000-0005-0000-0000-0000947A0000}"/>
    <cellStyle name="60% - Accent4 2 3 3 2 2 2 3" xfId="15179" xr:uid="{00000000-0005-0000-0000-0000957A0000}"/>
    <cellStyle name="60% - Accent4 2 3 3 2 2 2 3 2" xfId="35659" xr:uid="{00000000-0005-0000-0000-0000967A0000}"/>
    <cellStyle name="60% - Accent4 2 3 3 2 2 2 4" xfId="25419" xr:uid="{00000000-0005-0000-0000-0000977A0000}"/>
    <cellStyle name="60% - Accent4 2 3 3 2 2 3" xfId="7499" xr:uid="{00000000-0005-0000-0000-0000987A0000}"/>
    <cellStyle name="60% - Accent4 2 3 3 2 2 3 2" xfId="17739" xr:uid="{00000000-0005-0000-0000-0000997A0000}"/>
    <cellStyle name="60% - Accent4 2 3 3 2 2 3 2 2" xfId="38219" xr:uid="{00000000-0005-0000-0000-00009A7A0000}"/>
    <cellStyle name="60% - Accent4 2 3 3 2 2 3 3" xfId="27979" xr:uid="{00000000-0005-0000-0000-00009B7A0000}"/>
    <cellStyle name="60% - Accent4 2 3 3 2 2 4" xfId="12619" xr:uid="{00000000-0005-0000-0000-00009C7A0000}"/>
    <cellStyle name="60% - Accent4 2 3 3 2 2 4 2" xfId="33099" xr:uid="{00000000-0005-0000-0000-00009D7A0000}"/>
    <cellStyle name="60% - Accent4 2 3 3 2 2 5" xfId="22859" xr:uid="{00000000-0005-0000-0000-00009E7A0000}"/>
    <cellStyle name="60% - Accent4 2 3 3 2 3" xfId="3659" xr:uid="{00000000-0005-0000-0000-00009F7A0000}"/>
    <cellStyle name="60% - Accent4 2 3 3 2 3 2" xfId="8779" xr:uid="{00000000-0005-0000-0000-0000A07A0000}"/>
    <cellStyle name="60% - Accent4 2 3 3 2 3 2 2" xfId="19019" xr:uid="{00000000-0005-0000-0000-0000A17A0000}"/>
    <cellStyle name="60% - Accent4 2 3 3 2 3 2 2 2" xfId="39499" xr:uid="{00000000-0005-0000-0000-0000A27A0000}"/>
    <cellStyle name="60% - Accent4 2 3 3 2 3 2 3" xfId="29259" xr:uid="{00000000-0005-0000-0000-0000A37A0000}"/>
    <cellStyle name="60% - Accent4 2 3 3 2 3 3" xfId="13899" xr:uid="{00000000-0005-0000-0000-0000A47A0000}"/>
    <cellStyle name="60% - Accent4 2 3 3 2 3 3 2" xfId="34379" xr:uid="{00000000-0005-0000-0000-0000A57A0000}"/>
    <cellStyle name="60% - Accent4 2 3 3 2 3 4" xfId="24139" xr:uid="{00000000-0005-0000-0000-0000A67A0000}"/>
    <cellStyle name="60% - Accent4 2 3 3 2 4" xfId="6219" xr:uid="{00000000-0005-0000-0000-0000A77A0000}"/>
    <cellStyle name="60% - Accent4 2 3 3 2 4 2" xfId="16459" xr:uid="{00000000-0005-0000-0000-0000A87A0000}"/>
    <cellStyle name="60% - Accent4 2 3 3 2 4 2 2" xfId="36939" xr:uid="{00000000-0005-0000-0000-0000A97A0000}"/>
    <cellStyle name="60% - Accent4 2 3 3 2 4 3" xfId="26699" xr:uid="{00000000-0005-0000-0000-0000AA7A0000}"/>
    <cellStyle name="60% - Accent4 2 3 3 2 5" xfId="11339" xr:uid="{00000000-0005-0000-0000-0000AB7A0000}"/>
    <cellStyle name="60% - Accent4 2 3 3 2 5 2" xfId="31819" xr:uid="{00000000-0005-0000-0000-0000AC7A0000}"/>
    <cellStyle name="60% - Accent4 2 3 3 2 6" xfId="21579" xr:uid="{00000000-0005-0000-0000-0000AD7A0000}"/>
    <cellStyle name="60% - Accent4 2 3 3 3" xfId="1739" xr:uid="{00000000-0005-0000-0000-0000AE7A0000}"/>
    <cellStyle name="60% - Accent4 2 3 3 3 2" xfId="4299" xr:uid="{00000000-0005-0000-0000-0000AF7A0000}"/>
    <cellStyle name="60% - Accent4 2 3 3 3 2 2" xfId="9419" xr:uid="{00000000-0005-0000-0000-0000B07A0000}"/>
    <cellStyle name="60% - Accent4 2 3 3 3 2 2 2" xfId="19659" xr:uid="{00000000-0005-0000-0000-0000B17A0000}"/>
    <cellStyle name="60% - Accent4 2 3 3 3 2 2 2 2" xfId="40139" xr:uid="{00000000-0005-0000-0000-0000B27A0000}"/>
    <cellStyle name="60% - Accent4 2 3 3 3 2 2 3" xfId="29899" xr:uid="{00000000-0005-0000-0000-0000B37A0000}"/>
    <cellStyle name="60% - Accent4 2 3 3 3 2 3" xfId="14539" xr:uid="{00000000-0005-0000-0000-0000B47A0000}"/>
    <cellStyle name="60% - Accent4 2 3 3 3 2 3 2" xfId="35019" xr:uid="{00000000-0005-0000-0000-0000B57A0000}"/>
    <cellStyle name="60% - Accent4 2 3 3 3 2 4" xfId="24779" xr:uid="{00000000-0005-0000-0000-0000B67A0000}"/>
    <cellStyle name="60% - Accent4 2 3 3 3 3" xfId="6859" xr:uid="{00000000-0005-0000-0000-0000B77A0000}"/>
    <cellStyle name="60% - Accent4 2 3 3 3 3 2" xfId="17099" xr:uid="{00000000-0005-0000-0000-0000B87A0000}"/>
    <cellStyle name="60% - Accent4 2 3 3 3 3 2 2" xfId="37579" xr:uid="{00000000-0005-0000-0000-0000B97A0000}"/>
    <cellStyle name="60% - Accent4 2 3 3 3 3 3" xfId="27339" xr:uid="{00000000-0005-0000-0000-0000BA7A0000}"/>
    <cellStyle name="60% - Accent4 2 3 3 3 4" xfId="11979" xr:uid="{00000000-0005-0000-0000-0000BB7A0000}"/>
    <cellStyle name="60% - Accent4 2 3 3 3 4 2" xfId="32459" xr:uid="{00000000-0005-0000-0000-0000BC7A0000}"/>
    <cellStyle name="60% - Accent4 2 3 3 3 5" xfId="22219" xr:uid="{00000000-0005-0000-0000-0000BD7A0000}"/>
    <cellStyle name="60% - Accent4 2 3 3 4" xfId="3019" xr:uid="{00000000-0005-0000-0000-0000BE7A0000}"/>
    <cellStyle name="60% - Accent4 2 3 3 4 2" xfId="8139" xr:uid="{00000000-0005-0000-0000-0000BF7A0000}"/>
    <cellStyle name="60% - Accent4 2 3 3 4 2 2" xfId="18379" xr:uid="{00000000-0005-0000-0000-0000C07A0000}"/>
    <cellStyle name="60% - Accent4 2 3 3 4 2 2 2" xfId="38859" xr:uid="{00000000-0005-0000-0000-0000C17A0000}"/>
    <cellStyle name="60% - Accent4 2 3 3 4 2 3" xfId="28619" xr:uid="{00000000-0005-0000-0000-0000C27A0000}"/>
    <cellStyle name="60% - Accent4 2 3 3 4 3" xfId="13259" xr:uid="{00000000-0005-0000-0000-0000C37A0000}"/>
    <cellStyle name="60% - Accent4 2 3 3 4 3 2" xfId="33739" xr:uid="{00000000-0005-0000-0000-0000C47A0000}"/>
    <cellStyle name="60% - Accent4 2 3 3 4 4" xfId="23499" xr:uid="{00000000-0005-0000-0000-0000C57A0000}"/>
    <cellStyle name="60% - Accent4 2 3 3 5" xfId="5579" xr:uid="{00000000-0005-0000-0000-0000C67A0000}"/>
    <cellStyle name="60% - Accent4 2 3 3 5 2" xfId="15819" xr:uid="{00000000-0005-0000-0000-0000C77A0000}"/>
    <cellStyle name="60% - Accent4 2 3 3 5 2 2" xfId="36299" xr:uid="{00000000-0005-0000-0000-0000C87A0000}"/>
    <cellStyle name="60% - Accent4 2 3 3 5 3" xfId="26059" xr:uid="{00000000-0005-0000-0000-0000C97A0000}"/>
    <cellStyle name="60% - Accent4 2 3 3 6" xfId="10699" xr:uid="{00000000-0005-0000-0000-0000CA7A0000}"/>
    <cellStyle name="60% - Accent4 2 3 3 6 2" xfId="31179" xr:uid="{00000000-0005-0000-0000-0000CB7A0000}"/>
    <cellStyle name="60% - Accent4 2 3 3 7" xfId="20939" xr:uid="{00000000-0005-0000-0000-0000CC7A0000}"/>
    <cellStyle name="60% - Accent4 2 3 4" xfId="779" xr:uid="{00000000-0005-0000-0000-0000CD7A0000}"/>
    <cellStyle name="60% - Accent4 2 3 4 2" xfId="2059" xr:uid="{00000000-0005-0000-0000-0000CE7A0000}"/>
    <cellStyle name="60% - Accent4 2 3 4 2 2" xfId="4619" xr:uid="{00000000-0005-0000-0000-0000CF7A0000}"/>
    <cellStyle name="60% - Accent4 2 3 4 2 2 2" xfId="9739" xr:uid="{00000000-0005-0000-0000-0000D07A0000}"/>
    <cellStyle name="60% - Accent4 2 3 4 2 2 2 2" xfId="19979" xr:uid="{00000000-0005-0000-0000-0000D17A0000}"/>
    <cellStyle name="60% - Accent4 2 3 4 2 2 2 2 2" xfId="40459" xr:uid="{00000000-0005-0000-0000-0000D27A0000}"/>
    <cellStyle name="60% - Accent4 2 3 4 2 2 2 3" xfId="30219" xr:uid="{00000000-0005-0000-0000-0000D37A0000}"/>
    <cellStyle name="60% - Accent4 2 3 4 2 2 3" xfId="14859" xr:uid="{00000000-0005-0000-0000-0000D47A0000}"/>
    <cellStyle name="60% - Accent4 2 3 4 2 2 3 2" xfId="35339" xr:uid="{00000000-0005-0000-0000-0000D57A0000}"/>
    <cellStyle name="60% - Accent4 2 3 4 2 2 4" xfId="25099" xr:uid="{00000000-0005-0000-0000-0000D67A0000}"/>
    <cellStyle name="60% - Accent4 2 3 4 2 3" xfId="7179" xr:uid="{00000000-0005-0000-0000-0000D77A0000}"/>
    <cellStyle name="60% - Accent4 2 3 4 2 3 2" xfId="17419" xr:uid="{00000000-0005-0000-0000-0000D87A0000}"/>
    <cellStyle name="60% - Accent4 2 3 4 2 3 2 2" xfId="37899" xr:uid="{00000000-0005-0000-0000-0000D97A0000}"/>
    <cellStyle name="60% - Accent4 2 3 4 2 3 3" xfId="27659" xr:uid="{00000000-0005-0000-0000-0000DA7A0000}"/>
    <cellStyle name="60% - Accent4 2 3 4 2 4" xfId="12299" xr:uid="{00000000-0005-0000-0000-0000DB7A0000}"/>
    <cellStyle name="60% - Accent4 2 3 4 2 4 2" xfId="32779" xr:uid="{00000000-0005-0000-0000-0000DC7A0000}"/>
    <cellStyle name="60% - Accent4 2 3 4 2 5" xfId="22539" xr:uid="{00000000-0005-0000-0000-0000DD7A0000}"/>
    <cellStyle name="60% - Accent4 2 3 4 3" xfId="3339" xr:uid="{00000000-0005-0000-0000-0000DE7A0000}"/>
    <cellStyle name="60% - Accent4 2 3 4 3 2" xfId="8459" xr:uid="{00000000-0005-0000-0000-0000DF7A0000}"/>
    <cellStyle name="60% - Accent4 2 3 4 3 2 2" xfId="18699" xr:uid="{00000000-0005-0000-0000-0000E07A0000}"/>
    <cellStyle name="60% - Accent4 2 3 4 3 2 2 2" xfId="39179" xr:uid="{00000000-0005-0000-0000-0000E17A0000}"/>
    <cellStyle name="60% - Accent4 2 3 4 3 2 3" xfId="28939" xr:uid="{00000000-0005-0000-0000-0000E27A0000}"/>
    <cellStyle name="60% - Accent4 2 3 4 3 3" xfId="13579" xr:uid="{00000000-0005-0000-0000-0000E37A0000}"/>
    <cellStyle name="60% - Accent4 2 3 4 3 3 2" xfId="34059" xr:uid="{00000000-0005-0000-0000-0000E47A0000}"/>
    <cellStyle name="60% - Accent4 2 3 4 3 4" xfId="23819" xr:uid="{00000000-0005-0000-0000-0000E57A0000}"/>
    <cellStyle name="60% - Accent4 2 3 4 4" xfId="5899" xr:uid="{00000000-0005-0000-0000-0000E67A0000}"/>
    <cellStyle name="60% - Accent4 2 3 4 4 2" xfId="16139" xr:uid="{00000000-0005-0000-0000-0000E77A0000}"/>
    <cellStyle name="60% - Accent4 2 3 4 4 2 2" xfId="36619" xr:uid="{00000000-0005-0000-0000-0000E87A0000}"/>
    <cellStyle name="60% - Accent4 2 3 4 4 3" xfId="26379" xr:uid="{00000000-0005-0000-0000-0000E97A0000}"/>
    <cellStyle name="60% - Accent4 2 3 4 5" xfId="11019" xr:uid="{00000000-0005-0000-0000-0000EA7A0000}"/>
    <cellStyle name="60% - Accent4 2 3 4 5 2" xfId="31499" xr:uid="{00000000-0005-0000-0000-0000EB7A0000}"/>
    <cellStyle name="60% - Accent4 2 3 4 6" xfId="21259" xr:uid="{00000000-0005-0000-0000-0000EC7A0000}"/>
    <cellStyle name="60% - Accent4 2 3 5" xfId="1419" xr:uid="{00000000-0005-0000-0000-0000ED7A0000}"/>
    <cellStyle name="60% - Accent4 2 3 5 2" xfId="3979" xr:uid="{00000000-0005-0000-0000-0000EE7A0000}"/>
    <cellStyle name="60% - Accent4 2 3 5 2 2" xfId="9099" xr:uid="{00000000-0005-0000-0000-0000EF7A0000}"/>
    <cellStyle name="60% - Accent4 2 3 5 2 2 2" xfId="19339" xr:uid="{00000000-0005-0000-0000-0000F07A0000}"/>
    <cellStyle name="60% - Accent4 2 3 5 2 2 2 2" xfId="39819" xr:uid="{00000000-0005-0000-0000-0000F17A0000}"/>
    <cellStyle name="60% - Accent4 2 3 5 2 2 3" xfId="29579" xr:uid="{00000000-0005-0000-0000-0000F27A0000}"/>
    <cellStyle name="60% - Accent4 2 3 5 2 3" xfId="14219" xr:uid="{00000000-0005-0000-0000-0000F37A0000}"/>
    <cellStyle name="60% - Accent4 2 3 5 2 3 2" xfId="34699" xr:uid="{00000000-0005-0000-0000-0000F47A0000}"/>
    <cellStyle name="60% - Accent4 2 3 5 2 4" xfId="24459" xr:uid="{00000000-0005-0000-0000-0000F57A0000}"/>
    <cellStyle name="60% - Accent4 2 3 5 3" xfId="6539" xr:uid="{00000000-0005-0000-0000-0000F67A0000}"/>
    <cellStyle name="60% - Accent4 2 3 5 3 2" xfId="16779" xr:uid="{00000000-0005-0000-0000-0000F77A0000}"/>
    <cellStyle name="60% - Accent4 2 3 5 3 2 2" xfId="37259" xr:uid="{00000000-0005-0000-0000-0000F87A0000}"/>
    <cellStyle name="60% - Accent4 2 3 5 3 3" xfId="27019" xr:uid="{00000000-0005-0000-0000-0000F97A0000}"/>
    <cellStyle name="60% - Accent4 2 3 5 4" xfId="11659" xr:uid="{00000000-0005-0000-0000-0000FA7A0000}"/>
    <cellStyle name="60% - Accent4 2 3 5 4 2" xfId="32139" xr:uid="{00000000-0005-0000-0000-0000FB7A0000}"/>
    <cellStyle name="60% - Accent4 2 3 5 5" xfId="21899" xr:uid="{00000000-0005-0000-0000-0000FC7A0000}"/>
    <cellStyle name="60% - Accent4 2 3 6" xfId="2699" xr:uid="{00000000-0005-0000-0000-0000FD7A0000}"/>
    <cellStyle name="60% - Accent4 2 3 6 2" xfId="7819" xr:uid="{00000000-0005-0000-0000-0000FE7A0000}"/>
    <cellStyle name="60% - Accent4 2 3 6 2 2" xfId="18059" xr:uid="{00000000-0005-0000-0000-0000FF7A0000}"/>
    <cellStyle name="60% - Accent4 2 3 6 2 2 2" xfId="38539" xr:uid="{00000000-0005-0000-0000-0000007B0000}"/>
    <cellStyle name="60% - Accent4 2 3 6 2 3" xfId="28299" xr:uid="{00000000-0005-0000-0000-0000017B0000}"/>
    <cellStyle name="60% - Accent4 2 3 6 3" xfId="12939" xr:uid="{00000000-0005-0000-0000-0000027B0000}"/>
    <cellStyle name="60% - Accent4 2 3 6 3 2" xfId="33419" xr:uid="{00000000-0005-0000-0000-0000037B0000}"/>
    <cellStyle name="60% - Accent4 2 3 6 4" xfId="23179" xr:uid="{00000000-0005-0000-0000-0000047B0000}"/>
    <cellStyle name="60% - Accent4 2 3 7" xfId="5259" xr:uid="{00000000-0005-0000-0000-0000057B0000}"/>
    <cellStyle name="60% - Accent4 2 3 7 2" xfId="15499" xr:uid="{00000000-0005-0000-0000-0000067B0000}"/>
    <cellStyle name="60% - Accent4 2 3 7 2 2" xfId="35979" xr:uid="{00000000-0005-0000-0000-0000077B0000}"/>
    <cellStyle name="60% - Accent4 2 3 7 3" xfId="25739" xr:uid="{00000000-0005-0000-0000-0000087B0000}"/>
    <cellStyle name="60% - Accent4 2 3 8" xfId="10379" xr:uid="{00000000-0005-0000-0000-0000097B0000}"/>
    <cellStyle name="60% - Accent4 2 3 8 2" xfId="30859" xr:uid="{00000000-0005-0000-0000-00000A7B0000}"/>
    <cellStyle name="60% - Accent4 2 3 9" xfId="20619" xr:uid="{00000000-0005-0000-0000-00000B7B0000}"/>
    <cellStyle name="60% - Accent4 2 4" xfId="219" xr:uid="{00000000-0005-0000-0000-00000C7B0000}"/>
    <cellStyle name="60% - Accent4 2 4 2" xfId="539" xr:uid="{00000000-0005-0000-0000-00000D7B0000}"/>
    <cellStyle name="60% - Accent4 2 4 2 2" xfId="1179" xr:uid="{00000000-0005-0000-0000-00000E7B0000}"/>
    <cellStyle name="60% - Accent4 2 4 2 2 2" xfId="2459" xr:uid="{00000000-0005-0000-0000-00000F7B0000}"/>
    <cellStyle name="60% - Accent4 2 4 2 2 2 2" xfId="5019" xr:uid="{00000000-0005-0000-0000-0000107B0000}"/>
    <cellStyle name="60% - Accent4 2 4 2 2 2 2 2" xfId="10139" xr:uid="{00000000-0005-0000-0000-0000117B0000}"/>
    <cellStyle name="60% - Accent4 2 4 2 2 2 2 2 2" xfId="20379" xr:uid="{00000000-0005-0000-0000-0000127B0000}"/>
    <cellStyle name="60% - Accent4 2 4 2 2 2 2 2 2 2" xfId="40859" xr:uid="{00000000-0005-0000-0000-0000137B0000}"/>
    <cellStyle name="60% - Accent4 2 4 2 2 2 2 2 3" xfId="30619" xr:uid="{00000000-0005-0000-0000-0000147B0000}"/>
    <cellStyle name="60% - Accent4 2 4 2 2 2 2 3" xfId="15259" xr:uid="{00000000-0005-0000-0000-0000157B0000}"/>
    <cellStyle name="60% - Accent4 2 4 2 2 2 2 3 2" xfId="35739" xr:uid="{00000000-0005-0000-0000-0000167B0000}"/>
    <cellStyle name="60% - Accent4 2 4 2 2 2 2 4" xfId="25499" xr:uid="{00000000-0005-0000-0000-0000177B0000}"/>
    <cellStyle name="60% - Accent4 2 4 2 2 2 3" xfId="7579" xr:uid="{00000000-0005-0000-0000-0000187B0000}"/>
    <cellStyle name="60% - Accent4 2 4 2 2 2 3 2" xfId="17819" xr:uid="{00000000-0005-0000-0000-0000197B0000}"/>
    <cellStyle name="60% - Accent4 2 4 2 2 2 3 2 2" xfId="38299" xr:uid="{00000000-0005-0000-0000-00001A7B0000}"/>
    <cellStyle name="60% - Accent4 2 4 2 2 2 3 3" xfId="28059" xr:uid="{00000000-0005-0000-0000-00001B7B0000}"/>
    <cellStyle name="60% - Accent4 2 4 2 2 2 4" xfId="12699" xr:uid="{00000000-0005-0000-0000-00001C7B0000}"/>
    <cellStyle name="60% - Accent4 2 4 2 2 2 4 2" xfId="33179" xr:uid="{00000000-0005-0000-0000-00001D7B0000}"/>
    <cellStyle name="60% - Accent4 2 4 2 2 2 5" xfId="22939" xr:uid="{00000000-0005-0000-0000-00001E7B0000}"/>
    <cellStyle name="60% - Accent4 2 4 2 2 3" xfId="3739" xr:uid="{00000000-0005-0000-0000-00001F7B0000}"/>
    <cellStyle name="60% - Accent4 2 4 2 2 3 2" xfId="8859" xr:uid="{00000000-0005-0000-0000-0000207B0000}"/>
    <cellStyle name="60% - Accent4 2 4 2 2 3 2 2" xfId="19099" xr:uid="{00000000-0005-0000-0000-0000217B0000}"/>
    <cellStyle name="60% - Accent4 2 4 2 2 3 2 2 2" xfId="39579" xr:uid="{00000000-0005-0000-0000-0000227B0000}"/>
    <cellStyle name="60% - Accent4 2 4 2 2 3 2 3" xfId="29339" xr:uid="{00000000-0005-0000-0000-0000237B0000}"/>
    <cellStyle name="60% - Accent4 2 4 2 2 3 3" xfId="13979" xr:uid="{00000000-0005-0000-0000-0000247B0000}"/>
    <cellStyle name="60% - Accent4 2 4 2 2 3 3 2" xfId="34459" xr:uid="{00000000-0005-0000-0000-0000257B0000}"/>
    <cellStyle name="60% - Accent4 2 4 2 2 3 4" xfId="24219" xr:uid="{00000000-0005-0000-0000-0000267B0000}"/>
    <cellStyle name="60% - Accent4 2 4 2 2 4" xfId="6299" xr:uid="{00000000-0005-0000-0000-0000277B0000}"/>
    <cellStyle name="60% - Accent4 2 4 2 2 4 2" xfId="16539" xr:uid="{00000000-0005-0000-0000-0000287B0000}"/>
    <cellStyle name="60% - Accent4 2 4 2 2 4 2 2" xfId="37019" xr:uid="{00000000-0005-0000-0000-0000297B0000}"/>
    <cellStyle name="60% - Accent4 2 4 2 2 4 3" xfId="26779" xr:uid="{00000000-0005-0000-0000-00002A7B0000}"/>
    <cellStyle name="60% - Accent4 2 4 2 2 5" xfId="11419" xr:uid="{00000000-0005-0000-0000-00002B7B0000}"/>
    <cellStyle name="60% - Accent4 2 4 2 2 5 2" xfId="31899" xr:uid="{00000000-0005-0000-0000-00002C7B0000}"/>
    <cellStyle name="60% - Accent4 2 4 2 2 6" xfId="21659" xr:uid="{00000000-0005-0000-0000-00002D7B0000}"/>
    <cellStyle name="60% - Accent4 2 4 2 3" xfId="1819" xr:uid="{00000000-0005-0000-0000-00002E7B0000}"/>
    <cellStyle name="60% - Accent4 2 4 2 3 2" xfId="4379" xr:uid="{00000000-0005-0000-0000-00002F7B0000}"/>
    <cellStyle name="60% - Accent4 2 4 2 3 2 2" xfId="9499" xr:uid="{00000000-0005-0000-0000-0000307B0000}"/>
    <cellStyle name="60% - Accent4 2 4 2 3 2 2 2" xfId="19739" xr:uid="{00000000-0005-0000-0000-0000317B0000}"/>
    <cellStyle name="60% - Accent4 2 4 2 3 2 2 2 2" xfId="40219" xr:uid="{00000000-0005-0000-0000-0000327B0000}"/>
    <cellStyle name="60% - Accent4 2 4 2 3 2 2 3" xfId="29979" xr:uid="{00000000-0005-0000-0000-0000337B0000}"/>
    <cellStyle name="60% - Accent4 2 4 2 3 2 3" xfId="14619" xr:uid="{00000000-0005-0000-0000-0000347B0000}"/>
    <cellStyle name="60% - Accent4 2 4 2 3 2 3 2" xfId="35099" xr:uid="{00000000-0005-0000-0000-0000357B0000}"/>
    <cellStyle name="60% - Accent4 2 4 2 3 2 4" xfId="24859" xr:uid="{00000000-0005-0000-0000-0000367B0000}"/>
    <cellStyle name="60% - Accent4 2 4 2 3 3" xfId="6939" xr:uid="{00000000-0005-0000-0000-0000377B0000}"/>
    <cellStyle name="60% - Accent4 2 4 2 3 3 2" xfId="17179" xr:uid="{00000000-0005-0000-0000-0000387B0000}"/>
    <cellStyle name="60% - Accent4 2 4 2 3 3 2 2" xfId="37659" xr:uid="{00000000-0005-0000-0000-0000397B0000}"/>
    <cellStyle name="60% - Accent4 2 4 2 3 3 3" xfId="27419" xr:uid="{00000000-0005-0000-0000-00003A7B0000}"/>
    <cellStyle name="60% - Accent4 2 4 2 3 4" xfId="12059" xr:uid="{00000000-0005-0000-0000-00003B7B0000}"/>
    <cellStyle name="60% - Accent4 2 4 2 3 4 2" xfId="32539" xr:uid="{00000000-0005-0000-0000-00003C7B0000}"/>
    <cellStyle name="60% - Accent4 2 4 2 3 5" xfId="22299" xr:uid="{00000000-0005-0000-0000-00003D7B0000}"/>
    <cellStyle name="60% - Accent4 2 4 2 4" xfId="3099" xr:uid="{00000000-0005-0000-0000-00003E7B0000}"/>
    <cellStyle name="60% - Accent4 2 4 2 4 2" xfId="8219" xr:uid="{00000000-0005-0000-0000-00003F7B0000}"/>
    <cellStyle name="60% - Accent4 2 4 2 4 2 2" xfId="18459" xr:uid="{00000000-0005-0000-0000-0000407B0000}"/>
    <cellStyle name="60% - Accent4 2 4 2 4 2 2 2" xfId="38939" xr:uid="{00000000-0005-0000-0000-0000417B0000}"/>
    <cellStyle name="60% - Accent4 2 4 2 4 2 3" xfId="28699" xr:uid="{00000000-0005-0000-0000-0000427B0000}"/>
    <cellStyle name="60% - Accent4 2 4 2 4 3" xfId="13339" xr:uid="{00000000-0005-0000-0000-0000437B0000}"/>
    <cellStyle name="60% - Accent4 2 4 2 4 3 2" xfId="33819" xr:uid="{00000000-0005-0000-0000-0000447B0000}"/>
    <cellStyle name="60% - Accent4 2 4 2 4 4" xfId="23579" xr:uid="{00000000-0005-0000-0000-0000457B0000}"/>
    <cellStyle name="60% - Accent4 2 4 2 5" xfId="5659" xr:uid="{00000000-0005-0000-0000-0000467B0000}"/>
    <cellStyle name="60% - Accent4 2 4 2 5 2" xfId="15899" xr:uid="{00000000-0005-0000-0000-0000477B0000}"/>
    <cellStyle name="60% - Accent4 2 4 2 5 2 2" xfId="36379" xr:uid="{00000000-0005-0000-0000-0000487B0000}"/>
    <cellStyle name="60% - Accent4 2 4 2 5 3" xfId="26139" xr:uid="{00000000-0005-0000-0000-0000497B0000}"/>
    <cellStyle name="60% - Accent4 2 4 2 6" xfId="10779" xr:uid="{00000000-0005-0000-0000-00004A7B0000}"/>
    <cellStyle name="60% - Accent4 2 4 2 6 2" xfId="31259" xr:uid="{00000000-0005-0000-0000-00004B7B0000}"/>
    <cellStyle name="60% - Accent4 2 4 2 7" xfId="21019" xr:uid="{00000000-0005-0000-0000-00004C7B0000}"/>
    <cellStyle name="60% - Accent4 2 4 3" xfId="859" xr:uid="{00000000-0005-0000-0000-00004D7B0000}"/>
    <cellStyle name="60% - Accent4 2 4 3 2" xfId="2139" xr:uid="{00000000-0005-0000-0000-00004E7B0000}"/>
    <cellStyle name="60% - Accent4 2 4 3 2 2" xfId="4699" xr:uid="{00000000-0005-0000-0000-00004F7B0000}"/>
    <cellStyle name="60% - Accent4 2 4 3 2 2 2" xfId="9819" xr:uid="{00000000-0005-0000-0000-0000507B0000}"/>
    <cellStyle name="60% - Accent4 2 4 3 2 2 2 2" xfId="20059" xr:uid="{00000000-0005-0000-0000-0000517B0000}"/>
    <cellStyle name="60% - Accent4 2 4 3 2 2 2 2 2" xfId="40539" xr:uid="{00000000-0005-0000-0000-0000527B0000}"/>
    <cellStyle name="60% - Accent4 2 4 3 2 2 2 3" xfId="30299" xr:uid="{00000000-0005-0000-0000-0000537B0000}"/>
    <cellStyle name="60% - Accent4 2 4 3 2 2 3" xfId="14939" xr:uid="{00000000-0005-0000-0000-0000547B0000}"/>
    <cellStyle name="60% - Accent4 2 4 3 2 2 3 2" xfId="35419" xr:uid="{00000000-0005-0000-0000-0000557B0000}"/>
    <cellStyle name="60% - Accent4 2 4 3 2 2 4" xfId="25179" xr:uid="{00000000-0005-0000-0000-0000567B0000}"/>
    <cellStyle name="60% - Accent4 2 4 3 2 3" xfId="7259" xr:uid="{00000000-0005-0000-0000-0000577B0000}"/>
    <cellStyle name="60% - Accent4 2 4 3 2 3 2" xfId="17499" xr:uid="{00000000-0005-0000-0000-0000587B0000}"/>
    <cellStyle name="60% - Accent4 2 4 3 2 3 2 2" xfId="37979" xr:uid="{00000000-0005-0000-0000-0000597B0000}"/>
    <cellStyle name="60% - Accent4 2 4 3 2 3 3" xfId="27739" xr:uid="{00000000-0005-0000-0000-00005A7B0000}"/>
    <cellStyle name="60% - Accent4 2 4 3 2 4" xfId="12379" xr:uid="{00000000-0005-0000-0000-00005B7B0000}"/>
    <cellStyle name="60% - Accent4 2 4 3 2 4 2" xfId="32859" xr:uid="{00000000-0005-0000-0000-00005C7B0000}"/>
    <cellStyle name="60% - Accent4 2 4 3 2 5" xfId="22619" xr:uid="{00000000-0005-0000-0000-00005D7B0000}"/>
    <cellStyle name="60% - Accent4 2 4 3 3" xfId="3419" xr:uid="{00000000-0005-0000-0000-00005E7B0000}"/>
    <cellStyle name="60% - Accent4 2 4 3 3 2" xfId="8539" xr:uid="{00000000-0005-0000-0000-00005F7B0000}"/>
    <cellStyle name="60% - Accent4 2 4 3 3 2 2" xfId="18779" xr:uid="{00000000-0005-0000-0000-0000607B0000}"/>
    <cellStyle name="60% - Accent4 2 4 3 3 2 2 2" xfId="39259" xr:uid="{00000000-0005-0000-0000-0000617B0000}"/>
    <cellStyle name="60% - Accent4 2 4 3 3 2 3" xfId="29019" xr:uid="{00000000-0005-0000-0000-0000627B0000}"/>
    <cellStyle name="60% - Accent4 2 4 3 3 3" xfId="13659" xr:uid="{00000000-0005-0000-0000-0000637B0000}"/>
    <cellStyle name="60% - Accent4 2 4 3 3 3 2" xfId="34139" xr:uid="{00000000-0005-0000-0000-0000647B0000}"/>
    <cellStyle name="60% - Accent4 2 4 3 3 4" xfId="23899" xr:uid="{00000000-0005-0000-0000-0000657B0000}"/>
    <cellStyle name="60% - Accent4 2 4 3 4" xfId="5979" xr:uid="{00000000-0005-0000-0000-0000667B0000}"/>
    <cellStyle name="60% - Accent4 2 4 3 4 2" xfId="16219" xr:uid="{00000000-0005-0000-0000-0000677B0000}"/>
    <cellStyle name="60% - Accent4 2 4 3 4 2 2" xfId="36699" xr:uid="{00000000-0005-0000-0000-0000687B0000}"/>
    <cellStyle name="60% - Accent4 2 4 3 4 3" xfId="26459" xr:uid="{00000000-0005-0000-0000-0000697B0000}"/>
    <cellStyle name="60% - Accent4 2 4 3 5" xfId="11099" xr:uid="{00000000-0005-0000-0000-00006A7B0000}"/>
    <cellStyle name="60% - Accent4 2 4 3 5 2" xfId="31579" xr:uid="{00000000-0005-0000-0000-00006B7B0000}"/>
    <cellStyle name="60% - Accent4 2 4 3 6" xfId="21339" xr:uid="{00000000-0005-0000-0000-00006C7B0000}"/>
    <cellStyle name="60% - Accent4 2 4 4" xfId="1499" xr:uid="{00000000-0005-0000-0000-00006D7B0000}"/>
    <cellStyle name="60% - Accent4 2 4 4 2" xfId="4059" xr:uid="{00000000-0005-0000-0000-00006E7B0000}"/>
    <cellStyle name="60% - Accent4 2 4 4 2 2" xfId="9179" xr:uid="{00000000-0005-0000-0000-00006F7B0000}"/>
    <cellStyle name="60% - Accent4 2 4 4 2 2 2" xfId="19419" xr:uid="{00000000-0005-0000-0000-0000707B0000}"/>
    <cellStyle name="60% - Accent4 2 4 4 2 2 2 2" xfId="39899" xr:uid="{00000000-0005-0000-0000-0000717B0000}"/>
    <cellStyle name="60% - Accent4 2 4 4 2 2 3" xfId="29659" xr:uid="{00000000-0005-0000-0000-0000727B0000}"/>
    <cellStyle name="60% - Accent4 2 4 4 2 3" xfId="14299" xr:uid="{00000000-0005-0000-0000-0000737B0000}"/>
    <cellStyle name="60% - Accent4 2 4 4 2 3 2" xfId="34779" xr:uid="{00000000-0005-0000-0000-0000747B0000}"/>
    <cellStyle name="60% - Accent4 2 4 4 2 4" xfId="24539" xr:uid="{00000000-0005-0000-0000-0000757B0000}"/>
    <cellStyle name="60% - Accent4 2 4 4 3" xfId="6619" xr:uid="{00000000-0005-0000-0000-0000767B0000}"/>
    <cellStyle name="60% - Accent4 2 4 4 3 2" xfId="16859" xr:uid="{00000000-0005-0000-0000-0000777B0000}"/>
    <cellStyle name="60% - Accent4 2 4 4 3 2 2" xfId="37339" xr:uid="{00000000-0005-0000-0000-0000787B0000}"/>
    <cellStyle name="60% - Accent4 2 4 4 3 3" xfId="27099" xr:uid="{00000000-0005-0000-0000-0000797B0000}"/>
    <cellStyle name="60% - Accent4 2 4 4 4" xfId="11739" xr:uid="{00000000-0005-0000-0000-00007A7B0000}"/>
    <cellStyle name="60% - Accent4 2 4 4 4 2" xfId="32219" xr:uid="{00000000-0005-0000-0000-00007B7B0000}"/>
    <cellStyle name="60% - Accent4 2 4 4 5" xfId="21979" xr:uid="{00000000-0005-0000-0000-00007C7B0000}"/>
    <cellStyle name="60% - Accent4 2 4 5" xfId="2779" xr:uid="{00000000-0005-0000-0000-00007D7B0000}"/>
    <cellStyle name="60% - Accent4 2 4 5 2" xfId="7899" xr:uid="{00000000-0005-0000-0000-00007E7B0000}"/>
    <cellStyle name="60% - Accent4 2 4 5 2 2" xfId="18139" xr:uid="{00000000-0005-0000-0000-00007F7B0000}"/>
    <cellStyle name="60% - Accent4 2 4 5 2 2 2" xfId="38619" xr:uid="{00000000-0005-0000-0000-0000807B0000}"/>
    <cellStyle name="60% - Accent4 2 4 5 2 3" xfId="28379" xr:uid="{00000000-0005-0000-0000-0000817B0000}"/>
    <cellStyle name="60% - Accent4 2 4 5 3" xfId="13019" xr:uid="{00000000-0005-0000-0000-0000827B0000}"/>
    <cellStyle name="60% - Accent4 2 4 5 3 2" xfId="33499" xr:uid="{00000000-0005-0000-0000-0000837B0000}"/>
    <cellStyle name="60% - Accent4 2 4 5 4" xfId="23259" xr:uid="{00000000-0005-0000-0000-0000847B0000}"/>
    <cellStyle name="60% - Accent4 2 4 6" xfId="5339" xr:uid="{00000000-0005-0000-0000-0000857B0000}"/>
    <cellStyle name="60% - Accent4 2 4 6 2" xfId="15579" xr:uid="{00000000-0005-0000-0000-0000867B0000}"/>
    <cellStyle name="60% - Accent4 2 4 6 2 2" xfId="36059" xr:uid="{00000000-0005-0000-0000-0000877B0000}"/>
    <cellStyle name="60% - Accent4 2 4 6 3" xfId="25819" xr:uid="{00000000-0005-0000-0000-0000887B0000}"/>
    <cellStyle name="60% - Accent4 2 4 7" xfId="10459" xr:uid="{00000000-0005-0000-0000-0000897B0000}"/>
    <cellStyle name="60% - Accent4 2 4 7 2" xfId="30939" xr:uid="{00000000-0005-0000-0000-00008A7B0000}"/>
    <cellStyle name="60% - Accent4 2 4 8" xfId="20699" xr:uid="{00000000-0005-0000-0000-00008B7B0000}"/>
    <cellStyle name="60% - Accent4 2 5" xfId="379" xr:uid="{00000000-0005-0000-0000-00008C7B0000}"/>
    <cellStyle name="60% - Accent4 2 5 2" xfId="1019" xr:uid="{00000000-0005-0000-0000-00008D7B0000}"/>
    <cellStyle name="60% - Accent4 2 5 2 2" xfId="2299" xr:uid="{00000000-0005-0000-0000-00008E7B0000}"/>
    <cellStyle name="60% - Accent4 2 5 2 2 2" xfId="4859" xr:uid="{00000000-0005-0000-0000-00008F7B0000}"/>
    <cellStyle name="60% - Accent4 2 5 2 2 2 2" xfId="9979" xr:uid="{00000000-0005-0000-0000-0000907B0000}"/>
    <cellStyle name="60% - Accent4 2 5 2 2 2 2 2" xfId="20219" xr:uid="{00000000-0005-0000-0000-0000917B0000}"/>
    <cellStyle name="60% - Accent4 2 5 2 2 2 2 2 2" xfId="40699" xr:uid="{00000000-0005-0000-0000-0000927B0000}"/>
    <cellStyle name="60% - Accent4 2 5 2 2 2 2 3" xfId="30459" xr:uid="{00000000-0005-0000-0000-0000937B0000}"/>
    <cellStyle name="60% - Accent4 2 5 2 2 2 3" xfId="15099" xr:uid="{00000000-0005-0000-0000-0000947B0000}"/>
    <cellStyle name="60% - Accent4 2 5 2 2 2 3 2" xfId="35579" xr:uid="{00000000-0005-0000-0000-0000957B0000}"/>
    <cellStyle name="60% - Accent4 2 5 2 2 2 4" xfId="25339" xr:uid="{00000000-0005-0000-0000-0000967B0000}"/>
    <cellStyle name="60% - Accent4 2 5 2 2 3" xfId="7419" xr:uid="{00000000-0005-0000-0000-0000977B0000}"/>
    <cellStyle name="60% - Accent4 2 5 2 2 3 2" xfId="17659" xr:uid="{00000000-0005-0000-0000-0000987B0000}"/>
    <cellStyle name="60% - Accent4 2 5 2 2 3 2 2" xfId="38139" xr:uid="{00000000-0005-0000-0000-0000997B0000}"/>
    <cellStyle name="60% - Accent4 2 5 2 2 3 3" xfId="27899" xr:uid="{00000000-0005-0000-0000-00009A7B0000}"/>
    <cellStyle name="60% - Accent4 2 5 2 2 4" xfId="12539" xr:uid="{00000000-0005-0000-0000-00009B7B0000}"/>
    <cellStyle name="60% - Accent4 2 5 2 2 4 2" xfId="33019" xr:uid="{00000000-0005-0000-0000-00009C7B0000}"/>
    <cellStyle name="60% - Accent4 2 5 2 2 5" xfId="22779" xr:uid="{00000000-0005-0000-0000-00009D7B0000}"/>
    <cellStyle name="60% - Accent4 2 5 2 3" xfId="3579" xr:uid="{00000000-0005-0000-0000-00009E7B0000}"/>
    <cellStyle name="60% - Accent4 2 5 2 3 2" xfId="8699" xr:uid="{00000000-0005-0000-0000-00009F7B0000}"/>
    <cellStyle name="60% - Accent4 2 5 2 3 2 2" xfId="18939" xr:uid="{00000000-0005-0000-0000-0000A07B0000}"/>
    <cellStyle name="60% - Accent4 2 5 2 3 2 2 2" xfId="39419" xr:uid="{00000000-0005-0000-0000-0000A17B0000}"/>
    <cellStyle name="60% - Accent4 2 5 2 3 2 3" xfId="29179" xr:uid="{00000000-0005-0000-0000-0000A27B0000}"/>
    <cellStyle name="60% - Accent4 2 5 2 3 3" xfId="13819" xr:uid="{00000000-0005-0000-0000-0000A37B0000}"/>
    <cellStyle name="60% - Accent4 2 5 2 3 3 2" xfId="34299" xr:uid="{00000000-0005-0000-0000-0000A47B0000}"/>
    <cellStyle name="60% - Accent4 2 5 2 3 4" xfId="24059" xr:uid="{00000000-0005-0000-0000-0000A57B0000}"/>
    <cellStyle name="60% - Accent4 2 5 2 4" xfId="6139" xr:uid="{00000000-0005-0000-0000-0000A67B0000}"/>
    <cellStyle name="60% - Accent4 2 5 2 4 2" xfId="16379" xr:uid="{00000000-0005-0000-0000-0000A77B0000}"/>
    <cellStyle name="60% - Accent4 2 5 2 4 2 2" xfId="36859" xr:uid="{00000000-0005-0000-0000-0000A87B0000}"/>
    <cellStyle name="60% - Accent4 2 5 2 4 3" xfId="26619" xr:uid="{00000000-0005-0000-0000-0000A97B0000}"/>
    <cellStyle name="60% - Accent4 2 5 2 5" xfId="11259" xr:uid="{00000000-0005-0000-0000-0000AA7B0000}"/>
    <cellStyle name="60% - Accent4 2 5 2 5 2" xfId="31739" xr:uid="{00000000-0005-0000-0000-0000AB7B0000}"/>
    <cellStyle name="60% - Accent4 2 5 2 6" xfId="21499" xr:uid="{00000000-0005-0000-0000-0000AC7B0000}"/>
    <cellStyle name="60% - Accent4 2 5 3" xfId="1659" xr:uid="{00000000-0005-0000-0000-0000AD7B0000}"/>
    <cellStyle name="60% - Accent4 2 5 3 2" xfId="4219" xr:uid="{00000000-0005-0000-0000-0000AE7B0000}"/>
    <cellStyle name="60% - Accent4 2 5 3 2 2" xfId="9339" xr:uid="{00000000-0005-0000-0000-0000AF7B0000}"/>
    <cellStyle name="60% - Accent4 2 5 3 2 2 2" xfId="19579" xr:uid="{00000000-0005-0000-0000-0000B07B0000}"/>
    <cellStyle name="60% - Accent4 2 5 3 2 2 2 2" xfId="40059" xr:uid="{00000000-0005-0000-0000-0000B17B0000}"/>
    <cellStyle name="60% - Accent4 2 5 3 2 2 3" xfId="29819" xr:uid="{00000000-0005-0000-0000-0000B27B0000}"/>
    <cellStyle name="60% - Accent4 2 5 3 2 3" xfId="14459" xr:uid="{00000000-0005-0000-0000-0000B37B0000}"/>
    <cellStyle name="60% - Accent4 2 5 3 2 3 2" xfId="34939" xr:uid="{00000000-0005-0000-0000-0000B47B0000}"/>
    <cellStyle name="60% - Accent4 2 5 3 2 4" xfId="24699" xr:uid="{00000000-0005-0000-0000-0000B57B0000}"/>
    <cellStyle name="60% - Accent4 2 5 3 3" xfId="6779" xr:uid="{00000000-0005-0000-0000-0000B67B0000}"/>
    <cellStyle name="60% - Accent4 2 5 3 3 2" xfId="17019" xr:uid="{00000000-0005-0000-0000-0000B77B0000}"/>
    <cellStyle name="60% - Accent4 2 5 3 3 2 2" xfId="37499" xr:uid="{00000000-0005-0000-0000-0000B87B0000}"/>
    <cellStyle name="60% - Accent4 2 5 3 3 3" xfId="27259" xr:uid="{00000000-0005-0000-0000-0000B97B0000}"/>
    <cellStyle name="60% - Accent4 2 5 3 4" xfId="11899" xr:uid="{00000000-0005-0000-0000-0000BA7B0000}"/>
    <cellStyle name="60% - Accent4 2 5 3 4 2" xfId="32379" xr:uid="{00000000-0005-0000-0000-0000BB7B0000}"/>
    <cellStyle name="60% - Accent4 2 5 3 5" xfId="22139" xr:uid="{00000000-0005-0000-0000-0000BC7B0000}"/>
    <cellStyle name="60% - Accent4 2 5 4" xfId="2939" xr:uid="{00000000-0005-0000-0000-0000BD7B0000}"/>
    <cellStyle name="60% - Accent4 2 5 4 2" xfId="8059" xr:uid="{00000000-0005-0000-0000-0000BE7B0000}"/>
    <cellStyle name="60% - Accent4 2 5 4 2 2" xfId="18299" xr:uid="{00000000-0005-0000-0000-0000BF7B0000}"/>
    <cellStyle name="60% - Accent4 2 5 4 2 2 2" xfId="38779" xr:uid="{00000000-0005-0000-0000-0000C07B0000}"/>
    <cellStyle name="60% - Accent4 2 5 4 2 3" xfId="28539" xr:uid="{00000000-0005-0000-0000-0000C17B0000}"/>
    <cellStyle name="60% - Accent4 2 5 4 3" xfId="13179" xr:uid="{00000000-0005-0000-0000-0000C27B0000}"/>
    <cellStyle name="60% - Accent4 2 5 4 3 2" xfId="33659" xr:uid="{00000000-0005-0000-0000-0000C37B0000}"/>
    <cellStyle name="60% - Accent4 2 5 4 4" xfId="23419" xr:uid="{00000000-0005-0000-0000-0000C47B0000}"/>
    <cellStyle name="60% - Accent4 2 5 5" xfId="5499" xr:uid="{00000000-0005-0000-0000-0000C57B0000}"/>
    <cellStyle name="60% - Accent4 2 5 5 2" xfId="15739" xr:uid="{00000000-0005-0000-0000-0000C67B0000}"/>
    <cellStyle name="60% - Accent4 2 5 5 2 2" xfId="36219" xr:uid="{00000000-0005-0000-0000-0000C77B0000}"/>
    <cellStyle name="60% - Accent4 2 5 5 3" xfId="25979" xr:uid="{00000000-0005-0000-0000-0000C87B0000}"/>
    <cellStyle name="60% - Accent4 2 5 6" xfId="10619" xr:uid="{00000000-0005-0000-0000-0000C97B0000}"/>
    <cellStyle name="60% - Accent4 2 5 6 2" xfId="31099" xr:uid="{00000000-0005-0000-0000-0000CA7B0000}"/>
    <cellStyle name="60% - Accent4 2 5 7" xfId="20859" xr:uid="{00000000-0005-0000-0000-0000CB7B0000}"/>
    <cellStyle name="60% - Accent4 2 6" xfId="699" xr:uid="{00000000-0005-0000-0000-0000CC7B0000}"/>
    <cellStyle name="60% - Accent4 2 6 2" xfId="1979" xr:uid="{00000000-0005-0000-0000-0000CD7B0000}"/>
    <cellStyle name="60% - Accent4 2 6 2 2" xfId="4539" xr:uid="{00000000-0005-0000-0000-0000CE7B0000}"/>
    <cellStyle name="60% - Accent4 2 6 2 2 2" xfId="9659" xr:uid="{00000000-0005-0000-0000-0000CF7B0000}"/>
    <cellStyle name="60% - Accent4 2 6 2 2 2 2" xfId="19899" xr:uid="{00000000-0005-0000-0000-0000D07B0000}"/>
    <cellStyle name="60% - Accent4 2 6 2 2 2 2 2" xfId="40379" xr:uid="{00000000-0005-0000-0000-0000D17B0000}"/>
    <cellStyle name="60% - Accent4 2 6 2 2 2 3" xfId="30139" xr:uid="{00000000-0005-0000-0000-0000D27B0000}"/>
    <cellStyle name="60% - Accent4 2 6 2 2 3" xfId="14779" xr:uid="{00000000-0005-0000-0000-0000D37B0000}"/>
    <cellStyle name="60% - Accent4 2 6 2 2 3 2" xfId="35259" xr:uid="{00000000-0005-0000-0000-0000D47B0000}"/>
    <cellStyle name="60% - Accent4 2 6 2 2 4" xfId="25019" xr:uid="{00000000-0005-0000-0000-0000D57B0000}"/>
    <cellStyle name="60% - Accent4 2 6 2 3" xfId="7099" xr:uid="{00000000-0005-0000-0000-0000D67B0000}"/>
    <cellStyle name="60% - Accent4 2 6 2 3 2" xfId="17339" xr:uid="{00000000-0005-0000-0000-0000D77B0000}"/>
    <cellStyle name="60% - Accent4 2 6 2 3 2 2" xfId="37819" xr:uid="{00000000-0005-0000-0000-0000D87B0000}"/>
    <cellStyle name="60% - Accent4 2 6 2 3 3" xfId="27579" xr:uid="{00000000-0005-0000-0000-0000D97B0000}"/>
    <cellStyle name="60% - Accent4 2 6 2 4" xfId="12219" xr:uid="{00000000-0005-0000-0000-0000DA7B0000}"/>
    <cellStyle name="60% - Accent4 2 6 2 4 2" xfId="32699" xr:uid="{00000000-0005-0000-0000-0000DB7B0000}"/>
    <cellStyle name="60% - Accent4 2 6 2 5" xfId="22459" xr:uid="{00000000-0005-0000-0000-0000DC7B0000}"/>
    <cellStyle name="60% - Accent4 2 6 3" xfId="3259" xr:uid="{00000000-0005-0000-0000-0000DD7B0000}"/>
    <cellStyle name="60% - Accent4 2 6 3 2" xfId="8379" xr:uid="{00000000-0005-0000-0000-0000DE7B0000}"/>
    <cellStyle name="60% - Accent4 2 6 3 2 2" xfId="18619" xr:uid="{00000000-0005-0000-0000-0000DF7B0000}"/>
    <cellStyle name="60% - Accent4 2 6 3 2 2 2" xfId="39099" xr:uid="{00000000-0005-0000-0000-0000E07B0000}"/>
    <cellStyle name="60% - Accent4 2 6 3 2 3" xfId="28859" xr:uid="{00000000-0005-0000-0000-0000E17B0000}"/>
    <cellStyle name="60% - Accent4 2 6 3 3" xfId="13499" xr:uid="{00000000-0005-0000-0000-0000E27B0000}"/>
    <cellStyle name="60% - Accent4 2 6 3 3 2" xfId="33979" xr:uid="{00000000-0005-0000-0000-0000E37B0000}"/>
    <cellStyle name="60% - Accent4 2 6 3 4" xfId="23739" xr:uid="{00000000-0005-0000-0000-0000E47B0000}"/>
    <cellStyle name="60% - Accent4 2 6 4" xfId="5819" xr:uid="{00000000-0005-0000-0000-0000E57B0000}"/>
    <cellStyle name="60% - Accent4 2 6 4 2" xfId="16059" xr:uid="{00000000-0005-0000-0000-0000E67B0000}"/>
    <cellStyle name="60% - Accent4 2 6 4 2 2" xfId="36539" xr:uid="{00000000-0005-0000-0000-0000E77B0000}"/>
    <cellStyle name="60% - Accent4 2 6 4 3" xfId="26299" xr:uid="{00000000-0005-0000-0000-0000E87B0000}"/>
    <cellStyle name="60% - Accent4 2 6 5" xfId="10939" xr:uid="{00000000-0005-0000-0000-0000E97B0000}"/>
    <cellStyle name="60% - Accent4 2 6 5 2" xfId="31419" xr:uid="{00000000-0005-0000-0000-0000EA7B0000}"/>
    <cellStyle name="60% - Accent4 2 6 6" xfId="21179" xr:uid="{00000000-0005-0000-0000-0000EB7B0000}"/>
    <cellStyle name="60% - Accent4 2 7" xfId="1339" xr:uid="{00000000-0005-0000-0000-0000EC7B0000}"/>
    <cellStyle name="60% - Accent4 2 7 2" xfId="3899" xr:uid="{00000000-0005-0000-0000-0000ED7B0000}"/>
    <cellStyle name="60% - Accent4 2 7 2 2" xfId="9019" xr:uid="{00000000-0005-0000-0000-0000EE7B0000}"/>
    <cellStyle name="60% - Accent4 2 7 2 2 2" xfId="19259" xr:uid="{00000000-0005-0000-0000-0000EF7B0000}"/>
    <cellStyle name="60% - Accent4 2 7 2 2 2 2" xfId="39739" xr:uid="{00000000-0005-0000-0000-0000F07B0000}"/>
    <cellStyle name="60% - Accent4 2 7 2 2 3" xfId="29499" xr:uid="{00000000-0005-0000-0000-0000F17B0000}"/>
    <cellStyle name="60% - Accent4 2 7 2 3" xfId="14139" xr:uid="{00000000-0005-0000-0000-0000F27B0000}"/>
    <cellStyle name="60% - Accent4 2 7 2 3 2" xfId="34619" xr:uid="{00000000-0005-0000-0000-0000F37B0000}"/>
    <cellStyle name="60% - Accent4 2 7 2 4" xfId="24379" xr:uid="{00000000-0005-0000-0000-0000F47B0000}"/>
    <cellStyle name="60% - Accent4 2 7 3" xfId="6459" xr:uid="{00000000-0005-0000-0000-0000F57B0000}"/>
    <cellStyle name="60% - Accent4 2 7 3 2" xfId="16699" xr:uid="{00000000-0005-0000-0000-0000F67B0000}"/>
    <cellStyle name="60% - Accent4 2 7 3 2 2" xfId="37179" xr:uid="{00000000-0005-0000-0000-0000F77B0000}"/>
    <cellStyle name="60% - Accent4 2 7 3 3" xfId="26939" xr:uid="{00000000-0005-0000-0000-0000F87B0000}"/>
    <cellStyle name="60% - Accent4 2 7 4" xfId="11579" xr:uid="{00000000-0005-0000-0000-0000F97B0000}"/>
    <cellStyle name="60% - Accent4 2 7 4 2" xfId="32059" xr:uid="{00000000-0005-0000-0000-0000FA7B0000}"/>
    <cellStyle name="60% - Accent4 2 7 5" xfId="21819" xr:uid="{00000000-0005-0000-0000-0000FB7B0000}"/>
    <cellStyle name="60% - Accent4 2 8" xfId="2619" xr:uid="{00000000-0005-0000-0000-0000FC7B0000}"/>
    <cellStyle name="60% - Accent4 2 8 2" xfId="7739" xr:uid="{00000000-0005-0000-0000-0000FD7B0000}"/>
    <cellStyle name="60% - Accent4 2 8 2 2" xfId="17979" xr:uid="{00000000-0005-0000-0000-0000FE7B0000}"/>
    <cellStyle name="60% - Accent4 2 8 2 2 2" xfId="38459" xr:uid="{00000000-0005-0000-0000-0000FF7B0000}"/>
    <cellStyle name="60% - Accent4 2 8 2 3" xfId="28219" xr:uid="{00000000-0005-0000-0000-0000007C0000}"/>
    <cellStyle name="60% - Accent4 2 8 3" xfId="12859" xr:uid="{00000000-0005-0000-0000-0000017C0000}"/>
    <cellStyle name="60% - Accent4 2 8 3 2" xfId="33339" xr:uid="{00000000-0005-0000-0000-0000027C0000}"/>
    <cellStyle name="60% - Accent4 2 8 4" xfId="23099" xr:uid="{00000000-0005-0000-0000-0000037C0000}"/>
    <cellStyle name="60% - Accent4 2 9" xfId="5179" xr:uid="{00000000-0005-0000-0000-0000047C0000}"/>
    <cellStyle name="60% - Accent4 2 9 2" xfId="15419" xr:uid="{00000000-0005-0000-0000-0000057C0000}"/>
    <cellStyle name="60% - Accent4 2 9 2 2" xfId="35899" xr:uid="{00000000-0005-0000-0000-0000067C0000}"/>
    <cellStyle name="60% - Accent4 2 9 3" xfId="25659" xr:uid="{00000000-0005-0000-0000-0000077C0000}"/>
    <cellStyle name="60% - Accent4 3" xfId="79" xr:uid="{00000000-0005-0000-0000-0000087C0000}"/>
    <cellStyle name="60% - Accent4 3 10" xfId="20559" xr:uid="{00000000-0005-0000-0000-0000097C0000}"/>
    <cellStyle name="60% - Accent4 3 2" xfId="159" xr:uid="{00000000-0005-0000-0000-00000A7C0000}"/>
    <cellStyle name="60% - Accent4 3 2 2" xfId="319" xr:uid="{00000000-0005-0000-0000-00000B7C0000}"/>
    <cellStyle name="60% - Accent4 3 2 2 2" xfId="639" xr:uid="{00000000-0005-0000-0000-00000C7C0000}"/>
    <cellStyle name="60% - Accent4 3 2 2 2 2" xfId="1279" xr:uid="{00000000-0005-0000-0000-00000D7C0000}"/>
    <cellStyle name="60% - Accent4 3 2 2 2 2 2" xfId="2559" xr:uid="{00000000-0005-0000-0000-00000E7C0000}"/>
    <cellStyle name="60% - Accent4 3 2 2 2 2 2 2" xfId="5119" xr:uid="{00000000-0005-0000-0000-00000F7C0000}"/>
    <cellStyle name="60% - Accent4 3 2 2 2 2 2 2 2" xfId="10239" xr:uid="{00000000-0005-0000-0000-0000107C0000}"/>
    <cellStyle name="60% - Accent4 3 2 2 2 2 2 2 2 2" xfId="20479" xr:uid="{00000000-0005-0000-0000-0000117C0000}"/>
    <cellStyle name="60% - Accent4 3 2 2 2 2 2 2 2 2 2" xfId="40959" xr:uid="{00000000-0005-0000-0000-0000127C0000}"/>
    <cellStyle name="60% - Accent4 3 2 2 2 2 2 2 2 3" xfId="30719" xr:uid="{00000000-0005-0000-0000-0000137C0000}"/>
    <cellStyle name="60% - Accent4 3 2 2 2 2 2 2 3" xfId="15359" xr:uid="{00000000-0005-0000-0000-0000147C0000}"/>
    <cellStyle name="60% - Accent4 3 2 2 2 2 2 2 3 2" xfId="35839" xr:uid="{00000000-0005-0000-0000-0000157C0000}"/>
    <cellStyle name="60% - Accent4 3 2 2 2 2 2 2 4" xfId="25599" xr:uid="{00000000-0005-0000-0000-0000167C0000}"/>
    <cellStyle name="60% - Accent4 3 2 2 2 2 2 3" xfId="7679" xr:uid="{00000000-0005-0000-0000-0000177C0000}"/>
    <cellStyle name="60% - Accent4 3 2 2 2 2 2 3 2" xfId="17919" xr:uid="{00000000-0005-0000-0000-0000187C0000}"/>
    <cellStyle name="60% - Accent4 3 2 2 2 2 2 3 2 2" xfId="38399" xr:uid="{00000000-0005-0000-0000-0000197C0000}"/>
    <cellStyle name="60% - Accent4 3 2 2 2 2 2 3 3" xfId="28159" xr:uid="{00000000-0005-0000-0000-00001A7C0000}"/>
    <cellStyle name="60% - Accent4 3 2 2 2 2 2 4" xfId="12799" xr:uid="{00000000-0005-0000-0000-00001B7C0000}"/>
    <cellStyle name="60% - Accent4 3 2 2 2 2 2 4 2" xfId="33279" xr:uid="{00000000-0005-0000-0000-00001C7C0000}"/>
    <cellStyle name="60% - Accent4 3 2 2 2 2 2 5" xfId="23039" xr:uid="{00000000-0005-0000-0000-00001D7C0000}"/>
    <cellStyle name="60% - Accent4 3 2 2 2 2 3" xfId="3839" xr:uid="{00000000-0005-0000-0000-00001E7C0000}"/>
    <cellStyle name="60% - Accent4 3 2 2 2 2 3 2" xfId="8959" xr:uid="{00000000-0005-0000-0000-00001F7C0000}"/>
    <cellStyle name="60% - Accent4 3 2 2 2 2 3 2 2" xfId="19199" xr:uid="{00000000-0005-0000-0000-0000207C0000}"/>
    <cellStyle name="60% - Accent4 3 2 2 2 2 3 2 2 2" xfId="39679" xr:uid="{00000000-0005-0000-0000-0000217C0000}"/>
    <cellStyle name="60% - Accent4 3 2 2 2 2 3 2 3" xfId="29439" xr:uid="{00000000-0005-0000-0000-0000227C0000}"/>
    <cellStyle name="60% - Accent4 3 2 2 2 2 3 3" xfId="14079" xr:uid="{00000000-0005-0000-0000-0000237C0000}"/>
    <cellStyle name="60% - Accent4 3 2 2 2 2 3 3 2" xfId="34559" xr:uid="{00000000-0005-0000-0000-0000247C0000}"/>
    <cellStyle name="60% - Accent4 3 2 2 2 2 3 4" xfId="24319" xr:uid="{00000000-0005-0000-0000-0000257C0000}"/>
    <cellStyle name="60% - Accent4 3 2 2 2 2 4" xfId="6399" xr:uid="{00000000-0005-0000-0000-0000267C0000}"/>
    <cellStyle name="60% - Accent4 3 2 2 2 2 4 2" xfId="16639" xr:uid="{00000000-0005-0000-0000-0000277C0000}"/>
    <cellStyle name="60% - Accent4 3 2 2 2 2 4 2 2" xfId="37119" xr:uid="{00000000-0005-0000-0000-0000287C0000}"/>
    <cellStyle name="60% - Accent4 3 2 2 2 2 4 3" xfId="26879" xr:uid="{00000000-0005-0000-0000-0000297C0000}"/>
    <cellStyle name="60% - Accent4 3 2 2 2 2 5" xfId="11519" xr:uid="{00000000-0005-0000-0000-00002A7C0000}"/>
    <cellStyle name="60% - Accent4 3 2 2 2 2 5 2" xfId="31999" xr:uid="{00000000-0005-0000-0000-00002B7C0000}"/>
    <cellStyle name="60% - Accent4 3 2 2 2 2 6" xfId="21759" xr:uid="{00000000-0005-0000-0000-00002C7C0000}"/>
    <cellStyle name="60% - Accent4 3 2 2 2 3" xfId="1919" xr:uid="{00000000-0005-0000-0000-00002D7C0000}"/>
    <cellStyle name="60% - Accent4 3 2 2 2 3 2" xfId="4479" xr:uid="{00000000-0005-0000-0000-00002E7C0000}"/>
    <cellStyle name="60% - Accent4 3 2 2 2 3 2 2" xfId="9599" xr:uid="{00000000-0005-0000-0000-00002F7C0000}"/>
    <cellStyle name="60% - Accent4 3 2 2 2 3 2 2 2" xfId="19839" xr:uid="{00000000-0005-0000-0000-0000307C0000}"/>
    <cellStyle name="60% - Accent4 3 2 2 2 3 2 2 2 2" xfId="40319" xr:uid="{00000000-0005-0000-0000-0000317C0000}"/>
    <cellStyle name="60% - Accent4 3 2 2 2 3 2 2 3" xfId="30079" xr:uid="{00000000-0005-0000-0000-0000327C0000}"/>
    <cellStyle name="60% - Accent4 3 2 2 2 3 2 3" xfId="14719" xr:uid="{00000000-0005-0000-0000-0000337C0000}"/>
    <cellStyle name="60% - Accent4 3 2 2 2 3 2 3 2" xfId="35199" xr:uid="{00000000-0005-0000-0000-0000347C0000}"/>
    <cellStyle name="60% - Accent4 3 2 2 2 3 2 4" xfId="24959" xr:uid="{00000000-0005-0000-0000-0000357C0000}"/>
    <cellStyle name="60% - Accent4 3 2 2 2 3 3" xfId="7039" xr:uid="{00000000-0005-0000-0000-0000367C0000}"/>
    <cellStyle name="60% - Accent4 3 2 2 2 3 3 2" xfId="17279" xr:uid="{00000000-0005-0000-0000-0000377C0000}"/>
    <cellStyle name="60% - Accent4 3 2 2 2 3 3 2 2" xfId="37759" xr:uid="{00000000-0005-0000-0000-0000387C0000}"/>
    <cellStyle name="60% - Accent4 3 2 2 2 3 3 3" xfId="27519" xr:uid="{00000000-0005-0000-0000-0000397C0000}"/>
    <cellStyle name="60% - Accent4 3 2 2 2 3 4" xfId="12159" xr:uid="{00000000-0005-0000-0000-00003A7C0000}"/>
    <cellStyle name="60% - Accent4 3 2 2 2 3 4 2" xfId="32639" xr:uid="{00000000-0005-0000-0000-00003B7C0000}"/>
    <cellStyle name="60% - Accent4 3 2 2 2 3 5" xfId="22399" xr:uid="{00000000-0005-0000-0000-00003C7C0000}"/>
    <cellStyle name="60% - Accent4 3 2 2 2 4" xfId="3199" xr:uid="{00000000-0005-0000-0000-00003D7C0000}"/>
    <cellStyle name="60% - Accent4 3 2 2 2 4 2" xfId="8319" xr:uid="{00000000-0005-0000-0000-00003E7C0000}"/>
    <cellStyle name="60% - Accent4 3 2 2 2 4 2 2" xfId="18559" xr:uid="{00000000-0005-0000-0000-00003F7C0000}"/>
    <cellStyle name="60% - Accent4 3 2 2 2 4 2 2 2" xfId="39039" xr:uid="{00000000-0005-0000-0000-0000407C0000}"/>
    <cellStyle name="60% - Accent4 3 2 2 2 4 2 3" xfId="28799" xr:uid="{00000000-0005-0000-0000-0000417C0000}"/>
    <cellStyle name="60% - Accent4 3 2 2 2 4 3" xfId="13439" xr:uid="{00000000-0005-0000-0000-0000427C0000}"/>
    <cellStyle name="60% - Accent4 3 2 2 2 4 3 2" xfId="33919" xr:uid="{00000000-0005-0000-0000-0000437C0000}"/>
    <cellStyle name="60% - Accent4 3 2 2 2 4 4" xfId="23679" xr:uid="{00000000-0005-0000-0000-0000447C0000}"/>
    <cellStyle name="60% - Accent4 3 2 2 2 5" xfId="5759" xr:uid="{00000000-0005-0000-0000-0000457C0000}"/>
    <cellStyle name="60% - Accent4 3 2 2 2 5 2" xfId="15999" xr:uid="{00000000-0005-0000-0000-0000467C0000}"/>
    <cellStyle name="60% - Accent4 3 2 2 2 5 2 2" xfId="36479" xr:uid="{00000000-0005-0000-0000-0000477C0000}"/>
    <cellStyle name="60% - Accent4 3 2 2 2 5 3" xfId="26239" xr:uid="{00000000-0005-0000-0000-0000487C0000}"/>
    <cellStyle name="60% - Accent4 3 2 2 2 6" xfId="10879" xr:uid="{00000000-0005-0000-0000-0000497C0000}"/>
    <cellStyle name="60% - Accent4 3 2 2 2 6 2" xfId="31359" xr:uid="{00000000-0005-0000-0000-00004A7C0000}"/>
    <cellStyle name="60% - Accent4 3 2 2 2 7" xfId="21119" xr:uid="{00000000-0005-0000-0000-00004B7C0000}"/>
    <cellStyle name="60% - Accent4 3 2 2 3" xfId="959" xr:uid="{00000000-0005-0000-0000-00004C7C0000}"/>
    <cellStyle name="60% - Accent4 3 2 2 3 2" xfId="2239" xr:uid="{00000000-0005-0000-0000-00004D7C0000}"/>
    <cellStyle name="60% - Accent4 3 2 2 3 2 2" xfId="4799" xr:uid="{00000000-0005-0000-0000-00004E7C0000}"/>
    <cellStyle name="60% - Accent4 3 2 2 3 2 2 2" xfId="9919" xr:uid="{00000000-0005-0000-0000-00004F7C0000}"/>
    <cellStyle name="60% - Accent4 3 2 2 3 2 2 2 2" xfId="20159" xr:uid="{00000000-0005-0000-0000-0000507C0000}"/>
    <cellStyle name="60% - Accent4 3 2 2 3 2 2 2 2 2" xfId="40639" xr:uid="{00000000-0005-0000-0000-0000517C0000}"/>
    <cellStyle name="60% - Accent4 3 2 2 3 2 2 2 3" xfId="30399" xr:uid="{00000000-0005-0000-0000-0000527C0000}"/>
    <cellStyle name="60% - Accent4 3 2 2 3 2 2 3" xfId="15039" xr:uid="{00000000-0005-0000-0000-0000537C0000}"/>
    <cellStyle name="60% - Accent4 3 2 2 3 2 2 3 2" xfId="35519" xr:uid="{00000000-0005-0000-0000-0000547C0000}"/>
    <cellStyle name="60% - Accent4 3 2 2 3 2 2 4" xfId="25279" xr:uid="{00000000-0005-0000-0000-0000557C0000}"/>
    <cellStyle name="60% - Accent4 3 2 2 3 2 3" xfId="7359" xr:uid="{00000000-0005-0000-0000-0000567C0000}"/>
    <cellStyle name="60% - Accent4 3 2 2 3 2 3 2" xfId="17599" xr:uid="{00000000-0005-0000-0000-0000577C0000}"/>
    <cellStyle name="60% - Accent4 3 2 2 3 2 3 2 2" xfId="38079" xr:uid="{00000000-0005-0000-0000-0000587C0000}"/>
    <cellStyle name="60% - Accent4 3 2 2 3 2 3 3" xfId="27839" xr:uid="{00000000-0005-0000-0000-0000597C0000}"/>
    <cellStyle name="60% - Accent4 3 2 2 3 2 4" xfId="12479" xr:uid="{00000000-0005-0000-0000-00005A7C0000}"/>
    <cellStyle name="60% - Accent4 3 2 2 3 2 4 2" xfId="32959" xr:uid="{00000000-0005-0000-0000-00005B7C0000}"/>
    <cellStyle name="60% - Accent4 3 2 2 3 2 5" xfId="22719" xr:uid="{00000000-0005-0000-0000-00005C7C0000}"/>
    <cellStyle name="60% - Accent4 3 2 2 3 3" xfId="3519" xr:uid="{00000000-0005-0000-0000-00005D7C0000}"/>
    <cellStyle name="60% - Accent4 3 2 2 3 3 2" xfId="8639" xr:uid="{00000000-0005-0000-0000-00005E7C0000}"/>
    <cellStyle name="60% - Accent4 3 2 2 3 3 2 2" xfId="18879" xr:uid="{00000000-0005-0000-0000-00005F7C0000}"/>
    <cellStyle name="60% - Accent4 3 2 2 3 3 2 2 2" xfId="39359" xr:uid="{00000000-0005-0000-0000-0000607C0000}"/>
    <cellStyle name="60% - Accent4 3 2 2 3 3 2 3" xfId="29119" xr:uid="{00000000-0005-0000-0000-0000617C0000}"/>
    <cellStyle name="60% - Accent4 3 2 2 3 3 3" xfId="13759" xr:uid="{00000000-0005-0000-0000-0000627C0000}"/>
    <cellStyle name="60% - Accent4 3 2 2 3 3 3 2" xfId="34239" xr:uid="{00000000-0005-0000-0000-0000637C0000}"/>
    <cellStyle name="60% - Accent4 3 2 2 3 3 4" xfId="23999" xr:uid="{00000000-0005-0000-0000-0000647C0000}"/>
    <cellStyle name="60% - Accent4 3 2 2 3 4" xfId="6079" xr:uid="{00000000-0005-0000-0000-0000657C0000}"/>
    <cellStyle name="60% - Accent4 3 2 2 3 4 2" xfId="16319" xr:uid="{00000000-0005-0000-0000-0000667C0000}"/>
    <cellStyle name="60% - Accent4 3 2 2 3 4 2 2" xfId="36799" xr:uid="{00000000-0005-0000-0000-0000677C0000}"/>
    <cellStyle name="60% - Accent4 3 2 2 3 4 3" xfId="26559" xr:uid="{00000000-0005-0000-0000-0000687C0000}"/>
    <cellStyle name="60% - Accent4 3 2 2 3 5" xfId="11199" xr:uid="{00000000-0005-0000-0000-0000697C0000}"/>
    <cellStyle name="60% - Accent4 3 2 2 3 5 2" xfId="31679" xr:uid="{00000000-0005-0000-0000-00006A7C0000}"/>
    <cellStyle name="60% - Accent4 3 2 2 3 6" xfId="21439" xr:uid="{00000000-0005-0000-0000-00006B7C0000}"/>
    <cellStyle name="60% - Accent4 3 2 2 4" xfId="1599" xr:uid="{00000000-0005-0000-0000-00006C7C0000}"/>
    <cellStyle name="60% - Accent4 3 2 2 4 2" xfId="4159" xr:uid="{00000000-0005-0000-0000-00006D7C0000}"/>
    <cellStyle name="60% - Accent4 3 2 2 4 2 2" xfId="9279" xr:uid="{00000000-0005-0000-0000-00006E7C0000}"/>
    <cellStyle name="60% - Accent4 3 2 2 4 2 2 2" xfId="19519" xr:uid="{00000000-0005-0000-0000-00006F7C0000}"/>
    <cellStyle name="60% - Accent4 3 2 2 4 2 2 2 2" xfId="39999" xr:uid="{00000000-0005-0000-0000-0000707C0000}"/>
    <cellStyle name="60% - Accent4 3 2 2 4 2 2 3" xfId="29759" xr:uid="{00000000-0005-0000-0000-0000717C0000}"/>
    <cellStyle name="60% - Accent4 3 2 2 4 2 3" xfId="14399" xr:uid="{00000000-0005-0000-0000-0000727C0000}"/>
    <cellStyle name="60% - Accent4 3 2 2 4 2 3 2" xfId="34879" xr:uid="{00000000-0005-0000-0000-0000737C0000}"/>
    <cellStyle name="60% - Accent4 3 2 2 4 2 4" xfId="24639" xr:uid="{00000000-0005-0000-0000-0000747C0000}"/>
    <cellStyle name="60% - Accent4 3 2 2 4 3" xfId="6719" xr:uid="{00000000-0005-0000-0000-0000757C0000}"/>
    <cellStyle name="60% - Accent4 3 2 2 4 3 2" xfId="16959" xr:uid="{00000000-0005-0000-0000-0000767C0000}"/>
    <cellStyle name="60% - Accent4 3 2 2 4 3 2 2" xfId="37439" xr:uid="{00000000-0005-0000-0000-0000777C0000}"/>
    <cellStyle name="60% - Accent4 3 2 2 4 3 3" xfId="27199" xr:uid="{00000000-0005-0000-0000-0000787C0000}"/>
    <cellStyle name="60% - Accent4 3 2 2 4 4" xfId="11839" xr:uid="{00000000-0005-0000-0000-0000797C0000}"/>
    <cellStyle name="60% - Accent4 3 2 2 4 4 2" xfId="32319" xr:uid="{00000000-0005-0000-0000-00007A7C0000}"/>
    <cellStyle name="60% - Accent4 3 2 2 4 5" xfId="22079" xr:uid="{00000000-0005-0000-0000-00007B7C0000}"/>
    <cellStyle name="60% - Accent4 3 2 2 5" xfId="2879" xr:uid="{00000000-0005-0000-0000-00007C7C0000}"/>
    <cellStyle name="60% - Accent4 3 2 2 5 2" xfId="7999" xr:uid="{00000000-0005-0000-0000-00007D7C0000}"/>
    <cellStyle name="60% - Accent4 3 2 2 5 2 2" xfId="18239" xr:uid="{00000000-0005-0000-0000-00007E7C0000}"/>
    <cellStyle name="60% - Accent4 3 2 2 5 2 2 2" xfId="38719" xr:uid="{00000000-0005-0000-0000-00007F7C0000}"/>
    <cellStyle name="60% - Accent4 3 2 2 5 2 3" xfId="28479" xr:uid="{00000000-0005-0000-0000-0000807C0000}"/>
    <cellStyle name="60% - Accent4 3 2 2 5 3" xfId="13119" xr:uid="{00000000-0005-0000-0000-0000817C0000}"/>
    <cellStyle name="60% - Accent4 3 2 2 5 3 2" xfId="33599" xr:uid="{00000000-0005-0000-0000-0000827C0000}"/>
    <cellStyle name="60% - Accent4 3 2 2 5 4" xfId="23359" xr:uid="{00000000-0005-0000-0000-0000837C0000}"/>
    <cellStyle name="60% - Accent4 3 2 2 6" xfId="5439" xr:uid="{00000000-0005-0000-0000-0000847C0000}"/>
    <cellStyle name="60% - Accent4 3 2 2 6 2" xfId="15679" xr:uid="{00000000-0005-0000-0000-0000857C0000}"/>
    <cellStyle name="60% - Accent4 3 2 2 6 2 2" xfId="36159" xr:uid="{00000000-0005-0000-0000-0000867C0000}"/>
    <cellStyle name="60% - Accent4 3 2 2 6 3" xfId="25919" xr:uid="{00000000-0005-0000-0000-0000877C0000}"/>
    <cellStyle name="60% - Accent4 3 2 2 7" xfId="10559" xr:uid="{00000000-0005-0000-0000-0000887C0000}"/>
    <cellStyle name="60% - Accent4 3 2 2 7 2" xfId="31039" xr:uid="{00000000-0005-0000-0000-0000897C0000}"/>
    <cellStyle name="60% - Accent4 3 2 2 8" xfId="20799" xr:uid="{00000000-0005-0000-0000-00008A7C0000}"/>
    <cellStyle name="60% - Accent4 3 2 3" xfId="479" xr:uid="{00000000-0005-0000-0000-00008B7C0000}"/>
    <cellStyle name="60% - Accent4 3 2 3 2" xfId="1119" xr:uid="{00000000-0005-0000-0000-00008C7C0000}"/>
    <cellStyle name="60% - Accent4 3 2 3 2 2" xfId="2399" xr:uid="{00000000-0005-0000-0000-00008D7C0000}"/>
    <cellStyle name="60% - Accent4 3 2 3 2 2 2" xfId="4959" xr:uid="{00000000-0005-0000-0000-00008E7C0000}"/>
    <cellStyle name="60% - Accent4 3 2 3 2 2 2 2" xfId="10079" xr:uid="{00000000-0005-0000-0000-00008F7C0000}"/>
    <cellStyle name="60% - Accent4 3 2 3 2 2 2 2 2" xfId="20319" xr:uid="{00000000-0005-0000-0000-0000907C0000}"/>
    <cellStyle name="60% - Accent4 3 2 3 2 2 2 2 2 2" xfId="40799" xr:uid="{00000000-0005-0000-0000-0000917C0000}"/>
    <cellStyle name="60% - Accent4 3 2 3 2 2 2 2 3" xfId="30559" xr:uid="{00000000-0005-0000-0000-0000927C0000}"/>
    <cellStyle name="60% - Accent4 3 2 3 2 2 2 3" xfId="15199" xr:uid="{00000000-0005-0000-0000-0000937C0000}"/>
    <cellStyle name="60% - Accent4 3 2 3 2 2 2 3 2" xfId="35679" xr:uid="{00000000-0005-0000-0000-0000947C0000}"/>
    <cellStyle name="60% - Accent4 3 2 3 2 2 2 4" xfId="25439" xr:uid="{00000000-0005-0000-0000-0000957C0000}"/>
    <cellStyle name="60% - Accent4 3 2 3 2 2 3" xfId="7519" xr:uid="{00000000-0005-0000-0000-0000967C0000}"/>
    <cellStyle name="60% - Accent4 3 2 3 2 2 3 2" xfId="17759" xr:uid="{00000000-0005-0000-0000-0000977C0000}"/>
    <cellStyle name="60% - Accent4 3 2 3 2 2 3 2 2" xfId="38239" xr:uid="{00000000-0005-0000-0000-0000987C0000}"/>
    <cellStyle name="60% - Accent4 3 2 3 2 2 3 3" xfId="27999" xr:uid="{00000000-0005-0000-0000-0000997C0000}"/>
    <cellStyle name="60% - Accent4 3 2 3 2 2 4" xfId="12639" xr:uid="{00000000-0005-0000-0000-00009A7C0000}"/>
    <cellStyle name="60% - Accent4 3 2 3 2 2 4 2" xfId="33119" xr:uid="{00000000-0005-0000-0000-00009B7C0000}"/>
    <cellStyle name="60% - Accent4 3 2 3 2 2 5" xfId="22879" xr:uid="{00000000-0005-0000-0000-00009C7C0000}"/>
    <cellStyle name="60% - Accent4 3 2 3 2 3" xfId="3679" xr:uid="{00000000-0005-0000-0000-00009D7C0000}"/>
    <cellStyle name="60% - Accent4 3 2 3 2 3 2" xfId="8799" xr:uid="{00000000-0005-0000-0000-00009E7C0000}"/>
    <cellStyle name="60% - Accent4 3 2 3 2 3 2 2" xfId="19039" xr:uid="{00000000-0005-0000-0000-00009F7C0000}"/>
    <cellStyle name="60% - Accent4 3 2 3 2 3 2 2 2" xfId="39519" xr:uid="{00000000-0005-0000-0000-0000A07C0000}"/>
    <cellStyle name="60% - Accent4 3 2 3 2 3 2 3" xfId="29279" xr:uid="{00000000-0005-0000-0000-0000A17C0000}"/>
    <cellStyle name="60% - Accent4 3 2 3 2 3 3" xfId="13919" xr:uid="{00000000-0005-0000-0000-0000A27C0000}"/>
    <cellStyle name="60% - Accent4 3 2 3 2 3 3 2" xfId="34399" xr:uid="{00000000-0005-0000-0000-0000A37C0000}"/>
    <cellStyle name="60% - Accent4 3 2 3 2 3 4" xfId="24159" xr:uid="{00000000-0005-0000-0000-0000A47C0000}"/>
    <cellStyle name="60% - Accent4 3 2 3 2 4" xfId="6239" xr:uid="{00000000-0005-0000-0000-0000A57C0000}"/>
    <cellStyle name="60% - Accent4 3 2 3 2 4 2" xfId="16479" xr:uid="{00000000-0005-0000-0000-0000A67C0000}"/>
    <cellStyle name="60% - Accent4 3 2 3 2 4 2 2" xfId="36959" xr:uid="{00000000-0005-0000-0000-0000A77C0000}"/>
    <cellStyle name="60% - Accent4 3 2 3 2 4 3" xfId="26719" xr:uid="{00000000-0005-0000-0000-0000A87C0000}"/>
    <cellStyle name="60% - Accent4 3 2 3 2 5" xfId="11359" xr:uid="{00000000-0005-0000-0000-0000A97C0000}"/>
    <cellStyle name="60% - Accent4 3 2 3 2 5 2" xfId="31839" xr:uid="{00000000-0005-0000-0000-0000AA7C0000}"/>
    <cellStyle name="60% - Accent4 3 2 3 2 6" xfId="21599" xr:uid="{00000000-0005-0000-0000-0000AB7C0000}"/>
    <cellStyle name="60% - Accent4 3 2 3 3" xfId="1759" xr:uid="{00000000-0005-0000-0000-0000AC7C0000}"/>
    <cellStyle name="60% - Accent4 3 2 3 3 2" xfId="4319" xr:uid="{00000000-0005-0000-0000-0000AD7C0000}"/>
    <cellStyle name="60% - Accent4 3 2 3 3 2 2" xfId="9439" xr:uid="{00000000-0005-0000-0000-0000AE7C0000}"/>
    <cellStyle name="60% - Accent4 3 2 3 3 2 2 2" xfId="19679" xr:uid="{00000000-0005-0000-0000-0000AF7C0000}"/>
    <cellStyle name="60% - Accent4 3 2 3 3 2 2 2 2" xfId="40159" xr:uid="{00000000-0005-0000-0000-0000B07C0000}"/>
    <cellStyle name="60% - Accent4 3 2 3 3 2 2 3" xfId="29919" xr:uid="{00000000-0005-0000-0000-0000B17C0000}"/>
    <cellStyle name="60% - Accent4 3 2 3 3 2 3" xfId="14559" xr:uid="{00000000-0005-0000-0000-0000B27C0000}"/>
    <cellStyle name="60% - Accent4 3 2 3 3 2 3 2" xfId="35039" xr:uid="{00000000-0005-0000-0000-0000B37C0000}"/>
    <cellStyle name="60% - Accent4 3 2 3 3 2 4" xfId="24799" xr:uid="{00000000-0005-0000-0000-0000B47C0000}"/>
    <cellStyle name="60% - Accent4 3 2 3 3 3" xfId="6879" xr:uid="{00000000-0005-0000-0000-0000B57C0000}"/>
    <cellStyle name="60% - Accent4 3 2 3 3 3 2" xfId="17119" xr:uid="{00000000-0005-0000-0000-0000B67C0000}"/>
    <cellStyle name="60% - Accent4 3 2 3 3 3 2 2" xfId="37599" xr:uid="{00000000-0005-0000-0000-0000B77C0000}"/>
    <cellStyle name="60% - Accent4 3 2 3 3 3 3" xfId="27359" xr:uid="{00000000-0005-0000-0000-0000B87C0000}"/>
    <cellStyle name="60% - Accent4 3 2 3 3 4" xfId="11999" xr:uid="{00000000-0005-0000-0000-0000B97C0000}"/>
    <cellStyle name="60% - Accent4 3 2 3 3 4 2" xfId="32479" xr:uid="{00000000-0005-0000-0000-0000BA7C0000}"/>
    <cellStyle name="60% - Accent4 3 2 3 3 5" xfId="22239" xr:uid="{00000000-0005-0000-0000-0000BB7C0000}"/>
    <cellStyle name="60% - Accent4 3 2 3 4" xfId="3039" xr:uid="{00000000-0005-0000-0000-0000BC7C0000}"/>
    <cellStyle name="60% - Accent4 3 2 3 4 2" xfId="8159" xr:uid="{00000000-0005-0000-0000-0000BD7C0000}"/>
    <cellStyle name="60% - Accent4 3 2 3 4 2 2" xfId="18399" xr:uid="{00000000-0005-0000-0000-0000BE7C0000}"/>
    <cellStyle name="60% - Accent4 3 2 3 4 2 2 2" xfId="38879" xr:uid="{00000000-0005-0000-0000-0000BF7C0000}"/>
    <cellStyle name="60% - Accent4 3 2 3 4 2 3" xfId="28639" xr:uid="{00000000-0005-0000-0000-0000C07C0000}"/>
    <cellStyle name="60% - Accent4 3 2 3 4 3" xfId="13279" xr:uid="{00000000-0005-0000-0000-0000C17C0000}"/>
    <cellStyle name="60% - Accent4 3 2 3 4 3 2" xfId="33759" xr:uid="{00000000-0005-0000-0000-0000C27C0000}"/>
    <cellStyle name="60% - Accent4 3 2 3 4 4" xfId="23519" xr:uid="{00000000-0005-0000-0000-0000C37C0000}"/>
    <cellStyle name="60% - Accent4 3 2 3 5" xfId="5599" xr:uid="{00000000-0005-0000-0000-0000C47C0000}"/>
    <cellStyle name="60% - Accent4 3 2 3 5 2" xfId="15839" xr:uid="{00000000-0005-0000-0000-0000C57C0000}"/>
    <cellStyle name="60% - Accent4 3 2 3 5 2 2" xfId="36319" xr:uid="{00000000-0005-0000-0000-0000C67C0000}"/>
    <cellStyle name="60% - Accent4 3 2 3 5 3" xfId="26079" xr:uid="{00000000-0005-0000-0000-0000C77C0000}"/>
    <cellStyle name="60% - Accent4 3 2 3 6" xfId="10719" xr:uid="{00000000-0005-0000-0000-0000C87C0000}"/>
    <cellStyle name="60% - Accent4 3 2 3 6 2" xfId="31199" xr:uid="{00000000-0005-0000-0000-0000C97C0000}"/>
    <cellStyle name="60% - Accent4 3 2 3 7" xfId="20959" xr:uid="{00000000-0005-0000-0000-0000CA7C0000}"/>
    <cellStyle name="60% - Accent4 3 2 4" xfId="799" xr:uid="{00000000-0005-0000-0000-0000CB7C0000}"/>
    <cellStyle name="60% - Accent4 3 2 4 2" xfId="2079" xr:uid="{00000000-0005-0000-0000-0000CC7C0000}"/>
    <cellStyle name="60% - Accent4 3 2 4 2 2" xfId="4639" xr:uid="{00000000-0005-0000-0000-0000CD7C0000}"/>
    <cellStyle name="60% - Accent4 3 2 4 2 2 2" xfId="9759" xr:uid="{00000000-0005-0000-0000-0000CE7C0000}"/>
    <cellStyle name="60% - Accent4 3 2 4 2 2 2 2" xfId="19999" xr:uid="{00000000-0005-0000-0000-0000CF7C0000}"/>
    <cellStyle name="60% - Accent4 3 2 4 2 2 2 2 2" xfId="40479" xr:uid="{00000000-0005-0000-0000-0000D07C0000}"/>
    <cellStyle name="60% - Accent4 3 2 4 2 2 2 3" xfId="30239" xr:uid="{00000000-0005-0000-0000-0000D17C0000}"/>
    <cellStyle name="60% - Accent4 3 2 4 2 2 3" xfId="14879" xr:uid="{00000000-0005-0000-0000-0000D27C0000}"/>
    <cellStyle name="60% - Accent4 3 2 4 2 2 3 2" xfId="35359" xr:uid="{00000000-0005-0000-0000-0000D37C0000}"/>
    <cellStyle name="60% - Accent4 3 2 4 2 2 4" xfId="25119" xr:uid="{00000000-0005-0000-0000-0000D47C0000}"/>
    <cellStyle name="60% - Accent4 3 2 4 2 3" xfId="7199" xr:uid="{00000000-0005-0000-0000-0000D57C0000}"/>
    <cellStyle name="60% - Accent4 3 2 4 2 3 2" xfId="17439" xr:uid="{00000000-0005-0000-0000-0000D67C0000}"/>
    <cellStyle name="60% - Accent4 3 2 4 2 3 2 2" xfId="37919" xr:uid="{00000000-0005-0000-0000-0000D77C0000}"/>
    <cellStyle name="60% - Accent4 3 2 4 2 3 3" xfId="27679" xr:uid="{00000000-0005-0000-0000-0000D87C0000}"/>
    <cellStyle name="60% - Accent4 3 2 4 2 4" xfId="12319" xr:uid="{00000000-0005-0000-0000-0000D97C0000}"/>
    <cellStyle name="60% - Accent4 3 2 4 2 4 2" xfId="32799" xr:uid="{00000000-0005-0000-0000-0000DA7C0000}"/>
    <cellStyle name="60% - Accent4 3 2 4 2 5" xfId="22559" xr:uid="{00000000-0005-0000-0000-0000DB7C0000}"/>
    <cellStyle name="60% - Accent4 3 2 4 3" xfId="3359" xr:uid="{00000000-0005-0000-0000-0000DC7C0000}"/>
    <cellStyle name="60% - Accent4 3 2 4 3 2" xfId="8479" xr:uid="{00000000-0005-0000-0000-0000DD7C0000}"/>
    <cellStyle name="60% - Accent4 3 2 4 3 2 2" xfId="18719" xr:uid="{00000000-0005-0000-0000-0000DE7C0000}"/>
    <cellStyle name="60% - Accent4 3 2 4 3 2 2 2" xfId="39199" xr:uid="{00000000-0005-0000-0000-0000DF7C0000}"/>
    <cellStyle name="60% - Accent4 3 2 4 3 2 3" xfId="28959" xr:uid="{00000000-0005-0000-0000-0000E07C0000}"/>
    <cellStyle name="60% - Accent4 3 2 4 3 3" xfId="13599" xr:uid="{00000000-0005-0000-0000-0000E17C0000}"/>
    <cellStyle name="60% - Accent4 3 2 4 3 3 2" xfId="34079" xr:uid="{00000000-0005-0000-0000-0000E27C0000}"/>
    <cellStyle name="60% - Accent4 3 2 4 3 4" xfId="23839" xr:uid="{00000000-0005-0000-0000-0000E37C0000}"/>
    <cellStyle name="60% - Accent4 3 2 4 4" xfId="5919" xr:uid="{00000000-0005-0000-0000-0000E47C0000}"/>
    <cellStyle name="60% - Accent4 3 2 4 4 2" xfId="16159" xr:uid="{00000000-0005-0000-0000-0000E57C0000}"/>
    <cellStyle name="60% - Accent4 3 2 4 4 2 2" xfId="36639" xr:uid="{00000000-0005-0000-0000-0000E67C0000}"/>
    <cellStyle name="60% - Accent4 3 2 4 4 3" xfId="26399" xr:uid="{00000000-0005-0000-0000-0000E77C0000}"/>
    <cellStyle name="60% - Accent4 3 2 4 5" xfId="11039" xr:uid="{00000000-0005-0000-0000-0000E87C0000}"/>
    <cellStyle name="60% - Accent4 3 2 4 5 2" xfId="31519" xr:uid="{00000000-0005-0000-0000-0000E97C0000}"/>
    <cellStyle name="60% - Accent4 3 2 4 6" xfId="21279" xr:uid="{00000000-0005-0000-0000-0000EA7C0000}"/>
    <cellStyle name="60% - Accent4 3 2 5" xfId="1439" xr:uid="{00000000-0005-0000-0000-0000EB7C0000}"/>
    <cellStyle name="60% - Accent4 3 2 5 2" xfId="3999" xr:uid="{00000000-0005-0000-0000-0000EC7C0000}"/>
    <cellStyle name="60% - Accent4 3 2 5 2 2" xfId="9119" xr:uid="{00000000-0005-0000-0000-0000ED7C0000}"/>
    <cellStyle name="60% - Accent4 3 2 5 2 2 2" xfId="19359" xr:uid="{00000000-0005-0000-0000-0000EE7C0000}"/>
    <cellStyle name="60% - Accent4 3 2 5 2 2 2 2" xfId="39839" xr:uid="{00000000-0005-0000-0000-0000EF7C0000}"/>
    <cellStyle name="60% - Accent4 3 2 5 2 2 3" xfId="29599" xr:uid="{00000000-0005-0000-0000-0000F07C0000}"/>
    <cellStyle name="60% - Accent4 3 2 5 2 3" xfId="14239" xr:uid="{00000000-0005-0000-0000-0000F17C0000}"/>
    <cellStyle name="60% - Accent4 3 2 5 2 3 2" xfId="34719" xr:uid="{00000000-0005-0000-0000-0000F27C0000}"/>
    <cellStyle name="60% - Accent4 3 2 5 2 4" xfId="24479" xr:uid="{00000000-0005-0000-0000-0000F37C0000}"/>
    <cellStyle name="60% - Accent4 3 2 5 3" xfId="6559" xr:uid="{00000000-0005-0000-0000-0000F47C0000}"/>
    <cellStyle name="60% - Accent4 3 2 5 3 2" xfId="16799" xr:uid="{00000000-0005-0000-0000-0000F57C0000}"/>
    <cellStyle name="60% - Accent4 3 2 5 3 2 2" xfId="37279" xr:uid="{00000000-0005-0000-0000-0000F67C0000}"/>
    <cellStyle name="60% - Accent4 3 2 5 3 3" xfId="27039" xr:uid="{00000000-0005-0000-0000-0000F77C0000}"/>
    <cellStyle name="60% - Accent4 3 2 5 4" xfId="11679" xr:uid="{00000000-0005-0000-0000-0000F87C0000}"/>
    <cellStyle name="60% - Accent4 3 2 5 4 2" xfId="32159" xr:uid="{00000000-0005-0000-0000-0000F97C0000}"/>
    <cellStyle name="60% - Accent4 3 2 5 5" xfId="21919" xr:uid="{00000000-0005-0000-0000-0000FA7C0000}"/>
    <cellStyle name="60% - Accent4 3 2 6" xfId="2719" xr:uid="{00000000-0005-0000-0000-0000FB7C0000}"/>
    <cellStyle name="60% - Accent4 3 2 6 2" xfId="7839" xr:uid="{00000000-0005-0000-0000-0000FC7C0000}"/>
    <cellStyle name="60% - Accent4 3 2 6 2 2" xfId="18079" xr:uid="{00000000-0005-0000-0000-0000FD7C0000}"/>
    <cellStyle name="60% - Accent4 3 2 6 2 2 2" xfId="38559" xr:uid="{00000000-0005-0000-0000-0000FE7C0000}"/>
    <cellStyle name="60% - Accent4 3 2 6 2 3" xfId="28319" xr:uid="{00000000-0005-0000-0000-0000FF7C0000}"/>
    <cellStyle name="60% - Accent4 3 2 6 3" xfId="12959" xr:uid="{00000000-0005-0000-0000-0000007D0000}"/>
    <cellStyle name="60% - Accent4 3 2 6 3 2" xfId="33439" xr:uid="{00000000-0005-0000-0000-0000017D0000}"/>
    <cellStyle name="60% - Accent4 3 2 6 4" xfId="23199" xr:uid="{00000000-0005-0000-0000-0000027D0000}"/>
    <cellStyle name="60% - Accent4 3 2 7" xfId="5279" xr:uid="{00000000-0005-0000-0000-0000037D0000}"/>
    <cellStyle name="60% - Accent4 3 2 7 2" xfId="15519" xr:uid="{00000000-0005-0000-0000-0000047D0000}"/>
    <cellStyle name="60% - Accent4 3 2 7 2 2" xfId="35999" xr:uid="{00000000-0005-0000-0000-0000057D0000}"/>
    <cellStyle name="60% - Accent4 3 2 7 3" xfId="25759" xr:uid="{00000000-0005-0000-0000-0000067D0000}"/>
    <cellStyle name="60% - Accent4 3 2 8" xfId="10399" xr:uid="{00000000-0005-0000-0000-0000077D0000}"/>
    <cellStyle name="60% - Accent4 3 2 8 2" xfId="30879" xr:uid="{00000000-0005-0000-0000-0000087D0000}"/>
    <cellStyle name="60% - Accent4 3 2 9" xfId="20639" xr:uid="{00000000-0005-0000-0000-0000097D0000}"/>
    <cellStyle name="60% - Accent4 3 3" xfId="239" xr:uid="{00000000-0005-0000-0000-00000A7D0000}"/>
    <cellStyle name="60% - Accent4 3 3 2" xfId="559" xr:uid="{00000000-0005-0000-0000-00000B7D0000}"/>
    <cellStyle name="60% - Accent4 3 3 2 2" xfId="1199" xr:uid="{00000000-0005-0000-0000-00000C7D0000}"/>
    <cellStyle name="60% - Accent4 3 3 2 2 2" xfId="2479" xr:uid="{00000000-0005-0000-0000-00000D7D0000}"/>
    <cellStyle name="60% - Accent4 3 3 2 2 2 2" xfId="5039" xr:uid="{00000000-0005-0000-0000-00000E7D0000}"/>
    <cellStyle name="60% - Accent4 3 3 2 2 2 2 2" xfId="10159" xr:uid="{00000000-0005-0000-0000-00000F7D0000}"/>
    <cellStyle name="60% - Accent4 3 3 2 2 2 2 2 2" xfId="20399" xr:uid="{00000000-0005-0000-0000-0000107D0000}"/>
    <cellStyle name="60% - Accent4 3 3 2 2 2 2 2 2 2" xfId="40879" xr:uid="{00000000-0005-0000-0000-0000117D0000}"/>
    <cellStyle name="60% - Accent4 3 3 2 2 2 2 2 3" xfId="30639" xr:uid="{00000000-0005-0000-0000-0000127D0000}"/>
    <cellStyle name="60% - Accent4 3 3 2 2 2 2 3" xfId="15279" xr:uid="{00000000-0005-0000-0000-0000137D0000}"/>
    <cellStyle name="60% - Accent4 3 3 2 2 2 2 3 2" xfId="35759" xr:uid="{00000000-0005-0000-0000-0000147D0000}"/>
    <cellStyle name="60% - Accent4 3 3 2 2 2 2 4" xfId="25519" xr:uid="{00000000-0005-0000-0000-0000157D0000}"/>
    <cellStyle name="60% - Accent4 3 3 2 2 2 3" xfId="7599" xr:uid="{00000000-0005-0000-0000-0000167D0000}"/>
    <cellStyle name="60% - Accent4 3 3 2 2 2 3 2" xfId="17839" xr:uid="{00000000-0005-0000-0000-0000177D0000}"/>
    <cellStyle name="60% - Accent4 3 3 2 2 2 3 2 2" xfId="38319" xr:uid="{00000000-0005-0000-0000-0000187D0000}"/>
    <cellStyle name="60% - Accent4 3 3 2 2 2 3 3" xfId="28079" xr:uid="{00000000-0005-0000-0000-0000197D0000}"/>
    <cellStyle name="60% - Accent4 3 3 2 2 2 4" xfId="12719" xr:uid="{00000000-0005-0000-0000-00001A7D0000}"/>
    <cellStyle name="60% - Accent4 3 3 2 2 2 4 2" xfId="33199" xr:uid="{00000000-0005-0000-0000-00001B7D0000}"/>
    <cellStyle name="60% - Accent4 3 3 2 2 2 5" xfId="22959" xr:uid="{00000000-0005-0000-0000-00001C7D0000}"/>
    <cellStyle name="60% - Accent4 3 3 2 2 3" xfId="3759" xr:uid="{00000000-0005-0000-0000-00001D7D0000}"/>
    <cellStyle name="60% - Accent4 3 3 2 2 3 2" xfId="8879" xr:uid="{00000000-0005-0000-0000-00001E7D0000}"/>
    <cellStyle name="60% - Accent4 3 3 2 2 3 2 2" xfId="19119" xr:uid="{00000000-0005-0000-0000-00001F7D0000}"/>
    <cellStyle name="60% - Accent4 3 3 2 2 3 2 2 2" xfId="39599" xr:uid="{00000000-0005-0000-0000-0000207D0000}"/>
    <cellStyle name="60% - Accent4 3 3 2 2 3 2 3" xfId="29359" xr:uid="{00000000-0005-0000-0000-0000217D0000}"/>
    <cellStyle name="60% - Accent4 3 3 2 2 3 3" xfId="13999" xr:uid="{00000000-0005-0000-0000-0000227D0000}"/>
    <cellStyle name="60% - Accent4 3 3 2 2 3 3 2" xfId="34479" xr:uid="{00000000-0005-0000-0000-0000237D0000}"/>
    <cellStyle name="60% - Accent4 3 3 2 2 3 4" xfId="24239" xr:uid="{00000000-0005-0000-0000-0000247D0000}"/>
    <cellStyle name="60% - Accent4 3 3 2 2 4" xfId="6319" xr:uid="{00000000-0005-0000-0000-0000257D0000}"/>
    <cellStyle name="60% - Accent4 3 3 2 2 4 2" xfId="16559" xr:uid="{00000000-0005-0000-0000-0000267D0000}"/>
    <cellStyle name="60% - Accent4 3 3 2 2 4 2 2" xfId="37039" xr:uid="{00000000-0005-0000-0000-0000277D0000}"/>
    <cellStyle name="60% - Accent4 3 3 2 2 4 3" xfId="26799" xr:uid="{00000000-0005-0000-0000-0000287D0000}"/>
    <cellStyle name="60% - Accent4 3 3 2 2 5" xfId="11439" xr:uid="{00000000-0005-0000-0000-0000297D0000}"/>
    <cellStyle name="60% - Accent4 3 3 2 2 5 2" xfId="31919" xr:uid="{00000000-0005-0000-0000-00002A7D0000}"/>
    <cellStyle name="60% - Accent4 3 3 2 2 6" xfId="21679" xr:uid="{00000000-0005-0000-0000-00002B7D0000}"/>
    <cellStyle name="60% - Accent4 3 3 2 3" xfId="1839" xr:uid="{00000000-0005-0000-0000-00002C7D0000}"/>
    <cellStyle name="60% - Accent4 3 3 2 3 2" xfId="4399" xr:uid="{00000000-0005-0000-0000-00002D7D0000}"/>
    <cellStyle name="60% - Accent4 3 3 2 3 2 2" xfId="9519" xr:uid="{00000000-0005-0000-0000-00002E7D0000}"/>
    <cellStyle name="60% - Accent4 3 3 2 3 2 2 2" xfId="19759" xr:uid="{00000000-0005-0000-0000-00002F7D0000}"/>
    <cellStyle name="60% - Accent4 3 3 2 3 2 2 2 2" xfId="40239" xr:uid="{00000000-0005-0000-0000-0000307D0000}"/>
    <cellStyle name="60% - Accent4 3 3 2 3 2 2 3" xfId="29999" xr:uid="{00000000-0005-0000-0000-0000317D0000}"/>
    <cellStyle name="60% - Accent4 3 3 2 3 2 3" xfId="14639" xr:uid="{00000000-0005-0000-0000-0000327D0000}"/>
    <cellStyle name="60% - Accent4 3 3 2 3 2 3 2" xfId="35119" xr:uid="{00000000-0005-0000-0000-0000337D0000}"/>
    <cellStyle name="60% - Accent4 3 3 2 3 2 4" xfId="24879" xr:uid="{00000000-0005-0000-0000-0000347D0000}"/>
    <cellStyle name="60% - Accent4 3 3 2 3 3" xfId="6959" xr:uid="{00000000-0005-0000-0000-0000357D0000}"/>
    <cellStyle name="60% - Accent4 3 3 2 3 3 2" xfId="17199" xr:uid="{00000000-0005-0000-0000-0000367D0000}"/>
    <cellStyle name="60% - Accent4 3 3 2 3 3 2 2" xfId="37679" xr:uid="{00000000-0005-0000-0000-0000377D0000}"/>
    <cellStyle name="60% - Accent4 3 3 2 3 3 3" xfId="27439" xr:uid="{00000000-0005-0000-0000-0000387D0000}"/>
    <cellStyle name="60% - Accent4 3 3 2 3 4" xfId="12079" xr:uid="{00000000-0005-0000-0000-0000397D0000}"/>
    <cellStyle name="60% - Accent4 3 3 2 3 4 2" xfId="32559" xr:uid="{00000000-0005-0000-0000-00003A7D0000}"/>
    <cellStyle name="60% - Accent4 3 3 2 3 5" xfId="22319" xr:uid="{00000000-0005-0000-0000-00003B7D0000}"/>
    <cellStyle name="60% - Accent4 3 3 2 4" xfId="3119" xr:uid="{00000000-0005-0000-0000-00003C7D0000}"/>
    <cellStyle name="60% - Accent4 3 3 2 4 2" xfId="8239" xr:uid="{00000000-0005-0000-0000-00003D7D0000}"/>
    <cellStyle name="60% - Accent4 3 3 2 4 2 2" xfId="18479" xr:uid="{00000000-0005-0000-0000-00003E7D0000}"/>
    <cellStyle name="60% - Accent4 3 3 2 4 2 2 2" xfId="38959" xr:uid="{00000000-0005-0000-0000-00003F7D0000}"/>
    <cellStyle name="60% - Accent4 3 3 2 4 2 3" xfId="28719" xr:uid="{00000000-0005-0000-0000-0000407D0000}"/>
    <cellStyle name="60% - Accent4 3 3 2 4 3" xfId="13359" xr:uid="{00000000-0005-0000-0000-0000417D0000}"/>
    <cellStyle name="60% - Accent4 3 3 2 4 3 2" xfId="33839" xr:uid="{00000000-0005-0000-0000-0000427D0000}"/>
    <cellStyle name="60% - Accent4 3 3 2 4 4" xfId="23599" xr:uid="{00000000-0005-0000-0000-0000437D0000}"/>
    <cellStyle name="60% - Accent4 3 3 2 5" xfId="5679" xr:uid="{00000000-0005-0000-0000-0000447D0000}"/>
    <cellStyle name="60% - Accent4 3 3 2 5 2" xfId="15919" xr:uid="{00000000-0005-0000-0000-0000457D0000}"/>
    <cellStyle name="60% - Accent4 3 3 2 5 2 2" xfId="36399" xr:uid="{00000000-0005-0000-0000-0000467D0000}"/>
    <cellStyle name="60% - Accent4 3 3 2 5 3" xfId="26159" xr:uid="{00000000-0005-0000-0000-0000477D0000}"/>
    <cellStyle name="60% - Accent4 3 3 2 6" xfId="10799" xr:uid="{00000000-0005-0000-0000-0000487D0000}"/>
    <cellStyle name="60% - Accent4 3 3 2 6 2" xfId="31279" xr:uid="{00000000-0005-0000-0000-0000497D0000}"/>
    <cellStyle name="60% - Accent4 3 3 2 7" xfId="21039" xr:uid="{00000000-0005-0000-0000-00004A7D0000}"/>
    <cellStyle name="60% - Accent4 3 3 3" xfId="879" xr:uid="{00000000-0005-0000-0000-00004B7D0000}"/>
    <cellStyle name="60% - Accent4 3 3 3 2" xfId="2159" xr:uid="{00000000-0005-0000-0000-00004C7D0000}"/>
    <cellStyle name="60% - Accent4 3 3 3 2 2" xfId="4719" xr:uid="{00000000-0005-0000-0000-00004D7D0000}"/>
    <cellStyle name="60% - Accent4 3 3 3 2 2 2" xfId="9839" xr:uid="{00000000-0005-0000-0000-00004E7D0000}"/>
    <cellStyle name="60% - Accent4 3 3 3 2 2 2 2" xfId="20079" xr:uid="{00000000-0005-0000-0000-00004F7D0000}"/>
    <cellStyle name="60% - Accent4 3 3 3 2 2 2 2 2" xfId="40559" xr:uid="{00000000-0005-0000-0000-0000507D0000}"/>
    <cellStyle name="60% - Accent4 3 3 3 2 2 2 3" xfId="30319" xr:uid="{00000000-0005-0000-0000-0000517D0000}"/>
    <cellStyle name="60% - Accent4 3 3 3 2 2 3" xfId="14959" xr:uid="{00000000-0005-0000-0000-0000527D0000}"/>
    <cellStyle name="60% - Accent4 3 3 3 2 2 3 2" xfId="35439" xr:uid="{00000000-0005-0000-0000-0000537D0000}"/>
    <cellStyle name="60% - Accent4 3 3 3 2 2 4" xfId="25199" xr:uid="{00000000-0005-0000-0000-0000547D0000}"/>
    <cellStyle name="60% - Accent4 3 3 3 2 3" xfId="7279" xr:uid="{00000000-0005-0000-0000-0000557D0000}"/>
    <cellStyle name="60% - Accent4 3 3 3 2 3 2" xfId="17519" xr:uid="{00000000-0005-0000-0000-0000567D0000}"/>
    <cellStyle name="60% - Accent4 3 3 3 2 3 2 2" xfId="37999" xr:uid="{00000000-0005-0000-0000-0000577D0000}"/>
    <cellStyle name="60% - Accent4 3 3 3 2 3 3" xfId="27759" xr:uid="{00000000-0005-0000-0000-0000587D0000}"/>
    <cellStyle name="60% - Accent4 3 3 3 2 4" xfId="12399" xr:uid="{00000000-0005-0000-0000-0000597D0000}"/>
    <cellStyle name="60% - Accent4 3 3 3 2 4 2" xfId="32879" xr:uid="{00000000-0005-0000-0000-00005A7D0000}"/>
    <cellStyle name="60% - Accent4 3 3 3 2 5" xfId="22639" xr:uid="{00000000-0005-0000-0000-00005B7D0000}"/>
    <cellStyle name="60% - Accent4 3 3 3 3" xfId="3439" xr:uid="{00000000-0005-0000-0000-00005C7D0000}"/>
    <cellStyle name="60% - Accent4 3 3 3 3 2" xfId="8559" xr:uid="{00000000-0005-0000-0000-00005D7D0000}"/>
    <cellStyle name="60% - Accent4 3 3 3 3 2 2" xfId="18799" xr:uid="{00000000-0005-0000-0000-00005E7D0000}"/>
    <cellStyle name="60% - Accent4 3 3 3 3 2 2 2" xfId="39279" xr:uid="{00000000-0005-0000-0000-00005F7D0000}"/>
    <cellStyle name="60% - Accent4 3 3 3 3 2 3" xfId="29039" xr:uid="{00000000-0005-0000-0000-0000607D0000}"/>
    <cellStyle name="60% - Accent4 3 3 3 3 3" xfId="13679" xr:uid="{00000000-0005-0000-0000-0000617D0000}"/>
    <cellStyle name="60% - Accent4 3 3 3 3 3 2" xfId="34159" xr:uid="{00000000-0005-0000-0000-0000627D0000}"/>
    <cellStyle name="60% - Accent4 3 3 3 3 4" xfId="23919" xr:uid="{00000000-0005-0000-0000-0000637D0000}"/>
    <cellStyle name="60% - Accent4 3 3 3 4" xfId="5999" xr:uid="{00000000-0005-0000-0000-0000647D0000}"/>
    <cellStyle name="60% - Accent4 3 3 3 4 2" xfId="16239" xr:uid="{00000000-0005-0000-0000-0000657D0000}"/>
    <cellStyle name="60% - Accent4 3 3 3 4 2 2" xfId="36719" xr:uid="{00000000-0005-0000-0000-0000667D0000}"/>
    <cellStyle name="60% - Accent4 3 3 3 4 3" xfId="26479" xr:uid="{00000000-0005-0000-0000-0000677D0000}"/>
    <cellStyle name="60% - Accent4 3 3 3 5" xfId="11119" xr:uid="{00000000-0005-0000-0000-0000687D0000}"/>
    <cellStyle name="60% - Accent4 3 3 3 5 2" xfId="31599" xr:uid="{00000000-0005-0000-0000-0000697D0000}"/>
    <cellStyle name="60% - Accent4 3 3 3 6" xfId="21359" xr:uid="{00000000-0005-0000-0000-00006A7D0000}"/>
    <cellStyle name="60% - Accent4 3 3 4" xfId="1519" xr:uid="{00000000-0005-0000-0000-00006B7D0000}"/>
    <cellStyle name="60% - Accent4 3 3 4 2" xfId="4079" xr:uid="{00000000-0005-0000-0000-00006C7D0000}"/>
    <cellStyle name="60% - Accent4 3 3 4 2 2" xfId="9199" xr:uid="{00000000-0005-0000-0000-00006D7D0000}"/>
    <cellStyle name="60% - Accent4 3 3 4 2 2 2" xfId="19439" xr:uid="{00000000-0005-0000-0000-00006E7D0000}"/>
    <cellStyle name="60% - Accent4 3 3 4 2 2 2 2" xfId="39919" xr:uid="{00000000-0005-0000-0000-00006F7D0000}"/>
    <cellStyle name="60% - Accent4 3 3 4 2 2 3" xfId="29679" xr:uid="{00000000-0005-0000-0000-0000707D0000}"/>
    <cellStyle name="60% - Accent4 3 3 4 2 3" xfId="14319" xr:uid="{00000000-0005-0000-0000-0000717D0000}"/>
    <cellStyle name="60% - Accent4 3 3 4 2 3 2" xfId="34799" xr:uid="{00000000-0005-0000-0000-0000727D0000}"/>
    <cellStyle name="60% - Accent4 3 3 4 2 4" xfId="24559" xr:uid="{00000000-0005-0000-0000-0000737D0000}"/>
    <cellStyle name="60% - Accent4 3 3 4 3" xfId="6639" xr:uid="{00000000-0005-0000-0000-0000747D0000}"/>
    <cellStyle name="60% - Accent4 3 3 4 3 2" xfId="16879" xr:uid="{00000000-0005-0000-0000-0000757D0000}"/>
    <cellStyle name="60% - Accent4 3 3 4 3 2 2" xfId="37359" xr:uid="{00000000-0005-0000-0000-0000767D0000}"/>
    <cellStyle name="60% - Accent4 3 3 4 3 3" xfId="27119" xr:uid="{00000000-0005-0000-0000-0000777D0000}"/>
    <cellStyle name="60% - Accent4 3 3 4 4" xfId="11759" xr:uid="{00000000-0005-0000-0000-0000787D0000}"/>
    <cellStyle name="60% - Accent4 3 3 4 4 2" xfId="32239" xr:uid="{00000000-0005-0000-0000-0000797D0000}"/>
    <cellStyle name="60% - Accent4 3 3 4 5" xfId="21999" xr:uid="{00000000-0005-0000-0000-00007A7D0000}"/>
    <cellStyle name="60% - Accent4 3 3 5" xfId="2799" xr:uid="{00000000-0005-0000-0000-00007B7D0000}"/>
    <cellStyle name="60% - Accent4 3 3 5 2" xfId="7919" xr:uid="{00000000-0005-0000-0000-00007C7D0000}"/>
    <cellStyle name="60% - Accent4 3 3 5 2 2" xfId="18159" xr:uid="{00000000-0005-0000-0000-00007D7D0000}"/>
    <cellStyle name="60% - Accent4 3 3 5 2 2 2" xfId="38639" xr:uid="{00000000-0005-0000-0000-00007E7D0000}"/>
    <cellStyle name="60% - Accent4 3 3 5 2 3" xfId="28399" xr:uid="{00000000-0005-0000-0000-00007F7D0000}"/>
    <cellStyle name="60% - Accent4 3 3 5 3" xfId="13039" xr:uid="{00000000-0005-0000-0000-0000807D0000}"/>
    <cellStyle name="60% - Accent4 3 3 5 3 2" xfId="33519" xr:uid="{00000000-0005-0000-0000-0000817D0000}"/>
    <cellStyle name="60% - Accent4 3 3 5 4" xfId="23279" xr:uid="{00000000-0005-0000-0000-0000827D0000}"/>
    <cellStyle name="60% - Accent4 3 3 6" xfId="5359" xr:uid="{00000000-0005-0000-0000-0000837D0000}"/>
    <cellStyle name="60% - Accent4 3 3 6 2" xfId="15599" xr:uid="{00000000-0005-0000-0000-0000847D0000}"/>
    <cellStyle name="60% - Accent4 3 3 6 2 2" xfId="36079" xr:uid="{00000000-0005-0000-0000-0000857D0000}"/>
    <cellStyle name="60% - Accent4 3 3 6 3" xfId="25839" xr:uid="{00000000-0005-0000-0000-0000867D0000}"/>
    <cellStyle name="60% - Accent4 3 3 7" xfId="10479" xr:uid="{00000000-0005-0000-0000-0000877D0000}"/>
    <cellStyle name="60% - Accent4 3 3 7 2" xfId="30959" xr:uid="{00000000-0005-0000-0000-0000887D0000}"/>
    <cellStyle name="60% - Accent4 3 3 8" xfId="20719" xr:uid="{00000000-0005-0000-0000-0000897D0000}"/>
    <cellStyle name="60% - Accent4 3 4" xfId="399" xr:uid="{00000000-0005-0000-0000-00008A7D0000}"/>
    <cellStyle name="60% - Accent4 3 4 2" xfId="1039" xr:uid="{00000000-0005-0000-0000-00008B7D0000}"/>
    <cellStyle name="60% - Accent4 3 4 2 2" xfId="2319" xr:uid="{00000000-0005-0000-0000-00008C7D0000}"/>
    <cellStyle name="60% - Accent4 3 4 2 2 2" xfId="4879" xr:uid="{00000000-0005-0000-0000-00008D7D0000}"/>
    <cellStyle name="60% - Accent4 3 4 2 2 2 2" xfId="9999" xr:uid="{00000000-0005-0000-0000-00008E7D0000}"/>
    <cellStyle name="60% - Accent4 3 4 2 2 2 2 2" xfId="20239" xr:uid="{00000000-0005-0000-0000-00008F7D0000}"/>
    <cellStyle name="60% - Accent4 3 4 2 2 2 2 2 2" xfId="40719" xr:uid="{00000000-0005-0000-0000-0000907D0000}"/>
    <cellStyle name="60% - Accent4 3 4 2 2 2 2 3" xfId="30479" xr:uid="{00000000-0005-0000-0000-0000917D0000}"/>
    <cellStyle name="60% - Accent4 3 4 2 2 2 3" xfId="15119" xr:uid="{00000000-0005-0000-0000-0000927D0000}"/>
    <cellStyle name="60% - Accent4 3 4 2 2 2 3 2" xfId="35599" xr:uid="{00000000-0005-0000-0000-0000937D0000}"/>
    <cellStyle name="60% - Accent4 3 4 2 2 2 4" xfId="25359" xr:uid="{00000000-0005-0000-0000-0000947D0000}"/>
    <cellStyle name="60% - Accent4 3 4 2 2 3" xfId="7439" xr:uid="{00000000-0005-0000-0000-0000957D0000}"/>
    <cellStyle name="60% - Accent4 3 4 2 2 3 2" xfId="17679" xr:uid="{00000000-0005-0000-0000-0000967D0000}"/>
    <cellStyle name="60% - Accent4 3 4 2 2 3 2 2" xfId="38159" xr:uid="{00000000-0005-0000-0000-0000977D0000}"/>
    <cellStyle name="60% - Accent4 3 4 2 2 3 3" xfId="27919" xr:uid="{00000000-0005-0000-0000-0000987D0000}"/>
    <cellStyle name="60% - Accent4 3 4 2 2 4" xfId="12559" xr:uid="{00000000-0005-0000-0000-0000997D0000}"/>
    <cellStyle name="60% - Accent4 3 4 2 2 4 2" xfId="33039" xr:uid="{00000000-0005-0000-0000-00009A7D0000}"/>
    <cellStyle name="60% - Accent4 3 4 2 2 5" xfId="22799" xr:uid="{00000000-0005-0000-0000-00009B7D0000}"/>
    <cellStyle name="60% - Accent4 3 4 2 3" xfId="3599" xr:uid="{00000000-0005-0000-0000-00009C7D0000}"/>
    <cellStyle name="60% - Accent4 3 4 2 3 2" xfId="8719" xr:uid="{00000000-0005-0000-0000-00009D7D0000}"/>
    <cellStyle name="60% - Accent4 3 4 2 3 2 2" xfId="18959" xr:uid="{00000000-0005-0000-0000-00009E7D0000}"/>
    <cellStyle name="60% - Accent4 3 4 2 3 2 2 2" xfId="39439" xr:uid="{00000000-0005-0000-0000-00009F7D0000}"/>
    <cellStyle name="60% - Accent4 3 4 2 3 2 3" xfId="29199" xr:uid="{00000000-0005-0000-0000-0000A07D0000}"/>
    <cellStyle name="60% - Accent4 3 4 2 3 3" xfId="13839" xr:uid="{00000000-0005-0000-0000-0000A17D0000}"/>
    <cellStyle name="60% - Accent4 3 4 2 3 3 2" xfId="34319" xr:uid="{00000000-0005-0000-0000-0000A27D0000}"/>
    <cellStyle name="60% - Accent4 3 4 2 3 4" xfId="24079" xr:uid="{00000000-0005-0000-0000-0000A37D0000}"/>
    <cellStyle name="60% - Accent4 3 4 2 4" xfId="6159" xr:uid="{00000000-0005-0000-0000-0000A47D0000}"/>
    <cellStyle name="60% - Accent4 3 4 2 4 2" xfId="16399" xr:uid="{00000000-0005-0000-0000-0000A57D0000}"/>
    <cellStyle name="60% - Accent4 3 4 2 4 2 2" xfId="36879" xr:uid="{00000000-0005-0000-0000-0000A67D0000}"/>
    <cellStyle name="60% - Accent4 3 4 2 4 3" xfId="26639" xr:uid="{00000000-0005-0000-0000-0000A77D0000}"/>
    <cellStyle name="60% - Accent4 3 4 2 5" xfId="11279" xr:uid="{00000000-0005-0000-0000-0000A87D0000}"/>
    <cellStyle name="60% - Accent4 3 4 2 5 2" xfId="31759" xr:uid="{00000000-0005-0000-0000-0000A97D0000}"/>
    <cellStyle name="60% - Accent4 3 4 2 6" xfId="21519" xr:uid="{00000000-0005-0000-0000-0000AA7D0000}"/>
    <cellStyle name="60% - Accent4 3 4 3" xfId="1679" xr:uid="{00000000-0005-0000-0000-0000AB7D0000}"/>
    <cellStyle name="60% - Accent4 3 4 3 2" xfId="4239" xr:uid="{00000000-0005-0000-0000-0000AC7D0000}"/>
    <cellStyle name="60% - Accent4 3 4 3 2 2" xfId="9359" xr:uid="{00000000-0005-0000-0000-0000AD7D0000}"/>
    <cellStyle name="60% - Accent4 3 4 3 2 2 2" xfId="19599" xr:uid="{00000000-0005-0000-0000-0000AE7D0000}"/>
    <cellStyle name="60% - Accent4 3 4 3 2 2 2 2" xfId="40079" xr:uid="{00000000-0005-0000-0000-0000AF7D0000}"/>
    <cellStyle name="60% - Accent4 3 4 3 2 2 3" xfId="29839" xr:uid="{00000000-0005-0000-0000-0000B07D0000}"/>
    <cellStyle name="60% - Accent4 3 4 3 2 3" xfId="14479" xr:uid="{00000000-0005-0000-0000-0000B17D0000}"/>
    <cellStyle name="60% - Accent4 3 4 3 2 3 2" xfId="34959" xr:uid="{00000000-0005-0000-0000-0000B27D0000}"/>
    <cellStyle name="60% - Accent4 3 4 3 2 4" xfId="24719" xr:uid="{00000000-0005-0000-0000-0000B37D0000}"/>
    <cellStyle name="60% - Accent4 3 4 3 3" xfId="6799" xr:uid="{00000000-0005-0000-0000-0000B47D0000}"/>
    <cellStyle name="60% - Accent4 3 4 3 3 2" xfId="17039" xr:uid="{00000000-0005-0000-0000-0000B57D0000}"/>
    <cellStyle name="60% - Accent4 3 4 3 3 2 2" xfId="37519" xr:uid="{00000000-0005-0000-0000-0000B67D0000}"/>
    <cellStyle name="60% - Accent4 3 4 3 3 3" xfId="27279" xr:uid="{00000000-0005-0000-0000-0000B77D0000}"/>
    <cellStyle name="60% - Accent4 3 4 3 4" xfId="11919" xr:uid="{00000000-0005-0000-0000-0000B87D0000}"/>
    <cellStyle name="60% - Accent4 3 4 3 4 2" xfId="32399" xr:uid="{00000000-0005-0000-0000-0000B97D0000}"/>
    <cellStyle name="60% - Accent4 3 4 3 5" xfId="22159" xr:uid="{00000000-0005-0000-0000-0000BA7D0000}"/>
    <cellStyle name="60% - Accent4 3 4 4" xfId="2959" xr:uid="{00000000-0005-0000-0000-0000BB7D0000}"/>
    <cellStyle name="60% - Accent4 3 4 4 2" xfId="8079" xr:uid="{00000000-0005-0000-0000-0000BC7D0000}"/>
    <cellStyle name="60% - Accent4 3 4 4 2 2" xfId="18319" xr:uid="{00000000-0005-0000-0000-0000BD7D0000}"/>
    <cellStyle name="60% - Accent4 3 4 4 2 2 2" xfId="38799" xr:uid="{00000000-0005-0000-0000-0000BE7D0000}"/>
    <cellStyle name="60% - Accent4 3 4 4 2 3" xfId="28559" xr:uid="{00000000-0005-0000-0000-0000BF7D0000}"/>
    <cellStyle name="60% - Accent4 3 4 4 3" xfId="13199" xr:uid="{00000000-0005-0000-0000-0000C07D0000}"/>
    <cellStyle name="60% - Accent4 3 4 4 3 2" xfId="33679" xr:uid="{00000000-0005-0000-0000-0000C17D0000}"/>
    <cellStyle name="60% - Accent4 3 4 4 4" xfId="23439" xr:uid="{00000000-0005-0000-0000-0000C27D0000}"/>
    <cellStyle name="60% - Accent4 3 4 5" xfId="5519" xr:uid="{00000000-0005-0000-0000-0000C37D0000}"/>
    <cellStyle name="60% - Accent4 3 4 5 2" xfId="15759" xr:uid="{00000000-0005-0000-0000-0000C47D0000}"/>
    <cellStyle name="60% - Accent4 3 4 5 2 2" xfId="36239" xr:uid="{00000000-0005-0000-0000-0000C57D0000}"/>
    <cellStyle name="60% - Accent4 3 4 5 3" xfId="25999" xr:uid="{00000000-0005-0000-0000-0000C67D0000}"/>
    <cellStyle name="60% - Accent4 3 4 6" xfId="10639" xr:uid="{00000000-0005-0000-0000-0000C77D0000}"/>
    <cellStyle name="60% - Accent4 3 4 6 2" xfId="31119" xr:uid="{00000000-0005-0000-0000-0000C87D0000}"/>
    <cellStyle name="60% - Accent4 3 4 7" xfId="20879" xr:uid="{00000000-0005-0000-0000-0000C97D0000}"/>
    <cellStyle name="60% - Accent4 3 5" xfId="719" xr:uid="{00000000-0005-0000-0000-0000CA7D0000}"/>
    <cellStyle name="60% - Accent4 3 5 2" xfId="1999" xr:uid="{00000000-0005-0000-0000-0000CB7D0000}"/>
    <cellStyle name="60% - Accent4 3 5 2 2" xfId="4559" xr:uid="{00000000-0005-0000-0000-0000CC7D0000}"/>
    <cellStyle name="60% - Accent4 3 5 2 2 2" xfId="9679" xr:uid="{00000000-0005-0000-0000-0000CD7D0000}"/>
    <cellStyle name="60% - Accent4 3 5 2 2 2 2" xfId="19919" xr:uid="{00000000-0005-0000-0000-0000CE7D0000}"/>
    <cellStyle name="60% - Accent4 3 5 2 2 2 2 2" xfId="40399" xr:uid="{00000000-0005-0000-0000-0000CF7D0000}"/>
    <cellStyle name="60% - Accent4 3 5 2 2 2 3" xfId="30159" xr:uid="{00000000-0005-0000-0000-0000D07D0000}"/>
    <cellStyle name="60% - Accent4 3 5 2 2 3" xfId="14799" xr:uid="{00000000-0005-0000-0000-0000D17D0000}"/>
    <cellStyle name="60% - Accent4 3 5 2 2 3 2" xfId="35279" xr:uid="{00000000-0005-0000-0000-0000D27D0000}"/>
    <cellStyle name="60% - Accent4 3 5 2 2 4" xfId="25039" xr:uid="{00000000-0005-0000-0000-0000D37D0000}"/>
    <cellStyle name="60% - Accent4 3 5 2 3" xfId="7119" xr:uid="{00000000-0005-0000-0000-0000D47D0000}"/>
    <cellStyle name="60% - Accent4 3 5 2 3 2" xfId="17359" xr:uid="{00000000-0005-0000-0000-0000D57D0000}"/>
    <cellStyle name="60% - Accent4 3 5 2 3 2 2" xfId="37839" xr:uid="{00000000-0005-0000-0000-0000D67D0000}"/>
    <cellStyle name="60% - Accent4 3 5 2 3 3" xfId="27599" xr:uid="{00000000-0005-0000-0000-0000D77D0000}"/>
    <cellStyle name="60% - Accent4 3 5 2 4" xfId="12239" xr:uid="{00000000-0005-0000-0000-0000D87D0000}"/>
    <cellStyle name="60% - Accent4 3 5 2 4 2" xfId="32719" xr:uid="{00000000-0005-0000-0000-0000D97D0000}"/>
    <cellStyle name="60% - Accent4 3 5 2 5" xfId="22479" xr:uid="{00000000-0005-0000-0000-0000DA7D0000}"/>
    <cellStyle name="60% - Accent4 3 5 3" xfId="3279" xr:uid="{00000000-0005-0000-0000-0000DB7D0000}"/>
    <cellStyle name="60% - Accent4 3 5 3 2" xfId="8399" xr:uid="{00000000-0005-0000-0000-0000DC7D0000}"/>
    <cellStyle name="60% - Accent4 3 5 3 2 2" xfId="18639" xr:uid="{00000000-0005-0000-0000-0000DD7D0000}"/>
    <cellStyle name="60% - Accent4 3 5 3 2 2 2" xfId="39119" xr:uid="{00000000-0005-0000-0000-0000DE7D0000}"/>
    <cellStyle name="60% - Accent4 3 5 3 2 3" xfId="28879" xr:uid="{00000000-0005-0000-0000-0000DF7D0000}"/>
    <cellStyle name="60% - Accent4 3 5 3 3" xfId="13519" xr:uid="{00000000-0005-0000-0000-0000E07D0000}"/>
    <cellStyle name="60% - Accent4 3 5 3 3 2" xfId="33999" xr:uid="{00000000-0005-0000-0000-0000E17D0000}"/>
    <cellStyle name="60% - Accent4 3 5 3 4" xfId="23759" xr:uid="{00000000-0005-0000-0000-0000E27D0000}"/>
    <cellStyle name="60% - Accent4 3 5 4" xfId="5839" xr:uid="{00000000-0005-0000-0000-0000E37D0000}"/>
    <cellStyle name="60% - Accent4 3 5 4 2" xfId="16079" xr:uid="{00000000-0005-0000-0000-0000E47D0000}"/>
    <cellStyle name="60% - Accent4 3 5 4 2 2" xfId="36559" xr:uid="{00000000-0005-0000-0000-0000E57D0000}"/>
    <cellStyle name="60% - Accent4 3 5 4 3" xfId="26319" xr:uid="{00000000-0005-0000-0000-0000E67D0000}"/>
    <cellStyle name="60% - Accent4 3 5 5" xfId="10959" xr:uid="{00000000-0005-0000-0000-0000E77D0000}"/>
    <cellStyle name="60% - Accent4 3 5 5 2" xfId="31439" xr:uid="{00000000-0005-0000-0000-0000E87D0000}"/>
    <cellStyle name="60% - Accent4 3 5 6" xfId="21199" xr:uid="{00000000-0005-0000-0000-0000E97D0000}"/>
    <cellStyle name="60% - Accent4 3 6" xfId="1359" xr:uid="{00000000-0005-0000-0000-0000EA7D0000}"/>
    <cellStyle name="60% - Accent4 3 6 2" xfId="3919" xr:uid="{00000000-0005-0000-0000-0000EB7D0000}"/>
    <cellStyle name="60% - Accent4 3 6 2 2" xfId="9039" xr:uid="{00000000-0005-0000-0000-0000EC7D0000}"/>
    <cellStyle name="60% - Accent4 3 6 2 2 2" xfId="19279" xr:uid="{00000000-0005-0000-0000-0000ED7D0000}"/>
    <cellStyle name="60% - Accent4 3 6 2 2 2 2" xfId="39759" xr:uid="{00000000-0005-0000-0000-0000EE7D0000}"/>
    <cellStyle name="60% - Accent4 3 6 2 2 3" xfId="29519" xr:uid="{00000000-0005-0000-0000-0000EF7D0000}"/>
    <cellStyle name="60% - Accent4 3 6 2 3" xfId="14159" xr:uid="{00000000-0005-0000-0000-0000F07D0000}"/>
    <cellStyle name="60% - Accent4 3 6 2 3 2" xfId="34639" xr:uid="{00000000-0005-0000-0000-0000F17D0000}"/>
    <cellStyle name="60% - Accent4 3 6 2 4" xfId="24399" xr:uid="{00000000-0005-0000-0000-0000F27D0000}"/>
    <cellStyle name="60% - Accent4 3 6 3" xfId="6479" xr:uid="{00000000-0005-0000-0000-0000F37D0000}"/>
    <cellStyle name="60% - Accent4 3 6 3 2" xfId="16719" xr:uid="{00000000-0005-0000-0000-0000F47D0000}"/>
    <cellStyle name="60% - Accent4 3 6 3 2 2" xfId="37199" xr:uid="{00000000-0005-0000-0000-0000F57D0000}"/>
    <cellStyle name="60% - Accent4 3 6 3 3" xfId="26959" xr:uid="{00000000-0005-0000-0000-0000F67D0000}"/>
    <cellStyle name="60% - Accent4 3 6 4" xfId="11599" xr:uid="{00000000-0005-0000-0000-0000F77D0000}"/>
    <cellStyle name="60% - Accent4 3 6 4 2" xfId="32079" xr:uid="{00000000-0005-0000-0000-0000F87D0000}"/>
    <cellStyle name="60% - Accent4 3 6 5" xfId="21839" xr:uid="{00000000-0005-0000-0000-0000F97D0000}"/>
    <cellStyle name="60% - Accent4 3 7" xfId="2639" xr:uid="{00000000-0005-0000-0000-0000FA7D0000}"/>
    <cellStyle name="60% - Accent4 3 7 2" xfId="7759" xr:uid="{00000000-0005-0000-0000-0000FB7D0000}"/>
    <cellStyle name="60% - Accent4 3 7 2 2" xfId="17999" xr:uid="{00000000-0005-0000-0000-0000FC7D0000}"/>
    <cellStyle name="60% - Accent4 3 7 2 2 2" xfId="38479" xr:uid="{00000000-0005-0000-0000-0000FD7D0000}"/>
    <cellStyle name="60% - Accent4 3 7 2 3" xfId="28239" xr:uid="{00000000-0005-0000-0000-0000FE7D0000}"/>
    <cellStyle name="60% - Accent4 3 7 3" xfId="12879" xr:uid="{00000000-0005-0000-0000-0000FF7D0000}"/>
    <cellStyle name="60% - Accent4 3 7 3 2" xfId="33359" xr:uid="{00000000-0005-0000-0000-0000007E0000}"/>
    <cellStyle name="60% - Accent4 3 7 4" xfId="23119" xr:uid="{00000000-0005-0000-0000-0000017E0000}"/>
    <cellStyle name="60% - Accent4 3 8" xfId="5199" xr:uid="{00000000-0005-0000-0000-0000027E0000}"/>
    <cellStyle name="60% - Accent4 3 8 2" xfId="15439" xr:uid="{00000000-0005-0000-0000-0000037E0000}"/>
    <cellStyle name="60% - Accent4 3 8 2 2" xfId="35919" xr:uid="{00000000-0005-0000-0000-0000047E0000}"/>
    <cellStyle name="60% - Accent4 3 8 3" xfId="25679" xr:uid="{00000000-0005-0000-0000-0000057E0000}"/>
    <cellStyle name="60% - Accent4 3 9" xfId="10319" xr:uid="{00000000-0005-0000-0000-0000067E0000}"/>
    <cellStyle name="60% - Accent4 3 9 2" xfId="30799" xr:uid="{00000000-0005-0000-0000-0000077E0000}"/>
    <cellStyle name="60% - Accent4 4" xfId="119" xr:uid="{00000000-0005-0000-0000-0000087E0000}"/>
    <cellStyle name="60% - Accent4 4 2" xfId="279" xr:uid="{00000000-0005-0000-0000-0000097E0000}"/>
    <cellStyle name="60% - Accent4 4 2 2" xfId="599" xr:uid="{00000000-0005-0000-0000-00000A7E0000}"/>
    <cellStyle name="60% - Accent4 4 2 2 2" xfId="1239" xr:uid="{00000000-0005-0000-0000-00000B7E0000}"/>
    <cellStyle name="60% - Accent4 4 2 2 2 2" xfId="2519" xr:uid="{00000000-0005-0000-0000-00000C7E0000}"/>
    <cellStyle name="60% - Accent4 4 2 2 2 2 2" xfId="5079" xr:uid="{00000000-0005-0000-0000-00000D7E0000}"/>
    <cellStyle name="60% - Accent4 4 2 2 2 2 2 2" xfId="10199" xr:uid="{00000000-0005-0000-0000-00000E7E0000}"/>
    <cellStyle name="60% - Accent4 4 2 2 2 2 2 2 2" xfId="20439" xr:uid="{00000000-0005-0000-0000-00000F7E0000}"/>
    <cellStyle name="60% - Accent4 4 2 2 2 2 2 2 2 2" xfId="40919" xr:uid="{00000000-0005-0000-0000-0000107E0000}"/>
    <cellStyle name="60% - Accent4 4 2 2 2 2 2 2 3" xfId="30679" xr:uid="{00000000-0005-0000-0000-0000117E0000}"/>
    <cellStyle name="60% - Accent4 4 2 2 2 2 2 3" xfId="15319" xr:uid="{00000000-0005-0000-0000-0000127E0000}"/>
    <cellStyle name="60% - Accent4 4 2 2 2 2 2 3 2" xfId="35799" xr:uid="{00000000-0005-0000-0000-0000137E0000}"/>
    <cellStyle name="60% - Accent4 4 2 2 2 2 2 4" xfId="25559" xr:uid="{00000000-0005-0000-0000-0000147E0000}"/>
    <cellStyle name="60% - Accent4 4 2 2 2 2 3" xfId="7639" xr:uid="{00000000-0005-0000-0000-0000157E0000}"/>
    <cellStyle name="60% - Accent4 4 2 2 2 2 3 2" xfId="17879" xr:uid="{00000000-0005-0000-0000-0000167E0000}"/>
    <cellStyle name="60% - Accent4 4 2 2 2 2 3 2 2" xfId="38359" xr:uid="{00000000-0005-0000-0000-0000177E0000}"/>
    <cellStyle name="60% - Accent4 4 2 2 2 2 3 3" xfId="28119" xr:uid="{00000000-0005-0000-0000-0000187E0000}"/>
    <cellStyle name="60% - Accent4 4 2 2 2 2 4" xfId="12759" xr:uid="{00000000-0005-0000-0000-0000197E0000}"/>
    <cellStyle name="60% - Accent4 4 2 2 2 2 4 2" xfId="33239" xr:uid="{00000000-0005-0000-0000-00001A7E0000}"/>
    <cellStyle name="60% - Accent4 4 2 2 2 2 5" xfId="22999" xr:uid="{00000000-0005-0000-0000-00001B7E0000}"/>
    <cellStyle name="60% - Accent4 4 2 2 2 3" xfId="3799" xr:uid="{00000000-0005-0000-0000-00001C7E0000}"/>
    <cellStyle name="60% - Accent4 4 2 2 2 3 2" xfId="8919" xr:uid="{00000000-0005-0000-0000-00001D7E0000}"/>
    <cellStyle name="60% - Accent4 4 2 2 2 3 2 2" xfId="19159" xr:uid="{00000000-0005-0000-0000-00001E7E0000}"/>
    <cellStyle name="60% - Accent4 4 2 2 2 3 2 2 2" xfId="39639" xr:uid="{00000000-0005-0000-0000-00001F7E0000}"/>
    <cellStyle name="60% - Accent4 4 2 2 2 3 2 3" xfId="29399" xr:uid="{00000000-0005-0000-0000-0000207E0000}"/>
    <cellStyle name="60% - Accent4 4 2 2 2 3 3" xfId="14039" xr:uid="{00000000-0005-0000-0000-0000217E0000}"/>
    <cellStyle name="60% - Accent4 4 2 2 2 3 3 2" xfId="34519" xr:uid="{00000000-0005-0000-0000-0000227E0000}"/>
    <cellStyle name="60% - Accent4 4 2 2 2 3 4" xfId="24279" xr:uid="{00000000-0005-0000-0000-0000237E0000}"/>
    <cellStyle name="60% - Accent4 4 2 2 2 4" xfId="6359" xr:uid="{00000000-0005-0000-0000-0000247E0000}"/>
    <cellStyle name="60% - Accent4 4 2 2 2 4 2" xfId="16599" xr:uid="{00000000-0005-0000-0000-0000257E0000}"/>
    <cellStyle name="60% - Accent4 4 2 2 2 4 2 2" xfId="37079" xr:uid="{00000000-0005-0000-0000-0000267E0000}"/>
    <cellStyle name="60% - Accent4 4 2 2 2 4 3" xfId="26839" xr:uid="{00000000-0005-0000-0000-0000277E0000}"/>
    <cellStyle name="60% - Accent4 4 2 2 2 5" xfId="11479" xr:uid="{00000000-0005-0000-0000-0000287E0000}"/>
    <cellStyle name="60% - Accent4 4 2 2 2 5 2" xfId="31959" xr:uid="{00000000-0005-0000-0000-0000297E0000}"/>
    <cellStyle name="60% - Accent4 4 2 2 2 6" xfId="21719" xr:uid="{00000000-0005-0000-0000-00002A7E0000}"/>
    <cellStyle name="60% - Accent4 4 2 2 3" xfId="1879" xr:uid="{00000000-0005-0000-0000-00002B7E0000}"/>
    <cellStyle name="60% - Accent4 4 2 2 3 2" xfId="4439" xr:uid="{00000000-0005-0000-0000-00002C7E0000}"/>
    <cellStyle name="60% - Accent4 4 2 2 3 2 2" xfId="9559" xr:uid="{00000000-0005-0000-0000-00002D7E0000}"/>
    <cellStyle name="60% - Accent4 4 2 2 3 2 2 2" xfId="19799" xr:uid="{00000000-0005-0000-0000-00002E7E0000}"/>
    <cellStyle name="60% - Accent4 4 2 2 3 2 2 2 2" xfId="40279" xr:uid="{00000000-0005-0000-0000-00002F7E0000}"/>
    <cellStyle name="60% - Accent4 4 2 2 3 2 2 3" xfId="30039" xr:uid="{00000000-0005-0000-0000-0000307E0000}"/>
    <cellStyle name="60% - Accent4 4 2 2 3 2 3" xfId="14679" xr:uid="{00000000-0005-0000-0000-0000317E0000}"/>
    <cellStyle name="60% - Accent4 4 2 2 3 2 3 2" xfId="35159" xr:uid="{00000000-0005-0000-0000-0000327E0000}"/>
    <cellStyle name="60% - Accent4 4 2 2 3 2 4" xfId="24919" xr:uid="{00000000-0005-0000-0000-0000337E0000}"/>
    <cellStyle name="60% - Accent4 4 2 2 3 3" xfId="6999" xr:uid="{00000000-0005-0000-0000-0000347E0000}"/>
    <cellStyle name="60% - Accent4 4 2 2 3 3 2" xfId="17239" xr:uid="{00000000-0005-0000-0000-0000357E0000}"/>
    <cellStyle name="60% - Accent4 4 2 2 3 3 2 2" xfId="37719" xr:uid="{00000000-0005-0000-0000-0000367E0000}"/>
    <cellStyle name="60% - Accent4 4 2 2 3 3 3" xfId="27479" xr:uid="{00000000-0005-0000-0000-0000377E0000}"/>
    <cellStyle name="60% - Accent4 4 2 2 3 4" xfId="12119" xr:uid="{00000000-0005-0000-0000-0000387E0000}"/>
    <cellStyle name="60% - Accent4 4 2 2 3 4 2" xfId="32599" xr:uid="{00000000-0005-0000-0000-0000397E0000}"/>
    <cellStyle name="60% - Accent4 4 2 2 3 5" xfId="22359" xr:uid="{00000000-0005-0000-0000-00003A7E0000}"/>
    <cellStyle name="60% - Accent4 4 2 2 4" xfId="3159" xr:uid="{00000000-0005-0000-0000-00003B7E0000}"/>
    <cellStyle name="60% - Accent4 4 2 2 4 2" xfId="8279" xr:uid="{00000000-0005-0000-0000-00003C7E0000}"/>
    <cellStyle name="60% - Accent4 4 2 2 4 2 2" xfId="18519" xr:uid="{00000000-0005-0000-0000-00003D7E0000}"/>
    <cellStyle name="60% - Accent4 4 2 2 4 2 2 2" xfId="38999" xr:uid="{00000000-0005-0000-0000-00003E7E0000}"/>
    <cellStyle name="60% - Accent4 4 2 2 4 2 3" xfId="28759" xr:uid="{00000000-0005-0000-0000-00003F7E0000}"/>
    <cellStyle name="60% - Accent4 4 2 2 4 3" xfId="13399" xr:uid="{00000000-0005-0000-0000-0000407E0000}"/>
    <cellStyle name="60% - Accent4 4 2 2 4 3 2" xfId="33879" xr:uid="{00000000-0005-0000-0000-0000417E0000}"/>
    <cellStyle name="60% - Accent4 4 2 2 4 4" xfId="23639" xr:uid="{00000000-0005-0000-0000-0000427E0000}"/>
    <cellStyle name="60% - Accent4 4 2 2 5" xfId="5719" xr:uid="{00000000-0005-0000-0000-0000437E0000}"/>
    <cellStyle name="60% - Accent4 4 2 2 5 2" xfId="15959" xr:uid="{00000000-0005-0000-0000-0000447E0000}"/>
    <cellStyle name="60% - Accent4 4 2 2 5 2 2" xfId="36439" xr:uid="{00000000-0005-0000-0000-0000457E0000}"/>
    <cellStyle name="60% - Accent4 4 2 2 5 3" xfId="26199" xr:uid="{00000000-0005-0000-0000-0000467E0000}"/>
    <cellStyle name="60% - Accent4 4 2 2 6" xfId="10839" xr:uid="{00000000-0005-0000-0000-0000477E0000}"/>
    <cellStyle name="60% - Accent4 4 2 2 6 2" xfId="31319" xr:uid="{00000000-0005-0000-0000-0000487E0000}"/>
    <cellStyle name="60% - Accent4 4 2 2 7" xfId="21079" xr:uid="{00000000-0005-0000-0000-0000497E0000}"/>
    <cellStyle name="60% - Accent4 4 2 3" xfId="919" xr:uid="{00000000-0005-0000-0000-00004A7E0000}"/>
    <cellStyle name="60% - Accent4 4 2 3 2" xfId="2199" xr:uid="{00000000-0005-0000-0000-00004B7E0000}"/>
    <cellStyle name="60% - Accent4 4 2 3 2 2" xfId="4759" xr:uid="{00000000-0005-0000-0000-00004C7E0000}"/>
    <cellStyle name="60% - Accent4 4 2 3 2 2 2" xfId="9879" xr:uid="{00000000-0005-0000-0000-00004D7E0000}"/>
    <cellStyle name="60% - Accent4 4 2 3 2 2 2 2" xfId="20119" xr:uid="{00000000-0005-0000-0000-00004E7E0000}"/>
    <cellStyle name="60% - Accent4 4 2 3 2 2 2 2 2" xfId="40599" xr:uid="{00000000-0005-0000-0000-00004F7E0000}"/>
    <cellStyle name="60% - Accent4 4 2 3 2 2 2 3" xfId="30359" xr:uid="{00000000-0005-0000-0000-0000507E0000}"/>
    <cellStyle name="60% - Accent4 4 2 3 2 2 3" xfId="14999" xr:uid="{00000000-0005-0000-0000-0000517E0000}"/>
    <cellStyle name="60% - Accent4 4 2 3 2 2 3 2" xfId="35479" xr:uid="{00000000-0005-0000-0000-0000527E0000}"/>
    <cellStyle name="60% - Accent4 4 2 3 2 2 4" xfId="25239" xr:uid="{00000000-0005-0000-0000-0000537E0000}"/>
    <cellStyle name="60% - Accent4 4 2 3 2 3" xfId="7319" xr:uid="{00000000-0005-0000-0000-0000547E0000}"/>
    <cellStyle name="60% - Accent4 4 2 3 2 3 2" xfId="17559" xr:uid="{00000000-0005-0000-0000-0000557E0000}"/>
    <cellStyle name="60% - Accent4 4 2 3 2 3 2 2" xfId="38039" xr:uid="{00000000-0005-0000-0000-0000567E0000}"/>
    <cellStyle name="60% - Accent4 4 2 3 2 3 3" xfId="27799" xr:uid="{00000000-0005-0000-0000-0000577E0000}"/>
    <cellStyle name="60% - Accent4 4 2 3 2 4" xfId="12439" xr:uid="{00000000-0005-0000-0000-0000587E0000}"/>
    <cellStyle name="60% - Accent4 4 2 3 2 4 2" xfId="32919" xr:uid="{00000000-0005-0000-0000-0000597E0000}"/>
    <cellStyle name="60% - Accent4 4 2 3 2 5" xfId="22679" xr:uid="{00000000-0005-0000-0000-00005A7E0000}"/>
    <cellStyle name="60% - Accent4 4 2 3 3" xfId="3479" xr:uid="{00000000-0005-0000-0000-00005B7E0000}"/>
    <cellStyle name="60% - Accent4 4 2 3 3 2" xfId="8599" xr:uid="{00000000-0005-0000-0000-00005C7E0000}"/>
    <cellStyle name="60% - Accent4 4 2 3 3 2 2" xfId="18839" xr:uid="{00000000-0005-0000-0000-00005D7E0000}"/>
    <cellStyle name="60% - Accent4 4 2 3 3 2 2 2" xfId="39319" xr:uid="{00000000-0005-0000-0000-00005E7E0000}"/>
    <cellStyle name="60% - Accent4 4 2 3 3 2 3" xfId="29079" xr:uid="{00000000-0005-0000-0000-00005F7E0000}"/>
    <cellStyle name="60% - Accent4 4 2 3 3 3" xfId="13719" xr:uid="{00000000-0005-0000-0000-0000607E0000}"/>
    <cellStyle name="60% - Accent4 4 2 3 3 3 2" xfId="34199" xr:uid="{00000000-0005-0000-0000-0000617E0000}"/>
    <cellStyle name="60% - Accent4 4 2 3 3 4" xfId="23959" xr:uid="{00000000-0005-0000-0000-0000627E0000}"/>
    <cellStyle name="60% - Accent4 4 2 3 4" xfId="6039" xr:uid="{00000000-0005-0000-0000-0000637E0000}"/>
    <cellStyle name="60% - Accent4 4 2 3 4 2" xfId="16279" xr:uid="{00000000-0005-0000-0000-0000647E0000}"/>
    <cellStyle name="60% - Accent4 4 2 3 4 2 2" xfId="36759" xr:uid="{00000000-0005-0000-0000-0000657E0000}"/>
    <cellStyle name="60% - Accent4 4 2 3 4 3" xfId="26519" xr:uid="{00000000-0005-0000-0000-0000667E0000}"/>
    <cellStyle name="60% - Accent4 4 2 3 5" xfId="11159" xr:uid="{00000000-0005-0000-0000-0000677E0000}"/>
    <cellStyle name="60% - Accent4 4 2 3 5 2" xfId="31639" xr:uid="{00000000-0005-0000-0000-0000687E0000}"/>
    <cellStyle name="60% - Accent4 4 2 3 6" xfId="21399" xr:uid="{00000000-0005-0000-0000-0000697E0000}"/>
    <cellStyle name="60% - Accent4 4 2 4" xfId="1559" xr:uid="{00000000-0005-0000-0000-00006A7E0000}"/>
    <cellStyle name="60% - Accent4 4 2 4 2" xfId="4119" xr:uid="{00000000-0005-0000-0000-00006B7E0000}"/>
    <cellStyle name="60% - Accent4 4 2 4 2 2" xfId="9239" xr:uid="{00000000-0005-0000-0000-00006C7E0000}"/>
    <cellStyle name="60% - Accent4 4 2 4 2 2 2" xfId="19479" xr:uid="{00000000-0005-0000-0000-00006D7E0000}"/>
    <cellStyle name="60% - Accent4 4 2 4 2 2 2 2" xfId="39959" xr:uid="{00000000-0005-0000-0000-00006E7E0000}"/>
    <cellStyle name="60% - Accent4 4 2 4 2 2 3" xfId="29719" xr:uid="{00000000-0005-0000-0000-00006F7E0000}"/>
    <cellStyle name="60% - Accent4 4 2 4 2 3" xfId="14359" xr:uid="{00000000-0005-0000-0000-0000707E0000}"/>
    <cellStyle name="60% - Accent4 4 2 4 2 3 2" xfId="34839" xr:uid="{00000000-0005-0000-0000-0000717E0000}"/>
    <cellStyle name="60% - Accent4 4 2 4 2 4" xfId="24599" xr:uid="{00000000-0005-0000-0000-0000727E0000}"/>
    <cellStyle name="60% - Accent4 4 2 4 3" xfId="6679" xr:uid="{00000000-0005-0000-0000-0000737E0000}"/>
    <cellStyle name="60% - Accent4 4 2 4 3 2" xfId="16919" xr:uid="{00000000-0005-0000-0000-0000747E0000}"/>
    <cellStyle name="60% - Accent4 4 2 4 3 2 2" xfId="37399" xr:uid="{00000000-0005-0000-0000-0000757E0000}"/>
    <cellStyle name="60% - Accent4 4 2 4 3 3" xfId="27159" xr:uid="{00000000-0005-0000-0000-0000767E0000}"/>
    <cellStyle name="60% - Accent4 4 2 4 4" xfId="11799" xr:uid="{00000000-0005-0000-0000-0000777E0000}"/>
    <cellStyle name="60% - Accent4 4 2 4 4 2" xfId="32279" xr:uid="{00000000-0005-0000-0000-0000787E0000}"/>
    <cellStyle name="60% - Accent4 4 2 4 5" xfId="22039" xr:uid="{00000000-0005-0000-0000-0000797E0000}"/>
    <cellStyle name="60% - Accent4 4 2 5" xfId="2839" xr:uid="{00000000-0005-0000-0000-00007A7E0000}"/>
    <cellStyle name="60% - Accent4 4 2 5 2" xfId="7959" xr:uid="{00000000-0005-0000-0000-00007B7E0000}"/>
    <cellStyle name="60% - Accent4 4 2 5 2 2" xfId="18199" xr:uid="{00000000-0005-0000-0000-00007C7E0000}"/>
    <cellStyle name="60% - Accent4 4 2 5 2 2 2" xfId="38679" xr:uid="{00000000-0005-0000-0000-00007D7E0000}"/>
    <cellStyle name="60% - Accent4 4 2 5 2 3" xfId="28439" xr:uid="{00000000-0005-0000-0000-00007E7E0000}"/>
    <cellStyle name="60% - Accent4 4 2 5 3" xfId="13079" xr:uid="{00000000-0005-0000-0000-00007F7E0000}"/>
    <cellStyle name="60% - Accent4 4 2 5 3 2" xfId="33559" xr:uid="{00000000-0005-0000-0000-0000807E0000}"/>
    <cellStyle name="60% - Accent4 4 2 5 4" xfId="23319" xr:uid="{00000000-0005-0000-0000-0000817E0000}"/>
    <cellStyle name="60% - Accent4 4 2 6" xfId="5399" xr:uid="{00000000-0005-0000-0000-0000827E0000}"/>
    <cellStyle name="60% - Accent4 4 2 6 2" xfId="15639" xr:uid="{00000000-0005-0000-0000-0000837E0000}"/>
    <cellStyle name="60% - Accent4 4 2 6 2 2" xfId="36119" xr:uid="{00000000-0005-0000-0000-0000847E0000}"/>
    <cellStyle name="60% - Accent4 4 2 6 3" xfId="25879" xr:uid="{00000000-0005-0000-0000-0000857E0000}"/>
    <cellStyle name="60% - Accent4 4 2 7" xfId="10519" xr:uid="{00000000-0005-0000-0000-0000867E0000}"/>
    <cellStyle name="60% - Accent4 4 2 7 2" xfId="30999" xr:uid="{00000000-0005-0000-0000-0000877E0000}"/>
    <cellStyle name="60% - Accent4 4 2 8" xfId="20759" xr:uid="{00000000-0005-0000-0000-0000887E0000}"/>
    <cellStyle name="60% - Accent4 4 3" xfId="439" xr:uid="{00000000-0005-0000-0000-0000897E0000}"/>
    <cellStyle name="60% - Accent4 4 3 2" xfId="1079" xr:uid="{00000000-0005-0000-0000-00008A7E0000}"/>
    <cellStyle name="60% - Accent4 4 3 2 2" xfId="2359" xr:uid="{00000000-0005-0000-0000-00008B7E0000}"/>
    <cellStyle name="60% - Accent4 4 3 2 2 2" xfId="4919" xr:uid="{00000000-0005-0000-0000-00008C7E0000}"/>
    <cellStyle name="60% - Accent4 4 3 2 2 2 2" xfId="10039" xr:uid="{00000000-0005-0000-0000-00008D7E0000}"/>
    <cellStyle name="60% - Accent4 4 3 2 2 2 2 2" xfId="20279" xr:uid="{00000000-0005-0000-0000-00008E7E0000}"/>
    <cellStyle name="60% - Accent4 4 3 2 2 2 2 2 2" xfId="40759" xr:uid="{00000000-0005-0000-0000-00008F7E0000}"/>
    <cellStyle name="60% - Accent4 4 3 2 2 2 2 3" xfId="30519" xr:uid="{00000000-0005-0000-0000-0000907E0000}"/>
    <cellStyle name="60% - Accent4 4 3 2 2 2 3" xfId="15159" xr:uid="{00000000-0005-0000-0000-0000917E0000}"/>
    <cellStyle name="60% - Accent4 4 3 2 2 2 3 2" xfId="35639" xr:uid="{00000000-0005-0000-0000-0000927E0000}"/>
    <cellStyle name="60% - Accent4 4 3 2 2 2 4" xfId="25399" xr:uid="{00000000-0005-0000-0000-0000937E0000}"/>
    <cellStyle name="60% - Accent4 4 3 2 2 3" xfId="7479" xr:uid="{00000000-0005-0000-0000-0000947E0000}"/>
    <cellStyle name="60% - Accent4 4 3 2 2 3 2" xfId="17719" xr:uid="{00000000-0005-0000-0000-0000957E0000}"/>
    <cellStyle name="60% - Accent4 4 3 2 2 3 2 2" xfId="38199" xr:uid="{00000000-0005-0000-0000-0000967E0000}"/>
    <cellStyle name="60% - Accent4 4 3 2 2 3 3" xfId="27959" xr:uid="{00000000-0005-0000-0000-0000977E0000}"/>
    <cellStyle name="60% - Accent4 4 3 2 2 4" xfId="12599" xr:uid="{00000000-0005-0000-0000-0000987E0000}"/>
    <cellStyle name="60% - Accent4 4 3 2 2 4 2" xfId="33079" xr:uid="{00000000-0005-0000-0000-0000997E0000}"/>
    <cellStyle name="60% - Accent4 4 3 2 2 5" xfId="22839" xr:uid="{00000000-0005-0000-0000-00009A7E0000}"/>
    <cellStyle name="60% - Accent4 4 3 2 3" xfId="3639" xr:uid="{00000000-0005-0000-0000-00009B7E0000}"/>
    <cellStyle name="60% - Accent4 4 3 2 3 2" xfId="8759" xr:uid="{00000000-0005-0000-0000-00009C7E0000}"/>
    <cellStyle name="60% - Accent4 4 3 2 3 2 2" xfId="18999" xr:uid="{00000000-0005-0000-0000-00009D7E0000}"/>
    <cellStyle name="60% - Accent4 4 3 2 3 2 2 2" xfId="39479" xr:uid="{00000000-0005-0000-0000-00009E7E0000}"/>
    <cellStyle name="60% - Accent4 4 3 2 3 2 3" xfId="29239" xr:uid="{00000000-0005-0000-0000-00009F7E0000}"/>
    <cellStyle name="60% - Accent4 4 3 2 3 3" xfId="13879" xr:uid="{00000000-0005-0000-0000-0000A07E0000}"/>
    <cellStyle name="60% - Accent4 4 3 2 3 3 2" xfId="34359" xr:uid="{00000000-0005-0000-0000-0000A17E0000}"/>
    <cellStyle name="60% - Accent4 4 3 2 3 4" xfId="24119" xr:uid="{00000000-0005-0000-0000-0000A27E0000}"/>
    <cellStyle name="60% - Accent4 4 3 2 4" xfId="6199" xr:uid="{00000000-0005-0000-0000-0000A37E0000}"/>
    <cellStyle name="60% - Accent4 4 3 2 4 2" xfId="16439" xr:uid="{00000000-0005-0000-0000-0000A47E0000}"/>
    <cellStyle name="60% - Accent4 4 3 2 4 2 2" xfId="36919" xr:uid="{00000000-0005-0000-0000-0000A57E0000}"/>
    <cellStyle name="60% - Accent4 4 3 2 4 3" xfId="26679" xr:uid="{00000000-0005-0000-0000-0000A67E0000}"/>
    <cellStyle name="60% - Accent4 4 3 2 5" xfId="11319" xr:uid="{00000000-0005-0000-0000-0000A77E0000}"/>
    <cellStyle name="60% - Accent4 4 3 2 5 2" xfId="31799" xr:uid="{00000000-0005-0000-0000-0000A87E0000}"/>
    <cellStyle name="60% - Accent4 4 3 2 6" xfId="21559" xr:uid="{00000000-0005-0000-0000-0000A97E0000}"/>
    <cellStyle name="60% - Accent4 4 3 3" xfId="1719" xr:uid="{00000000-0005-0000-0000-0000AA7E0000}"/>
    <cellStyle name="60% - Accent4 4 3 3 2" xfId="4279" xr:uid="{00000000-0005-0000-0000-0000AB7E0000}"/>
    <cellStyle name="60% - Accent4 4 3 3 2 2" xfId="9399" xr:uid="{00000000-0005-0000-0000-0000AC7E0000}"/>
    <cellStyle name="60% - Accent4 4 3 3 2 2 2" xfId="19639" xr:uid="{00000000-0005-0000-0000-0000AD7E0000}"/>
    <cellStyle name="60% - Accent4 4 3 3 2 2 2 2" xfId="40119" xr:uid="{00000000-0005-0000-0000-0000AE7E0000}"/>
    <cellStyle name="60% - Accent4 4 3 3 2 2 3" xfId="29879" xr:uid="{00000000-0005-0000-0000-0000AF7E0000}"/>
    <cellStyle name="60% - Accent4 4 3 3 2 3" xfId="14519" xr:uid="{00000000-0005-0000-0000-0000B07E0000}"/>
    <cellStyle name="60% - Accent4 4 3 3 2 3 2" xfId="34999" xr:uid="{00000000-0005-0000-0000-0000B17E0000}"/>
    <cellStyle name="60% - Accent4 4 3 3 2 4" xfId="24759" xr:uid="{00000000-0005-0000-0000-0000B27E0000}"/>
    <cellStyle name="60% - Accent4 4 3 3 3" xfId="6839" xr:uid="{00000000-0005-0000-0000-0000B37E0000}"/>
    <cellStyle name="60% - Accent4 4 3 3 3 2" xfId="17079" xr:uid="{00000000-0005-0000-0000-0000B47E0000}"/>
    <cellStyle name="60% - Accent4 4 3 3 3 2 2" xfId="37559" xr:uid="{00000000-0005-0000-0000-0000B57E0000}"/>
    <cellStyle name="60% - Accent4 4 3 3 3 3" xfId="27319" xr:uid="{00000000-0005-0000-0000-0000B67E0000}"/>
    <cellStyle name="60% - Accent4 4 3 3 4" xfId="11959" xr:uid="{00000000-0005-0000-0000-0000B77E0000}"/>
    <cellStyle name="60% - Accent4 4 3 3 4 2" xfId="32439" xr:uid="{00000000-0005-0000-0000-0000B87E0000}"/>
    <cellStyle name="60% - Accent4 4 3 3 5" xfId="22199" xr:uid="{00000000-0005-0000-0000-0000B97E0000}"/>
    <cellStyle name="60% - Accent4 4 3 4" xfId="2999" xr:uid="{00000000-0005-0000-0000-0000BA7E0000}"/>
    <cellStyle name="60% - Accent4 4 3 4 2" xfId="8119" xr:uid="{00000000-0005-0000-0000-0000BB7E0000}"/>
    <cellStyle name="60% - Accent4 4 3 4 2 2" xfId="18359" xr:uid="{00000000-0005-0000-0000-0000BC7E0000}"/>
    <cellStyle name="60% - Accent4 4 3 4 2 2 2" xfId="38839" xr:uid="{00000000-0005-0000-0000-0000BD7E0000}"/>
    <cellStyle name="60% - Accent4 4 3 4 2 3" xfId="28599" xr:uid="{00000000-0005-0000-0000-0000BE7E0000}"/>
    <cellStyle name="60% - Accent4 4 3 4 3" xfId="13239" xr:uid="{00000000-0005-0000-0000-0000BF7E0000}"/>
    <cellStyle name="60% - Accent4 4 3 4 3 2" xfId="33719" xr:uid="{00000000-0005-0000-0000-0000C07E0000}"/>
    <cellStyle name="60% - Accent4 4 3 4 4" xfId="23479" xr:uid="{00000000-0005-0000-0000-0000C17E0000}"/>
    <cellStyle name="60% - Accent4 4 3 5" xfId="5559" xr:uid="{00000000-0005-0000-0000-0000C27E0000}"/>
    <cellStyle name="60% - Accent4 4 3 5 2" xfId="15799" xr:uid="{00000000-0005-0000-0000-0000C37E0000}"/>
    <cellStyle name="60% - Accent4 4 3 5 2 2" xfId="36279" xr:uid="{00000000-0005-0000-0000-0000C47E0000}"/>
    <cellStyle name="60% - Accent4 4 3 5 3" xfId="26039" xr:uid="{00000000-0005-0000-0000-0000C57E0000}"/>
    <cellStyle name="60% - Accent4 4 3 6" xfId="10679" xr:uid="{00000000-0005-0000-0000-0000C67E0000}"/>
    <cellStyle name="60% - Accent4 4 3 6 2" xfId="31159" xr:uid="{00000000-0005-0000-0000-0000C77E0000}"/>
    <cellStyle name="60% - Accent4 4 3 7" xfId="20919" xr:uid="{00000000-0005-0000-0000-0000C87E0000}"/>
    <cellStyle name="60% - Accent4 4 4" xfId="759" xr:uid="{00000000-0005-0000-0000-0000C97E0000}"/>
    <cellStyle name="60% - Accent4 4 4 2" xfId="2039" xr:uid="{00000000-0005-0000-0000-0000CA7E0000}"/>
    <cellStyle name="60% - Accent4 4 4 2 2" xfId="4599" xr:uid="{00000000-0005-0000-0000-0000CB7E0000}"/>
    <cellStyle name="60% - Accent4 4 4 2 2 2" xfId="9719" xr:uid="{00000000-0005-0000-0000-0000CC7E0000}"/>
    <cellStyle name="60% - Accent4 4 4 2 2 2 2" xfId="19959" xr:uid="{00000000-0005-0000-0000-0000CD7E0000}"/>
    <cellStyle name="60% - Accent4 4 4 2 2 2 2 2" xfId="40439" xr:uid="{00000000-0005-0000-0000-0000CE7E0000}"/>
    <cellStyle name="60% - Accent4 4 4 2 2 2 3" xfId="30199" xr:uid="{00000000-0005-0000-0000-0000CF7E0000}"/>
    <cellStyle name="60% - Accent4 4 4 2 2 3" xfId="14839" xr:uid="{00000000-0005-0000-0000-0000D07E0000}"/>
    <cellStyle name="60% - Accent4 4 4 2 2 3 2" xfId="35319" xr:uid="{00000000-0005-0000-0000-0000D17E0000}"/>
    <cellStyle name="60% - Accent4 4 4 2 2 4" xfId="25079" xr:uid="{00000000-0005-0000-0000-0000D27E0000}"/>
    <cellStyle name="60% - Accent4 4 4 2 3" xfId="7159" xr:uid="{00000000-0005-0000-0000-0000D37E0000}"/>
    <cellStyle name="60% - Accent4 4 4 2 3 2" xfId="17399" xr:uid="{00000000-0005-0000-0000-0000D47E0000}"/>
    <cellStyle name="60% - Accent4 4 4 2 3 2 2" xfId="37879" xr:uid="{00000000-0005-0000-0000-0000D57E0000}"/>
    <cellStyle name="60% - Accent4 4 4 2 3 3" xfId="27639" xr:uid="{00000000-0005-0000-0000-0000D67E0000}"/>
    <cellStyle name="60% - Accent4 4 4 2 4" xfId="12279" xr:uid="{00000000-0005-0000-0000-0000D77E0000}"/>
    <cellStyle name="60% - Accent4 4 4 2 4 2" xfId="32759" xr:uid="{00000000-0005-0000-0000-0000D87E0000}"/>
    <cellStyle name="60% - Accent4 4 4 2 5" xfId="22519" xr:uid="{00000000-0005-0000-0000-0000D97E0000}"/>
    <cellStyle name="60% - Accent4 4 4 3" xfId="3319" xr:uid="{00000000-0005-0000-0000-0000DA7E0000}"/>
    <cellStyle name="60% - Accent4 4 4 3 2" xfId="8439" xr:uid="{00000000-0005-0000-0000-0000DB7E0000}"/>
    <cellStyle name="60% - Accent4 4 4 3 2 2" xfId="18679" xr:uid="{00000000-0005-0000-0000-0000DC7E0000}"/>
    <cellStyle name="60% - Accent4 4 4 3 2 2 2" xfId="39159" xr:uid="{00000000-0005-0000-0000-0000DD7E0000}"/>
    <cellStyle name="60% - Accent4 4 4 3 2 3" xfId="28919" xr:uid="{00000000-0005-0000-0000-0000DE7E0000}"/>
    <cellStyle name="60% - Accent4 4 4 3 3" xfId="13559" xr:uid="{00000000-0005-0000-0000-0000DF7E0000}"/>
    <cellStyle name="60% - Accent4 4 4 3 3 2" xfId="34039" xr:uid="{00000000-0005-0000-0000-0000E07E0000}"/>
    <cellStyle name="60% - Accent4 4 4 3 4" xfId="23799" xr:uid="{00000000-0005-0000-0000-0000E17E0000}"/>
    <cellStyle name="60% - Accent4 4 4 4" xfId="5879" xr:uid="{00000000-0005-0000-0000-0000E27E0000}"/>
    <cellStyle name="60% - Accent4 4 4 4 2" xfId="16119" xr:uid="{00000000-0005-0000-0000-0000E37E0000}"/>
    <cellStyle name="60% - Accent4 4 4 4 2 2" xfId="36599" xr:uid="{00000000-0005-0000-0000-0000E47E0000}"/>
    <cellStyle name="60% - Accent4 4 4 4 3" xfId="26359" xr:uid="{00000000-0005-0000-0000-0000E57E0000}"/>
    <cellStyle name="60% - Accent4 4 4 5" xfId="10999" xr:uid="{00000000-0005-0000-0000-0000E67E0000}"/>
    <cellStyle name="60% - Accent4 4 4 5 2" xfId="31479" xr:uid="{00000000-0005-0000-0000-0000E77E0000}"/>
    <cellStyle name="60% - Accent4 4 4 6" xfId="21239" xr:uid="{00000000-0005-0000-0000-0000E87E0000}"/>
    <cellStyle name="60% - Accent4 4 5" xfId="1399" xr:uid="{00000000-0005-0000-0000-0000E97E0000}"/>
    <cellStyle name="60% - Accent4 4 5 2" xfId="3959" xr:uid="{00000000-0005-0000-0000-0000EA7E0000}"/>
    <cellStyle name="60% - Accent4 4 5 2 2" xfId="9079" xr:uid="{00000000-0005-0000-0000-0000EB7E0000}"/>
    <cellStyle name="60% - Accent4 4 5 2 2 2" xfId="19319" xr:uid="{00000000-0005-0000-0000-0000EC7E0000}"/>
    <cellStyle name="60% - Accent4 4 5 2 2 2 2" xfId="39799" xr:uid="{00000000-0005-0000-0000-0000ED7E0000}"/>
    <cellStyle name="60% - Accent4 4 5 2 2 3" xfId="29559" xr:uid="{00000000-0005-0000-0000-0000EE7E0000}"/>
    <cellStyle name="60% - Accent4 4 5 2 3" xfId="14199" xr:uid="{00000000-0005-0000-0000-0000EF7E0000}"/>
    <cellStyle name="60% - Accent4 4 5 2 3 2" xfId="34679" xr:uid="{00000000-0005-0000-0000-0000F07E0000}"/>
    <cellStyle name="60% - Accent4 4 5 2 4" xfId="24439" xr:uid="{00000000-0005-0000-0000-0000F17E0000}"/>
    <cellStyle name="60% - Accent4 4 5 3" xfId="6519" xr:uid="{00000000-0005-0000-0000-0000F27E0000}"/>
    <cellStyle name="60% - Accent4 4 5 3 2" xfId="16759" xr:uid="{00000000-0005-0000-0000-0000F37E0000}"/>
    <cellStyle name="60% - Accent4 4 5 3 2 2" xfId="37239" xr:uid="{00000000-0005-0000-0000-0000F47E0000}"/>
    <cellStyle name="60% - Accent4 4 5 3 3" xfId="26999" xr:uid="{00000000-0005-0000-0000-0000F57E0000}"/>
    <cellStyle name="60% - Accent4 4 5 4" xfId="11639" xr:uid="{00000000-0005-0000-0000-0000F67E0000}"/>
    <cellStyle name="60% - Accent4 4 5 4 2" xfId="32119" xr:uid="{00000000-0005-0000-0000-0000F77E0000}"/>
    <cellStyle name="60% - Accent4 4 5 5" xfId="21879" xr:uid="{00000000-0005-0000-0000-0000F87E0000}"/>
    <cellStyle name="60% - Accent4 4 6" xfId="2679" xr:uid="{00000000-0005-0000-0000-0000F97E0000}"/>
    <cellStyle name="60% - Accent4 4 6 2" xfId="7799" xr:uid="{00000000-0005-0000-0000-0000FA7E0000}"/>
    <cellStyle name="60% - Accent4 4 6 2 2" xfId="18039" xr:uid="{00000000-0005-0000-0000-0000FB7E0000}"/>
    <cellStyle name="60% - Accent4 4 6 2 2 2" xfId="38519" xr:uid="{00000000-0005-0000-0000-0000FC7E0000}"/>
    <cellStyle name="60% - Accent4 4 6 2 3" xfId="28279" xr:uid="{00000000-0005-0000-0000-0000FD7E0000}"/>
    <cellStyle name="60% - Accent4 4 6 3" xfId="12919" xr:uid="{00000000-0005-0000-0000-0000FE7E0000}"/>
    <cellStyle name="60% - Accent4 4 6 3 2" xfId="33399" xr:uid="{00000000-0005-0000-0000-0000FF7E0000}"/>
    <cellStyle name="60% - Accent4 4 6 4" xfId="23159" xr:uid="{00000000-0005-0000-0000-0000007F0000}"/>
    <cellStyle name="60% - Accent4 4 7" xfId="5239" xr:uid="{00000000-0005-0000-0000-0000017F0000}"/>
    <cellStyle name="60% - Accent4 4 7 2" xfId="15479" xr:uid="{00000000-0005-0000-0000-0000027F0000}"/>
    <cellStyle name="60% - Accent4 4 7 2 2" xfId="35959" xr:uid="{00000000-0005-0000-0000-0000037F0000}"/>
    <cellStyle name="60% - Accent4 4 7 3" xfId="25719" xr:uid="{00000000-0005-0000-0000-0000047F0000}"/>
    <cellStyle name="60% - Accent4 4 8" xfId="10359" xr:uid="{00000000-0005-0000-0000-0000057F0000}"/>
    <cellStyle name="60% - Accent4 4 8 2" xfId="30839" xr:uid="{00000000-0005-0000-0000-0000067F0000}"/>
    <cellStyle name="60% - Accent4 4 9" xfId="20599" xr:uid="{00000000-0005-0000-0000-0000077F0000}"/>
    <cellStyle name="60% - Accent4 5" xfId="199" xr:uid="{00000000-0005-0000-0000-0000087F0000}"/>
    <cellStyle name="60% - Accent4 5 2" xfId="519" xr:uid="{00000000-0005-0000-0000-0000097F0000}"/>
    <cellStyle name="60% - Accent4 5 2 2" xfId="1159" xr:uid="{00000000-0005-0000-0000-00000A7F0000}"/>
    <cellStyle name="60% - Accent4 5 2 2 2" xfId="2439" xr:uid="{00000000-0005-0000-0000-00000B7F0000}"/>
    <cellStyle name="60% - Accent4 5 2 2 2 2" xfId="4999" xr:uid="{00000000-0005-0000-0000-00000C7F0000}"/>
    <cellStyle name="60% - Accent4 5 2 2 2 2 2" xfId="10119" xr:uid="{00000000-0005-0000-0000-00000D7F0000}"/>
    <cellStyle name="60% - Accent4 5 2 2 2 2 2 2" xfId="20359" xr:uid="{00000000-0005-0000-0000-00000E7F0000}"/>
    <cellStyle name="60% - Accent4 5 2 2 2 2 2 2 2" xfId="40839" xr:uid="{00000000-0005-0000-0000-00000F7F0000}"/>
    <cellStyle name="60% - Accent4 5 2 2 2 2 2 3" xfId="30599" xr:uid="{00000000-0005-0000-0000-0000107F0000}"/>
    <cellStyle name="60% - Accent4 5 2 2 2 2 3" xfId="15239" xr:uid="{00000000-0005-0000-0000-0000117F0000}"/>
    <cellStyle name="60% - Accent4 5 2 2 2 2 3 2" xfId="35719" xr:uid="{00000000-0005-0000-0000-0000127F0000}"/>
    <cellStyle name="60% - Accent4 5 2 2 2 2 4" xfId="25479" xr:uid="{00000000-0005-0000-0000-0000137F0000}"/>
    <cellStyle name="60% - Accent4 5 2 2 2 3" xfId="7559" xr:uid="{00000000-0005-0000-0000-0000147F0000}"/>
    <cellStyle name="60% - Accent4 5 2 2 2 3 2" xfId="17799" xr:uid="{00000000-0005-0000-0000-0000157F0000}"/>
    <cellStyle name="60% - Accent4 5 2 2 2 3 2 2" xfId="38279" xr:uid="{00000000-0005-0000-0000-0000167F0000}"/>
    <cellStyle name="60% - Accent4 5 2 2 2 3 3" xfId="28039" xr:uid="{00000000-0005-0000-0000-0000177F0000}"/>
    <cellStyle name="60% - Accent4 5 2 2 2 4" xfId="12679" xr:uid="{00000000-0005-0000-0000-0000187F0000}"/>
    <cellStyle name="60% - Accent4 5 2 2 2 4 2" xfId="33159" xr:uid="{00000000-0005-0000-0000-0000197F0000}"/>
    <cellStyle name="60% - Accent4 5 2 2 2 5" xfId="22919" xr:uid="{00000000-0005-0000-0000-00001A7F0000}"/>
    <cellStyle name="60% - Accent4 5 2 2 3" xfId="3719" xr:uid="{00000000-0005-0000-0000-00001B7F0000}"/>
    <cellStyle name="60% - Accent4 5 2 2 3 2" xfId="8839" xr:uid="{00000000-0005-0000-0000-00001C7F0000}"/>
    <cellStyle name="60% - Accent4 5 2 2 3 2 2" xfId="19079" xr:uid="{00000000-0005-0000-0000-00001D7F0000}"/>
    <cellStyle name="60% - Accent4 5 2 2 3 2 2 2" xfId="39559" xr:uid="{00000000-0005-0000-0000-00001E7F0000}"/>
    <cellStyle name="60% - Accent4 5 2 2 3 2 3" xfId="29319" xr:uid="{00000000-0005-0000-0000-00001F7F0000}"/>
    <cellStyle name="60% - Accent4 5 2 2 3 3" xfId="13959" xr:uid="{00000000-0005-0000-0000-0000207F0000}"/>
    <cellStyle name="60% - Accent4 5 2 2 3 3 2" xfId="34439" xr:uid="{00000000-0005-0000-0000-0000217F0000}"/>
    <cellStyle name="60% - Accent4 5 2 2 3 4" xfId="24199" xr:uid="{00000000-0005-0000-0000-0000227F0000}"/>
    <cellStyle name="60% - Accent4 5 2 2 4" xfId="6279" xr:uid="{00000000-0005-0000-0000-0000237F0000}"/>
    <cellStyle name="60% - Accent4 5 2 2 4 2" xfId="16519" xr:uid="{00000000-0005-0000-0000-0000247F0000}"/>
    <cellStyle name="60% - Accent4 5 2 2 4 2 2" xfId="36999" xr:uid="{00000000-0005-0000-0000-0000257F0000}"/>
    <cellStyle name="60% - Accent4 5 2 2 4 3" xfId="26759" xr:uid="{00000000-0005-0000-0000-0000267F0000}"/>
    <cellStyle name="60% - Accent4 5 2 2 5" xfId="11399" xr:uid="{00000000-0005-0000-0000-0000277F0000}"/>
    <cellStyle name="60% - Accent4 5 2 2 5 2" xfId="31879" xr:uid="{00000000-0005-0000-0000-0000287F0000}"/>
    <cellStyle name="60% - Accent4 5 2 2 6" xfId="21639" xr:uid="{00000000-0005-0000-0000-0000297F0000}"/>
    <cellStyle name="60% - Accent4 5 2 3" xfId="1799" xr:uid="{00000000-0005-0000-0000-00002A7F0000}"/>
    <cellStyle name="60% - Accent4 5 2 3 2" xfId="4359" xr:uid="{00000000-0005-0000-0000-00002B7F0000}"/>
    <cellStyle name="60% - Accent4 5 2 3 2 2" xfId="9479" xr:uid="{00000000-0005-0000-0000-00002C7F0000}"/>
    <cellStyle name="60% - Accent4 5 2 3 2 2 2" xfId="19719" xr:uid="{00000000-0005-0000-0000-00002D7F0000}"/>
    <cellStyle name="60% - Accent4 5 2 3 2 2 2 2" xfId="40199" xr:uid="{00000000-0005-0000-0000-00002E7F0000}"/>
    <cellStyle name="60% - Accent4 5 2 3 2 2 3" xfId="29959" xr:uid="{00000000-0005-0000-0000-00002F7F0000}"/>
    <cellStyle name="60% - Accent4 5 2 3 2 3" xfId="14599" xr:uid="{00000000-0005-0000-0000-0000307F0000}"/>
    <cellStyle name="60% - Accent4 5 2 3 2 3 2" xfId="35079" xr:uid="{00000000-0005-0000-0000-0000317F0000}"/>
    <cellStyle name="60% - Accent4 5 2 3 2 4" xfId="24839" xr:uid="{00000000-0005-0000-0000-0000327F0000}"/>
    <cellStyle name="60% - Accent4 5 2 3 3" xfId="6919" xr:uid="{00000000-0005-0000-0000-0000337F0000}"/>
    <cellStyle name="60% - Accent4 5 2 3 3 2" xfId="17159" xr:uid="{00000000-0005-0000-0000-0000347F0000}"/>
    <cellStyle name="60% - Accent4 5 2 3 3 2 2" xfId="37639" xr:uid="{00000000-0005-0000-0000-0000357F0000}"/>
    <cellStyle name="60% - Accent4 5 2 3 3 3" xfId="27399" xr:uid="{00000000-0005-0000-0000-0000367F0000}"/>
    <cellStyle name="60% - Accent4 5 2 3 4" xfId="12039" xr:uid="{00000000-0005-0000-0000-0000377F0000}"/>
    <cellStyle name="60% - Accent4 5 2 3 4 2" xfId="32519" xr:uid="{00000000-0005-0000-0000-0000387F0000}"/>
    <cellStyle name="60% - Accent4 5 2 3 5" xfId="22279" xr:uid="{00000000-0005-0000-0000-0000397F0000}"/>
    <cellStyle name="60% - Accent4 5 2 4" xfId="3079" xr:uid="{00000000-0005-0000-0000-00003A7F0000}"/>
    <cellStyle name="60% - Accent4 5 2 4 2" xfId="8199" xr:uid="{00000000-0005-0000-0000-00003B7F0000}"/>
    <cellStyle name="60% - Accent4 5 2 4 2 2" xfId="18439" xr:uid="{00000000-0005-0000-0000-00003C7F0000}"/>
    <cellStyle name="60% - Accent4 5 2 4 2 2 2" xfId="38919" xr:uid="{00000000-0005-0000-0000-00003D7F0000}"/>
    <cellStyle name="60% - Accent4 5 2 4 2 3" xfId="28679" xr:uid="{00000000-0005-0000-0000-00003E7F0000}"/>
    <cellStyle name="60% - Accent4 5 2 4 3" xfId="13319" xr:uid="{00000000-0005-0000-0000-00003F7F0000}"/>
    <cellStyle name="60% - Accent4 5 2 4 3 2" xfId="33799" xr:uid="{00000000-0005-0000-0000-0000407F0000}"/>
    <cellStyle name="60% - Accent4 5 2 4 4" xfId="23559" xr:uid="{00000000-0005-0000-0000-0000417F0000}"/>
    <cellStyle name="60% - Accent4 5 2 5" xfId="5639" xr:uid="{00000000-0005-0000-0000-0000427F0000}"/>
    <cellStyle name="60% - Accent4 5 2 5 2" xfId="15879" xr:uid="{00000000-0005-0000-0000-0000437F0000}"/>
    <cellStyle name="60% - Accent4 5 2 5 2 2" xfId="36359" xr:uid="{00000000-0005-0000-0000-0000447F0000}"/>
    <cellStyle name="60% - Accent4 5 2 5 3" xfId="26119" xr:uid="{00000000-0005-0000-0000-0000457F0000}"/>
    <cellStyle name="60% - Accent4 5 2 6" xfId="10759" xr:uid="{00000000-0005-0000-0000-0000467F0000}"/>
    <cellStyle name="60% - Accent4 5 2 6 2" xfId="31239" xr:uid="{00000000-0005-0000-0000-0000477F0000}"/>
    <cellStyle name="60% - Accent4 5 2 7" xfId="20999" xr:uid="{00000000-0005-0000-0000-0000487F0000}"/>
    <cellStyle name="60% - Accent4 5 3" xfId="839" xr:uid="{00000000-0005-0000-0000-0000497F0000}"/>
    <cellStyle name="60% - Accent4 5 3 2" xfId="2119" xr:uid="{00000000-0005-0000-0000-00004A7F0000}"/>
    <cellStyle name="60% - Accent4 5 3 2 2" xfId="4679" xr:uid="{00000000-0005-0000-0000-00004B7F0000}"/>
    <cellStyle name="60% - Accent4 5 3 2 2 2" xfId="9799" xr:uid="{00000000-0005-0000-0000-00004C7F0000}"/>
    <cellStyle name="60% - Accent4 5 3 2 2 2 2" xfId="20039" xr:uid="{00000000-0005-0000-0000-00004D7F0000}"/>
    <cellStyle name="60% - Accent4 5 3 2 2 2 2 2" xfId="40519" xr:uid="{00000000-0005-0000-0000-00004E7F0000}"/>
    <cellStyle name="60% - Accent4 5 3 2 2 2 3" xfId="30279" xr:uid="{00000000-0005-0000-0000-00004F7F0000}"/>
    <cellStyle name="60% - Accent4 5 3 2 2 3" xfId="14919" xr:uid="{00000000-0005-0000-0000-0000507F0000}"/>
    <cellStyle name="60% - Accent4 5 3 2 2 3 2" xfId="35399" xr:uid="{00000000-0005-0000-0000-0000517F0000}"/>
    <cellStyle name="60% - Accent4 5 3 2 2 4" xfId="25159" xr:uid="{00000000-0005-0000-0000-0000527F0000}"/>
    <cellStyle name="60% - Accent4 5 3 2 3" xfId="7239" xr:uid="{00000000-0005-0000-0000-0000537F0000}"/>
    <cellStyle name="60% - Accent4 5 3 2 3 2" xfId="17479" xr:uid="{00000000-0005-0000-0000-0000547F0000}"/>
    <cellStyle name="60% - Accent4 5 3 2 3 2 2" xfId="37959" xr:uid="{00000000-0005-0000-0000-0000557F0000}"/>
    <cellStyle name="60% - Accent4 5 3 2 3 3" xfId="27719" xr:uid="{00000000-0005-0000-0000-0000567F0000}"/>
    <cellStyle name="60% - Accent4 5 3 2 4" xfId="12359" xr:uid="{00000000-0005-0000-0000-0000577F0000}"/>
    <cellStyle name="60% - Accent4 5 3 2 4 2" xfId="32839" xr:uid="{00000000-0005-0000-0000-0000587F0000}"/>
    <cellStyle name="60% - Accent4 5 3 2 5" xfId="22599" xr:uid="{00000000-0005-0000-0000-0000597F0000}"/>
    <cellStyle name="60% - Accent4 5 3 3" xfId="3399" xr:uid="{00000000-0005-0000-0000-00005A7F0000}"/>
    <cellStyle name="60% - Accent4 5 3 3 2" xfId="8519" xr:uid="{00000000-0005-0000-0000-00005B7F0000}"/>
    <cellStyle name="60% - Accent4 5 3 3 2 2" xfId="18759" xr:uid="{00000000-0005-0000-0000-00005C7F0000}"/>
    <cellStyle name="60% - Accent4 5 3 3 2 2 2" xfId="39239" xr:uid="{00000000-0005-0000-0000-00005D7F0000}"/>
    <cellStyle name="60% - Accent4 5 3 3 2 3" xfId="28999" xr:uid="{00000000-0005-0000-0000-00005E7F0000}"/>
    <cellStyle name="60% - Accent4 5 3 3 3" xfId="13639" xr:uid="{00000000-0005-0000-0000-00005F7F0000}"/>
    <cellStyle name="60% - Accent4 5 3 3 3 2" xfId="34119" xr:uid="{00000000-0005-0000-0000-0000607F0000}"/>
    <cellStyle name="60% - Accent4 5 3 3 4" xfId="23879" xr:uid="{00000000-0005-0000-0000-0000617F0000}"/>
    <cellStyle name="60% - Accent4 5 3 4" xfId="5959" xr:uid="{00000000-0005-0000-0000-0000627F0000}"/>
    <cellStyle name="60% - Accent4 5 3 4 2" xfId="16199" xr:uid="{00000000-0005-0000-0000-0000637F0000}"/>
    <cellStyle name="60% - Accent4 5 3 4 2 2" xfId="36679" xr:uid="{00000000-0005-0000-0000-0000647F0000}"/>
    <cellStyle name="60% - Accent4 5 3 4 3" xfId="26439" xr:uid="{00000000-0005-0000-0000-0000657F0000}"/>
    <cellStyle name="60% - Accent4 5 3 5" xfId="11079" xr:uid="{00000000-0005-0000-0000-0000667F0000}"/>
    <cellStyle name="60% - Accent4 5 3 5 2" xfId="31559" xr:uid="{00000000-0005-0000-0000-0000677F0000}"/>
    <cellStyle name="60% - Accent4 5 3 6" xfId="21319" xr:uid="{00000000-0005-0000-0000-0000687F0000}"/>
    <cellStyle name="60% - Accent4 5 4" xfId="1479" xr:uid="{00000000-0005-0000-0000-0000697F0000}"/>
    <cellStyle name="60% - Accent4 5 4 2" xfId="4039" xr:uid="{00000000-0005-0000-0000-00006A7F0000}"/>
    <cellStyle name="60% - Accent4 5 4 2 2" xfId="9159" xr:uid="{00000000-0005-0000-0000-00006B7F0000}"/>
    <cellStyle name="60% - Accent4 5 4 2 2 2" xfId="19399" xr:uid="{00000000-0005-0000-0000-00006C7F0000}"/>
    <cellStyle name="60% - Accent4 5 4 2 2 2 2" xfId="39879" xr:uid="{00000000-0005-0000-0000-00006D7F0000}"/>
    <cellStyle name="60% - Accent4 5 4 2 2 3" xfId="29639" xr:uid="{00000000-0005-0000-0000-00006E7F0000}"/>
    <cellStyle name="60% - Accent4 5 4 2 3" xfId="14279" xr:uid="{00000000-0005-0000-0000-00006F7F0000}"/>
    <cellStyle name="60% - Accent4 5 4 2 3 2" xfId="34759" xr:uid="{00000000-0005-0000-0000-0000707F0000}"/>
    <cellStyle name="60% - Accent4 5 4 2 4" xfId="24519" xr:uid="{00000000-0005-0000-0000-0000717F0000}"/>
    <cellStyle name="60% - Accent4 5 4 3" xfId="6599" xr:uid="{00000000-0005-0000-0000-0000727F0000}"/>
    <cellStyle name="60% - Accent4 5 4 3 2" xfId="16839" xr:uid="{00000000-0005-0000-0000-0000737F0000}"/>
    <cellStyle name="60% - Accent4 5 4 3 2 2" xfId="37319" xr:uid="{00000000-0005-0000-0000-0000747F0000}"/>
    <cellStyle name="60% - Accent4 5 4 3 3" xfId="27079" xr:uid="{00000000-0005-0000-0000-0000757F0000}"/>
    <cellStyle name="60% - Accent4 5 4 4" xfId="11719" xr:uid="{00000000-0005-0000-0000-0000767F0000}"/>
    <cellStyle name="60% - Accent4 5 4 4 2" xfId="32199" xr:uid="{00000000-0005-0000-0000-0000777F0000}"/>
    <cellStyle name="60% - Accent4 5 4 5" xfId="21959" xr:uid="{00000000-0005-0000-0000-0000787F0000}"/>
    <cellStyle name="60% - Accent4 5 5" xfId="2759" xr:uid="{00000000-0005-0000-0000-0000797F0000}"/>
    <cellStyle name="60% - Accent4 5 5 2" xfId="7879" xr:uid="{00000000-0005-0000-0000-00007A7F0000}"/>
    <cellStyle name="60% - Accent4 5 5 2 2" xfId="18119" xr:uid="{00000000-0005-0000-0000-00007B7F0000}"/>
    <cellStyle name="60% - Accent4 5 5 2 2 2" xfId="38599" xr:uid="{00000000-0005-0000-0000-00007C7F0000}"/>
    <cellStyle name="60% - Accent4 5 5 2 3" xfId="28359" xr:uid="{00000000-0005-0000-0000-00007D7F0000}"/>
    <cellStyle name="60% - Accent4 5 5 3" xfId="12999" xr:uid="{00000000-0005-0000-0000-00007E7F0000}"/>
    <cellStyle name="60% - Accent4 5 5 3 2" xfId="33479" xr:uid="{00000000-0005-0000-0000-00007F7F0000}"/>
    <cellStyle name="60% - Accent4 5 5 4" xfId="23239" xr:uid="{00000000-0005-0000-0000-0000807F0000}"/>
    <cellStyle name="60% - Accent4 5 6" xfId="5319" xr:uid="{00000000-0005-0000-0000-0000817F0000}"/>
    <cellStyle name="60% - Accent4 5 6 2" xfId="15559" xr:uid="{00000000-0005-0000-0000-0000827F0000}"/>
    <cellStyle name="60% - Accent4 5 6 2 2" xfId="36039" xr:uid="{00000000-0005-0000-0000-0000837F0000}"/>
    <cellStyle name="60% - Accent4 5 6 3" xfId="25799" xr:uid="{00000000-0005-0000-0000-0000847F0000}"/>
    <cellStyle name="60% - Accent4 5 7" xfId="10439" xr:uid="{00000000-0005-0000-0000-0000857F0000}"/>
    <cellStyle name="60% - Accent4 5 7 2" xfId="30919" xr:uid="{00000000-0005-0000-0000-0000867F0000}"/>
    <cellStyle name="60% - Accent4 5 8" xfId="20679" xr:uid="{00000000-0005-0000-0000-0000877F0000}"/>
    <cellStyle name="60% - Accent4 6" xfId="359" xr:uid="{00000000-0005-0000-0000-0000887F0000}"/>
    <cellStyle name="60% - Accent4 6 2" xfId="999" xr:uid="{00000000-0005-0000-0000-0000897F0000}"/>
    <cellStyle name="60% - Accent4 6 2 2" xfId="2279" xr:uid="{00000000-0005-0000-0000-00008A7F0000}"/>
    <cellStyle name="60% - Accent4 6 2 2 2" xfId="4839" xr:uid="{00000000-0005-0000-0000-00008B7F0000}"/>
    <cellStyle name="60% - Accent4 6 2 2 2 2" xfId="9959" xr:uid="{00000000-0005-0000-0000-00008C7F0000}"/>
    <cellStyle name="60% - Accent4 6 2 2 2 2 2" xfId="20199" xr:uid="{00000000-0005-0000-0000-00008D7F0000}"/>
    <cellStyle name="60% - Accent4 6 2 2 2 2 2 2" xfId="40679" xr:uid="{00000000-0005-0000-0000-00008E7F0000}"/>
    <cellStyle name="60% - Accent4 6 2 2 2 2 3" xfId="30439" xr:uid="{00000000-0005-0000-0000-00008F7F0000}"/>
    <cellStyle name="60% - Accent4 6 2 2 2 3" xfId="15079" xr:uid="{00000000-0005-0000-0000-0000907F0000}"/>
    <cellStyle name="60% - Accent4 6 2 2 2 3 2" xfId="35559" xr:uid="{00000000-0005-0000-0000-0000917F0000}"/>
    <cellStyle name="60% - Accent4 6 2 2 2 4" xfId="25319" xr:uid="{00000000-0005-0000-0000-0000927F0000}"/>
    <cellStyle name="60% - Accent4 6 2 2 3" xfId="7399" xr:uid="{00000000-0005-0000-0000-0000937F0000}"/>
    <cellStyle name="60% - Accent4 6 2 2 3 2" xfId="17639" xr:uid="{00000000-0005-0000-0000-0000947F0000}"/>
    <cellStyle name="60% - Accent4 6 2 2 3 2 2" xfId="38119" xr:uid="{00000000-0005-0000-0000-0000957F0000}"/>
    <cellStyle name="60% - Accent4 6 2 2 3 3" xfId="27879" xr:uid="{00000000-0005-0000-0000-0000967F0000}"/>
    <cellStyle name="60% - Accent4 6 2 2 4" xfId="12519" xr:uid="{00000000-0005-0000-0000-0000977F0000}"/>
    <cellStyle name="60% - Accent4 6 2 2 4 2" xfId="32999" xr:uid="{00000000-0005-0000-0000-0000987F0000}"/>
    <cellStyle name="60% - Accent4 6 2 2 5" xfId="22759" xr:uid="{00000000-0005-0000-0000-0000997F0000}"/>
    <cellStyle name="60% - Accent4 6 2 3" xfId="3559" xr:uid="{00000000-0005-0000-0000-00009A7F0000}"/>
    <cellStyle name="60% - Accent4 6 2 3 2" xfId="8679" xr:uid="{00000000-0005-0000-0000-00009B7F0000}"/>
    <cellStyle name="60% - Accent4 6 2 3 2 2" xfId="18919" xr:uid="{00000000-0005-0000-0000-00009C7F0000}"/>
    <cellStyle name="60% - Accent4 6 2 3 2 2 2" xfId="39399" xr:uid="{00000000-0005-0000-0000-00009D7F0000}"/>
    <cellStyle name="60% - Accent4 6 2 3 2 3" xfId="29159" xr:uid="{00000000-0005-0000-0000-00009E7F0000}"/>
    <cellStyle name="60% - Accent4 6 2 3 3" xfId="13799" xr:uid="{00000000-0005-0000-0000-00009F7F0000}"/>
    <cellStyle name="60% - Accent4 6 2 3 3 2" xfId="34279" xr:uid="{00000000-0005-0000-0000-0000A07F0000}"/>
    <cellStyle name="60% - Accent4 6 2 3 4" xfId="24039" xr:uid="{00000000-0005-0000-0000-0000A17F0000}"/>
    <cellStyle name="60% - Accent4 6 2 4" xfId="6119" xr:uid="{00000000-0005-0000-0000-0000A27F0000}"/>
    <cellStyle name="60% - Accent4 6 2 4 2" xfId="16359" xr:uid="{00000000-0005-0000-0000-0000A37F0000}"/>
    <cellStyle name="60% - Accent4 6 2 4 2 2" xfId="36839" xr:uid="{00000000-0005-0000-0000-0000A47F0000}"/>
    <cellStyle name="60% - Accent4 6 2 4 3" xfId="26599" xr:uid="{00000000-0005-0000-0000-0000A57F0000}"/>
    <cellStyle name="60% - Accent4 6 2 5" xfId="11239" xr:uid="{00000000-0005-0000-0000-0000A67F0000}"/>
    <cellStyle name="60% - Accent4 6 2 5 2" xfId="31719" xr:uid="{00000000-0005-0000-0000-0000A77F0000}"/>
    <cellStyle name="60% - Accent4 6 2 6" xfId="21479" xr:uid="{00000000-0005-0000-0000-0000A87F0000}"/>
    <cellStyle name="60% - Accent4 6 3" xfId="1639" xr:uid="{00000000-0005-0000-0000-0000A97F0000}"/>
    <cellStyle name="60% - Accent4 6 3 2" xfId="4199" xr:uid="{00000000-0005-0000-0000-0000AA7F0000}"/>
    <cellStyle name="60% - Accent4 6 3 2 2" xfId="9319" xr:uid="{00000000-0005-0000-0000-0000AB7F0000}"/>
    <cellStyle name="60% - Accent4 6 3 2 2 2" xfId="19559" xr:uid="{00000000-0005-0000-0000-0000AC7F0000}"/>
    <cellStyle name="60% - Accent4 6 3 2 2 2 2" xfId="40039" xr:uid="{00000000-0005-0000-0000-0000AD7F0000}"/>
    <cellStyle name="60% - Accent4 6 3 2 2 3" xfId="29799" xr:uid="{00000000-0005-0000-0000-0000AE7F0000}"/>
    <cellStyle name="60% - Accent4 6 3 2 3" xfId="14439" xr:uid="{00000000-0005-0000-0000-0000AF7F0000}"/>
    <cellStyle name="60% - Accent4 6 3 2 3 2" xfId="34919" xr:uid="{00000000-0005-0000-0000-0000B07F0000}"/>
    <cellStyle name="60% - Accent4 6 3 2 4" xfId="24679" xr:uid="{00000000-0005-0000-0000-0000B17F0000}"/>
    <cellStyle name="60% - Accent4 6 3 3" xfId="6759" xr:uid="{00000000-0005-0000-0000-0000B27F0000}"/>
    <cellStyle name="60% - Accent4 6 3 3 2" xfId="16999" xr:uid="{00000000-0005-0000-0000-0000B37F0000}"/>
    <cellStyle name="60% - Accent4 6 3 3 2 2" xfId="37479" xr:uid="{00000000-0005-0000-0000-0000B47F0000}"/>
    <cellStyle name="60% - Accent4 6 3 3 3" xfId="27239" xr:uid="{00000000-0005-0000-0000-0000B57F0000}"/>
    <cellStyle name="60% - Accent4 6 3 4" xfId="11879" xr:uid="{00000000-0005-0000-0000-0000B67F0000}"/>
    <cellStyle name="60% - Accent4 6 3 4 2" xfId="32359" xr:uid="{00000000-0005-0000-0000-0000B77F0000}"/>
    <cellStyle name="60% - Accent4 6 3 5" xfId="22119" xr:uid="{00000000-0005-0000-0000-0000B87F0000}"/>
    <cellStyle name="60% - Accent4 6 4" xfId="2919" xr:uid="{00000000-0005-0000-0000-0000B97F0000}"/>
    <cellStyle name="60% - Accent4 6 4 2" xfId="8039" xr:uid="{00000000-0005-0000-0000-0000BA7F0000}"/>
    <cellStyle name="60% - Accent4 6 4 2 2" xfId="18279" xr:uid="{00000000-0005-0000-0000-0000BB7F0000}"/>
    <cellStyle name="60% - Accent4 6 4 2 2 2" xfId="38759" xr:uid="{00000000-0005-0000-0000-0000BC7F0000}"/>
    <cellStyle name="60% - Accent4 6 4 2 3" xfId="28519" xr:uid="{00000000-0005-0000-0000-0000BD7F0000}"/>
    <cellStyle name="60% - Accent4 6 4 3" xfId="13159" xr:uid="{00000000-0005-0000-0000-0000BE7F0000}"/>
    <cellStyle name="60% - Accent4 6 4 3 2" xfId="33639" xr:uid="{00000000-0005-0000-0000-0000BF7F0000}"/>
    <cellStyle name="60% - Accent4 6 4 4" xfId="23399" xr:uid="{00000000-0005-0000-0000-0000C07F0000}"/>
    <cellStyle name="60% - Accent4 6 5" xfId="5479" xr:uid="{00000000-0005-0000-0000-0000C17F0000}"/>
    <cellStyle name="60% - Accent4 6 5 2" xfId="15719" xr:uid="{00000000-0005-0000-0000-0000C27F0000}"/>
    <cellStyle name="60% - Accent4 6 5 2 2" xfId="36199" xr:uid="{00000000-0005-0000-0000-0000C37F0000}"/>
    <cellStyle name="60% - Accent4 6 5 3" xfId="25959" xr:uid="{00000000-0005-0000-0000-0000C47F0000}"/>
    <cellStyle name="60% - Accent4 6 6" xfId="10599" xr:uid="{00000000-0005-0000-0000-0000C57F0000}"/>
    <cellStyle name="60% - Accent4 6 6 2" xfId="31079" xr:uid="{00000000-0005-0000-0000-0000C67F0000}"/>
    <cellStyle name="60% - Accent4 6 7" xfId="20839" xr:uid="{00000000-0005-0000-0000-0000C77F0000}"/>
    <cellStyle name="60% - Accent4 7" xfId="679" xr:uid="{00000000-0005-0000-0000-0000C87F0000}"/>
    <cellStyle name="60% - Accent4 7 2" xfId="1959" xr:uid="{00000000-0005-0000-0000-0000C97F0000}"/>
    <cellStyle name="60% - Accent4 7 2 2" xfId="4519" xr:uid="{00000000-0005-0000-0000-0000CA7F0000}"/>
    <cellStyle name="60% - Accent4 7 2 2 2" xfId="9639" xr:uid="{00000000-0005-0000-0000-0000CB7F0000}"/>
    <cellStyle name="60% - Accent4 7 2 2 2 2" xfId="19879" xr:uid="{00000000-0005-0000-0000-0000CC7F0000}"/>
    <cellStyle name="60% - Accent4 7 2 2 2 2 2" xfId="40359" xr:uid="{00000000-0005-0000-0000-0000CD7F0000}"/>
    <cellStyle name="60% - Accent4 7 2 2 2 3" xfId="30119" xr:uid="{00000000-0005-0000-0000-0000CE7F0000}"/>
    <cellStyle name="60% - Accent4 7 2 2 3" xfId="14759" xr:uid="{00000000-0005-0000-0000-0000CF7F0000}"/>
    <cellStyle name="60% - Accent4 7 2 2 3 2" xfId="35239" xr:uid="{00000000-0005-0000-0000-0000D07F0000}"/>
    <cellStyle name="60% - Accent4 7 2 2 4" xfId="24999" xr:uid="{00000000-0005-0000-0000-0000D17F0000}"/>
    <cellStyle name="60% - Accent4 7 2 3" xfId="7079" xr:uid="{00000000-0005-0000-0000-0000D27F0000}"/>
    <cellStyle name="60% - Accent4 7 2 3 2" xfId="17319" xr:uid="{00000000-0005-0000-0000-0000D37F0000}"/>
    <cellStyle name="60% - Accent4 7 2 3 2 2" xfId="37799" xr:uid="{00000000-0005-0000-0000-0000D47F0000}"/>
    <cellStyle name="60% - Accent4 7 2 3 3" xfId="27559" xr:uid="{00000000-0005-0000-0000-0000D57F0000}"/>
    <cellStyle name="60% - Accent4 7 2 4" xfId="12199" xr:uid="{00000000-0005-0000-0000-0000D67F0000}"/>
    <cellStyle name="60% - Accent4 7 2 4 2" xfId="32679" xr:uid="{00000000-0005-0000-0000-0000D77F0000}"/>
    <cellStyle name="60% - Accent4 7 2 5" xfId="22439" xr:uid="{00000000-0005-0000-0000-0000D87F0000}"/>
    <cellStyle name="60% - Accent4 7 3" xfId="3239" xr:uid="{00000000-0005-0000-0000-0000D97F0000}"/>
    <cellStyle name="60% - Accent4 7 3 2" xfId="8359" xr:uid="{00000000-0005-0000-0000-0000DA7F0000}"/>
    <cellStyle name="60% - Accent4 7 3 2 2" xfId="18599" xr:uid="{00000000-0005-0000-0000-0000DB7F0000}"/>
    <cellStyle name="60% - Accent4 7 3 2 2 2" xfId="39079" xr:uid="{00000000-0005-0000-0000-0000DC7F0000}"/>
    <cellStyle name="60% - Accent4 7 3 2 3" xfId="28839" xr:uid="{00000000-0005-0000-0000-0000DD7F0000}"/>
    <cellStyle name="60% - Accent4 7 3 3" xfId="13479" xr:uid="{00000000-0005-0000-0000-0000DE7F0000}"/>
    <cellStyle name="60% - Accent4 7 3 3 2" xfId="33959" xr:uid="{00000000-0005-0000-0000-0000DF7F0000}"/>
    <cellStyle name="60% - Accent4 7 3 4" xfId="23719" xr:uid="{00000000-0005-0000-0000-0000E07F0000}"/>
    <cellStyle name="60% - Accent4 7 4" xfId="5799" xr:uid="{00000000-0005-0000-0000-0000E17F0000}"/>
    <cellStyle name="60% - Accent4 7 4 2" xfId="16039" xr:uid="{00000000-0005-0000-0000-0000E27F0000}"/>
    <cellStyle name="60% - Accent4 7 4 2 2" xfId="36519" xr:uid="{00000000-0005-0000-0000-0000E37F0000}"/>
    <cellStyle name="60% - Accent4 7 4 3" xfId="26279" xr:uid="{00000000-0005-0000-0000-0000E47F0000}"/>
    <cellStyle name="60% - Accent4 7 5" xfId="10919" xr:uid="{00000000-0005-0000-0000-0000E57F0000}"/>
    <cellStyle name="60% - Accent4 7 5 2" xfId="31399" xr:uid="{00000000-0005-0000-0000-0000E67F0000}"/>
    <cellStyle name="60% - Accent4 7 6" xfId="21159" xr:uid="{00000000-0005-0000-0000-0000E77F0000}"/>
    <cellStyle name="60% - Accent4 8" xfId="1319" xr:uid="{00000000-0005-0000-0000-0000E87F0000}"/>
    <cellStyle name="60% - Accent4 8 2" xfId="3879" xr:uid="{00000000-0005-0000-0000-0000E97F0000}"/>
    <cellStyle name="60% - Accent4 8 2 2" xfId="8999" xr:uid="{00000000-0005-0000-0000-0000EA7F0000}"/>
    <cellStyle name="60% - Accent4 8 2 2 2" xfId="19239" xr:uid="{00000000-0005-0000-0000-0000EB7F0000}"/>
    <cellStyle name="60% - Accent4 8 2 2 2 2" xfId="39719" xr:uid="{00000000-0005-0000-0000-0000EC7F0000}"/>
    <cellStyle name="60% - Accent4 8 2 2 3" xfId="29479" xr:uid="{00000000-0005-0000-0000-0000ED7F0000}"/>
    <cellStyle name="60% - Accent4 8 2 3" xfId="14119" xr:uid="{00000000-0005-0000-0000-0000EE7F0000}"/>
    <cellStyle name="60% - Accent4 8 2 3 2" xfId="34599" xr:uid="{00000000-0005-0000-0000-0000EF7F0000}"/>
    <cellStyle name="60% - Accent4 8 2 4" xfId="24359" xr:uid="{00000000-0005-0000-0000-0000F07F0000}"/>
    <cellStyle name="60% - Accent4 8 3" xfId="6439" xr:uid="{00000000-0005-0000-0000-0000F17F0000}"/>
    <cellStyle name="60% - Accent4 8 3 2" xfId="16679" xr:uid="{00000000-0005-0000-0000-0000F27F0000}"/>
    <cellStyle name="60% - Accent4 8 3 2 2" xfId="37159" xr:uid="{00000000-0005-0000-0000-0000F37F0000}"/>
    <cellStyle name="60% - Accent4 8 3 3" xfId="26919" xr:uid="{00000000-0005-0000-0000-0000F47F0000}"/>
    <cellStyle name="60% - Accent4 8 4" xfId="11559" xr:uid="{00000000-0005-0000-0000-0000F57F0000}"/>
    <cellStyle name="60% - Accent4 8 4 2" xfId="32039" xr:uid="{00000000-0005-0000-0000-0000F67F0000}"/>
    <cellStyle name="60% - Accent4 8 5" xfId="21799" xr:uid="{00000000-0005-0000-0000-0000F77F0000}"/>
    <cellStyle name="60% - Accent4 9" xfId="2599" xr:uid="{00000000-0005-0000-0000-0000F87F0000}"/>
    <cellStyle name="60% - Accent4 9 2" xfId="7719" xr:uid="{00000000-0005-0000-0000-0000F97F0000}"/>
    <cellStyle name="60% - Accent4 9 2 2" xfId="17959" xr:uid="{00000000-0005-0000-0000-0000FA7F0000}"/>
    <cellStyle name="60% - Accent4 9 2 2 2" xfId="38439" xr:uid="{00000000-0005-0000-0000-0000FB7F0000}"/>
    <cellStyle name="60% - Accent4 9 2 3" xfId="28199" xr:uid="{00000000-0005-0000-0000-0000FC7F0000}"/>
    <cellStyle name="60% - Accent4 9 3" xfId="12839" xr:uid="{00000000-0005-0000-0000-0000FD7F0000}"/>
    <cellStyle name="60% - Accent4 9 3 2" xfId="33319" xr:uid="{00000000-0005-0000-0000-0000FE7F0000}"/>
    <cellStyle name="60% - Accent4 9 4" xfId="23079" xr:uid="{00000000-0005-0000-0000-0000FF7F0000}"/>
    <cellStyle name="60% - Accent5 10" xfId="5162" xr:uid="{00000000-0005-0000-0000-000000800000}"/>
    <cellStyle name="60% - Accent5 10 2" xfId="15402" xr:uid="{00000000-0005-0000-0000-000001800000}"/>
    <cellStyle name="60% - Accent5 10 2 2" xfId="35882" xr:uid="{00000000-0005-0000-0000-000002800000}"/>
    <cellStyle name="60% - Accent5 10 3" xfId="25642" xr:uid="{00000000-0005-0000-0000-000003800000}"/>
    <cellStyle name="60% - Accent5 11" xfId="10282" xr:uid="{00000000-0005-0000-0000-000004800000}"/>
    <cellStyle name="60% - Accent5 11 2" xfId="30762" xr:uid="{00000000-0005-0000-0000-000005800000}"/>
    <cellStyle name="60% - Accent5 12" xfId="20522" xr:uid="{00000000-0005-0000-0000-000006800000}"/>
    <cellStyle name="60% - Accent5 13" xfId="41" xr:uid="{00000000-0005-0000-0000-000007800000}"/>
    <cellStyle name="60% - Accent5 2" xfId="62" xr:uid="{00000000-0005-0000-0000-000008800000}"/>
    <cellStyle name="60% - Accent5 2 10" xfId="10302" xr:uid="{00000000-0005-0000-0000-000009800000}"/>
    <cellStyle name="60% - Accent5 2 10 2" xfId="30782" xr:uid="{00000000-0005-0000-0000-00000A800000}"/>
    <cellStyle name="60% - Accent5 2 11" xfId="20542" xr:uid="{00000000-0005-0000-0000-00000B800000}"/>
    <cellStyle name="60% - Accent5 2 2" xfId="102" xr:uid="{00000000-0005-0000-0000-00000C800000}"/>
    <cellStyle name="60% - Accent5 2 2 10" xfId="20582" xr:uid="{00000000-0005-0000-0000-00000D800000}"/>
    <cellStyle name="60% - Accent5 2 2 2" xfId="182" xr:uid="{00000000-0005-0000-0000-00000E800000}"/>
    <cellStyle name="60% - Accent5 2 2 2 2" xfId="342" xr:uid="{00000000-0005-0000-0000-00000F800000}"/>
    <cellStyle name="60% - Accent5 2 2 2 2 2" xfId="662" xr:uid="{00000000-0005-0000-0000-000010800000}"/>
    <cellStyle name="60% - Accent5 2 2 2 2 2 2" xfId="1302" xr:uid="{00000000-0005-0000-0000-000011800000}"/>
    <cellStyle name="60% - Accent5 2 2 2 2 2 2 2" xfId="2582" xr:uid="{00000000-0005-0000-0000-000012800000}"/>
    <cellStyle name="60% - Accent5 2 2 2 2 2 2 2 2" xfId="5142" xr:uid="{00000000-0005-0000-0000-000013800000}"/>
    <cellStyle name="60% - Accent5 2 2 2 2 2 2 2 2 2" xfId="10262" xr:uid="{00000000-0005-0000-0000-000014800000}"/>
    <cellStyle name="60% - Accent5 2 2 2 2 2 2 2 2 2 2" xfId="20502" xr:uid="{00000000-0005-0000-0000-000015800000}"/>
    <cellStyle name="60% - Accent5 2 2 2 2 2 2 2 2 2 2 2" xfId="40982" xr:uid="{00000000-0005-0000-0000-000016800000}"/>
    <cellStyle name="60% - Accent5 2 2 2 2 2 2 2 2 2 3" xfId="30742" xr:uid="{00000000-0005-0000-0000-000017800000}"/>
    <cellStyle name="60% - Accent5 2 2 2 2 2 2 2 2 3" xfId="15382" xr:uid="{00000000-0005-0000-0000-000018800000}"/>
    <cellStyle name="60% - Accent5 2 2 2 2 2 2 2 2 3 2" xfId="35862" xr:uid="{00000000-0005-0000-0000-000019800000}"/>
    <cellStyle name="60% - Accent5 2 2 2 2 2 2 2 2 4" xfId="25622" xr:uid="{00000000-0005-0000-0000-00001A800000}"/>
    <cellStyle name="60% - Accent5 2 2 2 2 2 2 2 3" xfId="7702" xr:uid="{00000000-0005-0000-0000-00001B800000}"/>
    <cellStyle name="60% - Accent5 2 2 2 2 2 2 2 3 2" xfId="17942" xr:uid="{00000000-0005-0000-0000-00001C800000}"/>
    <cellStyle name="60% - Accent5 2 2 2 2 2 2 2 3 2 2" xfId="38422" xr:uid="{00000000-0005-0000-0000-00001D800000}"/>
    <cellStyle name="60% - Accent5 2 2 2 2 2 2 2 3 3" xfId="28182" xr:uid="{00000000-0005-0000-0000-00001E800000}"/>
    <cellStyle name="60% - Accent5 2 2 2 2 2 2 2 4" xfId="12822" xr:uid="{00000000-0005-0000-0000-00001F800000}"/>
    <cellStyle name="60% - Accent5 2 2 2 2 2 2 2 4 2" xfId="33302" xr:uid="{00000000-0005-0000-0000-000020800000}"/>
    <cellStyle name="60% - Accent5 2 2 2 2 2 2 2 5" xfId="23062" xr:uid="{00000000-0005-0000-0000-000021800000}"/>
    <cellStyle name="60% - Accent5 2 2 2 2 2 2 3" xfId="3862" xr:uid="{00000000-0005-0000-0000-000022800000}"/>
    <cellStyle name="60% - Accent5 2 2 2 2 2 2 3 2" xfId="8982" xr:uid="{00000000-0005-0000-0000-000023800000}"/>
    <cellStyle name="60% - Accent5 2 2 2 2 2 2 3 2 2" xfId="19222" xr:uid="{00000000-0005-0000-0000-000024800000}"/>
    <cellStyle name="60% - Accent5 2 2 2 2 2 2 3 2 2 2" xfId="39702" xr:uid="{00000000-0005-0000-0000-000025800000}"/>
    <cellStyle name="60% - Accent5 2 2 2 2 2 2 3 2 3" xfId="29462" xr:uid="{00000000-0005-0000-0000-000026800000}"/>
    <cellStyle name="60% - Accent5 2 2 2 2 2 2 3 3" xfId="14102" xr:uid="{00000000-0005-0000-0000-000027800000}"/>
    <cellStyle name="60% - Accent5 2 2 2 2 2 2 3 3 2" xfId="34582" xr:uid="{00000000-0005-0000-0000-000028800000}"/>
    <cellStyle name="60% - Accent5 2 2 2 2 2 2 3 4" xfId="24342" xr:uid="{00000000-0005-0000-0000-000029800000}"/>
    <cellStyle name="60% - Accent5 2 2 2 2 2 2 4" xfId="6422" xr:uid="{00000000-0005-0000-0000-00002A800000}"/>
    <cellStyle name="60% - Accent5 2 2 2 2 2 2 4 2" xfId="16662" xr:uid="{00000000-0005-0000-0000-00002B800000}"/>
    <cellStyle name="60% - Accent5 2 2 2 2 2 2 4 2 2" xfId="37142" xr:uid="{00000000-0005-0000-0000-00002C800000}"/>
    <cellStyle name="60% - Accent5 2 2 2 2 2 2 4 3" xfId="26902" xr:uid="{00000000-0005-0000-0000-00002D800000}"/>
    <cellStyle name="60% - Accent5 2 2 2 2 2 2 5" xfId="11542" xr:uid="{00000000-0005-0000-0000-00002E800000}"/>
    <cellStyle name="60% - Accent5 2 2 2 2 2 2 5 2" xfId="32022" xr:uid="{00000000-0005-0000-0000-00002F800000}"/>
    <cellStyle name="60% - Accent5 2 2 2 2 2 2 6" xfId="21782" xr:uid="{00000000-0005-0000-0000-000030800000}"/>
    <cellStyle name="60% - Accent5 2 2 2 2 2 3" xfId="1942" xr:uid="{00000000-0005-0000-0000-000031800000}"/>
    <cellStyle name="60% - Accent5 2 2 2 2 2 3 2" xfId="4502" xr:uid="{00000000-0005-0000-0000-000032800000}"/>
    <cellStyle name="60% - Accent5 2 2 2 2 2 3 2 2" xfId="9622" xr:uid="{00000000-0005-0000-0000-000033800000}"/>
    <cellStyle name="60% - Accent5 2 2 2 2 2 3 2 2 2" xfId="19862" xr:uid="{00000000-0005-0000-0000-000034800000}"/>
    <cellStyle name="60% - Accent5 2 2 2 2 2 3 2 2 2 2" xfId="40342" xr:uid="{00000000-0005-0000-0000-000035800000}"/>
    <cellStyle name="60% - Accent5 2 2 2 2 2 3 2 2 3" xfId="30102" xr:uid="{00000000-0005-0000-0000-000036800000}"/>
    <cellStyle name="60% - Accent5 2 2 2 2 2 3 2 3" xfId="14742" xr:uid="{00000000-0005-0000-0000-000037800000}"/>
    <cellStyle name="60% - Accent5 2 2 2 2 2 3 2 3 2" xfId="35222" xr:uid="{00000000-0005-0000-0000-000038800000}"/>
    <cellStyle name="60% - Accent5 2 2 2 2 2 3 2 4" xfId="24982" xr:uid="{00000000-0005-0000-0000-000039800000}"/>
    <cellStyle name="60% - Accent5 2 2 2 2 2 3 3" xfId="7062" xr:uid="{00000000-0005-0000-0000-00003A800000}"/>
    <cellStyle name="60% - Accent5 2 2 2 2 2 3 3 2" xfId="17302" xr:uid="{00000000-0005-0000-0000-00003B800000}"/>
    <cellStyle name="60% - Accent5 2 2 2 2 2 3 3 2 2" xfId="37782" xr:uid="{00000000-0005-0000-0000-00003C800000}"/>
    <cellStyle name="60% - Accent5 2 2 2 2 2 3 3 3" xfId="27542" xr:uid="{00000000-0005-0000-0000-00003D800000}"/>
    <cellStyle name="60% - Accent5 2 2 2 2 2 3 4" xfId="12182" xr:uid="{00000000-0005-0000-0000-00003E800000}"/>
    <cellStyle name="60% - Accent5 2 2 2 2 2 3 4 2" xfId="32662" xr:uid="{00000000-0005-0000-0000-00003F800000}"/>
    <cellStyle name="60% - Accent5 2 2 2 2 2 3 5" xfId="22422" xr:uid="{00000000-0005-0000-0000-000040800000}"/>
    <cellStyle name="60% - Accent5 2 2 2 2 2 4" xfId="3222" xr:uid="{00000000-0005-0000-0000-000041800000}"/>
    <cellStyle name="60% - Accent5 2 2 2 2 2 4 2" xfId="8342" xr:uid="{00000000-0005-0000-0000-000042800000}"/>
    <cellStyle name="60% - Accent5 2 2 2 2 2 4 2 2" xfId="18582" xr:uid="{00000000-0005-0000-0000-000043800000}"/>
    <cellStyle name="60% - Accent5 2 2 2 2 2 4 2 2 2" xfId="39062" xr:uid="{00000000-0005-0000-0000-000044800000}"/>
    <cellStyle name="60% - Accent5 2 2 2 2 2 4 2 3" xfId="28822" xr:uid="{00000000-0005-0000-0000-000045800000}"/>
    <cellStyle name="60% - Accent5 2 2 2 2 2 4 3" xfId="13462" xr:uid="{00000000-0005-0000-0000-000046800000}"/>
    <cellStyle name="60% - Accent5 2 2 2 2 2 4 3 2" xfId="33942" xr:uid="{00000000-0005-0000-0000-000047800000}"/>
    <cellStyle name="60% - Accent5 2 2 2 2 2 4 4" xfId="23702" xr:uid="{00000000-0005-0000-0000-000048800000}"/>
    <cellStyle name="60% - Accent5 2 2 2 2 2 5" xfId="5782" xr:uid="{00000000-0005-0000-0000-000049800000}"/>
    <cellStyle name="60% - Accent5 2 2 2 2 2 5 2" xfId="16022" xr:uid="{00000000-0005-0000-0000-00004A800000}"/>
    <cellStyle name="60% - Accent5 2 2 2 2 2 5 2 2" xfId="36502" xr:uid="{00000000-0005-0000-0000-00004B800000}"/>
    <cellStyle name="60% - Accent5 2 2 2 2 2 5 3" xfId="26262" xr:uid="{00000000-0005-0000-0000-00004C800000}"/>
    <cellStyle name="60% - Accent5 2 2 2 2 2 6" xfId="10902" xr:uid="{00000000-0005-0000-0000-00004D800000}"/>
    <cellStyle name="60% - Accent5 2 2 2 2 2 6 2" xfId="31382" xr:uid="{00000000-0005-0000-0000-00004E800000}"/>
    <cellStyle name="60% - Accent5 2 2 2 2 2 7" xfId="21142" xr:uid="{00000000-0005-0000-0000-00004F800000}"/>
    <cellStyle name="60% - Accent5 2 2 2 2 3" xfId="982" xr:uid="{00000000-0005-0000-0000-000050800000}"/>
    <cellStyle name="60% - Accent5 2 2 2 2 3 2" xfId="2262" xr:uid="{00000000-0005-0000-0000-000051800000}"/>
    <cellStyle name="60% - Accent5 2 2 2 2 3 2 2" xfId="4822" xr:uid="{00000000-0005-0000-0000-000052800000}"/>
    <cellStyle name="60% - Accent5 2 2 2 2 3 2 2 2" xfId="9942" xr:uid="{00000000-0005-0000-0000-000053800000}"/>
    <cellStyle name="60% - Accent5 2 2 2 2 3 2 2 2 2" xfId="20182" xr:uid="{00000000-0005-0000-0000-000054800000}"/>
    <cellStyle name="60% - Accent5 2 2 2 2 3 2 2 2 2 2" xfId="40662" xr:uid="{00000000-0005-0000-0000-000055800000}"/>
    <cellStyle name="60% - Accent5 2 2 2 2 3 2 2 2 3" xfId="30422" xr:uid="{00000000-0005-0000-0000-000056800000}"/>
    <cellStyle name="60% - Accent5 2 2 2 2 3 2 2 3" xfId="15062" xr:uid="{00000000-0005-0000-0000-000057800000}"/>
    <cellStyle name="60% - Accent5 2 2 2 2 3 2 2 3 2" xfId="35542" xr:uid="{00000000-0005-0000-0000-000058800000}"/>
    <cellStyle name="60% - Accent5 2 2 2 2 3 2 2 4" xfId="25302" xr:uid="{00000000-0005-0000-0000-000059800000}"/>
    <cellStyle name="60% - Accent5 2 2 2 2 3 2 3" xfId="7382" xr:uid="{00000000-0005-0000-0000-00005A800000}"/>
    <cellStyle name="60% - Accent5 2 2 2 2 3 2 3 2" xfId="17622" xr:uid="{00000000-0005-0000-0000-00005B800000}"/>
    <cellStyle name="60% - Accent5 2 2 2 2 3 2 3 2 2" xfId="38102" xr:uid="{00000000-0005-0000-0000-00005C800000}"/>
    <cellStyle name="60% - Accent5 2 2 2 2 3 2 3 3" xfId="27862" xr:uid="{00000000-0005-0000-0000-00005D800000}"/>
    <cellStyle name="60% - Accent5 2 2 2 2 3 2 4" xfId="12502" xr:uid="{00000000-0005-0000-0000-00005E800000}"/>
    <cellStyle name="60% - Accent5 2 2 2 2 3 2 4 2" xfId="32982" xr:uid="{00000000-0005-0000-0000-00005F800000}"/>
    <cellStyle name="60% - Accent5 2 2 2 2 3 2 5" xfId="22742" xr:uid="{00000000-0005-0000-0000-000060800000}"/>
    <cellStyle name="60% - Accent5 2 2 2 2 3 3" xfId="3542" xr:uid="{00000000-0005-0000-0000-000061800000}"/>
    <cellStyle name="60% - Accent5 2 2 2 2 3 3 2" xfId="8662" xr:uid="{00000000-0005-0000-0000-000062800000}"/>
    <cellStyle name="60% - Accent5 2 2 2 2 3 3 2 2" xfId="18902" xr:uid="{00000000-0005-0000-0000-000063800000}"/>
    <cellStyle name="60% - Accent5 2 2 2 2 3 3 2 2 2" xfId="39382" xr:uid="{00000000-0005-0000-0000-000064800000}"/>
    <cellStyle name="60% - Accent5 2 2 2 2 3 3 2 3" xfId="29142" xr:uid="{00000000-0005-0000-0000-000065800000}"/>
    <cellStyle name="60% - Accent5 2 2 2 2 3 3 3" xfId="13782" xr:uid="{00000000-0005-0000-0000-000066800000}"/>
    <cellStyle name="60% - Accent5 2 2 2 2 3 3 3 2" xfId="34262" xr:uid="{00000000-0005-0000-0000-000067800000}"/>
    <cellStyle name="60% - Accent5 2 2 2 2 3 3 4" xfId="24022" xr:uid="{00000000-0005-0000-0000-000068800000}"/>
    <cellStyle name="60% - Accent5 2 2 2 2 3 4" xfId="6102" xr:uid="{00000000-0005-0000-0000-000069800000}"/>
    <cellStyle name="60% - Accent5 2 2 2 2 3 4 2" xfId="16342" xr:uid="{00000000-0005-0000-0000-00006A800000}"/>
    <cellStyle name="60% - Accent5 2 2 2 2 3 4 2 2" xfId="36822" xr:uid="{00000000-0005-0000-0000-00006B800000}"/>
    <cellStyle name="60% - Accent5 2 2 2 2 3 4 3" xfId="26582" xr:uid="{00000000-0005-0000-0000-00006C800000}"/>
    <cellStyle name="60% - Accent5 2 2 2 2 3 5" xfId="11222" xr:uid="{00000000-0005-0000-0000-00006D800000}"/>
    <cellStyle name="60% - Accent5 2 2 2 2 3 5 2" xfId="31702" xr:uid="{00000000-0005-0000-0000-00006E800000}"/>
    <cellStyle name="60% - Accent5 2 2 2 2 3 6" xfId="21462" xr:uid="{00000000-0005-0000-0000-00006F800000}"/>
    <cellStyle name="60% - Accent5 2 2 2 2 4" xfId="1622" xr:uid="{00000000-0005-0000-0000-000070800000}"/>
    <cellStyle name="60% - Accent5 2 2 2 2 4 2" xfId="4182" xr:uid="{00000000-0005-0000-0000-000071800000}"/>
    <cellStyle name="60% - Accent5 2 2 2 2 4 2 2" xfId="9302" xr:uid="{00000000-0005-0000-0000-000072800000}"/>
    <cellStyle name="60% - Accent5 2 2 2 2 4 2 2 2" xfId="19542" xr:uid="{00000000-0005-0000-0000-000073800000}"/>
    <cellStyle name="60% - Accent5 2 2 2 2 4 2 2 2 2" xfId="40022" xr:uid="{00000000-0005-0000-0000-000074800000}"/>
    <cellStyle name="60% - Accent5 2 2 2 2 4 2 2 3" xfId="29782" xr:uid="{00000000-0005-0000-0000-000075800000}"/>
    <cellStyle name="60% - Accent5 2 2 2 2 4 2 3" xfId="14422" xr:uid="{00000000-0005-0000-0000-000076800000}"/>
    <cellStyle name="60% - Accent5 2 2 2 2 4 2 3 2" xfId="34902" xr:uid="{00000000-0005-0000-0000-000077800000}"/>
    <cellStyle name="60% - Accent5 2 2 2 2 4 2 4" xfId="24662" xr:uid="{00000000-0005-0000-0000-000078800000}"/>
    <cellStyle name="60% - Accent5 2 2 2 2 4 3" xfId="6742" xr:uid="{00000000-0005-0000-0000-000079800000}"/>
    <cellStyle name="60% - Accent5 2 2 2 2 4 3 2" xfId="16982" xr:uid="{00000000-0005-0000-0000-00007A800000}"/>
    <cellStyle name="60% - Accent5 2 2 2 2 4 3 2 2" xfId="37462" xr:uid="{00000000-0005-0000-0000-00007B800000}"/>
    <cellStyle name="60% - Accent5 2 2 2 2 4 3 3" xfId="27222" xr:uid="{00000000-0005-0000-0000-00007C800000}"/>
    <cellStyle name="60% - Accent5 2 2 2 2 4 4" xfId="11862" xr:uid="{00000000-0005-0000-0000-00007D800000}"/>
    <cellStyle name="60% - Accent5 2 2 2 2 4 4 2" xfId="32342" xr:uid="{00000000-0005-0000-0000-00007E800000}"/>
    <cellStyle name="60% - Accent5 2 2 2 2 4 5" xfId="22102" xr:uid="{00000000-0005-0000-0000-00007F800000}"/>
    <cellStyle name="60% - Accent5 2 2 2 2 5" xfId="2902" xr:uid="{00000000-0005-0000-0000-000080800000}"/>
    <cellStyle name="60% - Accent5 2 2 2 2 5 2" xfId="8022" xr:uid="{00000000-0005-0000-0000-000081800000}"/>
    <cellStyle name="60% - Accent5 2 2 2 2 5 2 2" xfId="18262" xr:uid="{00000000-0005-0000-0000-000082800000}"/>
    <cellStyle name="60% - Accent5 2 2 2 2 5 2 2 2" xfId="38742" xr:uid="{00000000-0005-0000-0000-000083800000}"/>
    <cellStyle name="60% - Accent5 2 2 2 2 5 2 3" xfId="28502" xr:uid="{00000000-0005-0000-0000-000084800000}"/>
    <cellStyle name="60% - Accent5 2 2 2 2 5 3" xfId="13142" xr:uid="{00000000-0005-0000-0000-000085800000}"/>
    <cellStyle name="60% - Accent5 2 2 2 2 5 3 2" xfId="33622" xr:uid="{00000000-0005-0000-0000-000086800000}"/>
    <cellStyle name="60% - Accent5 2 2 2 2 5 4" xfId="23382" xr:uid="{00000000-0005-0000-0000-000087800000}"/>
    <cellStyle name="60% - Accent5 2 2 2 2 6" xfId="5462" xr:uid="{00000000-0005-0000-0000-000088800000}"/>
    <cellStyle name="60% - Accent5 2 2 2 2 6 2" xfId="15702" xr:uid="{00000000-0005-0000-0000-000089800000}"/>
    <cellStyle name="60% - Accent5 2 2 2 2 6 2 2" xfId="36182" xr:uid="{00000000-0005-0000-0000-00008A800000}"/>
    <cellStyle name="60% - Accent5 2 2 2 2 6 3" xfId="25942" xr:uid="{00000000-0005-0000-0000-00008B800000}"/>
    <cellStyle name="60% - Accent5 2 2 2 2 7" xfId="10582" xr:uid="{00000000-0005-0000-0000-00008C800000}"/>
    <cellStyle name="60% - Accent5 2 2 2 2 7 2" xfId="31062" xr:uid="{00000000-0005-0000-0000-00008D800000}"/>
    <cellStyle name="60% - Accent5 2 2 2 2 8" xfId="20822" xr:uid="{00000000-0005-0000-0000-00008E800000}"/>
    <cellStyle name="60% - Accent5 2 2 2 3" xfId="502" xr:uid="{00000000-0005-0000-0000-00008F800000}"/>
    <cellStyle name="60% - Accent5 2 2 2 3 2" xfId="1142" xr:uid="{00000000-0005-0000-0000-000090800000}"/>
    <cellStyle name="60% - Accent5 2 2 2 3 2 2" xfId="2422" xr:uid="{00000000-0005-0000-0000-000091800000}"/>
    <cellStyle name="60% - Accent5 2 2 2 3 2 2 2" xfId="4982" xr:uid="{00000000-0005-0000-0000-000092800000}"/>
    <cellStyle name="60% - Accent5 2 2 2 3 2 2 2 2" xfId="10102" xr:uid="{00000000-0005-0000-0000-000093800000}"/>
    <cellStyle name="60% - Accent5 2 2 2 3 2 2 2 2 2" xfId="20342" xr:uid="{00000000-0005-0000-0000-000094800000}"/>
    <cellStyle name="60% - Accent5 2 2 2 3 2 2 2 2 2 2" xfId="40822" xr:uid="{00000000-0005-0000-0000-000095800000}"/>
    <cellStyle name="60% - Accent5 2 2 2 3 2 2 2 2 3" xfId="30582" xr:uid="{00000000-0005-0000-0000-000096800000}"/>
    <cellStyle name="60% - Accent5 2 2 2 3 2 2 2 3" xfId="15222" xr:uid="{00000000-0005-0000-0000-000097800000}"/>
    <cellStyle name="60% - Accent5 2 2 2 3 2 2 2 3 2" xfId="35702" xr:uid="{00000000-0005-0000-0000-000098800000}"/>
    <cellStyle name="60% - Accent5 2 2 2 3 2 2 2 4" xfId="25462" xr:uid="{00000000-0005-0000-0000-000099800000}"/>
    <cellStyle name="60% - Accent5 2 2 2 3 2 2 3" xfId="7542" xr:uid="{00000000-0005-0000-0000-00009A800000}"/>
    <cellStyle name="60% - Accent5 2 2 2 3 2 2 3 2" xfId="17782" xr:uid="{00000000-0005-0000-0000-00009B800000}"/>
    <cellStyle name="60% - Accent5 2 2 2 3 2 2 3 2 2" xfId="38262" xr:uid="{00000000-0005-0000-0000-00009C800000}"/>
    <cellStyle name="60% - Accent5 2 2 2 3 2 2 3 3" xfId="28022" xr:uid="{00000000-0005-0000-0000-00009D800000}"/>
    <cellStyle name="60% - Accent5 2 2 2 3 2 2 4" xfId="12662" xr:uid="{00000000-0005-0000-0000-00009E800000}"/>
    <cellStyle name="60% - Accent5 2 2 2 3 2 2 4 2" xfId="33142" xr:uid="{00000000-0005-0000-0000-00009F800000}"/>
    <cellStyle name="60% - Accent5 2 2 2 3 2 2 5" xfId="22902" xr:uid="{00000000-0005-0000-0000-0000A0800000}"/>
    <cellStyle name="60% - Accent5 2 2 2 3 2 3" xfId="3702" xr:uid="{00000000-0005-0000-0000-0000A1800000}"/>
    <cellStyle name="60% - Accent5 2 2 2 3 2 3 2" xfId="8822" xr:uid="{00000000-0005-0000-0000-0000A2800000}"/>
    <cellStyle name="60% - Accent5 2 2 2 3 2 3 2 2" xfId="19062" xr:uid="{00000000-0005-0000-0000-0000A3800000}"/>
    <cellStyle name="60% - Accent5 2 2 2 3 2 3 2 2 2" xfId="39542" xr:uid="{00000000-0005-0000-0000-0000A4800000}"/>
    <cellStyle name="60% - Accent5 2 2 2 3 2 3 2 3" xfId="29302" xr:uid="{00000000-0005-0000-0000-0000A5800000}"/>
    <cellStyle name="60% - Accent5 2 2 2 3 2 3 3" xfId="13942" xr:uid="{00000000-0005-0000-0000-0000A6800000}"/>
    <cellStyle name="60% - Accent5 2 2 2 3 2 3 3 2" xfId="34422" xr:uid="{00000000-0005-0000-0000-0000A7800000}"/>
    <cellStyle name="60% - Accent5 2 2 2 3 2 3 4" xfId="24182" xr:uid="{00000000-0005-0000-0000-0000A8800000}"/>
    <cellStyle name="60% - Accent5 2 2 2 3 2 4" xfId="6262" xr:uid="{00000000-0005-0000-0000-0000A9800000}"/>
    <cellStyle name="60% - Accent5 2 2 2 3 2 4 2" xfId="16502" xr:uid="{00000000-0005-0000-0000-0000AA800000}"/>
    <cellStyle name="60% - Accent5 2 2 2 3 2 4 2 2" xfId="36982" xr:uid="{00000000-0005-0000-0000-0000AB800000}"/>
    <cellStyle name="60% - Accent5 2 2 2 3 2 4 3" xfId="26742" xr:uid="{00000000-0005-0000-0000-0000AC800000}"/>
    <cellStyle name="60% - Accent5 2 2 2 3 2 5" xfId="11382" xr:uid="{00000000-0005-0000-0000-0000AD800000}"/>
    <cellStyle name="60% - Accent5 2 2 2 3 2 5 2" xfId="31862" xr:uid="{00000000-0005-0000-0000-0000AE800000}"/>
    <cellStyle name="60% - Accent5 2 2 2 3 2 6" xfId="21622" xr:uid="{00000000-0005-0000-0000-0000AF800000}"/>
    <cellStyle name="60% - Accent5 2 2 2 3 3" xfId="1782" xr:uid="{00000000-0005-0000-0000-0000B0800000}"/>
    <cellStyle name="60% - Accent5 2 2 2 3 3 2" xfId="4342" xr:uid="{00000000-0005-0000-0000-0000B1800000}"/>
    <cellStyle name="60% - Accent5 2 2 2 3 3 2 2" xfId="9462" xr:uid="{00000000-0005-0000-0000-0000B2800000}"/>
    <cellStyle name="60% - Accent5 2 2 2 3 3 2 2 2" xfId="19702" xr:uid="{00000000-0005-0000-0000-0000B3800000}"/>
    <cellStyle name="60% - Accent5 2 2 2 3 3 2 2 2 2" xfId="40182" xr:uid="{00000000-0005-0000-0000-0000B4800000}"/>
    <cellStyle name="60% - Accent5 2 2 2 3 3 2 2 3" xfId="29942" xr:uid="{00000000-0005-0000-0000-0000B5800000}"/>
    <cellStyle name="60% - Accent5 2 2 2 3 3 2 3" xfId="14582" xr:uid="{00000000-0005-0000-0000-0000B6800000}"/>
    <cellStyle name="60% - Accent5 2 2 2 3 3 2 3 2" xfId="35062" xr:uid="{00000000-0005-0000-0000-0000B7800000}"/>
    <cellStyle name="60% - Accent5 2 2 2 3 3 2 4" xfId="24822" xr:uid="{00000000-0005-0000-0000-0000B8800000}"/>
    <cellStyle name="60% - Accent5 2 2 2 3 3 3" xfId="6902" xr:uid="{00000000-0005-0000-0000-0000B9800000}"/>
    <cellStyle name="60% - Accent5 2 2 2 3 3 3 2" xfId="17142" xr:uid="{00000000-0005-0000-0000-0000BA800000}"/>
    <cellStyle name="60% - Accent5 2 2 2 3 3 3 2 2" xfId="37622" xr:uid="{00000000-0005-0000-0000-0000BB800000}"/>
    <cellStyle name="60% - Accent5 2 2 2 3 3 3 3" xfId="27382" xr:uid="{00000000-0005-0000-0000-0000BC800000}"/>
    <cellStyle name="60% - Accent5 2 2 2 3 3 4" xfId="12022" xr:uid="{00000000-0005-0000-0000-0000BD800000}"/>
    <cellStyle name="60% - Accent5 2 2 2 3 3 4 2" xfId="32502" xr:uid="{00000000-0005-0000-0000-0000BE800000}"/>
    <cellStyle name="60% - Accent5 2 2 2 3 3 5" xfId="22262" xr:uid="{00000000-0005-0000-0000-0000BF800000}"/>
    <cellStyle name="60% - Accent5 2 2 2 3 4" xfId="3062" xr:uid="{00000000-0005-0000-0000-0000C0800000}"/>
    <cellStyle name="60% - Accent5 2 2 2 3 4 2" xfId="8182" xr:uid="{00000000-0005-0000-0000-0000C1800000}"/>
    <cellStyle name="60% - Accent5 2 2 2 3 4 2 2" xfId="18422" xr:uid="{00000000-0005-0000-0000-0000C2800000}"/>
    <cellStyle name="60% - Accent5 2 2 2 3 4 2 2 2" xfId="38902" xr:uid="{00000000-0005-0000-0000-0000C3800000}"/>
    <cellStyle name="60% - Accent5 2 2 2 3 4 2 3" xfId="28662" xr:uid="{00000000-0005-0000-0000-0000C4800000}"/>
    <cellStyle name="60% - Accent5 2 2 2 3 4 3" xfId="13302" xr:uid="{00000000-0005-0000-0000-0000C5800000}"/>
    <cellStyle name="60% - Accent5 2 2 2 3 4 3 2" xfId="33782" xr:uid="{00000000-0005-0000-0000-0000C6800000}"/>
    <cellStyle name="60% - Accent5 2 2 2 3 4 4" xfId="23542" xr:uid="{00000000-0005-0000-0000-0000C7800000}"/>
    <cellStyle name="60% - Accent5 2 2 2 3 5" xfId="5622" xr:uid="{00000000-0005-0000-0000-0000C8800000}"/>
    <cellStyle name="60% - Accent5 2 2 2 3 5 2" xfId="15862" xr:uid="{00000000-0005-0000-0000-0000C9800000}"/>
    <cellStyle name="60% - Accent5 2 2 2 3 5 2 2" xfId="36342" xr:uid="{00000000-0005-0000-0000-0000CA800000}"/>
    <cellStyle name="60% - Accent5 2 2 2 3 5 3" xfId="26102" xr:uid="{00000000-0005-0000-0000-0000CB800000}"/>
    <cellStyle name="60% - Accent5 2 2 2 3 6" xfId="10742" xr:uid="{00000000-0005-0000-0000-0000CC800000}"/>
    <cellStyle name="60% - Accent5 2 2 2 3 6 2" xfId="31222" xr:uid="{00000000-0005-0000-0000-0000CD800000}"/>
    <cellStyle name="60% - Accent5 2 2 2 3 7" xfId="20982" xr:uid="{00000000-0005-0000-0000-0000CE800000}"/>
    <cellStyle name="60% - Accent5 2 2 2 4" xfId="822" xr:uid="{00000000-0005-0000-0000-0000CF800000}"/>
    <cellStyle name="60% - Accent5 2 2 2 4 2" xfId="2102" xr:uid="{00000000-0005-0000-0000-0000D0800000}"/>
    <cellStyle name="60% - Accent5 2 2 2 4 2 2" xfId="4662" xr:uid="{00000000-0005-0000-0000-0000D1800000}"/>
    <cellStyle name="60% - Accent5 2 2 2 4 2 2 2" xfId="9782" xr:uid="{00000000-0005-0000-0000-0000D2800000}"/>
    <cellStyle name="60% - Accent5 2 2 2 4 2 2 2 2" xfId="20022" xr:uid="{00000000-0005-0000-0000-0000D3800000}"/>
    <cellStyle name="60% - Accent5 2 2 2 4 2 2 2 2 2" xfId="40502" xr:uid="{00000000-0005-0000-0000-0000D4800000}"/>
    <cellStyle name="60% - Accent5 2 2 2 4 2 2 2 3" xfId="30262" xr:uid="{00000000-0005-0000-0000-0000D5800000}"/>
    <cellStyle name="60% - Accent5 2 2 2 4 2 2 3" xfId="14902" xr:uid="{00000000-0005-0000-0000-0000D6800000}"/>
    <cellStyle name="60% - Accent5 2 2 2 4 2 2 3 2" xfId="35382" xr:uid="{00000000-0005-0000-0000-0000D7800000}"/>
    <cellStyle name="60% - Accent5 2 2 2 4 2 2 4" xfId="25142" xr:uid="{00000000-0005-0000-0000-0000D8800000}"/>
    <cellStyle name="60% - Accent5 2 2 2 4 2 3" xfId="7222" xr:uid="{00000000-0005-0000-0000-0000D9800000}"/>
    <cellStyle name="60% - Accent5 2 2 2 4 2 3 2" xfId="17462" xr:uid="{00000000-0005-0000-0000-0000DA800000}"/>
    <cellStyle name="60% - Accent5 2 2 2 4 2 3 2 2" xfId="37942" xr:uid="{00000000-0005-0000-0000-0000DB800000}"/>
    <cellStyle name="60% - Accent5 2 2 2 4 2 3 3" xfId="27702" xr:uid="{00000000-0005-0000-0000-0000DC800000}"/>
    <cellStyle name="60% - Accent5 2 2 2 4 2 4" xfId="12342" xr:uid="{00000000-0005-0000-0000-0000DD800000}"/>
    <cellStyle name="60% - Accent5 2 2 2 4 2 4 2" xfId="32822" xr:uid="{00000000-0005-0000-0000-0000DE800000}"/>
    <cellStyle name="60% - Accent5 2 2 2 4 2 5" xfId="22582" xr:uid="{00000000-0005-0000-0000-0000DF800000}"/>
    <cellStyle name="60% - Accent5 2 2 2 4 3" xfId="3382" xr:uid="{00000000-0005-0000-0000-0000E0800000}"/>
    <cellStyle name="60% - Accent5 2 2 2 4 3 2" xfId="8502" xr:uid="{00000000-0005-0000-0000-0000E1800000}"/>
    <cellStyle name="60% - Accent5 2 2 2 4 3 2 2" xfId="18742" xr:uid="{00000000-0005-0000-0000-0000E2800000}"/>
    <cellStyle name="60% - Accent5 2 2 2 4 3 2 2 2" xfId="39222" xr:uid="{00000000-0005-0000-0000-0000E3800000}"/>
    <cellStyle name="60% - Accent5 2 2 2 4 3 2 3" xfId="28982" xr:uid="{00000000-0005-0000-0000-0000E4800000}"/>
    <cellStyle name="60% - Accent5 2 2 2 4 3 3" xfId="13622" xr:uid="{00000000-0005-0000-0000-0000E5800000}"/>
    <cellStyle name="60% - Accent5 2 2 2 4 3 3 2" xfId="34102" xr:uid="{00000000-0005-0000-0000-0000E6800000}"/>
    <cellStyle name="60% - Accent5 2 2 2 4 3 4" xfId="23862" xr:uid="{00000000-0005-0000-0000-0000E7800000}"/>
    <cellStyle name="60% - Accent5 2 2 2 4 4" xfId="5942" xr:uid="{00000000-0005-0000-0000-0000E8800000}"/>
    <cellStyle name="60% - Accent5 2 2 2 4 4 2" xfId="16182" xr:uid="{00000000-0005-0000-0000-0000E9800000}"/>
    <cellStyle name="60% - Accent5 2 2 2 4 4 2 2" xfId="36662" xr:uid="{00000000-0005-0000-0000-0000EA800000}"/>
    <cellStyle name="60% - Accent5 2 2 2 4 4 3" xfId="26422" xr:uid="{00000000-0005-0000-0000-0000EB800000}"/>
    <cellStyle name="60% - Accent5 2 2 2 4 5" xfId="11062" xr:uid="{00000000-0005-0000-0000-0000EC800000}"/>
    <cellStyle name="60% - Accent5 2 2 2 4 5 2" xfId="31542" xr:uid="{00000000-0005-0000-0000-0000ED800000}"/>
    <cellStyle name="60% - Accent5 2 2 2 4 6" xfId="21302" xr:uid="{00000000-0005-0000-0000-0000EE800000}"/>
    <cellStyle name="60% - Accent5 2 2 2 5" xfId="1462" xr:uid="{00000000-0005-0000-0000-0000EF800000}"/>
    <cellStyle name="60% - Accent5 2 2 2 5 2" xfId="4022" xr:uid="{00000000-0005-0000-0000-0000F0800000}"/>
    <cellStyle name="60% - Accent5 2 2 2 5 2 2" xfId="9142" xr:uid="{00000000-0005-0000-0000-0000F1800000}"/>
    <cellStyle name="60% - Accent5 2 2 2 5 2 2 2" xfId="19382" xr:uid="{00000000-0005-0000-0000-0000F2800000}"/>
    <cellStyle name="60% - Accent5 2 2 2 5 2 2 2 2" xfId="39862" xr:uid="{00000000-0005-0000-0000-0000F3800000}"/>
    <cellStyle name="60% - Accent5 2 2 2 5 2 2 3" xfId="29622" xr:uid="{00000000-0005-0000-0000-0000F4800000}"/>
    <cellStyle name="60% - Accent5 2 2 2 5 2 3" xfId="14262" xr:uid="{00000000-0005-0000-0000-0000F5800000}"/>
    <cellStyle name="60% - Accent5 2 2 2 5 2 3 2" xfId="34742" xr:uid="{00000000-0005-0000-0000-0000F6800000}"/>
    <cellStyle name="60% - Accent5 2 2 2 5 2 4" xfId="24502" xr:uid="{00000000-0005-0000-0000-0000F7800000}"/>
    <cellStyle name="60% - Accent5 2 2 2 5 3" xfId="6582" xr:uid="{00000000-0005-0000-0000-0000F8800000}"/>
    <cellStyle name="60% - Accent5 2 2 2 5 3 2" xfId="16822" xr:uid="{00000000-0005-0000-0000-0000F9800000}"/>
    <cellStyle name="60% - Accent5 2 2 2 5 3 2 2" xfId="37302" xr:uid="{00000000-0005-0000-0000-0000FA800000}"/>
    <cellStyle name="60% - Accent5 2 2 2 5 3 3" xfId="27062" xr:uid="{00000000-0005-0000-0000-0000FB800000}"/>
    <cellStyle name="60% - Accent5 2 2 2 5 4" xfId="11702" xr:uid="{00000000-0005-0000-0000-0000FC800000}"/>
    <cellStyle name="60% - Accent5 2 2 2 5 4 2" xfId="32182" xr:uid="{00000000-0005-0000-0000-0000FD800000}"/>
    <cellStyle name="60% - Accent5 2 2 2 5 5" xfId="21942" xr:uid="{00000000-0005-0000-0000-0000FE800000}"/>
    <cellStyle name="60% - Accent5 2 2 2 6" xfId="2742" xr:uid="{00000000-0005-0000-0000-0000FF800000}"/>
    <cellStyle name="60% - Accent5 2 2 2 6 2" xfId="7862" xr:uid="{00000000-0005-0000-0000-000000810000}"/>
    <cellStyle name="60% - Accent5 2 2 2 6 2 2" xfId="18102" xr:uid="{00000000-0005-0000-0000-000001810000}"/>
    <cellStyle name="60% - Accent5 2 2 2 6 2 2 2" xfId="38582" xr:uid="{00000000-0005-0000-0000-000002810000}"/>
    <cellStyle name="60% - Accent5 2 2 2 6 2 3" xfId="28342" xr:uid="{00000000-0005-0000-0000-000003810000}"/>
    <cellStyle name="60% - Accent5 2 2 2 6 3" xfId="12982" xr:uid="{00000000-0005-0000-0000-000004810000}"/>
    <cellStyle name="60% - Accent5 2 2 2 6 3 2" xfId="33462" xr:uid="{00000000-0005-0000-0000-000005810000}"/>
    <cellStyle name="60% - Accent5 2 2 2 6 4" xfId="23222" xr:uid="{00000000-0005-0000-0000-000006810000}"/>
    <cellStyle name="60% - Accent5 2 2 2 7" xfId="5302" xr:uid="{00000000-0005-0000-0000-000007810000}"/>
    <cellStyle name="60% - Accent5 2 2 2 7 2" xfId="15542" xr:uid="{00000000-0005-0000-0000-000008810000}"/>
    <cellStyle name="60% - Accent5 2 2 2 7 2 2" xfId="36022" xr:uid="{00000000-0005-0000-0000-000009810000}"/>
    <cellStyle name="60% - Accent5 2 2 2 7 3" xfId="25782" xr:uid="{00000000-0005-0000-0000-00000A810000}"/>
    <cellStyle name="60% - Accent5 2 2 2 8" xfId="10422" xr:uid="{00000000-0005-0000-0000-00000B810000}"/>
    <cellStyle name="60% - Accent5 2 2 2 8 2" xfId="30902" xr:uid="{00000000-0005-0000-0000-00000C810000}"/>
    <cellStyle name="60% - Accent5 2 2 2 9" xfId="20662" xr:uid="{00000000-0005-0000-0000-00000D810000}"/>
    <cellStyle name="60% - Accent5 2 2 3" xfId="262" xr:uid="{00000000-0005-0000-0000-00000E810000}"/>
    <cellStyle name="60% - Accent5 2 2 3 2" xfId="582" xr:uid="{00000000-0005-0000-0000-00000F810000}"/>
    <cellStyle name="60% - Accent5 2 2 3 2 2" xfId="1222" xr:uid="{00000000-0005-0000-0000-000010810000}"/>
    <cellStyle name="60% - Accent5 2 2 3 2 2 2" xfId="2502" xr:uid="{00000000-0005-0000-0000-000011810000}"/>
    <cellStyle name="60% - Accent5 2 2 3 2 2 2 2" xfId="5062" xr:uid="{00000000-0005-0000-0000-000012810000}"/>
    <cellStyle name="60% - Accent5 2 2 3 2 2 2 2 2" xfId="10182" xr:uid="{00000000-0005-0000-0000-000013810000}"/>
    <cellStyle name="60% - Accent5 2 2 3 2 2 2 2 2 2" xfId="20422" xr:uid="{00000000-0005-0000-0000-000014810000}"/>
    <cellStyle name="60% - Accent5 2 2 3 2 2 2 2 2 2 2" xfId="40902" xr:uid="{00000000-0005-0000-0000-000015810000}"/>
    <cellStyle name="60% - Accent5 2 2 3 2 2 2 2 2 3" xfId="30662" xr:uid="{00000000-0005-0000-0000-000016810000}"/>
    <cellStyle name="60% - Accent5 2 2 3 2 2 2 2 3" xfId="15302" xr:uid="{00000000-0005-0000-0000-000017810000}"/>
    <cellStyle name="60% - Accent5 2 2 3 2 2 2 2 3 2" xfId="35782" xr:uid="{00000000-0005-0000-0000-000018810000}"/>
    <cellStyle name="60% - Accent5 2 2 3 2 2 2 2 4" xfId="25542" xr:uid="{00000000-0005-0000-0000-000019810000}"/>
    <cellStyle name="60% - Accent5 2 2 3 2 2 2 3" xfId="7622" xr:uid="{00000000-0005-0000-0000-00001A810000}"/>
    <cellStyle name="60% - Accent5 2 2 3 2 2 2 3 2" xfId="17862" xr:uid="{00000000-0005-0000-0000-00001B810000}"/>
    <cellStyle name="60% - Accent5 2 2 3 2 2 2 3 2 2" xfId="38342" xr:uid="{00000000-0005-0000-0000-00001C810000}"/>
    <cellStyle name="60% - Accent5 2 2 3 2 2 2 3 3" xfId="28102" xr:uid="{00000000-0005-0000-0000-00001D810000}"/>
    <cellStyle name="60% - Accent5 2 2 3 2 2 2 4" xfId="12742" xr:uid="{00000000-0005-0000-0000-00001E810000}"/>
    <cellStyle name="60% - Accent5 2 2 3 2 2 2 4 2" xfId="33222" xr:uid="{00000000-0005-0000-0000-00001F810000}"/>
    <cellStyle name="60% - Accent5 2 2 3 2 2 2 5" xfId="22982" xr:uid="{00000000-0005-0000-0000-000020810000}"/>
    <cellStyle name="60% - Accent5 2 2 3 2 2 3" xfId="3782" xr:uid="{00000000-0005-0000-0000-000021810000}"/>
    <cellStyle name="60% - Accent5 2 2 3 2 2 3 2" xfId="8902" xr:uid="{00000000-0005-0000-0000-000022810000}"/>
    <cellStyle name="60% - Accent5 2 2 3 2 2 3 2 2" xfId="19142" xr:uid="{00000000-0005-0000-0000-000023810000}"/>
    <cellStyle name="60% - Accent5 2 2 3 2 2 3 2 2 2" xfId="39622" xr:uid="{00000000-0005-0000-0000-000024810000}"/>
    <cellStyle name="60% - Accent5 2 2 3 2 2 3 2 3" xfId="29382" xr:uid="{00000000-0005-0000-0000-000025810000}"/>
    <cellStyle name="60% - Accent5 2 2 3 2 2 3 3" xfId="14022" xr:uid="{00000000-0005-0000-0000-000026810000}"/>
    <cellStyle name="60% - Accent5 2 2 3 2 2 3 3 2" xfId="34502" xr:uid="{00000000-0005-0000-0000-000027810000}"/>
    <cellStyle name="60% - Accent5 2 2 3 2 2 3 4" xfId="24262" xr:uid="{00000000-0005-0000-0000-000028810000}"/>
    <cellStyle name="60% - Accent5 2 2 3 2 2 4" xfId="6342" xr:uid="{00000000-0005-0000-0000-000029810000}"/>
    <cellStyle name="60% - Accent5 2 2 3 2 2 4 2" xfId="16582" xr:uid="{00000000-0005-0000-0000-00002A810000}"/>
    <cellStyle name="60% - Accent5 2 2 3 2 2 4 2 2" xfId="37062" xr:uid="{00000000-0005-0000-0000-00002B810000}"/>
    <cellStyle name="60% - Accent5 2 2 3 2 2 4 3" xfId="26822" xr:uid="{00000000-0005-0000-0000-00002C810000}"/>
    <cellStyle name="60% - Accent5 2 2 3 2 2 5" xfId="11462" xr:uid="{00000000-0005-0000-0000-00002D810000}"/>
    <cellStyle name="60% - Accent5 2 2 3 2 2 5 2" xfId="31942" xr:uid="{00000000-0005-0000-0000-00002E810000}"/>
    <cellStyle name="60% - Accent5 2 2 3 2 2 6" xfId="21702" xr:uid="{00000000-0005-0000-0000-00002F810000}"/>
    <cellStyle name="60% - Accent5 2 2 3 2 3" xfId="1862" xr:uid="{00000000-0005-0000-0000-000030810000}"/>
    <cellStyle name="60% - Accent5 2 2 3 2 3 2" xfId="4422" xr:uid="{00000000-0005-0000-0000-000031810000}"/>
    <cellStyle name="60% - Accent5 2 2 3 2 3 2 2" xfId="9542" xr:uid="{00000000-0005-0000-0000-000032810000}"/>
    <cellStyle name="60% - Accent5 2 2 3 2 3 2 2 2" xfId="19782" xr:uid="{00000000-0005-0000-0000-000033810000}"/>
    <cellStyle name="60% - Accent5 2 2 3 2 3 2 2 2 2" xfId="40262" xr:uid="{00000000-0005-0000-0000-000034810000}"/>
    <cellStyle name="60% - Accent5 2 2 3 2 3 2 2 3" xfId="30022" xr:uid="{00000000-0005-0000-0000-000035810000}"/>
    <cellStyle name="60% - Accent5 2 2 3 2 3 2 3" xfId="14662" xr:uid="{00000000-0005-0000-0000-000036810000}"/>
    <cellStyle name="60% - Accent5 2 2 3 2 3 2 3 2" xfId="35142" xr:uid="{00000000-0005-0000-0000-000037810000}"/>
    <cellStyle name="60% - Accent5 2 2 3 2 3 2 4" xfId="24902" xr:uid="{00000000-0005-0000-0000-000038810000}"/>
    <cellStyle name="60% - Accent5 2 2 3 2 3 3" xfId="6982" xr:uid="{00000000-0005-0000-0000-000039810000}"/>
    <cellStyle name="60% - Accent5 2 2 3 2 3 3 2" xfId="17222" xr:uid="{00000000-0005-0000-0000-00003A810000}"/>
    <cellStyle name="60% - Accent5 2 2 3 2 3 3 2 2" xfId="37702" xr:uid="{00000000-0005-0000-0000-00003B810000}"/>
    <cellStyle name="60% - Accent5 2 2 3 2 3 3 3" xfId="27462" xr:uid="{00000000-0005-0000-0000-00003C810000}"/>
    <cellStyle name="60% - Accent5 2 2 3 2 3 4" xfId="12102" xr:uid="{00000000-0005-0000-0000-00003D810000}"/>
    <cellStyle name="60% - Accent5 2 2 3 2 3 4 2" xfId="32582" xr:uid="{00000000-0005-0000-0000-00003E810000}"/>
    <cellStyle name="60% - Accent5 2 2 3 2 3 5" xfId="22342" xr:uid="{00000000-0005-0000-0000-00003F810000}"/>
    <cellStyle name="60% - Accent5 2 2 3 2 4" xfId="3142" xr:uid="{00000000-0005-0000-0000-000040810000}"/>
    <cellStyle name="60% - Accent5 2 2 3 2 4 2" xfId="8262" xr:uid="{00000000-0005-0000-0000-000041810000}"/>
    <cellStyle name="60% - Accent5 2 2 3 2 4 2 2" xfId="18502" xr:uid="{00000000-0005-0000-0000-000042810000}"/>
    <cellStyle name="60% - Accent5 2 2 3 2 4 2 2 2" xfId="38982" xr:uid="{00000000-0005-0000-0000-000043810000}"/>
    <cellStyle name="60% - Accent5 2 2 3 2 4 2 3" xfId="28742" xr:uid="{00000000-0005-0000-0000-000044810000}"/>
    <cellStyle name="60% - Accent5 2 2 3 2 4 3" xfId="13382" xr:uid="{00000000-0005-0000-0000-000045810000}"/>
    <cellStyle name="60% - Accent5 2 2 3 2 4 3 2" xfId="33862" xr:uid="{00000000-0005-0000-0000-000046810000}"/>
    <cellStyle name="60% - Accent5 2 2 3 2 4 4" xfId="23622" xr:uid="{00000000-0005-0000-0000-000047810000}"/>
    <cellStyle name="60% - Accent5 2 2 3 2 5" xfId="5702" xr:uid="{00000000-0005-0000-0000-000048810000}"/>
    <cellStyle name="60% - Accent5 2 2 3 2 5 2" xfId="15942" xr:uid="{00000000-0005-0000-0000-000049810000}"/>
    <cellStyle name="60% - Accent5 2 2 3 2 5 2 2" xfId="36422" xr:uid="{00000000-0005-0000-0000-00004A810000}"/>
    <cellStyle name="60% - Accent5 2 2 3 2 5 3" xfId="26182" xr:uid="{00000000-0005-0000-0000-00004B810000}"/>
    <cellStyle name="60% - Accent5 2 2 3 2 6" xfId="10822" xr:uid="{00000000-0005-0000-0000-00004C810000}"/>
    <cellStyle name="60% - Accent5 2 2 3 2 6 2" xfId="31302" xr:uid="{00000000-0005-0000-0000-00004D810000}"/>
    <cellStyle name="60% - Accent5 2 2 3 2 7" xfId="21062" xr:uid="{00000000-0005-0000-0000-00004E810000}"/>
    <cellStyle name="60% - Accent5 2 2 3 3" xfId="902" xr:uid="{00000000-0005-0000-0000-00004F810000}"/>
    <cellStyle name="60% - Accent5 2 2 3 3 2" xfId="2182" xr:uid="{00000000-0005-0000-0000-000050810000}"/>
    <cellStyle name="60% - Accent5 2 2 3 3 2 2" xfId="4742" xr:uid="{00000000-0005-0000-0000-000051810000}"/>
    <cellStyle name="60% - Accent5 2 2 3 3 2 2 2" xfId="9862" xr:uid="{00000000-0005-0000-0000-000052810000}"/>
    <cellStyle name="60% - Accent5 2 2 3 3 2 2 2 2" xfId="20102" xr:uid="{00000000-0005-0000-0000-000053810000}"/>
    <cellStyle name="60% - Accent5 2 2 3 3 2 2 2 2 2" xfId="40582" xr:uid="{00000000-0005-0000-0000-000054810000}"/>
    <cellStyle name="60% - Accent5 2 2 3 3 2 2 2 3" xfId="30342" xr:uid="{00000000-0005-0000-0000-000055810000}"/>
    <cellStyle name="60% - Accent5 2 2 3 3 2 2 3" xfId="14982" xr:uid="{00000000-0005-0000-0000-000056810000}"/>
    <cellStyle name="60% - Accent5 2 2 3 3 2 2 3 2" xfId="35462" xr:uid="{00000000-0005-0000-0000-000057810000}"/>
    <cellStyle name="60% - Accent5 2 2 3 3 2 2 4" xfId="25222" xr:uid="{00000000-0005-0000-0000-000058810000}"/>
    <cellStyle name="60% - Accent5 2 2 3 3 2 3" xfId="7302" xr:uid="{00000000-0005-0000-0000-000059810000}"/>
    <cellStyle name="60% - Accent5 2 2 3 3 2 3 2" xfId="17542" xr:uid="{00000000-0005-0000-0000-00005A810000}"/>
    <cellStyle name="60% - Accent5 2 2 3 3 2 3 2 2" xfId="38022" xr:uid="{00000000-0005-0000-0000-00005B810000}"/>
    <cellStyle name="60% - Accent5 2 2 3 3 2 3 3" xfId="27782" xr:uid="{00000000-0005-0000-0000-00005C810000}"/>
    <cellStyle name="60% - Accent5 2 2 3 3 2 4" xfId="12422" xr:uid="{00000000-0005-0000-0000-00005D810000}"/>
    <cellStyle name="60% - Accent5 2 2 3 3 2 4 2" xfId="32902" xr:uid="{00000000-0005-0000-0000-00005E810000}"/>
    <cellStyle name="60% - Accent5 2 2 3 3 2 5" xfId="22662" xr:uid="{00000000-0005-0000-0000-00005F810000}"/>
    <cellStyle name="60% - Accent5 2 2 3 3 3" xfId="3462" xr:uid="{00000000-0005-0000-0000-000060810000}"/>
    <cellStyle name="60% - Accent5 2 2 3 3 3 2" xfId="8582" xr:uid="{00000000-0005-0000-0000-000061810000}"/>
    <cellStyle name="60% - Accent5 2 2 3 3 3 2 2" xfId="18822" xr:uid="{00000000-0005-0000-0000-000062810000}"/>
    <cellStyle name="60% - Accent5 2 2 3 3 3 2 2 2" xfId="39302" xr:uid="{00000000-0005-0000-0000-000063810000}"/>
    <cellStyle name="60% - Accent5 2 2 3 3 3 2 3" xfId="29062" xr:uid="{00000000-0005-0000-0000-000064810000}"/>
    <cellStyle name="60% - Accent5 2 2 3 3 3 3" xfId="13702" xr:uid="{00000000-0005-0000-0000-000065810000}"/>
    <cellStyle name="60% - Accent5 2 2 3 3 3 3 2" xfId="34182" xr:uid="{00000000-0005-0000-0000-000066810000}"/>
    <cellStyle name="60% - Accent5 2 2 3 3 3 4" xfId="23942" xr:uid="{00000000-0005-0000-0000-000067810000}"/>
    <cellStyle name="60% - Accent5 2 2 3 3 4" xfId="6022" xr:uid="{00000000-0005-0000-0000-000068810000}"/>
    <cellStyle name="60% - Accent5 2 2 3 3 4 2" xfId="16262" xr:uid="{00000000-0005-0000-0000-000069810000}"/>
    <cellStyle name="60% - Accent5 2 2 3 3 4 2 2" xfId="36742" xr:uid="{00000000-0005-0000-0000-00006A810000}"/>
    <cellStyle name="60% - Accent5 2 2 3 3 4 3" xfId="26502" xr:uid="{00000000-0005-0000-0000-00006B810000}"/>
    <cellStyle name="60% - Accent5 2 2 3 3 5" xfId="11142" xr:uid="{00000000-0005-0000-0000-00006C810000}"/>
    <cellStyle name="60% - Accent5 2 2 3 3 5 2" xfId="31622" xr:uid="{00000000-0005-0000-0000-00006D810000}"/>
    <cellStyle name="60% - Accent5 2 2 3 3 6" xfId="21382" xr:uid="{00000000-0005-0000-0000-00006E810000}"/>
    <cellStyle name="60% - Accent5 2 2 3 4" xfId="1542" xr:uid="{00000000-0005-0000-0000-00006F810000}"/>
    <cellStyle name="60% - Accent5 2 2 3 4 2" xfId="4102" xr:uid="{00000000-0005-0000-0000-000070810000}"/>
    <cellStyle name="60% - Accent5 2 2 3 4 2 2" xfId="9222" xr:uid="{00000000-0005-0000-0000-000071810000}"/>
    <cellStyle name="60% - Accent5 2 2 3 4 2 2 2" xfId="19462" xr:uid="{00000000-0005-0000-0000-000072810000}"/>
    <cellStyle name="60% - Accent5 2 2 3 4 2 2 2 2" xfId="39942" xr:uid="{00000000-0005-0000-0000-000073810000}"/>
    <cellStyle name="60% - Accent5 2 2 3 4 2 2 3" xfId="29702" xr:uid="{00000000-0005-0000-0000-000074810000}"/>
    <cellStyle name="60% - Accent5 2 2 3 4 2 3" xfId="14342" xr:uid="{00000000-0005-0000-0000-000075810000}"/>
    <cellStyle name="60% - Accent5 2 2 3 4 2 3 2" xfId="34822" xr:uid="{00000000-0005-0000-0000-000076810000}"/>
    <cellStyle name="60% - Accent5 2 2 3 4 2 4" xfId="24582" xr:uid="{00000000-0005-0000-0000-000077810000}"/>
    <cellStyle name="60% - Accent5 2 2 3 4 3" xfId="6662" xr:uid="{00000000-0005-0000-0000-000078810000}"/>
    <cellStyle name="60% - Accent5 2 2 3 4 3 2" xfId="16902" xr:uid="{00000000-0005-0000-0000-000079810000}"/>
    <cellStyle name="60% - Accent5 2 2 3 4 3 2 2" xfId="37382" xr:uid="{00000000-0005-0000-0000-00007A810000}"/>
    <cellStyle name="60% - Accent5 2 2 3 4 3 3" xfId="27142" xr:uid="{00000000-0005-0000-0000-00007B810000}"/>
    <cellStyle name="60% - Accent5 2 2 3 4 4" xfId="11782" xr:uid="{00000000-0005-0000-0000-00007C810000}"/>
    <cellStyle name="60% - Accent5 2 2 3 4 4 2" xfId="32262" xr:uid="{00000000-0005-0000-0000-00007D810000}"/>
    <cellStyle name="60% - Accent5 2 2 3 4 5" xfId="22022" xr:uid="{00000000-0005-0000-0000-00007E810000}"/>
    <cellStyle name="60% - Accent5 2 2 3 5" xfId="2822" xr:uid="{00000000-0005-0000-0000-00007F810000}"/>
    <cellStyle name="60% - Accent5 2 2 3 5 2" xfId="7942" xr:uid="{00000000-0005-0000-0000-000080810000}"/>
    <cellStyle name="60% - Accent5 2 2 3 5 2 2" xfId="18182" xr:uid="{00000000-0005-0000-0000-000081810000}"/>
    <cellStyle name="60% - Accent5 2 2 3 5 2 2 2" xfId="38662" xr:uid="{00000000-0005-0000-0000-000082810000}"/>
    <cellStyle name="60% - Accent5 2 2 3 5 2 3" xfId="28422" xr:uid="{00000000-0005-0000-0000-000083810000}"/>
    <cellStyle name="60% - Accent5 2 2 3 5 3" xfId="13062" xr:uid="{00000000-0005-0000-0000-000084810000}"/>
    <cellStyle name="60% - Accent5 2 2 3 5 3 2" xfId="33542" xr:uid="{00000000-0005-0000-0000-000085810000}"/>
    <cellStyle name="60% - Accent5 2 2 3 5 4" xfId="23302" xr:uid="{00000000-0005-0000-0000-000086810000}"/>
    <cellStyle name="60% - Accent5 2 2 3 6" xfId="5382" xr:uid="{00000000-0005-0000-0000-000087810000}"/>
    <cellStyle name="60% - Accent5 2 2 3 6 2" xfId="15622" xr:uid="{00000000-0005-0000-0000-000088810000}"/>
    <cellStyle name="60% - Accent5 2 2 3 6 2 2" xfId="36102" xr:uid="{00000000-0005-0000-0000-000089810000}"/>
    <cellStyle name="60% - Accent5 2 2 3 6 3" xfId="25862" xr:uid="{00000000-0005-0000-0000-00008A810000}"/>
    <cellStyle name="60% - Accent5 2 2 3 7" xfId="10502" xr:uid="{00000000-0005-0000-0000-00008B810000}"/>
    <cellStyle name="60% - Accent5 2 2 3 7 2" xfId="30982" xr:uid="{00000000-0005-0000-0000-00008C810000}"/>
    <cellStyle name="60% - Accent5 2 2 3 8" xfId="20742" xr:uid="{00000000-0005-0000-0000-00008D810000}"/>
    <cellStyle name="60% - Accent5 2 2 4" xfId="422" xr:uid="{00000000-0005-0000-0000-00008E810000}"/>
    <cellStyle name="60% - Accent5 2 2 4 2" xfId="1062" xr:uid="{00000000-0005-0000-0000-00008F810000}"/>
    <cellStyle name="60% - Accent5 2 2 4 2 2" xfId="2342" xr:uid="{00000000-0005-0000-0000-000090810000}"/>
    <cellStyle name="60% - Accent5 2 2 4 2 2 2" xfId="4902" xr:uid="{00000000-0005-0000-0000-000091810000}"/>
    <cellStyle name="60% - Accent5 2 2 4 2 2 2 2" xfId="10022" xr:uid="{00000000-0005-0000-0000-000092810000}"/>
    <cellStyle name="60% - Accent5 2 2 4 2 2 2 2 2" xfId="20262" xr:uid="{00000000-0005-0000-0000-000093810000}"/>
    <cellStyle name="60% - Accent5 2 2 4 2 2 2 2 2 2" xfId="40742" xr:uid="{00000000-0005-0000-0000-000094810000}"/>
    <cellStyle name="60% - Accent5 2 2 4 2 2 2 2 3" xfId="30502" xr:uid="{00000000-0005-0000-0000-000095810000}"/>
    <cellStyle name="60% - Accent5 2 2 4 2 2 2 3" xfId="15142" xr:uid="{00000000-0005-0000-0000-000096810000}"/>
    <cellStyle name="60% - Accent5 2 2 4 2 2 2 3 2" xfId="35622" xr:uid="{00000000-0005-0000-0000-000097810000}"/>
    <cellStyle name="60% - Accent5 2 2 4 2 2 2 4" xfId="25382" xr:uid="{00000000-0005-0000-0000-000098810000}"/>
    <cellStyle name="60% - Accent5 2 2 4 2 2 3" xfId="7462" xr:uid="{00000000-0005-0000-0000-000099810000}"/>
    <cellStyle name="60% - Accent5 2 2 4 2 2 3 2" xfId="17702" xr:uid="{00000000-0005-0000-0000-00009A810000}"/>
    <cellStyle name="60% - Accent5 2 2 4 2 2 3 2 2" xfId="38182" xr:uid="{00000000-0005-0000-0000-00009B810000}"/>
    <cellStyle name="60% - Accent5 2 2 4 2 2 3 3" xfId="27942" xr:uid="{00000000-0005-0000-0000-00009C810000}"/>
    <cellStyle name="60% - Accent5 2 2 4 2 2 4" xfId="12582" xr:uid="{00000000-0005-0000-0000-00009D810000}"/>
    <cellStyle name="60% - Accent5 2 2 4 2 2 4 2" xfId="33062" xr:uid="{00000000-0005-0000-0000-00009E810000}"/>
    <cellStyle name="60% - Accent5 2 2 4 2 2 5" xfId="22822" xr:uid="{00000000-0005-0000-0000-00009F810000}"/>
    <cellStyle name="60% - Accent5 2 2 4 2 3" xfId="3622" xr:uid="{00000000-0005-0000-0000-0000A0810000}"/>
    <cellStyle name="60% - Accent5 2 2 4 2 3 2" xfId="8742" xr:uid="{00000000-0005-0000-0000-0000A1810000}"/>
    <cellStyle name="60% - Accent5 2 2 4 2 3 2 2" xfId="18982" xr:uid="{00000000-0005-0000-0000-0000A2810000}"/>
    <cellStyle name="60% - Accent5 2 2 4 2 3 2 2 2" xfId="39462" xr:uid="{00000000-0005-0000-0000-0000A3810000}"/>
    <cellStyle name="60% - Accent5 2 2 4 2 3 2 3" xfId="29222" xr:uid="{00000000-0005-0000-0000-0000A4810000}"/>
    <cellStyle name="60% - Accent5 2 2 4 2 3 3" xfId="13862" xr:uid="{00000000-0005-0000-0000-0000A5810000}"/>
    <cellStyle name="60% - Accent5 2 2 4 2 3 3 2" xfId="34342" xr:uid="{00000000-0005-0000-0000-0000A6810000}"/>
    <cellStyle name="60% - Accent5 2 2 4 2 3 4" xfId="24102" xr:uid="{00000000-0005-0000-0000-0000A7810000}"/>
    <cellStyle name="60% - Accent5 2 2 4 2 4" xfId="6182" xr:uid="{00000000-0005-0000-0000-0000A8810000}"/>
    <cellStyle name="60% - Accent5 2 2 4 2 4 2" xfId="16422" xr:uid="{00000000-0005-0000-0000-0000A9810000}"/>
    <cellStyle name="60% - Accent5 2 2 4 2 4 2 2" xfId="36902" xr:uid="{00000000-0005-0000-0000-0000AA810000}"/>
    <cellStyle name="60% - Accent5 2 2 4 2 4 3" xfId="26662" xr:uid="{00000000-0005-0000-0000-0000AB810000}"/>
    <cellStyle name="60% - Accent5 2 2 4 2 5" xfId="11302" xr:uid="{00000000-0005-0000-0000-0000AC810000}"/>
    <cellStyle name="60% - Accent5 2 2 4 2 5 2" xfId="31782" xr:uid="{00000000-0005-0000-0000-0000AD810000}"/>
    <cellStyle name="60% - Accent5 2 2 4 2 6" xfId="21542" xr:uid="{00000000-0005-0000-0000-0000AE810000}"/>
    <cellStyle name="60% - Accent5 2 2 4 3" xfId="1702" xr:uid="{00000000-0005-0000-0000-0000AF810000}"/>
    <cellStyle name="60% - Accent5 2 2 4 3 2" xfId="4262" xr:uid="{00000000-0005-0000-0000-0000B0810000}"/>
    <cellStyle name="60% - Accent5 2 2 4 3 2 2" xfId="9382" xr:uid="{00000000-0005-0000-0000-0000B1810000}"/>
    <cellStyle name="60% - Accent5 2 2 4 3 2 2 2" xfId="19622" xr:uid="{00000000-0005-0000-0000-0000B2810000}"/>
    <cellStyle name="60% - Accent5 2 2 4 3 2 2 2 2" xfId="40102" xr:uid="{00000000-0005-0000-0000-0000B3810000}"/>
    <cellStyle name="60% - Accent5 2 2 4 3 2 2 3" xfId="29862" xr:uid="{00000000-0005-0000-0000-0000B4810000}"/>
    <cellStyle name="60% - Accent5 2 2 4 3 2 3" xfId="14502" xr:uid="{00000000-0005-0000-0000-0000B5810000}"/>
    <cellStyle name="60% - Accent5 2 2 4 3 2 3 2" xfId="34982" xr:uid="{00000000-0005-0000-0000-0000B6810000}"/>
    <cellStyle name="60% - Accent5 2 2 4 3 2 4" xfId="24742" xr:uid="{00000000-0005-0000-0000-0000B7810000}"/>
    <cellStyle name="60% - Accent5 2 2 4 3 3" xfId="6822" xr:uid="{00000000-0005-0000-0000-0000B8810000}"/>
    <cellStyle name="60% - Accent5 2 2 4 3 3 2" xfId="17062" xr:uid="{00000000-0005-0000-0000-0000B9810000}"/>
    <cellStyle name="60% - Accent5 2 2 4 3 3 2 2" xfId="37542" xr:uid="{00000000-0005-0000-0000-0000BA810000}"/>
    <cellStyle name="60% - Accent5 2 2 4 3 3 3" xfId="27302" xr:uid="{00000000-0005-0000-0000-0000BB810000}"/>
    <cellStyle name="60% - Accent5 2 2 4 3 4" xfId="11942" xr:uid="{00000000-0005-0000-0000-0000BC810000}"/>
    <cellStyle name="60% - Accent5 2 2 4 3 4 2" xfId="32422" xr:uid="{00000000-0005-0000-0000-0000BD810000}"/>
    <cellStyle name="60% - Accent5 2 2 4 3 5" xfId="22182" xr:uid="{00000000-0005-0000-0000-0000BE810000}"/>
    <cellStyle name="60% - Accent5 2 2 4 4" xfId="2982" xr:uid="{00000000-0005-0000-0000-0000BF810000}"/>
    <cellStyle name="60% - Accent5 2 2 4 4 2" xfId="8102" xr:uid="{00000000-0005-0000-0000-0000C0810000}"/>
    <cellStyle name="60% - Accent5 2 2 4 4 2 2" xfId="18342" xr:uid="{00000000-0005-0000-0000-0000C1810000}"/>
    <cellStyle name="60% - Accent5 2 2 4 4 2 2 2" xfId="38822" xr:uid="{00000000-0005-0000-0000-0000C2810000}"/>
    <cellStyle name="60% - Accent5 2 2 4 4 2 3" xfId="28582" xr:uid="{00000000-0005-0000-0000-0000C3810000}"/>
    <cellStyle name="60% - Accent5 2 2 4 4 3" xfId="13222" xr:uid="{00000000-0005-0000-0000-0000C4810000}"/>
    <cellStyle name="60% - Accent5 2 2 4 4 3 2" xfId="33702" xr:uid="{00000000-0005-0000-0000-0000C5810000}"/>
    <cellStyle name="60% - Accent5 2 2 4 4 4" xfId="23462" xr:uid="{00000000-0005-0000-0000-0000C6810000}"/>
    <cellStyle name="60% - Accent5 2 2 4 5" xfId="5542" xr:uid="{00000000-0005-0000-0000-0000C7810000}"/>
    <cellStyle name="60% - Accent5 2 2 4 5 2" xfId="15782" xr:uid="{00000000-0005-0000-0000-0000C8810000}"/>
    <cellStyle name="60% - Accent5 2 2 4 5 2 2" xfId="36262" xr:uid="{00000000-0005-0000-0000-0000C9810000}"/>
    <cellStyle name="60% - Accent5 2 2 4 5 3" xfId="26022" xr:uid="{00000000-0005-0000-0000-0000CA810000}"/>
    <cellStyle name="60% - Accent5 2 2 4 6" xfId="10662" xr:uid="{00000000-0005-0000-0000-0000CB810000}"/>
    <cellStyle name="60% - Accent5 2 2 4 6 2" xfId="31142" xr:uid="{00000000-0005-0000-0000-0000CC810000}"/>
    <cellStyle name="60% - Accent5 2 2 4 7" xfId="20902" xr:uid="{00000000-0005-0000-0000-0000CD810000}"/>
    <cellStyle name="60% - Accent5 2 2 5" xfId="742" xr:uid="{00000000-0005-0000-0000-0000CE810000}"/>
    <cellStyle name="60% - Accent5 2 2 5 2" xfId="2022" xr:uid="{00000000-0005-0000-0000-0000CF810000}"/>
    <cellStyle name="60% - Accent5 2 2 5 2 2" xfId="4582" xr:uid="{00000000-0005-0000-0000-0000D0810000}"/>
    <cellStyle name="60% - Accent5 2 2 5 2 2 2" xfId="9702" xr:uid="{00000000-0005-0000-0000-0000D1810000}"/>
    <cellStyle name="60% - Accent5 2 2 5 2 2 2 2" xfId="19942" xr:uid="{00000000-0005-0000-0000-0000D2810000}"/>
    <cellStyle name="60% - Accent5 2 2 5 2 2 2 2 2" xfId="40422" xr:uid="{00000000-0005-0000-0000-0000D3810000}"/>
    <cellStyle name="60% - Accent5 2 2 5 2 2 2 3" xfId="30182" xr:uid="{00000000-0005-0000-0000-0000D4810000}"/>
    <cellStyle name="60% - Accent5 2 2 5 2 2 3" xfId="14822" xr:uid="{00000000-0005-0000-0000-0000D5810000}"/>
    <cellStyle name="60% - Accent5 2 2 5 2 2 3 2" xfId="35302" xr:uid="{00000000-0005-0000-0000-0000D6810000}"/>
    <cellStyle name="60% - Accent5 2 2 5 2 2 4" xfId="25062" xr:uid="{00000000-0005-0000-0000-0000D7810000}"/>
    <cellStyle name="60% - Accent5 2 2 5 2 3" xfId="7142" xr:uid="{00000000-0005-0000-0000-0000D8810000}"/>
    <cellStyle name="60% - Accent5 2 2 5 2 3 2" xfId="17382" xr:uid="{00000000-0005-0000-0000-0000D9810000}"/>
    <cellStyle name="60% - Accent5 2 2 5 2 3 2 2" xfId="37862" xr:uid="{00000000-0005-0000-0000-0000DA810000}"/>
    <cellStyle name="60% - Accent5 2 2 5 2 3 3" xfId="27622" xr:uid="{00000000-0005-0000-0000-0000DB810000}"/>
    <cellStyle name="60% - Accent5 2 2 5 2 4" xfId="12262" xr:uid="{00000000-0005-0000-0000-0000DC810000}"/>
    <cellStyle name="60% - Accent5 2 2 5 2 4 2" xfId="32742" xr:uid="{00000000-0005-0000-0000-0000DD810000}"/>
    <cellStyle name="60% - Accent5 2 2 5 2 5" xfId="22502" xr:uid="{00000000-0005-0000-0000-0000DE810000}"/>
    <cellStyle name="60% - Accent5 2 2 5 3" xfId="3302" xr:uid="{00000000-0005-0000-0000-0000DF810000}"/>
    <cellStyle name="60% - Accent5 2 2 5 3 2" xfId="8422" xr:uid="{00000000-0005-0000-0000-0000E0810000}"/>
    <cellStyle name="60% - Accent5 2 2 5 3 2 2" xfId="18662" xr:uid="{00000000-0005-0000-0000-0000E1810000}"/>
    <cellStyle name="60% - Accent5 2 2 5 3 2 2 2" xfId="39142" xr:uid="{00000000-0005-0000-0000-0000E2810000}"/>
    <cellStyle name="60% - Accent5 2 2 5 3 2 3" xfId="28902" xr:uid="{00000000-0005-0000-0000-0000E3810000}"/>
    <cellStyle name="60% - Accent5 2 2 5 3 3" xfId="13542" xr:uid="{00000000-0005-0000-0000-0000E4810000}"/>
    <cellStyle name="60% - Accent5 2 2 5 3 3 2" xfId="34022" xr:uid="{00000000-0005-0000-0000-0000E5810000}"/>
    <cellStyle name="60% - Accent5 2 2 5 3 4" xfId="23782" xr:uid="{00000000-0005-0000-0000-0000E6810000}"/>
    <cellStyle name="60% - Accent5 2 2 5 4" xfId="5862" xr:uid="{00000000-0005-0000-0000-0000E7810000}"/>
    <cellStyle name="60% - Accent5 2 2 5 4 2" xfId="16102" xr:uid="{00000000-0005-0000-0000-0000E8810000}"/>
    <cellStyle name="60% - Accent5 2 2 5 4 2 2" xfId="36582" xr:uid="{00000000-0005-0000-0000-0000E9810000}"/>
    <cellStyle name="60% - Accent5 2 2 5 4 3" xfId="26342" xr:uid="{00000000-0005-0000-0000-0000EA810000}"/>
    <cellStyle name="60% - Accent5 2 2 5 5" xfId="10982" xr:uid="{00000000-0005-0000-0000-0000EB810000}"/>
    <cellStyle name="60% - Accent5 2 2 5 5 2" xfId="31462" xr:uid="{00000000-0005-0000-0000-0000EC810000}"/>
    <cellStyle name="60% - Accent5 2 2 5 6" xfId="21222" xr:uid="{00000000-0005-0000-0000-0000ED810000}"/>
    <cellStyle name="60% - Accent5 2 2 6" xfId="1382" xr:uid="{00000000-0005-0000-0000-0000EE810000}"/>
    <cellStyle name="60% - Accent5 2 2 6 2" xfId="3942" xr:uid="{00000000-0005-0000-0000-0000EF810000}"/>
    <cellStyle name="60% - Accent5 2 2 6 2 2" xfId="9062" xr:uid="{00000000-0005-0000-0000-0000F0810000}"/>
    <cellStyle name="60% - Accent5 2 2 6 2 2 2" xfId="19302" xr:uid="{00000000-0005-0000-0000-0000F1810000}"/>
    <cellStyle name="60% - Accent5 2 2 6 2 2 2 2" xfId="39782" xr:uid="{00000000-0005-0000-0000-0000F2810000}"/>
    <cellStyle name="60% - Accent5 2 2 6 2 2 3" xfId="29542" xr:uid="{00000000-0005-0000-0000-0000F3810000}"/>
    <cellStyle name="60% - Accent5 2 2 6 2 3" xfId="14182" xr:uid="{00000000-0005-0000-0000-0000F4810000}"/>
    <cellStyle name="60% - Accent5 2 2 6 2 3 2" xfId="34662" xr:uid="{00000000-0005-0000-0000-0000F5810000}"/>
    <cellStyle name="60% - Accent5 2 2 6 2 4" xfId="24422" xr:uid="{00000000-0005-0000-0000-0000F6810000}"/>
    <cellStyle name="60% - Accent5 2 2 6 3" xfId="6502" xr:uid="{00000000-0005-0000-0000-0000F7810000}"/>
    <cellStyle name="60% - Accent5 2 2 6 3 2" xfId="16742" xr:uid="{00000000-0005-0000-0000-0000F8810000}"/>
    <cellStyle name="60% - Accent5 2 2 6 3 2 2" xfId="37222" xr:uid="{00000000-0005-0000-0000-0000F9810000}"/>
    <cellStyle name="60% - Accent5 2 2 6 3 3" xfId="26982" xr:uid="{00000000-0005-0000-0000-0000FA810000}"/>
    <cellStyle name="60% - Accent5 2 2 6 4" xfId="11622" xr:uid="{00000000-0005-0000-0000-0000FB810000}"/>
    <cellStyle name="60% - Accent5 2 2 6 4 2" xfId="32102" xr:uid="{00000000-0005-0000-0000-0000FC810000}"/>
    <cellStyle name="60% - Accent5 2 2 6 5" xfId="21862" xr:uid="{00000000-0005-0000-0000-0000FD810000}"/>
    <cellStyle name="60% - Accent5 2 2 7" xfId="2662" xr:uid="{00000000-0005-0000-0000-0000FE810000}"/>
    <cellStyle name="60% - Accent5 2 2 7 2" xfId="7782" xr:uid="{00000000-0005-0000-0000-0000FF810000}"/>
    <cellStyle name="60% - Accent5 2 2 7 2 2" xfId="18022" xr:uid="{00000000-0005-0000-0000-000000820000}"/>
    <cellStyle name="60% - Accent5 2 2 7 2 2 2" xfId="38502" xr:uid="{00000000-0005-0000-0000-000001820000}"/>
    <cellStyle name="60% - Accent5 2 2 7 2 3" xfId="28262" xr:uid="{00000000-0005-0000-0000-000002820000}"/>
    <cellStyle name="60% - Accent5 2 2 7 3" xfId="12902" xr:uid="{00000000-0005-0000-0000-000003820000}"/>
    <cellStyle name="60% - Accent5 2 2 7 3 2" xfId="33382" xr:uid="{00000000-0005-0000-0000-000004820000}"/>
    <cellStyle name="60% - Accent5 2 2 7 4" xfId="23142" xr:uid="{00000000-0005-0000-0000-000005820000}"/>
    <cellStyle name="60% - Accent5 2 2 8" xfId="5222" xr:uid="{00000000-0005-0000-0000-000006820000}"/>
    <cellStyle name="60% - Accent5 2 2 8 2" xfId="15462" xr:uid="{00000000-0005-0000-0000-000007820000}"/>
    <cellStyle name="60% - Accent5 2 2 8 2 2" xfId="35942" xr:uid="{00000000-0005-0000-0000-000008820000}"/>
    <cellStyle name="60% - Accent5 2 2 8 3" xfId="25702" xr:uid="{00000000-0005-0000-0000-000009820000}"/>
    <cellStyle name="60% - Accent5 2 2 9" xfId="10342" xr:uid="{00000000-0005-0000-0000-00000A820000}"/>
    <cellStyle name="60% - Accent5 2 2 9 2" xfId="30822" xr:uid="{00000000-0005-0000-0000-00000B820000}"/>
    <cellStyle name="60% - Accent5 2 3" xfId="142" xr:uid="{00000000-0005-0000-0000-00000C820000}"/>
    <cellStyle name="60% - Accent5 2 3 2" xfId="302" xr:uid="{00000000-0005-0000-0000-00000D820000}"/>
    <cellStyle name="60% - Accent5 2 3 2 2" xfId="622" xr:uid="{00000000-0005-0000-0000-00000E820000}"/>
    <cellStyle name="60% - Accent5 2 3 2 2 2" xfId="1262" xr:uid="{00000000-0005-0000-0000-00000F820000}"/>
    <cellStyle name="60% - Accent5 2 3 2 2 2 2" xfId="2542" xr:uid="{00000000-0005-0000-0000-000010820000}"/>
    <cellStyle name="60% - Accent5 2 3 2 2 2 2 2" xfId="5102" xr:uid="{00000000-0005-0000-0000-000011820000}"/>
    <cellStyle name="60% - Accent5 2 3 2 2 2 2 2 2" xfId="10222" xr:uid="{00000000-0005-0000-0000-000012820000}"/>
    <cellStyle name="60% - Accent5 2 3 2 2 2 2 2 2 2" xfId="20462" xr:uid="{00000000-0005-0000-0000-000013820000}"/>
    <cellStyle name="60% - Accent5 2 3 2 2 2 2 2 2 2 2" xfId="40942" xr:uid="{00000000-0005-0000-0000-000014820000}"/>
    <cellStyle name="60% - Accent5 2 3 2 2 2 2 2 2 3" xfId="30702" xr:uid="{00000000-0005-0000-0000-000015820000}"/>
    <cellStyle name="60% - Accent5 2 3 2 2 2 2 2 3" xfId="15342" xr:uid="{00000000-0005-0000-0000-000016820000}"/>
    <cellStyle name="60% - Accent5 2 3 2 2 2 2 2 3 2" xfId="35822" xr:uid="{00000000-0005-0000-0000-000017820000}"/>
    <cellStyle name="60% - Accent5 2 3 2 2 2 2 2 4" xfId="25582" xr:uid="{00000000-0005-0000-0000-000018820000}"/>
    <cellStyle name="60% - Accent5 2 3 2 2 2 2 3" xfId="7662" xr:uid="{00000000-0005-0000-0000-000019820000}"/>
    <cellStyle name="60% - Accent5 2 3 2 2 2 2 3 2" xfId="17902" xr:uid="{00000000-0005-0000-0000-00001A820000}"/>
    <cellStyle name="60% - Accent5 2 3 2 2 2 2 3 2 2" xfId="38382" xr:uid="{00000000-0005-0000-0000-00001B820000}"/>
    <cellStyle name="60% - Accent5 2 3 2 2 2 2 3 3" xfId="28142" xr:uid="{00000000-0005-0000-0000-00001C820000}"/>
    <cellStyle name="60% - Accent5 2 3 2 2 2 2 4" xfId="12782" xr:uid="{00000000-0005-0000-0000-00001D820000}"/>
    <cellStyle name="60% - Accent5 2 3 2 2 2 2 4 2" xfId="33262" xr:uid="{00000000-0005-0000-0000-00001E820000}"/>
    <cellStyle name="60% - Accent5 2 3 2 2 2 2 5" xfId="23022" xr:uid="{00000000-0005-0000-0000-00001F820000}"/>
    <cellStyle name="60% - Accent5 2 3 2 2 2 3" xfId="3822" xr:uid="{00000000-0005-0000-0000-000020820000}"/>
    <cellStyle name="60% - Accent5 2 3 2 2 2 3 2" xfId="8942" xr:uid="{00000000-0005-0000-0000-000021820000}"/>
    <cellStyle name="60% - Accent5 2 3 2 2 2 3 2 2" xfId="19182" xr:uid="{00000000-0005-0000-0000-000022820000}"/>
    <cellStyle name="60% - Accent5 2 3 2 2 2 3 2 2 2" xfId="39662" xr:uid="{00000000-0005-0000-0000-000023820000}"/>
    <cellStyle name="60% - Accent5 2 3 2 2 2 3 2 3" xfId="29422" xr:uid="{00000000-0005-0000-0000-000024820000}"/>
    <cellStyle name="60% - Accent5 2 3 2 2 2 3 3" xfId="14062" xr:uid="{00000000-0005-0000-0000-000025820000}"/>
    <cellStyle name="60% - Accent5 2 3 2 2 2 3 3 2" xfId="34542" xr:uid="{00000000-0005-0000-0000-000026820000}"/>
    <cellStyle name="60% - Accent5 2 3 2 2 2 3 4" xfId="24302" xr:uid="{00000000-0005-0000-0000-000027820000}"/>
    <cellStyle name="60% - Accent5 2 3 2 2 2 4" xfId="6382" xr:uid="{00000000-0005-0000-0000-000028820000}"/>
    <cellStyle name="60% - Accent5 2 3 2 2 2 4 2" xfId="16622" xr:uid="{00000000-0005-0000-0000-000029820000}"/>
    <cellStyle name="60% - Accent5 2 3 2 2 2 4 2 2" xfId="37102" xr:uid="{00000000-0005-0000-0000-00002A820000}"/>
    <cellStyle name="60% - Accent5 2 3 2 2 2 4 3" xfId="26862" xr:uid="{00000000-0005-0000-0000-00002B820000}"/>
    <cellStyle name="60% - Accent5 2 3 2 2 2 5" xfId="11502" xr:uid="{00000000-0005-0000-0000-00002C820000}"/>
    <cellStyle name="60% - Accent5 2 3 2 2 2 5 2" xfId="31982" xr:uid="{00000000-0005-0000-0000-00002D820000}"/>
    <cellStyle name="60% - Accent5 2 3 2 2 2 6" xfId="21742" xr:uid="{00000000-0005-0000-0000-00002E820000}"/>
    <cellStyle name="60% - Accent5 2 3 2 2 3" xfId="1902" xr:uid="{00000000-0005-0000-0000-00002F820000}"/>
    <cellStyle name="60% - Accent5 2 3 2 2 3 2" xfId="4462" xr:uid="{00000000-0005-0000-0000-000030820000}"/>
    <cellStyle name="60% - Accent5 2 3 2 2 3 2 2" xfId="9582" xr:uid="{00000000-0005-0000-0000-000031820000}"/>
    <cellStyle name="60% - Accent5 2 3 2 2 3 2 2 2" xfId="19822" xr:uid="{00000000-0005-0000-0000-000032820000}"/>
    <cellStyle name="60% - Accent5 2 3 2 2 3 2 2 2 2" xfId="40302" xr:uid="{00000000-0005-0000-0000-000033820000}"/>
    <cellStyle name="60% - Accent5 2 3 2 2 3 2 2 3" xfId="30062" xr:uid="{00000000-0005-0000-0000-000034820000}"/>
    <cellStyle name="60% - Accent5 2 3 2 2 3 2 3" xfId="14702" xr:uid="{00000000-0005-0000-0000-000035820000}"/>
    <cellStyle name="60% - Accent5 2 3 2 2 3 2 3 2" xfId="35182" xr:uid="{00000000-0005-0000-0000-000036820000}"/>
    <cellStyle name="60% - Accent5 2 3 2 2 3 2 4" xfId="24942" xr:uid="{00000000-0005-0000-0000-000037820000}"/>
    <cellStyle name="60% - Accent5 2 3 2 2 3 3" xfId="7022" xr:uid="{00000000-0005-0000-0000-000038820000}"/>
    <cellStyle name="60% - Accent5 2 3 2 2 3 3 2" xfId="17262" xr:uid="{00000000-0005-0000-0000-000039820000}"/>
    <cellStyle name="60% - Accent5 2 3 2 2 3 3 2 2" xfId="37742" xr:uid="{00000000-0005-0000-0000-00003A820000}"/>
    <cellStyle name="60% - Accent5 2 3 2 2 3 3 3" xfId="27502" xr:uid="{00000000-0005-0000-0000-00003B820000}"/>
    <cellStyle name="60% - Accent5 2 3 2 2 3 4" xfId="12142" xr:uid="{00000000-0005-0000-0000-00003C820000}"/>
    <cellStyle name="60% - Accent5 2 3 2 2 3 4 2" xfId="32622" xr:uid="{00000000-0005-0000-0000-00003D820000}"/>
    <cellStyle name="60% - Accent5 2 3 2 2 3 5" xfId="22382" xr:uid="{00000000-0005-0000-0000-00003E820000}"/>
    <cellStyle name="60% - Accent5 2 3 2 2 4" xfId="3182" xr:uid="{00000000-0005-0000-0000-00003F820000}"/>
    <cellStyle name="60% - Accent5 2 3 2 2 4 2" xfId="8302" xr:uid="{00000000-0005-0000-0000-000040820000}"/>
    <cellStyle name="60% - Accent5 2 3 2 2 4 2 2" xfId="18542" xr:uid="{00000000-0005-0000-0000-000041820000}"/>
    <cellStyle name="60% - Accent5 2 3 2 2 4 2 2 2" xfId="39022" xr:uid="{00000000-0005-0000-0000-000042820000}"/>
    <cellStyle name="60% - Accent5 2 3 2 2 4 2 3" xfId="28782" xr:uid="{00000000-0005-0000-0000-000043820000}"/>
    <cellStyle name="60% - Accent5 2 3 2 2 4 3" xfId="13422" xr:uid="{00000000-0005-0000-0000-000044820000}"/>
    <cellStyle name="60% - Accent5 2 3 2 2 4 3 2" xfId="33902" xr:uid="{00000000-0005-0000-0000-000045820000}"/>
    <cellStyle name="60% - Accent5 2 3 2 2 4 4" xfId="23662" xr:uid="{00000000-0005-0000-0000-000046820000}"/>
    <cellStyle name="60% - Accent5 2 3 2 2 5" xfId="5742" xr:uid="{00000000-0005-0000-0000-000047820000}"/>
    <cellStyle name="60% - Accent5 2 3 2 2 5 2" xfId="15982" xr:uid="{00000000-0005-0000-0000-000048820000}"/>
    <cellStyle name="60% - Accent5 2 3 2 2 5 2 2" xfId="36462" xr:uid="{00000000-0005-0000-0000-000049820000}"/>
    <cellStyle name="60% - Accent5 2 3 2 2 5 3" xfId="26222" xr:uid="{00000000-0005-0000-0000-00004A820000}"/>
    <cellStyle name="60% - Accent5 2 3 2 2 6" xfId="10862" xr:uid="{00000000-0005-0000-0000-00004B820000}"/>
    <cellStyle name="60% - Accent5 2 3 2 2 6 2" xfId="31342" xr:uid="{00000000-0005-0000-0000-00004C820000}"/>
    <cellStyle name="60% - Accent5 2 3 2 2 7" xfId="21102" xr:uid="{00000000-0005-0000-0000-00004D820000}"/>
    <cellStyle name="60% - Accent5 2 3 2 3" xfId="942" xr:uid="{00000000-0005-0000-0000-00004E820000}"/>
    <cellStyle name="60% - Accent5 2 3 2 3 2" xfId="2222" xr:uid="{00000000-0005-0000-0000-00004F820000}"/>
    <cellStyle name="60% - Accent5 2 3 2 3 2 2" xfId="4782" xr:uid="{00000000-0005-0000-0000-000050820000}"/>
    <cellStyle name="60% - Accent5 2 3 2 3 2 2 2" xfId="9902" xr:uid="{00000000-0005-0000-0000-000051820000}"/>
    <cellStyle name="60% - Accent5 2 3 2 3 2 2 2 2" xfId="20142" xr:uid="{00000000-0005-0000-0000-000052820000}"/>
    <cellStyle name="60% - Accent5 2 3 2 3 2 2 2 2 2" xfId="40622" xr:uid="{00000000-0005-0000-0000-000053820000}"/>
    <cellStyle name="60% - Accent5 2 3 2 3 2 2 2 3" xfId="30382" xr:uid="{00000000-0005-0000-0000-000054820000}"/>
    <cellStyle name="60% - Accent5 2 3 2 3 2 2 3" xfId="15022" xr:uid="{00000000-0005-0000-0000-000055820000}"/>
    <cellStyle name="60% - Accent5 2 3 2 3 2 2 3 2" xfId="35502" xr:uid="{00000000-0005-0000-0000-000056820000}"/>
    <cellStyle name="60% - Accent5 2 3 2 3 2 2 4" xfId="25262" xr:uid="{00000000-0005-0000-0000-000057820000}"/>
    <cellStyle name="60% - Accent5 2 3 2 3 2 3" xfId="7342" xr:uid="{00000000-0005-0000-0000-000058820000}"/>
    <cellStyle name="60% - Accent5 2 3 2 3 2 3 2" xfId="17582" xr:uid="{00000000-0005-0000-0000-000059820000}"/>
    <cellStyle name="60% - Accent5 2 3 2 3 2 3 2 2" xfId="38062" xr:uid="{00000000-0005-0000-0000-00005A820000}"/>
    <cellStyle name="60% - Accent5 2 3 2 3 2 3 3" xfId="27822" xr:uid="{00000000-0005-0000-0000-00005B820000}"/>
    <cellStyle name="60% - Accent5 2 3 2 3 2 4" xfId="12462" xr:uid="{00000000-0005-0000-0000-00005C820000}"/>
    <cellStyle name="60% - Accent5 2 3 2 3 2 4 2" xfId="32942" xr:uid="{00000000-0005-0000-0000-00005D820000}"/>
    <cellStyle name="60% - Accent5 2 3 2 3 2 5" xfId="22702" xr:uid="{00000000-0005-0000-0000-00005E820000}"/>
    <cellStyle name="60% - Accent5 2 3 2 3 3" xfId="3502" xr:uid="{00000000-0005-0000-0000-00005F820000}"/>
    <cellStyle name="60% - Accent5 2 3 2 3 3 2" xfId="8622" xr:uid="{00000000-0005-0000-0000-000060820000}"/>
    <cellStyle name="60% - Accent5 2 3 2 3 3 2 2" xfId="18862" xr:uid="{00000000-0005-0000-0000-000061820000}"/>
    <cellStyle name="60% - Accent5 2 3 2 3 3 2 2 2" xfId="39342" xr:uid="{00000000-0005-0000-0000-000062820000}"/>
    <cellStyle name="60% - Accent5 2 3 2 3 3 2 3" xfId="29102" xr:uid="{00000000-0005-0000-0000-000063820000}"/>
    <cellStyle name="60% - Accent5 2 3 2 3 3 3" xfId="13742" xr:uid="{00000000-0005-0000-0000-000064820000}"/>
    <cellStyle name="60% - Accent5 2 3 2 3 3 3 2" xfId="34222" xr:uid="{00000000-0005-0000-0000-000065820000}"/>
    <cellStyle name="60% - Accent5 2 3 2 3 3 4" xfId="23982" xr:uid="{00000000-0005-0000-0000-000066820000}"/>
    <cellStyle name="60% - Accent5 2 3 2 3 4" xfId="6062" xr:uid="{00000000-0005-0000-0000-000067820000}"/>
    <cellStyle name="60% - Accent5 2 3 2 3 4 2" xfId="16302" xr:uid="{00000000-0005-0000-0000-000068820000}"/>
    <cellStyle name="60% - Accent5 2 3 2 3 4 2 2" xfId="36782" xr:uid="{00000000-0005-0000-0000-000069820000}"/>
    <cellStyle name="60% - Accent5 2 3 2 3 4 3" xfId="26542" xr:uid="{00000000-0005-0000-0000-00006A820000}"/>
    <cellStyle name="60% - Accent5 2 3 2 3 5" xfId="11182" xr:uid="{00000000-0005-0000-0000-00006B820000}"/>
    <cellStyle name="60% - Accent5 2 3 2 3 5 2" xfId="31662" xr:uid="{00000000-0005-0000-0000-00006C820000}"/>
    <cellStyle name="60% - Accent5 2 3 2 3 6" xfId="21422" xr:uid="{00000000-0005-0000-0000-00006D820000}"/>
    <cellStyle name="60% - Accent5 2 3 2 4" xfId="1582" xr:uid="{00000000-0005-0000-0000-00006E820000}"/>
    <cellStyle name="60% - Accent5 2 3 2 4 2" xfId="4142" xr:uid="{00000000-0005-0000-0000-00006F820000}"/>
    <cellStyle name="60% - Accent5 2 3 2 4 2 2" xfId="9262" xr:uid="{00000000-0005-0000-0000-000070820000}"/>
    <cellStyle name="60% - Accent5 2 3 2 4 2 2 2" xfId="19502" xr:uid="{00000000-0005-0000-0000-000071820000}"/>
    <cellStyle name="60% - Accent5 2 3 2 4 2 2 2 2" xfId="39982" xr:uid="{00000000-0005-0000-0000-000072820000}"/>
    <cellStyle name="60% - Accent5 2 3 2 4 2 2 3" xfId="29742" xr:uid="{00000000-0005-0000-0000-000073820000}"/>
    <cellStyle name="60% - Accent5 2 3 2 4 2 3" xfId="14382" xr:uid="{00000000-0005-0000-0000-000074820000}"/>
    <cellStyle name="60% - Accent5 2 3 2 4 2 3 2" xfId="34862" xr:uid="{00000000-0005-0000-0000-000075820000}"/>
    <cellStyle name="60% - Accent5 2 3 2 4 2 4" xfId="24622" xr:uid="{00000000-0005-0000-0000-000076820000}"/>
    <cellStyle name="60% - Accent5 2 3 2 4 3" xfId="6702" xr:uid="{00000000-0005-0000-0000-000077820000}"/>
    <cellStyle name="60% - Accent5 2 3 2 4 3 2" xfId="16942" xr:uid="{00000000-0005-0000-0000-000078820000}"/>
    <cellStyle name="60% - Accent5 2 3 2 4 3 2 2" xfId="37422" xr:uid="{00000000-0005-0000-0000-000079820000}"/>
    <cellStyle name="60% - Accent5 2 3 2 4 3 3" xfId="27182" xr:uid="{00000000-0005-0000-0000-00007A820000}"/>
    <cellStyle name="60% - Accent5 2 3 2 4 4" xfId="11822" xr:uid="{00000000-0005-0000-0000-00007B820000}"/>
    <cellStyle name="60% - Accent5 2 3 2 4 4 2" xfId="32302" xr:uid="{00000000-0005-0000-0000-00007C820000}"/>
    <cellStyle name="60% - Accent5 2 3 2 4 5" xfId="22062" xr:uid="{00000000-0005-0000-0000-00007D820000}"/>
    <cellStyle name="60% - Accent5 2 3 2 5" xfId="2862" xr:uid="{00000000-0005-0000-0000-00007E820000}"/>
    <cellStyle name="60% - Accent5 2 3 2 5 2" xfId="7982" xr:uid="{00000000-0005-0000-0000-00007F820000}"/>
    <cellStyle name="60% - Accent5 2 3 2 5 2 2" xfId="18222" xr:uid="{00000000-0005-0000-0000-000080820000}"/>
    <cellStyle name="60% - Accent5 2 3 2 5 2 2 2" xfId="38702" xr:uid="{00000000-0005-0000-0000-000081820000}"/>
    <cellStyle name="60% - Accent5 2 3 2 5 2 3" xfId="28462" xr:uid="{00000000-0005-0000-0000-000082820000}"/>
    <cellStyle name="60% - Accent5 2 3 2 5 3" xfId="13102" xr:uid="{00000000-0005-0000-0000-000083820000}"/>
    <cellStyle name="60% - Accent5 2 3 2 5 3 2" xfId="33582" xr:uid="{00000000-0005-0000-0000-000084820000}"/>
    <cellStyle name="60% - Accent5 2 3 2 5 4" xfId="23342" xr:uid="{00000000-0005-0000-0000-000085820000}"/>
    <cellStyle name="60% - Accent5 2 3 2 6" xfId="5422" xr:uid="{00000000-0005-0000-0000-000086820000}"/>
    <cellStyle name="60% - Accent5 2 3 2 6 2" xfId="15662" xr:uid="{00000000-0005-0000-0000-000087820000}"/>
    <cellStyle name="60% - Accent5 2 3 2 6 2 2" xfId="36142" xr:uid="{00000000-0005-0000-0000-000088820000}"/>
    <cellStyle name="60% - Accent5 2 3 2 6 3" xfId="25902" xr:uid="{00000000-0005-0000-0000-000089820000}"/>
    <cellStyle name="60% - Accent5 2 3 2 7" xfId="10542" xr:uid="{00000000-0005-0000-0000-00008A820000}"/>
    <cellStyle name="60% - Accent5 2 3 2 7 2" xfId="31022" xr:uid="{00000000-0005-0000-0000-00008B820000}"/>
    <cellStyle name="60% - Accent5 2 3 2 8" xfId="20782" xr:uid="{00000000-0005-0000-0000-00008C820000}"/>
    <cellStyle name="60% - Accent5 2 3 3" xfId="462" xr:uid="{00000000-0005-0000-0000-00008D820000}"/>
    <cellStyle name="60% - Accent5 2 3 3 2" xfId="1102" xr:uid="{00000000-0005-0000-0000-00008E820000}"/>
    <cellStyle name="60% - Accent5 2 3 3 2 2" xfId="2382" xr:uid="{00000000-0005-0000-0000-00008F820000}"/>
    <cellStyle name="60% - Accent5 2 3 3 2 2 2" xfId="4942" xr:uid="{00000000-0005-0000-0000-000090820000}"/>
    <cellStyle name="60% - Accent5 2 3 3 2 2 2 2" xfId="10062" xr:uid="{00000000-0005-0000-0000-000091820000}"/>
    <cellStyle name="60% - Accent5 2 3 3 2 2 2 2 2" xfId="20302" xr:uid="{00000000-0005-0000-0000-000092820000}"/>
    <cellStyle name="60% - Accent5 2 3 3 2 2 2 2 2 2" xfId="40782" xr:uid="{00000000-0005-0000-0000-000093820000}"/>
    <cellStyle name="60% - Accent5 2 3 3 2 2 2 2 3" xfId="30542" xr:uid="{00000000-0005-0000-0000-000094820000}"/>
    <cellStyle name="60% - Accent5 2 3 3 2 2 2 3" xfId="15182" xr:uid="{00000000-0005-0000-0000-000095820000}"/>
    <cellStyle name="60% - Accent5 2 3 3 2 2 2 3 2" xfId="35662" xr:uid="{00000000-0005-0000-0000-000096820000}"/>
    <cellStyle name="60% - Accent5 2 3 3 2 2 2 4" xfId="25422" xr:uid="{00000000-0005-0000-0000-000097820000}"/>
    <cellStyle name="60% - Accent5 2 3 3 2 2 3" xfId="7502" xr:uid="{00000000-0005-0000-0000-000098820000}"/>
    <cellStyle name="60% - Accent5 2 3 3 2 2 3 2" xfId="17742" xr:uid="{00000000-0005-0000-0000-000099820000}"/>
    <cellStyle name="60% - Accent5 2 3 3 2 2 3 2 2" xfId="38222" xr:uid="{00000000-0005-0000-0000-00009A820000}"/>
    <cellStyle name="60% - Accent5 2 3 3 2 2 3 3" xfId="27982" xr:uid="{00000000-0005-0000-0000-00009B820000}"/>
    <cellStyle name="60% - Accent5 2 3 3 2 2 4" xfId="12622" xr:uid="{00000000-0005-0000-0000-00009C820000}"/>
    <cellStyle name="60% - Accent5 2 3 3 2 2 4 2" xfId="33102" xr:uid="{00000000-0005-0000-0000-00009D820000}"/>
    <cellStyle name="60% - Accent5 2 3 3 2 2 5" xfId="22862" xr:uid="{00000000-0005-0000-0000-00009E820000}"/>
    <cellStyle name="60% - Accent5 2 3 3 2 3" xfId="3662" xr:uid="{00000000-0005-0000-0000-00009F820000}"/>
    <cellStyle name="60% - Accent5 2 3 3 2 3 2" xfId="8782" xr:uid="{00000000-0005-0000-0000-0000A0820000}"/>
    <cellStyle name="60% - Accent5 2 3 3 2 3 2 2" xfId="19022" xr:uid="{00000000-0005-0000-0000-0000A1820000}"/>
    <cellStyle name="60% - Accent5 2 3 3 2 3 2 2 2" xfId="39502" xr:uid="{00000000-0005-0000-0000-0000A2820000}"/>
    <cellStyle name="60% - Accent5 2 3 3 2 3 2 3" xfId="29262" xr:uid="{00000000-0005-0000-0000-0000A3820000}"/>
    <cellStyle name="60% - Accent5 2 3 3 2 3 3" xfId="13902" xr:uid="{00000000-0005-0000-0000-0000A4820000}"/>
    <cellStyle name="60% - Accent5 2 3 3 2 3 3 2" xfId="34382" xr:uid="{00000000-0005-0000-0000-0000A5820000}"/>
    <cellStyle name="60% - Accent5 2 3 3 2 3 4" xfId="24142" xr:uid="{00000000-0005-0000-0000-0000A6820000}"/>
    <cellStyle name="60% - Accent5 2 3 3 2 4" xfId="6222" xr:uid="{00000000-0005-0000-0000-0000A7820000}"/>
    <cellStyle name="60% - Accent5 2 3 3 2 4 2" xfId="16462" xr:uid="{00000000-0005-0000-0000-0000A8820000}"/>
    <cellStyle name="60% - Accent5 2 3 3 2 4 2 2" xfId="36942" xr:uid="{00000000-0005-0000-0000-0000A9820000}"/>
    <cellStyle name="60% - Accent5 2 3 3 2 4 3" xfId="26702" xr:uid="{00000000-0005-0000-0000-0000AA820000}"/>
    <cellStyle name="60% - Accent5 2 3 3 2 5" xfId="11342" xr:uid="{00000000-0005-0000-0000-0000AB820000}"/>
    <cellStyle name="60% - Accent5 2 3 3 2 5 2" xfId="31822" xr:uid="{00000000-0005-0000-0000-0000AC820000}"/>
    <cellStyle name="60% - Accent5 2 3 3 2 6" xfId="21582" xr:uid="{00000000-0005-0000-0000-0000AD820000}"/>
    <cellStyle name="60% - Accent5 2 3 3 3" xfId="1742" xr:uid="{00000000-0005-0000-0000-0000AE820000}"/>
    <cellStyle name="60% - Accent5 2 3 3 3 2" xfId="4302" xr:uid="{00000000-0005-0000-0000-0000AF820000}"/>
    <cellStyle name="60% - Accent5 2 3 3 3 2 2" xfId="9422" xr:uid="{00000000-0005-0000-0000-0000B0820000}"/>
    <cellStyle name="60% - Accent5 2 3 3 3 2 2 2" xfId="19662" xr:uid="{00000000-0005-0000-0000-0000B1820000}"/>
    <cellStyle name="60% - Accent5 2 3 3 3 2 2 2 2" xfId="40142" xr:uid="{00000000-0005-0000-0000-0000B2820000}"/>
    <cellStyle name="60% - Accent5 2 3 3 3 2 2 3" xfId="29902" xr:uid="{00000000-0005-0000-0000-0000B3820000}"/>
    <cellStyle name="60% - Accent5 2 3 3 3 2 3" xfId="14542" xr:uid="{00000000-0005-0000-0000-0000B4820000}"/>
    <cellStyle name="60% - Accent5 2 3 3 3 2 3 2" xfId="35022" xr:uid="{00000000-0005-0000-0000-0000B5820000}"/>
    <cellStyle name="60% - Accent5 2 3 3 3 2 4" xfId="24782" xr:uid="{00000000-0005-0000-0000-0000B6820000}"/>
    <cellStyle name="60% - Accent5 2 3 3 3 3" xfId="6862" xr:uid="{00000000-0005-0000-0000-0000B7820000}"/>
    <cellStyle name="60% - Accent5 2 3 3 3 3 2" xfId="17102" xr:uid="{00000000-0005-0000-0000-0000B8820000}"/>
    <cellStyle name="60% - Accent5 2 3 3 3 3 2 2" xfId="37582" xr:uid="{00000000-0005-0000-0000-0000B9820000}"/>
    <cellStyle name="60% - Accent5 2 3 3 3 3 3" xfId="27342" xr:uid="{00000000-0005-0000-0000-0000BA820000}"/>
    <cellStyle name="60% - Accent5 2 3 3 3 4" xfId="11982" xr:uid="{00000000-0005-0000-0000-0000BB820000}"/>
    <cellStyle name="60% - Accent5 2 3 3 3 4 2" xfId="32462" xr:uid="{00000000-0005-0000-0000-0000BC820000}"/>
    <cellStyle name="60% - Accent5 2 3 3 3 5" xfId="22222" xr:uid="{00000000-0005-0000-0000-0000BD820000}"/>
    <cellStyle name="60% - Accent5 2 3 3 4" xfId="3022" xr:uid="{00000000-0005-0000-0000-0000BE820000}"/>
    <cellStyle name="60% - Accent5 2 3 3 4 2" xfId="8142" xr:uid="{00000000-0005-0000-0000-0000BF820000}"/>
    <cellStyle name="60% - Accent5 2 3 3 4 2 2" xfId="18382" xr:uid="{00000000-0005-0000-0000-0000C0820000}"/>
    <cellStyle name="60% - Accent5 2 3 3 4 2 2 2" xfId="38862" xr:uid="{00000000-0005-0000-0000-0000C1820000}"/>
    <cellStyle name="60% - Accent5 2 3 3 4 2 3" xfId="28622" xr:uid="{00000000-0005-0000-0000-0000C2820000}"/>
    <cellStyle name="60% - Accent5 2 3 3 4 3" xfId="13262" xr:uid="{00000000-0005-0000-0000-0000C3820000}"/>
    <cellStyle name="60% - Accent5 2 3 3 4 3 2" xfId="33742" xr:uid="{00000000-0005-0000-0000-0000C4820000}"/>
    <cellStyle name="60% - Accent5 2 3 3 4 4" xfId="23502" xr:uid="{00000000-0005-0000-0000-0000C5820000}"/>
    <cellStyle name="60% - Accent5 2 3 3 5" xfId="5582" xr:uid="{00000000-0005-0000-0000-0000C6820000}"/>
    <cellStyle name="60% - Accent5 2 3 3 5 2" xfId="15822" xr:uid="{00000000-0005-0000-0000-0000C7820000}"/>
    <cellStyle name="60% - Accent5 2 3 3 5 2 2" xfId="36302" xr:uid="{00000000-0005-0000-0000-0000C8820000}"/>
    <cellStyle name="60% - Accent5 2 3 3 5 3" xfId="26062" xr:uid="{00000000-0005-0000-0000-0000C9820000}"/>
    <cellStyle name="60% - Accent5 2 3 3 6" xfId="10702" xr:uid="{00000000-0005-0000-0000-0000CA820000}"/>
    <cellStyle name="60% - Accent5 2 3 3 6 2" xfId="31182" xr:uid="{00000000-0005-0000-0000-0000CB820000}"/>
    <cellStyle name="60% - Accent5 2 3 3 7" xfId="20942" xr:uid="{00000000-0005-0000-0000-0000CC820000}"/>
    <cellStyle name="60% - Accent5 2 3 4" xfId="782" xr:uid="{00000000-0005-0000-0000-0000CD820000}"/>
    <cellStyle name="60% - Accent5 2 3 4 2" xfId="2062" xr:uid="{00000000-0005-0000-0000-0000CE820000}"/>
    <cellStyle name="60% - Accent5 2 3 4 2 2" xfId="4622" xr:uid="{00000000-0005-0000-0000-0000CF820000}"/>
    <cellStyle name="60% - Accent5 2 3 4 2 2 2" xfId="9742" xr:uid="{00000000-0005-0000-0000-0000D0820000}"/>
    <cellStyle name="60% - Accent5 2 3 4 2 2 2 2" xfId="19982" xr:uid="{00000000-0005-0000-0000-0000D1820000}"/>
    <cellStyle name="60% - Accent5 2 3 4 2 2 2 2 2" xfId="40462" xr:uid="{00000000-0005-0000-0000-0000D2820000}"/>
    <cellStyle name="60% - Accent5 2 3 4 2 2 2 3" xfId="30222" xr:uid="{00000000-0005-0000-0000-0000D3820000}"/>
    <cellStyle name="60% - Accent5 2 3 4 2 2 3" xfId="14862" xr:uid="{00000000-0005-0000-0000-0000D4820000}"/>
    <cellStyle name="60% - Accent5 2 3 4 2 2 3 2" xfId="35342" xr:uid="{00000000-0005-0000-0000-0000D5820000}"/>
    <cellStyle name="60% - Accent5 2 3 4 2 2 4" xfId="25102" xr:uid="{00000000-0005-0000-0000-0000D6820000}"/>
    <cellStyle name="60% - Accent5 2 3 4 2 3" xfId="7182" xr:uid="{00000000-0005-0000-0000-0000D7820000}"/>
    <cellStyle name="60% - Accent5 2 3 4 2 3 2" xfId="17422" xr:uid="{00000000-0005-0000-0000-0000D8820000}"/>
    <cellStyle name="60% - Accent5 2 3 4 2 3 2 2" xfId="37902" xr:uid="{00000000-0005-0000-0000-0000D9820000}"/>
    <cellStyle name="60% - Accent5 2 3 4 2 3 3" xfId="27662" xr:uid="{00000000-0005-0000-0000-0000DA820000}"/>
    <cellStyle name="60% - Accent5 2 3 4 2 4" xfId="12302" xr:uid="{00000000-0005-0000-0000-0000DB820000}"/>
    <cellStyle name="60% - Accent5 2 3 4 2 4 2" xfId="32782" xr:uid="{00000000-0005-0000-0000-0000DC820000}"/>
    <cellStyle name="60% - Accent5 2 3 4 2 5" xfId="22542" xr:uid="{00000000-0005-0000-0000-0000DD820000}"/>
    <cellStyle name="60% - Accent5 2 3 4 3" xfId="3342" xr:uid="{00000000-0005-0000-0000-0000DE820000}"/>
    <cellStyle name="60% - Accent5 2 3 4 3 2" xfId="8462" xr:uid="{00000000-0005-0000-0000-0000DF820000}"/>
    <cellStyle name="60% - Accent5 2 3 4 3 2 2" xfId="18702" xr:uid="{00000000-0005-0000-0000-0000E0820000}"/>
    <cellStyle name="60% - Accent5 2 3 4 3 2 2 2" xfId="39182" xr:uid="{00000000-0005-0000-0000-0000E1820000}"/>
    <cellStyle name="60% - Accent5 2 3 4 3 2 3" xfId="28942" xr:uid="{00000000-0005-0000-0000-0000E2820000}"/>
    <cellStyle name="60% - Accent5 2 3 4 3 3" xfId="13582" xr:uid="{00000000-0005-0000-0000-0000E3820000}"/>
    <cellStyle name="60% - Accent5 2 3 4 3 3 2" xfId="34062" xr:uid="{00000000-0005-0000-0000-0000E4820000}"/>
    <cellStyle name="60% - Accent5 2 3 4 3 4" xfId="23822" xr:uid="{00000000-0005-0000-0000-0000E5820000}"/>
    <cellStyle name="60% - Accent5 2 3 4 4" xfId="5902" xr:uid="{00000000-0005-0000-0000-0000E6820000}"/>
    <cellStyle name="60% - Accent5 2 3 4 4 2" xfId="16142" xr:uid="{00000000-0005-0000-0000-0000E7820000}"/>
    <cellStyle name="60% - Accent5 2 3 4 4 2 2" xfId="36622" xr:uid="{00000000-0005-0000-0000-0000E8820000}"/>
    <cellStyle name="60% - Accent5 2 3 4 4 3" xfId="26382" xr:uid="{00000000-0005-0000-0000-0000E9820000}"/>
    <cellStyle name="60% - Accent5 2 3 4 5" xfId="11022" xr:uid="{00000000-0005-0000-0000-0000EA820000}"/>
    <cellStyle name="60% - Accent5 2 3 4 5 2" xfId="31502" xr:uid="{00000000-0005-0000-0000-0000EB820000}"/>
    <cellStyle name="60% - Accent5 2 3 4 6" xfId="21262" xr:uid="{00000000-0005-0000-0000-0000EC820000}"/>
    <cellStyle name="60% - Accent5 2 3 5" xfId="1422" xr:uid="{00000000-0005-0000-0000-0000ED820000}"/>
    <cellStyle name="60% - Accent5 2 3 5 2" xfId="3982" xr:uid="{00000000-0005-0000-0000-0000EE820000}"/>
    <cellStyle name="60% - Accent5 2 3 5 2 2" xfId="9102" xr:uid="{00000000-0005-0000-0000-0000EF820000}"/>
    <cellStyle name="60% - Accent5 2 3 5 2 2 2" xfId="19342" xr:uid="{00000000-0005-0000-0000-0000F0820000}"/>
    <cellStyle name="60% - Accent5 2 3 5 2 2 2 2" xfId="39822" xr:uid="{00000000-0005-0000-0000-0000F1820000}"/>
    <cellStyle name="60% - Accent5 2 3 5 2 2 3" xfId="29582" xr:uid="{00000000-0005-0000-0000-0000F2820000}"/>
    <cellStyle name="60% - Accent5 2 3 5 2 3" xfId="14222" xr:uid="{00000000-0005-0000-0000-0000F3820000}"/>
    <cellStyle name="60% - Accent5 2 3 5 2 3 2" xfId="34702" xr:uid="{00000000-0005-0000-0000-0000F4820000}"/>
    <cellStyle name="60% - Accent5 2 3 5 2 4" xfId="24462" xr:uid="{00000000-0005-0000-0000-0000F5820000}"/>
    <cellStyle name="60% - Accent5 2 3 5 3" xfId="6542" xr:uid="{00000000-0005-0000-0000-0000F6820000}"/>
    <cellStyle name="60% - Accent5 2 3 5 3 2" xfId="16782" xr:uid="{00000000-0005-0000-0000-0000F7820000}"/>
    <cellStyle name="60% - Accent5 2 3 5 3 2 2" xfId="37262" xr:uid="{00000000-0005-0000-0000-0000F8820000}"/>
    <cellStyle name="60% - Accent5 2 3 5 3 3" xfId="27022" xr:uid="{00000000-0005-0000-0000-0000F9820000}"/>
    <cellStyle name="60% - Accent5 2 3 5 4" xfId="11662" xr:uid="{00000000-0005-0000-0000-0000FA820000}"/>
    <cellStyle name="60% - Accent5 2 3 5 4 2" xfId="32142" xr:uid="{00000000-0005-0000-0000-0000FB820000}"/>
    <cellStyle name="60% - Accent5 2 3 5 5" xfId="21902" xr:uid="{00000000-0005-0000-0000-0000FC820000}"/>
    <cellStyle name="60% - Accent5 2 3 6" xfId="2702" xr:uid="{00000000-0005-0000-0000-0000FD820000}"/>
    <cellStyle name="60% - Accent5 2 3 6 2" xfId="7822" xr:uid="{00000000-0005-0000-0000-0000FE820000}"/>
    <cellStyle name="60% - Accent5 2 3 6 2 2" xfId="18062" xr:uid="{00000000-0005-0000-0000-0000FF820000}"/>
    <cellStyle name="60% - Accent5 2 3 6 2 2 2" xfId="38542" xr:uid="{00000000-0005-0000-0000-000000830000}"/>
    <cellStyle name="60% - Accent5 2 3 6 2 3" xfId="28302" xr:uid="{00000000-0005-0000-0000-000001830000}"/>
    <cellStyle name="60% - Accent5 2 3 6 3" xfId="12942" xr:uid="{00000000-0005-0000-0000-000002830000}"/>
    <cellStyle name="60% - Accent5 2 3 6 3 2" xfId="33422" xr:uid="{00000000-0005-0000-0000-000003830000}"/>
    <cellStyle name="60% - Accent5 2 3 6 4" xfId="23182" xr:uid="{00000000-0005-0000-0000-000004830000}"/>
    <cellStyle name="60% - Accent5 2 3 7" xfId="5262" xr:uid="{00000000-0005-0000-0000-000005830000}"/>
    <cellStyle name="60% - Accent5 2 3 7 2" xfId="15502" xr:uid="{00000000-0005-0000-0000-000006830000}"/>
    <cellStyle name="60% - Accent5 2 3 7 2 2" xfId="35982" xr:uid="{00000000-0005-0000-0000-000007830000}"/>
    <cellStyle name="60% - Accent5 2 3 7 3" xfId="25742" xr:uid="{00000000-0005-0000-0000-000008830000}"/>
    <cellStyle name="60% - Accent5 2 3 8" xfId="10382" xr:uid="{00000000-0005-0000-0000-000009830000}"/>
    <cellStyle name="60% - Accent5 2 3 8 2" xfId="30862" xr:uid="{00000000-0005-0000-0000-00000A830000}"/>
    <cellStyle name="60% - Accent5 2 3 9" xfId="20622" xr:uid="{00000000-0005-0000-0000-00000B830000}"/>
    <cellStyle name="60% - Accent5 2 4" xfId="222" xr:uid="{00000000-0005-0000-0000-00000C830000}"/>
    <cellStyle name="60% - Accent5 2 4 2" xfId="542" xr:uid="{00000000-0005-0000-0000-00000D830000}"/>
    <cellStyle name="60% - Accent5 2 4 2 2" xfId="1182" xr:uid="{00000000-0005-0000-0000-00000E830000}"/>
    <cellStyle name="60% - Accent5 2 4 2 2 2" xfId="2462" xr:uid="{00000000-0005-0000-0000-00000F830000}"/>
    <cellStyle name="60% - Accent5 2 4 2 2 2 2" xfId="5022" xr:uid="{00000000-0005-0000-0000-000010830000}"/>
    <cellStyle name="60% - Accent5 2 4 2 2 2 2 2" xfId="10142" xr:uid="{00000000-0005-0000-0000-000011830000}"/>
    <cellStyle name="60% - Accent5 2 4 2 2 2 2 2 2" xfId="20382" xr:uid="{00000000-0005-0000-0000-000012830000}"/>
    <cellStyle name="60% - Accent5 2 4 2 2 2 2 2 2 2" xfId="40862" xr:uid="{00000000-0005-0000-0000-000013830000}"/>
    <cellStyle name="60% - Accent5 2 4 2 2 2 2 2 3" xfId="30622" xr:uid="{00000000-0005-0000-0000-000014830000}"/>
    <cellStyle name="60% - Accent5 2 4 2 2 2 2 3" xfId="15262" xr:uid="{00000000-0005-0000-0000-000015830000}"/>
    <cellStyle name="60% - Accent5 2 4 2 2 2 2 3 2" xfId="35742" xr:uid="{00000000-0005-0000-0000-000016830000}"/>
    <cellStyle name="60% - Accent5 2 4 2 2 2 2 4" xfId="25502" xr:uid="{00000000-0005-0000-0000-000017830000}"/>
    <cellStyle name="60% - Accent5 2 4 2 2 2 3" xfId="7582" xr:uid="{00000000-0005-0000-0000-000018830000}"/>
    <cellStyle name="60% - Accent5 2 4 2 2 2 3 2" xfId="17822" xr:uid="{00000000-0005-0000-0000-000019830000}"/>
    <cellStyle name="60% - Accent5 2 4 2 2 2 3 2 2" xfId="38302" xr:uid="{00000000-0005-0000-0000-00001A830000}"/>
    <cellStyle name="60% - Accent5 2 4 2 2 2 3 3" xfId="28062" xr:uid="{00000000-0005-0000-0000-00001B830000}"/>
    <cellStyle name="60% - Accent5 2 4 2 2 2 4" xfId="12702" xr:uid="{00000000-0005-0000-0000-00001C830000}"/>
    <cellStyle name="60% - Accent5 2 4 2 2 2 4 2" xfId="33182" xr:uid="{00000000-0005-0000-0000-00001D830000}"/>
    <cellStyle name="60% - Accent5 2 4 2 2 2 5" xfId="22942" xr:uid="{00000000-0005-0000-0000-00001E830000}"/>
    <cellStyle name="60% - Accent5 2 4 2 2 3" xfId="3742" xr:uid="{00000000-0005-0000-0000-00001F830000}"/>
    <cellStyle name="60% - Accent5 2 4 2 2 3 2" xfId="8862" xr:uid="{00000000-0005-0000-0000-000020830000}"/>
    <cellStyle name="60% - Accent5 2 4 2 2 3 2 2" xfId="19102" xr:uid="{00000000-0005-0000-0000-000021830000}"/>
    <cellStyle name="60% - Accent5 2 4 2 2 3 2 2 2" xfId="39582" xr:uid="{00000000-0005-0000-0000-000022830000}"/>
    <cellStyle name="60% - Accent5 2 4 2 2 3 2 3" xfId="29342" xr:uid="{00000000-0005-0000-0000-000023830000}"/>
    <cellStyle name="60% - Accent5 2 4 2 2 3 3" xfId="13982" xr:uid="{00000000-0005-0000-0000-000024830000}"/>
    <cellStyle name="60% - Accent5 2 4 2 2 3 3 2" xfId="34462" xr:uid="{00000000-0005-0000-0000-000025830000}"/>
    <cellStyle name="60% - Accent5 2 4 2 2 3 4" xfId="24222" xr:uid="{00000000-0005-0000-0000-000026830000}"/>
    <cellStyle name="60% - Accent5 2 4 2 2 4" xfId="6302" xr:uid="{00000000-0005-0000-0000-000027830000}"/>
    <cellStyle name="60% - Accent5 2 4 2 2 4 2" xfId="16542" xr:uid="{00000000-0005-0000-0000-000028830000}"/>
    <cellStyle name="60% - Accent5 2 4 2 2 4 2 2" xfId="37022" xr:uid="{00000000-0005-0000-0000-000029830000}"/>
    <cellStyle name="60% - Accent5 2 4 2 2 4 3" xfId="26782" xr:uid="{00000000-0005-0000-0000-00002A830000}"/>
    <cellStyle name="60% - Accent5 2 4 2 2 5" xfId="11422" xr:uid="{00000000-0005-0000-0000-00002B830000}"/>
    <cellStyle name="60% - Accent5 2 4 2 2 5 2" xfId="31902" xr:uid="{00000000-0005-0000-0000-00002C830000}"/>
    <cellStyle name="60% - Accent5 2 4 2 2 6" xfId="21662" xr:uid="{00000000-0005-0000-0000-00002D830000}"/>
    <cellStyle name="60% - Accent5 2 4 2 3" xfId="1822" xr:uid="{00000000-0005-0000-0000-00002E830000}"/>
    <cellStyle name="60% - Accent5 2 4 2 3 2" xfId="4382" xr:uid="{00000000-0005-0000-0000-00002F830000}"/>
    <cellStyle name="60% - Accent5 2 4 2 3 2 2" xfId="9502" xr:uid="{00000000-0005-0000-0000-000030830000}"/>
    <cellStyle name="60% - Accent5 2 4 2 3 2 2 2" xfId="19742" xr:uid="{00000000-0005-0000-0000-000031830000}"/>
    <cellStyle name="60% - Accent5 2 4 2 3 2 2 2 2" xfId="40222" xr:uid="{00000000-0005-0000-0000-000032830000}"/>
    <cellStyle name="60% - Accent5 2 4 2 3 2 2 3" xfId="29982" xr:uid="{00000000-0005-0000-0000-000033830000}"/>
    <cellStyle name="60% - Accent5 2 4 2 3 2 3" xfId="14622" xr:uid="{00000000-0005-0000-0000-000034830000}"/>
    <cellStyle name="60% - Accent5 2 4 2 3 2 3 2" xfId="35102" xr:uid="{00000000-0005-0000-0000-000035830000}"/>
    <cellStyle name="60% - Accent5 2 4 2 3 2 4" xfId="24862" xr:uid="{00000000-0005-0000-0000-000036830000}"/>
    <cellStyle name="60% - Accent5 2 4 2 3 3" xfId="6942" xr:uid="{00000000-0005-0000-0000-000037830000}"/>
    <cellStyle name="60% - Accent5 2 4 2 3 3 2" xfId="17182" xr:uid="{00000000-0005-0000-0000-000038830000}"/>
    <cellStyle name="60% - Accent5 2 4 2 3 3 2 2" xfId="37662" xr:uid="{00000000-0005-0000-0000-000039830000}"/>
    <cellStyle name="60% - Accent5 2 4 2 3 3 3" xfId="27422" xr:uid="{00000000-0005-0000-0000-00003A830000}"/>
    <cellStyle name="60% - Accent5 2 4 2 3 4" xfId="12062" xr:uid="{00000000-0005-0000-0000-00003B830000}"/>
    <cellStyle name="60% - Accent5 2 4 2 3 4 2" xfId="32542" xr:uid="{00000000-0005-0000-0000-00003C830000}"/>
    <cellStyle name="60% - Accent5 2 4 2 3 5" xfId="22302" xr:uid="{00000000-0005-0000-0000-00003D830000}"/>
    <cellStyle name="60% - Accent5 2 4 2 4" xfId="3102" xr:uid="{00000000-0005-0000-0000-00003E830000}"/>
    <cellStyle name="60% - Accent5 2 4 2 4 2" xfId="8222" xr:uid="{00000000-0005-0000-0000-00003F830000}"/>
    <cellStyle name="60% - Accent5 2 4 2 4 2 2" xfId="18462" xr:uid="{00000000-0005-0000-0000-000040830000}"/>
    <cellStyle name="60% - Accent5 2 4 2 4 2 2 2" xfId="38942" xr:uid="{00000000-0005-0000-0000-000041830000}"/>
    <cellStyle name="60% - Accent5 2 4 2 4 2 3" xfId="28702" xr:uid="{00000000-0005-0000-0000-000042830000}"/>
    <cellStyle name="60% - Accent5 2 4 2 4 3" xfId="13342" xr:uid="{00000000-0005-0000-0000-000043830000}"/>
    <cellStyle name="60% - Accent5 2 4 2 4 3 2" xfId="33822" xr:uid="{00000000-0005-0000-0000-000044830000}"/>
    <cellStyle name="60% - Accent5 2 4 2 4 4" xfId="23582" xr:uid="{00000000-0005-0000-0000-000045830000}"/>
    <cellStyle name="60% - Accent5 2 4 2 5" xfId="5662" xr:uid="{00000000-0005-0000-0000-000046830000}"/>
    <cellStyle name="60% - Accent5 2 4 2 5 2" xfId="15902" xr:uid="{00000000-0005-0000-0000-000047830000}"/>
    <cellStyle name="60% - Accent5 2 4 2 5 2 2" xfId="36382" xr:uid="{00000000-0005-0000-0000-000048830000}"/>
    <cellStyle name="60% - Accent5 2 4 2 5 3" xfId="26142" xr:uid="{00000000-0005-0000-0000-000049830000}"/>
    <cellStyle name="60% - Accent5 2 4 2 6" xfId="10782" xr:uid="{00000000-0005-0000-0000-00004A830000}"/>
    <cellStyle name="60% - Accent5 2 4 2 6 2" xfId="31262" xr:uid="{00000000-0005-0000-0000-00004B830000}"/>
    <cellStyle name="60% - Accent5 2 4 2 7" xfId="21022" xr:uid="{00000000-0005-0000-0000-00004C830000}"/>
    <cellStyle name="60% - Accent5 2 4 3" xfId="862" xr:uid="{00000000-0005-0000-0000-00004D830000}"/>
    <cellStyle name="60% - Accent5 2 4 3 2" xfId="2142" xr:uid="{00000000-0005-0000-0000-00004E830000}"/>
    <cellStyle name="60% - Accent5 2 4 3 2 2" xfId="4702" xr:uid="{00000000-0005-0000-0000-00004F830000}"/>
    <cellStyle name="60% - Accent5 2 4 3 2 2 2" xfId="9822" xr:uid="{00000000-0005-0000-0000-000050830000}"/>
    <cellStyle name="60% - Accent5 2 4 3 2 2 2 2" xfId="20062" xr:uid="{00000000-0005-0000-0000-000051830000}"/>
    <cellStyle name="60% - Accent5 2 4 3 2 2 2 2 2" xfId="40542" xr:uid="{00000000-0005-0000-0000-000052830000}"/>
    <cellStyle name="60% - Accent5 2 4 3 2 2 2 3" xfId="30302" xr:uid="{00000000-0005-0000-0000-000053830000}"/>
    <cellStyle name="60% - Accent5 2 4 3 2 2 3" xfId="14942" xr:uid="{00000000-0005-0000-0000-000054830000}"/>
    <cellStyle name="60% - Accent5 2 4 3 2 2 3 2" xfId="35422" xr:uid="{00000000-0005-0000-0000-000055830000}"/>
    <cellStyle name="60% - Accent5 2 4 3 2 2 4" xfId="25182" xr:uid="{00000000-0005-0000-0000-000056830000}"/>
    <cellStyle name="60% - Accent5 2 4 3 2 3" xfId="7262" xr:uid="{00000000-0005-0000-0000-000057830000}"/>
    <cellStyle name="60% - Accent5 2 4 3 2 3 2" xfId="17502" xr:uid="{00000000-0005-0000-0000-000058830000}"/>
    <cellStyle name="60% - Accent5 2 4 3 2 3 2 2" xfId="37982" xr:uid="{00000000-0005-0000-0000-000059830000}"/>
    <cellStyle name="60% - Accent5 2 4 3 2 3 3" xfId="27742" xr:uid="{00000000-0005-0000-0000-00005A830000}"/>
    <cellStyle name="60% - Accent5 2 4 3 2 4" xfId="12382" xr:uid="{00000000-0005-0000-0000-00005B830000}"/>
    <cellStyle name="60% - Accent5 2 4 3 2 4 2" xfId="32862" xr:uid="{00000000-0005-0000-0000-00005C830000}"/>
    <cellStyle name="60% - Accent5 2 4 3 2 5" xfId="22622" xr:uid="{00000000-0005-0000-0000-00005D830000}"/>
    <cellStyle name="60% - Accent5 2 4 3 3" xfId="3422" xr:uid="{00000000-0005-0000-0000-00005E830000}"/>
    <cellStyle name="60% - Accent5 2 4 3 3 2" xfId="8542" xr:uid="{00000000-0005-0000-0000-00005F830000}"/>
    <cellStyle name="60% - Accent5 2 4 3 3 2 2" xfId="18782" xr:uid="{00000000-0005-0000-0000-000060830000}"/>
    <cellStyle name="60% - Accent5 2 4 3 3 2 2 2" xfId="39262" xr:uid="{00000000-0005-0000-0000-000061830000}"/>
    <cellStyle name="60% - Accent5 2 4 3 3 2 3" xfId="29022" xr:uid="{00000000-0005-0000-0000-000062830000}"/>
    <cellStyle name="60% - Accent5 2 4 3 3 3" xfId="13662" xr:uid="{00000000-0005-0000-0000-000063830000}"/>
    <cellStyle name="60% - Accent5 2 4 3 3 3 2" xfId="34142" xr:uid="{00000000-0005-0000-0000-000064830000}"/>
    <cellStyle name="60% - Accent5 2 4 3 3 4" xfId="23902" xr:uid="{00000000-0005-0000-0000-000065830000}"/>
    <cellStyle name="60% - Accent5 2 4 3 4" xfId="5982" xr:uid="{00000000-0005-0000-0000-000066830000}"/>
    <cellStyle name="60% - Accent5 2 4 3 4 2" xfId="16222" xr:uid="{00000000-0005-0000-0000-000067830000}"/>
    <cellStyle name="60% - Accent5 2 4 3 4 2 2" xfId="36702" xr:uid="{00000000-0005-0000-0000-000068830000}"/>
    <cellStyle name="60% - Accent5 2 4 3 4 3" xfId="26462" xr:uid="{00000000-0005-0000-0000-000069830000}"/>
    <cellStyle name="60% - Accent5 2 4 3 5" xfId="11102" xr:uid="{00000000-0005-0000-0000-00006A830000}"/>
    <cellStyle name="60% - Accent5 2 4 3 5 2" xfId="31582" xr:uid="{00000000-0005-0000-0000-00006B830000}"/>
    <cellStyle name="60% - Accent5 2 4 3 6" xfId="21342" xr:uid="{00000000-0005-0000-0000-00006C830000}"/>
    <cellStyle name="60% - Accent5 2 4 4" xfId="1502" xr:uid="{00000000-0005-0000-0000-00006D830000}"/>
    <cellStyle name="60% - Accent5 2 4 4 2" xfId="4062" xr:uid="{00000000-0005-0000-0000-00006E830000}"/>
    <cellStyle name="60% - Accent5 2 4 4 2 2" xfId="9182" xr:uid="{00000000-0005-0000-0000-00006F830000}"/>
    <cellStyle name="60% - Accent5 2 4 4 2 2 2" xfId="19422" xr:uid="{00000000-0005-0000-0000-000070830000}"/>
    <cellStyle name="60% - Accent5 2 4 4 2 2 2 2" xfId="39902" xr:uid="{00000000-0005-0000-0000-000071830000}"/>
    <cellStyle name="60% - Accent5 2 4 4 2 2 3" xfId="29662" xr:uid="{00000000-0005-0000-0000-000072830000}"/>
    <cellStyle name="60% - Accent5 2 4 4 2 3" xfId="14302" xr:uid="{00000000-0005-0000-0000-000073830000}"/>
    <cellStyle name="60% - Accent5 2 4 4 2 3 2" xfId="34782" xr:uid="{00000000-0005-0000-0000-000074830000}"/>
    <cellStyle name="60% - Accent5 2 4 4 2 4" xfId="24542" xr:uid="{00000000-0005-0000-0000-000075830000}"/>
    <cellStyle name="60% - Accent5 2 4 4 3" xfId="6622" xr:uid="{00000000-0005-0000-0000-000076830000}"/>
    <cellStyle name="60% - Accent5 2 4 4 3 2" xfId="16862" xr:uid="{00000000-0005-0000-0000-000077830000}"/>
    <cellStyle name="60% - Accent5 2 4 4 3 2 2" xfId="37342" xr:uid="{00000000-0005-0000-0000-000078830000}"/>
    <cellStyle name="60% - Accent5 2 4 4 3 3" xfId="27102" xr:uid="{00000000-0005-0000-0000-000079830000}"/>
    <cellStyle name="60% - Accent5 2 4 4 4" xfId="11742" xr:uid="{00000000-0005-0000-0000-00007A830000}"/>
    <cellStyle name="60% - Accent5 2 4 4 4 2" xfId="32222" xr:uid="{00000000-0005-0000-0000-00007B830000}"/>
    <cellStyle name="60% - Accent5 2 4 4 5" xfId="21982" xr:uid="{00000000-0005-0000-0000-00007C830000}"/>
    <cellStyle name="60% - Accent5 2 4 5" xfId="2782" xr:uid="{00000000-0005-0000-0000-00007D830000}"/>
    <cellStyle name="60% - Accent5 2 4 5 2" xfId="7902" xr:uid="{00000000-0005-0000-0000-00007E830000}"/>
    <cellStyle name="60% - Accent5 2 4 5 2 2" xfId="18142" xr:uid="{00000000-0005-0000-0000-00007F830000}"/>
    <cellStyle name="60% - Accent5 2 4 5 2 2 2" xfId="38622" xr:uid="{00000000-0005-0000-0000-000080830000}"/>
    <cellStyle name="60% - Accent5 2 4 5 2 3" xfId="28382" xr:uid="{00000000-0005-0000-0000-000081830000}"/>
    <cellStyle name="60% - Accent5 2 4 5 3" xfId="13022" xr:uid="{00000000-0005-0000-0000-000082830000}"/>
    <cellStyle name="60% - Accent5 2 4 5 3 2" xfId="33502" xr:uid="{00000000-0005-0000-0000-000083830000}"/>
    <cellStyle name="60% - Accent5 2 4 5 4" xfId="23262" xr:uid="{00000000-0005-0000-0000-000084830000}"/>
    <cellStyle name="60% - Accent5 2 4 6" xfId="5342" xr:uid="{00000000-0005-0000-0000-000085830000}"/>
    <cellStyle name="60% - Accent5 2 4 6 2" xfId="15582" xr:uid="{00000000-0005-0000-0000-000086830000}"/>
    <cellStyle name="60% - Accent5 2 4 6 2 2" xfId="36062" xr:uid="{00000000-0005-0000-0000-000087830000}"/>
    <cellStyle name="60% - Accent5 2 4 6 3" xfId="25822" xr:uid="{00000000-0005-0000-0000-000088830000}"/>
    <cellStyle name="60% - Accent5 2 4 7" xfId="10462" xr:uid="{00000000-0005-0000-0000-000089830000}"/>
    <cellStyle name="60% - Accent5 2 4 7 2" xfId="30942" xr:uid="{00000000-0005-0000-0000-00008A830000}"/>
    <cellStyle name="60% - Accent5 2 4 8" xfId="20702" xr:uid="{00000000-0005-0000-0000-00008B830000}"/>
    <cellStyle name="60% - Accent5 2 5" xfId="382" xr:uid="{00000000-0005-0000-0000-00008C830000}"/>
    <cellStyle name="60% - Accent5 2 5 2" xfId="1022" xr:uid="{00000000-0005-0000-0000-00008D830000}"/>
    <cellStyle name="60% - Accent5 2 5 2 2" xfId="2302" xr:uid="{00000000-0005-0000-0000-00008E830000}"/>
    <cellStyle name="60% - Accent5 2 5 2 2 2" xfId="4862" xr:uid="{00000000-0005-0000-0000-00008F830000}"/>
    <cellStyle name="60% - Accent5 2 5 2 2 2 2" xfId="9982" xr:uid="{00000000-0005-0000-0000-000090830000}"/>
    <cellStyle name="60% - Accent5 2 5 2 2 2 2 2" xfId="20222" xr:uid="{00000000-0005-0000-0000-000091830000}"/>
    <cellStyle name="60% - Accent5 2 5 2 2 2 2 2 2" xfId="40702" xr:uid="{00000000-0005-0000-0000-000092830000}"/>
    <cellStyle name="60% - Accent5 2 5 2 2 2 2 3" xfId="30462" xr:uid="{00000000-0005-0000-0000-000093830000}"/>
    <cellStyle name="60% - Accent5 2 5 2 2 2 3" xfId="15102" xr:uid="{00000000-0005-0000-0000-000094830000}"/>
    <cellStyle name="60% - Accent5 2 5 2 2 2 3 2" xfId="35582" xr:uid="{00000000-0005-0000-0000-000095830000}"/>
    <cellStyle name="60% - Accent5 2 5 2 2 2 4" xfId="25342" xr:uid="{00000000-0005-0000-0000-000096830000}"/>
    <cellStyle name="60% - Accent5 2 5 2 2 3" xfId="7422" xr:uid="{00000000-0005-0000-0000-000097830000}"/>
    <cellStyle name="60% - Accent5 2 5 2 2 3 2" xfId="17662" xr:uid="{00000000-0005-0000-0000-000098830000}"/>
    <cellStyle name="60% - Accent5 2 5 2 2 3 2 2" xfId="38142" xr:uid="{00000000-0005-0000-0000-000099830000}"/>
    <cellStyle name="60% - Accent5 2 5 2 2 3 3" xfId="27902" xr:uid="{00000000-0005-0000-0000-00009A830000}"/>
    <cellStyle name="60% - Accent5 2 5 2 2 4" xfId="12542" xr:uid="{00000000-0005-0000-0000-00009B830000}"/>
    <cellStyle name="60% - Accent5 2 5 2 2 4 2" xfId="33022" xr:uid="{00000000-0005-0000-0000-00009C830000}"/>
    <cellStyle name="60% - Accent5 2 5 2 2 5" xfId="22782" xr:uid="{00000000-0005-0000-0000-00009D830000}"/>
    <cellStyle name="60% - Accent5 2 5 2 3" xfId="3582" xr:uid="{00000000-0005-0000-0000-00009E830000}"/>
    <cellStyle name="60% - Accent5 2 5 2 3 2" xfId="8702" xr:uid="{00000000-0005-0000-0000-00009F830000}"/>
    <cellStyle name="60% - Accent5 2 5 2 3 2 2" xfId="18942" xr:uid="{00000000-0005-0000-0000-0000A0830000}"/>
    <cellStyle name="60% - Accent5 2 5 2 3 2 2 2" xfId="39422" xr:uid="{00000000-0005-0000-0000-0000A1830000}"/>
    <cellStyle name="60% - Accent5 2 5 2 3 2 3" xfId="29182" xr:uid="{00000000-0005-0000-0000-0000A2830000}"/>
    <cellStyle name="60% - Accent5 2 5 2 3 3" xfId="13822" xr:uid="{00000000-0005-0000-0000-0000A3830000}"/>
    <cellStyle name="60% - Accent5 2 5 2 3 3 2" xfId="34302" xr:uid="{00000000-0005-0000-0000-0000A4830000}"/>
    <cellStyle name="60% - Accent5 2 5 2 3 4" xfId="24062" xr:uid="{00000000-0005-0000-0000-0000A5830000}"/>
    <cellStyle name="60% - Accent5 2 5 2 4" xfId="6142" xr:uid="{00000000-0005-0000-0000-0000A6830000}"/>
    <cellStyle name="60% - Accent5 2 5 2 4 2" xfId="16382" xr:uid="{00000000-0005-0000-0000-0000A7830000}"/>
    <cellStyle name="60% - Accent5 2 5 2 4 2 2" xfId="36862" xr:uid="{00000000-0005-0000-0000-0000A8830000}"/>
    <cellStyle name="60% - Accent5 2 5 2 4 3" xfId="26622" xr:uid="{00000000-0005-0000-0000-0000A9830000}"/>
    <cellStyle name="60% - Accent5 2 5 2 5" xfId="11262" xr:uid="{00000000-0005-0000-0000-0000AA830000}"/>
    <cellStyle name="60% - Accent5 2 5 2 5 2" xfId="31742" xr:uid="{00000000-0005-0000-0000-0000AB830000}"/>
    <cellStyle name="60% - Accent5 2 5 2 6" xfId="21502" xr:uid="{00000000-0005-0000-0000-0000AC830000}"/>
    <cellStyle name="60% - Accent5 2 5 3" xfId="1662" xr:uid="{00000000-0005-0000-0000-0000AD830000}"/>
    <cellStyle name="60% - Accent5 2 5 3 2" xfId="4222" xr:uid="{00000000-0005-0000-0000-0000AE830000}"/>
    <cellStyle name="60% - Accent5 2 5 3 2 2" xfId="9342" xr:uid="{00000000-0005-0000-0000-0000AF830000}"/>
    <cellStyle name="60% - Accent5 2 5 3 2 2 2" xfId="19582" xr:uid="{00000000-0005-0000-0000-0000B0830000}"/>
    <cellStyle name="60% - Accent5 2 5 3 2 2 2 2" xfId="40062" xr:uid="{00000000-0005-0000-0000-0000B1830000}"/>
    <cellStyle name="60% - Accent5 2 5 3 2 2 3" xfId="29822" xr:uid="{00000000-0005-0000-0000-0000B2830000}"/>
    <cellStyle name="60% - Accent5 2 5 3 2 3" xfId="14462" xr:uid="{00000000-0005-0000-0000-0000B3830000}"/>
    <cellStyle name="60% - Accent5 2 5 3 2 3 2" xfId="34942" xr:uid="{00000000-0005-0000-0000-0000B4830000}"/>
    <cellStyle name="60% - Accent5 2 5 3 2 4" xfId="24702" xr:uid="{00000000-0005-0000-0000-0000B5830000}"/>
    <cellStyle name="60% - Accent5 2 5 3 3" xfId="6782" xr:uid="{00000000-0005-0000-0000-0000B6830000}"/>
    <cellStyle name="60% - Accent5 2 5 3 3 2" xfId="17022" xr:uid="{00000000-0005-0000-0000-0000B7830000}"/>
    <cellStyle name="60% - Accent5 2 5 3 3 2 2" xfId="37502" xr:uid="{00000000-0005-0000-0000-0000B8830000}"/>
    <cellStyle name="60% - Accent5 2 5 3 3 3" xfId="27262" xr:uid="{00000000-0005-0000-0000-0000B9830000}"/>
    <cellStyle name="60% - Accent5 2 5 3 4" xfId="11902" xr:uid="{00000000-0005-0000-0000-0000BA830000}"/>
    <cellStyle name="60% - Accent5 2 5 3 4 2" xfId="32382" xr:uid="{00000000-0005-0000-0000-0000BB830000}"/>
    <cellStyle name="60% - Accent5 2 5 3 5" xfId="22142" xr:uid="{00000000-0005-0000-0000-0000BC830000}"/>
    <cellStyle name="60% - Accent5 2 5 4" xfId="2942" xr:uid="{00000000-0005-0000-0000-0000BD830000}"/>
    <cellStyle name="60% - Accent5 2 5 4 2" xfId="8062" xr:uid="{00000000-0005-0000-0000-0000BE830000}"/>
    <cellStyle name="60% - Accent5 2 5 4 2 2" xfId="18302" xr:uid="{00000000-0005-0000-0000-0000BF830000}"/>
    <cellStyle name="60% - Accent5 2 5 4 2 2 2" xfId="38782" xr:uid="{00000000-0005-0000-0000-0000C0830000}"/>
    <cellStyle name="60% - Accent5 2 5 4 2 3" xfId="28542" xr:uid="{00000000-0005-0000-0000-0000C1830000}"/>
    <cellStyle name="60% - Accent5 2 5 4 3" xfId="13182" xr:uid="{00000000-0005-0000-0000-0000C2830000}"/>
    <cellStyle name="60% - Accent5 2 5 4 3 2" xfId="33662" xr:uid="{00000000-0005-0000-0000-0000C3830000}"/>
    <cellStyle name="60% - Accent5 2 5 4 4" xfId="23422" xr:uid="{00000000-0005-0000-0000-0000C4830000}"/>
    <cellStyle name="60% - Accent5 2 5 5" xfId="5502" xr:uid="{00000000-0005-0000-0000-0000C5830000}"/>
    <cellStyle name="60% - Accent5 2 5 5 2" xfId="15742" xr:uid="{00000000-0005-0000-0000-0000C6830000}"/>
    <cellStyle name="60% - Accent5 2 5 5 2 2" xfId="36222" xr:uid="{00000000-0005-0000-0000-0000C7830000}"/>
    <cellStyle name="60% - Accent5 2 5 5 3" xfId="25982" xr:uid="{00000000-0005-0000-0000-0000C8830000}"/>
    <cellStyle name="60% - Accent5 2 5 6" xfId="10622" xr:uid="{00000000-0005-0000-0000-0000C9830000}"/>
    <cellStyle name="60% - Accent5 2 5 6 2" xfId="31102" xr:uid="{00000000-0005-0000-0000-0000CA830000}"/>
    <cellStyle name="60% - Accent5 2 5 7" xfId="20862" xr:uid="{00000000-0005-0000-0000-0000CB830000}"/>
    <cellStyle name="60% - Accent5 2 6" xfId="702" xr:uid="{00000000-0005-0000-0000-0000CC830000}"/>
    <cellStyle name="60% - Accent5 2 6 2" xfId="1982" xr:uid="{00000000-0005-0000-0000-0000CD830000}"/>
    <cellStyle name="60% - Accent5 2 6 2 2" xfId="4542" xr:uid="{00000000-0005-0000-0000-0000CE830000}"/>
    <cellStyle name="60% - Accent5 2 6 2 2 2" xfId="9662" xr:uid="{00000000-0005-0000-0000-0000CF830000}"/>
    <cellStyle name="60% - Accent5 2 6 2 2 2 2" xfId="19902" xr:uid="{00000000-0005-0000-0000-0000D0830000}"/>
    <cellStyle name="60% - Accent5 2 6 2 2 2 2 2" xfId="40382" xr:uid="{00000000-0005-0000-0000-0000D1830000}"/>
    <cellStyle name="60% - Accent5 2 6 2 2 2 3" xfId="30142" xr:uid="{00000000-0005-0000-0000-0000D2830000}"/>
    <cellStyle name="60% - Accent5 2 6 2 2 3" xfId="14782" xr:uid="{00000000-0005-0000-0000-0000D3830000}"/>
    <cellStyle name="60% - Accent5 2 6 2 2 3 2" xfId="35262" xr:uid="{00000000-0005-0000-0000-0000D4830000}"/>
    <cellStyle name="60% - Accent5 2 6 2 2 4" xfId="25022" xr:uid="{00000000-0005-0000-0000-0000D5830000}"/>
    <cellStyle name="60% - Accent5 2 6 2 3" xfId="7102" xr:uid="{00000000-0005-0000-0000-0000D6830000}"/>
    <cellStyle name="60% - Accent5 2 6 2 3 2" xfId="17342" xr:uid="{00000000-0005-0000-0000-0000D7830000}"/>
    <cellStyle name="60% - Accent5 2 6 2 3 2 2" xfId="37822" xr:uid="{00000000-0005-0000-0000-0000D8830000}"/>
    <cellStyle name="60% - Accent5 2 6 2 3 3" xfId="27582" xr:uid="{00000000-0005-0000-0000-0000D9830000}"/>
    <cellStyle name="60% - Accent5 2 6 2 4" xfId="12222" xr:uid="{00000000-0005-0000-0000-0000DA830000}"/>
    <cellStyle name="60% - Accent5 2 6 2 4 2" xfId="32702" xr:uid="{00000000-0005-0000-0000-0000DB830000}"/>
    <cellStyle name="60% - Accent5 2 6 2 5" xfId="22462" xr:uid="{00000000-0005-0000-0000-0000DC830000}"/>
    <cellStyle name="60% - Accent5 2 6 3" xfId="3262" xr:uid="{00000000-0005-0000-0000-0000DD830000}"/>
    <cellStyle name="60% - Accent5 2 6 3 2" xfId="8382" xr:uid="{00000000-0005-0000-0000-0000DE830000}"/>
    <cellStyle name="60% - Accent5 2 6 3 2 2" xfId="18622" xr:uid="{00000000-0005-0000-0000-0000DF830000}"/>
    <cellStyle name="60% - Accent5 2 6 3 2 2 2" xfId="39102" xr:uid="{00000000-0005-0000-0000-0000E0830000}"/>
    <cellStyle name="60% - Accent5 2 6 3 2 3" xfId="28862" xr:uid="{00000000-0005-0000-0000-0000E1830000}"/>
    <cellStyle name="60% - Accent5 2 6 3 3" xfId="13502" xr:uid="{00000000-0005-0000-0000-0000E2830000}"/>
    <cellStyle name="60% - Accent5 2 6 3 3 2" xfId="33982" xr:uid="{00000000-0005-0000-0000-0000E3830000}"/>
    <cellStyle name="60% - Accent5 2 6 3 4" xfId="23742" xr:uid="{00000000-0005-0000-0000-0000E4830000}"/>
    <cellStyle name="60% - Accent5 2 6 4" xfId="5822" xr:uid="{00000000-0005-0000-0000-0000E5830000}"/>
    <cellStyle name="60% - Accent5 2 6 4 2" xfId="16062" xr:uid="{00000000-0005-0000-0000-0000E6830000}"/>
    <cellStyle name="60% - Accent5 2 6 4 2 2" xfId="36542" xr:uid="{00000000-0005-0000-0000-0000E7830000}"/>
    <cellStyle name="60% - Accent5 2 6 4 3" xfId="26302" xr:uid="{00000000-0005-0000-0000-0000E8830000}"/>
    <cellStyle name="60% - Accent5 2 6 5" xfId="10942" xr:uid="{00000000-0005-0000-0000-0000E9830000}"/>
    <cellStyle name="60% - Accent5 2 6 5 2" xfId="31422" xr:uid="{00000000-0005-0000-0000-0000EA830000}"/>
    <cellStyle name="60% - Accent5 2 6 6" xfId="21182" xr:uid="{00000000-0005-0000-0000-0000EB830000}"/>
    <cellStyle name="60% - Accent5 2 7" xfId="1342" xr:uid="{00000000-0005-0000-0000-0000EC830000}"/>
    <cellStyle name="60% - Accent5 2 7 2" xfId="3902" xr:uid="{00000000-0005-0000-0000-0000ED830000}"/>
    <cellStyle name="60% - Accent5 2 7 2 2" xfId="9022" xr:uid="{00000000-0005-0000-0000-0000EE830000}"/>
    <cellStyle name="60% - Accent5 2 7 2 2 2" xfId="19262" xr:uid="{00000000-0005-0000-0000-0000EF830000}"/>
    <cellStyle name="60% - Accent5 2 7 2 2 2 2" xfId="39742" xr:uid="{00000000-0005-0000-0000-0000F0830000}"/>
    <cellStyle name="60% - Accent5 2 7 2 2 3" xfId="29502" xr:uid="{00000000-0005-0000-0000-0000F1830000}"/>
    <cellStyle name="60% - Accent5 2 7 2 3" xfId="14142" xr:uid="{00000000-0005-0000-0000-0000F2830000}"/>
    <cellStyle name="60% - Accent5 2 7 2 3 2" xfId="34622" xr:uid="{00000000-0005-0000-0000-0000F3830000}"/>
    <cellStyle name="60% - Accent5 2 7 2 4" xfId="24382" xr:uid="{00000000-0005-0000-0000-0000F4830000}"/>
    <cellStyle name="60% - Accent5 2 7 3" xfId="6462" xr:uid="{00000000-0005-0000-0000-0000F5830000}"/>
    <cellStyle name="60% - Accent5 2 7 3 2" xfId="16702" xr:uid="{00000000-0005-0000-0000-0000F6830000}"/>
    <cellStyle name="60% - Accent5 2 7 3 2 2" xfId="37182" xr:uid="{00000000-0005-0000-0000-0000F7830000}"/>
    <cellStyle name="60% - Accent5 2 7 3 3" xfId="26942" xr:uid="{00000000-0005-0000-0000-0000F8830000}"/>
    <cellStyle name="60% - Accent5 2 7 4" xfId="11582" xr:uid="{00000000-0005-0000-0000-0000F9830000}"/>
    <cellStyle name="60% - Accent5 2 7 4 2" xfId="32062" xr:uid="{00000000-0005-0000-0000-0000FA830000}"/>
    <cellStyle name="60% - Accent5 2 7 5" xfId="21822" xr:uid="{00000000-0005-0000-0000-0000FB830000}"/>
    <cellStyle name="60% - Accent5 2 8" xfId="2622" xr:uid="{00000000-0005-0000-0000-0000FC830000}"/>
    <cellStyle name="60% - Accent5 2 8 2" xfId="7742" xr:uid="{00000000-0005-0000-0000-0000FD830000}"/>
    <cellStyle name="60% - Accent5 2 8 2 2" xfId="17982" xr:uid="{00000000-0005-0000-0000-0000FE830000}"/>
    <cellStyle name="60% - Accent5 2 8 2 2 2" xfId="38462" xr:uid="{00000000-0005-0000-0000-0000FF830000}"/>
    <cellStyle name="60% - Accent5 2 8 2 3" xfId="28222" xr:uid="{00000000-0005-0000-0000-000000840000}"/>
    <cellStyle name="60% - Accent5 2 8 3" xfId="12862" xr:uid="{00000000-0005-0000-0000-000001840000}"/>
    <cellStyle name="60% - Accent5 2 8 3 2" xfId="33342" xr:uid="{00000000-0005-0000-0000-000002840000}"/>
    <cellStyle name="60% - Accent5 2 8 4" xfId="23102" xr:uid="{00000000-0005-0000-0000-000003840000}"/>
    <cellStyle name="60% - Accent5 2 9" xfId="5182" xr:uid="{00000000-0005-0000-0000-000004840000}"/>
    <cellStyle name="60% - Accent5 2 9 2" xfId="15422" xr:uid="{00000000-0005-0000-0000-000005840000}"/>
    <cellStyle name="60% - Accent5 2 9 2 2" xfId="35902" xr:uid="{00000000-0005-0000-0000-000006840000}"/>
    <cellStyle name="60% - Accent5 2 9 3" xfId="25662" xr:uid="{00000000-0005-0000-0000-000007840000}"/>
    <cellStyle name="60% - Accent5 3" xfId="82" xr:uid="{00000000-0005-0000-0000-000008840000}"/>
    <cellStyle name="60% - Accent5 3 10" xfId="20562" xr:uid="{00000000-0005-0000-0000-000009840000}"/>
    <cellStyle name="60% - Accent5 3 2" xfId="162" xr:uid="{00000000-0005-0000-0000-00000A840000}"/>
    <cellStyle name="60% - Accent5 3 2 2" xfId="322" xr:uid="{00000000-0005-0000-0000-00000B840000}"/>
    <cellStyle name="60% - Accent5 3 2 2 2" xfId="642" xr:uid="{00000000-0005-0000-0000-00000C840000}"/>
    <cellStyle name="60% - Accent5 3 2 2 2 2" xfId="1282" xr:uid="{00000000-0005-0000-0000-00000D840000}"/>
    <cellStyle name="60% - Accent5 3 2 2 2 2 2" xfId="2562" xr:uid="{00000000-0005-0000-0000-00000E840000}"/>
    <cellStyle name="60% - Accent5 3 2 2 2 2 2 2" xfId="5122" xr:uid="{00000000-0005-0000-0000-00000F840000}"/>
    <cellStyle name="60% - Accent5 3 2 2 2 2 2 2 2" xfId="10242" xr:uid="{00000000-0005-0000-0000-000010840000}"/>
    <cellStyle name="60% - Accent5 3 2 2 2 2 2 2 2 2" xfId="20482" xr:uid="{00000000-0005-0000-0000-000011840000}"/>
    <cellStyle name="60% - Accent5 3 2 2 2 2 2 2 2 2 2" xfId="40962" xr:uid="{00000000-0005-0000-0000-000012840000}"/>
    <cellStyle name="60% - Accent5 3 2 2 2 2 2 2 2 3" xfId="30722" xr:uid="{00000000-0005-0000-0000-000013840000}"/>
    <cellStyle name="60% - Accent5 3 2 2 2 2 2 2 3" xfId="15362" xr:uid="{00000000-0005-0000-0000-000014840000}"/>
    <cellStyle name="60% - Accent5 3 2 2 2 2 2 2 3 2" xfId="35842" xr:uid="{00000000-0005-0000-0000-000015840000}"/>
    <cellStyle name="60% - Accent5 3 2 2 2 2 2 2 4" xfId="25602" xr:uid="{00000000-0005-0000-0000-000016840000}"/>
    <cellStyle name="60% - Accent5 3 2 2 2 2 2 3" xfId="7682" xr:uid="{00000000-0005-0000-0000-000017840000}"/>
    <cellStyle name="60% - Accent5 3 2 2 2 2 2 3 2" xfId="17922" xr:uid="{00000000-0005-0000-0000-000018840000}"/>
    <cellStyle name="60% - Accent5 3 2 2 2 2 2 3 2 2" xfId="38402" xr:uid="{00000000-0005-0000-0000-000019840000}"/>
    <cellStyle name="60% - Accent5 3 2 2 2 2 2 3 3" xfId="28162" xr:uid="{00000000-0005-0000-0000-00001A840000}"/>
    <cellStyle name="60% - Accent5 3 2 2 2 2 2 4" xfId="12802" xr:uid="{00000000-0005-0000-0000-00001B840000}"/>
    <cellStyle name="60% - Accent5 3 2 2 2 2 2 4 2" xfId="33282" xr:uid="{00000000-0005-0000-0000-00001C840000}"/>
    <cellStyle name="60% - Accent5 3 2 2 2 2 2 5" xfId="23042" xr:uid="{00000000-0005-0000-0000-00001D840000}"/>
    <cellStyle name="60% - Accent5 3 2 2 2 2 3" xfId="3842" xr:uid="{00000000-0005-0000-0000-00001E840000}"/>
    <cellStyle name="60% - Accent5 3 2 2 2 2 3 2" xfId="8962" xr:uid="{00000000-0005-0000-0000-00001F840000}"/>
    <cellStyle name="60% - Accent5 3 2 2 2 2 3 2 2" xfId="19202" xr:uid="{00000000-0005-0000-0000-000020840000}"/>
    <cellStyle name="60% - Accent5 3 2 2 2 2 3 2 2 2" xfId="39682" xr:uid="{00000000-0005-0000-0000-000021840000}"/>
    <cellStyle name="60% - Accent5 3 2 2 2 2 3 2 3" xfId="29442" xr:uid="{00000000-0005-0000-0000-000022840000}"/>
    <cellStyle name="60% - Accent5 3 2 2 2 2 3 3" xfId="14082" xr:uid="{00000000-0005-0000-0000-000023840000}"/>
    <cellStyle name="60% - Accent5 3 2 2 2 2 3 3 2" xfId="34562" xr:uid="{00000000-0005-0000-0000-000024840000}"/>
    <cellStyle name="60% - Accent5 3 2 2 2 2 3 4" xfId="24322" xr:uid="{00000000-0005-0000-0000-000025840000}"/>
    <cellStyle name="60% - Accent5 3 2 2 2 2 4" xfId="6402" xr:uid="{00000000-0005-0000-0000-000026840000}"/>
    <cellStyle name="60% - Accent5 3 2 2 2 2 4 2" xfId="16642" xr:uid="{00000000-0005-0000-0000-000027840000}"/>
    <cellStyle name="60% - Accent5 3 2 2 2 2 4 2 2" xfId="37122" xr:uid="{00000000-0005-0000-0000-000028840000}"/>
    <cellStyle name="60% - Accent5 3 2 2 2 2 4 3" xfId="26882" xr:uid="{00000000-0005-0000-0000-000029840000}"/>
    <cellStyle name="60% - Accent5 3 2 2 2 2 5" xfId="11522" xr:uid="{00000000-0005-0000-0000-00002A840000}"/>
    <cellStyle name="60% - Accent5 3 2 2 2 2 5 2" xfId="32002" xr:uid="{00000000-0005-0000-0000-00002B840000}"/>
    <cellStyle name="60% - Accent5 3 2 2 2 2 6" xfId="21762" xr:uid="{00000000-0005-0000-0000-00002C840000}"/>
    <cellStyle name="60% - Accent5 3 2 2 2 3" xfId="1922" xr:uid="{00000000-0005-0000-0000-00002D840000}"/>
    <cellStyle name="60% - Accent5 3 2 2 2 3 2" xfId="4482" xr:uid="{00000000-0005-0000-0000-00002E840000}"/>
    <cellStyle name="60% - Accent5 3 2 2 2 3 2 2" xfId="9602" xr:uid="{00000000-0005-0000-0000-00002F840000}"/>
    <cellStyle name="60% - Accent5 3 2 2 2 3 2 2 2" xfId="19842" xr:uid="{00000000-0005-0000-0000-000030840000}"/>
    <cellStyle name="60% - Accent5 3 2 2 2 3 2 2 2 2" xfId="40322" xr:uid="{00000000-0005-0000-0000-000031840000}"/>
    <cellStyle name="60% - Accent5 3 2 2 2 3 2 2 3" xfId="30082" xr:uid="{00000000-0005-0000-0000-000032840000}"/>
    <cellStyle name="60% - Accent5 3 2 2 2 3 2 3" xfId="14722" xr:uid="{00000000-0005-0000-0000-000033840000}"/>
    <cellStyle name="60% - Accent5 3 2 2 2 3 2 3 2" xfId="35202" xr:uid="{00000000-0005-0000-0000-000034840000}"/>
    <cellStyle name="60% - Accent5 3 2 2 2 3 2 4" xfId="24962" xr:uid="{00000000-0005-0000-0000-000035840000}"/>
    <cellStyle name="60% - Accent5 3 2 2 2 3 3" xfId="7042" xr:uid="{00000000-0005-0000-0000-000036840000}"/>
    <cellStyle name="60% - Accent5 3 2 2 2 3 3 2" xfId="17282" xr:uid="{00000000-0005-0000-0000-000037840000}"/>
    <cellStyle name="60% - Accent5 3 2 2 2 3 3 2 2" xfId="37762" xr:uid="{00000000-0005-0000-0000-000038840000}"/>
    <cellStyle name="60% - Accent5 3 2 2 2 3 3 3" xfId="27522" xr:uid="{00000000-0005-0000-0000-000039840000}"/>
    <cellStyle name="60% - Accent5 3 2 2 2 3 4" xfId="12162" xr:uid="{00000000-0005-0000-0000-00003A840000}"/>
    <cellStyle name="60% - Accent5 3 2 2 2 3 4 2" xfId="32642" xr:uid="{00000000-0005-0000-0000-00003B840000}"/>
    <cellStyle name="60% - Accent5 3 2 2 2 3 5" xfId="22402" xr:uid="{00000000-0005-0000-0000-00003C840000}"/>
    <cellStyle name="60% - Accent5 3 2 2 2 4" xfId="3202" xr:uid="{00000000-0005-0000-0000-00003D840000}"/>
    <cellStyle name="60% - Accent5 3 2 2 2 4 2" xfId="8322" xr:uid="{00000000-0005-0000-0000-00003E840000}"/>
    <cellStyle name="60% - Accent5 3 2 2 2 4 2 2" xfId="18562" xr:uid="{00000000-0005-0000-0000-00003F840000}"/>
    <cellStyle name="60% - Accent5 3 2 2 2 4 2 2 2" xfId="39042" xr:uid="{00000000-0005-0000-0000-000040840000}"/>
    <cellStyle name="60% - Accent5 3 2 2 2 4 2 3" xfId="28802" xr:uid="{00000000-0005-0000-0000-000041840000}"/>
    <cellStyle name="60% - Accent5 3 2 2 2 4 3" xfId="13442" xr:uid="{00000000-0005-0000-0000-000042840000}"/>
    <cellStyle name="60% - Accent5 3 2 2 2 4 3 2" xfId="33922" xr:uid="{00000000-0005-0000-0000-000043840000}"/>
    <cellStyle name="60% - Accent5 3 2 2 2 4 4" xfId="23682" xr:uid="{00000000-0005-0000-0000-000044840000}"/>
    <cellStyle name="60% - Accent5 3 2 2 2 5" xfId="5762" xr:uid="{00000000-0005-0000-0000-000045840000}"/>
    <cellStyle name="60% - Accent5 3 2 2 2 5 2" xfId="16002" xr:uid="{00000000-0005-0000-0000-000046840000}"/>
    <cellStyle name="60% - Accent5 3 2 2 2 5 2 2" xfId="36482" xr:uid="{00000000-0005-0000-0000-000047840000}"/>
    <cellStyle name="60% - Accent5 3 2 2 2 5 3" xfId="26242" xr:uid="{00000000-0005-0000-0000-000048840000}"/>
    <cellStyle name="60% - Accent5 3 2 2 2 6" xfId="10882" xr:uid="{00000000-0005-0000-0000-000049840000}"/>
    <cellStyle name="60% - Accent5 3 2 2 2 6 2" xfId="31362" xr:uid="{00000000-0005-0000-0000-00004A840000}"/>
    <cellStyle name="60% - Accent5 3 2 2 2 7" xfId="21122" xr:uid="{00000000-0005-0000-0000-00004B840000}"/>
    <cellStyle name="60% - Accent5 3 2 2 3" xfId="962" xr:uid="{00000000-0005-0000-0000-00004C840000}"/>
    <cellStyle name="60% - Accent5 3 2 2 3 2" xfId="2242" xr:uid="{00000000-0005-0000-0000-00004D840000}"/>
    <cellStyle name="60% - Accent5 3 2 2 3 2 2" xfId="4802" xr:uid="{00000000-0005-0000-0000-00004E840000}"/>
    <cellStyle name="60% - Accent5 3 2 2 3 2 2 2" xfId="9922" xr:uid="{00000000-0005-0000-0000-00004F840000}"/>
    <cellStyle name="60% - Accent5 3 2 2 3 2 2 2 2" xfId="20162" xr:uid="{00000000-0005-0000-0000-000050840000}"/>
    <cellStyle name="60% - Accent5 3 2 2 3 2 2 2 2 2" xfId="40642" xr:uid="{00000000-0005-0000-0000-000051840000}"/>
    <cellStyle name="60% - Accent5 3 2 2 3 2 2 2 3" xfId="30402" xr:uid="{00000000-0005-0000-0000-000052840000}"/>
    <cellStyle name="60% - Accent5 3 2 2 3 2 2 3" xfId="15042" xr:uid="{00000000-0005-0000-0000-000053840000}"/>
    <cellStyle name="60% - Accent5 3 2 2 3 2 2 3 2" xfId="35522" xr:uid="{00000000-0005-0000-0000-000054840000}"/>
    <cellStyle name="60% - Accent5 3 2 2 3 2 2 4" xfId="25282" xr:uid="{00000000-0005-0000-0000-000055840000}"/>
    <cellStyle name="60% - Accent5 3 2 2 3 2 3" xfId="7362" xr:uid="{00000000-0005-0000-0000-000056840000}"/>
    <cellStyle name="60% - Accent5 3 2 2 3 2 3 2" xfId="17602" xr:uid="{00000000-0005-0000-0000-000057840000}"/>
    <cellStyle name="60% - Accent5 3 2 2 3 2 3 2 2" xfId="38082" xr:uid="{00000000-0005-0000-0000-000058840000}"/>
    <cellStyle name="60% - Accent5 3 2 2 3 2 3 3" xfId="27842" xr:uid="{00000000-0005-0000-0000-000059840000}"/>
    <cellStyle name="60% - Accent5 3 2 2 3 2 4" xfId="12482" xr:uid="{00000000-0005-0000-0000-00005A840000}"/>
    <cellStyle name="60% - Accent5 3 2 2 3 2 4 2" xfId="32962" xr:uid="{00000000-0005-0000-0000-00005B840000}"/>
    <cellStyle name="60% - Accent5 3 2 2 3 2 5" xfId="22722" xr:uid="{00000000-0005-0000-0000-00005C840000}"/>
    <cellStyle name="60% - Accent5 3 2 2 3 3" xfId="3522" xr:uid="{00000000-0005-0000-0000-00005D840000}"/>
    <cellStyle name="60% - Accent5 3 2 2 3 3 2" xfId="8642" xr:uid="{00000000-0005-0000-0000-00005E840000}"/>
    <cellStyle name="60% - Accent5 3 2 2 3 3 2 2" xfId="18882" xr:uid="{00000000-0005-0000-0000-00005F840000}"/>
    <cellStyle name="60% - Accent5 3 2 2 3 3 2 2 2" xfId="39362" xr:uid="{00000000-0005-0000-0000-000060840000}"/>
    <cellStyle name="60% - Accent5 3 2 2 3 3 2 3" xfId="29122" xr:uid="{00000000-0005-0000-0000-000061840000}"/>
    <cellStyle name="60% - Accent5 3 2 2 3 3 3" xfId="13762" xr:uid="{00000000-0005-0000-0000-000062840000}"/>
    <cellStyle name="60% - Accent5 3 2 2 3 3 3 2" xfId="34242" xr:uid="{00000000-0005-0000-0000-000063840000}"/>
    <cellStyle name="60% - Accent5 3 2 2 3 3 4" xfId="24002" xr:uid="{00000000-0005-0000-0000-000064840000}"/>
    <cellStyle name="60% - Accent5 3 2 2 3 4" xfId="6082" xr:uid="{00000000-0005-0000-0000-000065840000}"/>
    <cellStyle name="60% - Accent5 3 2 2 3 4 2" xfId="16322" xr:uid="{00000000-0005-0000-0000-000066840000}"/>
    <cellStyle name="60% - Accent5 3 2 2 3 4 2 2" xfId="36802" xr:uid="{00000000-0005-0000-0000-000067840000}"/>
    <cellStyle name="60% - Accent5 3 2 2 3 4 3" xfId="26562" xr:uid="{00000000-0005-0000-0000-000068840000}"/>
    <cellStyle name="60% - Accent5 3 2 2 3 5" xfId="11202" xr:uid="{00000000-0005-0000-0000-000069840000}"/>
    <cellStyle name="60% - Accent5 3 2 2 3 5 2" xfId="31682" xr:uid="{00000000-0005-0000-0000-00006A840000}"/>
    <cellStyle name="60% - Accent5 3 2 2 3 6" xfId="21442" xr:uid="{00000000-0005-0000-0000-00006B840000}"/>
    <cellStyle name="60% - Accent5 3 2 2 4" xfId="1602" xr:uid="{00000000-0005-0000-0000-00006C840000}"/>
    <cellStyle name="60% - Accent5 3 2 2 4 2" xfId="4162" xr:uid="{00000000-0005-0000-0000-00006D840000}"/>
    <cellStyle name="60% - Accent5 3 2 2 4 2 2" xfId="9282" xr:uid="{00000000-0005-0000-0000-00006E840000}"/>
    <cellStyle name="60% - Accent5 3 2 2 4 2 2 2" xfId="19522" xr:uid="{00000000-0005-0000-0000-00006F840000}"/>
    <cellStyle name="60% - Accent5 3 2 2 4 2 2 2 2" xfId="40002" xr:uid="{00000000-0005-0000-0000-000070840000}"/>
    <cellStyle name="60% - Accent5 3 2 2 4 2 2 3" xfId="29762" xr:uid="{00000000-0005-0000-0000-000071840000}"/>
    <cellStyle name="60% - Accent5 3 2 2 4 2 3" xfId="14402" xr:uid="{00000000-0005-0000-0000-000072840000}"/>
    <cellStyle name="60% - Accent5 3 2 2 4 2 3 2" xfId="34882" xr:uid="{00000000-0005-0000-0000-000073840000}"/>
    <cellStyle name="60% - Accent5 3 2 2 4 2 4" xfId="24642" xr:uid="{00000000-0005-0000-0000-000074840000}"/>
    <cellStyle name="60% - Accent5 3 2 2 4 3" xfId="6722" xr:uid="{00000000-0005-0000-0000-000075840000}"/>
    <cellStyle name="60% - Accent5 3 2 2 4 3 2" xfId="16962" xr:uid="{00000000-0005-0000-0000-000076840000}"/>
    <cellStyle name="60% - Accent5 3 2 2 4 3 2 2" xfId="37442" xr:uid="{00000000-0005-0000-0000-000077840000}"/>
    <cellStyle name="60% - Accent5 3 2 2 4 3 3" xfId="27202" xr:uid="{00000000-0005-0000-0000-000078840000}"/>
    <cellStyle name="60% - Accent5 3 2 2 4 4" xfId="11842" xr:uid="{00000000-0005-0000-0000-000079840000}"/>
    <cellStyle name="60% - Accent5 3 2 2 4 4 2" xfId="32322" xr:uid="{00000000-0005-0000-0000-00007A840000}"/>
    <cellStyle name="60% - Accent5 3 2 2 4 5" xfId="22082" xr:uid="{00000000-0005-0000-0000-00007B840000}"/>
    <cellStyle name="60% - Accent5 3 2 2 5" xfId="2882" xr:uid="{00000000-0005-0000-0000-00007C840000}"/>
    <cellStyle name="60% - Accent5 3 2 2 5 2" xfId="8002" xr:uid="{00000000-0005-0000-0000-00007D840000}"/>
    <cellStyle name="60% - Accent5 3 2 2 5 2 2" xfId="18242" xr:uid="{00000000-0005-0000-0000-00007E840000}"/>
    <cellStyle name="60% - Accent5 3 2 2 5 2 2 2" xfId="38722" xr:uid="{00000000-0005-0000-0000-00007F840000}"/>
    <cellStyle name="60% - Accent5 3 2 2 5 2 3" xfId="28482" xr:uid="{00000000-0005-0000-0000-000080840000}"/>
    <cellStyle name="60% - Accent5 3 2 2 5 3" xfId="13122" xr:uid="{00000000-0005-0000-0000-000081840000}"/>
    <cellStyle name="60% - Accent5 3 2 2 5 3 2" xfId="33602" xr:uid="{00000000-0005-0000-0000-000082840000}"/>
    <cellStyle name="60% - Accent5 3 2 2 5 4" xfId="23362" xr:uid="{00000000-0005-0000-0000-000083840000}"/>
    <cellStyle name="60% - Accent5 3 2 2 6" xfId="5442" xr:uid="{00000000-0005-0000-0000-000084840000}"/>
    <cellStyle name="60% - Accent5 3 2 2 6 2" xfId="15682" xr:uid="{00000000-0005-0000-0000-000085840000}"/>
    <cellStyle name="60% - Accent5 3 2 2 6 2 2" xfId="36162" xr:uid="{00000000-0005-0000-0000-000086840000}"/>
    <cellStyle name="60% - Accent5 3 2 2 6 3" xfId="25922" xr:uid="{00000000-0005-0000-0000-000087840000}"/>
    <cellStyle name="60% - Accent5 3 2 2 7" xfId="10562" xr:uid="{00000000-0005-0000-0000-000088840000}"/>
    <cellStyle name="60% - Accent5 3 2 2 7 2" xfId="31042" xr:uid="{00000000-0005-0000-0000-000089840000}"/>
    <cellStyle name="60% - Accent5 3 2 2 8" xfId="20802" xr:uid="{00000000-0005-0000-0000-00008A840000}"/>
    <cellStyle name="60% - Accent5 3 2 3" xfId="482" xr:uid="{00000000-0005-0000-0000-00008B840000}"/>
    <cellStyle name="60% - Accent5 3 2 3 2" xfId="1122" xr:uid="{00000000-0005-0000-0000-00008C840000}"/>
    <cellStyle name="60% - Accent5 3 2 3 2 2" xfId="2402" xr:uid="{00000000-0005-0000-0000-00008D840000}"/>
    <cellStyle name="60% - Accent5 3 2 3 2 2 2" xfId="4962" xr:uid="{00000000-0005-0000-0000-00008E840000}"/>
    <cellStyle name="60% - Accent5 3 2 3 2 2 2 2" xfId="10082" xr:uid="{00000000-0005-0000-0000-00008F840000}"/>
    <cellStyle name="60% - Accent5 3 2 3 2 2 2 2 2" xfId="20322" xr:uid="{00000000-0005-0000-0000-000090840000}"/>
    <cellStyle name="60% - Accent5 3 2 3 2 2 2 2 2 2" xfId="40802" xr:uid="{00000000-0005-0000-0000-000091840000}"/>
    <cellStyle name="60% - Accent5 3 2 3 2 2 2 2 3" xfId="30562" xr:uid="{00000000-0005-0000-0000-000092840000}"/>
    <cellStyle name="60% - Accent5 3 2 3 2 2 2 3" xfId="15202" xr:uid="{00000000-0005-0000-0000-000093840000}"/>
    <cellStyle name="60% - Accent5 3 2 3 2 2 2 3 2" xfId="35682" xr:uid="{00000000-0005-0000-0000-000094840000}"/>
    <cellStyle name="60% - Accent5 3 2 3 2 2 2 4" xfId="25442" xr:uid="{00000000-0005-0000-0000-000095840000}"/>
    <cellStyle name="60% - Accent5 3 2 3 2 2 3" xfId="7522" xr:uid="{00000000-0005-0000-0000-000096840000}"/>
    <cellStyle name="60% - Accent5 3 2 3 2 2 3 2" xfId="17762" xr:uid="{00000000-0005-0000-0000-000097840000}"/>
    <cellStyle name="60% - Accent5 3 2 3 2 2 3 2 2" xfId="38242" xr:uid="{00000000-0005-0000-0000-000098840000}"/>
    <cellStyle name="60% - Accent5 3 2 3 2 2 3 3" xfId="28002" xr:uid="{00000000-0005-0000-0000-000099840000}"/>
    <cellStyle name="60% - Accent5 3 2 3 2 2 4" xfId="12642" xr:uid="{00000000-0005-0000-0000-00009A840000}"/>
    <cellStyle name="60% - Accent5 3 2 3 2 2 4 2" xfId="33122" xr:uid="{00000000-0005-0000-0000-00009B840000}"/>
    <cellStyle name="60% - Accent5 3 2 3 2 2 5" xfId="22882" xr:uid="{00000000-0005-0000-0000-00009C840000}"/>
    <cellStyle name="60% - Accent5 3 2 3 2 3" xfId="3682" xr:uid="{00000000-0005-0000-0000-00009D840000}"/>
    <cellStyle name="60% - Accent5 3 2 3 2 3 2" xfId="8802" xr:uid="{00000000-0005-0000-0000-00009E840000}"/>
    <cellStyle name="60% - Accent5 3 2 3 2 3 2 2" xfId="19042" xr:uid="{00000000-0005-0000-0000-00009F840000}"/>
    <cellStyle name="60% - Accent5 3 2 3 2 3 2 2 2" xfId="39522" xr:uid="{00000000-0005-0000-0000-0000A0840000}"/>
    <cellStyle name="60% - Accent5 3 2 3 2 3 2 3" xfId="29282" xr:uid="{00000000-0005-0000-0000-0000A1840000}"/>
    <cellStyle name="60% - Accent5 3 2 3 2 3 3" xfId="13922" xr:uid="{00000000-0005-0000-0000-0000A2840000}"/>
    <cellStyle name="60% - Accent5 3 2 3 2 3 3 2" xfId="34402" xr:uid="{00000000-0005-0000-0000-0000A3840000}"/>
    <cellStyle name="60% - Accent5 3 2 3 2 3 4" xfId="24162" xr:uid="{00000000-0005-0000-0000-0000A4840000}"/>
    <cellStyle name="60% - Accent5 3 2 3 2 4" xfId="6242" xr:uid="{00000000-0005-0000-0000-0000A5840000}"/>
    <cellStyle name="60% - Accent5 3 2 3 2 4 2" xfId="16482" xr:uid="{00000000-0005-0000-0000-0000A6840000}"/>
    <cellStyle name="60% - Accent5 3 2 3 2 4 2 2" xfId="36962" xr:uid="{00000000-0005-0000-0000-0000A7840000}"/>
    <cellStyle name="60% - Accent5 3 2 3 2 4 3" xfId="26722" xr:uid="{00000000-0005-0000-0000-0000A8840000}"/>
    <cellStyle name="60% - Accent5 3 2 3 2 5" xfId="11362" xr:uid="{00000000-0005-0000-0000-0000A9840000}"/>
    <cellStyle name="60% - Accent5 3 2 3 2 5 2" xfId="31842" xr:uid="{00000000-0005-0000-0000-0000AA840000}"/>
    <cellStyle name="60% - Accent5 3 2 3 2 6" xfId="21602" xr:uid="{00000000-0005-0000-0000-0000AB840000}"/>
    <cellStyle name="60% - Accent5 3 2 3 3" xfId="1762" xr:uid="{00000000-0005-0000-0000-0000AC840000}"/>
    <cellStyle name="60% - Accent5 3 2 3 3 2" xfId="4322" xr:uid="{00000000-0005-0000-0000-0000AD840000}"/>
    <cellStyle name="60% - Accent5 3 2 3 3 2 2" xfId="9442" xr:uid="{00000000-0005-0000-0000-0000AE840000}"/>
    <cellStyle name="60% - Accent5 3 2 3 3 2 2 2" xfId="19682" xr:uid="{00000000-0005-0000-0000-0000AF840000}"/>
    <cellStyle name="60% - Accent5 3 2 3 3 2 2 2 2" xfId="40162" xr:uid="{00000000-0005-0000-0000-0000B0840000}"/>
    <cellStyle name="60% - Accent5 3 2 3 3 2 2 3" xfId="29922" xr:uid="{00000000-0005-0000-0000-0000B1840000}"/>
    <cellStyle name="60% - Accent5 3 2 3 3 2 3" xfId="14562" xr:uid="{00000000-0005-0000-0000-0000B2840000}"/>
    <cellStyle name="60% - Accent5 3 2 3 3 2 3 2" xfId="35042" xr:uid="{00000000-0005-0000-0000-0000B3840000}"/>
    <cellStyle name="60% - Accent5 3 2 3 3 2 4" xfId="24802" xr:uid="{00000000-0005-0000-0000-0000B4840000}"/>
    <cellStyle name="60% - Accent5 3 2 3 3 3" xfId="6882" xr:uid="{00000000-0005-0000-0000-0000B5840000}"/>
    <cellStyle name="60% - Accent5 3 2 3 3 3 2" xfId="17122" xr:uid="{00000000-0005-0000-0000-0000B6840000}"/>
    <cellStyle name="60% - Accent5 3 2 3 3 3 2 2" xfId="37602" xr:uid="{00000000-0005-0000-0000-0000B7840000}"/>
    <cellStyle name="60% - Accent5 3 2 3 3 3 3" xfId="27362" xr:uid="{00000000-0005-0000-0000-0000B8840000}"/>
    <cellStyle name="60% - Accent5 3 2 3 3 4" xfId="12002" xr:uid="{00000000-0005-0000-0000-0000B9840000}"/>
    <cellStyle name="60% - Accent5 3 2 3 3 4 2" xfId="32482" xr:uid="{00000000-0005-0000-0000-0000BA840000}"/>
    <cellStyle name="60% - Accent5 3 2 3 3 5" xfId="22242" xr:uid="{00000000-0005-0000-0000-0000BB840000}"/>
    <cellStyle name="60% - Accent5 3 2 3 4" xfId="3042" xr:uid="{00000000-0005-0000-0000-0000BC840000}"/>
    <cellStyle name="60% - Accent5 3 2 3 4 2" xfId="8162" xr:uid="{00000000-0005-0000-0000-0000BD840000}"/>
    <cellStyle name="60% - Accent5 3 2 3 4 2 2" xfId="18402" xr:uid="{00000000-0005-0000-0000-0000BE840000}"/>
    <cellStyle name="60% - Accent5 3 2 3 4 2 2 2" xfId="38882" xr:uid="{00000000-0005-0000-0000-0000BF840000}"/>
    <cellStyle name="60% - Accent5 3 2 3 4 2 3" xfId="28642" xr:uid="{00000000-0005-0000-0000-0000C0840000}"/>
    <cellStyle name="60% - Accent5 3 2 3 4 3" xfId="13282" xr:uid="{00000000-0005-0000-0000-0000C1840000}"/>
    <cellStyle name="60% - Accent5 3 2 3 4 3 2" xfId="33762" xr:uid="{00000000-0005-0000-0000-0000C2840000}"/>
    <cellStyle name="60% - Accent5 3 2 3 4 4" xfId="23522" xr:uid="{00000000-0005-0000-0000-0000C3840000}"/>
    <cellStyle name="60% - Accent5 3 2 3 5" xfId="5602" xr:uid="{00000000-0005-0000-0000-0000C4840000}"/>
    <cellStyle name="60% - Accent5 3 2 3 5 2" xfId="15842" xr:uid="{00000000-0005-0000-0000-0000C5840000}"/>
    <cellStyle name="60% - Accent5 3 2 3 5 2 2" xfId="36322" xr:uid="{00000000-0005-0000-0000-0000C6840000}"/>
    <cellStyle name="60% - Accent5 3 2 3 5 3" xfId="26082" xr:uid="{00000000-0005-0000-0000-0000C7840000}"/>
    <cellStyle name="60% - Accent5 3 2 3 6" xfId="10722" xr:uid="{00000000-0005-0000-0000-0000C8840000}"/>
    <cellStyle name="60% - Accent5 3 2 3 6 2" xfId="31202" xr:uid="{00000000-0005-0000-0000-0000C9840000}"/>
    <cellStyle name="60% - Accent5 3 2 3 7" xfId="20962" xr:uid="{00000000-0005-0000-0000-0000CA840000}"/>
    <cellStyle name="60% - Accent5 3 2 4" xfId="802" xr:uid="{00000000-0005-0000-0000-0000CB840000}"/>
    <cellStyle name="60% - Accent5 3 2 4 2" xfId="2082" xr:uid="{00000000-0005-0000-0000-0000CC840000}"/>
    <cellStyle name="60% - Accent5 3 2 4 2 2" xfId="4642" xr:uid="{00000000-0005-0000-0000-0000CD840000}"/>
    <cellStyle name="60% - Accent5 3 2 4 2 2 2" xfId="9762" xr:uid="{00000000-0005-0000-0000-0000CE840000}"/>
    <cellStyle name="60% - Accent5 3 2 4 2 2 2 2" xfId="20002" xr:uid="{00000000-0005-0000-0000-0000CF840000}"/>
    <cellStyle name="60% - Accent5 3 2 4 2 2 2 2 2" xfId="40482" xr:uid="{00000000-0005-0000-0000-0000D0840000}"/>
    <cellStyle name="60% - Accent5 3 2 4 2 2 2 3" xfId="30242" xr:uid="{00000000-0005-0000-0000-0000D1840000}"/>
    <cellStyle name="60% - Accent5 3 2 4 2 2 3" xfId="14882" xr:uid="{00000000-0005-0000-0000-0000D2840000}"/>
    <cellStyle name="60% - Accent5 3 2 4 2 2 3 2" xfId="35362" xr:uid="{00000000-0005-0000-0000-0000D3840000}"/>
    <cellStyle name="60% - Accent5 3 2 4 2 2 4" xfId="25122" xr:uid="{00000000-0005-0000-0000-0000D4840000}"/>
    <cellStyle name="60% - Accent5 3 2 4 2 3" xfId="7202" xr:uid="{00000000-0005-0000-0000-0000D5840000}"/>
    <cellStyle name="60% - Accent5 3 2 4 2 3 2" xfId="17442" xr:uid="{00000000-0005-0000-0000-0000D6840000}"/>
    <cellStyle name="60% - Accent5 3 2 4 2 3 2 2" xfId="37922" xr:uid="{00000000-0005-0000-0000-0000D7840000}"/>
    <cellStyle name="60% - Accent5 3 2 4 2 3 3" xfId="27682" xr:uid="{00000000-0005-0000-0000-0000D8840000}"/>
    <cellStyle name="60% - Accent5 3 2 4 2 4" xfId="12322" xr:uid="{00000000-0005-0000-0000-0000D9840000}"/>
    <cellStyle name="60% - Accent5 3 2 4 2 4 2" xfId="32802" xr:uid="{00000000-0005-0000-0000-0000DA840000}"/>
    <cellStyle name="60% - Accent5 3 2 4 2 5" xfId="22562" xr:uid="{00000000-0005-0000-0000-0000DB840000}"/>
    <cellStyle name="60% - Accent5 3 2 4 3" xfId="3362" xr:uid="{00000000-0005-0000-0000-0000DC840000}"/>
    <cellStyle name="60% - Accent5 3 2 4 3 2" xfId="8482" xr:uid="{00000000-0005-0000-0000-0000DD840000}"/>
    <cellStyle name="60% - Accent5 3 2 4 3 2 2" xfId="18722" xr:uid="{00000000-0005-0000-0000-0000DE840000}"/>
    <cellStyle name="60% - Accent5 3 2 4 3 2 2 2" xfId="39202" xr:uid="{00000000-0005-0000-0000-0000DF840000}"/>
    <cellStyle name="60% - Accent5 3 2 4 3 2 3" xfId="28962" xr:uid="{00000000-0005-0000-0000-0000E0840000}"/>
    <cellStyle name="60% - Accent5 3 2 4 3 3" xfId="13602" xr:uid="{00000000-0005-0000-0000-0000E1840000}"/>
    <cellStyle name="60% - Accent5 3 2 4 3 3 2" xfId="34082" xr:uid="{00000000-0005-0000-0000-0000E2840000}"/>
    <cellStyle name="60% - Accent5 3 2 4 3 4" xfId="23842" xr:uid="{00000000-0005-0000-0000-0000E3840000}"/>
    <cellStyle name="60% - Accent5 3 2 4 4" xfId="5922" xr:uid="{00000000-0005-0000-0000-0000E4840000}"/>
    <cellStyle name="60% - Accent5 3 2 4 4 2" xfId="16162" xr:uid="{00000000-0005-0000-0000-0000E5840000}"/>
    <cellStyle name="60% - Accent5 3 2 4 4 2 2" xfId="36642" xr:uid="{00000000-0005-0000-0000-0000E6840000}"/>
    <cellStyle name="60% - Accent5 3 2 4 4 3" xfId="26402" xr:uid="{00000000-0005-0000-0000-0000E7840000}"/>
    <cellStyle name="60% - Accent5 3 2 4 5" xfId="11042" xr:uid="{00000000-0005-0000-0000-0000E8840000}"/>
    <cellStyle name="60% - Accent5 3 2 4 5 2" xfId="31522" xr:uid="{00000000-0005-0000-0000-0000E9840000}"/>
    <cellStyle name="60% - Accent5 3 2 4 6" xfId="21282" xr:uid="{00000000-0005-0000-0000-0000EA840000}"/>
    <cellStyle name="60% - Accent5 3 2 5" xfId="1442" xr:uid="{00000000-0005-0000-0000-0000EB840000}"/>
    <cellStyle name="60% - Accent5 3 2 5 2" xfId="4002" xr:uid="{00000000-0005-0000-0000-0000EC840000}"/>
    <cellStyle name="60% - Accent5 3 2 5 2 2" xfId="9122" xr:uid="{00000000-0005-0000-0000-0000ED840000}"/>
    <cellStyle name="60% - Accent5 3 2 5 2 2 2" xfId="19362" xr:uid="{00000000-0005-0000-0000-0000EE840000}"/>
    <cellStyle name="60% - Accent5 3 2 5 2 2 2 2" xfId="39842" xr:uid="{00000000-0005-0000-0000-0000EF840000}"/>
    <cellStyle name="60% - Accent5 3 2 5 2 2 3" xfId="29602" xr:uid="{00000000-0005-0000-0000-0000F0840000}"/>
    <cellStyle name="60% - Accent5 3 2 5 2 3" xfId="14242" xr:uid="{00000000-0005-0000-0000-0000F1840000}"/>
    <cellStyle name="60% - Accent5 3 2 5 2 3 2" xfId="34722" xr:uid="{00000000-0005-0000-0000-0000F2840000}"/>
    <cellStyle name="60% - Accent5 3 2 5 2 4" xfId="24482" xr:uid="{00000000-0005-0000-0000-0000F3840000}"/>
    <cellStyle name="60% - Accent5 3 2 5 3" xfId="6562" xr:uid="{00000000-0005-0000-0000-0000F4840000}"/>
    <cellStyle name="60% - Accent5 3 2 5 3 2" xfId="16802" xr:uid="{00000000-0005-0000-0000-0000F5840000}"/>
    <cellStyle name="60% - Accent5 3 2 5 3 2 2" xfId="37282" xr:uid="{00000000-0005-0000-0000-0000F6840000}"/>
    <cellStyle name="60% - Accent5 3 2 5 3 3" xfId="27042" xr:uid="{00000000-0005-0000-0000-0000F7840000}"/>
    <cellStyle name="60% - Accent5 3 2 5 4" xfId="11682" xr:uid="{00000000-0005-0000-0000-0000F8840000}"/>
    <cellStyle name="60% - Accent5 3 2 5 4 2" xfId="32162" xr:uid="{00000000-0005-0000-0000-0000F9840000}"/>
    <cellStyle name="60% - Accent5 3 2 5 5" xfId="21922" xr:uid="{00000000-0005-0000-0000-0000FA840000}"/>
    <cellStyle name="60% - Accent5 3 2 6" xfId="2722" xr:uid="{00000000-0005-0000-0000-0000FB840000}"/>
    <cellStyle name="60% - Accent5 3 2 6 2" xfId="7842" xr:uid="{00000000-0005-0000-0000-0000FC840000}"/>
    <cellStyle name="60% - Accent5 3 2 6 2 2" xfId="18082" xr:uid="{00000000-0005-0000-0000-0000FD840000}"/>
    <cellStyle name="60% - Accent5 3 2 6 2 2 2" xfId="38562" xr:uid="{00000000-0005-0000-0000-0000FE840000}"/>
    <cellStyle name="60% - Accent5 3 2 6 2 3" xfId="28322" xr:uid="{00000000-0005-0000-0000-0000FF840000}"/>
    <cellStyle name="60% - Accent5 3 2 6 3" xfId="12962" xr:uid="{00000000-0005-0000-0000-000000850000}"/>
    <cellStyle name="60% - Accent5 3 2 6 3 2" xfId="33442" xr:uid="{00000000-0005-0000-0000-000001850000}"/>
    <cellStyle name="60% - Accent5 3 2 6 4" xfId="23202" xr:uid="{00000000-0005-0000-0000-000002850000}"/>
    <cellStyle name="60% - Accent5 3 2 7" xfId="5282" xr:uid="{00000000-0005-0000-0000-000003850000}"/>
    <cellStyle name="60% - Accent5 3 2 7 2" xfId="15522" xr:uid="{00000000-0005-0000-0000-000004850000}"/>
    <cellStyle name="60% - Accent5 3 2 7 2 2" xfId="36002" xr:uid="{00000000-0005-0000-0000-000005850000}"/>
    <cellStyle name="60% - Accent5 3 2 7 3" xfId="25762" xr:uid="{00000000-0005-0000-0000-000006850000}"/>
    <cellStyle name="60% - Accent5 3 2 8" xfId="10402" xr:uid="{00000000-0005-0000-0000-000007850000}"/>
    <cellStyle name="60% - Accent5 3 2 8 2" xfId="30882" xr:uid="{00000000-0005-0000-0000-000008850000}"/>
    <cellStyle name="60% - Accent5 3 2 9" xfId="20642" xr:uid="{00000000-0005-0000-0000-000009850000}"/>
    <cellStyle name="60% - Accent5 3 3" xfId="242" xr:uid="{00000000-0005-0000-0000-00000A850000}"/>
    <cellStyle name="60% - Accent5 3 3 2" xfId="562" xr:uid="{00000000-0005-0000-0000-00000B850000}"/>
    <cellStyle name="60% - Accent5 3 3 2 2" xfId="1202" xr:uid="{00000000-0005-0000-0000-00000C850000}"/>
    <cellStyle name="60% - Accent5 3 3 2 2 2" xfId="2482" xr:uid="{00000000-0005-0000-0000-00000D850000}"/>
    <cellStyle name="60% - Accent5 3 3 2 2 2 2" xfId="5042" xr:uid="{00000000-0005-0000-0000-00000E850000}"/>
    <cellStyle name="60% - Accent5 3 3 2 2 2 2 2" xfId="10162" xr:uid="{00000000-0005-0000-0000-00000F850000}"/>
    <cellStyle name="60% - Accent5 3 3 2 2 2 2 2 2" xfId="20402" xr:uid="{00000000-0005-0000-0000-000010850000}"/>
    <cellStyle name="60% - Accent5 3 3 2 2 2 2 2 2 2" xfId="40882" xr:uid="{00000000-0005-0000-0000-000011850000}"/>
    <cellStyle name="60% - Accent5 3 3 2 2 2 2 2 3" xfId="30642" xr:uid="{00000000-0005-0000-0000-000012850000}"/>
    <cellStyle name="60% - Accent5 3 3 2 2 2 2 3" xfId="15282" xr:uid="{00000000-0005-0000-0000-000013850000}"/>
    <cellStyle name="60% - Accent5 3 3 2 2 2 2 3 2" xfId="35762" xr:uid="{00000000-0005-0000-0000-000014850000}"/>
    <cellStyle name="60% - Accent5 3 3 2 2 2 2 4" xfId="25522" xr:uid="{00000000-0005-0000-0000-000015850000}"/>
    <cellStyle name="60% - Accent5 3 3 2 2 2 3" xfId="7602" xr:uid="{00000000-0005-0000-0000-000016850000}"/>
    <cellStyle name="60% - Accent5 3 3 2 2 2 3 2" xfId="17842" xr:uid="{00000000-0005-0000-0000-000017850000}"/>
    <cellStyle name="60% - Accent5 3 3 2 2 2 3 2 2" xfId="38322" xr:uid="{00000000-0005-0000-0000-000018850000}"/>
    <cellStyle name="60% - Accent5 3 3 2 2 2 3 3" xfId="28082" xr:uid="{00000000-0005-0000-0000-000019850000}"/>
    <cellStyle name="60% - Accent5 3 3 2 2 2 4" xfId="12722" xr:uid="{00000000-0005-0000-0000-00001A850000}"/>
    <cellStyle name="60% - Accent5 3 3 2 2 2 4 2" xfId="33202" xr:uid="{00000000-0005-0000-0000-00001B850000}"/>
    <cellStyle name="60% - Accent5 3 3 2 2 2 5" xfId="22962" xr:uid="{00000000-0005-0000-0000-00001C850000}"/>
    <cellStyle name="60% - Accent5 3 3 2 2 3" xfId="3762" xr:uid="{00000000-0005-0000-0000-00001D850000}"/>
    <cellStyle name="60% - Accent5 3 3 2 2 3 2" xfId="8882" xr:uid="{00000000-0005-0000-0000-00001E850000}"/>
    <cellStyle name="60% - Accent5 3 3 2 2 3 2 2" xfId="19122" xr:uid="{00000000-0005-0000-0000-00001F850000}"/>
    <cellStyle name="60% - Accent5 3 3 2 2 3 2 2 2" xfId="39602" xr:uid="{00000000-0005-0000-0000-000020850000}"/>
    <cellStyle name="60% - Accent5 3 3 2 2 3 2 3" xfId="29362" xr:uid="{00000000-0005-0000-0000-000021850000}"/>
    <cellStyle name="60% - Accent5 3 3 2 2 3 3" xfId="14002" xr:uid="{00000000-0005-0000-0000-000022850000}"/>
    <cellStyle name="60% - Accent5 3 3 2 2 3 3 2" xfId="34482" xr:uid="{00000000-0005-0000-0000-000023850000}"/>
    <cellStyle name="60% - Accent5 3 3 2 2 3 4" xfId="24242" xr:uid="{00000000-0005-0000-0000-000024850000}"/>
    <cellStyle name="60% - Accent5 3 3 2 2 4" xfId="6322" xr:uid="{00000000-0005-0000-0000-000025850000}"/>
    <cellStyle name="60% - Accent5 3 3 2 2 4 2" xfId="16562" xr:uid="{00000000-0005-0000-0000-000026850000}"/>
    <cellStyle name="60% - Accent5 3 3 2 2 4 2 2" xfId="37042" xr:uid="{00000000-0005-0000-0000-000027850000}"/>
    <cellStyle name="60% - Accent5 3 3 2 2 4 3" xfId="26802" xr:uid="{00000000-0005-0000-0000-000028850000}"/>
    <cellStyle name="60% - Accent5 3 3 2 2 5" xfId="11442" xr:uid="{00000000-0005-0000-0000-000029850000}"/>
    <cellStyle name="60% - Accent5 3 3 2 2 5 2" xfId="31922" xr:uid="{00000000-0005-0000-0000-00002A850000}"/>
    <cellStyle name="60% - Accent5 3 3 2 2 6" xfId="21682" xr:uid="{00000000-0005-0000-0000-00002B850000}"/>
    <cellStyle name="60% - Accent5 3 3 2 3" xfId="1842" xr:uid="{00000000-0005-0000-0000-00002C850000}"/>
    <cellStyle name="60% - Accent5 3 3 2 3 2" xfId="4402" xr:uid="{00000000-0005-0000-0000-00002D850000}"/>
    <cellStyle name="60% - Accent5 3 3 2 3 2 2" xfId="9522" xr:uid="{00000000-0005-0000-0000-00002E850000}"/>
    <cellStyle name="60% - Accent5 3 3 2 3 2 2 2" xfId="19762" xr:uid="{00000000-0005-0000-0000-00002F850000}"/>
    <cellStyle name="60% - Accent5 3 3 2 3 2 2 2 2" xfId="40242" xr:uid="{00000000-0005-0000-0000-000030850000}"/>
    <cellStyle name="60% - Accent5 3 3 2 3 2 2 3" xfId="30002" xr:uid="{00000000-0005-0000-0000-000031850000}"/>
    <cellStyle name="60% - Accent5 3 3 2 3 2 3" xfId="14642" xr:uid="{00000000-0005-0000-0000-000032850000}"/>
    <cellStyle name="60% - Accent5 3 3 2 3 2 3 2" xfId="35122" xr:uid="{00000000-0005-0000-0000-000033850000}"/>
    <cellStyle name="60% - Accent5 3 3 2 3 2 4" xfId="24882" xr:uid="{00000000-0005-0000-0000-000034850000}"/>
    <cellStyle name="60% - Accent5 3 3 2 3 3" xfId="6962" xr:uid="{00000000-0005-0000-0000-000035850000}"/>
    <cellStyle name="60% - Accent5 3 3 2 3 3 2" xfId="17202" xr:uid="{00000000-0005-0000-0000-000036850000}"/>
    <cellStyle name="60% - Accent5 3 3 2 3 3 2 2" xfId="37682" xr:uid="{00000000-0005-0000-0000-000037850000}"/>
    <cellStyle name="60% - Accent5 3 3 2 3 3 3" xfId="27442" xr:uid="{00000000-0005-0000-0000-000038850000}"/>
    <cellStyle name="60% - Accent5 3 3 2 3 4" xfId="12082" xr:uid="{00000000-0005-0000-0000-000039850000}"/>
    <cellStyle name="60% - Accent5 3 3 2 3 4 2" xfId="32562" xr:uid="{00000000-0005-0000-0000-00003A850000}"/>
    <cellStyle name="60% - Accent5 3 3 2 3 5" xfId="22322" xr:uid="{00000000-0005-0000-0000-00003B850000}"/>
    <cellStyle name="60% - Accent5 3 3 2 4" xfId="3122" xr:uid="{00000000-0005-0000-0000-00003C850000}"/>
    <cellStyle name="60% - Accent5 3 3 2 4 2" xfId="8242" xr:uid="{00000000-0005-0000-0000-00003D850000}"/>
    <cellStyle name="60% - Accent5 3 3 2 4 2 2" xfId="18482" xr:uid="{00000000-0005-0000-0000-00003E850000}"/>
    <cellStyle name="60% - Accent5 3 3 2 4 2 2 2" xfId="38962" xr:uid="{00000000-0005-0000-0000-00003F850000}"/>
    <cellStyle name="60% - Accent5 3 3 2 4 2 3" xfId="28722" xr:uid="{00000000-0005-0000-0000-000040850000}"/>
    <cellStyle name="60% - Accent5 3 3 2 4 3" xfId="13362" xr:uid="{00000000-0005-0000-0000-000041850000}"/>
    <cellStyle name="60% - Accent5 3 3 2 4 3 2" xfId="33842" xr:uid="{00000000-0005-0000-0000-000042850000}"/>
    <cellStyle name="60% - Accent5 3 3 2 4 4" xfId="23602" xr:uid="{00000000-0005-0000-0000-000043850000}"/>
    <cellStyle name="60% - Accent5 3 3 2 5" xfId="5682" xr:uid="{00000000-0005-0000-0000-000044850000}"/>
    <cellStyle name="60% - Accent5 3 3 2 5 2" xfId="15922" xr:uid="{00000000-0005-0000-0000-000045850000}"/>
    <cellStyle name="60% - Accent5 3 3 2 5 2 2" xfId="36402" xr:uid="{00000000-0005-0000-0000-000046850000}"/>
    <cellStyle name="60% - Accent5 3 3 2 5 3" xfId="26162" xr:uid="{00000000-0005-0000-0000-000047850000}"/>
    <cellStyle name="60% - Accent5 3 3 2 6" xfId="10802" xr:uid="{00000000-0005-0000-0000-000048850000}"/>
    <cellStyle name="60% - Accent5 3 3 2 6 2" xfId="31282" xr:uid="{00000000-0005-0000-0000-000049850000}"/>
    <cellStyle name="60% - Accent5 3 3 2 7" xfId="21042" xr:uid="{00000000-0005-0000-0000-00004A850000}"/>
    <cellStyle name="60% - Accent5 3 3 3" xfId="882" xr:uid="{00000000-0005-0000-0000-00004B850000}"/>
    <cellStyle name="60% - Accent5 3 3 3 2" xfId="2162" xr:uid="{00000000-0005-0000-0000-00004C850000}"/>
    <cellStyle name="60% - Accent5 3 3 3 2 2" xfId="4722" xr:uid="{00000000-0005-0000-0000-00004D850000}"/>
    <cellStyle name="60% - Accent5 3 3 3 2 2 2" xfId="9842" xr:uid="{00000000-0005-0000-0000-00004E850000}"/>
    <cellStyle name="60% - Accent5 3 3 3 2 2 2 2" xfId="20082" xr:uid="{00000000-0005-0000-0000-00004F850000}"/>
    <cellStyle name="60% - Accent5 3 3 3 2 2 2 2 2" xfId="40562" xr:uid="{00000000-0005-0000-0000-000050850000}"/>
    <cellStyle name="60% - Accent5 3 3 3 2 2 2 3" xfId="30322" xr:uid="{00000000-0005-0000-0000-000051850000}"/>
    <cellStyle name="60% - Accent5 3 3 3 2 2 3" xfId="14962" xr:uid="{00000000-0005-0000-0000-000052850000}"/>
    <cellStyle name="60% - Accent5 3 3 3 2 2 3 2" xfId="35442" xr:uid="{00000000-0005-0000-0000-000053850000}"/>
    <cellStyle name="60% - Accent5 3 3 3 2 2 4" xfId="25202" xr:uid="{00000000-0005-0000-0000-000054850000}"/>
    <cellStyle name="60% - Accent5 3 3 3 2 3" xfId="7282" xr:uid="{00000000-0005-0000-0000-000055850000}"/>
    <cellStyle name="60% - Accent5 3 3 3 2 3 2" xfId="17522" xr:uid="{00000000-0005-0000-0000-000056850000}"/>
    <cellStyle name="60% - Accent5 3 3 3 2 3 2 2" xfId="38002" xr:uid="{00000000-0005-0000-0000-000057850000}"/>
    <cellStyle name="60% - Accent5 3 3 3 2 3 3" xfId="27762" xr:uid="{00000000-0005-0000-0000-000058850000}"/>
    <cellStyle name="60% - Accent5 3 3 3 2 4" xfId="12402" xr:uid="{00000000-0005-0000-0000-000059850000}"/>
    <cellStyle name="60% - Accent5 3 3 3 2 4 2" xfId="32882" xr:uid="{00000000-0005-0000-0000-00005A850000}"/>
    <cellStyle name="60% - Accent5 3 3 3 2 5" xfId="22642" xr:uid="{00000000-0005-0000-0000-00005B850000}"/>
    <cellStyle name="60% - Accent5 3 3 3 3" xfId="3442" xr:uid="{00000000-0005-0000-0000-00005C850000}"/>
    <cellStyle name="60% - Accent5 3 3 3 3 2" xfId="8562" xr:uid="{00000000-0005-0000-0000-00005D850000}"/>
    <cellStyle name="60% - Accent5 3 3 3 3 2 2" xfId="18802" xr:uid="{00000000-0005-0000-0000-00005E850000}"/>
    <cellStyle name="60% - Accent5 3 3 3 3 2 2 2" xfId="39282" xr:uid="{00000000-0005-0000-0000-00005F850000}"/>
    <cellStyle name="60% - Accent5 3 3 3 3 2 3" xfId="29042" xr:uid="{00000000-0005-0000-0000-000060850000}"/>
    <cellStyle name="60% - Accent5 3 3 3 3 3" xfId="13682" xr:uid="{00000000-0005-0000-0000-000061850000}"/>
    <cellStyle name="60% - Accent5 3 3 3 3 3 2" xfId="34162" xr:uid="{00000000-0005-0000-0000-000062850000}"/>
    <cellStyle name="60% - Accent5 3 3 3 3 4" xfId="23922" xr:uid="{00000000-0005-0000-0000-000063850000}"/>
    <cellStyle name="60% - Accent5 3 3 3 4" xfId="6002" xr:uid="{00000000-0005-0000-0000-000064850000}"/>
    <cellStyle name="60% - Accent5 3 3 3 4 2" xfId="16242" xr:uid="{00000000-0005-0000-0000-000065850000}"/>
    <cellStyle name="60% - Accent5 3 3 3 4 2 2" xfId="36722" xr:uid="{00000000-0005-0000-0000-000066850000}"/>
    <cellStyle name="60% - Accent5 3 3 3 4 3" xfId="26482" xr:uid="{00000000-0005-0000-0000-000067850000}"/>
    <cellStyle name="60% - Accent5 3 3 3 5" xfId="11122" xr:uid="{00000000-0005-0000-0000-000068850000}"/>
    <cellStyle name="60% - Accent5 3 3 3 5 2" xfId="31602" xr:uid="{00000000-0005-0000-0000-000069850000}"/>
    <cellStyle name="60% - Accent5 3 3 3 6" xfId="21362" xr:uid="{00000000-0005-0000-0000-00006A850000}"/>
    <cellStyle name="60% - Accent5 3 3 4" xfId="1522" xr:uid="{00000000-0005-0000-0000-00006B850000}"/>
    <cellStyle name="60% - Accent5 3 3 4 2" xfId="4082" xr:uid="{00000000-0005-0000-0000-00006C850000}"/>
    <cellStyle name="60% - Accent5 3 3 4 2 2" xfId="9202" xr:uid="{00000000-0005-0000-0000-00006D850000}"/>
    <cellStyle name="60% - Accent5 3 3 4 2 2 2" xfId="19442" xr:uid="{00000000-0005-0000-0000-00006E850000}"/>
    <cellStyle name="60% - Accent5 3 3 4 2 2 2 2" xfId="39922" xr:uid="{00000000-0005-0000-0000-00006F850000}"/>
    <cellStyle name="60% - Accent5 3 3 4 2 2 3" xfId="29682" xr:uid="{00000000-0005-0000-0000-000070850000}"/>
    <cellStyle name="60% - Accent5 3 3 4 2 3" xfId="14322" xr:uid="{00000000-0005-0000-0000-000071850000}"/>
    <cellStyle name="60% - Accent5 3 3 4 2 3 2" xfId="34802" xr:uid="{00000000-0005-0000-0000-000072850000}"/>
    <cellStyle name="60% - Accent5 3 3 4 2 4" xfId="24562" xr:uid="{00000000-0005-0000-0000-000073850000}"/>
    <cellStyle name="60% - Accent5 3 3 4 3" xfId="6642" xr:uid="{00000000-0005-0000-0000-000074850000}"/>
    <cellStyle name="60% - Accent5 3 3 4 3 2" xfId="16882" xr:uid="{00000000-0005-0000-0000-000075850000}"/>
    <cellStyle name="60% - Accent5 3 3 4 3 2 2" xfId="37362" xr:uid="{00000000-0005-0000-0000-000076850000}"/>
    <cellStyle name="60% - Accent5 3 3 4 3 3" xfId="27122" xr:uid="{00000000-0005-0000-0000-000077850000}"/>
    <cellStyle name="60% - Accent5 3 3 4 4" xfId="11762" xr:uid="{00000000-0005-0000-0000-000078850000}"/>
    <cellStyle name="60% - Accent5 3 3 4 4 2" xfId="32242" xr:uid="{00000000-0005-0000-0000-000079850000}"/>
    <cellStyle name="60% - Accent5 3 3 4 5" xfId="22002" xr:uid="{00000000-0005-0000-0000-00007A850000}"/>
    <cellStyle name="60% - Accent5 3 3 5" xfId="2802" xr:uid="{00000000-0005-0000-0000-00007B850000}"/>
    <cellStyle name="60% - Accent5 3 3 5 2" xfId="7922" xr:uid="{00000000-0005-0000-0000-00007C850000}"/>
    <cellStyle name="60% - Accent5 3 3 5 2 2" xfId="18162" xr:uid="{00000000-0005-0000-0000-00007D850000}"/>
    <cellStyle name="60% - Accent5 3 3 5 2 2 2" xfId="38642" xr:uid="{00000000-0005-0000-0000-00007E850000}"/>
    <cellStyle name="60% - Accent5 3 3 5 2 3" xfId="28402" xr:uid="{00000000-0005-0000-0000-00007F850000}"/>
    <cellStyle name="60% - Accent5 3 3 5 3" xfId="13042" xr:uid="{00000000-0005-0000-0000-000080850000}"/>
    <cellStyle name="60% - Accent5 3 3 5 3 2" xfId="33522" xr:uid="{00000000-0005-0000-0000-000081850000}"/>
    <cellStyle name="60% - Accent5 3 3 5 4" xfId="23282" xr:uid="{00000000-0005-0000-0000-000082850000}"/>
    <cellStyle name="60% - Accent5 3 3 6" xfId="5362" xr:uid="{00000000-0005-0000-0000-000083850000}"/>
    <cellStyle name="60% - Accent5 3 3 6 2" xfId="15602" xr:uid="{00000000-0005-0000-0000-000084850000}"/>
    <cellStyle name="60% - Accent5 3 3 6 2 2" xfId="36082" xr:uid="{00000000-0005-0000-0000-000085850000}"/>
    <cellStyle name="60% - Accent5 3 3 6 3" xfId="25842" xr:uid="{00000000-0005-0000-0000-000086850000}"/>
    <cellStyle name="60% - Accent5 3 3 7" xfId="10482" xr:uid="{00000000-0005-0000-0000-000087850000}"/>
    <cellStyle name="60% - Accent5 3 3 7 2" xfId="30962" xr:uid="{00000000-0005-0000-0000-000088850000}"/>
    <cellStyle name="60% - Accent5 3 3 8" xfId="20722" xr:uid="{00000000-0005-0000-0000-000089850000}"/>
    <cellStyle name="60% - Accent5 3 4" xfId="402" xr:uid="{00000000-0005-0000-0000-00008A850000}"/>
    <cellStyle name="60% - Accent5 3 4 2" xfId="1042" xr:uid="{00000000-0005-0000-0000-00008B850000}"/>
    <cellStyle name="60% - Accent5 3 4 2 2" xfId="2322" xr:uid="{00000000-0005-0000-0000-00008C850000}"/>
    <cellStyle name="60% - Accent5 3 4 2 2 2" xfId="4882" xr:uid="{00000000-0005-0000-0000-00008D850000}"/>
    <cellStyle name="60% - Accent5 3 4 2 2 2 2" xfId="10002" xr:uid="{00000000-0005-0000-0000-00008E850000}"/>
    <cellStyle name="60% - Accent5 3 4 2 2 2 2 2" xfId="20242" xr:uid="{00000000-0005-0000-0000-00008F850000}"/>
    <cellStyle name="60% - Accent5 3 4 2 2 2 2 2 2" xfId="40722" xr:uid="{00000000-0005-0000-0000-000090850000}"/>
    <cellStyle name="60% - Accent5 3 4 2 2 2 2 3" xfId="30482" xr:uid="{00000000-0005-0000-0000-000091850000}"/>
    <cellStyle name="60% - Accent5 3 4 2 2 2 3" xfId="15122" xr:uid="{00000000-0005-0000-0000-000092850000}"/>
    <cellStyle name="60% - Accent5 3 4 2 2 2 3 2" xfId="35602" xr:uid="{00000000-0005-0000-0000-000093850000}"/>
    <cellStyle name="60% - Accent5 3 4 2 2 2 4" xfId="25362" xr:uid="{00000000-0005-0000-0000-000094850000}"/>
    <cellStyle name="60% - Accent5 3 4 2 2 3" xfId="7442" xr:uid="{00000000-0005-0000-0000-000095850000}"/>
    <cellStyle name="60% - Accent5 3 4 2 2 3 2" xfId="17682" xr:uid="{00000000-0005-0000-0000-000096850000}"/>
    <cellStyle name="60% - Accent5 3 4 2 2 3 2 2" xfId="38162" xr:uid="{00000000-0005-0000-0000-000097850000}"/>
    <cellStyle name="60% - Accent5 3 4 2 2 3 3" xfId="27922" xr:uid="{00000000-0005-0000-0000-000098850000}"/>
    <cellStyle name="60% - Accent5 3 4 2 2 4" xfId="12562" xr:uid="{00000000-0005-0000-0000-000099850000}"/>
    <cellStyle name="60% - Accent5 3 4 2 2 4 2" xfId="33042" xr:uid="{00000000-0005-0000-0000-00009A850000}"/>
    <cellStyle name="60% - Accent5 3 4 2 2 5" xfId="22802" xr:uid="{00000000-0005-0000-0000-00009B850000}"/>
    <cellStyle name="60% - Accent5 3 4 2 3" xfId="3602" xr:uid="{00000000-0005-0000-0000-00009C850000}"/>
    <cellStyle name="60% - Accent5 3 4 2 3 2" xfId="8722" xr:uid="{00000000-0005-0000-0000-00009D850000}"/>
    <cellStyle name="60% - Accent5 3 4 2 3 2 2" xfId="18962" xr:uid="{00000000-0005-0000-0000-00009E850000}"/>
    <cellStyle name="60% - Accent5 3 4 2 3 2 2 2" xfId="39442" xr:uid="{00000000-0005-0000-0000-00009F850000}"/>
    <cellStyle name="60% - Accent5 3 4 2 3 2 3" xfId="29202" xr:uid="{00000000-0005-0000-0000-0000A0850000}"/>
    <cellStyle name="60% - Accent5 3 4 2 3 3" xfId="13842" xr:uid="{00000000-0005-0000-0000-0000A1850000}"/>
    <cellStyle name="60% - Accent5 3 4 2 3 3 2" xfId="34322" xr:uid="{00000000-0005-0000-0000-0000A2850000}"/>
    <cellStyle name="60% - Accent5 3 4 2 3 4" xfId="24082" xr:uid="{00000000-0005-0000-0000-0000A3850000}"/>
    <cellStyle name="60% - Accent5 3 4 2 4" xfId="6162" xr:uid="{00000000-0005-0000-0000-0000A4850000}"/>
    <cellStyle name="60% - Accent5 3 4 2 4 2" xfId="16402" xr:uid="{00000000-0005-0000-0000-0000A5850000}"/>
    <cellStyle name="60% - Accent5 3 4 2 4 2 2" xfId="36882" xr:uid="{00000000-0005-0000-0000-0000A6850000}"/>
    <cellStyle name="60% - Accent5 3 4 2 4 3" xfId="26642" xr:uid="{00000000-0005-0000-0000-0000A7850000}"/>
    <cellStyle name="60% - Accent5 3 4 2 5" xfId="11282" xr:uid="{00000000-0005-0000-0000-0000A8850000}"/>
    <cellStyle name="60% - Accent5 3 4 2 5 2" xfId="31762" xr:uid="{00000000-0005-0000-0000-0000A9850000}"/>
    <cellStyle name="60% - Accent5 3 4 2 6" xfId="21522" xr:uid="{00000000-0005-0000-0000-0000AA850000}"/>
    <cellStyle name="60% - Accent5 3 4 3" xfId="1682" xr:uid="{00000000-0005-0000-0000-0000AB850000}"/>
    <cellStyle name="60% - Accent5 3 4 3 2" xfId="4242" xr:uid="{00000000-0005-0000-0000-0000AC850000}"/>
    <cellStyle name="60% - Accent5 3 4 3 2 2" xfId="9362" xr:uid="{00000000-0005-0000-0000-0000AD850000}"/>
    <cellStyle name="60% - Accent5 3 4 3 2 2 2" xfId="19602" xr:uid="{00000000-0005-0000-0000-0000AE850000}"/>
    <cellStyle name="60% - Accent5 3 4 3 2 2 2 2" xfId="40082" xr:uid="{00000000-0005-0000-0000-0000AF850000}"/>
    <cellStyle name="60% - Accent5 3 4 3 2 2 3" xfId="29842" xr:uid="{00000000-0005-0000-0000-0000B0850000}"/>
    <cellStyle name="60% - Accent5 3 4 3 2 3" xfId="14482" xr:uid="{00000000-0005-0000-0000-0000B1850000}"/>
    <cellStyle name="60% - Accent5 3 4 3 2 3 2" xfId="34962" xr:uid="{00000000-0005-0000-0000-0000B2850000}"/>
    <cellStyle name="60% - Accent5 3 4 3 2 4" xfId="24722" xr:uid="{00000000-0005-0000-0000-0000B3850000}"/>
    <cellStyle name="60% - Accent5 3 4 3 3" xfId="6802" xr:uid="{00000000-0005-0000-0000-0000B4850000}"/>
    <cellStyle name="60% - Accent5 3 4 3 3 2" xfId="17042" xr:uid="{00000000-0005-0000-0000-0000B5850000}"/>
    <cellStyle name="60% - Accent5 3 4 3 3 2 2" xfId="37522" xr:uid="{00000000-0005-0000-0000-0000B6850000}"/>
    <cellStyle name="60% - Accent5 3 4 3 3 3" xfId="27282" xr:uid="{00000000-0005-0000-0000-0000B7850000}"/>
    <cellStyle name="60% - Accent5 3 4 3 4" xfId="11922" xr:uid="{00000000-0005-0000-0000-0000B8850000}"/>
    <cellStyle name="60% - Accent5 3 4 3 4 2" xfId="32402" xr:uid="{00000000-0005-0000-0000-0000B9850000}"/>
    <cellStyle name="60% - Accent5 3 4 3 5" xfId="22162" xr:uid="{00000000-0005-0000-0000-0000BA850000}"/>
    <cellStyle name="60% - Accent5 3 4 4" xfId="2962" xr:uid="{00000000-0005-0000-0000-0000BB850000}"/>
    <cellStyle name="60% - Accent5 3 4 4 2" xfId="8082" xr:uid="{00000000-0005-0000-0000-0000BC850000}"/>
    <cellStyle name="60% - Accent5 3 4 4 2 2" xfId="18322" xr:uid="{00000000-0005-0000-0000-0000BD850000}"/>
    <cellStyle name="60% - Accent5 3 4 4 2 2 2" xfId="38802" xr:uid="{00000000-0005-0000-0000-0000BE850000}"/>
    <cellStyle name="60% - Accent5 3 4 4 2 3" xfId="28562" xr:uid="{00000000-0005-0000-0000-0000BF850000}"/>
    <cellStyle name="60% - Accent5 3 4 4 3" xfId="13202" xr:uid="{00000000-0005-0000-0000-0000C0850000}"/>
    <cellStyle name="60% - Accent5 3 4 4 3 2" xfId="33682" xr:uid="{00000000-0005-0000-0000-0000C1850000}"/>
    <cellStyle name="60% - Accent5 3 4 4 4" xfId="23442" xr:uid="{00000000-0005-0000-0000-0000C2850000}"/>
    <cellStyle name="60% - Accent5 3 4 5" xfId="5522" xr:uid="{00000000-0005-0000-0000-0000C3850000}"/>
    <cellStyle name="60% - Accent5 3 4 5 2" xfId="15762" xr:uid="{00000000-0005-0000-0000-0000C4850000}"/>
    <cellStyle name="60% - Accent5 3 4 5 2 2" xfId="36242" xr:uid="{00000000-0005-0000-0000-0000C5850000}"/>
    <cellStyle name="60% - Accent5 3 4 5 3" xfId="26002" xr:uid="{00000000-0005-0000-0000-0000C6850000}"/>
    <cellStyle name="60% - Accent5 3 4 6" xfId="10642" xr:uid="{00000000-0005-0000-0000-0000C7850000}"/>
    <cellStyle name="60% - Accent5 3 4 6 2" xfId="31122" xr:uid="{00000000-0005-0000-0000-0000C8850000}"/>
    <cellStyle name="60% - Accent5 3 4 7" xfId="20882" xr:uid="{00000000-0005-0000-0000-0000C9850000}"/>
    <cellStyle name="60% - Accent5 3 5" xfId="722" xr:uid="{00000000-0005-0000-0000-0000CA850000}"/>
    <cellStyle name="60% - Accent5 3 5 2" xfId="2002" xr:uid="{00000000-0005-0000-0000-0000CB850000}"/>
    <cellStyle name="60% - Accent5 3 5 2 2" xfId="4562" xr:uid="{00000000-0005-0000-0000-0000CC850000}"/>
    <cellStyle name="60% - Accent5 3 5 2 2 2" xfId="9682" xr:uid="{00000000-0005-0000-0000-0000CD850000}"/>
    <cellStyle name="60% - Accent5 3 5 2 2 2 2" xfId="19922" xr:uid="{00000000-0005-0000-0000-0000CE850000}"/>
    <cellStyle name="60% - Accent5 3 5 2 2 2 2 2" xfId="40402" xr:uid="{00000000-0005-0000-0000-0000CF850000}"/>
    <cellStyle name="60% - Accent5 3 5 2 2 2 3" xfId="30162" xr:uid="{00000000-0005-0000-0000-0000D0850000}"/>
    <cellStyle name="60% - Accent5 3 5 2 2 3" xfId="14802" xr:uid="{00000000-0005-0000-0000-0000D1850000}"/>
    <cellStyle name="60% - Accent5 3 5 2 2 3 2" xfId="35282" xr:uid="{00000000-0005-0000-0000-0000D2850000}"/>
    <cellStyle name="60% - Accent5 3 5 2 2 4" xfId="25042" xr:uid="{00000000-0005-0000-0000-0000D3850000}"/>
    <cellStyle name="60% - Accent5 3 5 2 3" xfId="7122" xr:uid="{00000000-0005-0000-0000-0000D4850000}"/>
    <cellStyle name="60% - Accent5 3 5 2 3 2" xfId="17362" xr:uid="{00000000-0005-0000-0000-0000D5850000}"/>
    <cellStyle name="60% - Accent5 3 5 2 3 2 2" xfId="37842" xr:uid="{00000000-0005-0000-0000-0000D6850000}"/>
    <cellStyle name="60% - Accent5 3 5 2 3 3" xfId="27602" xr:uid="{00000000-0005-0000-0000-0000D7850000}"/>
    <cellStyle name="60% - Accent5 3 5 2 4" xfId="12242" xr:uid="{00000000-0005-0000-0000-0000D8850000}"/>
    <cellStyle name="60% - Accent5 3 5 2 4 2" xfId="32722" xr:uid="{00000000-0005-0000-0000-0000D9850000}"/>
    <cellStyle name="60% - Accent5 3 5 2 5" xfId="22482" xr:uid="{00000000-0005-0000-0000-0000DA850000}"/>
    <cellStyle name="60% - Accent5 3 5 3" xfId="3282" xr:uid="{00000000-0005-0000-0000-0000DB850000}"/>
    <cellStyle name="60% - Accent5 3 5 3 2" xfId="8402" xr:uid="{00000000-0005-0000-0000-0000DC850000}"/>
    <cellStyle name="60% - Accent5 3 5 3 2 2" xfId="18642" xr:uid="{00000000-0005-0000-0000-0000DD850000}"/>
    <cellStyle name="60% - Accent5 3 5 3 2 2 2" xfId="39122" xr:uid="{00000000-0005-0000-0000-0000DE850000}"/>
    <cellStyle name="60% - Accent5 3 5 3 2 3" xfId="28882" xr:uid="{00000000-0005-0000-0000-0000DF850000}"/>
    <cellStyle name="60% - Accent5 3 5 3 3" xfId="13522" xr:uid="{00000000-0005-0000-0000-0000E0850000}"/>
    <cellStyle name="60% - Accent5 3 5 3 3 2" xfId="34002" xr:uid="{00000000-0005-0000-0000-0000E1850000}"/>
    <cellStyle name="60% - Accent5 3 5 3 4" xfId="23762" xr:uid="{00000000-0005-0000-0000-0000E2850000}"/>
    <cellStyle name="60% - Accent5 3 5 4" xfId="5842" xr:uid="{00000000-0005-0000-0000-0000E3850000}"/>
    <cellStyle name="60% - Accent5 3 5 4 2" xfId="16082" xr:uid="{00000000-0005-0000-0000-0000E4850000}"/>
    <cellStyle name="60% - Accent5 3 5 4 2 2" xfId="36562" xr:uid="{00000000-0005-0000-0000-0000E5850000}"/>
    <cellStyle name="60% - Accent5 3 5 4 3" xfId="26322" xr:uid="{00000000-0005-0000-0000-0000E6850000}"/>
    <cellStyle name="60% - Accent5 3 5 5" xfId="10962" xr:uid="{00000000-0005-0000-0000-0000E7850000}"/>
    <cellStyle name="60% - Accent5 3 5 5 2" xfId="31442" xr:uid="{00000000-0005-0000-0000-0000E8850000}"/>
    <cellStyle name="60% - Accent5 3 5 6" xfId="21202" xr:uid="{00000000-0005-0000-0000-0000E9850000}"/>
    <cellStyle name="60% - Accent5 3 6" xfId="1362" xr:uid="{00000000-0005-0000-0000-0000EA850000}"/>
    <cellStyle name="60% - Accent5 3 6 2" xfId="3922" xr:uid="{00000000-0005-0000-0000-0000EB850000}"/>
    <cellStyle name="60% - Accent5 3 6 2 2" xfId="9042" xr:uid="{00000000-0005-0000-0000-0000EC850000}"/>
    <cellStyle name="60% - Accent5 3 6 2 2 2" xfId="19282" xr:uid="{00000000-0005-0000-0000-0000ED850000}"/>
    <cellStyle name="60% - Accent5 3 6 2 2 2 2" xfId="39762" xr:uid="{00000000-0005-0000-0000-0000EE850000}"/>
    <cellStyle name="60% - Accent5 3 6 2 2 3" xfId="29522" xr:uid="{00000000-0005-0000-0000-0000EF850000}"/>
    <cellStyle name="60% - Accent5 3 6 2 3" xfId="14162" xr:uid="{00000000-0005-0000-0000-0000F0850000}"/>
    <cellStyle name="60% - Accent5 3 6 2 3 2" xfId="34642" xr:uid="{00000000-0005-0000-0000-0000F1850000}"/>
    <cellStyle name="60% - Accent5 3 6 2 4" xfId="24402" xr:uid="{00000000-0005-0000-0000-0000F2850000}"/>
    <cellStyle name="60% - Accent5 3 6 3" xfId="6482" xr:uid="{00000000-0005-0000-0000-0000F3850000}"/>
    <cellStyle name="60% - Accent5 3 6 3 2" xfId="16722" xr:uid="{00000000-0005-0000-0000-0000F4850000}"/>
    <cellStyle name="60% - Accent5 3 6 3 2 2" xfId="37202" xr:uid="{00000000-0005-0000-0000-0000F5850000}"/>
    <cellStyle name="60% - Accent5 3 6 3 3" xfId="26962" xr:uid="{00000000-0005-0000-0000-0000F6850000}"/>
    <cellStyle name="60% - Accent5 3 6 4" xfId="11602" xr:uid="{00000000-0005-0000-0000-0000F7850000}"/>
    <cellStyle name="60% - Accent5 3 6 4 2" xfId="32082" xr:uid="{00000000-0005-0000-0000-0000F8850000}"/>
    <cellStyle name="60% - Accent5 3 6 5" xfId="21842" xr:uid="{00000000-0005-0000-0000-0000F9850000}"/>
    <cellStyle name="60% - Accent5 3 7" xfId="2642" xr:uid="{00000000-0005-0000-0000-0000FA850000}"/>
    <cellStyle name="60% - Accent5 3 7 2" xfId="7762" xr:uid="{00000000-0005-0000-0000-0000FB850000}"/>
    <cellStyle name="60% - Accent5 3 7 2 2" xfId="18002" xr:uid="{00000000-0005-0000-0000-0000FC850000}"/>
    <cellStyle name="60% - Accent5 3 7 2 2 2" xfId="38482" xr:uid="{00000000-0005-0000-0000-0000FD850000}"/>
    <cellStyle name="60% - Accent5 3 7 2 3" xfId="28242" xr:uid="{00000000-0005-0000-0000-0000FE850000}"/>
    <cellStyle name="60% - Accent5 3 7 3" xfId="12882" xr:uid="{00000000-0005-0000-0000-0000FF850000}"/>
    <cellStyle name="60% - Accent5 3 7 3 2" xfId="33362" xr:uid="{00000000-0005-0000-0000-000000860000}"/>
    <cellStyle name="60% - Accent5 3 7 4" xfId="23122" xr:uid="{00000000-0005-0000-0000-000001860000}"/>
    <cellStyle name="60% - Accent5 3 8" xfId="5202" xr:uid="{00000000-0005-0000-0000-000002860000}"/>
    <cellStyle name="60% - Accent5 3 8 2" xfId="15442" xr:uid="{00000000-0005-0000-0000-000003860000}"/>
    <cellStyle name="60% - Accent5 3 8 2 2" xfId="35922" xr:uid="{00000000-0005-0000-0000-000004860000}"/>
    <cellStyle name="60% - Accent5 3 8 3" xfId="25682" xr:uid="{00000000-0005-0000-0000-000005860000}"/>
    <cellStyle name="60% - Accent5 3 9" xfId="10322" xr:uid="{00000000-0005-0000-0000-000006860000}"/>
    <cellStyle name="60% - Accent5 3 9 2" xfId="30802" xr:uid="{00000000-0005-0000-0000-000007860000}"/>
    <cellStyle name="60% - Accent5 4" xfId="122" xr:uid="{00000000-0005-0000-0000-000008860000}"/>
    <cellStyle name="60% - Accent5 4 2" xfId="282" xr:uid="{00000000-0005-0000-0000-000009860000}"/>
    <cellStyle name="60% - Accent5 4 2 2" xfId="602" xr:uid="{00000000-0005-0000-0000-00000A860000}"/>
    <cellStyle name="60% - Accent5 4 2 2 2" xfId="1242" xr:uid="{00000000-0005-0000-0000-00000B860000}"/>
    <cellStyle name="60% - Accent5 4 2 2 2 2" xfId="2522" xr:uid="{00000000-0005-0000-0000-00000C860000}"/>
    <cellStyle name="60% - Accent5 4 2 2 2 2 2" xfId="5082" xr:uid="{00000000-0005-0000-0000-00000D860000}"/>
    <cellStyle name="60% - Accent5 4 2 2 2 2 2 2" xfId="10202" xr:uid="{00000000-0005-0000-0000-00000E860000}"/>
    <cellStyle name="60% - Accent5 4 2 2 2 2 2 2 2" xfId="20442" xr:uid="{00000000-0005-0000-0000-00000F860000}"/>
    <cellStyle name="60% - Accent5 4 2 2 2 2 2 2 2 2" xfId="40922" xr:uid="{00000000-0005-0000-0000-000010860000}"/>
    <cellStyle name="60% - Accent5 4 2 2 2 2 2 2 3" xfId="30682" xr:uid="{00000000-0005-0000-0000-000011860000}"/>
    <cellStyle name="60% - Accent5 4 2 2 2 2 2 3" xfId="15322" xr:uid="{00000000-0005-0000-0000-000012860000}"/>
    <cellStyle name="60% - Accent5 4 2 2 2 2 2 3 2" xfId="35802" xr:uid="{00000000-0005-0000-0000-000013860000}"/>
    <cellStyle name="60% - Accent5 4 2 2 2 2 2 4" xfId="25562" xr:uid="{00000000-0005-0000-0000-000014860000}"/>
    <cellStyle name="60% - Accent5 4 2 2 2 2 3" xfId="7642" xr:uid="{00000000-0005-0000-0000-000015860000}"/>
    <cellStyle name="60% - Accent5 4 2 2 2 2 3 2" xfId="17882" xr:uid="{00000000-0005-0000-0000-000016860000}"/>
    <cellStyle name="60% - Accent5 4 2 2 2 2 3 2 2" xfId="38362" xr:uid="{00000000-0005-0000-0000-000017860000}"/>
    <cellStyle name="60% - Accent5 4 2 2 2 2 3 3" xfId="28122" xr:uid="{00000000-0005-0000-0000-000018860000}"/>
    <cellStyle name="60% - Accent5 4 2 2 2 2 4" xfId="12762" xr:uid="{00000000-0005-0000-0000-000019860000}"/>
    <cellStyle name="60% - Accent5 4 2 2 2 2 4 2" xfId="33242" xr:uid="{00000000-0005-0000-0000-00001A860000}"/>
    <cellStyle name="60% - Accent5 4 2 2 2 2 5" xfId="23002" xr:uid="{00000000-0005-0000-0000-00001B860000}"/>
    <cellStyle name="60% - Accent5 4 2 2 2 3" xfId="3802" xr:uid="{00000000-0005-0000-0000-00001C860000}"/>
    <cellStyle name="60% - Accent5 4 2 2 2 3 2" xfId="8922" xr:uid="{00000000-0005-0000-0000-00001D860000}"/>
    <cellStyle name="60% - Accent5 4 2 2 2 3 2 2" xfId="19162" xr:uid="{00000000-0005-0000-0000-00001E860000}"/>
    <cellStyle name="60% - Accent5 4 2 2 2 3 2 2 2" xfId="39642" xr:uid="{00000000-0005-0000-0000-00001F860000}"/>
    <cellStyle name="60% - Accent5 4 2 2 2 3 2 3" xfId="29402" xr:uid="{00000000-0005-0000-0000-000020860000}"/>
    <cellStyle name="60% - Accent5 4 2 2 2 3 3" xfId="14042" xr:uid="{00000000-0005-0000-0000-000021860000}"/>
    <cellStyle name="60% - Accent5 4 2 2 2 3 3 2" xfId="34522" xr:uid="{00000000-0005-0000-0000-000022860000}"/>
    <cellStyle name="60% - Accent5 4 2 2 2 3 4" xfId="24282" xr:uid="{00000000-0005-0000-0000-000023860000}"/>
    <cellStyle name="60% - Accent5 4 2 2 2 4" xfId="6362" xr:uid="{00000000-0005-0000-0000-000024860000}"/>
    <cellStyle name="60% - Accent5 4 2 2 2 4 2" xfId="16602" xr:uid="{00000000-0005-0000-0000-000025860000}"/>
    <cellStyle name="60% - Accent5 4 2 2 2 4 2 2" xfId="37082" xr:uid="{00000000-0005-0000-0000-000026860000}"/>
    <cellStyle name="60% - Accent5 4 2 2 2 4 3" xfId="26842" xr:uid="{00000000-0005-0000-0000-000027860000}"/>
    <cellStyle name="60% - Accent5 4 2 2 2 5" xfId="11482" xr:uid="{00000000-0005-0000-0000-000028860000}"/>
    <cellStyle name="60% - Accent5 4 2 2 2 5 2" xfId="31962" xr:uid="{00000000-0005-0000-0000-000029860000}"/>
    <cellStyle name="60% - Accent5 4 2 2 2 6" xfId="21722" xr:uid="{00000000-0005-0000-0000-00002A860000}"/>
    <cellStyle name="60% - Accent5 4 2 2 3" xfId="1882" xr:uid="{00000000-0005-0000-0000-00002B860000}"/>
    <cellStyle name="60% - Accent5 4 2 2 3 2" xfId="4442" xr:uid="{00000000-0005-0000-0000-00002C860000}"/>
    <cellStyle name="60% - Accent5 4 2 2 3 2 2" xfId="9562" xr:uid="{00000000-0005-0000-0000-00002D860000}"/>
    <cellStyle name="60% - Accent5 4 2 2 3 2 2 2" xfId="19802" xr:uid="{00000000-0005-0000-0000-00002E860000}"/>
    <cellStyle name="60% - Accent5 4 2 2 3 2 2 2 2" xfId="40282" xr:uid="{00000000-0005-0000-0000-00002F860000}"/>
    <cellStyle name="60% - Accent5 4 2 2 3 2 2 3" xfId="30042" xr:uid="{00000000-0005-0000-0000-000030860000}"/>
    <cellStyle name="60% - Accent5 4 2 2 3 2 3" xfId="14682" xr:uid="{00000000-0005-0000-0000-000031860000}"/>
    <cellStyle name="60% - Accent5 4 2 2 3 2 3 2" xfId="35162" xr:uid="{00000000-0005-0000-0000-000032860000}"/>
    <cellStyle name="60% - Accent5 4 2 2 3 2 4" xfId="24922" xr:uid="{00000000-0005-0000-0000-000033860000}"/>
    <cellStyle name="60% - Accent5 4 2 2 3 3" xfId="7002" xr:uid="{00000000-0005-0000-0000-000034860000}"/>
    <cellStyle name="60% - Accent5 4 2 2 3 3 2" xfId="17242" xr:uid="{00000000-0005-0000-0000-000035860000}"/>
    <cellStyle name="60% - Accent5 4 2 2 3 3 2 2" xfId="37722" xr:uid="{00000000-0005-0000-0000-000036860000}"/>
    <cellStyle name="60% - Accent5 4 2 2 3 3 3" xfId="27482" xr:uid="{00000000-0005-0000-0000-000037860000}"/>
    <cellStyle name="60% - Accent5 4 2 2 3 4" xfId="12122" xr:uid="{00000000-0005-0000-0000-000038860000}"/>
    <cellStyle name="60% - Accent5 4 2 2 3 4 2" xfId="32602" xr:uid="{00000000-0005-0000-0000-000039860000}"/>
    <cellStyle name="60% - Accent5 4 2 2 3 5" xfId="22362" xr:uid="{00000000-0005-0000-0000-00003A860000}"/>
    <cellStyle name="60% - Accent5 4 2 2 4" xfId="3162" xr:uid="{00000000-0005-0000-0000-00003B860000}"/>
    <cellStyle name="60% - Accent5 4 2 2 4 2" xfId="8282" xr:uid="{00000000-0005-0000-0000-00003C860000}"/>
    <cellStyle name="60% - Accent5 4 2 2 4 2 2" xfId="18522" xr:uid="{00000000-0005-0000-0000-00003D860000}"/>
    <cellStyle name="60% - Accent5 4 2 2 4 2 2 2" xfId="39002" xr:uid="{00000000-0005-0000-0000-00003E860000}"/>
    <cellStyle name="60% - Accent5 4 2 2 4 2 3" xfId="28762" xr:uid="{00000000-0005-0000-0000-00003F860000}"/>
    <cellStyle name="60% - Accent5 4 2 2 4 3" xfId="13402" xr:uid="{00000000-0005-0000-0000-000040860000}"/>
    <cellStyle name="60% - Accent5 4 2 2 4 3 2" xfId="33882" xr:uid="{00000000-0005-0000-0000-000041860000}"/>
    <cellStyle name="60% - Accent5 4 2 2 4 4" xfId="23642" xr:uid="{00000000-0005-0000-0000-000042860000}"/>
    <cellStyle name="60% - Accent5 4 2 2 5" xfId="5722" xr:uid="{00000000-0005-0000-0000-000043860000}"/>
    <cellStyle name="60% - Accent5 4 2 2 5 2" xfId="15962" xr:uid="{00000000-0005-0000-0000-000044860000}"/>
    <cellStyle name="60% - Accent5 4 2 2 5 2 2" xfId="36442" xr:uid="{00000000-0005-0000-0000-000045860000}"/>
    <cellStyle name="60% - Accent5 4 2 2 5 3" xfId="26202" xr:uid="{00000000-0005-0000-0000-000046860000}"/>
    <cellStyle name="60% - Accent5 4 2 2 6" xfId="10842" xr:uid="{00000000-0005-0000-0000-000047860000}"/>
    <cellStyle name="60% - Accent5 4 2 2 6 2" xfId="31322" xr:uid="{00000000-0005-0000-0000-000048860000}"/>
    <cellStyle name="60% - Accent5 4 2 2 7" xfId="21082" xr:uid="{00000000-0005-0000-0000-000049860000}"/>
    <cellStyle name="60% - Accent5 4 2 3" xfId="922" xr:uid="{00000000-0005-0000-0000-00004A860000}"/>
    <cellStyle name="60% - Accent5 4 2 3 2" xfId="2202" xr:uid="{00000000-0005-0000-0000-00004B860000}"/>
    <cellStyle name="60% - Accent5 4 2 3 2 2" xfId="4762" xr:uid="{00000000-0005-0000-0000-00004C860000}"/>
    <cellStyle name="60% - Accent5 4 2 3 2 2 2" xfId="9882" xr:uid="{00000000-0005-0000-0000-00004D860000}"/>
    <cellStyle name="60% - Accent5 4 2 3 2 2 2 2" xfId="20122" xr:uid="{00000000-0005-0000-0000-00004E860000}"/>
    <cellStyle name="60% - Accent5 4 2 3 2 2 2 2 2" xfId="40602" xr:uid="{00000000-0005-0000-0000-00004F860000}"/>
    <cellStyle name="60% - Accent5 4 2 3 2 2 2 3" xfId="30362" xr:uid="{00000000-0005-0000-0000-000050860000}"/>
    <cellStyle name="60% - Accent5 4 2 3 2 2 3" xfId="15002" xr:uid="{00000000-0005-0000-0000-000051860000}"/>
    <cellStyle name="60% - Accent5 4 2 3 2 2 3 2" xfId="35482" xr:uid="{00000000-0005-0000-0000-000052860000}"/>
    <cellStyle name="60% - Accent5 4 2 3 2 2 4" xfId="25242" xr:uid="{00000000-0005-0000-0000-000053860000}"/>
    <cellStyle name="60% - Accent5 4 2 3 2 3" xfId="7322" xr:uid="{00000000-0005-0000-0000-000054860000}"/>
    <cellStyle name="60% - Accent5 4 2 3 2 3 2" xfId="17562" xr:uid="{00000000-0005-0000-0000-000055860000}"/>
    <cellStyle name="60% - Accent5 4 2 3 2 3 2 2" xfId="38042" xr:uid="{00000000-0005-0000-0000-000056860000}"/>
    <cellStyle name="60% - Accent5 4 2 3 2 3 3" xfId="27802" xr:uid="{00000000-0005-0000-0000-000057860000}"/>
    <cellStyle name="60% - Accent5 4 2 3 2 4" xfId="12442" xr:uid="{00000000-0005-0000-0000-000058860000}"/>
    <cellStyle name="60% - Accent5 4 2 3 2 4 2" xfId="32922" xr:uid="{00000000-0005-0000-0000-000059860000}"/>
    <cellStyle name="60% - Accent5 4 2 3 2 5" xfId="22682" xr:uid="{00000000-0005-0000-0000-00005A860000}"/>
    <cellStyle name="60% - Accent5 4 2 3 3" xfId="3482" xr:uid="{00000000-0005-0000-0000-00005B860000}"/>
    <cellStyle name="60% - Accent5 4 2 3 3 2" xfId="8602" xr:uid="{00000000-0005-0000-0000-00005C860000}"/>
    <cellStyle name="60% - Accent5 4 2 3 3 2 2" xfId="18842" xr:uid="{00000000-0005-0000-0000-00005D860000}"/>
    <cellStyle name="60% - Accent5 4 2 3 3 2 2 2" xfId="39322" xr:uid="{00000000-0005-0000-0000-00005E860000}"/>
    <cellStyle name="60% - Accent5 4 2 3 3 2 3" xfId="29082" xr:uid="{00000000-0005-0000-0000-00005F860000}"/>
    <cellStyle name="60% - Accent5 4 2 3 3 3" xfId="13722" xr:uid="{00000000-0005-0000-0000-000060860000}"/>
    <cellStyle name="60% - Accent5 4 2 3 3 3 2" xfId="34202" xr:uid="{00000000-0005-0000-0000-000061860000}"/>
    <cellStyle name="60% - Accent5 4 2 3 3 4" xfId="23962" xr:uid="{00000000-0005-0000-0000-000062860000}"/>
    <cellStyle name="60% - Accent5 4 2 3 4" xfId="6042" xr:uid="{00000000-0005-0000-0000-000063860000}"/>
    <cellStyle name="60% - Accent5 4 2 3 4 2" xfId="16282" xr:uid="{00000000-0005-0000-0000-000064860000}"/>
    <cellStyle name="60% - Accent5 4 2 3 4 2 2" xfId="36762" xr:uid="{00000000-0005-0000-0000-000065860000}"/>
    <cellStyle name="60% - Accent5 4 2 3 4 3" xfId="26522" xr:uid="{00000000-0005-0000-0000-000066860000}"/>
    <cellStyle name="60% - Accent5 4 2 3 5" xfId="11162" xr:uid="{00000000-0005-0000-0000-000067860000}"/>
    <cellStyle name="60% - Accent5 4 2 3 5 2" xfId="31642" xr:uid="{00000000-0005-0000-0000-000068860000}"/>
    <cellStyle name="60% - Accent5 4 2 3 6" xfId="21402" xr:uid="{00000000-0005-0000-0000-000069860000}"/>
    <cellStyle name="60% - Accent5 4 2 4" xfId="1562" xr:uid="{00000000-0005-0000-0000-00006A860000}"/>
    <cellStyle name="60% - Accent5 4 2 4 2" xfId="4122" xr:uid="{00000000-0005-0000-0000-00006B860000}"/>
    <cellStyle name="60% - Accent5 4 2 4 2 2" xfId="9242" xr:uid="{00000000-0005-0000-0000-00006C860000}"/>
    <cellStyle name="60% - Accent5 4 2 4 2 2 2" xfId="19482" xr:uid="{00000000-0005-0000-0000-00006D860000}"/>
    <cellStyle name="60% - Accent5 4 2 4 2 2 2 2" xfId="39962" xr:uid="{00000000-0005-0000-0000-00006E860000}"/>
    <cellStyle name="60% - Accent5 4 2 4 2 2 3" xfId="29722" xr:uid="{00000000-0005-0000-0000-00006F860000}"/>
    <cellStyle name="60% - Accent5 4 2 4 2 3" xfId="14362" xr:uid="{00000000-0005-0000-0000-000070860000}"/>
    <cellStyle name="60% - Accent5 4 2 4 2 3 2" xfId="34842" xr:uid="{00000000-0005-0000-0000-000071860000}"/>
    <cellStyle name="60% - Accent5 4 2 4 2 4" xfId="24602" xr:uid="{00000000-0005-0000-0000-000072860000}"/>
    <cellStyle name="60% - Accent5 4 2 4 3" xfId="6682" xr:uid="{00000000-0005-0000-0000-000073860000}"/>
    <cellStyle name="60% - Accent5 4 2 4 3 2" xfId="16922" xr:uid="{00000000-0005-0000-0000-000074860000}"/>
    <cellStyle name="60% - Accent5 4 2 4 3 2 2" xfId="37402" xr:uid="{00000000-0005-0000-0000-000075860000}"/>
    <cellStyle name="60% - Accent5 4 2 4 3 3" xfId="27162" xr:uid="{00000000-0005-0000-0000-000076860000}"/>
    <cellStyle name="60% - Accent5 4 2 4 4" xfId="11802" xr:uid="{00000000-0005-0000-0000-000077860000}"/>
    <cellStyle name="60% - Accent5 4 2 4 4 2" xfId="32282" xr:uid="{00000000-0005-0000-0000-000078860000}"/>
    <cellStyle name="60% - Accent5 4 2 4 5" xfId="22042" xr:uid="{00000000-0005-0000-0000-000079860000}"/>
    <cellStyle name="60% - Accent5 4 2 5" xfId="2842" xr:uid="{00000000-0005-0000-0000-00007A860000}"/>
    <cellStyle name="60% - Accent5 4 2 5 2" xfId="7962" xr:uid="{00000000-0005-0000-0000-00007B860000}"/>
    <cellStyle name="60% - Accent5 4 2 5 2 2" xfId="18202" xr:uid="{00000000-0005-0000-0000-00007C860000}"/>
    <cellStyle name="60% - Accent5 4 2 5 2 2 2" xfId="38682" xr:uid="{00000000-0005-0000-0000-00007D860000}"/>
    <cellStyle name="60% - Accent5 4 2 5 2 3" xfId="28442" xr:uid="{00000000-0005-0000-0000-00007E860000}"/>
    <cellStyle name="60% - Accent5 4 2 5 3" xfId="13082" xr:uid="{00000000-0005-0000-0000-00007F860000}"/>
    <cellStyle name="60% - Accent5 4 2 5 3 2" xfId="33562" xr:uid="{00000000-0005-0000-0000-000080860000}"/>
    <cellStyle name="60% - Accent5 4 2 5 4" xfId="23322" xr:uid="{00000000-0005-0000-0000-000081860000}"/>
    <cellStyle name="60% - Accent5 4 2 6" xfId="5402" xr:uid="{00000000-0005-0000-0000-000082860000}"/>
    <cellStyle name="60% - Accent5 4 2 6 2" xfId="15642" xr:uid="{00000000-0005-0000-0000-000083860000}"/>
    <cellStyle name="60% - Accent5 4 2 6 2 2" xfId="36122" xr:uid="{00000000-0005-0000-0000-000084860000}"/>
    <cellStyle name="60% - Accent5 4 2 6 3" xfId="25882" xr:uid="{00000000-0005-0000-0000-000085860000}"/>
    <cellStyle name="60% - Accent5 4 2 7" xfId="10522" xr:uid="{00000000-0005-0000-0000-000086860000}"/>
    <cellStyle name="60% - Accent5 4 2 7 2" xfId="31002" xr:uid="{00000000-0005-0000-0000-000087860000}"/>
    <cellStyle name="60% - Accent5 4 2 8" xfId="20762" xr:uid="{00000000-0005-0000-0000-000088860000}"/>
    <cellStyle name="60% - Accent5 4 3" xfId="442" xr:uid="{00000000-0005-0000-0000-000089860000}"/>
    <cellStyle name="60% - Accent5 4 3 2" xfId="1082" xr:uid="{00000000-0005-0000-0000-00008A860000}"/>
    <cellStyle name="60% - Accent5 4 3 2 2" xfId="2362" xr:uid="{00000000-0005-0000-0000-00008B860000}"/>
    <cellStyle name="60% - Accent5 4 3 2 2 2" xfId="4922" xr:uid="{00000000-0005-0000-0000-00008C860000}"/>
    <cellStyle name="60% - Accent5 4 3 2 2 2 2" xfId="10042" xr:uid="{00000000-0005-0000-0000-00008D860000}"/>
    <cellStyle name="60% - Accent5 4 3 2 2 2 2 2" xfId="20282" xr:uid="{00000000-0005-0000-0000-00008E860000}"/>
    <cellStyle name="60% - Accent5 4 3 2 2 2 2 2 2" xfId="40762" xr:uid="{00000000-0005-0000-0000-00008F860000}"/>
    <cellStyle name="60% - Accent5 4 3 2 2 2 2 3" xfId="30522" xr:uid="{00000000-0005-0000-0000-000090860000}"/>
    <cellStyle name="60% - Accent5 4 3 2 2 2 3" xfId="15162" xr:uid="{00000000-0005-0000-0000-000091860000}"/>
    <cellStyle name="60% - Accent5 4 3 2 2 2 3 2" xfId="35642" xr:uid="{00000000-0005-0000-0000-000092860000}"/>
    <cellStyle name="60% - Accent5 4 3 2 2 2 4" xfId="25402" xr:uid="{00000000-0005-0000-0000-000093860000}"/>
    <cellStyle name="60% - Accent5 4 3 2 2 3" xfId="7482" xr:uid="{00000000-0005-0000-0000-000094860000}"/>
    <cellStyle name="60% - Accent5 4 3 2 2 3 2" xfId="17722" xr:uid="{00000000-0005-0000-0000-000095860000}"/>
    <cellStyle name="60% - Accent5 4 3 2 2 3 2 2" xfId="38202" xr:uid="{00000000-0005-0000-0000-000096860000}"/>
    <cellStyle name="60% - Accent5 4 3 2 2 3 3" xfId="27962" xr:uid="{00000000-0005-0000-0000-000097860000}"/>
    <cellStyle name="60% - Accent5 4 3 2 2 4" xfId="12602" xr:uid="{00000000-0005-0000-0000-000098860000}"/>
    <cellStyle name="60% - Accent5 4 3 2 2 4 2" xfId="33082" xr:uid="{00000000-0005-0000-0000-000099860000}"/>
    <cellStyle name="60% - Accent5 4 3 2 2 5" xfId="22842" xr:uid="{00000000-0005-0000-0000-00009A860000}"/>
    <cellStyle name="60% - Accent5 4 3 2 3" xfId="3642" xr:uid="{00000000-0005-0000-0000-00009B860000}"/>
    <cellStyle name="60% - Accent5 4 3 2 3 2" xfId="8762" xr:uid="{00000000-0005-0000-0000-00009C860000}"/>
    <cellStyle name="60% - Accent5 4 3 2 3 2 2" xfId="19002" xr:uid="{00000000-0005-0000-0000-00009D860000}"/>
    <cellStyle name="60% - Accent5 4 3 2 3 2 2 2" xfId="39482" xr:uid="{00000000-0005-0000-0000-00009E860000}"/>
    <cellStyle name="60% - Accent5 4 3 2 3 2 3" xfId="29242" xr:uid="{00000000-0005-0000-0000-00009F860000}"/>
    <cellStyle name="60% - Accent5 4 3 2 3 3" xfId="13882" xr:uid="{00000000-0005-0000-0000-0000A0860000}"/>
    <cellStyle name="60% - Accent5 4 3 2 3 3 2" xfId="34362" xr:uid="{00000000-0005-0000-0000-0000A1860000}"/>
    <cellStyle name="60% - Accent5 4 3 2 3 4" xfId="24122" xr:uid="{00000000-0005-0000-0000-0000A2860000}"/>
    <cellStyle name="60% - Accent5 4 3 2 4" xfId="6202" xr:uid="{00000000-0005-0000-0000-0000A3860000}"/>
    <cellStyle name="60% - Accent5 4 3 2 4 2" xfId="16442" xr:uid="{00000000-0005-0000-0000-0000A4860000}"/>
    <cellStyle name="60% - Accent5 4 3 2 4 2 2" xfId="36922" xr:uid="{00000000-0005-0000-0000-0000A5860000}"/>
    <cellStyle name="60% - Accent5 4 3 2 4 3" xfId="26682" xr:uid="{00000000-0005-0000-0000-0000A6860000}"/>
    <cellStyle name="60% - Accent5 4 3 2 5" xfId="11322" xr:uid="{00000000-0005-0000-0000-0000A7860000}"/>
    <cellStyle name="60% - Accent5 4 3 2 5 2" xfId="31802" xr:uid="{00000000-0005-0000-0000-0000A8860000}"/>
    <cellStyle name="60% - Accent5 4 3 2 6" xfId="21562" xr:uid="{00000000-0005-0000-0000-0000A9860000}"/>
    <cellStyle name="60% - Accent5 4 3 3" xfId="1722" xr:uid="{00000000-0005-0000-0000-0000AA860000}"/>
    <cellStyle name="60% - Accent5 4 3 3 2" xfId="4282" xr:uid="{00000000-0005-0000-0000-0000AB860000}"/>
    <cellStyle name="60% - Accent5 4 3 3 2 2" xfId="9402" xr:uid="{00000000-0005-0000-0000-0000AC860000}"/>
    <cellStyle name="60% - Accent5 4 3 3 2 2 2" xfId="19642" xr:uid="{00000000-0005-0000-0000-0000AD860000}"/>
    <cellStyle name="60% - Accent5 4 3 3 2 2 2 2" xfId="40122" xr:uid="{00000000-0005-0000-0000-0000AE860000}"/>
    <cellStyle name="60% - Accent5 4 3 3 2 2 3" xfId="29882" xr:uid="{00000000-0005-0000-0000-0000AF860000}"/>
    <cellStyle name="60% - Accent5 4 3 3 2 3" xfId="14522" xr:uid="{00000000-0005-0000-0000-0000B0860000}"/>
    <cellStyle name="60% - Accent5 4 3 3 2 3 2" xfId="35002" xr:uid="{00000000-0005-0000-0000-0000B1860000}"/>
    <cellStyle name="60% - Accent5 4 3 3 2 4" xfId="24762" xr:uid="{00000000-0005-0000-0000-0000B2860000}"/>
    <cellStyle name="60% - Accent5 4 3 3 3" xfId="6842" xr:uid="{00000000-0005-0000-0000-0000B3860000}"/>
    <cellStyle name="60% - Accent5 4 3 3 3 2" xfId="17082" xr:uid="{00000000-0005-0000-0000-0000B4860000}"/>
    <cellStyle name="60% - Accent5 4 3 3 3 2 2" xfId="37562" xr:uid="{00000000-0005-0000-0000-0000B5860000}"/>
    <cellStyle name="60% - Accent5 4 3 3 3 3" xfId="27322" xr:uid="{00000000-0005-0000-0000-0000B6860000}"/>
    <cellStyle name="60% - Accent5 4 3 3 4" xfId="11962" xr:uid="{00000000-0005-0000-0000-0000B7860000}"/>
    <cellStyle name="60% - Accent5 4 3 3 4 2" xfId="32442" xr:uid="{00000000-0005-0000-0000-0000B8860000}"/>
    <cellStyle name="60% - Accent5 4 3 3 5" xfId="22202" xr:uid="{00000000-0005-0000-0000-0000B9860000}"/>
    <cellStyle name="60% - Accent5 4 3 4" xfId="3002" xr:uid="{00000000-0005-0000-0000-0000BA860000}"/>
    <cellStyle name="60% - Accent5 4 3 4 2" xfId="8122" xr:uid="{00000000-0005-0000-0000-0000BB860000}"/>
    <cellStyle name="60% - Accent5 4 3 4 2 2" xfId="18362" xr:uid="{00000000-0005-0000-0000-0000BC860000}"/>
    <cellStyle name="60% - Accent5 4 3 4 2 2 2" xfId="38842" xr:uid="{00000000-0005-0000-0000-0000BD860000}"/>
    <cellStyle name="60% - Accent5 4 3 4 2 3" xfId="28602" xr:uid="{00000000-0005-0000-0000-0000BE860000}"/>
    <cellStyle name="60% - Accent5 4 3 4 3" xfId="13242" xr:uid="{00000000-0005-0000-0000-0000BF860000}"/>
    <cellStyle name="60% - Accent5 4 3 4 3 2" xfId="33722" xr:uid="{00000000-0005-0000-0000-0000C0860000}"/>
    <cellStyle name="60% - Accent5 4 3 4 4" xfId="23482" xr:uid="{00000000-0005-0000-0000-0000C1860000}"/>
    <cellStyle name="60% - Accent5 4 3 5" xfId="5562" xr:uid="{00000000-0005-0000-0000-0000C2860000}"/>
    <cellStyle name="60% - Accent5 4 3 5 2" xfId="15802" xr:uid="{00000000-0005-0000-0000-0000C3860000}"/>
    <cellStyle name="60% - Accent5 4 3 5 2 2" xfId="36282" xr:uid="{00000000-0005-0000-0000-0000C4860000}"/>
    <cellStyle name="60% - Accent5 4 3 5 3" xfId="26042" xr:uid="{00000000-0005-0000-0000-0000C5860000}"/>
    <cellStyle name="60% - Accent5 4 3 6" xfId="10682" xr:uid="{00000000-0005-0000-0000-0000C6860000}"/>
    <cellStyle name="60% - Accent5 4 3 6 2" xfId="31162" xr:uid="{00000000-0005-0000-0000-0000C7860000}"/>
    <cellStyle name="60% - Accent5 4 3 7" xfId="20922" xr:uid="{00000000-0005-0000-0000-0000C8860000}"/>
    <cellStyle name="60% - Accent5 4 4" xfId="762" xr:uid="{00000000-0005-0000-0000-0000C9860000}"/>
    <cellStyle name="60% - Accent5 4 4 2" xfId="2042" xr:uid="{00000000-0005-0000-0000-0000CA860000}"/>
    <cellStyle name="60% - Accent5 4 4 2 2" xfId="4602" xr:uid="{00000000-0005-0000-0000-0000CB860000}"/>
    <cellStyle name="60% - Accent5 4 4 2 2 2" xfId="9722" xr:uid="{00000000-0005-0000-0000-0000CC860000}"/>
    <cellStyle name="60% - Accent5 4 4 2 2 2 2" xfId="19962" xr:uid="{00000000-0005-0000-0000-0000CD860000}"/>
    <cellStyle name="60% - Accent5 4 4 2 2 2 2 2" xfId="40442" xr:uid="{00000000-0005-0000-0000-0000CE860000}"/>
    <cellStyle name="60% - Accent5 4 4 2 2 2 3" xfId="30202" xr:uid="{00000000-0005-0000-0000-0000CF860000}"/>
    <cellStyle name="60% - Accent5 4 4 2 2 3" xfId="14842" xr:uid="{00000000-0005-0000-0000-0000D0860000}"/>
    <cellStyle name="60% - Accent5 4 4 2 2 3 2" xfId="35322" xr:uid="{00000000-0005-0000-0000-0000D1860000}"/>
    <cellStyle name="60% - Accent5 4 4 2 2 4" xfId="25082" xr:uid="{00000000-0005-0000-0000-0000D2860000}"/>
    <cellStyle name="60% - Accent5 4 4 2 3" xfId="7162" xr:uid="{00000000-0005-0000-0000-0000D3860000}"/>
    <cellStyle name="60% - Accent5 4 4 2 3 2" xfId="17402" xr:uid="{00000000-0005-0000-0000-0000D4860000}"/>
    <cellStyle name="60% - Accent5 4 4 2 3 2 2" xfId="37882" xr:uid="{00000000-0005-0000-0000-0000D5860000}"/>
    <cellStyle name="60% - Accent5 4 4 2 3 3" xfId="27642" xr:uid="{00000000-0005-0000-0000-0000D6860000}"/>
    <cellStyle name="60% - Accent5 4 4 2 4" xfId="12282" xr:uid="{00000000-0005-0000-0000-0000D7860000}"/>
    <cellStyle name="60% - Accent5 4 4 2 4 2" xfId="32762" xr:uid="{00000000-0005-0000-0000-0000D8860000}"/>
    <cellStyle name="60% - Accent5 4 4 2 5" xfId="22522" xr:uid="{00000000-0005-0000-0000-0000D9860000}"/>
    <cellStyle name="60% - Accent5 4 4 3" xfId="3322" xr:uid="{00000000-0005-0000-0000-0000DA860000}"/>
    <cellStyle name="60% - Accent5 4 4 3 2" xfId="8442" xr:uid="{00000000-0005-0000-0000-0000DB860000}"/>
    <cellStyle name="60% - Accent5 4 4 3 2 2" xfId="18682" xr:uid="{00000000-0005-0000-0000-0000DC860000}"/>
    <cellStyle name="60% - Accent5 4 4 3 2 2 2" xfId="39162" xr:uid="{00000000-0005-0000-0000-0000DD860000}"/>
    <cellStyle name="60% - Accent5 4 4 3 2 3" xfId="28922" xr:uid="{00000000-0005-0000-0000-0000DE860000}"/>
    <cellStyle name="60% - Accent5 4 4 3 3" xfId="13562" xr:uid="{00000000-0005-0000-0000-0000DF860000}"/>
    <cellStyle name="60% - Accent5 4 4 3 3 2" xfId="34042" xr:uid="{00000000-0005-0000-0000-0000E0860000}"/>
    <cellStyle name="60% - Accent5 4 4 3 4" xfId="23802" xr:uid="{00000000-0005-0000-0000-0000E1860000}"/>
    <cellStyle name="60% - Accent5 4 4 4" xfId="5882" xr:uid="{00000000-0005-0000-0000-0000E2860000}"/>
    <cellStyle name="60% - Accent5 4 4 4 2" xfId="16122" xr:uid="{00000000-0005-0000-0000-0000E3860000}"/>
    <cellStyle name="60% - Accent5 4 4 4 2 2" xfId="36602" xr:uid="{00000000-0005-0000-0000-0000E4860000}"/>
    <cellStyle name="60% - Accent5 4 4 4 3" xfId="26362" xr:uid="{00000000-0005-0000-0000-0000E5860000}"/>
    <cellStyle name="60% - Accent5 4 4 5" xfId="11002" xr:uid="{00000000-0005-0000-0000-0000E6860000}"/>
    <cellStyle name="60% - Accent5 4 4 5 2" xfId="31482" xr:uid="{00000000-0005-0000-0000-0000E7860000}"/>
    <cellStyle name="60% - Accent5 4 4 6" xfId="21242" xr:uid="{00000000-0005-0000-0000-0000E8860000}"/>
    <cellStyle name="60% - Accent5 4 5" xfId="1402" xr:uid="{00000000-0005-0000-0000-0000E9860000}"/>
    <cellStyle name="60% - Accent5 4 5 2" xfId="3962" xr:uid="{00000000-0005-0000-0000-0000EA860000}"/>
    <cellStyle name="60% - Accent5 4 5 2 2" xfId="9082" xr:uid="{00000000-0005-0000-0000-0000EB860000}"/>
    <cellStyle name="60% - Accent5 4 5 2 2 2" xfId="19322" xr:uid="{00000000-0005-0000-0000-0000EC860000}"/>
    <cellStyle name="60% - Accent5 4 5 2 2 2 2" xfId="39802" xr:uid="{00000000-0005-0000-0000-0000ED860000}"/>
    <cellStyle name="60% - Accent5 4 5 2 2 3" xfId="29562" xr:uid="{00000000-0005-0000-0000-0000EE860000}"/>
    <cellStyle name="60% - Accent5 4 5 2 3" xfId="14202" xr:uid="{00000000-0005-0000-0000-0000EF860000}"/>
    <cellStyle name="60% - Accent5 4 5 2 3 2" xfId="34682" xr:uid="{00000000-0005-0000-0000-0000F0860000}"/>
    <cellStyle name="60% - Accent5 4 5 2 4" xfId="24442" xr:uid="{00000000-0005-0000-0000-0000F1860000}"/>
    <cellStyle name="60% - Accent5 4 5 3" xfId="6522" xr:uid="{00000000-0005-0000-0000-0000F2860000}"/>
    <cellStyle name="60% - Accent5 4 5 3 2" xfId="16762" xr:uid="{00000000-0005-0000-0000-0000F3860000}"/>
    <cellStyle name="60% - Accent5 4 5 3 2 2" xfId="37242" xr:uid="{00000000-0005-0000-0000-0000F4860000}"/>
    <cellStyle name="60% - Accent5 4 5 3 3" xfId="27002" xr:uid="{00000000-0005-0000-0000-0000F5860000}"/>
    <cellStyle name="60% - Accent5 4 5 4" xfId="11642" xr:uid="{00000000-0005-0000-0000-0000F6860000}"/>
    <cellStyle name="60% - Accent5 4 5 4 2" xfId="32122" xr:uid="{00000000-0005-0000-0000-0000F7860000}"/>
    <cellStyle name="60% - Accent5 4 5 5" xfId="21882" xr:uid="{00000000-0005-0000-0000-0000F8860000}"/>
    <cellStyle name="60% - Accent5 4 6" xfId="2682" xr:uid="{00000000-0005-0000-0000-0000F9860000}"/>
    <cellStyle name="60% - Accent5 4 6 2" xfId="7802" xr:uid="{00000000-0005-0000-0000-0000FA860000}"/>
    <cellStyle name="60% - Accent5 4 6 2 2" xfId="18042" xr:uid="{00000000-0005-0000-0000-0000FB860000}"/>
    <cellStyle name="60% - Accent5 4 6 2 2 2" xfId="38522" xr:uid="{00000000-0005-0000-0000-0000FC860000}"/>
    <cellStyle name="60% - Accent5 4 6 2 3" xfId="28282" xr:uid="{00000000-0005-0000-0000-0000FD860000}"/>
    <cellStyle name="60% - Accent5 4 6 3" xfId="12922" xr:uid="{00000000-0005-0000-0000-0000FE860000}"/>
    <cellStyle name="60% - Accent5 4 6 3 2" xfId="33402" xr:uid="{00000000-0005-0000-0000-0000FF860000}"/>
    <cellStyle name="60% - Accent5 4 6 4" xfId="23162" xr:uid="{00000000-0005-0000-0000-000000870000}"/>
    <cellStyle name="60% - Accent5 4 7" xfId="5242" xr:uid="{00000000-0005-0000-0000-000001870000}"/>
    <cellStyle name="60% - Accent5 4 7 2" xfId="15482" xr:uid="{00000000-0005-0000-0000-000002870000}"/>
    <cellStyle name="60% - Accent5 4 7 2 2" xfId="35962" xr:uid="{00000000-0005-0000-0000-000003870000}"/>
    <cellStyle name="60% - Accent5 4 7 3" xfId="25722" xr:uid="{00000000-0005-0000-0000-000004870000}"/>
    <cellStyle name="60% - Accent5 4 8" xfId="10362" xr:uid="{00000000-0005-0000-0000-000005870000}"/>
    <cellStyle name="60% - Accent5 4 8 2" xfId="30842" xr:uid="{00000000-0005-0000-0000-000006870000}"/>
    <cellStyle name="60% - Accent5 4 9" xfId="20602" xr:uid="{00000000-0005-0000-0000-000007870000}"/>
    <cellStyle name="60% - Accent5 5" xfId="202" xr:uid="{00000000-0005-0000-0000-000008870000}"/>
    <cellStyle name="60% - Accent5 5 2" xfId="522" xr:uid="{00000000-0005-0000-0000-000009870000}"/>
    <cellStyle name="60% - Accent5 5 2 2" xfId="1162" xr:uid="{00000000-0005-0000-0000-00000A870000}"/>
    <cellStyle name="60% - Accent5 5 2 2 2" xfId="2442" xr:uid="{00000000-0005-0000-0000-00000B870000}"/>
    <cellStyle name="60% - Accent5 5 2 2 2 2" xfId="5002" xr:uid="{00000000-0005-0000-0000-00000C870000}"/>
    <cellStyle name="60% - Accent5 5 2 2 2 2 2" xfId="10122" xr:uid="{00000000-0005-0000-0000-00000D870000}"/>
    <cellStyle name="60% - Accent5 5 2 2 2 2 2 2" xfId="20362" xr:uid="{00000000-0005-0000-0000-00000E870000}"/>
    <cellStyle name="60% - Accent5 5 2 2 2 2 2 2 2" xfId="40842" xr:uid="{00000000-0005-0000-0000-00000F870000}"/>
    <cellStyle name="60% - Accent5 5 2 2 2 2 2 3" xfId="30602" xr:uid="{00000000-0005-0000-0000-000010870000}"/>
    <cellStyle name="60% - Accent5 5 2 2 2 2 3" xfId="15242" xr:uid="{00000000-0005-0000-0000-000011870000}"/>
    <cellStyle name="60% - Accent5 5 2 2 2 2 3 2" xfId="35722" xr:uid="{00000000-0005-0000-0000-000012870000}"/>
    <cellStyle name="60% - Accent5 5 2 2 2 2 4" xfId="25482" xr:uid="{00000000-0005-0000-0000-000013870000}"/>
    <cellStyle name="60% - Accent5 5 2 2 2 3" xfId="7562" xr:uid="{00000000-0005-0000-0000-000014870000}"/>
    <cellStyle name="60% - Accent5 5 2 2 2 3 2" xfId="17802" xr:uid="{00000000-0005-0000-0000-000015870000}"/>
    <cellStyle name="60% - Accent5 5 2 2 2 3 2 2" xfId="38282" xr:uid="{00000000-0005-0000-0000-000016870000}"/>
    <cellStyle name="60% - Accent5 5 2 2 2 3 3" xfId="28042" xr:uid="{00000000-0005-0000-0000-000017870000}"/>
    <cellStyle name="60% - Accent5 5 2 2 2 4" xfId="12682" xr:uid="{00000000-0005-0000-0000-000018870000}"/>
    <cellStyle name="60% - Accent5 5 2 2 2 4 2" xfId="33162" xr:uid="{00000000-0005-0000-0000-000019870000}"/>
    <cellStyle name="60% - Accent5 5 2 2 2 5" xfId="22922" xr:uid="{00000000-0005-0000-0000-00001A870000}"/>
    <cellStyle name="60% - Accent5 5 2 2 3" xfId="3722" xr:uid="{00000000-0005-0000-0000-00001B870000}"/>
    <cellStyle name="60% - Accent5 5 2 2 3 2" xfId="8842" xr:uid="{00000000-0005-0000-0000-00001C870000}"/>
    <cellStyle name="60% - Accent5 5 2 2 3 2 2" xfId="19082" xr:uid="{00000000-0005-0000-0000-00001D870000}"/>
    <cellStyle name="60% - Accent5 5 2 2 3 2 2 2" xfId="39562" xr:uid="{00000000-0005-0000-0000-00001E870000}"/>
    <cellStyle name="60% - Accent5 5 2 2 3 2 3" xfId="29322" xr:uid="{00000000-0005-0000-0000-00001F870000}"/>
    <cellStyle name="60% - Accent5 5 2 2 3 3" xfId="13962" xr:uid="{00000000-0005-0000-0000-000020870000}"/>
    <cellStyle name="60% - Accent5 5 2 2 3 3 2" xfId="34442" xr:uid="{00000000-0005-0000-0000-000021870000}"/>
    <cellStyle name="60% - Accent5 5 2 2 3 4" xfId="24202" xr:uid="{00000000-0005-0000-0000-000022870000}"/>
    <cellStyle name="60% - Accent5 5 2 2 4" xfId="6282" xr:uid="{00000000-0005-0000-0000-000023870000}"/>
    <cellStyle name="60% - Accent5 5 2 2 4 2" xfId="16522" xr:uid="{00000000-0005-0000-0000-000024870000}"/>
    <cellStyle name="60% - Accent5 5 2 2 4 2 2" xfId="37002" xr:uid="{00000000-0005-0000-0000-000025870000}"/>
    <cellStyle name="60% - Accent5 5 2 2 4 3" xfId="26762" xr:uid="{00000000-0005-0000-0000-000026870000}"/>
    <cellStyle name="60% - Accent5 5 2 2 5" xfId="11402" xr:uid="{00000000-0005-0000-0000-000027870000}"/>
    <cellStyle name="60% - Accent5 5 2 2 5 2" xfId="31882" xr:uid="{00000000-0005-0000-0000-000028870000}"/>
    <cellStyle name="60% - Accent5 5 2 2 6" xfId="21642" xr:uid="{00000000-0005-0000-0000-000029870000}"/>
    <cellStyle name="60% - Accent5 5 2 3" xfId="1802" xr:uid="{00000000-0005-0000-0000-00002A870000}"/>
    <cellStyle name="60% - Accent5 5 2 3 2" xfId="4362" xr:uid="{00000000-0005-0000-0000-00002B870000}"/>
    <cellStyle name="60% - Accent5 5 2 3 2 2" xfId="9482" xr:uid="{00000000-0005-0000-0000-00002C870000}"/>
    <cellStyle name="60% - Accent5 5 2 3 2 2 2" xfId="19722" xr:uid="{00000000-0005-0000-0000-00002D870000}"/>
    <cellStyle name="60% - Accent5 5 2 3 2 2 2 2" xfId="40202" xr:uid="{00000000-0005-0000-0000-00002E870000}"/>
    <cellStyle name="60% - Accent5 5 2 3 2 2 3" xfId="29962" xr:uid="{00000000-0005-0000-0000-00002F870000}"/>
    <cellStyle name="60% - Accent5 5 2 3 2 3" xfId="14602" xr:uid="{00000000-0005-0000-0000-000030870000}"/>
    <cellStyle name="60% - Accent5 5 2 3 2 3 2" xfId="35082" xr:uid="{00000000-0005-0000-0000-000031870000}"/>
    <cellStyle name="60% - Accent5 5 2 3 2 4" xfId="24842" xr:uid="{00000000-0005-0000-0000-000032870000}"/>
    <cellStyle name="60% - Accent5 5 2 3 3" xfId="6922" xr:uid="{00000000-0005-0000-0000-000033870000}"/>
    <cellStyle name="60% - Accent5 5 2 3 3 2" xfId="17162" xr:uid="{00000000-0005-0000-0000-000034870000}"/>
    <cellStyle name="60% - Accent5 5 2 3 3 2 2" xfId="37642" xr:uid="{00000000-0005-0000-0000-000035870000}"/>
    <cellStyle name="60% - Accent5 5 2 3 3 3" xfId="27402" xr:uid="{00000000-0005-0000-0000-000036870000}"/>
    <cellStyle name="60% - Accent5 5 2 3 4" xfId="12042" xr:uid="{00000000-0005-0000-0000-000037870000}"/>
    <cellStyle name="60% - Accent5 5 2 3 4 2" xfId="32522" xr:uid="{00000000-0005-0000-0000-000038870000}"/>
    <cellStyle name="60% - Accent5 5 2 3 5" xfId="22282" xr:uid="{00000000-0005-0000-0000-000039870000}"/>
    <cellStyle name="60% - Accent5 5 2 4" xfId="3082" xr:uid="{00000000-0005-0000-0000-00003A870000}"/>
    <cellStyle name="60% - Accent5 5 2 4 2" xfId="8202" xr:uid="{00000000-0005-0000-0000-00003B870000}"/>
    <cellStyle name="60% - Accent5 5 2 4 2 2" xfId="18442" xr:uid="{00000000-0005-0000-0000-00003C870000}"/>
    <cellStyle name="60% - Accent5 5 2 4 2 2 2" xfId="38922" xr:uid="{00000000-0005-0000-0000-00003D870000}"/>
    <cellStyle name="60% - Accent5 5 2 4 2 3" xfId="28682" xr:uid="{00000000-0005-0000-0000-00003E870000}"/>
    <cellStyle name="60% - Accent5 5 2 4 3" xfId="13322" xr:uid="{00000000-0005-0000-0000-00003F870000}"/>
    <cellStyle name="60% - Accent5 5 2 4 3 2" xfId="33802" xr:uid="{00000000-0005-0000-0000-000040870000}"/>
    <cellStyle name="60% - Accent5 5 2 4 4" xfId="23562" xr:uid="{00000000-0005-0000-0000-000041870000}"/>
    <cellStyle name="60% - Accent5 5 2 5" xfId="5642" xr:uid="{00000000-0005-0000-0000-000042870000}"/>
    <cellStyle name="60% - Accent5 5 2 5 2" xfId="15882" xr:uid="{00000000-0005-0000-0000-000043870000}"/>
    <cellStyle name="60% - Accent5 5 2 5 2 2" xfId="36362" xr:uid="{00000000-0005-0000-0000-000044870000}"/>
    <cellStyle name="60% - Accent5 5 2 5 3" xfId="26122" xr:uid="{00000000-0005-0000-0000-000045870000}"/>
    <cellStyle name="60% - Accent5 5 2 6" xfId="10762" xr:uid="{00000000-0005-0000-0000-000046870000}"/>
    <cellStyle name="60% - Accent5 5 2 6 2" xfId="31242" xr:uid="{00000000-0005-0000-0000-000047870000}"/>
    <cellStyle name="60% - Accent5 5 2 7" xfId="21002" xr:uid="{00000000-0005-0000-0000-000048870000}"/>
    <cellStyle name="60% - Accent5 5 3" xfId="842" xr:uid="{00000000-0005-0000-0000-000049870000}"/>
    <cellStyle name="60% - Accent5 5 3 2" xfId="2122" xr:uid="{00000000-0005-0000-0000-00004A870000}"/>
    <cellStyle name="60% - Accent5 5 3 2 2" xfId="4682" xr:uid="{00000000-0005-0000-0000-00004B870000}"/>
    <cellStyle name="60% - Accent5 5 3 2 2 2" xfId="9802" xr:uid="{00000000-0005-0000-0000-00004C870000}"/>
    <cellStyle name="60% - Accent5 5 3 2 2 2 2" xfId="20042" xr:uid="{00000000-0005-0000-0000-00004D870000}"/>
    <cellStyle name="60% - Accent5 5 3 2 2 2 2 2" xfId="40522" xr:uid="{00000000-0005-0000-0000-00004E870000}"/>
    <cellStyle name="60% - Accent5 5 3 2 2 2 3" xfId="30282" xr:uid="{00000000-0005-0000-0000-00004F870000}"/>
    <cellStyle name="60% - Accent5 5 3 2 2 3" xfId="14922" xr:uid="{00000000-0005-0000-0000-000050870000}"/>
    <cellStyle name="60% - Accent5 5 3 2 2 3 2" xfId="35402" xr:uid="{00000000-0005-0000-0000-000051870000}"/>
    <cellStyle name="60% - Accent5 5 3 2 2 4" xfId="25162" xr:uid="{00000000-0005-0000-0000-000052870000}"/>
    <cellStyle name="60% - Accent5 5 3 2 3" xfId="7242" xr:uid="{00000000-0005-0000-0000-000053870000}"/>
    <cellStyle name="60% - Accent5 5 3 2 3 2" xfId="17482" xr:uid="{00000000-0005-0000-0000-000054870000}"/>
    <cellStyle name="60% - Accent5 5 3 2 3 2 2" xfId="37962" xr:uid="{00000000-0005-0000-0000-000055870000}"/>
    <cellStyle name="60% - Accent5 5 3 2 3 3" xfId="27722" xr:uid="{00000000-0005-0000-0000-000056870000}"/>
    <cellStyle name="60% - Accent5 5 3 2 4" xfId="12362" xr:uid="{00000000-0005-0000-0000-000057870000}"/>
    <cellStyle name="60% - Accent5 5 3 2 4 2" xfId="32842" xr:uid="{00000000-0005-0000-0000-000058870000}"/>
    <cellStyle name="60% - Accent5 5 3 2 5" xfId="22602" xr:uid="{00000000-0005-0000-0000-000059870000}"/>
    <cellStyle name="60% - Accent5 5 3 3" xfId="3402" xr:uid="{00000000-0005-0000-0000-00005A870000}"/>
    <cellStyle name="60% - Accent5 5 3 3 2" xfId="8522" xr:uid="{00000000-0005-0000-0000-00005B870000}"/>
    <cellStyle name="60% - Accent5 5 3 3 2 2" xfId="18762" xr:uid="{00000000-0005-0000-0000-00005C870000}"/>
    <cellStyle name="60% - Accent5 5 3 3 2 2 2" xfId="39242" xr:uid="{00000000-0005-0000-0000-00005D870000}"/>
    <cellStyle name="60% - Accent5 5 3 3 2 3" xfId="29002" xr:uid="{00000000-0005-0000-0000-00005E870000}"/>
    <cellStyle name="60% - Accent5 5 3 3 3" xfId="13642" xr:uid="{00000000-0005-0000-0000-00005F870000}"/>
    <cellStyle name="60% - Accent5 5 3 3 3 2" xfId="34122" xr:uid="{00000000-0005-0000-0000-000060870000}"/>
    <cellStyle name="60% - Accent5 5 3 3 4" xfId="23882" xr:uid="{00000000-0005-0000-0000-000061870000}"/>
    <cellStyle name="60% - Accent5 5 3 4" xfId="5962" xr:uid="{00000000-0005-0000-0000-000062870000}"/>
    <cellStyle name="60% - Accent5 5 3 4 2" xfId="16202" xr:uid="{00000000-0005-0000-0000-000063870000}"/>
    <cellStyle name="60% - Accent5 5 3 4 2 2" xfId="36682" xr:uid="{00000000-0005-0000-0000-000064870000}"/>
    <cellStyle name="60% - Accent5 5 3 4 3" xfId="26442" xr:uid="{00000000-0005-0000-0000-000065870000}"/>
    <cellStyle name="60% - Accent5 5 3 5" xfId="11082" xr:uid="{00000000-0005-0000-0000-000066870000}"/>
    <cellStyle name="60% - Accent5 5 3 5 2" xfId="31562" xr:uid="{00000000-0005-0000-0000-000067870000}"/>
    <cellStyle name="60% - Accent5 5 3 6" xfId="21322" xr:uid="{00000000-0005-0000-0000-000068870000}"/>
    <cellStyle name="60% - Accent5 5 4" xfId="1482" xr:uid="{00000000-0005-0000-0000-000069870000}"/>
    <cellStyle name="60% - Accent5 5 4 2" xfId="4042" xr:uid="{00000000-0005-0000-0000-00006A870000}"/>
    <cellStyle name="60% - Accent5 5 4 2 2" xfId="9162" xr:uid="{00000000-0005-0000-0000-00006B870000}"/>
    <cellStyle name="60% - Accent5 5 4 2 2 2" xfId="19402" xr:uid="{00000000-0005-0000-0000-00006C870000}"/>
    <cellStyle name="60% - Accent5 5 4 2 2 2 2" xfId="39882" xr:uid="{00000000-0005-0000-0000-00006D870000}"/>
    <cellStyle name="60% - Accent5 5 4 2 2 3" xfId="29642" xr:uid="{00000000-0005-0000-0000-00006E870000}"/>
    <cellStyle name="60% - Accent5 5 4 2 3" xfId="14282" xr:uid="{00000000-0005-0000-0000-00006F870000}"/>
    <cellStyle name="60% - Accent5 5 4 2 3 2" xfId="34762" xr:uid="{00000000-0005-0000-0000-000070870000}"/>
    <cellStyle name="60% - Accent5 5 4 2 4" xfId="24522" xr:uid="{00000000-0005-0000-0000-000071870000}"/>
    <cellStyle name="60% - Accent5 5 4 3" xfId="6602" xr:uid="{00000000-0005-0000-0000-000072870000}"/>
    <cellStyle name="60% - Accent5 5 4 3 2" xfId="16842" xr:uid="{00000000-0005-0000-0000-000073870000}"/>
    <cellStyle name="60% - Accent5 5 4 3 2 2" xfId="37322" xr:uid="{00000000-0005-0000-0000-000074870000}"/>
    <cellStyle name="60% - Accent5 5 4 3 3" xfId="27082" xr:uid="{00000000-0005-0000-0000-000075870000}"/>
    <cellStyle name="60% - Accent5 5 4 4" xfId="11722" xr:uid="{00000000-0005-0000-0000-000076870000}"/>
    <cellStyle name="60% - Accent5 5 4 4 2" xfId="32202" xr:uid="{00000000-0005-0000-0000-000077870000}"/>
    <cellStyle name="60% - Accent5 5 4 5" xfId="21962" xr:uid="{00000000-0005-0000-0000-000078870000}"/>
    <cellStyle name="60% - Accent5 5 5" xfId="2762" xr:uid="{00000000-0005-0000-0000-000079870000}"/>
    <cellStyle name="60% - Accent5 5 5 2" xfId="7882" xr:uid="{00000000-0005-0000-0000-00007A870000}"/>
    <cellStyle name="60% - Accent5 5 5 2 2" xfId="18122" xr:uid="{00000000-0005-0000-0000-00007B870000}"/>
    <cellStyle name="60% - Accent5 5 5 2 2 2" xfId="38602" xr:uid="{00000000-0005-0000-0000-00007C870000}"/>
    <cellStyle name="60% - Accent5 5 5 2 3" xfId="28362" xr:uid="{00000000-0005-0000-0000-00007D870000}"/>
    <cellStyle name="60% - Accent5 5 5 3" xfId="13002" xr:uid="{00000000-0005-0000-0000-00007E870000}"/>
    <cellStyle name="60% - Accent5 5 5 3 2" xfId="33482" xr:uid="{00000000-0005-0000-0000-00007F870000}"/>
    <cellStyle name="60% - Accent5 5 5 4" xfId="23242" xr:uid="{00000000-0005-0000-0000-000080870000}"/>
    <cellStyle name="60% - Accent5 5 6" xfId="5322" xr:uid="{00000000-0005-0000-0000-000081870000}"/>
    <cellStyle name="60% - Accent5 5 6 2" xfId="15562" xr:uid="{00000000-0005-0000-0000-000082870000}"/>
    <cellStyle name="60% - Accent5 5 6 2 2" xfId="36042" xr:uid="{00000000-0005-0000-0000-000083870000}"/>
    <cellStyle name="60% - Accent5 5 6 3" xfId="25802" xr:uid="{00000000-0005-0000-0000-000084870000}"/>
    <cellStyle name="60% - Accent5 5 7" xfId="10442" xr:uid="{00000000-0005-0000-0000-000085870000}"/>
    <cellStyle name="60% - Accent5 5 7 2" xfId="30922" xr:uid="{00000000-0005-0000-0000-000086870000}"/>
    <cellStyle name="60% - Accent5 5 8" xfId="20682" xr:uid="{00000000-0005-0000-0000-000087870000}"/>
    <cellStyle name="60% - Accent5 6" xfId="362" xr:uid="{00000000-0005-0000-0000-000088870000}"/>
    <cellStyle name="60% - Accent5 6 2" xfId="1002" xr:uid="{00000000-0005-0000-0000-000089870000}"/>
    <cellStyle name="60% - Accent5 6 2 2" xfId="2282" xr:uid="{00000000-0005-0000-0000-00008A870000}"/>
    <cellStyle name="60% - Accent5 6 2 2 2" xfId="4842" xr:uid="{00000000-0005-0000-0000-00008B870000}"/>
    <cellStyle name="60% - Accent5 6 2 2 2 2" xfId="9962" xr:uid="{00000000-0005-0000-0000-00008C870000}"/>
    <cellStyle name="60% - Accent5 6 2 2 2 2 2" xfId="20202" xr:uid="{00000000-0005-0000-0000-00008D870000}"/>
    <cellStyle name="60% - Accent5 6 2 2 2 2 2 2" xfId="40682" xr:uid="{00000000-0005-0000-0000-00008E870000}"/>
    <cellStyle name="60% - Accent5 6 2 2 2 2 3" xfId="30442" xr:uid="{00000000-0005-0000-0000-00008F870000}"/>
    <cellStyle name="60% - Accent5 6 2 2 2 3" xfId="15082" xr:uid="{00000000-0005-0000-0000-000090870000}"/>
    <cellStyle name="60% - Accent5 6 2 2 2 3 2" xfId="35562" xr:uid="{00000000-0005-0000-0000-000091870000}"/>
    <cellStyle name="60% - Accent5 6 2 2 2 4" xfId="25322" xr:uid="{00000000-0005-0000-0000-000092870000}"/>
    <cellStyle name="60% - Accent5 6 2 2 3" xfId="7402" xr:uid="{00000000-0005-0000-0000-000093870000}"/>
    <cellStyle name="60% - Accent5 6 2 2 3 2" xfId="17642" xr:uid="{00000000-0005-0000-0000-000094870000}"/>
    <cellStyle name="60% - Accent5 6 2 2 3 2 2" xfId="38122" xr:uid="{00000000-0005-0000-0000-000095870000}"/>
    <cellStyle name="60% - Accent5 6 2 2 3 3" xfId="27882" xr:uid="{00000000-0005-0000-0000-000096870000}"/>
    <cellStyle name="60% - Accent5 6 2 2 4" xfId="12522" xr:uid="{00000000-0005-0000-0000-000097870000}"/>
    <cellStyle name="60% - Accent5 6 2 2 4 2" xfId="33002" xr:uid="{00000000-0005-0000-0000-000098870000}"/>
    <cellStyle name="60% - Accent5 6 2 2 5" xfId="22762" xr:uid="{00000000-0005-0000-0000-000099870000}"/>
    <cellStyle name="60% - Accent5 6 2 3" xfId="3562" xr:uid="{00000000-0005-0000-0000-00009A870000}"/>
    <cellStyle name="60% - Accent5 6 2 3 2" xfId="8682" xr:uid="{00000000-0005-0000-0000-00009B870000}"/>
    <cellStyle name="60% - Accent5 6 2 3 2 2" xfId="18922" xr:uid="{00000000-0005-0000-0000-00009C870000}"/>
    <cellStyle name="60% - Accent5 6 2 3 2 2 2" xfId="39402" xr:uid="{00000000-0005-0000-0000-00009D870000}"/>
    <cellStyle name="60% - Accent5 6 2 3 2 3" xfId="29162" xr:uid="{00000000-0005-0000-0000-00009E870000}"/>
    <cellStyle name="60% - Accent5 6 2 3 3" xfId="13802" xr:uid="{00000000-0005-0000-0000-00009F870000}"/>
    <cellStyle name="60% - Accent5 6 2 3 3 2" xfId="34282" xr:uid="{00000000-0005-0000-0000-0000A0870000}"/>
    <cellStyle name="60% - Accent5 6 2 3 4" xfId="24042" xr:uid="{00000000-0005-0000-0000-0000A1870000}"/>
    <cellStyle name="60% - Accent5 6 2 4" xfId="6122" xr:uid="{00000000-0005-0000-0000-0000A2870000}"/>
    <cellStyle name="60% - Accent5 6 2 4 2" xfId="16362" xr:uid="{00000000-0005-0000-0000-0000A3870000}"/>
    <cellStyle name="60% - Accent5 6 2 4 2 2" xfId="36842" xr:uid="{00000000-0005-0000-0000-0000A4870000}"/>
    <cellStyle name="60% - Accent5 6 2 4 3" xfId="26602" xr:uid="{00000000-0005-0000-0000-0000A5870000}"/>
    <cellStyle name="60% - Accent5 6 2 5" xfId="11242" xr:uid="{00000000-0005-0000-0000-0000A6870000}"/>
    <cellStyle name="60% - Accent5 6 2 5 2" xfId="31722" xr:uid="{00000000-0005-0000-0000-0000A7870000}"/>
    <cellStyle name="60% - Accent5 6 2 6" xfId="21482" xr:uid="{00000000-0005-0000-0000-0000A8870000}"/>
    <cellStyle name="60% - Accent5 6 3" xfId="1642" xr:uid="{00000000-0005-0000-0000-0000A9870000}"/>
    <cellStyle name="60% - Accent5 6 3 2" xfId="4202" xr:uid="{00000000-0005-0000-0000-0000AA870000}"/>
    <cellStyle name="60% - Accent5 6 3 2 2" xfId="9322" xr:uid="{00000000-0005-0000-0000-0000AB870000}"/>
    <cellStyle name="60% - Accent5 6 3 2 2 2" xfId="19562" xr:uid="{00000000-0005-0000-0000-0000AC870000}"/>
    <cellStyle name="60% - Accent5 6 3 2 2 2 2" xfId="40042" xr:uid="{00000000-0005-0000-0000-0000AD870000}"/>
    <cellStyle name="60% - Accent5 6 3 2 2 3" xfId="29802" xr:uid="{00000000-0005-0000-0000-0000AE870000}"/>
    <cellStyle name="60% - Accent5 6 3 2 3" xfId="14442" xr:uid="{00000000-0005-0000-0000-0000AF870000}"/>
    <cellStyle name="60% - Accent5 6 3 2 3 2" xfId="34922" xr:uid="{00000000-0005-0000-0000-0000B0870000}"/>
    <cellStyle name="60% - Accent5 6 3 2 4" xfId="24682" xr:uid="{00000000-0005-0000-0000-0000B1870000}"/>
    <cellStyle name="60% - Accent5 6 3 3" xfId="6762" xr:uid="{00000000-0005-0000-0000-0000B2870000}"/>
    <cellStyle name="60% - Accent5 6 3 3 2" xfId="17002" xr:uid="{00000000-0005-0000-0000-0000B3870000}"/>
    <cellStyle name="60% - Accent5 6 3 3 2 2" xfId="37482" xr:uid="{00000000-0005-0000-0000-0000B4870000}"/>
    <cellStyle name="60% - Accent5 6 3 3 3" xfId="27242" xr:uid="{00000000-0005-0000-0000-0000B5870000}"/>
    <cellStyle name="60% - Accent5 6 3 4" xfId="11882" xr:uid="{00000000-0005-0000-0000-0000B6870000}"/>
    <cellStyle name="60% - Accent5 6 3 4 2" xfId="32362" xr:uid="{00000000-0005-0000-0000-0000B7870000}"/>
    <cellStyle name="60% - Accent5 6 3 5" xfId="22122" xr:uid="{00000000-0005-0000-0000-0000B8870000}"/>
    <cellStyle name="60% - Accent5 6 4" xfId="2922" xr:uid="{00000000-0005-0000-0000-0000B9870000}"/>
    <cellStyle name="60% - Accent5 6 4 2" xfId="8042" xr:uid="{00000000-0005-0000-0000-0000BA870000}"/>
    <cellStyle name="60% - Accent5 6 4 2 2" xfId="18282" xr:uid="{00000000-0005-0000-0000-0000BB870000}"/>
    <cellStyle name="60% - Accent5 6 4 2 2 2" xfId="38762" xr:uid="{00000000-0005-0000-0000-0000BC870000}"/>
    <cellStyle name="60% - Accent5 6 4 2 3" xfId="28522" xr:uid="{00000000-0005-0000-0000-0000BD870000}"/>
    <cellStyle name="60% - Accent5 6 4 3" xfId="13162" xr:uid="{00000000-0005-0000-0000-0000BE870000}"/>
    <cellStyle name="60% - Accent5 6 4 3 2" xfId="33642" xr:uid="{00000000-0005-0000-0000-0000BF870000}"/>
    <cellStyle name="60% - Accent5 6 4 4" xfId="23402" xr:uid="{00000000-0005-0000-0000-0000C0870000}"/>
    <cellStyle name="60% - Accent5 6 5" xfId="5482" xr:uid="{00000000-0005-0000-0000-0000C1870000}"/>
    <cellStyle name="60% - Accent5 6 5 2" xfId="15722" xr:uid="{00000000-0005-0000-0000-0000C2870000}"/>
    <cellStyle name="60% - Accent5 6 5 2 2" xfId="36202" xr:uid="{00000000-0005-0000-0000-0000C3870000}"/>
    <cellStyle name="60% - Accent5 6 5 3" xfId="25962" xr:uid="{00000000-0005-0000-0000-0000C4870000}"/>
    <cellStyle name="60% - Accent5 6 6" xfId="10602" xr:uid="{00000000-0005-0000-0000-0000C5870000}"/>
    <cellStyle name="60% - Accent5 6 6 2" xfId="31082" xr:uid="{00000000-0005-0000-0000-0000C6870000}"/>
    <cellStyle name="60% - Accent5 6 7" xfId="20842" xr:uid="{00000000-0005-0000-0000-0000C7870000}"/>
    <cellStyle name="60% - Accent5 7" xfId="682" xr:uid="{00000000-0005-0000-0000-0000C8870000}"/>
    <cellStyle name="60% - Accent5 7 2" xfId="1962" xr:uid="{00000000-0005-0000-0000-0000C9870000}"/>
    <cellStyle name="60% - Accent5 7 2 2" xfId="4522" xr:uid="{00000000-0005-0000-0000-0000CA870000}"/>
    <cellStyle name="60% - Accent5 7 2 2 2" xfId="9642" xr:uid="{00000000-0005-0000-0000-0000CB870000}"/>
    <cellStyle name="60% - Accent5 7 2 2 2 2" xfId="19882" xr:uid="{00000000-0005-0000-0000-0000CC870000}"/>
    <cellStyle name="60% - Accent5 7 2 2 2 2 2" xfId="40362" xr:uid="{00000000-0005-0000-0000-0000CD870000}"/>
    <cellStyle name="60% - Accent5 7 2 2 2 3" xfId="30122" xr:uid="{00000000-0005-0000-0000-0000CE870000}"/>
    <cellStyle name="60% - Accent5 7 2 2 3" xfId="14762" xr:uid="{00000000-0005-0000-0000-0000CF870000}"/>
    <cellStyle name="60% - Accent5 7 2 2 3 2" xfId="35242" xr:uid="{00000000-0005-0000-0000-0000D0870000}"/>
    <cellStyle name="60% - Accent5 7 2 2 4" xfId="25002" xr:uid="{00000000-0005-0000-0000-0000D1870000}"/>
    <cellStyle name="60% - Accent5 7 2 3" xfId="7082" xr:uid="{00000000-0005-0000-0000-0000D2870000}"/>
    <cellStyle name="60% - Accent5 7 2 3 2" xfId="17322" xr:uid="{00000000-0005-0000-0000-0000D3870000}"/>
    <cellStyle name="60% - Accent5 7 2 3 2 2" xfId="37802" xr:uid="{00000000-0005-0000-0000-0000D4870000}"/>
    <cellStyle name="60% - Accent5 7 2 3 3" xfId="27562" xr:uid="{00000000-0005-0000-0000-0000D5870000}"/>
    <cellStyle name="60% - Accent5 7 2 4" xfId="12202" xr:uid="{00000000-0005-0000-0000-0000D6870000}"/>
    <cellStyle name="60% - Accent5 7 2 4 2" xfId="32682" xr:uid="{00000000-0005-0000-0000-0000D7870000}"/>
    <cellStyle name="60% - Accent5 7 2 5" xfId="22442" xr:uid="{00000000-0005-0000-0000-0000D8870000}"/>
    <cellStyle name="60% - Accent5 7 3" xfId="3242" xr:uid="{00000000-0005-0000-0000-0000D9870000}"/>
    <cellStyle name="60% - Accent5 7 3 2" xfId="8362" xr:uid="{00000000-0005-0000-0000-0000DA870000}"/>
    <cellStyle name="60% - Accent5 7 3 2 2" xfId="18602" xr:uid="{00000000-0005-0000-0000-0000DB870000}"/>
    <cellStyle name="60% - Accent5 7 3 2 2 2" xfId="39082" xr:uid="{00000000-0005-0000-0000-0000DC870000}"/>
    <cellStyle name="60% - Accent5 7 3 2 3" xfId="28842" xr:uid="{00000000-0005-0000-0000-0000DD870000}"/>
    <cellStyle name="60% - Accent5 7 3 3" xfId="13482" xr:uid="{00000000-0005-0000-0000-0000DE870000}"/>
    <cellStyle name="60% - Accent5 7 3 3 2" xfId="33962" xr:uid="{00000000-0005-0000-0000-0000DF870000}"/>
    <cellStyle name="60% - Accent5 7 3 4" xfId="23722" xr:uid="{00000000-0005-0000-0000-0000E0870000}"/>
    <cellStyle name="60% - Accent5 7 4" xfId="5802" xr:uid="{00000000-0005-0000-0000-0000E1870000}"/>
    <cellStyle name="60% - Accent5 7 4 2" xfId="16042" xr:uid="{00000000-0005-0000-0000-0000E2870000}"/>
    <cellStyle name="60% - Accent5 7 4 2 2" xfId="36522" xr:uid="{00000000-0005-0000-0000-0000E3870000}"/>
    <cellStyle name="60% - Accent5 7 4 3" xfId="26282" xr:uid="{00000000-0005-0000-0000-0000E4870000}"/>
    <cellStyle name="60% - Accent5 7 5" xfId="10922" xr:uid="{00000000-0005-0000-0000-0000E5870000}"/>
    <cellStyle name="60% - Accent5 7 5 2" xfId="31402" xr:uid="{00000000-0005-0000-0000-0000E6870000}"/>
    <cellStyle name="60% - Accent5 7 6" xfId="21162" xr:uid="{00000000-0005-0000-0000-0000E7870000}"/>
    <cellStyle name="60% - Accent5 8" xfId="1322" xr:uid="{00000000-0005-0000-0000-0000E8870000}"/>
    <cellStyle name="60% - Accent5 8 2" xfId="3882" xr:uid="{00000000-0005-0000-0000-0000E9870000}"/>
    <cellStyle name="60% - Accent5 8 2 2" xfId="9002" xr:uid="{00000000-0005-0000-0000-0000EA870000}"/>
    <cellStyle name="60% - Accent5 8 2 2 2" xfId="19242" xr:uid="{00000000-0005-0000-0000-0000EB870000}"/>
    <cellStyle name="60% - Accent5 8 2 2 2 2" xfId="39722" xr:uid="{00000000-0005-0000-0000-0000EC870000}"/>
    <cellStyle name="60% - Accent5 8 2 2 3" xfId="29482" xr:uid="{00000000-0005-0000-0000-0000ED870000}"/>
    <cellStyle name="60% - Accent5 8 2 3" xfId="14122" xr:uid="{00000000-0005-0000-0000-0000EE870000}"/>
    <cellStyle name="60% - Accent5 8 2 3 2" xfId="34602" xr:uid="{00000000-0005-0000-0000-0000EF870000}"/>
    <cellStyle name="60% - Accent5 8 2 4" xfId="24362" xr:uid="{00000000-0005-0000-0000-0000F0870000}"/>
    <cellStyle name="60% - Accent5 8 3" xfId="6442" xr:uid="{00000000-0005-0000-0000-0000F1870000}"/>
    <cellStyle name="60% - Accent5 8 3 2" xfId="16682" xr:uid="{00000000-0005-0000-0000-0000F2870000}"/>
    <cellStyle name="60% - Accent5 8 3 2 2" xfId="37162" xr:uid="{00000000-0005-0000-0000-0000F3870000}"/>
    <cellStyle name="60% - Accent5 8 3 3" xfId="26922" xr:uid="{00000000-0005-0000-0000-0000F4870000}"/>
    <cellStyle name="60% - Accent5 8 4" xfId="11562" xr:uid="{00000000-0005-0000-0000-0000F5870000}"/>
    <cellStyle name="60% - Accent5 8 4 2" xfId="32042" xr:uid="{00000000-0005-0000-0000-0000F6870000}"/>
    <cellStyle name="60% - Accent5 8 5" xfId="21802" xr:uid="{00000000-0005-0000-0000-0000F7870000}"/>
    <cellStyle name="60% - Accent5 9" xfId="2602" xr:uid="{00000000-0005-0000-0000-0000F8870000}"/>
    <cellStyle name="60% - Accent5 9 2" xfId="7722" xr:uid="{00000000-0005-0000-0000-0000F9870000}"/>
    <cellStyle name="60% - Accent5 9 2 2" xfId="17962" xr:uid="{00000000-0005-0000-0000-0000FA870000}"/>
    <cellStyle name="60% - Accent5 9 2 2 2" xfId="38442" xr:uid="{00000000-0005-0000-0000-0000FB870000}"/>
    <cellStyle name="60% - Accent5 9 2 3" xfId="28202" xr:uid="{00000000-0005-0000-0000-0000FC870000}"/>
    <cellStyle name="60% - Accent5 9 3" xfId="12842" xr:uid="{00000000-0005-0000-0000-0000FD870000}"/>
    <cellStyle name="60% - Accent5 9 3 2" xfId="33322" xr:uid="{00000000-0005-0000-0000-0000FE870000}"/>
    <cellStyle name="60% - Accent5 9 4" xfId="23082" xr:uid="{00000000-0005-0000-0000-0000FF870000}"/>
    <cellStyle name="60% - Accent6 10" xfId="5165" xr:uid="{00000000-0005-0000-0000-000000880000}"/>
    <cellStyle name="60% - Accent6 10 2" xfId="15405" xr:uid="{00000000-0005-0000-0000-000001880000}"/>
    <cellStyle name="60% - Accent6 10 2 2" xfId="35885" xr:uid="{00000000-0005-0000-0000-000002880000}"/>
    <cellStyle name="60% - Accent6 10 3" xfId="25645" xr:uid="{00000000-0005-0000-0000-000003880000}"/>
    <cellStyle name="60% - Accent6 11" xfId="10285" xr:uid="{00000000-0005-0000-0000-000004880000}"/>
    <cellStyle name="60% - Accent6 11 2" xfId="30765" xr:uid="{00000000-0005-0000-0000-000005880000}"/>
    <cellStyle name="60% - Accent6 12" xfId="20525" xr:uid="{00000000-0005-0000-0000-000006880000}"/>
    <cellStyle name="60% - Accent6 13" xfId="45" xr:uid="{00000000-0005-0000-0000-000007880000}"/>
    <cellStyle name="60% - Accent6 2" xfId="65" xr:uid="{00000000-0005-0000-0000-000008880000}"/>
    <cellStyle name="60% - Accent6 2 10" xfId="10305" xr:uid="{00000000-0005-0000-0000-000009880000}"/>
    <cellStyle name="60% - Accent6 2 10 2" xfId="30785" xr:uid="{00000000-0005-0000-0000-00000A880000}"/>
    <cellStyle name="60% - Accent6 2 11" xfId="20545" xr:uid="{00000000-0005-0000-0000-00000B880000}"/>
    <cellStyle name="60% - Accent6 2 2" xfId="105" xr:uid="{00000000-0005-0000-0000-00000C880000}"/>
    <cellStyle name="60% - Accent6 2 2 10" xfId="20585" xr:uid="{00000000-0005-0000-0000-00000D880000}"/>
    <cellStyle name="60% - Accent6 2 2 2" xfId="185" xr:uid="{00000000-0005-0000-0000-00000E880000}"/>
    <cellStyle name="60% - Accent6 2 2 2 2" xfId="345" xr:uid="{00000000-0005-0000-0000-00000F880000}"/>
    <cellStyle name="60% - Accent6 2 2 2 2 2" xfId="665" xr:uid="{00000000-0005-0000-0000-000010880000}"/>
    <cellStyle name="60% - Accent6 2 2 2 2 2 2" xfId="1305" xr:uid="{00000000-0005-0000-0000-000011880000}"/>
    <cellStyle name="60% - Accent6 2 2 2 2 2 2 2" xfId="2585" xr:uid="{00000000-0005-0000-0000-000012880000}"/>
    <cellStyle name="60% - Accent6 2 2 2 2 2 2 2 2" xfId="5145" xr:uid="{00000000-0005-0000-0000-000013880000}"/>
    <cellStyle name="60% - Accent6 2 2 2 2 2 2 2 2 2" xfId="10265" xr:uid="{00000000-0005-0000-0000-000014880000}"/>
    <cellStyle name="60% - Accent6 2 2 2 2 2 2 2 2 2 2" xfId="20505" xr:uid="{00000000-0005-0000-0000-000015880000}"/>
    <cellStyle name="60% - Accent6 2 2 2 2 2 2 2 2 2 2 2" xfId="40985" xr:uid="{00000000-0005-0000-0000-000016880000}"/>
    <cellStyle name="60% - Accent6 2 2 2 2 2 2 2 2 2 3" xfId="30745" xr:uid="{00000000-0005-0000-0000-000017880000}"/>
    <cellStyle name="60% - Accent6 2 2 2 2 2 2 2 2 3" xfId="15385" xr:uid="{00000000-0005-0000-0000-000018880000}"/>
    <cellStyle name="60% - Accent6 2 2 2 2 2 2 2 2 3 2" xfId="35865" xr:uid="{00000000-0005-0000-0000-000019880000}"/>
    <cellStyle name="60% - Accent6 2 2 2 2 2 2 2 2 4" xfId="25625" xr:uid="{00000000-0005-0000-0000-00001A880000}"/>
    <cellStyle name="60% - Accent6 2 2 2 2 2 2 2 3" xfId="7705" xr:uid="{00000000-0005-0000-0000-00001B880000}"/>
    <cellStyle name="60% - Accent6 2 2 2 2 2 2 2 3 2" xfId="17945" xr:uid="{00000000-0005-0000-0000-00001C880000}"/>
    <cellStyle name="60% - Accent6 2 2 2 2 2 2 2 3 2 2" xfId="38425" xr:uid="{00000000-0005-0000-0000-00001D880000}"/>
    <cellStyle name="60% - Accent6 2 2 2 2 2 2 2 3 3" xfId="28185" xr:uid="{00000000-0005-0000-0000-00001E880000}"/>
    <cellStyle name="60% - Accent6 2 2 2 2 2 2 2 4" xfId="12825" xr:uid="{00000000-0005-0000-0000-00001F880000}"/>
    <cellStyle name="60% - Accent6 2 2 2 2 2 2 2 4 2" xfId="33305" xr:uid="{00000000-0005-0000-0000-000020880000}"/>
    <cellStyle name="60% - Accent6 2 2 2 2 2 2 2 5" xfId="23065" xr:uid="{00000000-0005-0000-0000-000021880000}"/>
    <cellStyle name="60% - Accent6 2 2 2 2 2 2 3" xfId="3865" xr:uid="{00000000-0005-0000-0000-000022880000}"/>
    <cellStyle name="60% - Accent6 2 2 2 2 2 2 3 2" xfId="8985" xr:uid="{00000000-0005-0000-0000-000023880000}"/>
    <cellStyle name="60% - Accent6 2 2 2 2 2 2 3 2 2" xfId="19225" xr:uid="{00000000-0005-0000-0000-000024880000}"/>
    <cellStyle name="60% - Accent6 2 2 2 2 2 2 3 2 2 2" xfId="39705" xr:uid="{00000000-0005-0000-0000-000025880000}"/>
    <cellStyle name="60% - Accent6 2 2 2 2 2 2 3 2 3" xfId="29465" xr:uid="{00000000-0005-0000-0000-000026880000}"/>
    <cellStyle name="60% - Accent6 2 2 2 2 2 2 3 3" xfId="14105" xr:uid="{00000000-0005-0000-0000-000027880000}"/>
    <cellStyle name="60% - Accent6 2 2 2 2 2 2 3 3 2" xfId="34585" xr:uid="{00000000-0005-0000-0000-000028880000}"/>
    <cellStyle name="60% - Accent6 2 2 2 2 2 2 3 4" xfId="24345" xr:uid="{00000000-0005-0000-0000-000029880000}"/>
    <cellStyle name="60% - Accent6 2 2 2 2 2 2 4" xfId="6425" xr:uid="{00000000-0005-0000-0000-00002A880000}"/>
    <cellStyle name="60% - Accent6 2 2 2 2 2 2 4 2" xfId="16665" xr:uid="{00000000-0005-0000-0000-00002B880000}"/>
    <cellStyle name="60% - Accent6 2 2 2 2 2 2 4 2 2" xfId="37145" xr:uid="{00000000-0005-0000-0000-00002C880000}"/>
    <cellStyle name="60% - Accent6 2 2 2 2 2 2 4 3" xfId="26905" xr:uid="{00000000-0005-0000-0000-00002D880000}"/>
    <cellStyle name="60% - Accent6 2 2 2 2 2 2 5" xfId="11545" xr:uid="{00000000-0005-0000-0000-00002E880000}"/>
    <cellStyle name="60% - Accent6 2 2 2 2 2 2 5 2" xfId="32025" xr:uid="{00000000-0005-0000-0000-00002F880000}"/>
    <cellStyle name="60% - Accent6 2 2 2 2 2 2 6" xfId="21785" xr:uid="{00000000-0005-0000-0000-000030880000}"/>
    <cellStyle name="60% - Accent6 2 2 2 2 2 3" xfId="1945" xr:uid="{00000000-0005-0000-0000-000031880000}"/>
    <cellStyle name="60% - Accent6 2 2 2 2 2 3 2" xfId="4505" xr:uid="{00000000-0005-0000-0000-000032880000}"/>
    <cellStyle name="60% - Accent6 2 2 2 2 2 3 2 2" xfId="9625" xr:uid="{00000000-0005-0000-0000-000033880000}"/>
    <cellStyle name="60% - Accent6 2 2 2 2 2 3 2 2 2" xfId="19865" xr:uid="{00000000-0005-0000-0000-000034880000}"/>
    <cellStyle name="60% - Accent6 2 2 2 2 2 3 2 2 2 2" xfId="40345" xr:uid="{00000000-0005-0000-0000-000035880000}"/>
    <cellStyle name="60% - Accent6 2 2 2 2 2 3 2 2 3" xfId="30105" xr:uid="{00000000-0005-0000-0000-000036880000}"/>
    <cellStyle name="60% - Accent6 2 2 2 2 2 3 2 3" xfId="14745" xr:uid="{00000000-0005-0000-0000-000037880000}"/>
    <cellStyle name="60% - Accent6 2 2 2 2 2 3 2 3 2" xfId="35225" xr:uid="{00000000-0005-0000-0000-000038880000}"/>
    <cellStyle name="60% - Accent6 2 2 2 2 2 3 2 4" xfId="24985" xr:uid="{00000000-0005-0000-0000-000039880000}"/>
    <cellStyle name="60% - Accent6 2 2 2 2 2 3 3" xfId="7065" xr:uid="{00000000-0005-0000-0000-00003A880000}"/>
    <cellStyle name="60% - Accent6 2 2 2 2 2 3 3 2" xfId="17305" xr:uid="{00000000-0005-0000-0000-00003B880000}"/>
    <cellStyle name="60% - Accent6 2 2 2 2 2 3 3 2 2" xfId="37785" xr:uid="{00000000-0005-0000-0000-00003C880000}"/>
    <cellStyle name="60% - Accent6 2 2 2 2 2 3 3 3" xfId="27545" xr:uid="{00000000-0005-0000-0000-00003D880000}"/>
    <cellStyle name="60% - Accent6 2 2 2 2 2 3 4" xfId="12185" xr:uid="{00000000-0005-0000-0000-00003E880000}"/>
    <cellStyle name="60% - Accent6 2 2 2 2 2 3 4 2" xfId="32665" xr:uid="{00000000-0005-0000-0000-00003F880000}"/>
    <cellStyle name="60% - Accent6 2 2 2 2 2 3 5" xfId="22425" xr:uid="{00000000-0005-0000-0000-000040880000}"/>
    <cellStyle name="60% - Accent6 2 2 2 2 2 4" xfId="3225" xr:uid="{00000000-0005-0000-0000-000041880000}"/>
    <cellStyle name="60% - Accent6 2 2 2 2 2 4 2" xfId="8345" xr:uid="{00000000-0005-0000-0000-000042880000}"/>
    <cellStyle name="60% - Accent6 2 2 2 2 2 4 2 2" xfId="18585" xr:uid="{00000000-0005-0000-0000-000043880000}"/>
    <cellStyle name="60% - Accent6 2 2 2 2 2 4 2 2 2" xfId="39065" xr:uid="{00000000-0005-0000-0000-000044880000}"/>
    <cellStyle name="60% - Accent6 2 2 2 2 2 4 2 3" xfId="28825" xr:uid="{00000000-0005-0000-0000-000045880000}"/>
    <cellStyle name="60% - Accent6 2 2 2 2 2 4 3" xfId="13465" xr:uid="{00000000-0005-0000-0000-000046880000}"/>
    <cellStyle name="60% - Accent6 2 2 2 2 2 4 3 2" xfId="33945" xr:uid="{00000000-0005-0000-0000-000047880000}"/>
    <cellStyle name="60% - Accent6 2 2 2 2 2 4 4" xfId="23705" xr:uid="{00000000-0005-0000-0000-000048880000}"/>
    <cellStyle name="60% - Accent6 2 2 2 2 2 5" xfId="5785" xr:uid="{00000000-0005-0000-0000-000049880000}"/>
    <cellStyle name="60% - Accent6 2 2 2 2 2 5 2" xfId="16025" xr:uid="{00000000-0005-0000-0000-00004A880000}"/>
    <cellStyle name="60% - Accent6 2 2 2 2 2 5 2 2" xfId="36505" xr:uid="{00000000-0005-0000-0000-00004B880000}"/>
    <cellStyle name="60% - Accent6 2 2 2 2 2 5 3" xfId="26265" xr:uid="{00000000-0005-0000-0000-00004C880000}"/>
    <cellStyle name="60% - Accent6 2 2 2 2 2 6" xfId="10905" xr:uid="{00000000-0005-0000-0000-00004D880000}"/>
    <cellStyle name="60% - Accent6 2 2 2 2 2 6 2" xfId="31385" xr:uid="{00000000-0005-0000-0000-00004E880000}"/>
    <cellStyle name="60% - Accent6 2 2 2 2 2 7" xfId="21145" xr:uid="{00000000-0005-0000-0000-00004F880000}"/>
    <cellStyle name="60% - Accent6 2 2 2 2 3" xfId="985" xr:uid="{00000000-0005-0000-0000-000050880000}"/>
    <cellStyle name="60% - Accent6 2 2 2 2 3 2" xfId="2265" xr:uid="{00000000-0005-0000-0000-000051880000}"/>
    <cellStyle name="60% - Accent6 2 2 2 2 3 2 2" xfId="4825" xr:uid="{00000000-0005-0000-0000-000052880000}"/>
    <cellStyle name="60% - Accent6 2 2 2 2 3 2 2 2" xfId="9945" xr:uid="{00000000-0005-0000-0000-000053880000}"/>
    <cellStyle name="60% - Accent6 2 2 2 2 3 2 2 2 2" xfId="20185" xr:uid="{00000000-0005-0000-0000-000054880000}"/>
    <cellStyle name="60% - Accent6 2 2 2 2 3 2 2 2 2 2" xfId="40665" xr:uid="{00000000-0005-0000-0000-000055880000}"/>
    <cellStyle name="60% - Accent6 2 2 2 2 3 2 2 2 3" xfId="30425" xr:uid="{00000000-0005-0000-0000-000056880000}"/>
    <cellStyle name="60% - Accent6 2 2 2 2 3 2 2 3" xfId="15065" xr:uid="{00000000-0005-0000-0000-000057880000}"/>
    <cellStyle name="60% - Accent6 2 2 2 2 3 2 2 3 2" xfId="35545" xr:uid="{00000000-0005-0000-0000-000058880000}"/>
    <cellStyle name="60% - Accent6 2 2 2 2 3 2 2 4" xfId="25305" xr:uid="{00000000-0005-0000-0000-000059880000}"/>
    <cellStyle name="60% - Accent6 2 2 2 2 3 2 3" xfId="7385" xr:uid="{00000000-0005-0000-0000-00005A880000}"/>
    <cellStyle name="60% - Accent6 2 2 2 2 3 2 3 2" xfId="17625" xr:uid="{00000000-0005-0000-0000-00005B880000}"/>
    <cellStyle name="60% - Accent6 2 2 2 2 3 2 3 2 2" xfId="38105" xr:uid="{00000000-0005-0000-0000-00005C880000}"/>
    <cellStyle name="60% - Accent6 2 2 2 2 3 2 3 3" xfId="27865" xr:uid="{00000000-0005-0000-0000-00005D880000}"/>
    <cellStyle name="60% - Accent6 2 2 2 2 3 2 4" xfId="12505" xr:uid="{00000000-0005-0000-0000-00005E880000}"/>
    <cellStyle name="60% - Accent6 2 2 2 2 3 2 4 2" xfId="32985" xr:uid="{00000000-0005-0000-0000-00005F880000}"/>
    <cellStyle name="60% - Accent6 2 2 2 2 3 2 5" xfId="22745" xr:uid="{00000000-0005-0000-0000-000060880000}"/>
    <cellStyle name="60% - Accent6 2 2 2 2 3 3" xfId="3545" xr:uid="{00000000-0005-0000-0000-000061880000}"/>
    <cellStyle name="60% - Accent6 2 2 2 2 3 3 2" xfId="8665" xr:uid="{00000000-0005-0000-0000-000062880000}"/>
    <cellStyle name="60% - Accent6 2 2 2 2 3 3 2 2" xfId="18905" xr:uid="{00000000-0005-0000-0000-000063880000}"/>
    <cellStyle name="60% - Accent6 2 2 2 2 3 3 2 2 2" xfId="39385" xr:uid="{00000000-0005-0000-0000-000064880000}"/>
    <cellStyle name="60% - Accent6 2 2 2 2 3 3 2 3" xfId="29145" xr:uid="{00000000-0005-0000-0000-000065880000}"/>
    <cellStyle name="60% - Accent6 2 2 2 2 3 3 3" xfId="13785" xr:uid="{00000000-0005-0000-0000-000066880000}"/>
    <cellStyle name="60% - Accent6 2 2 2 2 3 3 3 2" xfId="34265" xr:uid="{00000000-0005-0000-0000-000067880000}"/>
    <cellStyle name="60% - Accent6 2 2 2 2 3 3 4" xfId="24025" xr:uid="{00000000-0005-0000-0000-000068880000}"/>
    <cellStyle name="60% - Accent6 2 2 2 2 3 4" xfId="6105" xr:uid="{00000000-0005-0000-0000-000069880000}"/>
    <cellStyle name="60% - Accent6 2 2 2 2 3 4 2" xfId="16345" xr:uid="{00000000-0005-0000-0000-00006A880000}"/>
    <cellStyle name="60% - Accent6 2 2 2 2 3 4 2 2" xfId="36825" xr:uid="{00000000-0005-0000-0000-00006B880000}"/>
    <cellStyle name="60% - Accent6 2 2 2 2 3 4 3" xfId="26585" xr:uid="{00000000-0005-0000-0000-00006C880000}"/>
    <cellStyle name="60% - Accent6 2 2 2 2 3 5" xfId="11225" xr:uid="{00000000-0005-0000-0000-00006D880000}"/>
    <cellStyle name="60% - Accent6 2 2 2 2 3 5 2" xfId="31705" xr:uid="{00000000-0005-0000-0000-00006E880000}"/>
    <cellStyle name="60% - Accent6 2 2 2 2 3 6" xfId="21465" xr:uid="{00000000-0005-0000-0000-00006F880000}"/>
    <cellStyle name="60% - Accent6 2 2 2 2 4" xfId="1625" xr:uid="{00000000-0005-0000-0000-000070880000}"/>
    <cellStyle name="60% - Accent6 2 2 2 2 4 2" xfId="4185" xr:uid="{00000000-0005-0000-0000-000071880000}"/>
    <cellStyle name="60% - Accent6 2 2 2 2 4 2 2" xfId="9305" xr:uid="{00000000-0005-0000-0000-000072880000}"/>
    <cellStyle name="60% - Accent6 2 2 2 2 4 2 2 2" xfId="19545" xr:uid="{00000000-0005-0000-0000-000073880000}"/>
    <cellStyle name="60% - Accent6 2 2 2 2 4 2 2 2 2" xfId="40025" xr:uid="{00000000-0005-0000-0000-000074880000}"/>
    <cellStyle name="60% - Accent6 2 2 2 2 4 2 2 3" xfId="29785" xr:uid="{00000000-0005-0000-0000-000075880000}"/>
    <cellStyle name="60% - Accent6 2 2 2 2 4 2 3" xfId="14425" xr:uid="{00000000-0005-0000-0000-000076880000}"/>
    <cellStyle name="60% - Accent6 2 2 2 2 4 2 3 2" xfId="34905" xr:uid="{00000000-0005-0000-0000-000077880000}"/>
    <cellStyle name="60% - Accent6 2 2 2 2 4 2 4" xfId="24665" xr:uid="{00000000-0005-0000-0000-000078880000}"/>
    <cellStyle name="60% - Accent6 2 2 2 2 4 3" xfId="6745" xr:uid="{00000000-0005-0000-0000-000079880000}"/>
    <cellStyle name="60% - Accent6 2 2 2 2 4 3 2" xfId="16985" xr:uid="{00000000-0005-0000-0000-00007A880000}"/>
    <cellStyle name="60% - Accent6 2 2 2 2 4 3 2 2" xfId="37465" xr:uid="{00000000-0005-0000-0000-00007B880000}"/>
    <cellStyle name="60% - Accent6 2 2 2 2 4 3 3" xfId="27225" xr:uid="{00000000-0005-0000-0000-00007C880000}"/>
    <cellStyle name="60% - Accent6 2 2 2 2 4 4" xfId="11865" xr:uid="{00000000-0005-0000-0000-00007D880000}"/>
    <cellStyle name="60% - Accent6 2 2 2 2 4 4 2" xfId="32345" xr:uid="{00000000-0005-0000-0000-00007E880000}"/>
    <cellStyle name="60% - Accent6 2 2 2 2 4 5" xfId="22105" xr:uid="{00000000-0005-0000-0000-00007F880000}"/>
    <cellStyle name="60% - Accent6 2 2 2 2 5" xfId="2905" xr:uid="{00000000-0005-0000-0000-000080880000}"/>
    <cellStyle name="60% - Accent6 2 2 2 2 5 2" xfId="8025" xr:uid="{00000000-0005-0000-0000-000081880000}"/>
    <cellStyle name="60% - Accent6 2 2 2 2 5 2 2" xfId="18265" xr:uid="{00000000-0005-0000-0000-000082880000}"/>
    <cellStyle name="60% - Accent6 2 2 2 2 5 2 2 2" xfId="38745" xr:uid="{00000000-0005-0000-0000-000083880000}"/>
    <cellStyle name="60% - Accent6 2 2 2 2 5 2 3" xfId="28505" xr:uid="{00000000-0005-0000-0000-000084880000}"/>
    <cellStyle name="60% - Accent6 2 2 2 2 5 3" xfId="13145" xr:uid="{00000000-0005-0000-0000-000085880000}"/>
    <cellStyle name="60% - Accent6 2 2 2 2 5 3 2" xfId="33625" xr:uid="{00000000-0005-0000-0000-000086880000}"/>
    <cellStyle name="60% - Accent6 2 2 2 2 5 4" xfId="23385" xr:uid="{00000000-0005-0000-0000-000087880000}"/>
    <cellStyle name="60% - Accent6 2 2 2 2 6" xfId="5465" xr:uid="{00000000-0005-0000-0000-000088880000}"/>
    <cellStyle name="60% - Accent6 2 2 2 2 6 2" xfId="15705" xr:uid="{00000000-0005-0000-0000-000089880000}"/>
    <cellStyle name="60% - Accent6 2 2 2 2 6 2 2" xfId="36185" xr:uid="{00000000-0005-0000-0000-00008A880000}"/>
    <cellStyle name="60% - Accent6 2 2 2 2 6 3" xfId="25945" xr:uid="{00000000-0005-0000-0000-00008B880000}"/>
    <cellStyle name="60% - Accent6 2 2 2 2 7" xfId="10585" xr:uid="{00000000-0005-0000-0000-00008C880000}"/>
    <cellStyle name="60% - Accent6 2 2 2 2 7 2" xfId="31065" xr:uid="{00000000-0005-0000-0000-00008D880000}"/>
    <cellStyle name="60% - Accent6 2 2 2 2 8" xfId="20825" xr:uid="{00000000-0005-0000-0000-00008E880000}"/>
    <cellStyle name="60% - Accent6 2 2 2 3" xfId="505" xr:uid="{00000000-0005-0000-0000-00008F880000}"/>
    <cellStyle name="60% - Accent6 2 2 2 3 2" xfId="1145" xr:uid="{00000000-0005-0000-0000-000090880000}"/>
    <cellStyle name="60% - Accent6 2 2 2 3 2 2" xfId="2425" xr:uid="{00000000-0005-0000-0000-000091880000}"/>
    <cellStyle name="60% - Accent6 2 2 2 3 2 2 2" xfId="4985" xr:uid="{00000000-0005-0000-0000-000092880000}"/>
    <cellStyle name="60% - Accent6 2 2 2 3 2 2 2 2" xfId="10105" xr:uid="{00000000-0005-0000-0000-000093880000}"/>
    <cellStyle name="60% - Accent6 2 2 2 3 2 2 2 2 2" xfId="20345" xr:uid="{00000000-0005-0000-0000-000094880000}"/>
    <cellStyle name="60% - Accent6 2 2 2 3 2 2 2 2 2 2" xfId="40825" xr:uid="{00000000-0005-0000-0000-000095880000}"/>
    <cellStyle name="60% - Accent6 2 2 2 3 2 2 2 2 3" xfId="30585" xr:uid="{00000000-0005-0000-0000-000096880000}"/>
    <cellStyle name="60% - Accent6 2 2 2 3 2 2 2 3" xfId="15225" xr:uid="{00000000-0005-0000-0000-000097880000}"/>
    <cellStyle name="60% - Accent6 2 2 2 3 2 2 2 3 2" xfId="35705" xr:uid="{00000000-0005-0000-0000-000098880000}"/>
    <cellStyle name="60% - Accent6 2 2 2 3 2 2 2 4" xfId="25465" xr:uid="{00000000-0005-0000-0000-000099880000}"/>
    <cellStyle name="60% - Accent6 2 2 2 3 2 2 3" xfId="7545" xr:uid="{00000000-0005-0000-0000-00009A880000}"/>
    <cellStyle name="60% - Accent6 2 2 2 3 2 2 3 2" xfId="17785" xr:uid="{00000000-0005-0000-0000-00009B880000}"/>
    <cellStyle name="60% - Accent6 2 2 2 3 2 2 3 2 2" xfId="38265" xr:uid="{00000000-0005-0000-0000-00009C880000}"/>
    <cellStyle name="60% - Accent6 2 2 2 3 2 2 3 3" xfId="28025" xr:uid="{00000000-0005-0000-0000-00009D880000}"/>
    <cellStyle name="60% - Accent6 2 2 2 3 2 2 4" xfId="12665" xr:uid="{00000000-0005-0000-0000-00009E880000}"/>
    <cellStyle name="60% - Accent6 2 2 2 3 2 2 4 2" xfId="33145" xr:uid="{00000000-0005-0000-0000-00009F880000}"/>
    <cellStyle name="60% - Accent6 2 2 2 3 2 2 5" xfId="22905" xr:uid="{00000000-0005-0000-0000-0000A0880000}"/>
    <cellStyle name="60% - Accent6 2 2 2 3 2 3" xfId="3705" xr:uid="{00000000-0005-0000-0000-0000A1880000}"/>
    <cellStyle name="60% - Accent6 2 2 2 3 2 3 2" xfId="8825" xr:uid="{00000000-0005-0000-0000-0000A2880000}"/>
    <cellStyle name="60% - Accent6 2 2 2 3 2 3 2 2" xfId="19065" xr:uid="{00000000-0005-0000-0000-0000A3880000}"/>
    <cellStyle name="60% - Accent6 2 2 2 3 2 3 2 2 2" xfId="39545" xr:uid="{00000000-0005-0000-0000-0000A4880000}"/>
    <cellStyle name="60% - Accent6 2 2 2 3 2 3 2 3" xfId="29305" xr:uid="{00000000-0005-0000-0000-0000A5880000}"/>
    <cellStyle name="60% - Accent6 2 2 2 3 2 3 3" xfId="13945" xr:uid="{00000000-0005-0000-0000-0000A6880000}"/>
    <cellStyle name="60% - Accent6 2 2 2 3 2 3 3 2" xfId="34425" xr:uid="{00000000-0005-0000-0000-0000A7880000}"/>
    <cellStyle name="60% - Accent6 2 2 2 3 2 3 4" xfId="24185" xr:uid="{00000000-0005-0000-0000-0000A8880000}"/>
    <cellStyle name="60% - Accent6 2 2 2 3 2 4" xfId="6265" xr:uid="{00000000-0005-0000-0000-0000A9880000}"/>
    <cellStyle name="60% - Accent6 2 2 2 3 2 4 2" xfId="16505" xr:uid="{00000000-0005-0000-0000-0000AA880000}"/>
    <cellStyle name="60% - Accent6 2 2 2 3 2 4 2 2" xfId="36985" xr:uid="{00000000-0005-0000-0000-0000AB880000}"/>
    <cellStyle name="60% - Accent6 2 2 2 3 2 4 3" xfId="26745" xr:uid="{00000000-0005-0000-0000-0000AC880000}"/>
    <cellStyle name="60% - Accent6 2 2 2 3 2 5" xfId="11385" xr:uid="{00000000-0005-0000-0000-0000AD880000}"/>
    <cellStyle name="60% - Accent6 2 2 2 3 2 5 2" xfId="31865" xr:uid="{00000000-0005-0000-0000-0000AE880000}"/>
    <cellStyle name="60% - Accent6 2 2 2 3 2 6" xfId="21625" xr:uid="{00000000-0005-0000-0000-0000AF880000}"/>
    <cellStyle name="60% - Accent6 2 2 2 3 3" xfId="1785" xr:uid="{00000000-0005-0000-0000-0000B0880000}"/>
    <cellStyle name="60% - Accent6 2 2 2 3 3 2" xfId="4345" xr:uid="{00000000-0005-0000-0000-0000B1880000}"/>
    <cellStyle name="60% - Accent6 2 2 2 3 3 2 2" xfId="9465" xr:uid="{00000000-0005-0000-0000-0000B2880000}"/>
    <cellStyle name="60% - Accent6 2 2 2 3 3 2 2 2" xfId="19705" xr:uid="{00000000-0005-0000-0000-0000B3880000}"/>
    <cellStyle name="60% - Accent6 2 2 2 3 3 2 2 2 2" xfId="40185" xr:uid="{00000000-0005-0000-0000-0000B4880000}"/>
    <cellStyle name="60% - Accent6 2 2 2 3 3 2 2 3" xfId="29945" xr:uid="{00000000-0005-0000-0000-0000B5880000}"/>
    <cellStyle name="60% - Accent6 2 2 2 3 3 2 3" xfId="14585" xr:uid="{00000000-0005-0000-0000-0000B6880000}"/>
    <cellStyle name="60% - Accent6 2 2 2 3 3 2 3 2" xfId="35065" xr:uid="{00000000-0005-0000-0000-0000B7880000}"/>
    <cellStyle name="60% - Accent6 2 2 2 3 3 2 4" xfId="24825" xr:uid="{00000000-0005-0000-0000-0000B8880000}"/>
    <cellStyle name="60% - Accent6 2 2 2 3 3 3" xfId="6905" xr:uid="{00000000-0005-0000-0000-0000B9880000}"/>
    <cellStyle name="60% - Accent6 2 2 2 3 3 3 2" xfId="17145" xr:uid="{00000000-0005-0000-0000-0000BA880000}"/>
    <cellStyle name="60% - Accent6 2 2 2 3 3 3 2 2" xfId="37625" xr:uid="{00000000-0005-0000-0000-0000BB880000}"/>
    <cellStyle name="60% - Accent6 2 2 2 3 3 3 3" xfId="27385" xr:uid="{00000000-0005-0000-0000-0000BC880000}"/>
    <cellStyle name="60% - Accent6 2 2 2 3 3 4" xfId="12025" xr:uid="{00000000-0005-0000-0000-0000BD880000}"/>
    <cellStyle name="60% - Accent6 2 2 2 3 3 4 2" xfId="32505" xr:uid="{00000000-0005-0000-0000-0000BE880000}"/>
    <cellStyle name="60% - Accent6 2 2 2 3 3 5" xfId="22265" xr:uid="{00000000-0005-0000-0000-0000BF880000}"/>
    <cellStyle name="60% - Accent6 2 2 2 3 4" xfId="3065" xr:uid="{00000000-0005-0000-0000-0000C0880000}"/>
    <cellStyle name="60% - Accent6 2 2 2 3 4 2" xfId="8185" xr:uid="{00000000-0005-0000-0000-0000C1880000}"/>
    <cellStyle name="60% - Accent6 2 2 2 3 4 2 2" xfId="18425" xr:uid="{00000000-0005-0000-0000-0000C2880000}"/>
    <cellStyle name="60% - Accent6 2 2 2 3 4 2 2 2" xfId="38905" xr:uid="{00000000-0005-0000-0000-0000C3880000}"/>
    <cellStyle name="60% - Accent6 2 2 2 3 4 2 3" xfId="28665" xr:uid="{00000000-0005-0000-0000-0000C4880000}"/>
    <cellStyle name="60% - Accent6 2 2 2 3 4 3" xfId="13305" xr:uid="{00000000-0005-0000-0000-0000C5880000}"/>
    <cellStyle name="60% - Accent6 2 2 2 3 4 3 2" xfId="33785" xr:uid="{00000000-0005-0000-0000-0000C6880000}"/>
    <cellStyle name="60% - Accent6 2 2 2 3 4 4" xfId="23545" xr:uid="{00000000-0005-0000-0000-0000C7880000}"/>
    <cellStyle name="60% - Accent6 2 2 2 3 5" xfId="5625" xr:uid="{00000000-0005-0000-0000-0000C8880000}"/>
    <cellStyle name="60% - Accent6 2 2 2 3 5 2" xfId="15865" xr:uid="{00000000-0005-0000-0000-0000C9880000}"/>
    <cellStyle name="60% - Accent6 2 2 2 3 5 2 2" xfId="36345" xr:uid="{00000000-0005-0000-0000-0000CA880000}"/>
    <cellStyle name="60% - Accent6 2 2 2 3 5 3" xfId="26105" xr:uid="{00000000-0005-0000-0000-0000CB880000}"/>
    <cellStyle name="60% - Accent6 2 2 2 3 6" xfId="10745" xr:uid="{00000000-0005-0000-0000-0000CC880000}"/>
    <cellStyle name="60% - Accent6 2 2 2 3 6 2" xfId="31225" xr:uid="{00000000-0005-0000-0000-0000CD880000}"/>
    <cellStyle name="60% - Accent6 2 2 2 3 7" xfId="20985" xr:uid="{00000000-0005-0000-0000-0000CE880000}"/>
    <cellStyle name="60% - Accent6 2 2 2 4" xfId="825" xr:uid="{00000000-0005-0000-0000-0000CF880000}"/>
    <cellStyle name="60% - Accent6 2 2 2 4 2" xfId="2105" xr:uid="{00000000-0005-0000-0000-0000D0880000}"/>
    <cellStyle name="60% - Accent6 2 2 2 4 2 2" xfId="4665" xr:uid="{00000000-0005-0000-0000-0000D1880000}"/>
    <cellStyle name="60% - Accent6 2 2 2 4 2 2 2" xfId="9785" xr:uid="{00000000-0005-0000-0000-0000D2880000}"/>
    <cellStyle name="60% - Accent6 2 2 2 4 2 2 2 2" xfId="20025" xr:uid="{00000000-0005-0000-0000-0000D3880000}"/>
    <cellStyle name="60% - Accent6 2 2 2 4 2 2 2 2 2" xfId="40505" xr:uid="{00000000-0005-0000-0000-0000D4880000}"/>
    <cellStyle name="60% - Accent6 2 2 2 4 2 2 2 3" xfId="30265" xr:uid="{00000000-0005-0000-0000-0000D5880000}"/>
    <cellStyle name="60% - Accent6 2 2 2 4 2 2 3" xfId="14905" xr:uid="{00000000-0005-0000-0000-0000D6880000}"/>
    <cellStyle name="60% - Accent6 2 2 2 4 2 2 3 2" xfId="35385" xr:uid="{00000000-0005-0000-0000-0000D7880000}"/>
    <cellStyle name="60% - Accent6 2 2 2 4 2 2 4" xfId="25145" xr:uid="{00000000-0005-0000-0000-0000D8880000}"/>
    <cellStyle name="60% - Accent6 2 2 2 4 2 3" xfId="7225" xr:uid="{00000000-0005-0000-0000-0000D9880000}"/>
    <cellStyle name="60% - Accent6 2 2 2 4 2 3 2" xfId="17465" xr:uid="{00000000-0005-0000-0000-0000DA880000}"/>
    <cellStyle name="60% - Accent6 2 2 2 4 2 3 2 2" xfId="37945" xr:uid="{00000000-0005-0000-0000-0000DB880000}"/>
    <cellStyle name="60% - Accent6 2 2 2 4 2 3 3" xfId="27705" xr:uid="{00000000-0005-0000-0000-0000DC880000}"/>
    <cellStyle name="60% - Accent6 2 2 2 4 2 4" xfId="12345" xr:uid="{00000000-0005-0000-0000-0000DD880000}"/>
    <cellStyle name="60% - Accent6 2 2 2 4 2 4 2" xfId="32825" xr:uid="{00000000-0005-0000-0000-0000DE880000}"/>
    <cellStyle name="60% - Accent6 2 2 2 4 2 5" xfId="22585" xr:uid="{00000000-0005-0000-0000-0000DF880000}"/>
    <cellStyle name="60% - Accent6 2 2 2 4 3" xfId="3385" xr:uid="{00000000-0005-0000-0000-0000E0880000}"/>
    <cellStyle name="60% - Accent6 2 2 2 4 3 2" xfId="8505" xr:uid="{00000000-0005-0000-0000-0000E1880000}"/>
    <cellStyle name="60% - Accent6 2 2 2 4 3 2 2" xfId="18745" xr:uid="{00000000-0005-0000-0000-0000E2880000}"/>
    <cellStyle name="60% - Accent6 2 2 2 4 3 2 2 2" xfId="39225" xr:uid="{00000000-0005-0000-0000-0000E3880000}"/>
    <cellStyle name="60% - Accent6 2 2 2 4 3 2 3" xfId="28985" xr:uid="{00000000-0005-0000-0000-0000E4880000}"/>
    <cellStyle name="60% - Accent6 2 2 2 4 3 3" xfId="13625" xr:uid="{00000000-0005-0000-0000-0000E5880000}"/>
    <cellStyle name="60% - Accent6 2 2 2 4 3 3 2" xfId="34105" xr:uid="{00000000-0005-0000-0000-0000E6880000}"/>
    <cellStyle name="60% - Accent6 2 2 2 4 3 4" xfId="23865" xr:uid="{00000000-0005-0000-0000-0000E7880000}"/>
    <cellStyle name="60% - Accent6 2 2 2 4 4" xfId="5945" xr:uid="{00000000-0005-0000-0000-0000E8880000}"/>
    <cellStyle name="60% - Accent6 2 2 2 4 4 2" xfId="16185" xr:uid="{00000000-0005-0000-0000-0000E9880000}"/>
    <cellStyle name="60% - Accent6 2 2 2 4 4 2 2" xfId="36665" xr:uid="{00000000-0005-0000-0000-0000EA880000}"/>
    <cellStyle name="60% - Accent6 2 2 2 4 4 3" xfId="26425" xr:uid="{00000000-0005-0000-0000-0000EB880000}"/>
    <cellStyle name="60% - Accent6 2 2 2 4 5" xfId="11065" xr:uid="{00000000-0005-0000-0000-0000EC880000}"/>
    <cellStyle name="60% - Accent6 2 2 2 4 5 2" xfId="31545" xr:uid="{00000000-0005-0000-0000-0000ED880000}"/>
    <cellStyle name="60% - Accent6 2 2 2 4 6" xfId="21305" xr:uid="{00000000-0005-0000-0000-0000EE880000}"/>
    <cellStyle name="60% - Accent6 2 2 2 5" xfId="1465" xr:uid="{00000000-0005-0000-0000-0000EF880000}"/>
    <cellStyle name="60% - Accent6 2 2 2 5 2" xfId="4025" xr:uid="{00000000-0005-0000-0000-0000F0880000}"/>
    <cellStyle name="60% - Accent6 2 2 2 5 2 2" xfId="9145" xr:uid="{00000000-0005-0000-0000-0000F1880000}"/>
    <cellStyle name="60% - Accent6 2 2 2 5 2 2 2" xfId="19385" xr:uid="{00000000-0005-0000-0000-0000F2880000}"/>
    <cellStyle name="60% - Accent6 2 2 2 5 2 2 2 2" xfId="39865" xr:uid="{00000000-0005-0000-0000-0000F3880000}"/>
    <cellStyle name="60% - Accent6 2 2 2 5 2 2 3" xfId="29625" xr:uid="{00000000-0005-0000-0000-0000F4880000}"/>
    <cellStyle name="60% - Accent6 2 2 2 5 2 3" xfId="14265" xr:uid="{00000000-0005-0000-0000-0000F5880000}"/>
    <cellStyle name="60% - Accent6 2 2 2 5 2 3 2" xfId="34745" xr:uid="{00000000-0005-0000-0000-0000F6880000}"/>
    <cellStyle name="60% - Accent6 2 2 2 5 2 4" xfId="24505" xr:uid="{00000000-0005-0000-0000-0000F7880000}"/>
    <cellStyle name="60% - Accent6 2 2 2 5 3" xfId="6585" xr:uid="{00000000-0005-0000-0000-0000F8880000}"/>
    <cellStyle name="60% - Accent6 2 2 2 5 3 2" xfId="16825" xr:uid="{00000000-0005-0000-0000-0000F9880000}"/>
    <cellStyle name="60% - Accent6 2 2 2 5 3 2 2" xfId="37305" xr:uid="{00000000-0005-0000-0000-0000FA880000}"/>
    <cellStyle name="60% - Accent6 2 2 2 5 3 3" xfId="27065" xr:uid="{00000000-0005-0000-0000-0000FB880000}"/>
    <cellStyle name="60% - Accent6 2 2 2 5 4" xfId="11705" xr:uid="{00000000-0005-0000-0000-0000FC880000}"/>
    <cellStyle name="60% - Accent6 2 2 2 5 4 2" xfId="32185" xr:uid="{00000000-0005-0000-0000-0000FD880000}"/>
    <cellStyle name="60% - Accent6 2 2 2 5 5" xfId="21945" xr:uid="{00000000-0005-0000-0000-0000FE880000}"/>
    <cellStyle name="60% - Accent6 2 2 2 6" xfId="2745" xr:uid="{00000000-0005-0000-0000-0000FF880000}"/>
    <cellStyle name="60% - Accent6 2 2 2 6 2" xfId="7865" xr:uid="{00000000-0005-0000-0000-000000890000}"/>
    <cellStyle name="60% - Accent6 2 2 2 6 2 2" xfId="18105" xr:uid="{00000000-0005-0000-0000-000001890000}"/>
    <cellStyle name="60% - Accent6 2 2 2 6 2 2 2" xfId="38585" xr:uid="{00000000-0005-0000-0000-000002890000}"/>
    <cellStyle name="60% - Accent6 2 2 2 6 2 3" xfId="28345" xr:uid="{00000000-0005-0000-0000-000003890000}"/>
    <cellStyle name="60% - Accent6 2 2 2 6 3" xfId="12985" xr:uid="{00000000-0005-0000-0000-000004890000}"/>
    <cellStyle name="60% - Accent6 2 2 2 6 3 2" xfId="33465" xr:uid="{00000000-0005-0000-0000-000005890000}"/>
    <cellStyle name="60% - Accent6 2 2 2 6 4" xfId="23225" xr:uid="{00000000-0005-0000-0000-000006890000}"/>
    <cellStyle name="60% - Accent6 2 2 2 7" xfId="5305" xr:uid="{00000000-0005-0000-0000-000007890000}"/>
    <cellStyle name="60% - Accent6 2 2 2 7 2" xfId="15545" xr:uid="{00000000-0005-0000-0000-000008890000}"/>
    <cellStyle name="60% - Accent6 2 2 2 7 2 2" xfId="36025" xr:uid="{00000000-0005-0000-0000-000009890000}"/>
    <cellStyle name="60% - Accent6 2 2 2 7 3" xfId="25785" xr:uid="{00000000-0005-0000-0000-00000A890000}"/>
    <cellStyle name="60% - Accent6 2 2 2 8" xfId="10425" xr:uid="{00000000-0005-0000-0000-00000B890000}"/>
    <cellStyle name="60% - Accent6 2 2 2 8 2" xfId="30905" xr:uid="{00000000-0005-0000-0000-00000C890000}"/>
    <cellStyle name="60% - Accent6 2 2 2 9" xfId="20665" xr:uid="{00000000-0005-0000-0000-00000D890000}"/>
    <cellStyle name="60% - Accent6 2 2 3" xfId="265" xr:uid="{00000000-0005-0000-0000-00000E890000}"/>
    <cellStyle name="60% - Accent6 2 2 3 2" xfId="585" xr:uid="{00000000-0005-0000-0000-00000F890000}"/>
    <cellStyle name="60% - Accent6 2 2 3 2 2" xfId="1225" xr:uid="{00000000-0005-0000-0000-000010890000}"/>
    <cellStyle name="60% - Accent6 2 2 3 2 2 2" xfId="2505" xr:uid="{00000000-0005-0000-0000-000011890000}"/>
    <cellStyle name="60% - Accent6 2 2 3 2 2 2 2" xfId="5065" xr:uid="{00000000-0005-0000-0000-000012890000}"/>
    <cellStyle name="60% - Accent6 2 2 3 2 2 2 2 2" xfId="10185" xr:uid="{00000000-0005-0000-0000-000013890000}"/>
    <cellStyle name="60% - Accent6 2 2 3 2 2 2 2 2 2" xfId="20425" xr:uid="{00000000-0005-0000-0000-000014890000}"/>
    <cellStyle name="60% - Accent6 2 2 3 2 2 2 2 2 2 2" xfId="40905" xr:uid="{00000000-0005-0000-0000-000015890000}"/>
    <cellStyle name="60% - Accent6 2 2 3 2 2 2 2 2 3" xfId="30665" xr:uid="{00000000-0005-0000-0000-000016890000}"/>
    <cellStyle name="60% - Accent6 2 2 3 2 2 2 2 3" xfId="15305" xr:uid="{00000000-0005-0000-0000-000017890000}"/>
    <cellStyle name="60% - Accent6 2 2 3 2 2 2 2 3 2" xfId="35785" xr:uid="{00000000-0005-0000-0000-000018890000}"/>
    <cellStyle name="60% - Accent6 2 2 3 2 2 2 2 4" xfId="25545" xr:uid="{00000000-0005-0000-0000-000019890000}"/>
    <cellStyle name="60% - Accent6 2 2 3 2 2 2 3" xfId="7625" xr:uid="{00000000-0005-0000-0000-00001A890000}"/>
    <cellStyle name="60% - Accent6 2 2 3 2 2 2 3 2" xfId="17865" xr:uid="{00000000-0005-0000-0000-00001B890000}"/>
    <cellStyle name="60% - Accent6 2 2 3 2 2 2 3 2 2" xfId="38345" xr:uid="{00000000-0005-0000-0000-00001C890000}"/>
    <cellStyle name="60% - Accent6 2 2 3 2 2 2 3 3" xfId="28105" xr:uid="{00000000-0005-0000-0000-00001D890000}"/>
    <cellStyle name="60% - Accent6 2 2 3 2 2 2 4" xfId="12745" xr:uid="{00000000-0005-0000-0000-00001E890000}"/>
    <cellStyle name="60% - Accent6 2 2 3 2 2 2 4 2" xfId="33225" xr:uid="{00000000-0005-0000-0000-00001F890000}"/>
    <cellStyle name="60% - Accent6 2 2 3 2 2 2 5" xfId="22985" xr:uid="{00000000-0005-0000-0000-000020890000}"/>
    <cellStyle name="60% - Accent6 2 2 3 2 2 3" xfId="3785" xr:uid="{00000000-0005-0000-0000-000021890000}"/>
    <cellStyle name="60% - Accent6 2 2 3 2 2 3 2" xfId="8905" xr:uid="{00000000-0005-0000-0000-000022890000}"/>
    <cellStyle name="60% - Accent6 2 2 3 2 2 3 2 2" xfId="19145" xr:uid="{00000000-0005-0000-0000-000023890000}"/>
    <cellStyle name="60% - Accent6 2 2 3 2 2 3 2 2 2" xfId="39625" xr:uid="{00000000-0005-0000-0000-000024890000}"/>
    <cellStyle name="60% - Accent6 2 2 3 2 2 3 2 3" xfId="29385" xr:uid="{00000000-0005-0000-0000-000025890000}"/>
    <cellStyle name="60% - Accent6 2 2 3 2 2 3 3" xfId="14025" xr:uid="{00000000-0005-0000-0000-000026890000}"/>
    <cellStyle name="60% - Accent6 2 2 3 2 2 3 3 2" xfId="34505" xr:uid="{00000000-0005-0000-0000-000027890000}"/>
    <cellStyle name="60% - Accent6 2 2 3 2 2 3 4" xfId="24265" xr:uid="{00000000-0005-0000-0000-000028890000}"/>
    <cellStyle name="60% - Accent6 2 2 3 2 2 4" xfId="6345" xr:uid="{00000000-0005-0000-0000-000029890000}"/>
    <cellStyle name="60% - Accent6 2 2 3 2 2 4 2" xfId="16585" xr:uid="{00000000-0005-0000-0000-00002A890000}"/>
    <cellStyle name="60% - Accent6 2 2 3 2 2 4 2 2" xfId="37065" xr:uid="{00000000-0005-0000-0000-00002B890000}"/>
    <cellStyle name="60% - Accent6 2 2 3 2 2 4 3" xfId="26825" xr:uid="{00000000-0005-0000-0000-00002C890000}"/>
    <cellStyle name="60% - Accent6 2 2 3 2 2 5" xfId="11465" xr:uid="{00000000-0005-0000-0000-00002D890000}"/>
    <cellStyle name="60% - Accent6 2 2 3 2 2 5 2" xfId="31945" xr:uid="{00000000-0005-0000-0000-00002E890000}"/>
    <cellStyle name="60% - Accent6 2 2 3 2 2 6" xfId="21705" xr:uid="{00000000-0005-0000-0000-00002F890000}"/>
    <cellStyle name="60% - Accent6 2 2 3 2 3" xfId="1865" xr:uid="{00000000-0005-0000-0000-000030890000}"/>
    <cellStyle name="60% - Accent6 2 2 3 2 3 2" xfId="4425" xr:uid="{00000000-0005-0000-0000-000031890000}"/>
    <cellStyle name="60% - Accent6 2 2 3 2 3 2 2" xfId="9545" xr:uid="{00000000-0005-0000-0000-000032890000}"/>
    <cellStyle name="60% - Accent6 2 2 3 2 3 2 2 2" xfId="19785" xr:uid="{00000000-0005-0000-0000-000033890000}"/>
    <cellStyle name="60% - Accent6 2 2 3 2 3 2 2 2 2" xfId="40265" xr:uid="{00000000-0005-0000-0000-000034890000}"/>
    <cellStyle name="60% - Accent6 2 2 3 2 3 2 2 3" xfId="30025" xr:uid="{00000000-0005-0000-0000-000035890000}"/>
    <cellStyle name="60% - Accent6 2 2 3 2 3 2 3" xfId="14665" xr:uid="{00000000-0005-0000-0000-000036890000}"/>
    <cellStyle name="60% - Accent6 2 2 3 2 3 2 3 2" xfId="35145" xr:uid="{00000000-0005-0000-0000-000037890000}"/>
    <cellStyle name="60% - Accent6 2 2 3 2 3 2 4" xfId="24905" xr:uid="{00000000-0005-0000-0000-000038890000}"/>
    <cellStyle name="60% - Accent6 2 2 3 2 3 3" xfId="6985" xr:uid="{00000000-0005-0000-0000-000039890000}"/>
    <cellStyle name="60% - Accent6 2 2 3 2 3 3 2" xfId="17225" xr:uid="{00000000-0005-0000-0000-00003A890000}"/>
    <cellStyle name="60% - Accent6 2 2 3 2 3 3 2 2" xfId="37705" xr:uid="{00000000-0005-0000-0000-00003B890000}"/>
    <cellStyle name="60% - Accent6 2 2 3 2 3 3 3" xfId="27465" xr:uid="{00000000-0005-0000-0000-00003C890000}"/>
    <cellStyle name="60% - Accent6 2 2 3 2 3 4" xfId="12105" xr:uid="{00000000-0005-0000-0000-00003D890000}"/>
    <cellStyle name="60% - Accent6 2 2 3 2 3 4 2" xfId="32585" xr:uid="{00000000-0005-0000-0000-00003E890000}"/>
    <cellStyle name="60% - Accent6 2 2 3 2 3 5" xfId="22345" xr:uid="{00000000-0005-0000-0000-00003F890000}"/>
    <cellStyle name="60% - Accent6 2 2 3 2 4" xfId="3145" xr:uid="{00000000-0005-0000-0000-000040890000}"/>
    <cellStyle name="60% - Accent6 2 2 3 2 4 2" xfId="8265" xr:uid="{00000000-0005-0000-0000-000041890000}"/>
    <cellStyle name="60% - Accent6 2 2 3 2 4 2 2" xfId="18505" xr:uid="{00000000-0005-0000-0000-000042890000}"/>
    <cellStyle name="60% - Accent6 2 2 3 2 4 2 2 2" xfId="38985" xr:uid="{00000000-0005-0000-0000-000043890000}"/>
    <cellStyle name="60% - Accent6 2 2 3 2 4 2 3" xfId="28745" xr:uid="{00000000-0005-0000-0000-000044890000}"/>
    <cellStyle name="60% - Accent6 2 2 3 2 4 3" xfId="13385" xr:uid="{00000000-0005-0000-0000-000045890000}"/>
    <cellStyle name="60% - Accent6 2 2 3 2 4 3 2" xfId="33865" xr:uid="{00000000-0005-0000-0000-000046890000}"/>
    <cellStyle name="60% - Accent6 2 2 3 2 4 4" xfId="23625" xr:uid="{00000000-0005-0000-0000-000047890000}"/>
    <cellStyle name="60% - Accent6 2 2 3 2 5" xfId="5705" xr:uid="{00000000-0005-0000-0000-000048890000}"/>
    <cellStyle name="60% - Accent6 2 2 3 2 5 2" xfId="15945" xr:uid="{00000000-0005-0000-0000-000049890000}"/>
    <cellStyle name="60% - Accent6 2 2 3 2 5 2 2" xfId="36425" xr:uid="{00000000-0005-0000-0000-00004A890000}"/>
    <cellStyle name="60% - Accent6 2 2 3 2 5 3" xfId="26185" xr:uid="{00000000-0005-0000-0000-00004B890000}"/>
    <cellStyle name="60% - Accent6 2 2 3 2 6" xfId="10825" xr:uid="{00000000-0005-0000-0000-00004C890000}"/>
    <cellStyle name="60% - Accent6 2 2 3 2 6 2" xfId="31305" xr:uid="{00000000-0005-0000-0000-00004D890000}"/>
    <cellStyle name="60% - Accent6 2 2 3 2 7" xfId="21065" xr:uid="{00000000-0005-0000-0000-00004E890000}"/>
    <cellStyle name="60% - Accent6 2 2 3 3" xfId="905" xr:uid="{00000000-0005-0000-0000-00004F890000}"/>
    <cellStyle name="60% - Accent6 2 2 3 3 2" xfId="2185" xr:uid="{00000000-0005-0000-0000-000050890000}"/>
    <cellStyle name="60% - Accent6 2 2 3 3 2 2" xfId="4745" xr:uid="{00000000-0005-0000-0000-000051890000}"/>
    <cellStyle name="60% - Accent6 2 2 3 3 2 2 2" xfId="9865" xr:uid="{00000000-0005-0000-0000-000052890000}"/>
    <cellStyle name="60% - Accent6 2 2 3 3 2 2 2 2" xfId="20105" xr:uid="{00000000-0005-0000-0000-000053890000}"/>
    <cellStyle name="60% - Accent6 2 2 3 3 2 2 2 2 2" xfId="40585" xr:uid="{00000000-0005-0000-0000-000054890000}"/>
    <cellStyle name="60% - Accent6 2 2 3 3 2 2 2 3" xfId="30345" xr:uid="{00000000-0005-0000-0000-000055890000}"/>
    <cellStyle name="60% - Accent6 2 2 3 3 2 2 3" xfId="14985" xr:uid="{00000000-0005-0000-0000-000056890000}"/>
    <cellStyle name="60% - Accent6 2 2 3 3 2 2 3 2" xfId="35465" xr:uid="{00000000-0005-0000-0000-000057890000}"/>
    <cellStyle name="60% - Accent6 2 2 3 3 2 2 4" xfId="25225" xr:uid="{00000000-0005-0000-0000-000058890000}"/>
    <cellStyle name="60% - Accent6 2 2 3 3 2 3" xfId="7305" xr:uid="{00000000-0005-0000-0000-000059890000}"/>
    <cellStyle name="60% - Accent6 2 2 3 3 2 3 2" xfId="17545" xr:uid="{00000000-0005-0000-0000-00005A890000}"/>
    <cellStyle name="60% - Accent6 2 2 3 3 2 3 2 2" xfId="38025" xr:uid="{00000000-0005-0000-0000-00005B890000}"/>
    <cellStyle name="60% - Accent6 2 2 3 3 2 3 3" xfId="27785" xr:uid="{00000000-0005-0000-0000-00005C890000}"/>
    <cellStyle name="60% - Accent6 2 2 3 3 2 4" xfId="12425" xr:uid="{00000000-0005-0000-0000-00005D890000}"/>
    <cellStyle name="60% - Accent6 2 2 3 3 2 4 2" xfId="32905" xr:uid="{00000000-0005-0000-0000-00005E890000}"/>
    <cellStyle name="60% - Accent6 2 2 3 3 2 5" xfId="22665" xr:uid="{00000000-0005-0000-0000-00005F890000}"/>
    <cellStyle name="60% - Accent6 2 2 3 3 3" xfId="3465" xr:uid="{00000000-0005-0000-0000-000060890000}"/>
    <cellStyle name="60% - Accent6 2 2 3 3 3 2" xfId="8585" xr:uid="{00000000-0005-0000-0000-000061890000}"/>
    <cellStyle name="60% - Accent6 2 2 3 3 3 2 2" xfId="18825" xr:uid="{00000000-0005-0000-0000-000062890000}"/>
    <cellStyle name="60% - Accent6 2 2 3 3 3 2 2 2" xfId="39305" xr:uid="{00000000-0005-0000-0000-000063890000}"/>
    <cellStyle name="60% - Accent6 2 2 3 3 3 2 3" xfId="29065" xr:uid="{00000000-0005-0000-0000-000064890000}"/>
    <cellStyle name="60% - Accent6 2 2 3 3 3 3" xfId="13705" xr:uid="{00000000-0005-0000-0000-000065890000}"/>
    <cellStyle name="60% - Accent6 2 2 3 3 3 3 2" xfId="34185" xr:uid="{00000000-0005-0000-0000-000066890000}"/>
    <cellStyle name="60% - Accent6 2 2 3 3 3 4" xfId="23945" xr:uid="{00000000-0005-0000-0000-000067890000}"/>
    <cellStyle name="60% - Accent6 2 2 3 3 4" xfId="6025" xr:uid="{00000000-0005-0000-0000-000068890000}"/>
    <cellStyle name="60% - Accent6 2 2 3 3 4 2" xfId="16265" xr:uid="{00000000-0005-0000-0000-000069890000}"/>
    <cellStyle name="60% - Accent6 2 2 3 3 4 2 2" xfId="36745" xr:uid="{00000000-0005-0000-0000-00006A890000}"/>
    <cellStyle name="60% - Accent6 2 2 3 3 4 3" xfId="26505" xr:uid="{00000000-0005-0000-0000-00006B890000}"/>
    <cellStyle name="60% - Accent6 2 2 3 3 5" xfId="11145" xr:uid="{00000000-0005-0000-0000-00006C890000}"/>
    <cellStyle name="60% - Accent6 2 2 3 3 5 2" xfId="31625" xr:uid="{00000000-0005-0000-0000-00006D890000}"/>
    <cellStyle name="60% - Accent6 2 2 3 3 6" xfId="21385" xr:uid="{00000000-0005-0000-0000-00006E890000}"/>
    <cellStyle name="60% - Accent6 2 2 3 4" xfId="1545" xr:uid="{00000000-0005-0000-0000-00006F890000}"/>
    <cellStyle name="60% - Accent6 2 2 3 4 2" xfId="4105" xr:uid="{00000000-0005-0000-0000-000070890000}"/>
    <cellStyle name="60% - Accent6 2 2 3 4 2 2" xfId="9225" xr:uid="{00000000-0005-0000-0000-000071890000}"/>
    <cellStyle name="60% - Accent6 2 2 3 4 2 2 2" xfId="19465" xr:uid="{00000000-0005-0000-0000-000072890000}"/>
    <cellStyle name="60% - Accent6 2 2 3 4 2 2 2 2" xfId="39945" xr:uid="{00000000-0005-0000-0000-000073890000}"/>
    <cellStyle name="60% - Accent6 2 2 3 4 2 2 3" xfId="29705" xr:uid="{00000000-0005-0000-0000-000074890000}"/>
    <cellStyle name="60% - Accent6 2 2 3 4 2 3" xfId="14345" xr:uid="{00000000-0005-0000-0000-000075890000}"/>
    <cellStyle name="60% - Accent6 2 2 3 4 2 3 2" xfId="34825" xr:uid="{00000000-0005-0000-0000-000076890000}"/>
    <cellStyle name="60% - Accent6 2 2 3 4 2 4" xfId="24585" xr:uid="{00000000-0005-0000-0000-000077890000}"/>
    <cellStyle name="60% - Accent6 2 2 3 4 3" xfId="6665" xr:uid="{00000000-0005-0000-0000-000078890000}"/>
    <cellStyle name="60% - Accent6 2 2 3 4 3 2" xfId="16905" xr:uid="{00000000-0005-0000-0000-000079890000}"/>
    <cellStyle name="60% - Accent6 2 2 3 4 3 2 2" xfId="37385" xr:uid="{00000000-0005-0000-0000-00007A890000}"/>
    <cellStyle name="60% - Accent6 2 2 3 4 3 3" xfId="27145" xr:uid="{00000000-0005-0000-0000-00007B890000}"/>
    <cellStyle name="60% - Accent6 2 2 3 4 4" xfId="11785" xr:uid="{00000000-0005-0000-0000-00007C890000}"/>
    <cellStyle name="60% - Accent6 2 2 3 4 4 2" xfId="32265" xr:uid="{00000000-0005-0000-0000-00007D890000}"/>
    <cellStyle name="60% - Accent6 2 2 3 4 5" xfId="22025" xr:uid="{00000000-0005-0000-0000-00007E890000}"/>
    <cellStyle name="60% - Accent6 2 2 3 5" xfId="2825" xr:uid="{00000000-0005-0000-0000-00007F890000}"/>
    <cellStyle name="60% - Accent6 2 2 3 5 2" xfId="7945" xr:uid="{00000000-0005-0000-0000-000080890000}"/>
    <cellStyle name="60% - Accent6 2 2 3 5 2 2" xfId="18185" xr:uid="{00000000-0005-0000-0000-000081890000}"/>
    <cellStyle name="60% - Accent6 2 2 3 5 2 2 2" xfId="38665" xr:uid="{00000000-0005-0000-0000-000082890000}"/>
    <cellStyle name="60% - Accent6 2 2 3 5 2 3" xfId="28425" xr:uid="{00000000-0005-0000-0000-000083890000}"/>
    <cellStyle name="60% - Accent6 2 2 3 5 3" xfId="13065" xr:uid="{00000000-0005-0000-0000-000084890000}"/>
    <cellStyle name="60% - Accent6 2 2 3 5 3 2" xfId="33545" xr:uid="{00000000-0005-0000-0000-000085890000}"/>
    <cellStyle name="60% - Accent6 2 2 3 5 4" xfId="23305" xr:uid="{00000000-0005-0000-0000-000086890000}"/>
    <cellStyle name="60% - Accent6 2 2 3 6" xfId="5385" xr:uid="{00000000-0005-0000-0000-000087890000}"/>
    <cellStyle name="60% - Accent6 2 2 3 6 2" xfId="15625" xr:uid="{00000000-0005-0000-0000-000088890000}"/>
    <cellStyle name="60% - Accent6 2 2 3 6 2 2" xfId="36105" xr:uid="{00000000-0005-0000-0000-000089890000}"/>
    <cellStyle name="60% - Accent6 2 2 3 6 3" xfId="25865" xr:uid="{00000000-0005-0000-0000-00008A890000}"/>
    <cellStyle name="60% - Accent6 2 2 3 7" xfId="10505" xr:uid="{00000000-0005-0000-0000-00008B890000}"/>
    <cellStyle name="60% - Accent6 2 2 3 7 2" xfId="30985" xr:uid="{00000000-0005-0000-0000-00008C890000}"/>
    <cellStyle name="60% - Accent6 2 2 3 8" xfId="20745" xr:uid="{00000000-0005-0000-0000-00008D890000}"/>
    <cellStyle name="60% - Accent6 2 2 4" xfId="425" xr:uid="{00000000-0005-0000-0000-00008E890000}"/>
    <cellStyle name="60% - Accent6 2 2 4 2" xfId="1065" xr:uid="{00000000-0005-0000-0000-00008F890000}"/>
    <cellStyle name="60% - Accent6 2 2 4 2 2" xfId="2345" xr:uid="{00000000-0005-0000-0000-000090890000}"/>
    <cellStyle name="60% - Accent6 2 2 4 2 2 2" xfId="4905" xr:uid="{00000000-0005-0000-0000-000091890000}"/>
    <cellStyle name="60% - Accent6 2 2 4 2 2 2 2" xfId="10025" xr:uid="{00000000-0005-0000-0000-000092890000}"/>
    <cellStyle name="60% - Accent6 2 2 4 2 2 2 2 2" xfId="20265" xr:uid="{00000000-0005-0000-0000-000093890000}"/>
    <cellStyle name="60% - Accent6 2 2 4 2 2 2 2 2 2" xfId="40745" xr:uid="{00000000-0005-0000-0000-000094890000}"/>
    <cellStyle name="60% - Accent6 2 2 4 2 2 2 2 3" xfId="30505" xr:uid="{00000000-0005-0000-0000-000095890000}"/>
    <cellStyle name="60% - Accent6 2 2 4 2 2 2 3" xfId="15145" xr:uid="{00000000-0005-0000-0000-000096890000}"/>
    <cellStyle name="60% - Accent6 2 2 4 2 2 2 3 2" xfId="35625" xr:uid="{00000000-0005-0000-0000-000097890000}"/>
    <cellStyle name="60% - Accent6 2 2 4 2 2 2 4" xfId="25385" xr:uid="{00000000-0005-0000-0000-000098890000}"/>
    <cellStyle name="60% - Accent6 2 2 4 2 2 3" xfId="7465" xr:uid="{00000000-0005-0000-0000-000099890000}"/>
    <cellStyle name="60% - Accent6 2 2 4 2 2 3 2" xfId="17705" xr:uid="{00000000-0005-0000-0000-00009A890000}"/>
    <cellStyle name="60% - Accent6 2 2 4 2 2 3 2 2" xfId="38185" xr:uid="{00000000-0005-0000-0000-00009B890000}"/>
    <cellStyle name="60% - Accent6 2 2 4 2 2 3 3" xfId="27945" xr:uid="{00000000-0005-0000-0000-00009C890000}"/>
    <cellStyle name="60% - Accent6 2 2 4 2 2 4" xfId="12585" xr:uid="{00000000-0005-0000-0000-00009D890000}"/>
    <cellStyle name="60% - Accent6 2 2 4 2 2 4 2" xfId="33065" xr:uid="{00000000-0005-0000-0000-00009E890000}"/>
    <cellStyle name="60% - Accent6 2 2 4 2 2 5" xfId="22825" xr:uid="{00000000-0005-0000-0000-00009F890000}"/>
    <cellStyle name="60% - Accent6 2 2 4 2 3" xfId="3625" xr:uid="{00000000-0005-0000-0000-0000A0890000}"/>
    <cellStyle name="60% - Accent6 2 2 4 2 3 2" xfId="8745" xr:uid="{00000000-0005-0000-0000-0000A1890000}"/>
    <cellStyle name="60% - Accent6 2 2 4 2 3 2 2" xfId="18985" xr:uid="{00000000-0005-0000-0000-0000A2890000}"/>
    <cellStyle name="60% - Accent6 2 2 4 2 3 2 2 2" xfId="39465" xr:uid="{00000000-0005-0000-0000-0000A3890000}"/>
    <cellStyle name="60% - Accent6 2 2 4 2 3 2 3" xfId="29225" xr:uid="{00000000-0005-0000-0000-0000A4890000}"/>
    <cellStyle name="60% - Accent6 2 2 4 2 3 3" xfId="13865" xr:uid="{00000000-0005-0000-0000-0000A5890000}"/>
    <cellStyle name="60% - Accent6 2 2 4 2 3 3 2" xfId="34345" xr:uid="{00000000-0005-0000-0000-0000A6890000}"/>
    <cellStyle name="60% - Accent6 2 2 4 2 3 4" xfId="24105" xr:uid="{00000000-0005-0000-0000-0000A7890000}"/>
    <cellStyle name="60% - Accent6 2 2 4 2 4" xfId="6185" xr:uid="{00000000-0005-0000-0000-0000A8890000}"/>
    <cellStyle name="60% - Accent6 2 2 4 2 4 2" xfId="16425" xr:uid="{00000000-0005-0000-0000-0000A9890000}"/>
    <cellStyle name="60% - Accent6 2 2 4 2 4 2 2" xfId="36905" xr:uid="{00000000-0005-0000-0000-0000AA890000}"/>
    <cellStyle name="60% - Accent6 2 2 4 2 4 3" xfId="26665" xr:uid="{00000000-0005-0000-0000-0000AB890000}"/>
    <cellStyle name="60% - Accent6 2 2 4 2 5" xfId="11305" xr:uid="{00000000-0005-0000-0000-0000AC890000}"/>
    <cellStyle name="60% - Accent6 2 2 4 2 5 2" xfId="31785" xr:uid="{00000000-0005-0000-0000-0000AD890000}"/>
    <cellStyle name="60% - Accent6 2 2 4 2 6" xfId="21545" xr:uid="{00000000-0005-0000-0000-0000AE890000}"/>
    <cellStyle name="60% - Accent6 2 2 4 3" xfId="1705" xr:uid="{00000000-0005-0000-0000-0000AF890000}"/>
    <cellStyle name="60% - Accent6 2 2 4 3 2" xfId="4265" xr:uid="{00000000-0005-0000-0000-0000B0890000}"/>
    <cellStyle name="60% - Accent6 2 2 4 3 2 2" xfId="9385" xr:uid="{00000000-0005-0000-0000-0000B1890000}"/>
    <cellStyle name="60% - Accent6 2 2 4 3 2 2 2" xfId="19625" xr:uid="{00000000-0005-0000-0000-0000B2890000}"/>
    <cellStyle name="60% - Accent6 2 2 4 3 2 2 2 2" xfId="40105" xr:uid="{00000000-0005-0000-0000-0000B3890000}"/>
    <cellStyle name="60% - Accent6 2 2 4 3 2 2 3" xfId="29865" xr:uid="{00000000-0005-0000-0000-0000B4890000}"/>
    <cellStyle name="60% - Accent6 2 2 4 3 2 3" xfId="14505" xr:uid="{00000000-0005-0000-0000-0000B5890000}"/>
    <cellStyle name="60% - Accent6 2 2 4 3 2 3 2" xfId="34985" xr:uid="{00000000-0005-0000-0000-0000B6890000}"/>
    <cellStyle name="60% - Accent6 2 2 4 3 2 4" xfId="24745" xr:uid="{00000000-0005-0000-0000-0000B7890000}"/>
    <cellStyle name="60% - Accent6 2 2 4 3 3" xfId="6825" xr:uid="{00000000-0005-0000-0000-0000B8890000}"/>
    <cellStyle name="60% - Accent6 2 2 4 3 3 2" xfId="17065" xr:uid="{00000000-0005-0000-0000-0000B9890000}"/>
    <cellStyle name="60% - Accent6 2 2 4 3 3 2 2" xfId="37545" xr:uid="{00000000-0005-0000-0000-0000BA890000}"/>
    <cellStyle name="60% - Accent6 2 2 4 3 3 3" xfId="27305" xr:uid="{00000000-0005-0000-0000-0000BB890000}"/>
    <cellStyle name="60% - Accent6 2 2 4 3 4" xfId="11945" xr:uid="{00000000-0005-0000-0000-0000BC890000}"/>
    <cellStyle name="60% - Accent6 2 2 4 3 4 2" xfId="32425" xr:uid="{00000000-0005-0000-0000-0000BD890000}"/>
    <cellStyle name="60% - Accent6 2 2 4 3 5" xfId="22185" xr:uid="{00000000-0005-0000-0000-0000BE890000}"/>
    <cellStyle name="60% - Accent6 2 2 4 4" xfId="2985" xr:uid="{00000000-0005-0000-0000-0000BF890000}"/>
    <cellStyle name="60% - Accent6 2 2 4 4 2" xfId="8105" xr:uid="{00000000-0005-0000-0000-0000C0890000}"/>
    <cellStyle name="60% - Accent6 2 2 4 4 2 2" xfId="18345" xr:uid="{00000000-0005-0000-0000-0000C1890000}"/>
    <cellStyle name="60% - Accent6 2 2 4 4 2 2 2" xfId="38825" xr:uid="{00000000-0005-0000-0000-0000C2890000}"/>
    <cellStyle name="60% - Accent6 2 2 4 4 2 3" xfId="28585" xr:uid="{00000000-0005-0000-0000-0000C3890000}"/>
    <cellStyle name="60% - Accent6 2 2 4 4 3" xfId="13225" xr:uid="{00000000-0005-0000-0000-0000C4890000}"/>
    <cellStyle name="60% - Accent6 2 2 4 4 3 2" xfId="33705" xr:uid="{00000000-0005-0000-0000-0000C5890000}"/>
    <cellStyle name="60% - Accent6 2 2 4 4 4" xfId="23465" xr:uid="{00000000-0005-0000-0000-0000C6890000}"/>
    <cellStyle name="60% - Accent6 2 2 4 5" xfId="5545" xr:uid="{00000000-0005-0000-0000-0000C7890000}"/>
    <cellStyle name="60% - Accent6 2 2 4 5 2" xfId="15785" xr:uid="{00000000-0005-0000-0000-0000C8890000}"/>
    <cellStyle name="60% - Accent6 2 2 4 5 2 2" xfId="36265" xr:uid="{00000000-0005-0000-0000-0000C9890000}"/>
    <cellStyle name="60% - Accent6 2 2 4 5 3" xfId="26025" xr:uid="{00000000-0005-0000-0000-0000CA890000}"/>
    <cellStyle name="60% - Accent6 2 2 4 6" xfId="10665" xr:uid="{00000000-0005-0000-0000-0000CB890000}"/>
    <cellStyle name="60% - Accent6 2 2 4 6 2" xfId="31145" xr:uid="{00000000-0005-0000-0000-0000CC890000}"/>
    <cellStyle name="60% - Accent6 2 2 4 7" xfId="20905" xr:uid="{00000000-0005-0000-0000-0000CD890000}"/>
    <cellStyle name="60% - Accent6 2 2 5" xfId="745" xr:uid="{00000000-0005-0000-0000-0000CE890000}"/>
    <cellStyle name="60% - Accent6 2 2 5 2" xfId="2025" xr:uid="{00000000-0005-0000-0000-0000CF890000}"/>
    <cellStyle name="60% - Accent6 2 2 5 2 2" xfId="4585" xr:uid="{00000000-0005-0000-0000-0000D0890000}"/>
    <cellStyle name="60% - Accent6 2 2 5 2 2 2" xfId="9705" xr:uid="{00000000-0005-0000-0000-0000D1890000}"/>
    <cellStyle name="60% - Accent6 2 2 5 2 2 2 2" xfId="19945" xr:uid="{00000000-0005-0000-0000-0000D2890000}"/>
    <cellStyle name="60% - Accent6 2 2 5 2 2 2 2 2" xfId="40425" xr:uid="{00000000-0005-0000-0000-0000D3890000}"/>
    <cellStyle name="60% - Accent6 2 2 5 2 2 2 3" xfId="30185" xr:uid="{00000000-0005-0000-0000-0000D4890000}"/>
    <cellStyle name="60% - Accent6 2 2 5 2 2 3" xfId="14825" xr:uid="{00000000-0005-0000-0000-0000D5890000}"/>
    <cellStyle name="60% - Accent6 2 2 5 2 2 3 2" xfId="35305" xr:uid="{00000000-0005-0000-0000-0000D6890000}"/>
    <cellStyle name="60% - Accent6 2 2 5 2 2 4" xfId="25065" xr:uid="{00000000-0005-0000-0000-0000D7890000}"/>
    <cellStyle name="60% - Accent6 2 2 5 2 3" xfId="7145" xr:uid="{00000000-0005-0000-0000-0000D8890000}"/>
    <cellStyle name="60% - Accent6 2 2 5 2 3 2" xfId="17385" xr:uid="{00000000-0005-0000-0000-0000D9890000}"/>
    <cellStyle name="60% - Accent6 2 2 5 2 3 2 2" xfId="37865" xr:uid="{00000000-0005-0000-0000-0000DA890000}"/>
    <cellStyle name="60% - Accent6 2 2 5 2 3 3" xfId="27625" xr:uid="{00000000-0005-0000-0000-0000DB890000}"/>
    <cellStyle name="60% - Accent6 2 2 5 2 4" xfId="12265" xr:uid="{00000000-0005-0000-0000-0000DC890000}"/>
    <cellStyle name="60% - Accent6 2 2 5 2 4 2" xfId="32745" xr:uid="{00000000-0005-0000-0000-0000DD890000}"/>
    <cellStyle name="60% - Accent6 2 2 5 2 5" xfId="22505" xr:uid="{00000000-0005-0000-0000-0000DE890000}"/>
    <cellStyle name="60% - Accent6 2 2 5 3" xfId="3305" xr:uid="{00000000-0005-0000-0000-0000DF890000}"/>
    <cellStyle name="60% - Accent6 2 2 5 3 2" xfId="8425" xr:uid="{00000000-0005-0000-0000-0000E0890000}"/>
    <cellStyle name="60% - Accent6 2 2 5 3 2 2" xfId="18665" xr:uid="{00000000-0005-0000-0000-0000E1890000}"/>
    <cellStyle name="60% - Accent6 2 2 5 3 2 2 2" xfId="39145" xr:uid="{00000000-0005-0000-0000-0000E2890000}"/>
    <cellStyle name="60% - Accent6 2 2 5 3 2 3" xfId="28905" xr:uid="{00000000-0005-0000-0000-0000E3890000}"/>
    <cellStyle name="60% - Accent6 2 2 5 3 3" xfId="13545" xr:uid="{00000000-0005-0000-0000-0000E4890000}"/>
    <cellStyle name="60% - Accent6 2 2 5 3 3 2" xfId="34025" xr:uid="{00000000-0005-0000-0000-0000E5890000}"/>
    <cellStyle name="60% - Accent6 2 2 5 3 4" xfId="23785" xr:uid="{00000000-0005-0000-0000-0000E6890000}"/>
    <cellStyle name="60% - Accent6 2 2 5 4" xfId="5865" xr:uid="{00000000-0005-0000-0000-0000E7890000}"/>
    <cellStyle name="60% - Accent6 2 2 5 4 2" xfId="16105" xr:uid="{00000000-0005-0000-0000-0000E8890000}"/>
    <cellStyle name="60% - Accent6 2 2 5 4 2 2" xfId="36585" xr:uid="{00000000-0005-0000-0000-0000E9890000}"/>
    <cellStyle name="60% - Accent6 2 2 5 4 3" xfId="26345" xr:uid="{00000000-0005-0000-0000-0000EA890000}"/>
    <cellStyle name="60% - Accent6 2 2 5 5" xfId="10985" xr:uid="{00000000-0005-0000-0000-0000EB890000}"/>
    <cellStyle name="60% - Accent6 2 2 5 5 2" xfId="31465" xr:uid="{00000000-0005-0000-0000-0000EC890000}"/>
    <cellStyle name="60% - Accent6 2 2 5 6" xfId="21225" xr:uid="{00000000-0005-0000-0000-0000ED890000}"/>
    <cellStyle name="60% - Accent6 2 2 6" xfId="1385" xr:uid="{00000000-0005-0000-0000-0000EE890000}"/>
    <cellStyle name="60% - Accent6 2 2 6 2" xfId="3945" xr:uid="{00000000-0005-0000-0000-0000EF890000}"/>
    <cellStyle name="60% - Accent6 2 2 6 2 2" xfId="9065" xr:uid="{00000000-0005-0000-0000-0000F0890000}"/>
    <cellStyle name="60% - Accent6 2 2 6 2 2 2" xfId="19305" xr:uid="{00000000-0005-0000-0000-0000F1890000}"/>
    <cellStyle name="60% - Accent6 2 2 6 2 2 2 2" xfId="39785" xr:uid="{00000000-0005-0000-0000-0000F2890000}"/>
    <cellStyle name="60% - Accent6 2 2 6 2 2 3" xfId="29545" xr:uid="{00000000-0005-0000-0000-0000F3890000}"/>
    <cellStyle name="60% - Accent6 2 2 6 2 3" xfId="14185" xr:uid="{00000000-0005-0000-0000-0000F4890000}"/>
    <cellStyle name="60% - Accent6 2 2 6 2 3 2" xfId="34665" xr:uid="{00000000-0005-0000-0000-0000F5890000}"/>
    <cellStyle name="60% - Accent6 2 2 6 2 4" xfId="24425" xr:uid="{00000000-0005-0000-0000-0000F6890000}"/>
    <cellStyle name="60% - Accent6 2 2 6 3" xfId="6505" xr:uid="{00000000-0005-0000-0000-0000F7890000}"/>
    <cellStyle name="60% - Accent6 2 2 6 3 2" xfId="16745" xr:uid="{00000000-0005-0000-0000-0000F8890000}"/>
    <cellStyle name="60% - Accent6 2 2 6 3 2 2" xfId="37225" xr:uid="{00000000-0005-0000-0000-0000F9890000}"/>
    <cellStyle name="60% - Accent6 2 2 6 3 3" xfId="26985" xr:uid="{00000000-0005-0000-0000-0000FA890000}"/>
    <cellStyle name="60% - Accent6 2 2 6 4" xfId="11625" xr:uid="{00000000-0005-0000-0000-0000FB890000}"/>
    <cellStyle name="60% - Accent6 2 2 6 4 2" xfId="32105" xr:uid="{00000000-0005-0000-0000-0000FC890000}"/>
    <cellStyle name="60% - Accent6 2 2 6 5" xfId="21865" xr:uid="{00000000-0005-0000-0000-0000FD890000}"/>
    <cellStyle name="60% - Accent6 2 2 7" xfId="2665" xr:uid="{00000000-0005-0000-0000-0000FE890000}"/>
    <cellStyle name="60% - Accent6 2 2 7 2" xfId="7785" xr:uid="{00000000-0005-0000-0000-0000FF890000}"/>
    <cellStyle name="60% - Accent6 2 2 7 2 2" xfId="18025" xr:uid="{00000000-0005-0000-0000-0000008A0000}"/>
    <cellStyle name="60% - Accent6 2 2 7 2 2 2" xfId="38505" xr:uid="{00000000-0005-0000-0000-0000018A0000}"/>
    <cellStyle name="60% - Accent6 2 2 7 2 3" xfId="28265" xr:uid="{00000000-0005-0000-0000-0000028A0000}"/>
    <cellStyle name="60% - Accent6 2 2 7 3" xfId="12905" xr:uid="{00000000-0005-0000-0000-0000038A0000}"/>
    <cellStyle name="60% - Accent6 2 2 7 3 2" xfId="33385" xr:uid="{00000000-0005-0000-0000-0000048A0000}"/>
    <cellStyle name="60% - Accent6 2 2 7 4" xfId="23145" xr:uid="{00000000-0005-0000-0000-0000058A0000}"/>
    <cellStyle name="60% - Accent6 2 2 8" xfId="5225" xr:uid="{00000000-0005-0000-0000-0000068A0000}"/>
    <cellStyle name="60% - Accent6 2 2 8 2" xfId="15465" xr:uid="{00000000-0005-0000-0000-0000078A0000}"/>
    <cellStyle name="60% - Accent6 2 2 8 2 2" xfId="35945" xr:uid="{00000000-0005-0000-0000-0000088A0000}"/>
    <cellStyle name="60% - Accent6 2 2 8 3" xfId="25705" xr:uid="{00000000-0005-0000-0000-0000098A0000}"/>
    <cellStyle name="60% - Accent6 2 2 9" xfId="10345" xr:uid="{00000000-0005-0000-0000-00000A8A0000}"/>
    <cellStyle name="60% - Accent6 2 2 9 2" xfId="30825" xr:uid="{00000000-0005-0000-0000-00000B8A0000}"/>
    <cellStyle name="60% - Accent6 2 3" xfId="145" xr:uid="{00000000-0005-0000-0000-00000C8A0000}"/>
    <cellStyle name="60% - Accent6 2 3 2" xfId="305" xr:uid="{00000000-0005-0000-0000-00000D8A0000}"/>
    <cellStyle name="60% - Accent6 2 3 2 2" xfId="625" xr:uid="{00000000-0005-0000-0000-00000E8A0000}"/>
    <cellStyle name="60% - Accent6 2 3 2 2 2" xfId="1265" xr:uid="{00000000-0005-0000-0000-00000F8A0000}"/>
    <cellStyle name="60% - Accent6 2 3 2 2 2 2" xfId="2545" xr:uid="{00000000-0005-0000-0000-0000108A0000}"/>
    <cellStyle name="60% - Accent6 2 3 2 2 2 2 2" xfId="5105" xr:uid="{00000000-0005-0000-0000-0000118A0000}"/>
    <cellStyle name="60% - Accent6 2 3 2 2 2 2 2 2" xfId="10225" xr:uid="{00000000-0005-0000-0000-0000128A0000}"/>
    <cellStyle name="60% - Accent6 2 3 2 2 2 2 2 2 2" xfId="20465" xr:uid="{00000000-0005-0000-0000-0000138A0000}"/>
    <cellStyle name="60% - Accent6 2 3 2 2 2 2 2 2 2 2" xfId="40945" xr:uid="{00000000-0005-0000-0000-0000148A0000}"/>
    <cellStyle name="60% - Accent6 2 3 2 2 2 2 2 2 3" xfId="30705" xr:uid="{00000000-0005-0000-0000-0000158A0000}"/>
    <cellStyle name="60% - Accent6 2 3 2 2 2 2 2 3" xfId="15345" xr:uid="{00000000-0005-0000-0000-0000168A0000}"/>
    <cellStyle name="60% - Accent6 2 3 2 2 2 2 2 3 2" xfId="35825" xr:uid="{00000000-0005-0000-0000-0000178A0000}"/>
    <cellStyle name="60% - Accent6 2 3 2 2 2 2 2 4" xfId="25585" xr:uid="{00000000-0005-0000-0000-0000188A0000}"/>
    <cellStyle name="60% - Accent6 2 3 2 2 2 2 3" xfId="7665" xr:uid="{00000000-0005-0000-0000-0000198A0000}"/>
    <cellStyle name="60% - Accent6 2 3 2 2 2 2 3 2" xfId="17905" xr:uid="{00000000-0005-0000-0000-00001A8A0000}"/>
    <cellStyle name="60% - Accent6 2 3 2 2 2 2 3 2 2" xfId="38385" xr:uid="{00000000-0005-0000-0000-00001B8A0000}"/>
    <cellStyle name="60% - Accent6 2 3 2 2 2 2 3 3" xfId="28145" xr:uid="{00000000-0005-0000-0000-00001C8A0000}"/>
    <cellStyle name="60% - Accent6 2 3 2 2 2 2 4" xfId="12785" xr:uid="{00000000-0005-0000-0000-00001D8A0000}"/>
    <cellStyle name="60% - Accent6 2 3 2 2 2 2 4 2" xfId="33265" xr:uid="{00000000-0005-0000-0000-00001E8A0000}"/>
    <cellStyle name="60% - Accent6 2 3 2 2 2 2 5" xfId="23025" xr:uid="{00000000-0005-0000-0000-00001F8A0000}"/>
    <cellStyle name="60% - Accent6 2 3 2 2 2 3" xfId="3825" xr:uid="{00000000-0005-0000-0000-0000208A0000}"/>
    <cellStyle name="60% - Accent6 2 3 2 2 2 3 2" xfId="8945" xr:uid="{00000000-0005-0000-0000-0000218A0000}"/>
    <cellStyle name="60% - Accent6 2 3 2 2 2 3 2 2" xfId="19185" xr:uid="{00000000-0005-0000-0000-0000228A0000}"/>
    <cellStyle name="60% - Accent6 2 3 2 2 2 3 2 2 2" xfId="39665" xr:uid="{00000000-0005-0000-0000-0000238A0000}"/>
    <cellStyle name="60% - Accent6 2 3 2 2 2 3 2 3" xfId="29425" xr:uid="{00000000-0005-0000-0000-0000248A0000}"/>
    <cellStyle name="60% - Accent6 2 3 2 2 2 3 3" xfId="14065" xr:uid="{00000000-0005-0000-0000-0000258A0000}"/>
    <cellStyle name="60% - Accent6 2 3 2 2 2 3 3 2" xfId="34545" xr:uid="{00000000-0005-0000-0000-0000268A0000}"/>
    <cellStyle name="60% - Accent6 2 3 2 2 2 3 4" xfId="24305" xr:uid="{00000000-0005-0000-0000-0000278A0000}"/>
    <cellStyle name="60% - Accent6 2 3 2 2 2 4" xfId="6385" xr:uid="{00000000-0005-0000-0000-0000288A0000}"/>
    <cellStyle name="60% - Accent6 2 3 2 2 2 4 2" xfId="16625" xr:uid="{00000000-0005-0000-0000-0000298A0000}"/>
    <cellStyle name="60% - Accent6 2 3 2 2 2 4 2 2" xfId="37105" xr:uid="{00000000-0005-0000-0000-00002A8A0000}"/>
    <cellStyle name="60% - Accent6 2 3 2 2 2 4 3" xfId="26865" xr:uid="{00000000-0005-0000-0000-00002B8A0000}"/>
    <cellStyle name="60% - Accent6 2 3 2 2 2 5" xfId="11505" xr:uid="{00000000-0005-0000-0000-00002C8A0000}"/>
    <cellStyle name="60% - Accent6 2 3 2 2 2 5 2" xfId="31985" xr:uid="{00000000-0005-0000-0000-00002D8A0000}"/>
    <cellStyle name="60% - Accent6 2 3 2 2 2 6" xfId="21745" xr:uid="{00000000-0005-0000-0000-00002E8A0000}"/>
    <cellStyle name="60% - Accent6 2 3 2 2 3" xfId="1905" xr:uid="{00000000-0005-0000-0000-00002F8A0000}"/>
    <cellStyle name="60% - Accent6 2 3 2 2 3 2" xfId="4465" xr:uid="{00000000-0005-0000-0000-0000308A0000}"/>
    <cellStyle name="60% - Accent6 2 3 2 2 3 2 2" xfId="9585" xr:uid="{00000000-0005-0000-0000-0000318A0000}"/>
    <cellStyle name="60% - Accent6 2 3 2 2 3 2 2 2" xfId="19825" xr:uid="{00000000-0005-0000-0000-0000328A0000}"/>
    <cellStyle name="60% - Accent6 2 3 2 2 3 2 2 2 2" xfId="40305" xr:uid="{00000000-0005-0000-0000-0000338A0000}"/>
    <cellStyle name="60% - Accent6 2 3 2 2 3 2 2 3" xfId="30065" xr:uid="{00000000-0005-0000-0000-0000348A0000}"/>
    <cellStyle name="60% - Accent6 2 3 2 2 3 2 3" xfId="14705" xr:uid="{00000000-0005-0000-0000-0000358A0000}"/>
    <cellStyle name="60% - Accent6 2 3 2 2 3 2 3 2" xfId="35185" xr:uid="{00000000-0005-0000-0000-0000368A0000}"/>
    <cellStyle name="60% - Accent6 2 3 2 2 3 2 4" xfId="24945" xr:uid="{00000000-0005-0000-0000-0000378A0000}"/>
    <cellStyle name="60% - Accent6 2 3 2 2 3 3" xfId="7025" xr:uid="{00000000-0005-0000-0000-0000388A0000}"/>
    <cellStyle name="60% - Accent6 2 3 2 2 3 3 2" xfId="17265" xr:uid="{00000000-0005-0000-0000-0000398A0000}"/>
    <cellStyle name="60% - Accent6 2 3 2 2 3 3 2 2" xfId="37745" xr:uid="{00000000-0005-0000-0000-00003A8A0000}"/>
    <cellStyle name="60% - Accent6 2 3 2 2 3 3 3" xfId="27505" xr:uid="{00000000-0005-0000-0000-00003B8A0000}"/>
    <cellStyle name="60% - Accent6 2 3 2 2 3 4" xfId="12145" xr:uid="{00000000-0005-0000-0000-00003C8A0000}"/>
    <cellStyle name="60% - Accent6 2 3 2 2 3 4 2" xfId="32625" xr:uid="{00000000-0005-0000-0000-00003D8A0000}"/>
    <cellStyle name="60% - Accent6 2 3 2 2 3 5" xfId="22385" xr:uid="{00000000-0005-0000-0000-00003E8A0000}"/>
    <cellStyle name="60% - Accent6 2 3 2 2 4" xfId="3185" xr:uid="{00000000-0005-0000-0000-00003F8A0000}"/>
    <cellStyle name="60% - Accent6 2 3 2 2 4 2" xfId="8305" xr:uid="{00000000-0005-0000-0000-0000408A0000}"/>
    <cellStyle name="60% - Accent6 2 3 2 2 4 2 2" xfId="18545" xr:uid="{00000000-0005-0000-0000-0000418A0000}"/>
    <cellStyle name="60% - Accent6 2 3 2 2 4 2 2 2" xfId="39025" xr:uid="{00000000-0005-0000-0000-0000428A0000}"/>
    <cellStyle name="60% - Accent6 2 3 2 2 4 2 3" xfId="28785" xr:uid="{00000000-0005-0000-0000-0000438A0000}"/>
    <cellStyle name="60% - Accent6 2 3 2 2 4 3" xfId="13425" xr:uid="{00000000-0005-0000-0000-0000448A0000}"/>
    <cellStyle name="60% - Accent6 2 3 2 2 4 3 2" xfId="33905" xr:uid="{00000000-0005-0000-0000-0000458A0000}"/>
    <cellStyle name="60% - Accent6 2 3 2 2 4 4" xfId="23665" xr:uid="{00000000-0005-0000-0000-0000468A0000}"/>
    <cellStyle name="60% - Accent6 2 3 2 2 5" xfId="5745" xr:uid="{00000000-0005-0000-0000-0000478A0000}"/>
    <cellStyle name="60% - Accent6 2 3 2 2 5 2" xfId="15985" xr:uid="{00000000-0005-0000-0000-0000488A0000}"/>
    <cellStyle name="60% - Accent6 2 3 2 2 5 2 2" xfId="36465" xr:uid="{00000000-0005-0000-0000-0000498A0000}"/>
    <cellStyle name="60% - Accent6 2 3 2 2 5 3" xfId="26225" xr:uid="{00000000-0005-0000-0000-00004A8A0000}"/>
    <cellStyle name="60% - Accent6 2 3 2 2 6" xfId="10865" xr:uid="{00000000-0005-0000-0000-00004B8A0000}"/>
    <cellStyle name="60% - Accent6 2 3 2 2 6 2" xfId="31345" xr:uid="{00000000-0005-0000-0000-00004C8A0000}"/>
    <cellStyle name="60% - Accent6 2 3 2 2 7" xfId="21105" xr:uid="{00000000-0005-0000-0000-00004D8A0000}"/>
    <cellStyle name="60% - Accent6 2 3 2 3" xfId="945" xr:uid="{00000000-0005-0000-0000-00004E8A0000}"/>
    <cellStyle name="60% - Accent6 2 3 2 3 2" xfId="2225" xr:uid="{00000000-0005-0000-0000-00004F8A0000}"/>
    <cellStyle name="60% - Accent6 2 3 2 3 2 2" xfId="4785" xr:uid="{00000000-0005-0000-0000-0000508A0000}"/>
    <cellStyle name="60% - Accent6 2 3 2 3 2 2 2" xfId="9905" xr:uid="{00000000-0005-0000-0000-0000518A0000}"/>
    <cellStyle name="60% - Accent6 2 3 2 3 2 2 2 2" xfId="20145" xr:uid="{00000000-0005-0000-0000-0000528A0000}"/>
    <cellStyle name="60% - Accent6 2 3 2 3 2 2 2 2 2" xfId="40625" xr:uid="{00000000-0005-0000-0000-0000538A0000}"/>
    <cellStyle name="60% - Accent6 2 3 2 3 2 2 2 3" xfId="30385" xr:uid="{00000000-0005-0000-0000-0000548A0000}"/>
    <cellStyle name="60% - Accent6 2 3 2 3 2 2 3" xfId="15025" xr:uid="{00000000-0005-0000-0000-0000558A0000}"/>
    <cellStyle name="60% - Accent6 2 3 2 3 2 2 3 2" xfId="35505" xr:uid="{00000000-0005-0000-0000-0000568A0000}"/>
    <cellStyle name="60% - Accent6 2 3 2 3 2 2 4" xfId="25265" xr:uid="{00000000-0005-0000-0000-0000578A0000}"/>
    <cellStyle name="60% - Accent6 2 3 2 3 2 3" xfId="7345" xr:uid="{00000000-0005-0000-0000-0000588A0000}"/>
    <cellStyle name="60% - Accent6 2 3 2 3 2 3 2" xfId="17585" xr:uid="{00000000-0005-0000-0000-0000598A0000}"/>
    <cellStyle name="60% - Accent6 2 3 2 3 2 3 2 2" xfId="38065" xr:uid="{00000000-0005-0000-0000-00005A8A0000}"/>
    <cellStyle name="60% - Accent6 2 3 2 3 2 3 3" xfId="27825" xr:uid="{00000000-0005-0000-0000-00005B8A0000}"/>
    <cellStyle name="60% - Accent6 2 3 2 3 2 4" xfId="12465" xr:uid="{00000000-0005-0000-0000-00005C8A0000}"/>
    <cellStyle name="60% - Accent6 2 3 2 3 2 4 2" xfId="32945" xr:uid="{00000000-0005-0000-0000-00005D8A0000}"/>
    <cellStyle name="60% - Accent6 2 3 2 3 2 5" xfId="22705" xr:uid="{00000000-0005-0000-0000-00005E8A0000}"/>
    <cellStyle name="60% - Accent6 2 3 2 3 3" xfId="3505" xr:uid="{00000000-0005-0000-0000-00005F8A0000}"/>
    <cellStyle name="60% - Accent6 2 3 2 3 3 2" xfId="8625" xr:uid="{00000000-0005-0000-0000-0000608A0000}"/>
    <cellStyle name="60% - Accent6 2 3 2 3 3 2 2" xfId="18865" xr:uid="{00000000-0005-0000-0000-0000618A0000}"/>
    <cellStyle name="60% - Accent6 2 3 2 3 3 2 2 2" xfId="39345" xr:uid="{00000000-0005-0000-0000-0000628A0000}"/>
    <cellStyle name="60% - Accent6 2 3 2 3 3 2 3" xfId="29105" xr:uid="{00000000-0005-0000-0000-0000638A0000}"/>
    <cellStyle name="60% - Accent6 2 3 2 3 3 3" xfId="13745" xr:uid="{00000000-0005-0000-0000-0000648A0000}"/>
    <cellStyle name="60% - Accent6 2 3 2 3 3 3 2" xfId="34225" xr:uid="{00000000-0005-0000-0000-0000658A0000}"/>
    <cellStyle name="60% - Accent6 2 3 2 3 3 4" xfId="23985" xr:uid="{00000000-0005-0000-0000-0000668A0000}"/>
    <cellStyle name="60% - Accent6 2 3 2 3 4" xfId="6065" xr:uid="{00000000-0005-0000-0000-0000678A0000}"/>
    <cellStyle name="60% - Accent6 2 3 2 3 4 2" xfId="16305" xr:uid="{00000000-0005-0000-0000-0000688A0000}"/>
    <cellStyle name="60% - Accent6 2 3 2 3 4 2 2" xfId="36785" xr:uid="{00000000-0005-0000-0000-0000698A0000}"/>
    <cellStyle name="60% - Accent6 2 3 2 3 4 3" xfId="26545" xr:uid="{00000000-0005-0000-0000-00006A8A0000}"/>
    <cellStyle name="60% - Accent6 2 3 2 3 5" xfId="11185" xr:uid="{00000000-0005-0000-0000-00006B8A0000}"/>
    <cellStyle name="60% - Accent6 2 3 2 3 5 2" xfId="31665" xr:uid="{00000000-0005-0000-0000-00006C8A0000}"/>
    <cellStyle name="60% - Accent6 2 3 2 3 6" xfId="21425" xr:uid="{00000000-0005-0000-0000-00006D8A0000}"/>
    <cellStyle name="60% - Accent6 2 3 2 4" xfId="1585" xr:uid="{00000000-0005-0000-0000-00006E8A0000}"/>
    <cellStyle name="60% - Accent6 2 3 2 4 2" xfId="4145" xr:uid="{00000000-0005-0000-0000-00006F8A0000}"/>
    <cellStyle name="60% - Accent6 2 3 2 4 2 2" xfId="9265" xr:uid="{00000000-0005-0000-0000-0000708A0000}"/>
    <cellStyle name="60% - Accent6 2 3 2 4 2 2 2" xfId="19505" xr:uid="{00000000-0005-0000-0000-0000718A0000}"/>
    <cellStyle name="60% - Accent6 2 3 2 4 2 2 2 2" xfId="39985" xr:uid="{00000000-0005-0000-0000-0000728A0000}"/>
    <cellStyle name="60% - Accent6 2 3 2 4 2 2 3" xfId="29745" xr:uid="{00000000-0005-0000-0000-0000738A0000}"/>
    <cellStyle name="60% - Accent6 2 3 2 4 2 3" xfId="14385" xr:uid="{00000000-0005-0000-0000-0000748A0000}"/>
    <cellStyle name="60% - Accent6 2 3 2 4 2 3 2" xfId="34865" xr:uid="{00000000-0005-0000-0000-0000758A0000}"/>
    <cellStyle name="60% - Accent6 2 3 2 4 2 4" xfId="24625" xr:uid="{00000000-0005-0000-0000-0000768A0000}"/>
    <cellStyle name="60% - Accent6 2 3 2 4 3" xfId="6705" xr:uid="{00000000-0005-0000-0000-0000778A0000}"/>
    <cellStyle name="60% - Accent6 2 3 2 4 3 2" xfId="16945" xr:uid="{00000000-0005-0000-0000-0000788A0000}"/>
    <cellStyle name="60% - Accent6 2 3 2 4 3 2 2" xfId="37425" xr:uid="{00000000-0005-0000-0000-0000798A0000}"/>
    <cellStyle name="60% - Accent6 2 3 2 4 3 3" xfId="27185" xr:uid="{00000000-0005-0000-0000-00007A8A0000}"/>
    <cellStyle name="60% - Accent6 2 3 2 4 4" xfId="11825" xr:uid="{00000000-0005-0000-0000-00007B8A0000}"/>
    <cellStyle name="60% - Accent6 2 3 2 4 4 2" xfId="32305" xr:uid="{00000000-0005-0000-0000-00007C8A0000}"/>
    <cellStyle name="60% - Accent6 2 3 2 4 5" xfId="22065" xr:uid="{00000000-0005-0000-0000-00007D8A0000}"/>
    <cellStyle name="60% - Accent6 2 3 2 5" xfId="2865" xr:uid="{00000000-0005-0000-0000-00007E8A0000}"/>
    <cellStyle name="60% - Accent6 2 3 2 5 2" xfId="7985" xr:uid="{00000000-0005-0000-0000-00007F8A0000}"/>
    <cellStyle name="60% - Accent6 2 3 2 5 2 2" xfId="18225" xr:uid="{00000000-0005-0000-0000-0000808A0000}"/>
    <cellStyle name="60% - Accent6 2 3 2 5 2 2 2" xfId="38705" xr:uid="{00000000-0005-0000-0000-0000818A0000}"/>
    <cellStyle name="60% - Accent6 2 3 2 5 2 3" xfId="28465" xr:uid="{00000000-0005-0000-0000-0000828A0000}"/>
    <cellStyle name="60% - Accent6 2 3 2 5 3" xfId="13105" xr:uid="{00000000-0005-0000-0000-0000838A0000}"/>
    <cellStyle name="60% - Accent6 2 3 2 5 3 2" xfId="33585" xr:uid="{00000000-0005-0000-0000-0000848A0000}"/>
    <cellStyle name="60% - Accent6 2 3 2 5 4" xfId="23345" xr:uid="{00000000-0005-0000-0000-0000858A0000}"/>
    <cellStyle name="60% - Accent6 2 3 2 6" xfId="5425" xr:uid="{00000000-0005-0000-0000-0000868A0000}"/>
    <cellStyle name="60% - Accent6 2 3 2 6 2" xfId="15665" xr:uid="{00000000-0005-0000-0000-0000878A0000}"/>
    <cellStyle name="60% - Accent6 2 3 2 6 2 2" xfId="36145" xr:uid="{00000000-0005-0000-0000-0000888A0000}"/>
    <cellStyle name="60% - Accent6 2 3 2 6 3" xfId="25905" xr:uid="{00000000-0005-0000-0000-0000898A0000}"/>
    <cellStyle name="60% - Accent6 2 3 2 7" xfId="10545" xr:uid="{00000000-0005-0000-0000-00008A8A0000}"/>
    <cellStyle name="60% - Accent6 2 3 2 7 2" xfId="31025" xr:uid="{00000000-0005-0000-0000-00008B8A0000}"/>
    <cellStyle name="60% - Accent6 2 3 2 8" xfId="20785" xr:uid="{00000000-0005-0000-0000-00008C8A0000}"/>
    <cellStyle name="60% - Accent6 2 3 3" xfId="465" xr:uid="{00000000-0005-0000-0000-00008D8A0000}"/>
    <cellStyle name="60% - Accent6 2 3 3 2" xfId="1105" xr:uid="{00000000-0005-0000-0000-00008E8A0000}"/>
    <cellStyle name="60% - Accent6 2 3 3 2 2" xfId="2385" xr:uid="{00000000-0005-0000-0000-00008F8A0000}"/>
    <cellStyle name="60% - Accent6 2 3 3 2 2 2" xfId="4945" xr:uid="{00000000-0005-0000-0000-0000908A0000}"/>
    <cellStyle name="60% - Accent6 2 3 3 2 2 2 2" xfId="10065" xr:uid="{00000000-0005-0000-0000-0000918A0000}"/>
    <cellStyle name="60% - Accent6 2 3 3 2 2 2 2 2" xfId="20305" xr:uid="{00000000-0005-0000-0000-0000928A0000}"/>
    <cellStyle name="60% - Accent6 2 3 3 2 2 2 2 2 2" xfId="40785" xr:uid="{00000000-0005-0000-0000-0000938A0000}"/>
    <cellStyle name="60% - Accent6 2 3 3 2 2 2 2 3" xfId="30545" xr:uid="{00000000-0005-0000-0000-0000948A0000}"/>
    <cellStyle name="60% - Accent6 2 3 3 2 2 2 3" xfId="15185" xr:uid="{00000000-0005-0000-0000-0000958A0000}"/>
    <cellStyle name="60% - Accent6 2 3 3 2 2 2 3 2" xfId="35665" xr:uid="{00000000-0005-0000-0000-0000968A0000}"/>
    <cellStyle name="60% - Accent6 2 3 3 2 2 2 4" xfId="25425" xr:uid="{00000000-0005-0000-0000-0000978A0000}"/>
    <cellStyle name="60% - Accent6 2 3 3 2 2 3" xfId="7505" xr:uid="{00000000-0005-0000-0000-0000988A0000}"/>
    <cellStyle name="60% - Accent6 2 3 3 2 2 3 2" xfId="17745" xr:uid="{00000000-0005-0000-0000-0000998A0000}"/>
    <cellStyle name="60% - Accent6 2 3 3 2 2 3 2 2" xfId="38225" xr:uid="{00000000-0005-0000-0000-00009A8A0000}"/>
    <cellStyle name="60% - Accent6 2 3 3 2 2 3 3" xfId="27985" xr:uid="{00000000-0005-0000-0000-00009B8A0000}"/>
    <cellStyle name="60% - Accent6 2 3 3 2 2 4" xfId="12625" xr:uid="{00000000-0005-0000-0000-00009C8A0000}"/>
    <cellStyle name="60% - Accent6 2 3 3 2 2 4 2" xfId="33105" xr:uid="{00000000-0005-0000-0000-00009D8A0000}"/>
    <cellStyle name="60% - Accent6 2 3 3 2 2 5" xfId="22865" xr:uid="{00000000-0005-0000-0000-00009E8A0000}"/>
    <cellStyle name="60% - Accent6 2 3 3 2 3" xfId="3665" xr:uid="{00000000-0005-0000-0000-00009F8A0000}"/>
    <cellStyle name="60% - Accent6 2 3 3 2 3 2" xfId="8785" xr:uid="{00000000-0005-0000-0000-0000A08A0000}"/>
    <cellStyle name="60% - Accent6 2 3 3 2 3 2 2" xfId="19025" xr:uid="{00000000-0005-0000-0000-0000A18A0000}"/>
    <cellStyle name="60% - Accent6 2 3 3 2 3 2 2 2" xfId="39505" xr:uid="{00000000-0005-0000-0000-0000A28A0000}"/>
    <cellStyle name="60% - Accent6 2 3 3 2 3 2 3" xfId="29265" xr:uid="{00000000-0005-0000-0000-0000A38A0000}"/>
    <cellStyle name="60% - Accent6 2 3 3 2 3 3" xfId="13905" xr:uid="{00000000-0005-0000-0000-0000A48A0000}"/>
    <cellStyle name="60% - Accent6 2 3 3 2 3 3 2" xfId="34385" xr:uid="{00000000-0005-0000-0000-0000A58A0000}"/>
    <cellStyle name="60% - Accent6 2 3 3 2 3 4" xfId="24145" xr:uid="{00000000-0005-0000-0000-0000A68A0000}"/>
    <cellStyle name="60% - Accent6 2 3 3 2 4" xfId="6225" xr:uid="{00000000-0005-0000-0000-0000A78A0000}"/>
    <cellStyle name="60% - Accent6 2 3 3 2 4 2" xfId="16465" xr:uid="{00000000-0005-0000-0000-0000A88A0000}"/>
    <cellStyle name="60% - Accent6 2 3 3 2 4 2 2" xfId="36945" xr:uid="{00000000-0005-0000-0000-0000A98A0000}"/>
    <cellStyle name="60% - Accent6 2 3 3 2 4 3" xfId="26705" xr:uid="{00000000-0005-0000-0000-0000AA8A0000}"/>
    <cellStyle name="60% - Accent6 2 3 3 2 5" xfId="11345" xr:uid="{00000000-0005-0000-0000-0000AB8A0000}"/>
    <cellStyle name="60% - Accent6 2 3 3 2 5 2" xfId="31825" xr:uid="{00000000-0005-0000-0000-0000AC8A0000}"/>
    <cellStyle name="60% - Accent6 2 3 3 2 6" xfId="21585" xr:uid="{00000000-0005-0000-0000-0000AD8A0000}"/>
    <cellStyle name="60% - Accent6 2 3 3 3" xfId="1745" xr:uid="{00000000-0005-0000-0000-0000AE8A0000}"/>
    <cellStyle name="60% - Accent6 2 3 3 3 2" xfId="4305" xr:uid="{00000000-0005-0000-0000-0000AF8A0000}"/>
    <cellStyle name="60% - Accent6 2 3 3 3 2 2" xfId="9425" xr:uid="{00000000-0005-0000-0000-0000B08A0000}"/>
    <cellStyle name="60% - Accent6 2 3 3 3 2 2 2" xfId="19665" xr:uid="{00000000-0005-0000-0000-0000B18A0000}"/>
    <cellStyle name="60% - Accent6 2 3 3 3 2 2 2 2" xfId="40145" xr:uid="{00000000-0005-0000-0000-0000B28A0000}"/>
    <cellStyle name="60% - Accent6 2 3 3 3 2 2 3" xfId="29905" xr:uid="{00000000-0005-0000-0000-0000B38A0000}"/>
    <cellStyle name="60% - Accent6 2 3 3 3 2 3" xfId="14545" xr:uid="{00000000-0005-0000-0000-0000B48A0000}"/>
    <cellStyle name="60% - Accent6 2 3 3 3 2 3 2" xfId="35025" xr:uid="{00000000-0005-0000-0000-0000B58A0000}"/>
    <cellStyle name="60% - Accent6 2 3 3 3 2 4" xfId="24785" xr:uid="{00000000-0005-0000-0000-0000B68A0000}"/>
    <cellStyle name="60% - Accent6 2 3 3 3 3" xfId="6865" xr:uid="{00000000-0005-0000-0000-0000B78A0000}"/>
    <cellStyle name="60% - Accent6 2 3 3 3 3 2" xfId="17105" xr:uid="{00000000-0005-0000-0000-0000B88A0000}"/>
    <cellStyle name="60% - Accent6 2 3 3 3 3 2 2" xfId="37585" xr:uid="{00000000-0005-0000-0000-0000B98A0000}"/>
    <cellStyle name="60% - Accent6 2 3 3 3 3 3" xfId="27345" xr:uid="{00000000-0005-0000-0000-0000BA8A0000}"/>
    <cellStyle name="60% - Accent6 2 3 3 3 4" xfId="11985" xr:uid="{00000000-0005-0000-0000-0000BB8A0000}"/>
    <cellStyle name="60% - Accent6 2 3 3 3 4 2" xfId="32465" xr:uid="{00000000-0005-0000-0000-0000BC8A0000}"/>
    <cellStyle name="60% - Accent6 2 3 3 3 5" xfId="22225" xr:uid="{00000000-0005-0000-0000-0000BD8A0000}"/>
    <cellStyle name="60% - Accent6 2 3 3 4" xfId="3025" xr:uid="{00000000-0005-0000-0000-0000BE8A0000}"/>
    <cellStyle name="60% - Accent6 2 3 3 4 2" xfId="8145" xr:uid="{00000000-0005-0000-0000-0000BF8A0000}"/>
    <cellStyle name="60% - Accent6 2 3 3 4 2 2" xfId="18385" xr:uid="{00000000-0005-0000-0000-0000C08A0000}"/>
    <cellStyle name="60% - Accent6 2 3 3 4 2 2 2" xfId="38865" xr:uid="{00000000-0005-0000-0000-0000C18A0000}"/>
    <cellStyle name="60% - Accent6 2 3 3 4 2 3" xfId="28625" xr:uid="{00000000-0005-0000-0000-0000C28A0000}"/>
    <cellStyle name="60% - Accent6 2 3 3 4 3" xfId="13265" xr:uid="{00000000-0005-0000-0000-0000C38A0000}"/>
    <cellStyle name="60% - Accent6 2 3 3 4 3 2" xfId="33745" xr:uid="{00000000-0005-0000-0000-0000C48A0000}"/>
    <cellStyle name="60% - Accent6 2 3 3 4 4" xfId="23505" xr:uid="{00000000-0005-0000-0000-0000C58A0000}"/>
    <cellStyle name="60% - Accent6 2 3 3 5" xfId="5585" xr:uid="{00000000-0005-0000-0000-0000C68A0000}"/>
    <cellStyle name="60% - Accent6 2 3 3 5 2" xfId="15825" xr:uid="{00000000-0005-0000-0000-0000C78A0000}"/>
    <cellStyle name="60% - Accent6 2 3 3 5 2 2" xfId="36305" xr:uid="{00000000-0005-0000-0000-0000C88A0000}"/>
    <cellStyle name="60% - Accent6 2 3 3 5 3" xfId="26065" xr:uid="{00000000-0005-0000-0000-0000C98A0000}"/>
    <cellStyle name="60% - Accent6 2 3 3 6" xfId="10705" xr:uid="{00000000-0005-0000-0000-0000CA8A0000}"/>
    <cellStyle name="60% - Accent6 2 3 3 6 2" xfId="31185" xr:uid="{00000000-0005-0000-0000-0000CB8A0000}"/>
    <cellStyle name="60% - Accent6 2 3 3 7" xfId="20945" xr:uid="{00000000-0005-0000-0000-0000CC8A0000}"/>
    <cellStyle name="60% - Accent6 2 3 4" xfId="785" xr:uid="{00000000-0005-0000-0000-0000CD8A0000}"/>
    <cellStyle name="60% - Accent6 2 3 4 2" xfId="2065" xr:uid="{00000000-0005-0000-0000-0000CE8A0000}"/>
    <cellStyle name="60% - Accent6 2 3 4 2 2" xfId="4625" xr:uid="{00000000-0005-0000-0000-0000CF8A0000}"/>
    <cellStyle name="60% - Accent6 2 3 4 2 2 2" xfId="9745" xr:uid="{00000000-0005-0000-0000-0000D08A0000}"/>
    <cellStyle name="60% - Accent6 2 3 4 2 2 2 2" xfId="19985" xr:uid="{00000000-0005-0000-0000-0000D18A0000}"/>
    <cellStyle name="60% - Accent6 2 3 4 2 2 2 2 2" xfId="40465" xr:uid="{00000000-0005-0000-0000-0000D28A0000}"/>
    <cellStyle name="60% - Accent6 2 3 4 2 2 2 3" xfId="30225" xr:uid="{00000000-0005-0000-0000-0000D38A0000}"/>
    <cellStyle name="60% - Accent6 2 3 4 2 2 3" xfId="14865" xr:uid="{00000000-0005-0000-0000-0000D48A0000}"/>
    <cellStyle name="60% - Accent6 2 3 4 2 2 3 2" xfId="35345" xr:uid="{00000000-0005-0000-0000-0000D58A0000}"/>
    <cellStyle name="60% - Accent6 2 3 4 2 2 4" xfId="25105" xr:uid="{00000000-0005-0000-0000-0000D68A0000}"/>
    <cellStyle name="60% - Accent6 2 3 4 2 3" xfId="7185" xr:uid="{00000000-0005-0000-0000-0000D78A0000}"/>
    <cellStyle name="60% - Accent6 2 3 4 2 3 2" xfId="17425" xr:uid="{00000000-0005-0000-0000-0000D88A0000}"/>
    <cellStyle name="60% - Accent6 2 3 4 2 3 2 2" xfId="37905" xr:uid="{00000000-0005-0000-0000-0000D98A0000}"/>
    <cellStyle name="60% - Accent6 2 3 4 2 3 3" xfId="27665" xr:uid="{00000000-0005-0000-0000-0000DA8A0000}"/>
    <cellStyle name="60% - Accent6 2 3 4 2 4" xfId="12305" xr:uid="{00000000-0005-0000-0000-0000DB8A0000}"/>
    <cellStyle name="60% - Accent6 2 3 4 2 4 2" xfId="32785" xr:uid="{00000000-0005-0000-0000-0000DC8A0000}"/>
    <cellStyle name="60% - Accent6 2 3 4 2 5" xfId="22545" xr:uid="{00000000-0005-0000-0000-0000DD8A0000}"/>
    <cellStyle name="60% - Accent6 2 3 4 3" xfId="3345" xr:uid="{00000000-0005-0000-0000-0000DE8A0000}"/>
    <cellStyle name="60% - Accent6 2 3 4 3 2" xfId="8465" xr:uid="{00000000-0005-0000-0000-0000DF8A0000}"/>
    <cellStyle name="60% - Accent6 2 3 4 3 2 2" xfId="18705" xr:uid="{00000000-0005-0000-0000-0000E08A0000}"/>
    <cellStyle name="60% - Accent6 2 3 4 3 2 2 2" xfId="39185" xr:uid="{00000000-0005-0000-0000-0000E18A0000}"/>
    <cellStyle name="60% - Accent6 2 3 4 3 2 3" xfId="28945" xr:uid="{00000000-0005-0000-0000-0000E28A0000}"/>
    <cellStyle name="60% - Accent6 2 3 4 3 3" xfId="13585" xr:uid="{00000000-0005-0000-0000-0000E38A0000}"/>
    <cellStyle name="60% - Accent6 2 3 4 3 3 2" xfId="34065" xr:uid="{00000000-0005-0000-0000-0000E48A0000}"/>
    <cellStyle name="60% - Accent6 2 3 4 3 4" xfId="23825" xr:uid="{00000000-0005-0000-0000-0000E58A0000}"/>
    <cellStyle name="60% - Accent6 2 3 4 4" xfId="5905" xr:uid="{00000000-0005-0000-0000-0000E68A0000}"/>
    <cellStyle name="60% - Accent6 2 3 4 4 2" xfId="16145" xr:uid="{00000000-0005-0000-0000-0000E78A0000}"/>
    <cellStyle name="60% - Accent6 2 3 4 4 2 2" xfId="36625" xr:uid="{00000000-0005-0000-0000-0000E88A0000}"/>
    <cellStyle name="60% - Accent6 2 3 4 4 3" xfId="26385" xr:uid="{00000000-0005-0000-0000-0000E98A0000}"/>
    <cellStyle name="60% - Accent6 2 3 4 5" xfId="11025" xr:uid="{00000000-0005-0000-0000-0000EA8A0000}"/>
    <cellStyle name="60% - Accent6 2 3 4 5 2" xfId="31505" xr:uid="{00000000-0005-0000-0000-0000EB8A0000}"/>
    <cellStyle name="60% - Accent6 2 3 4 6" xfId="21265" xr:uid="{00000000-0005-0000-0000-0000EC8A0000}"/>
    <cellStyle name="60% - Accent6 2 3 5" xfId="1425" xr:uid="{00000000-0005-0000-0000-0000ED8A0000}"/>
    <cellStyle name="60% - Accent6 2 3 5 2" xfId="3985" xr:uid="{00000000-0005-0000-0000-0000EE8A0000}"/>
    <cellStyle name="60% - Accent6 2 3 5 2 2" xfId="9105" xr:uid="{00000000-0005-0000-0000-0000EF8A0000}"/>
    <cellStyle name="60% - Accent6 2 3 5 2 2 2" xfId="19345" xr:uid="{00000000-0005-0000-0000-0000F08A0000}"/>
    <cellStyle name="60% - Accent6 2 3 5 2 2 2 2" xfId="39825" xr:uid="{00000000-0005-0000-0000-0000F18A0000}"/>
    <cellStyle name="60% - Accent6 2 3 5 2 2 3" xfId="29585" xr:uid="{00000000-0005-0000-0000-0000F28A0000}"/>
    <cellStyle name="60% - Accent6 2 3 5 2 3" xfId="14225" xr:uid="{00000000-0005-0000-0000-0000F38A0000}"/>
    <cellStyle name="60% - Accent6 2 3 5 2 3 2" xfId="34705" xr:uid="{00000000-0005-0000-0000-0000F48A0000}"/>
    <cellStyle name="60% - Accent6 2 3 5 2 4" xfId="24465" xr:uid="{00000000-0005-0000-0000-0000F58A0000}"/>
    <cellStyle name="60% - Accent6 2 3 5 3" xfId="6545" xr:uid="{00000000-0005-0000-0000-0000F68A0000}"/>
    <cellStyle name="60% - Accent6 2 3 5 3 2" xfId="16785" xr:uid="{00000000-0005-0000-0000-0000F78A0000}"/>
    <cellStyle name="60% - Accent6 2 3 5 3 2 2" xfId="37265" xr:uid="{00000000-0005-0000-0000-0000F88A0000}"/>
    <cellStyle name="60% - Accent6 2 3 5 3 3" xfId="27025" xr:uid="{00000000-0005-0000-0000-0000F98A0000}"/>
    <cellStyle name="60% - Accent6 2 3 5 4" xfId="11665" xr:uid="{00000000-0005-0000-0000-0000FA8A0000}"/>
    <cellStyle name="60% - Accent6 2 3 5 4 2" xfId="32145" xr:uid="{00000000-0005-0000-0000-0000FB8A0000}"/>
    <cellStyle name="60% - Accent6 2 3 5 5" xfId="21905" xr:uid="{00000000-0005-0000-0000-0000FC8A0000}"/>
    <cellStyle name="60% - Accent6 2 3 6" xfId="2705" xr:uid="{00000000-0005-0000-0000-0000FD8A0000}"/>
    <cellStyle name="60% - Accent6 2 3 6 2" xfId="7825" xr:uid="{00000000-0005-0000-0000-0000FE8A0000}"/>
    <cellStyle name="60% - Accent6 2 3 6 2 2" xfId="18065" xr:uid="{00000000-0005-0000-0000-0000FF8A0000}"/>
    <cellStyle name="60% - Accent6 2 3 6 2 2 2" xfId="38545" xr:uid="{00000000-0005-0000-0000-0000008B0000}"/>
    <cellStyle name="60% - Accent6 2 3 6 2 3" xfId="28305" xr:uid="{00000000-0005-0000-0000-0000018B0000}"/>
    <cellStyle name="60% - Accent6 2 3 6 3" xfId="12945" xr:uid="{00000000-0005-0000-0000-0000028B0000}"/>
    <cellStyle name="60% - Accent6 2 3 6 3 2" xfId="33425" xr:uid="{00000000-0005-0000-0000-0000038B0000}"/>
    <cellStyle name="60% - Accent6 2 3 6 4" xfId="23185" xr:uid="{00000000-0005-0000-0000-0000048B0000}"/>
    <cellStyle name="60% - Accent6 2 3 7" xfId="5265" xr:uid="{00000000-0005-0000-0000-0000058B0000}"/>
    <cellStyle name="60% - Accent6 2 3 7 2" xfId="15505" xr:uid="{00000000-0005-0000-0000-0000068B0000}"/>
    <cellStyle name="60% - Accent6 2 3 7 2 2" xfId="35985" xr:uid="{00000000-0005-0000-0000-0000078B0000}"/>
    <cellStyle name="60% - Accent6 2 3 7 3" xfId="25745" xr:uid="{00000000-0005-0000-0000-0000088B0000}"/>
    <cellStyle name="60% - Accent6 2 3 8" xfId="10385" xr:uid="{00000000-0005-0000-0000-0000098B0000}"/>
    <cellStyle name="60% - Accent6 2 3 8 2" xfId="30865" xr:uid="{00000000-0005-0000-0000-00000A8B0000}"/>
    <cellStyle name="60% - Accent6 2 3 9" xfId="20625" xr:uid="{00000000-0005-0000-0000-00000B8B0000}"/>
    <cellStyle name="60% - Accent6 2 4" xfId="225" xr:uid="{00000000-0005-0000-0000-00000C8B0000}"/>
    <cellStyle name="60% - Accent6 2 4 2" xfId="545" xr:uid="{00000000-0005-0000-0000-00000D8B0000}"/>
    <cellStyle name="60% - Accent6 2 4 2 2" xfId="1185" xr:uid="{00000000-0005-0000-0000-00000E8B0000}"/>
    <cellStyle name="60% - Accent6 2 4 2 2 2" xfId="2465" xr:uid="{00000000-0005-0000-0000-00000F8B0000}"/>
    <cellStyle name="60% - Accent6 2 4 2 2 2 2" xfId="5025" xr:uid="{00000000-0005-0000-0000-0000108B0000}"/>
    <cellStyle name="60% - Accent6 2 4 2 2 2 2 2" xfId="10145" xr:uid="{00000000-0005-0000-0000-0000118B0000}"/>
    <cellStyle name="60% - Accent6 2 4 2 2 2 2 2 2" xfId="20385" xr:uid="{00000000-0005-0000-0000-0000128B0000}"/>
    <cellStyle name="60% - Accent6 2 4 2 2 2 2 2 2 2" xfId="40865" xr:uid="{00000000-0005-0000-0000-0000138B0000}"/>
    <cellStyle name="60% - Accent6 2 4 2 2 2 2 2 3" xfId="30625" xr:uid="{00000000-0005-0000-0000-0000148B0000}"/>
    <cellStyle name="60% - Accent6 2 4 2 2 2 2 3" xfId="15265" xr:uid="{00000000-0005-0000-0000-0000158B0000}"/>
    <cellStyle name="60% - Accent6 2 4 2 2 2 2 3 2" xfId="35745" xr:uid="{00000000-0005-0000-0000-0000168B0000}"/>
    <cellStyle name="60% - Accent6 2 4 2 2 2 2 4" xfId="25505" xr:uid="{00000000-0005-0000-0000-0000178B0000}"/>
    <cellStyle name="60% - Accent6 2 4 2 2 2 3" xfId="7585" xr:uid="{00000000-0005-0000-0000-0000188B0000}"/>
    <cellStyle name="60% - Accent6 2 4 2 2 2 3 2" xfId="17825" xr:uid="{00000000-0005-0000-0000-0000198B0000}"/>
    <cellStyle name="60% - Accent6 2 4 2 2 2 3 2 2" xfId="38305" xr:uid="{00000000-0005-0000-0000-00001A8B0000}"/>
    <cellStyle name="60% - Accent6 2 4 2 2 2 3 3" xfId="28065" xr:uid="{00000000-0005-0000-0000-00001B8B0000}"/>
    <cellStyle name="60% - Accent6 2 4 2 2 2 4" xfId="12705" xr:uid="{00000000-0005-0000-0000-00001C8B0000}"/>
    <cellStyle name="60% - Accent6 2 4 2 2 2 4 2" xfId="33185" xr:uid="{00000000-0005-0000-0000-00001D8B0000}"/>
    <cellStyle name="60% - Accent6 2 4 2 2 2 5" xfId="22945" xr:uid="{00000000-0005-0000-0000-00001E8B0000}"/>
    <cellStyle name="60% - Accent6 2 4 2 2 3" xfId="3745" xr:uid="{00000000-0005-0000-0000-00001F8B0000}"/>
    <cellStyle name="60% - Accent6 2 4 2 2 3 2" xfId="8865" xr:uid="{00000000-0005-0000-0000-0000208B0000}"/>
    <cellStyle name="60% - Accent6 2 4 2 2 3 2 2" xfId="19105" xr:uid="{00000000-0005-0000-0000-0000218B0000}"/>
    <cellStyle name="60% - Accent6 2 4 2 2 3 2 2 2" xfId="39585" xr:uid="{00000000-0005-0000-0000-0000228B0000}"/>
    <cellStyle name="60% - Accent6 2 4 2 2 3 2 3" xfId="29345" xr:uid="{00000000-0005-0000-0000-0000238B0000}"/>
    <cellStyle name="60% - Accent6 2 4 2 2 3 3" xfId="13985" xr:uid="{00000000-0005-0000-0000-0000248B0000}"/>
    <cellStyle name="60% - Accent6 2 4 2 2 3 3 2" xfId="34465" xr:uid="{00000000-0005-0000-0000-0000258B0000}"/>
    <cellStyle name="60% - Accent6 2 4 2 2 3 4" xfId="24225" xr:uid="{00000000-0005-0000-0000-0000268B0000}"/>
    <cellStyle name="60% - Accent6 2 4 2 2 4" xfId="6305" xr:uid="{00000000-0005-0000-0000-0000278B0000}"/>
    <cellStyle name="60% - Accent6 2 4 2 2 4 2" xfId="16545" xr:uid="{00000000-0005-0000-0000-0000288B0000}"/>
    <cellStyle name="60% - Accent6 2 4 2 2 4 2 2" xfId="37025" xr:uid="{00000000-0005-0000-0000-0000298B0000}"/>
    <cellStyle name="60% - Accent6 2 4 2 2 4 3" xfId="26785" xr:uid="{00000000-0005-0000-0000-00002A8B0000}"/>
    <cellStyle name="60% - Accent6 2 4 2 2 5" xfId="11425" xr:uid="{00000000-0005-0000-0000-00002B8B0000}"/>
    <cellStyle name="60% - Accent6 2 4 2 2 5 2" xfId="31905" xr:uid="{00000000-0005-0000-0000-00002C8B0000}"/>
    <cellStyle name="60% - Accent6 2 4 2 2 6" xfId="21665" xr:uid="{00000000-0005-0000-0000-00002D8B0000}"/>
    <cellStyle name="60% - Accent6 2 4 2 3" xfId="1825" xr:uid="{00000000-0005-0000-0000-00002E8B0000}"/>
    <cellStyle name="60% - Accent6 2 4 2 3 2" xfId="4385" xr:uid="{00000000-0005-0000-0000-00002F8B0000}"/>
    <cellStyle name="60% - Accent6 2 4 2 3 2 2" xfId="9505" xr:uid="{00000000-0005-0000-0000-0000308B0000}"/>
    <cellStyle name="60% - Accent6 2 4 2 3 2 2 2" xfId="19745" xr:uid="{00000000-0005-0000-0000-0000318B0000}"/>
    <cellStyle name="60% - Accent6 2 4 2 3 2 2 2 2" xfId="40225" xr:uid="{00000000-0005-0000-0000-0000328B0000}"/>
    <cellStyle name="60% - Accent6 2 4 2 3 2 2 3" xfId="29985" xr:uid="{00000000-0005-0000-0000-0000338B0000}"/>
    <cellStyle name="60% - Accent6 2 4 2 3 2 3" xfId="14625" xr:uid="{00000000-0005-0000-0000-0000348B0000}"/>
    <cellStyle name="60% - Accent6 2 4 2 3 2 3 2" xfId="35105" xr:uid="{00000000-0005-0000-0000-0000358B0000}"/>
    <cellStyle name="60% - Accent6 2 4 2 3 2 4" xfId="24865" xr:uid="{00000000-0005-0000-0000-0000368B0000}"/>
    <cellStyle name="60% - Accent6 2 4 2 3 3" xfId="6945" xr:uid="{00000000-0005-0000-0000-0000378B0000}"/>
    <cellStyle name="60% - Accent6 2 4 2 3 3 2" xfId="17185" xr:uid="{00000000-0005-0000-0000-0000388B0000}"/>
    <cellStyle name="60% - Accent6 2 4 2 3 3 2 2" xfId="37665" xr:uid="{00000000-0005-0000-0000-0000398B0000}"/>
    <cellStyle name="60% - Accent6 2 4 2 3 3 3" xfId="27425" xr:uid="{00000000-0005-0000-0000-00003A8B0000}"/>
    <cellStyle name="60% - Accent6 2 4 2 3 4" xfId="12065" xr:uid="{00000000-0005-0000-0000-00003B8B0000}"/>
    <cellStyle name="60% - Accent6 2 4 2 3 4 2" xfId="32545" xr:uid="{00000000-0005-0000-0000-00003C8B0000}"/>
    <cellStyle name="60% - Accent6 2 4 2 3 5" xfId="22305" xr:uid="{00000000-0005-0000-0000-00003D8B0000}"/>
    <cellStyle name="60% - Accent6 2 4 2 4" xfId="3105" xr:uid="{00000000-0005-0000-0000-00003E8B0000}"/>
    <cellStyle name="60% - Accent6 2 4 2 4 2" xfId="8225" xr:uid="{00000000-0005-0000-0000-00003F8B0000}"/>
    <cellStyle name="60% - Accent6 2 4 2 4 2 2" xfId="18465" xr:uid="{00000000-0005-0000-0000-0000408B0000}"/>
    <cellStyle name="60% - Accent6 2 4 2 4 2 2 2" xfId="38945" xr:uid="{00000000-0005-0000-0000-0000418B0000}"/>
    <cellStyle name="60% - Accent6 2 4 2 4 2 3" xfId="28705" xr:uid="{00000000-0005-0000-0000-0000428B0000}"/>
    <cellStyle name="60% - Accent6 2 4 2 4 3" xfId="13345" xr:uid="{00000000-0005-0000-0000-0000438B0000}"/>
    <cellStyle name="60% - Accent6 2 4 2 4 3 2" xfId="33825" xr:uid="{00000000-0005-0000-0000-0000448B0000}"/>
    <cellStyle name="60% - Accent6 2 4 2 4 4" xfId="23585" xr:uid="{00000000-0005-0000-0000-0000458B0000}"/>
    <cellStyle name="60% - Accent6 2 4 2 5" xfId="5665" xr:uid="{00000000-0005-0000-0000-0000468B0000}"/>
    <cellStyle name="60% - Accent6 2 4 2 5 2" xfId="15905" xr:uid="{00000000-0005-0000-0000-0000478B0000}"/>
    <cellStyle name="60% - Accent6 2 4 2 5 2 2" xfId="36385" xr:uid="{00000000-0005-0000-0000-0000488B0000}"/>
    <cellStyle name="60% - Accent6 2 4 2 5 3" xfId="26145" xr:uid="{00000000-0005-0000-0000-0000498B0000}"/>
    <cellStyle name="60% - Accent6 2 4 2 6" xfId="10785" xr:uid="{00000000-0005-0000-0000-00004A8B0000}"/>
    <cellStyle name="60% - Accent6 2 4 2 6 2" xfId="31265" xr:uid="{00000000-0005-0000-0000-00004B8B0000}"/>
    <cellStyle name="60% - Accent6 2 4 2 7" xfId="21025" xr:uid="{00000000-0005-0000-0000-00004C8B0000}"/>
    <cellStyle name="60% - Accent6 2 4 3" xfId="865" xr:uid="{00000000-0005-0000-0000-00004D8B0000}"/>
    <cellStyle name="60% - Accent6 2 4 3 2" xfId="2145" xr:uid="{00000000-0005-0000-0000-00004E8B0000}"/>
    <cellStyle name="60% - Accent6 2 4 3 2 2" xfId="4705" xr:uid="{00000000-0005-0000-0000-00004F8B0000}"/>
    <cellStyle name="60% - Accent6 2 4 3 2 2 2" xfId="9825" xr:uid="{00000000-0005-0000-0000-0000508B0000}"/>
    <cellStyle name="60% - Accent6 2 4 3 2 2 2 2" xfId="20065" xr:uid="{00000000-0005-0000-0000-0000518B0000}"/>
    <cellStyle name="60% - Accent6 2 4 3 2 2 2 2 2" xfId="40545" xr:uid="{00000000-0005-0000-0000-0000528B0000}"/>
    <cellStyle name="60% - Accent6 2 4 3 2 2 2 3" xfId="30305" xr:uid="{00000000-0005-0000-0000-0000538B0000}"/>
    <cellStyle name="60% - Accent6 2 4 3 2 2 3" xfId="14945" xr:uid="{00000000-0005-0000-0000-0000548B0000}"/>
    <cellStyle name="60% - Accent6 2 4 3 2 2 3 2" xfId="35425" xr:uid="{00000000-0005-0000-0000-0000558B0000}"/>
    <cellStyle name="60% - Accent6 2 4 3 2 2 4" xfId="25185" xr:uid="{00000000-0005-0000-0000-0000568B0000}"/>
    <cellStyle name="60% - Accent6 2 4 3 2 3" xfId="7265" xr:uid="{00000000-0005-0000-0000-0000578B0000}"/>
    <cellStyle name="60% - Accent6 2 4 3 2 3 2" xfId="17505" xr:uid="{00000000-0005-0000-0000-0000588B0000}"/>
    <cellStyle name="60% - Accent6 2 4 3 2 3 2 2" xfId="37985" xr:uid="{00000000-0005-0000-0000-0000598B0000}"/>
    <cellStyle name="60% - Accent6 2 4 3 2 3 3" xfId="27745" xr:uid="{00000000-0005-0000-0000-00005A8B0000}"/>
    <cellStyle name="60% - Accent6 2 4 3 2 4" xfId="12385" xr:uid="{00000000-0005-0000-0000-00005B8B0000}"/>
    <cellStyle name="60% - Accent6 2 4 3 2 4 2" xfId="32865" xr:uid="{00000000-0005-0000-0000-00005C8B0000}"/>
    <cellStyle name="60% - Accent6 2 4 3 2 5" xfId="22625" xr:uid="{00000000-0005-0000-0000-00005D8B0000}"/>
    <cellStyle name="60% - Accent6 2 4 3 3" xfId="3425" xr:uid="{00000000-0005-0000-0000-00005E8B0000}"/>
    <cellStyle name="60% - Accent6 2 4 3 3 2" xfId="8545" xr:uid="{00000000-0005-0000-0000-00005F8B0000}"/>
    <cellStyle name="60% - Accent6 2 4 3 3 2 2" xfId="18785" xr:uid="{00000000-0005-0000-0000-0000608B0000}"/>
    <cellStyle name="60% - Accent6 2 4 3 3 2 2 2" xfId="39265" xr:uid="{00000000-0005-0000-0000-0000618B0000}"/>
    <cellStyle name="60% - Accent6 2 4 3 3 2 3" xfId="29025" xr:uid="{00000000-0005-0000-0000-0000628B0000}"/>
    <cellStyle name="60% - Accent6 2 4 3 3 3" xfId="13665" xr:uid="{00000000-0005-0000-0000-0000638B0000}"/>
    <cellStyle name="60% - Accent6 2 4 3 3 3 2" xfId="34145" xr:uid="{00000000-0005-0000-0000-0000648B0000}"/>
    <cellStyle name="60% - Accent6 2 4 3 3 4" xfId="23905" xr:uid="{00000000-0005-0000-0000-0000658B0000}"/>
    <cellStyle name="60% - Accent6 2 4 3 4" xfId="5985" xr:uid="{00000000-0005-0000-0000-0000668B0000}"/>
    <cellStyle name="60% - Accent6 2 4 3 4 2" xfId="16225" xr:uid="{00000000-0005-0000-0000-0000678B0000}"/>
    <cellStyle name="60% - Accent6 2 4 3 4 2 2" xfId="36705" xr:uid="{00000000-0005-0000-0000-0000688B0000}"/>
    <cellStyle name="60% - Accent6 2 4 3 4 3" xfId="26465" xr:uid="{00000000-0005-0000-0000-0000698B0000}"/>
    <cellStyle name="60% - Accent6 2 4 3 5" xfId="11105" xr:uid="{00000000-0005-0000-0000-00006A8B0000}"/>
    <cellStyle name="60% - Accent6 2 4 3 5 2" xfId="31585" xr:uid="{00000000-0005-0000-0000-00006B8B0000}"/>
    <cellStyle name="60% - Accent6 2 4 3 6" xfId="21345" xr:uid="{00000000-0005-0000-0000-00006C8B0000}"/>
    <cellStyle name="60% - Accent6 2 4 4" xfId="1505" xr:uid="{00000000-0005-0000-0000-00006D8B0000}"/>
    <cellStyle name="60% - Accent6 2 4 4 2" xfId="4065" xr:uid="{00000000-0005-0000-0000-00006E8B0000}"/>
    <cellStyle name="60% - Accent6 2 4 4 2 2" xfId="9185" xr:uid="{00000000-0005-0000-0000-00006F8B0000}"/>
    <cellStyle name="60% - Accent6 2 4 4 2 2 2" xfId="19425" xr:uid="{00000000-0005-0000-0000-0000708B0000}"/>
    <cellStyle name="60% - Accent6 2 4 4 2 2 2 2" xfId="39905" xr:uid="{00000000-0005-0000-0000-0000718B0000}"/>
    <cellStyle name="60% - Accent6 2 4 4 2 2 3" xfId="29665" xr:uid="{00000000-0005-0000-0000-0000728B0000}"/>
    <cellStyle name="60% - Accent6 2 4 4 2 3" xfId="14305" xr:uid="{00000000-0005-0000-0000-0000738B0000}"/>
    <cellStyle name="60% - Accent6 2 4 4 2 3 2" xfId="34785" xr:uid="{00000000-0005-0000-0000-0000748B0000}"/>
    <cellStyle name="60% - Accent6 2 4 4 2 4" xfId="24545" xr:uid="{00000000-0005-0000-0000-0000758B0000}"/>
    <cellStyle name="60% - Accent6 2 4 4 3" xfId="6625" xr:uid="{00000000-0005-0000-0000-0000768B0000}"/>
    <cellStyle name="60% - Accent6 2 4 4 3 2" xfId="16865" xr:uid="{00000000-0005-0000-0000-0000778B0000}"/>
    <cellStyle name="60% - Accent6 2 4 4 3 2 2" xfId="37345" xr:uid="{00000000-0005-0000-0000-0000788B0000}"/>
    <cellStyle name="60% - Accent6 2 4 4 3 3" xfId="27105" xr:uid="{00000000-0005-0000-0000-0000798B0000}"/>
    <cellStyle name="60% - Accent6 2 4 4 4" xfId="11745" xr:uid="{00000000-0005-0000-0000-00007A8B0000}"/>
    <cellStyle name="60% - Accent6 2 4 4 4 2" xfId="32225" xr:uid="{00000000-0005-0000-0000-00007B8B0000}"/>
    <cellStyle name="60% - Accent6 2 4 4 5" xfId="21985" xr:uid="{00000000-0005-0000-0000-00007C8B0000}"/>
    <cellStyle name="60% - Accent6 2 4 5" xfId="2785" xr:uid="{00000000-0005-0000-0000-00007D8B0000}"/>
    <cellStyle name="60% - Accent6 2 4 5 2" xfId="7905" xr:uid="{00000000-0005-0000-0000-00007E8B0000}"/>
    <cellStyle name="60% - Accent6 2 4 5 2 2" xfId="18145" xr:uid="{00000000-0005-0000-0000-00007F8B0000}"/>
    <cellStyle name="60% - Accent6 2 4 5 2 2 2" xfId="38625" xr:uid="{00000000-0005-0000-0000-0000808B0000}"/>
    <cellStyle name="60% - Accent6 2 4 5 2 3" xfId="28385" xr:uid="{00000000-0005-0000-0000-0000818B0000}"/>
    <cellStyle name="60% - Accent6 2 4 5 3" xfId="13025" xr:uid="{00000000-0005-0000-0000-0000828B0000}"/>
    <cellStyle name="60% - Accent6 2 4 5 3 2" xfId="33505" xr:uid="{00000000-0005-0000-0000-0000838B0000}"/>
    <cellStyle name="60% - Accent6 2 4 5 4" xfId="23265" xr:uid="{00000000-0005-0000-0000-0000848B0000}"/>
    <cellStyle name="60% - Accent6 2 4 6" xfId="5345" xr:uid="{00000000-0005-0000-0000-0000858B0000}"/>
    <cellStyle name="60% - Accent6 2 4 6 2" xfId="15585" xr:uid="{00000000-0005-0000-0000-0000868B0000}"/>
    <cellStyle name="60% - Accent6 2 4 6 2 2" xfId="36065" xr:uid="{00000000-0005-0000-0000-0000878B0000}"/>
    <cellStyle name="60% - Accent6 2 4 6 3" xfId="25825" xr:uid="{00000000-0005-0000-0000-0000888B0000}"/>
    <cellStyle name="60% - Accent6 2 4 7" xfId="10465" xr:uid="{00000000-0005-0000-0000-0000898B0000}"/>
    <cellStyle name="60% - Accent6 2 4 7 2" xfId="30945" xr:uid="{00000000-0005-0000-0000-00008A8B0000}"/>
    <cellStyle name="60% - Accent6 2 4 8" xfId="20705" xr:uid="{00000000-0005-0000-0000-00008B8B0000}"/>
    <cellStyle name="60% - Accent6 2 5" xfId="385" xr:uid="{00000000-0005-0000-0000-00008C8B0000}"/>
    <cellStyle name="60% - Accent6 2 5 2" xfId="1025" xr:uid="{00000000-0005-0000-0000-00008D8B0000}"/>
    <cellStyle name="60% - Accent6 2 5 2 2" xfId="2305" xr:uid="{00000000-0005-0000-0000-00008E8B0000}"/>
    <cellStyle name="60% - Accent6 2 5 2 2 2" xfId="4865" xr:uid="{00000000-0005-0000-0000-00008F8B0000}"/>
    <cellStyle name="60% - Accent6 2 5 2 2 2 2" xfId="9985" xr:uid="{00000000-0005-0000-0000-0000908B0000}"/>
    <cellStyle name="60% - Accent6 2 5 2 2 2 2 2" xfId="20225" xr:uid="{00000000-0005-0000-0000-0000918B0000}"/>
    <cellStyle name="60% - Accent6 2 5 2 2 2 2 2 2" xfId="40705" xr:uid="{00000000-0005-0000-0000-0000928B0000}"/>
    <cellStyle name="60% - Accent6 2 5 2 2 2 2 3" xfId="30465" xr:uid="{00000000-0005-0000-0000-0000938B0000}"/>
    <cellStyle name="60% - Accent6 2 5 2 2 2 3" xfId="15105" xr:uid="{00000000-0005-0000-0000-0000948B0000}"/>
    <cellStyle name="60% - Accent6 2 5 2 2 2 3 2" xfId="35585" xr:uid="{00000000-0005-0000-0000-0000958B0000}"/>
    <cellStyle name="60% - Accent6 2 5 2 2 2 4" xfId="25345" xr:uid="{00000000-0005-0000-0000-0000968B0000}"/>
    <cellStyle name="60% - Accent6 2 5 2 2 3" xfId="7425" xr:uid="{00000000-0005-0000-0000-0000978B0000}"/>
    <cellStyle name="60% - Accent6 2 5 2 2 3 2" xfId="17665" xr:uid="{00000000-0005-0000-0000-0000988B0000}"/>
    <cellStyle name="60% - Accent6 2 5 2 2 3 2 2" xfId="38145" xr:uid="{00000000-0005-0000-0000-0000998B0000}"/>
    <cellStyle name="60% - Accent6 2 5 2 2 3 3" xfId="27905" xr:uid="{00000000-0005-0000-0000-00009A8B0000}"/>
    <cellStyle name="60% - Accent6 2 5 2 2 4" xfId="12545" xr:uid="{00000000-0005-0000-0000-00009B8B0000}"/>
    <cellStyle name="60% - Accent6 2 5 2 2 4 2" xfId="33025" xr:uid="{00000000-0005-0000-0000-00009C8B0000}"/>
    <cellStyle name="60% - Accent6 2 5 2 2 5" xfId="22785" xr:uid="{00000000-0005-0000-0000-00009D8B0000}"/>
    <cellStyle name="60% - Accent6 2 5 2 3" xfId="3585" xr:uid="{00000000-0005-0000-0000-00009E8B0000}"/>
    <cellStyle name="60% - Accent6 2 5 2 3 2" xfId="8705" xr:uid="{00000000-0005-0000-0000-00009F8B0000}"/>
    <cellStyle name="60% - Accent6 2 5 2 3 2 2" xfId="18945" xr:uid="{00000000-0005-0000-0000-0000A08B0000}"/>
    <cellStyle name="60% - Accent6 2 5 2 3 2 2 2" xfId="39425" xr:uid="{00000000-0005-0000-0000-0000A18B0000}"/>
    <cellStyle name="60% - Accent6 2 5 2 3 2 3" xfId="29185" xr:uid="{00000000-0005-0000-0000-0000A28B0000}"/>
    <cellStyle name="60% - Accent6 2 5 2 3 3" xfId="13825" xr:uid="{00000000-0005-0000-0000-0000A38B0000}"/>
    <cellStyle name="60% - Accent6 2 5 2 3 3 2" xfId="34305" xr:uid="{00000000-0005-0000-0000-0000A48B0000}"/>
    <cellStyle name="60% - Accent6 2 5 2 3 4" xfId="24065" xr:uid="{00000000-0005-0000-0000-0000A58B0000}"/>
    <cellStyle name="60% - Accent6 2 5 2 4" xfId="6145" xr:uid="{00000000-0005-0000-0000-0000A68B0000}"/>
    <cellStyle name="60% - Accent6 2 5 2 4 2" xfId="16385" xr:uid="{00000000-0005-0000-0000-0000A78B0000}"/>
    <cellStyle name="60% - Accent6 2 5 2 4 2 2" xfId="36865" xr:uid="{00000000-0005-0000-0000-0000A88B0000}"/>
    <cellStyle name="60% - Accent6 2 5 2 4 3" xfId="26625" xr:uid="{00000000-0005-0000-0000-0000A98B0000}"/>
    <cellStyle name="60% - Accent6 2 5 2 5" xfId="11265" xr:uid="{00000000-0005-0000-0000-0000AA8B0000}"/>
    <cellStyle name="60% - Accent6 2 5 2 5 2" xfId="31745" xr:uid="{00000000-0005-0000-0000-0000AB8B0000}"/>
    <cellStyle name="60% - Accent6 2 5 2 6" xfId="21505" xr:uid="{00000000-0005-0000-0000-0000AC8B0000}"/>
    <cellStyle name="60% - Accent6 2 5 3" xfId="1665" xr:uid="{00000000-0005-0000-0000-0000AD8B0000}"/>
    <cellStyle name="60% - Accent6 2 5 3 2" xfId="4225" xr:uid="{00000000-0005-0000-0000-0000AE8B0000}"/>
    <cellStyle name="60% - Accent6 2 5 3 2 2" xfId="9345" xr:uid="{00000000-0005-0000-0000-0000AF8B0000}"/>
    <cellStyle name="60% - Accent6 2 5 3 2 2 2" xfId="19585" xr:uid="{00000000-0005-0000-0000-0000B08B0000}"/>
    <cellStyle name="60% - Accent6 2 5 3 2 2 2 2" xfId="40065" xr:uid="{00000000-0005-0000-0000-0000B18B0000}"/>
    <cellStyle name="60% - Accent6 2 5 3 2 2 3" xfId="29825" xr:uid="{00000000-0005-0000-0000-0000B28B0000}"/>
    <cellStyle name="60% - Accent6 2 5 3 2 3" xfId="14465" xr:uid="{00000000-0005-0000-0000-0000B38B0000}"/>
    <cellStyle name="60% - Accent6 2 5 3 2 3 2" xfId="34945" xr:uid="{00000000-0005-0000-0000-0000B48B0000}"/>
    <cellStyle name="60% - Accent6 2 5 3 2 4" xfId="24705" xr:uid="{00000000-0005-0000-0000-0000B58B0000}"/>
    <cellStyle name="60% - Accent6 2 5 3 3" xfId="6785" xr:uid="{00000000-0005-0000-0000-0000B68B0000}"/>
    <cellStyle name="60% - Accent6 2 5 3 3 2" xfId="17025" xr:uid="{00000000-0005-0000-0000-0000B78B0000}"/>
    <cellStyle name="60% - Accent6 2 5 3 3 2 2" xfId="37505" xr:uid="{00000000-0005-0000-0000-0000B88B0000}"/>
    <cellStyle name="60% - Accent6 2 5 3 3 3" xfId="27265" xr:uid="{00000000-0005-0000-0000-0000B98B0000}"/>
    <cellStyle name="60% - Accent6 2 5 3 4" xfId="11905" xr:uid="{00000000-0005-0000-0000-0000BA8B0000}"/>
    <cellStyle name="60% - Accent6 2 5 3 4 2" xfId="32385" xr:uid="{00000000-0005-0000-0000-0000BB8B0000}"/>
    <cellStyle name="60% - Accent6 2 5 3 5" xfId="22145" xr:uid="{00000000-0005-0000-0000-0000BC8B0000}"/>
    <cellStyle name="60% - Accent6 2 5 4" xfId="2945" xr:uid="{00000000-0005-0000-0000-0000BD8B0000}"/>
    <cellStyle name="60% - Accent6 2 5 4 2" xfId="8065" xr:uid="{00000000-0005-0000-0000-0000BE8B0000}"/>
    <cellStyle name="60% - Accent6 2 5 4 2 2" xfId="18305" xr:uid="{00000000-0005-0000-0000-0000BF8B0000}"/>
    <cellStyle name="60% - Accent6 2 5 4 2 2 2" xfId="38785" xr:uid="{00000000-0005-0000-0000-0000C08B0000}"/>
    <cellStyle name="60% - Accent6 2 5 4 2 3" xfId="28545" xr:uid="{00000000-0005-0000-0000-0000C18B0000}"/>
    <cellStyle name="60% - Accent6 2 5 4 3" xfId="13185" xr:uid="{00000000-0005-0000-0000-0000C28B0000}"/>
    <cellStyle name="60% - Accent6 2 5 4 3 2" xfId="33665" xr:uid="{00000000-0005-0000-0000-0000C38B0000}"/>
    <cellStyle name="60% - Accent6 2 5 4 4" xfId="23425" xr:uid="{00000000-0005-0000-0000-0000C48B0000}"/>
    <cellStyle name="60% - Accent6 2 5 5" xfId="5505" xr:uid="{00000000-0005-0000-0000-0000C58B0000}"/>
    <cellStyle name="60% - Accent6 2 5 5 2" xfId="15745" xr:uid="{00000000-0005-0000-0000-0000C68B0000}"/>
    <cellStyle name="60% - Accent6 2 5 5 2 2" xfId="36225" xr:uid="{00000000-0005-0000-0000-0000C78B0000}"/>
    <cellStyle name="60% - Accent6 2 5 5 3" xfId="25985" xr:uid="{00000000-0005-0000-0000-0000C88B0000}"/>
    <cellStyle name="60% - Accent6 2 5 6" xfId="10625" xr:uid="{00000000-0005-0000-0000-0000C98B0000}"/>
    <cellStyle name="60% - Accent6 2 5 6 2" xfId="31105" xr:uid="{00000000-0005-0000-0000-0000CA8B0000}"/>
    <cellStyle name="60% - Accent6 2 5 7" xfId="20865" xr:uid="{00000000-0005-0000-0000-0000CB8B0000}"/>
    <cellStyle name="60% - Accent6 2 6" xfId="705" xr:uid="{00000000-0005-0000-0000-0000CC8B0000}"/>
    <cellStyle name="60% - Accent6 2 6 2" xfId="1985" xr:uid="{00000000-0005-0000-0000-0000CD8B0000}"/>
    <cellStyle name="60% - Accent6 2 6 2 2" xfId="4545" xr:uid="{00000000-0005-0000-0000-0000CE8B0000}"/>
    <cellStyle name="60% - Accent6 2 6 2 2 2" xfId="9665" xr:uid="{00000000-0005-0000-0000-0000CF8B0000}"/>
    <cellStyle name="60% - Accent6 2 6 2 2 2 2" xfId="19905" xr:uid="{00000000-0005-0000-0000-0000D08B0000}"/>
    <cellStyle name="60% - Accent6 2 6 2 2 2 2 2" xfId="40385" xr:uid="{00000000-0005-0000-0000-0000D18B0000}"/>
    <cellStyle name="60% - Accent6 2 6 2 2 2 3" xfId="30145" xr:uid="{00000000-0005-0000-0000-0000D28B0000}"/>
    <cellStyle name="60% - Accent6 2 6 2 2 3" xfId="14785" xr:uid="{00000000-0005-0000-0000-0000D38B0000}"/>
    <cellStyle name="60% - Accent6 2 6 2 2 3 2" xfId="35265" xr:uid="{00000000-0005-0000-0000-0000D48B0000}"/>
    <cellStyle name="60% - Accent6 2 6 2 2 4" xfId="25025" xr:uid="{00000000-0005-0000-0000-0000D58B0000}"/>
    <cellStyle name="60% - Accent6 2 6 2 3" xfId="7105" xr:uid="{00000000-0005-0000-0000-0000D68B0000}"/>
    <cellStyle name="60% - Accent6 2 6 2 3 2" xfId="17345" xr:uid="{00000000-0005-0000-0000-0000D78B0000}"/>
    <cellStyle name="60% - Accent6 2 6 2 3 2 2" xfId="37825" xr:uid="{00000000-0005-0000-0000-0000D88B0000}"/>
    <cellStyle name="60% - Accent6 2 6 2 3 3" xfId="27585" xr:uid="{00000000-0005-0000-0000-0000D98B0000}"/>
    <cellStyle name="60% - Accent6 2 6 2 4" xfId="12225" xr:uid="{00000000-0005-0000-0000-0000DA8B0000}"/>
    <cellStyle name="60% - Accent6 2 6 2 4 2" xfId="32705" xr:uid="{00000000-0005-0000-0000-0000DB8B0000}"/>
    <cellStyle name="60% - Accent6 2 6 2 5" xfId="22465" xr:uid="{00000000-0005-0000-0000-0000DC8B0000}"/>
    <cellStyle name="60% - Accent6 2 6 3" xfId="3265" xr:uid="{00000000-0005-0000-0000-0000DD8B0000}"/>
    <cellStyle name="60% - Accent6 2 6 3 2" xfId="8385" xr:uid="{00000000-0005-0000-0000-0000DE8B0000}"/>
    <cellStyle name="60% - Accent6 2 6 3 2 2" xfId="18625" xr:uid="{00000000-0005-0000-0000-0000DF8B0000}"/>
    <cellStyle name="60% - Accent6 2 6 3 2 2 2" xfId="39105" xr:uid="{00000000-0005-0000-0000-0000E08B0000}"/>
    <cellStyle name="60% - Accent6 2 6 3 2 3" xfId="28865" xr:uid="{00000000-0005-0000-0000-0000E18B0000}"/>
    <cellStyle name="60% - Accent6 2 6 3 3" xfId="13505" xr:uid="{00000000-0005-0000-0000-0000E28B0000}"/>
    <cellStyle name="60% - Accent6 2 6 3 3 2" xfId="33985" xr:uid="{00000000-0005-0000-0000-0000E38B0000}"/>
    <cellStyle name="60% - Accent6 2 6 3 4" xfId="23745" xr:uid="{00000000-0005-0000-0000-0000E48B0000}"/>
    <cellStyle name="60% - Accent6 2 6 4" xfId="5825" xr:uid="{00000000-0005-0000-0000-0000E58B0000}"/>
    <cellStyle name="60% - Accent6 2 6 4 2" xfId="16065" xr:uid="{00000000-0005-0000-0000-0000E68B0000}"/>
    <cellStyle name="60% - Accent6 2 6 4 2 2" xfId="36545" xr:uid="{00000000-0005-0000-0000-0000E78B0000}"/>
    <cellStyle name="60% - Accent6 2 6 4 3" xfId="26305" xr:uid="{00000000-0005-0000-0000-0000E88B0000}"/>
    <cellStyle name="60% - Accent6 2 6 5" xfId="10945" xr:uid="{00000000-0005-0000-0000-0000E98B0000}"/>
    <cellStyle name="60% - Accent6 2 6 5 2" xfId="31425" xr:uid="{00000000-0005-0000-0000-0000EA8B0000}"/>
    <cellStyle name="60% - Accent6 2 6 6" xfId="21185" xr:uid="{00000000-0005-0000-0000-0000EB8B0000}"/>
    <cellStyle name="60% - Accent6 2 7" xfId="1345" xr:uid="{00000000-0005-0000-0000-0000EC8B0000}"/>
    <cellStyle name="60% - Accent6 2 7 2" xfId="3905" xr:uid="{00000000-0005-0000-0000-0000ED8B0000}"/>
    <cellStyle name="60% - Accent6 2 7 2 2" xfId="9025" xr:uid="{00000000-0005-0000-0000-0000EE8B0000}"/>
    <cellStyle name="60% - Accent6 2 7 2 2 2" xfId="19265" xr:uid="{00000000-0005-0000-0000-0000EF8B0000}"/>
    <cellStyle name="60% - Accent6 2 7 2 2 2 2" xfId="39745" xr:uid="{00000000-0005-0000-0000-0000F08B0000}"/>
    <cellStyle name="60% - Accent6 2 7 2 2 3" xfId="29505" xr:uid="{00000000-0005-0000-0000-0000F18B0000}"/>
    <cellStyle name="60% - Accent6 2 7 2 3" xfId="14145" xr:uid="{00000000-0005-0000-0000-0000F28B0000}"/>
    <cellStyle name="60% - Accent6 2 7 2 3 2" xfId="34625" xr:uid="{00000000-0005-0000-0000-0000F38B0000}"/>
    <cellStyle name="60% - Accent6 2 7 2 4" xfId="24385" xr:uid="{00000000-0005-0000-0000-0000F48B0000}"/>
    <cellStyle name="60% - Accent6 2 7 3" xfId="6465" xr:uid="{00000000-0005-0000-0000-0000F58B0000}"/>
    <cellStyle name="60% - Accent6 2 7 3 2" xfId="16705" xr:uid="{00000000-0005-0000-0000-0000F68B0000}"/>
    <cellStyle name="60% - Accent6 2 7 3 2 2" xfId="37185" xr:uid="{00000000-0005-0000-0000-0000F78B0000}"/>
    <cellStyle name="60% - Accent6 2 7 3 3" xfId="26945" xr:uid="{00000000-0005-0000-0000-0000F88B0000}"/>
    <cellStyle name="60% - Accent6 2 7 4" xfId="11585" xr:uid="{00000000-0005-0000-0000-0000F98B0000}"/>
    <cellStyle name="60% - Accent6 2 7 4 2" xfId="32065" xr:uid="{00000000-0005-0000-0000-0000FA8B0000}"/>
    <cellStyle name="60% - Accent6 2 7 5" xfId="21825" xr:uid="{00000000-0005-0000-0000-0000FB8B0000}"/>
    <cellStyle name="60% - Accent6 2 8" xfId="2625" xr:uid="{00000000-0005-0000-0000-0000FC8B0000}"/>
    <cellStyle name="60% - Accent6 2 8 2" xfId="7745" xr:uid="{00000000-0005-0000-0000-0000FD8B0000}"/>
    <cellStyle name="60% - Accent6 2 8 2 2" xfId="17985" xr:uid="{00000000-0005-0000-0000-0000FE8B0000}"/>
    <cellStyle name="60% - Accent6 2 8 2 2 2" xfId="38465" xr:uid="{00000000-0005-0000-0000-0000FF8B0000}"/>
    <cellStyle name="60% - Accent6 2 8 2 3" xfId="28225" xr:uid="{00000000-0005-0000-0000-0000008C0000}"/>
    <cellStyle name="60% - Accent6 2 8 3" xfId="12865" xr:uid="{00000000-0005-0000-0000-0000018C0000}"/>
    <cellStyle name="60% - Accent6 2 8 3 2" xfId="33345" xr:uid="{00000000-0005-0000-0000-0000028C0000}"/>
    <cellStyle name="60% - Accent6 2 8 4" xfId="23105" xr:uid="{00000000-0005-0000-0000-0000038C0000}"/>
    <cellStyle name="60% - Accent6 2 9" xfId="5185" xr:uid="{00000000-0005-0000-0000-0000048C0000}"/>
    <cellStyle name="60% - Accent6 2 9 2" xfId="15425" xr:uid="{00000000-0005-0000-0000-0000058C0000}"/>
    <cellStyle name="60% - Accent6 2 9 2 2" xfId="35905" xr:uid="{00000000-0005-0000-0000-0000068C0000}"/>
    <cellStyle name="60% - Accent6 2 9 3" xfId="25665" xr:uid="{00000000-0005-0000-0000-0000078C0000}"/>
    <cellStyle name="60% - Accent6 3" xfId="85" xr:uid="{00000000-0005-0000-0000-0000088C0000}"/>
    <cellStyle name="60% - Accent6 3 10" xfId="20565" xr:uid="{00000000-0005-0000-0000-0000098C0000}"/>
    <cellStyle name="60% - Accent6 3 2" xfId="165" xr:uid="{00000000-0005-0000-0000-00000A8C0000}"/>
    <cellStyle name="60% - Accent6 3 2 2" xfId="325" xr:uid="{00000000-0005-0000-0000-00000B8C0000}"/>
    <cellStyle name="60% - Accent6 3 2 2 2" xfId="645" xr:uid="{00000000-0005-0000-0000-00000C8C0000}"/>
    <cellStyle name="60% - Accent6 3 2 2 2 2" xfId="1285" xr:uid="{00000000-0005-0000-0000-00000D8C0000}"/>
    <cellStyle name="60% - Accent6 3 2 2 2 2 2" xfId="2565" xr:uid="{00000000-0005-0000-0000-00000E8C0000}"/>
    <cellStyle name="60% - Accent6 3 2 2 2 2 2 2" xfId="5125" xr:uid="{00000000-0005-0000-0000-00000F8C0000}"/>
    <cellStyle name="60% - Accent6 3 2 2 2 2 2 2 2" xfId="10245" xr:uid="{00000000-0005-0000-0000-0000108C0000}"/>
    <cellStyle name="60% - Accent6 3 2 2 2 2 2 2 2 2" xfId="20485" xr:uid="{00000000-0005-0000-0000-0000118C0000}"/>
    <cellStyle name="60% - Accent6 3 2 2 2 2 2 2 2 2 2" xfId="40965" xr:uid="{00000000-0005-0000-0000-0000128C0000}"/>
    <cellStyle name="60% - Accent6 3 2 2 2 2 2 2 2 3" xfId="30725" xr:uid="{00000000-0005-0000-0000-0000138C0000}"/>
    <cellStyle name="60% - Accent6 3 2 2 2 2 2 2 3" xfId="15365" xr:uid="{00000000-0005-0000-0000-0000148C0000}"/>
    <cellStyle name="60% - Accent6 3 2 2 2 2 2 2 3 2" xfId="35845" xr:uid="{00000000-0005-0000-0000-0000158C0000}"/>
    <cellStyle name="60% - Accent6 3 2 2 2 2 2 2 4" xfId="25605" xr:uid="{00000000-0005-0000-0000-0000168C0000}"/>
    <cellStyle name="60% - Accent6 3 2 2 2 2 2 3" xfId="7685" xr:uid="{00000000-0005-0000-0000-0000178C0000}"/>
    <cellStyle name="60% - Accent6 3 2 2 2 2 2 3 2" xfId="17925" xr:uid="{00000000-0005-0000-0000-0000188C0000}"/>
    <cellStyle name="60% - Accent6 3 2 2 2 2 2 3 2 2" xfId="38405" xr:uid="{00000000-0005-0000-0000-0000198C0000}"/>
    <cellStyle name="60% - Accent6 3 2 2 2 2 2 3 3" xfId="28165" xr:uid="{00000000-0005-0000-0000-00001A8C0000}"/>
    <cellStyle name="60% - Accent6 3 2 2 2 2 2 4" xfId="12805" xr:uid="{00000000-0005-0000-0000-00001B8C0000}"/>
    <cellStyle name="60% - Accent6 3 2 2 2 2 2 4 2" xfId="33285" xr:uid="{00000000-0005-0000-0000-00001C8C0000}"/>
    <cellStyle name="60% - Accent6 3 2 2 2 2 2 5" xfId="23045" xr:uid="{00000000-0005-0000-0000-00001D8C0000}"/>
    <cellStyle name="60% - Accent6 3 2 2 2 2 3" xfId="3845" xr:uid="{00000000-0005-0000-0000-00001E8C0000}"/>
    <cellStyle name="60% - Accent6 3 2 2 2 2 3 2" xfId="8965" xr:uid="{00000000-0005-0000-0000-00001F8C0000}"/>
    <cellStyle name="60% - Accent6 3 2 2 2 2 3 2 2" xfId="19205" xr:uid="{00000000-0005-0000-0000-0000208C0000}"/>
    <cellStyle name="60% - Accent6 3 2 2 2 2 3 2 2 2" xfId="39685" xr:uid="{00000000-0005-0000-0000-0000218C0000}"/>
    <cellStyle name="60% - Accent6 3 2 2 2 2 3 2 3" xfId="29445" xr:uid="{00000000-0005-0000-0000-0000228C0000}"/>
    <cellStyle name="60% - Accent6 3 2 2 2 2 3 3" xfId="14085" xr:uid="{00000000-0005-0000-0000-0000238C0000}"/>
    <cellStyle name="60% - Accent6 3 2 2 2 2 3 3 2" xfId="34565" xr:uid="{00000000-0005-0000-0000-0000248C0000}"/>
    <cellStyle name="60% - Accent6 3 2 2 2 2 3 4" xfId="24325" xr:uid="{00000000-0005-0000-0000-0000258C0000}"/>
    <cellStyle name="60% - Accent6 3 2 2 2 2 4" xfId="6405" xr:uid="{00000000-0005-0000-0000-0000268C0000}"/>
    <cellStyle name="60% - Accent6 3 2 2 2 2 4 2" xfId="16645" xr:uid="{00000000-0005-0000-0000-0000278C0000}"/>
    <cellStyle name="60% - Accent6 3 2 2 2 2 4 2 2" xfId="37125" xr:uid="{00000000-0005-0000-0000-0000288C0000}"/>
    <cellStyle name="60% - Accent6 3 2 2 2 2 4 3" xfId="26885" xr:uid="{00000000-0005-0000-0000-0000298C0000}"/>
    <cellStyle name="60% - Accent6 3 2 2 2 2 5" xfId="11525" xr:uid="{00000000-0005-0000-0000-00002A8C0000}"/>
    <cellStyle name="60% - Accent6 3 2 2 2 2 5 2" xfId="32005" xr:uid="{00000000-0005-0000-0000-00002B8C0000}"/>
    <cellStyle name="60% - Accent6 3 2 2 2 2 6" xfId="21765" xr:uid="{00000000-0005-0000-0000-00002C8C0000}"/>
    <cellStyle name="60% - Accent6 3 2 2 2 3" xfId="1925" xr:uid="{00000000-0005-0000-0000-00002D8C0000}"/>
    <cellStyle name="60% - Accent6 3 2 2 2 3 2" xfId="4485" xr:uid="{00000000-0005-0000-0000-00002E8C0000}"/>
    <cellStyle name="60% - Accent6 3 2 2 2 3 2 2" xfId="9605" xr:uid="{00000000-0005-0000-0000-00002F8C0000}"/>
    <cellStyle name="60% - Accent6 3 2 2 2 3 2 2 2" xfId="19845" xr:uid="{00000000-0005-0000-0000-0000308C0000}"/>
    <cellStyle name="60% - Accent6 3 2 2 2 3 2 2 2 2" xfId="40325" xr:uid="{00000000-0005-0000-0000-0000318C0000}"/>
    <cellStyle name="60% - Accent6 3 2 2 2 3 2 2 3" xfId="30085" xr:uid="{00000000-0005-0000-0000-0000328C0000}"/>
    <cellStyle name="60% - Accent6 3 2 2 2 3 2 3" xfId="14725" xr:uid="{00000000-0005-0000-0000-0000338C0000}"/>
    <cellStyle name="60% - Accent6 3 2 2 2 3 2 3 2" xfId="35205" xr:uid="{00000000-0005-0000-0000-0000348C0000}"/>
    <cellStyle name="60% - Accent6 3 2 2 2 3 2 4" xfId="24965" xr:uid="{00000000-0005-0000-0000-0000358C0000}"/>
    <cellStyle name="60% - Accent6 3 2 2 2 3 3" xfId="7045" xr:uid="{00000000-0005-0000-0000-0000368C0000}"/>
    <cellStyle name="60% - Accent6 3 2 2 2 3 3 2" xfId="17285" xr:uid="{00000000-0005-0000-0000-0000378C0000}"/>
    <cellStyle name="60% - Accent6 3 2 2 2 3 3 2 2" xfId="37765" xr:uid="{00000000-0005-0000-0000-0000388C0000}"/>
    <cellStyle name="60% - Accent6 3 2 2 2 3 3 3" xfId="27525" xr:uid="{00000000-0005-0000-0000-0000398C0000}"/>
    <cellStyle name="60% - Accent6 3 2 2 2 3 4" xfId="12165" xr:uid="{00000000-0005-0000-0000-00003A8C0000}"/>
    <cellStyle name="60% - Accent6 3 2 2 2 3 4 2" xfId="32645" xr:uid="{00000000-0005-0000-0000-00003B8C0000}"/>
    <cellStyle name="60% - Accent6 3 2 2 2 3 5" xfId="22405" xr:uid="{00000000-0005-0000-0000-00003C8C0000}"/>
    <cellStyle name="60% - Accent6 3 2 2 2 4" xfId="3205" xr:uid="{00000000-0005-0000-0000-00003D8C0000}"/>
    <cellStyle name="60% - Accent6 3 2 2 2 4 2" xfId="8325" xr:uid="{00000000-0005-0000-0000-00003E8C0000}"/>
    <cellStyle name="60% - Accent6 3 2 2 2 4 2 2" xfId="18565" xr:uid="{00000000-0005-0000-0000-00003F8C0000}"/>
    <cellStyle name="60% - Accent6 3 2 2 2 4 2 2 2" xfId="39045" xr:uid="{00000000-0005-0000-0000-0000408C0000}"/>
    <cellStyle name="60% - Accent6 3 2 2 2 4 2 3" xfId="28805" xr:uid="{00000000-0005-0000-0000-0000418C0000}"/>
    <cellStyle name="60% - Accent6 3 2 2 2 4 3" xfId="13445" xr:uid="{00000000-0005-0000-0000-0000428C0000}"/>
    <cellStyle name="60% - Accent6 3 2 2 2 4 3 2" xfId="33925" xr:uid="{00000000-0005-0000-0000-0000438C0000}"/>
    <cellStyle name="60% - Accent6 3 2 2 2 4 4" xfId="23685" xr:uid="{00000000-0005-0000-0000-0000448C0000}"/>
    <cellStyle name="60% - Accent6 3 2 2 2 5" xfId="5765" xr:uid="{00000000-0005-0000-0000-0000458C0000}"/>
    <cellStyle name="60% - Accent6 3 2 2 2 5 2" xfId="16005" xr:uid="{00000000-0005-0000-0000-0000468C0000}"/>
    <cellStyle name="60% - Accent6 3 2 2 2 5 2 2" xfId="36485" xr:uid="{00000000-0005-0000-0000-0000478C0000}"/>
    <cellStyle name="60% - Accent6 3 2 2 2 5 3" xfId="26245" xr:uid="{00000000-0005-0000-0000-0000488C0000}"/>
    <cellStyle name="60% - Accent6 3 2 2 2 6" xfId="10885" xr:uid="{00000000-0005-0000-0000-0000498C0000}"/>
    <cellStyle name="60% - Accent6 3 2 2 2 6 2" xfId="31365" xr:uid="{00000000-0005-0000-0000-00004A8C0000}"/>
    <cellStyle name="60% - Accent6 3 2 2 2 7" xfId="21125" xr:uid="{00000000-0005-0000-0000-00004B8C0000}"/>
    <cellStyle name="60% - Accent6 3 2 2 3" xfId="965" xr:uid="{00000000-0005-0000-0000-00004C8C0000}"/>
    <cellStyle name="60% - Accent6 3 2 2 3 2" xfId="2245" xr:uid="{00000000-0005-0000-0000-00004D8C0000}"/>
    <cellStyle name="60% - Accent6 3 2 2 3 2 2" xfId="4805" xr:uid="{00000000-0005-0000-0000-00004E8C0000}"/>
    <cellStyle name="60% - Accent6 3 2 2 3 2 2 2" xfId="9925" xr:uid="{00000000-0005-0000-0000-00004F8C0000}"/>
    <cellStyle name="60% - Accent6 3 2 2 3 2 2 2 2" xfId="20165" xr:uid="{00000000-0005-0000-0000-0000508C0000}"/>
    <cellStyle name="60% - Accent6 3 2 2 3 2 2 2 2 2" xfId="40645" xr:uid="{00000000-0005-0000-0000-0000518C0000}"/>
    <cellStyle name="60% - Accent6 3 2 2 3 2 2 2 3" xfId="30405" xr:uid="{00000000-0005-0000-0000-0000528C0000}"/>
    <cellStyle name="60% - Accent6 3 2 2 3 2 2 3" xfId="15045" xr:uid="{00000000-0005-0000-0000-0000538C0000}"/>
    <cellStyle name="60% - Accent6 3 2 2 3 2 2 3 2" xfId="35525" xr:uid="{00000000-0005-0000-0000-0000548C0000}"/>
    <cellStyle name="60% - Accent6 3 2 2 3 2 2 4" xfId="25285" xr:uid="{00000000-0005-0000-0000-0000558C0000}"/>
    <cellStyle name="60% - Accent6 3 2 2 3 2 3" xfId="7365" xr:uid="{00000000-0005-0000-0000-0000568C0000}"/>
    <cellStyle name="60% - Accent6 3 2 2 3 2 3 2" xfId="17605" xr:uid="{00000000-0005-0000-0000-0000578C0000}"/>
    <cellStyle name="60% - Accent6 3 2 2 3 2 3 2 2" xfId="38085" xr:uid="{00000000-0005-0000-0000-0000588C0000}"/>
    <cellStyle name="60% - Accent6 3 2 2 3 2 3 3" xfId="27845" xr:uid="{00000000-0005-0000-0000-0000598C0000}"/>
    <cellStyle name="60% - Accent6 3 2 2 3 2 4" xfId="12485" xr:uid="{00000000-0005-0000-0000-00005A8C0000}"/>
    <cellStyle name="60% - Accent6 3 2 2 3 2 4 2" xfId="32965" xr:uid="{00000000-0005-0000-0000-00005B8C0000}"/>
    <cellStyle name="60% - Accent6 3 2 2 3 2 5" xfId="22725" xr:uid="{00000000-0005-0000-0000-00005C8C0000}"/>
    <cellStyle name="60% - Accent6 3 2 2 3 3" xfId="3525" xr:uid="{00000000-0005-0000-0000-00005D8C0000}"/>
    <cellStyle name="60% - Accent6 3 2 2 3 3 2" xfId="8645" xr:uid="{00000000-0005-0000-0000-00005E8C0000}"/>
    <cellStyle name="60% - Accent6 3 2 2 3 3 2 2" xfId="18885" xr:uid="{00000000-0005-0000-0000-00005F8C0000}"/>
    <cellStyle name="60% - Accent6 3 2 2 3 3 2 2 2" xfId="39365" xr:uid="{00000000-0005-0000-0000-0000608C0000}"/>
    <cellStyle name="60% - Accent6 3 2 2 3 3 2 3" xfId="29125" xr:uid="{00000000-0005-0000-0000-0000618C0000}"/>
    <cellStyle name="60% - Accent6 3 2 2 3 3 3" xfId="13765" xr:uid="{00000000-0005-0000-0000-0000628C0000}"/>
    <cellStyle name="60% - Accent6 3 2 2 3 3 3 2" xfId="34245" xr:uid="{00000000-0005-0000-0000-0000638C0000}"/>
    <cellStyle name="60% - Accent6 3 2 2 3 3 4" xfId="24005" xr:uid="{00000000-0005-0000-0000-0000648C0000}"/>
    <cellStyle name="60% - Accent6 3 2 2 3 4" xfId="6085" xr:uid="{00000000-0005-0000-0000-0000658C0000}"/>
    <cellStyle name="60% - Accent6 3 2 2 3 4 2" xfId="16325" xr:uid="{00000000-0005-0000-0000-0000668C0000}"/>
    <cellStyle name="60% - Accent6 3 2 2 3 4 2 2" xfId="36805" xr:uid="{00000000-0005-0000-0000-0000678C0000}"/>
    <cellStyle name="60% - Accent6 3 2 2 3 4 3" xfId="26565" xr:uid="{00000000-0005-0000-0000-0000688C0000}"/>
    <cellStyle name="60% - Accent6 3 2 2 3 5" xfId="11205" xr:uid="{00000000-0005-0000-0000-0000698C0000}"/>
    <cellStyle name="60% - Accent6 3 2 2 3 5 2" xfId="31685" xr:uid="{00000000-0005-0000-0000-00006A8C0000}"/>
    <cellStyle name="60% - Accent6 3 2 2 3 6" xfId="21445" xr:uid="{00000000-0005-0000-0000-00006B8C0000}"/>
    <cellStyle name="60% - Accent6 3 2 2 4" xfId="1605" xr:uid="{00000000-0005-0000-0000-00006C8C0000}"/>
    <cellStyle name="60% - Accent6 3 2 2 4 2" xfId="4165" xr:uid="{00000000-0005-0000-0000-00006D8C0000}"/>
    <cellStyle name="60% - Accent6 3 2 2 4 2 2" xfId="9285" xr:uid="{00000000-0005-0000-0000-00006E8C0000}"/>
    <cellStyle name="60% - Accent6 3 2 2 4 2 2 2" xfId="19525" xr:uid="{00000000-0005-0000-0000-00006F8C0000}"/>
    <cellStyle name="60% - Accent6 3 2 2 4 2 2 2 2" xfId="40005" xr:uid="{00000000-0005-0000-0000-0000708C0000}"/>
    <cellStyle name="60% - Accent6 3 2 2 4 2 2 3" xfId="29765" xr:uid="{00000000-0005-0000-0000-0000718C0000}"/>
    <cellStyle name="60% - Accent6 3 2 2 4 2 3" xfId="14405" xr:uid="{00000000-0005-0000-0000-0000728C0000}"/>
    <cellStyle name="60% - Accent6 3 2 2 4 2 3 2" xfId="34885" xr:uid="{00000000-0005-0000-0000-0000738C0000}"/>
    <cellStyle name="60% - Accent6 3 2 2 4 2 4" xfId="24645" xr:uid="{00000000-0005-0000-0000-0000748C0000}"/>
    <cellStyle name="60% - Accent6 3 2 2 4 3" xfId="6725" xr:uid="{00000000-0005-0000-0000-0000758C0000}"/>
    <cellStyle name="60% - Accent6 3 2 2 4 3 2" xfId="16965" xr:uid="{00000000-0005-0000-0000-0000768C0000}"/>
    <cellStyle name="60% - Accent6 3 2 2 4 3 2 2" xfId="37445" xr:uid="{00000000-0005-0000-0000-0000778C0000}"/>
    <cellStyle name="60% - Accent6 3 2 2 4 3 3" xfId="27205" xr:uid="{00000000-0005-0000-0000-0000788C0000}"/>
    <cellStyle name="60% - Accent6 3 2 2 4 4" xfId="11845" xr:uid="{00000000-0005-0000-0000-0000798C0000}"/>
    <cellStyle name="60% - Accent6 3 2 2 4 4 2" xfId="32325" xr:uid="{00000000-0005-0000-0000-00007A8C0000}"/>
    <cellStyle name="60% - Accent6 3 2 2 4 5" xfId="22085" xr:uid="{00000000-0005-0000-0000-00007B8C0000}"/>
    <cellStyle name="60% - Accent6 3 2 2 5" xfId="2885" xr:uid="{00000000-0005-0000-0000-00007C8C0000}"/>
    <cellStyle name="60% - Accent6 3 2 2 5 2" xfId="8005" xr:uid="{00000000-0005-0000-0000-00007D8C0000}"/>
    <cellStyle name="60% - Accent6 3 2 2 5 2 2" xfId="18245" xr:uid="{00000000-0005-0000-0000-00007E8C0000}"/>
    <cellStyle name="60% - Accent6 3 2 2 5 2 2 2" xfId="38725" xr:uid="{00000000-0005-0000-0000-00007F8C0000}"/>
    <cellStyle name="60% - Accent6 3 2 2 5 2 3" xfId="28485" xr:uid="{00000000-0005-0000-0000-0000808C0000}"/>
    <cellStyle name="60% - Accent6 3 2 2 5 3" xfId="13125" xr:uid="{00000000-0005-0000-0000-0000818C0000}"/>
    <cellStyle name="60% - Accent6 3 2 2 5 3 2" xfId="33605" xr:uid="{00000000-0005-0000-0000-0000828C0000}"/>
    <cellStyle name="60% - Accent6 3 2 2 5 4" xfId="23365" xr:uid="{00000000-0005-0000-0000-0000838C0000}"/>
    <cellStyle name="60% - Accent6 3 2 2 6" xfId="5445" xr:uid="{00000000-0005-0000-0000-0000848C0000}"/>
    <cellStyle name="60% - Accent6 3 2 2 6 2" xfId="15685" xr:uid="{00000000-0005-0000-0000-0000858C0000}"/>
    <cellStyle name="60% - Accent6 3 2 2 6 2 2" xfId="36165" xr:uid="{00000000-0005-0000-0000-0000868C0000}"/>
    <cellStyle name="60% - Accent6 3 2 2 6 3" xfId="25925" xr:uid="{00000000-0005-0000-0000-0000878C0000}"/>
    <cellStyle name="60% - Accent6 3 2 2 7" xfId="10565" xr:uid="{00000000-0005-0000-0000-0000888C0000}"/>
    <cellStyle name="60% - Accent6 3 2 2 7 2" xfId="31045" xr:uid="{00000000-0005-0000-0000-0000898C0000}"/>
    <cellStyle name="60% - Accent6 3 2 2 8" xfId="20805" xr:uid="{00000000-0005-0000-0000-00008A8C0000}"/>
    <cellStyle name="60% - Accent6 3 2 3" xfId="485" xr:uid="{00000000-0005-0000-0000-00008B8C0000}"/>
    <cellStyle name="60% - Accent6 3 2 3 2" xfId="1125" xr:uid="{00000000-0005-0000-0000-00008C8C0000}"/>
    <cellStyle name="60% - Accent6 3 2 3 2 2" xfId="2405" xr:uid="{00000000-0005-0000-0000-00008D8C0000}"/>
    <cellStyle name="60% - Accent6 3 2 3 2 2 2" xfId="4965" xr:uid="{00000000-0005-0000-0000-00008E8C0000}"/>
    <cellStyle name="60% - Accent6 3 2 3 2 2 2 2" xfId="10085" xr:uid="{00000000-0005-0000-0000-00008F8C0000}"/>
    <cellStyle name="60% - Accent6 3 2 3 2 2 2 2 2" xfId="20325" xr:uid="{00000000-0005-0000-0000-0000908C0000}"/>
    <cellStyle name="60% - Accent6 3 2 3 2 2 2 2 2 2" xfId="40805" xr:uid="{00000000-0005-0000-0000-0000918C0000}"/>
    <cellStyle name="60% - Accent6 3 2 3 2 2 2 2 3" xfId="30565" xr:uid="{00000000-0005-0000-0000-0000928C0000}"/>
    <cellStyle name="60% - Accent6 3 2 3 2 2 2 3" xfId="15205" xr:uid="{00000000-0005-0000-0000-0000938C0000}"/>
    <cellStyle name="60% - Accent6 3 2 3 2 2 2 3 2" xfId="35685" xr:uid="{00000000-0005-0000-0000-0000948C0000}"/>
    <cellStyle name="60% - Accent6 3 2 3 2 2 2 4" xfId="25445" xr:uid="{00000000-0005-0000-0000-0000958C0000}"/>
    <cellStyle name="60% - Accent6 3 2 3 2 2 3" xfId="7525" xr:uid="{00000000-0005-0000-0000-0000968C0000}"/>
    <cellStyle name="60% - Accent6 3 2 3 2 2 3 2" xfId="17765" xr:uid="{00000000-0005-0000-0000-0000978C0000}"/>
    <cellStyle name="60% - Accent6 3 2 3 2 2 3 2 2" xfId="38245" xr:uid="{00000000-0005-0000-0000-0000988C0000}"/>
    <cellStyle name="60% - Accent6 3 2 3 2 2 3 3" xfId="28005" xr:uid="{00000000-0005-0000-0000-0000998C0000}"/>
    <cellStyle name="60% - Accent6 3 2 3 2 2 4" xfId="12645" xr:uid="{00000000-0005-0000-0000-00009A8C0000}"/>
    <cellStyle name="60% - Accent6 3 2 3 2 2 4 2" xfId="33125" xr:uid="{00000000-0005-0000-0000-00009B8C0000}"/>
    <cellStyle name="60% - Accent6 3 2 3 2 2 5" xfId="22885" xr:uid="{00000000-0005-0000-0000-00009C8C0000}"/>
    <cellStyle name="60% - Accent6 3 2 3 2 3" xfId="3685" xr:uid="{00000000-0005-0000-0000-00009D8C0000}"/>
    <cellStyle name="60% - Accent6 3 2 3 2 3 2" xfId="8805" xr:uid="{00000000-0005-0000-0000-00009E8C0000}"/>
    <cellStyle name="60% - Accent6 3 2 3 2 3 2 2" xfId="19045" xr:uid="{00000000-0005-0000-0000-00009F8C0000}"/>
    <cellStyle name="60% - Accent6 3 2 3 2 3 2 2 2" xfId="39525" xr:uid="{00000000-0005-0000-0000-0000A08C0000}"/>
    <cellStyle name="60% - Accent6 3 2 3 2 3 2 3" xfId="29285" xr:uid="{00000000-0005-0000-0000-0000A18C0000}"/>
    <cellStyle name="60% - Accent6 3 2 3 2 3 3" xfId="13925" xr:uid="{00000000-0005-0000-0000-0000A28C0000}"/>
    <cellStyle name="60% - Accent6 3 2 3 2 3 3 2" xfId="34405" xr:uid="{00000000-0005-0000-0000-0000A38C0000}"/>
    <cellStyle name="60% - Accent6 3 2 3 2 3 4" xfId="24165" xr:uid="{00000000-0005-0000-0000-0000A48C0000}"/>
    <cellStyle name="60% - Accent6 3 2 3 2 4" xfId="6245" xr:uid="{00000000-0005-0000-0000-0000A58C0000}"/>
    <cellStyle name="60% - Accent6 3 2 3 2 4 2" xfId="16485" xr:uid="{00000000-0005-0000-0000-0000A68C0000}"/>
    <cellStyle name="60% - Accent6 3 2 3 2 4 2 2" xfId="36965" xr:uid="{00000000-0005-0000-0000-0000A78C0000}"/>
    <cellStyle name="60% - Accent6 3 2 3 2 4 3" xfId="26725" xr:uid="{00000000-0005-0000-0000-0000A88C0000}"/>
    <cellStyle name="60% - Accent6 3 2 3 2 5" xfId="11365" xr:uid="{00000000-0005-0000-0000-0000A98C0000}"/>
    <cellStyle name="60% - Accent6 3 2 3 2 5 2" xfId="31845" xr:uid="{00000000-0005-0000-0000-0000AA8C0000}"/>
    <cellStyle name="60% - Accent6 3 2 3 2 6" xfId="21605" xr:uid="{00000000-0005-0000-0000-0000AB8C0000}"/>
    <cellStyle name="60% - Accent6 3 2 3 3" xfId="1765" xr:uid="{00000000-0005-0000-0000-0000AC8C0000}"/>
    <cellStyle name="60% - Accent6 3 2 3 3 2" xfId="4325" xr:uid="{00000000-0005-0000-0000-0000AD8C0000}"/>
    <cellStyle name="60% - Accent6 3 2 3 3 2 2" xfId="9445" xr:uid="{00000000-0005-0000-0000-0000AE8C0000}"/>
    <cellStyle name="60% - Accent6 3 2 3 3 2 2 2" xfId="19685" xr:uid="{00000000-0005-0000-0000-0000AF8C0000}"/>
    <cellStyle name="60% - Accent6 3 2 3 3 2 2 2 2" xfId="40165" xr:uid="{00000000-0005-0000-0000-0000B08C0000}"/>
    <cellStyle name="60% - Accent6 3 2 3 3 2 2 3" xfId="29925" xr:uid="{00000000-0005-0000-0000-0000B18C0000}"/>
    <cellStyle name="60% - Accent6 3 2 3 3 2 3" xfId="14565" xr:uid="{00000000-0005-0000-0000-0000B28C0000}"/>
    <cellStyle name="60% - Accent6 3 2 3 3 2 3 2" xfId="35045" xr:uid="{00000000-0005-0000-0000-0000B38C0000}"/>
    <cellStyle name="60% - Accent6 3 2 3 3 2 4" xfId="24805" xr:uid="{00000000-0005-0000-0000-0000B48C0000}"/>
    <cellStyle name="60% - Accent6 3 2 3 3 3" xfId="6885" xr:uid="{00000000-0005-0000-0000-0000B58C0000}"/>
    <cellStyle name="60% - Accent6 3 2 3 3 3 2" xfId="17125" xr:uid="{00000000-0005-0000-0000-0000B68C0000}"/>
    <cellStyle name="60% - Accent6 3 2 3 3 3 2 2" xfId="37605" xr:uid="{00000000-0005-0000-0000-0000B78C0000}"/>
    <cellStyle name="60% - Accent6 3 2 3 3 3 3" xfId="27365" xr:uid="{00000000-0005-0000-0000-0000B88C0000}"/>
    <cellStyle name="60% - Accent6 3 2 3 3 4" xfId="12005" xr:uid="{00000000-0005-0000-0000-0000B98C0000}"/>
    <cellStyle name="60% - Accent6 3 2 3 3 4 2" xfId="32485" xr:uid="{00000000-0005-0000-0000-0000BA8C0000}"/>
    <cellStyle name="60% - Accent6 3 2 3 3 5" xfId="22245" xr:uid="{00000000-0005-0000-0000-0000BB8C0000}"/>
    <cellStyle name="60% - Accent6 3 2 3 4" xfId="3045" xr:uid="{00000000-0005-0000-0000-0000BC8C0000}"/>
    <cellStyle name="60% - Accent6 3 2 3 4 2" xfId="8165" xr:uid="{00000000-0005-0000-0000-0000BD8C0000}"/>
    <cellStyle name="60% - Accent6 3 2 3 4 2 2" xfId="18405" xr:uid="{00000000-0005-0000-0000-0000BE8C0000}"/>
    <cellStyle name="60% - Accent6 3 2 3 4 2 2 2" xfId="38885" xr:uid="{00000000-0005-0000-0000-0000BF8C0000}"/>
    <cellStyle name="60% - Accent6 3 2 3 4 2 3" xfId="28645" xr:uid="{00000000-0005-0000-0000-0000C08C0000}"/>
    <cellStyle name="60% - Accent6 3 2 3 4 3" xfId="13285" xr:uid="{00000000-0005-0000-0000-0000C18C0000}"/>
    <cellStyle name="60% - Accent6 3 2 3 4 3 2" xfId="33765" xr:uid="{00000000-0005-0000-0000-0000C28C0000}"/>
    <cellStyle name="60% - Accent6 3 2 3 4 4" xfId="23525" xr:uid="{00000000-0005-0000-0000-0000C38C0000}"/>
    <cellStyle name="60% - Accent6 3 2 3 5" xfId="5605" xr:uid="{00000000-0005-0000-0000-0000C48C0000}"/>
    <cellStyle name="60% - Accent6 3 2 3 5 2" xfId="15845" xr:uid="{00000000-0005-0000-0000-0000C58C0000}"/>
    <cellStyle name="60% - Accent6 3 2 3 5 2 2" xfId="36325" xr:uid="{00000000-0005-0000-0000-0000C68C0000}"/>
    <cellStyle name="60% - Accent6 3 2 3 5 3" xfId="26085" xr:uid="{00000000-0005-0000-0000-0000C78C0000}"/>
    <cellStyle name="60% - Accent6 3 2 3 6" xfId="10725" xr:uid="{00000000-0005-0000-0000-0000C88C0000}"/>
    <cellStyle name="60% - Accent6 3 2 3 6 2" xfId="31205" xr:uid="{00000000-0005-0000-0000-0000C98C0000}"/>
    <cellStyle name="60% - Accent6 3 2 3 7" xfId="20965" xr:uid="{00000000-0005-0000-0000-0000CA8C0000}"/>
    <cellStyle name="60% - Accent6 3 2 4" xfId="805" xr:uid="{00000000-0005-0000-0000-0000CB8C0000}"/>
    <cellStyle name="60% - Accent6 3 2 4 2" xfId="2085" xr:uid="{00000000-0005-0000-0000-0000CC8C0000}"/>
    <cellStyle name="60% - Accent6 3 2 4 2 2" xfId="4645" xr:uid="{00000000-0005-0000-0000-0000CD8C0000}"/>
    <cellStyle name="60% - Accent6 3 2 4 2 2 2" xfId="9765" xr:uid="{00000000-0005-0000-0000-0000CE8C0000}"/>
    <cellStyle name="60% - Accent6 3 2 4 2 2 2 2" xfId="20005" xr:uid="{00000000-0005-0000-0000-0000CF8C0000}"/>
    <cellStyle name="60% - Accent6 3 2 4 2 2 2 2 2" xfId="40485" xr:uid="{00000000-0005-0000-0000-0000D08C0000}"/>
    <cellStyle name="60% - Accent6 3 2 4 2 2 2 3" xfId="30245" xr:uid="{00000000-0005-0000-0000-0000D18C0000}"/>
    <cellStyle name="60% - Accent6 3 2 4 2 2 3" xfId="14885" xr:uid="{00000000-0005-0000-0000-0000D28C0000}"/>
    <cellStyle name="60% - Accent6 3 2 4 2 2 3 2" xfId="35365" xr:uid="{00000000-0005-0000-0000-0000D38C0000}"/>
    <cellStyle name="60% - Accent6 3 2 4 2 2 4" xfId="25125" xr:uid="{00000000-0005-0000-0000-0000D48C0000}"/>
    <cellStyle name="60% - Accent6 3 2 4 2 3" xfId="7205" xr:uid="{00000000-0005-0000-0000-0000D58C0000}"/>
    <cellStyle name="60% - Accent6 3 2 4 2 3 2" xfId="17445" xr:uid="{00000000-0005-0000-0000-0000D68C0000}"/>
    <cellStyle name="60% - Accent6 3 2 4 2 3 2 2" xfId="37925" xr:uid="{00000000-0005-0000-0000-0000D78C0000}"/>
    <cellStyle name="60% - Accent6 3 2 4 2 3 3" xfId="27685" xr:uid="{00000000-0005-0000-0000-0000D88C0000}"/>
    <cellStyle name="60% - Accent6 3 2 4 2 4" xfId="12325" xr:uid="{00000000-0005-0000-0000-0000D98C0000}"/>
    <cellStyle name="60% - Accent6 3 2 4 2 4 2" xfId="32805" xr:uid="{00000000-0005-0000-0000-0000DA8C0000}"/>
    <cellStyle name="60% - Accent6 3 2 4 2 5" xfId="22565" xr:uid="{00000000-0005-0000-0000-0000DB8C0000}"/>
    <cellStyle name="60% - Accent6 3 2 4 3" xfId="3365" xr:uid="{00000000-0005-0000-0000-0000DC8C0000}"/>
    <cellStyle name="60% - Accent6 3 2 4 3 2" xfId="8485" xr:uid="{00000000-0005-0000-0000-0000DD8C0000}"/>
    <cellStyle name="60% - Accent6 3 2 4 3 2 2" xfId="18725" xr:uid="{00000000-0005-0000-0000-0000DE8C0000}"/>
    <cellStyle name="60% - Accent6 3 2 4 3 2 2 2" xfId="39205" xr:uid="{00000000-0005-0000-0000-0000DF8C0000}"/>
    <cellStyle name="60% - Accent6 3 2 4 3 2 3" xfId="28965" xr:uid="{00000000-0005-0000-0000-0000E08C0000}"/>
    <cellStyle name="60% - Accent6 3 2 4 3 3" xfId="13605" xr:uid="{00000000-0005-0000-0000-0000E18C0000}"/>
    <cellStyle name="60% - Accent6 3 2 4 3 3 2" xfId="34085" xr:uid="{00000000-0005-0000-0000-0000E28C0000}"/>
    <cellStyle name="60% - Accent6 3 2 4 3 4" xfId="23845" xr:uid="{00000000-0005-0000-0000-0000E38C0000}"/>
    <cellStyle name="60% - Accent6 3 2 4 4" xfId="5925" xr:uid="{00000000-0005-0000-0000-0000E48C0000}"/>
    <cellStyle name="60% - Accent6 3 2 4 4 2" xfId="16165" xr:uid="{00000000-0005-0000-0000-0000E58C0000}"/>
    <cellStyle name="60% - Accent6 3 2 4 4 2 2" xfId="36645" xr:uid="{00000000-0005-0000-0000-0000E68C0000}"/>
    <cellStyle name="60% - Accent6 3 2 4 4 3" xfId="26405" xr:uid="{00000000-0005-0000-0000-0000E78C0000}"/>
    <cellStyle name="60% - Accent6 3 2 4 5" xfId="11045" xr:uid="{00000000-0005-0000-0000-0000E88C0000}"/>
    <cellStyle name="60% - Accent6 3 2 4 5 2" xfId="31525" xr:uid="{00000000-0005-0000-0000-0000E98C0000}"/>
    <cellStyle name="60% - Accent6 3 2 4 6" xfId="21285" xr:uid="{00000000-0005-0000-0000-0000EA8C0000}"/>
    <cellStyle name="60% - Accent6 3 2 5" xfId="1445" xr:uid="{00000000-0005-0000-0000-0000EB8C0000}"/>
    <cellStyle name="60% - Accent6 3 2 5 2" xfId="4005" xr:uid="{00000000-0005-0000-0000-0000EC8C0000}"/>
    <cellStyle name="60% - Accent6 3 2 5 2 2" xfId="9125" xr:uid="{00000000-0005-0000-0000-0000ED8C0000}"/>
    <cellStyle name="60% - Accent6 3 2 5 2 2 2" xfId="19365" xr:uid="{00000000-0005-0000-0000-0000EE8C0000}"/>
    <cellStyle name="60% - Accent6 3 2 5 2 2 2 2" xfId="39845" xr:uid="{00000000-0005-0000-0000-0000EF8C0000}"/>
    <cellStyle name="60% - Accent6 3 2 5 2 2 3" xfId="29605" xr:uid="{00000000-0005-0000-0000-0000F08C0000}"/>
    <cellStyle name="60% - Accent6 3 2 5 2 3" xfId="14245" xr:uid="{00000000-0005-0000-0000-0000F18C0000}"/>
    <cellStyle name="60% - Accent6 3 2 5 2 3 2" xfId="34725" xr:uid="{00000000-0005-0000-0000-0000F28C0000}"/>
    <cellStyle name="60% - Accent6 3 2 5 2 4" xfId="24485" xr:uid="{00000000-0005-0000-0000-0000F38C0000}"/>
    <cellStyle name="60% - Accent6 3 2 5 3" xfId="6565" xr:uid="{00000000-0005-0000-0000-0000F48C0000}"/>
    <cellStyle name="60% - Accent6 3 2 5 3 2" xfId="16805" xr:uid="{00000000-0005-0000-0000-0000F58C0000}"/>
    <cellStyle name="60% - Accent6 3 2 5 3 2 2" xfId="37285" xr:uid="{00000000-0005-0000-0000-0000F68C0000}"/>
    <cellStyle name="60% - Accent6 3 2 5 3 3" xfId="27045" xr:uid="{00000000-0005-0000-0000-0000F78C0000}"/>
    <cellStyle name="60% - Accent6 3 2 5 4" xfId="11685" xr:uid="{00000000-0005-0000-0000-0000F88C0000}"/>
    <cellStyle name="60% - Accent6 3 2 5 4 2" xfId="32165" xr:uid="{00000000-0005-0000-0000-0000F98C0000}"/>
    <cellStyle name="60% - Accent6 3 2 5 5" xfId="21925" xr:uid="{00000000-0005-0000-0000-0000FA8C0000}"/>
    <cellStyle name="60% - Accent6 3 2 6" xfId="2725" xr:uid="{00000000-0005-0000-0000-0000FB8C0000}"/>
    <cellStyle name="60% - Accent6 3 2 6 2" xfId="7845" xr:uid="{00000000-0005-0000-0000-0000FC8C0000}"/>
    <cellStyle name="60% - Accent6 3 2 6 2 2" xfId="18085" xr:uid="{00000000-0005-0000-0000-0000FD8C0000}"/>
    <cellStyle name="60% - Accent6 3 2 6 2 2 2" xfId="38565" xr:uid="{00000000-0005-0000-0000-0000FE8C0000}"/>
    <cellStyle name="60% - Accent6 3 2 6 2 3" xfId="28325" xr:uid="{00000000-0005-0000-0000-0000FF8C0000}"/>
    <cellStyle name="60% - Accent6 3 2 6 3" xfId="12965" xr:uid="{00000000-0005-0000-0000-0000008D0000}"/>
    <cellStyle name="60% - Accent6 3 2 6 3 2" xfId="33445" xr:uid="{00000000-0005-0000-0000-0000018D0000}"/>
    <cellStyle name="60% - Accent6 3 2 6 4" xfId="23205" xr:uid="{00000000-0005-0000-0000-0000028D0000}"/>
    <cellStyle name="60% - Accent6 3 2 7" xfId="5285" xr:uid="{00000000-0005-0000-0000-0000038D0000}"/>
    <cellStyle name="60% - Accent6 3 2 7 2" xfId="15525" xr:uid="{00000000-0005-0000-0000-0000048D0000}"/>
    <cellStyle name="60% - Accent6 3 2 7 2 2" xfId="36005" xr:uid="{00000000-0005-0000-0000-0000058D0000}"/>
    <cellStyle name="60% - Accent6 3 2 7 3" xfId="25765" xr:uid="{00000000-0005-0000-0000-0000068D0000}"/>
    <cellStyle name="60% - Accent6 3 2 8" xfId="10405" xr:uid="{00000000-0005-0000-0000-0000078D0000}"/>
    <cellStyle name="60% - Accent6 3 2 8 2" xfId="30885" xr:uid="{00000000-0005-0000-0000-0000088D0000}"/>
    <cellStyle name="60% - Accent6 3 2 9" xfId="20645" xr:uid="{00000000-0005-0000-0000-0000098D0000}"/>
    <cellStyle name="60% - Accent6 3 3" xfId="245" xr:uid="{00000000-0005-0000-0000-00000A8D0000}"/>
    <cellStyle name="60% - Accent6 3 3 2" xfId="565" xr:uid="{00000000-0005-0000-0000-00000B8D0000}"/>
    <cellStyle name="60% - Accent6 3 3 2 2" xfId="1205" xr:uid="{00000000-0005-0000-0000-00000C8D0000}"/>
    <cellStyle name="60% - Accent6 3 3 2 2 2" xfId="2485" xr:uid="{00000000-0005-0000-0000-00000D8D0000}"/>
    <cellStyle name="60% - Accent6 3 3 2 2 2 2" xfId="5045" xr:uid="{00000000-0005-0000-0000-00000E8D0000}"/>
    <cellStyle name="60% - Accent6 3 3 2 2 2 2 2" xfId="10165" xr:uid="{00000000-0005-0000-0000-00000F8D0000}"/>
    <cellStyle name="60% - Accent6 3 3 2 2 2 2 2 2" xfId="20405" xr:uid="{00000000-0005-0000-0000-0000108D0000}"/>
    <cellStyle name="60% - Accent6 3 3 2 2 2 2 2 2 2" xfId="40885" xr:uid="{00000000-0005-0000-0000-0000118D0000}"/>
    <cellStyle name="60% - Accent6 3 3 2 2 2 2 2 3" xfId="30645" xr:uid="{00000000-0005-0000-0000-0000128D0000}"/>
    <cellStyle name="60% - Accent6 3 3 2 2 2 2 3" xfId="15285" xr:uid="{00000000-0005-0000-0000-0000138D0000}"/>
    <cellStyle name="60% - Accent6 3 3 2 2 2 2 3 2" xfId="35765" xr:uid="{00000000-0005-0000-0000-0000148D0000}"/>
    <cellStyle name="60% - Accent6 3 3 2 2 2 2 4" xfId="25525" xr:uid="{00000000-0005-0000-0000-0000158D0000}"/>
    <cellStyle name="60% - Accent6 3 3 2 2 2 3" xfId="7605" xr:uid="{00000000-0005-0000-0000-0000168D0000}"/>
    <cellStyle name="60% - Accent6 3 3 2 2 2 3 2" xfId="17845" xr:uid="{00000000-0005-0000-0000-0000178D0000}"/>
    <cellStyle name="60% - Accent6 3 3 2 2 2 3 2 2" xfId="38325" xr:uid="{00000000-0005-0000-0000-0000188D0000}"/>
    <cellStyle name="60% - Accent6 3 3 2 2 2 3 3" xfId="28085" xr:uid="{00000000-0005-0000-0000-0000198D0000}"/>
    <cellStyle name="60% - Accent6 3 3 2 2 2 4" xfId="12725" xr:uid="{00000000-0005-0000-0000-00001A8D0000}"/>
    <cellStyle name="60% - Accent6 3 3 2 2 2 4 2" xfId="33205" xr:uid="{00000000-0005-0000-0000-00001B8D0000}"/>
    <cellStyle name="60% - Accent6 3 3 2 2 2 5" xfId="22965" xr:uid="{00000000-0005-0000-0000-00001C8D0000}"/>
    <cellStyle name="60% - Accent6 3 3 2 2 3" xfId="3765" xr:uid="{00000000-0005-0000-0000-00001D8D0000}"/>
    <cellStyle name="60% - Accent6 3 3 2 2 3 2" xfId="8885" xr:uid="{00000000-0005-0000-0000-00001E8D0000}"/>
    <cellStyle name="60% - Accent6 3 3 2 2 3 2 2" xfId="19125" xr:uid="{00000000-0005-0000-0000-00001F8D0000}"/>
    <cellStyle name="60% - Accent6 3 3 2 2 3 2 2 2" xfId="39605" xr:uid="{00000000-0005-0000-0000-0000208D0000}"/>
    <cellStyle name="60% - Accent6 3 3 2 2 3 2 3" xfId="29365" xr:uid="{00000000-0005-0000-0000-0000218D0000}"/>
    <cellStyle name="60% - Accent6 3 3 2 2 3 3" xfId="14005" xr:uid="{00000000-0005-0000-0000-0000228D0000}"/>
    <cellStyle name="60% - Accent6 3 3 2 2 3 3 2" xfId="34485" xr:uid="{00000000-0005-0000-0000-0000238D0000}"/>
    <cellStyle name="60% - Accent6 3 3 2 2 3 4" xfId="24245" xr:uid="{00000000-0005-0000-0000-0000248D0000}"/>
    <cellStyle name="60% - Accent6 3 3 2 2 4" xfId="6325" xr:uid="{00000000-0005-0000-0000-0000258D0000}"/>
    <cellStyle name="60% - Accent6 3 3 2 2 4 2" xfId="16565" xr:uid="{00000000-0005-0000-0000-0000268D0000}"/>
    <cellStyle name="60% - Accent6 3 3 2 2 4 2 2" xfId="37045" xr:uid="{00000000-0005-0000-0000-0000278D0000}"/>
    <cellStyle name="60% - Accent6 3 3 2 2 4 3" xfId="26805" xr:uid="{00000000-0005-0000-0000-0000288D0000}"/>
    <cellStyle name="60% - Accent6 3 3 2 2 5" xfId="11445" xr:uid="{00000000-0005-0000-0000-0000298D0000}"/>
    <cellStyle name="60% - Accent6 3 3 2 2 5 2" xfId="31925" xr:uid="{00000000-0005-0000-0000-00002A8D0000}"/>
    <cellStyle name="60% - Accent6 3 3 2 2 6" xfId="21685" xr:uid="{00000000-0005-0000-0000-00002B8D0000}"/>
    <cellStyle name="60% - Accent6 3 3 2 3" xfId="1845" xr:uid="{00000000-0005-0000-0000-00002C8D0000}"/>
    <cellStyle name="60% - Accent6 3 3 2 3 2" xfId="4405" xr:uid="{00000000-0005-0000-0000-00002D8D0000}"/>
    <cellStyle name="60% - Accent6 3 3 2 3 2 2" xfId="9525" xr:uid="{00000000-0005-0000-0000-00002E8D0000}"/>
    <cellStyle name="60% - Accent6 3 3 2 3 2 2 2" xfId="19765" xr:uid="{00000000-0005-0000-0000-00002F8D0000}"/>
    <cellStyle name="60% - Accent6 3 3 2 3 2 2 2 2" xfId="40245" xr:uid="{00000000-0005-0000-0000-0000308D0000}"/>
    <cellStyle name="60% - Accent6 3 3 2 3 2 2 3" xfId="30005" xr:uid="{00000000-0005-0000-0000-0000318D0000}"/>
    <cellStyle name="60% - Accent6 3 3 2 3 2 3" xfId="14645" xr:uid="{00000000-0005-0000-0000-0000328D0000}"/>
    <cellStyle name="60% - Accent6 3 3 2 3 2 3 2" xfId="35125" xr:uid="{00000000-0005-0000-0000-0000338D0000}"/>
    <cellStyle name="60% - Accent6 3 3 2 3 2 4" xfId="24885" xr:uid="{00000000-0005-0000-0000-0000348D0000}"/>
    <cellStyle name="60% - Accent6 3 3 2 3 3" xfId="6965" xr:uid="{00000000-0005-0000-0000-0000358D0000}"/>
    <cellStyle name="60% - Accent6 3 3 2 3 3 2" xfId="17205" xr:uid="{00000000-0005-0000-0000-0000368D0000}"/>
    <cellStyle name="60% - Accent6 3 3 2 3 3 2 2" xfId="37685" xr:uid="{00000000-0005-0000-0000-0000378D0000}"/>
    <cellStyle name="60% - Accent6 3 3 2 3 3 3" xfId="27445" xr:uid="{00000000-0005-0000-0000-0000388D0000}"/>
    <cellStyle name="60% - Accent6 3 3 2 3 4" xfId="12085" xr:uid="{00000000-0005-0000-0000-0000398D0000}"/>
    <cellStyle name="60% - Accent6 3 3 2 3 4 2" xfId="32565" xr:uid="{00000000-0005-0000-0000-00003A8D0000}"/>
    <cellStyle name="60% - Accent6 3 3 2 3 5" xfId="22325" xr:uid="{00000000-0005-0000-0000-00003B8D0000}"/>
    <cellStyle name="60% - Accent6 3 3 2 4" xfId="3125" xr:uid="{00000000-0005-0000-0000-00003C8D0000}"/>
    <cellStyle name="60% - Accent6 3 3 2 4 2" xfId="8245" xr:uid="{00000000-0005-0000-0000-00003D8D0000}"/>
    <cellStyle name="60% - Accent6 3 3 2 4 2 2" xfId="18485" xr:uid="{00000000-0005-0000-0000-00003E8D0000}"/>
    <cellStyle name="60% - Accent6 3 3 2 4 2 2 2" xfId="38965" xr:uid="{00000000-0005-0000-0000-00003F8D0000}"/>
    <cellStyle name="60% - Accent6 3 3 2 4 2 3" xfId="28725" xr:uid="{00000000-0005-0000-0000-0000408D0000}"/>
    <cellStyle name="60% - Accent6 3 3 2 4 3" xfId="13365" xr:uid="{00000000-0005-0000-0000-0000418D0000}"/>
    <cellStyle name="60% - Accent6 3 3 2 4 3 2" xfId="33845" xr:uid="{00000000-0005-0000-0000-0000428D0000}"/>
    <cellStyle name="60% - Accent6 3 3 2 4 4" xfId="23605" xr:uid="{00000000-0005-0000-0000-0000438D0000}"/>
    <cellStyle name="60% - Accent6 3 3 2 5" xfId="5685" xr:uid="{00000000-0005-0000-0000-0000448D0000}"/>
    <cellStyle name="60% - Accent6 3 3 2 5 2" xfId="15925" xr:uid="{00000000-0005-0000-0000-0000458D0000}"/>
    <cellStyle name="60% - Accent6 3 3 2 5 2 2" xfId="36405" xr:uid="{00000000-0005-0000-0000-0000468D0000}"/>
    <cellStyle name="60% - Accent6 3 3 2 5 3" xfId="26165" xr:uid="{00000000-0005-0000-0000-0000478D0000}"/>
    <cellStyle name="60% - Accent6 3 3 2 6" xfId="10805" xr:uid="{00000000-0005-0000-0000-0000488D0000}"/>
    <cellStyle name="60% - Accent6 3 3 2 6 2" xfId="31285" xr:uid="{00000000-0005-0000-0000-0000498D0000}"/>
    <cellStyle name="60% - Accent6 3 3 2 7" xfId="21045" xr:uid="{00000000-0005-0000-0000-00004A8D0000}"/>
    <cellStyle name="60% - Accent6 3 3 3" xfId="885" xr:uid="{00000000-0005-0000-0000-00004B8D0000}"/>
    <cellStyle name="60% - Accent6 3 3 3 2" xfId="2165" xr:uid="{00000000-0005-0000-0000-00004C8D0000}"/>
    <cellStyle name="60% - Accent6 3 3 3 2 2" xfId="4725" xr:uid="{00000000-0005-0000-0000-00004D8D0000}"/>
    <cellStyle name="60% - Accent6 3 3 3 2 2 2" xfId="9845" xr:uid="{00000000-0005-0000-0000-00004E8D0000}"/>
    <cellStyle name="60% - Accent6 3 3 3 2 2 2 2" xfId="20085" xr:uid="{00000000-0005-0000-0000-00004F8D0000}"/>
    <cellStyle name="60% - Accent6 3 3 3 2 2 2 2 2" xfId="40565" xr:uid="{00000000-0005-0000-0000-0000508D0000}"/>
    <cellStyle name="60% - Accent6 3 3 3 2 2 2 3" xfId="30325" xr:uid="{00000000-0005-0000-0000-0000518D0000}"/>
    <cellStyle name="60% - Accent6 3 3 3 2 2 3" xfId="14965" xr:uid="{00000000-0005-0000-0000-0000528D0000}"/>
    <cellStyle name="60% - Accent6 3 3 3 2 2 3 2" xfId="35445" xr:uid="{00000000-0005-0000-0000-0000538D0000}"/>
    <cellStyle name="60% - Accent6 3 3 3 2 2 4" xfId="25205" xr:uid="{00000000-0005-0000-0000-0000548D0000}"/>
    <cellStyle name="60% - Accent6 3 3 3 2 3" xfId="7285" xr:uid="{00000000-0005-0000-0000-0000558D0000}"/>
    <cellStyle name="60% - Accent6 3 3 3 2 3 2" xfId="17525" xr:uid="{00000000-0005-0000-0000-0000568D0000}"/>
    <cellStyle name="60% - Accent6 3 3 3 2 3 2 2" xfId="38005" xr:uid="{00000000-0005-0000-0000-0000578D0000}"/>
    <cellStyle name="60% - Accent6 3 3 3 2 3 3" xfId="27765" xr:uid="{00000000-0005-0000-0000-0000588D0000}"/>
    <cellStyle name="60% - Accent6 3 3 3 2 4" xfId="12405" xr:uid="{00000000-0005-0000-0000-0000598D0000}"/>
    <cellStyle name="60% - Accent6 3 3 3 2 4 2" xfId="32885" xr:uid="{00000000-0005-0000-0000-00005A8D0000}"/>
    <cellStyle name="60% - Accent6 3 3 3 2 5" xfId="22645" xr:uid="{00000000-0005-0000-0000-00005B8D0000}"/>
    <cellStyle name="60% - Accent6 3 3 3 3" xfId="3445" xr:uid="{00000000-0005-0000-0000-00005C8D0000}"/>
    <cellStyle name="60% - Accent6 3 3 3 3 2" xfId="8565" xr:uid="{00000000-0005-0000-0000-00005D8D0000}"/>
    <cellStyle name="60% - Accent6 3 3 3 3 2 2" xfId="18805" xr:uid="{00000000-0005-0000-0000-00005E8D0000}"/>
    <cellStyle name="60% - Accent6 3 3 3 3 2 2 2" xfId="39285" xr:uid="{00000000-0005-0000-0000-00005F8D0000}"/>
    <cellStyle name="60% - Accent6 3 3 3 3 2 3" xfId="29045" xr:uid="{00000000-0005-0000-0000-0000608D0000}"/>
    <cellStyle name="60% - Accent6 3 3 3 3 3" xfId="13685" xr:uid="{00000000-0005-0000-0000-0000618D0000}"/>
    <cellStyle name="60% - Accent6 3 3 3 3 3 2" xfId="34165" xr:uid="{00000000-0005-0000-0000-0000628D0000}"/>
    <cellStyle name="60% - Accent6 3 3 3 3 4" xfId="23925" xr:uid="{00000000-0005-0000-0000-0000638D0000}"/>
    <cellStyle name="60% - Accent6 3 3 3 4" xfId="6005" xr:uid="{00000000-0005-0000-0000-0000648D0000}"/>
    <cellStyle name="60% - Accent6 3 3 3 4 2" xfId="16245" xr:uid="{00000000-0005-0000-0000-0000658D0000}"/>
    <cellStyle name="60% - Accent6 3 3 3 4 2 2" xfId="36725" xr:uid="{00000000-0005-0000-0000-0000668D0000}"/>
    <cellStyle name="60% - Accent6 3 3 3 4 3" xfId="26485" xr:uid="{00000000-0005-0000-0000-0000678D0000}"/>
    <cellStyle name="60% - Accent6 3 3 3 5" xfId="11125" xr:uid="{00000000-0005-0000-0000-0000688D0000}"/>
    <cellStyle name="60% - Accent6 3 3 3 5 2" xfId="31605" xr:uid="{00000000-0005-0000-0000-0000698D0000}"/>
    <cellStyle name="60% - Accent6 3 3 3 6" xfId="21365" xr:uid="{00000000-0005-0000-0000-00006A8D0000}"/>
    <cellStyle name="60% - Accent6 3 3 4" xfId="1525" xr:uid="{00000000-0005-0000-0000-00006B8D0000}"/>
    <cellStyle name="60% - Accent6 3 3 4 2" xfId="4085" xr:uid="{00000000-0005-0000-0000-00006C8D0000}"/>
    <cellStyle name="60% - Accent6 3 3 4 2 2" xfId="9205" xr:uid="{00000000-0005-0000-0000-00006D8D0000}"/>
    <cellStyle name="60% - Accent6 3 3 4 2 2 2" xfId="19445" xr:uid="{00000000-0005-0000-0000-00006E8D0000}"/>
    <cellStyle name="60% - Accent6 3 3 4 2 2 2 2" xfId="39925" xr:uid="{00000000-0005-0000-0000-00006F8D0000}"/>
    <cellStyle name="60% - Accent6 3 3 4 2 2 3" xfId="29685" xr:uid="{00000000-0005-0000-0000-0000708D0000}"/>
    <cellStyle name="60% - Accent6 3 3 4 2 3" xfId="14325" xr:uid="{00000000-0005-0000-0000-0000718D0000}"/>
    <cellStyle name="60% - Accent6 3 3 4 2 3 2" xfId="34805" xr:uid="{00000000-0005-0000-0000-0000728D0000}"/>
    <cellStyle name="60% - Accent6 3 3 4 2 4" xfId="24565" xr:uid="{00000000-0005-0000-0000-0000738D0000}"/>
    <cellStyle name="60% - Accent6 3 3 4 3" xfId="6645" xr:uid="{00000000-0005-0000-0000-0000748D0000}"/>
    <cellStyle name="60% - Accent6 3 3 4 3 2" xfId="16885" xr:uid="{00000000-0005-0000-0000-0000758D0000}"/>
    <cellStyle name="60% - Accent6 3 3 4 3 2 2" xfId="37365" xr:uid="{00000000-0005-0000-0000-0000768D0000}"/>
    <cellStyle name="60% - Accent6 3 3 4 3 3" xfId="27125" xr:uid="{00000000-0005-0000-0000-0000778D0000}"/>
    <cellStyle name="60% - Accent6 3 3 4 4" xfId="11765" xr:uid="{00000000-0005-0000-0000-0000788D0000}"/>
    <cellStyle name="60% - Accent6 3 3 4 4 2" xfId="32245" xr:uid="{00000000-0005-0000-0000-0000798D0000}"/>
    <cellStyle name="60% - Accent6 3 3 4 5" xfId="22005" xr:uid="{00000000-0005-0000-0000-00007A8D0000}"/>
    <cellStyle name="60% - Accent6 3 3 5" xfId="2805" xr:uid="{00000000-0005-0000-0000-00007B8D0000}"/>
    <cellStyle name="60% - Accent6 3 3 5 2" xfId="7925" xr:uid="{00000000-0005-0000-0000-00007C8D0000}"/>
    <cellStyle name="60% - Accent6 3 3 5 2 2" xfId="18165" xr:uid="{00000000-0005-0000-0000-00007D8D0000}"/>
    <cellStyle name="60% - Accent6 3 3 5 2 2 2" xfId="38645" xr:uid="{00000000-0005-0000-0000-00007E8D0000}"/>
    <cellStyle name="60% - Accent6 3 3 5 2 3" xfId="28405" xr:uid="{00000000-0005-0000-0000-00007F8D0000}"/>
    <cellStyle name="60% - Accent6 3 3 5 3" xfId="13045" xr:uid="{00000000-0005-0000-0000-0000808D0000}"/>
    <cellStyle name="60% - Accent6 3 3 5 3 2" xfId="33525" xr:uid="{00000000-0005-0000-0000-0000818D0000}"/>
    <cellStyle name="60% - Accent6 3 3 5 4" xfId="23285" xr:uid="{00000000-0005-0000-0000-0000828D0000}"/>
    <cellStyle name="60% - Accent6 3 3 6" xfId="5365" xr:uid="{00000000-0005-0000-0000-0000838D0000}"/>
    <cellStyle name="60% - Accent6 3 3 6 2" xfId="15605" xr:uid="{00000000-0005-0000-0000-0000848D0000}"/>
    <cellStyle name="60% - Accent6 3 3 6 2 2" xfId="36085" xr:uid="{00000000-0005-0000-0000-0000858D0000}"/>
    <cellStyle name="60% - Accent6 3 3 6 3" xfId="25845" xr:uid="{00000000-0005-0000-0000-0000868D0000}"/>
    <cellStyle name="60% - Accent6 3 3 7" xfId="10485" xr:uid="{00000000-0005-0000-0000-0000878D0000}"/>
    <cellStyle name="60% - Accent6 3 3 7 2" xfId="30965" xr:uid="{00000000-0005-0000-0000-0000888D0000}"/>
    <cellStyle name="60% - Accent6 3 3 8" xfId="20725" xr:uid="{00000000-0005-0000-0000-0000898D0000}"/>
    <cellStyle name="60% - Accent6 3 4" xfId="405" xr:uid="{00000000-0005-0000-0000-00008A8D0000}"/>
    <cellStyle name="60% - Accent6 3 4 2" xfId="1045" xr:uid="{00000000-0005-0000-0000-00008B8D0000}"/>
    <cellStyle name="60% - Accent6 3 4 2 2" xfId="2325" xr:uid="{00000000-0005-0000-0000-00008C8D0000}"/>
    <cellStyle name="60% - Accent6 3 4 2 2 2" xfId="4885" xr:uid="{00000000-0005-0000-0000-00008D8D0000}"/>
    <cellStyle name="60% - Accent6 3 4 2 2 2 2" xfId="10005" xr:uid="{00000000-0005-0000-0000-00008E8D0000}"/>
    <cellStyle name="60% - Accent6 3 4 2 2 2 2 2" xfId="20245" xr:uid="{00000000-0005-0000-0000-00008F8D0000}"/>
    <cellStyle name="60% - Accent6 3 4 2 2 2 2 2 2" xfId="40725" xr:uid="{00000000-0005-0000-0000-0000908D0000}"/>
    <cellStyle name="60% - Accent6 3 4 2 2 2 2 3" xfId="30485" xr:uid="{00000000-0005-0000-0000-0000918D0000}"/>
    <cellStyle name="60% - Accent6 3 4 2 2 2 3" xfId="15125" xr:uid="{00000000-0005-0000-0000-0000928D0000}"/>
    <cellStyle name="60% - Accent6 3 4 2 2 2 3 2" xfId="35605" xr:uid="{00000000-0005-0000-0000-0000938D0000}"/>
    <cellStyle name="60% - Accent6 3 4 2 2 2 4" xfId="25365" xr:uid="{00000000-0005-0000-0000-0000948D0000}"/>
    <cellStyle name="60% - Accent6 3 4 2 2 3" xfId="7445" xr:uid="{00000000-0005-0000-0000-0000958D0000}"/>
    <cellStyle name="60% - Accent6 3 4 2 2 3 2" xfId="17685" xr:uid="{00000000-0005-0000-0000-0000968D0000}"/>
    <cellStyle name="60% - Accent6 3 4 2 2 3 2 2" xfId="38165" xr:uid="{00000000-0005-0000-0000-0000978D0000}"/>
    <cellStyle name="60% - Accent6 3 4 2 2 3 3" xfId="27925" xr:uid="{00000000-0005-0000-0000-0000988D0000}"/>
    <cellStyle name="60% - Accent6 3 4 2 2 4" xfId="12565" xr:uid="{00000000-0005-0000-0000-0000998D0000}"/>
    <cellStyle name="60% - Accent6 3 4 2 2 4 2" xfId="33045" xr:uid="{00000000-0005-0000-0000-00009A8D0000}"/>
    <cellStyle name="60% - Accent6 3 4 2 2 5" xfId="22805" xr:uid="{00000000-0005-0000-0000-00009B8D0000}"/>
    <cellStyle name="60% - Accent6 3 4 2 3" xfId="3605" xr:uid="{00000000-0005-0000-0000-00009C8D0000}"/>
    <cellStyle name="60% - Accent6 3 4 2 3 2" xfId="8725" xr:uid="{00000000-0005-0000-0000-00009D8D0000}"/>
    <cellStyle name="60% - Accent6 3 4 2 3 2 2" xfId="18965" xr:uid="{00000000-0005-0000-0000-00009E8D0000}"/>
    <cellStyle name="60% - Accent6 3 4 2 3 2 2 2" xfId="39445" xr:uid="{00000000-0005-0000-0000-00009F8D0000}"/>
    <cellStyle name="60% - Accent6 3 4 2 3 2 3" xfId="29205" xr:uid="{00000000-0005-0000-0000-0000A08D0000}"/>
    <cellStyle name="60% - Accent6 3 4 2 3 3" xfId="13845" xr:uid="{00000000-0005-0000-0000-0000A18D0000}"/>
    <cellStyle name="60% - Accent6 3 4 2 3 3 2" xfId="34325" xr:uid="{00000000-0005-0000-0000-0000A28D0000}"/>
    <cellStyle name="60% - Accent6 3 4 2 3 4" xfId="24085" xr:uid="{00000000-0005-0000-0000-0000A38D0000}"/>
    <cellStyle name="60% - Accent6 3 4 2 4" xfId="6165" xr:uid="{00000000-0005-0000-0000-0000A48D0000}"/>
    <cellStyle name="60% - Accent6 3 4 2 4 2" xfId="16405" xr:uid="{00000000-0005-0000-0000-0000A58D0000}"/>
    <cellStyle name="60% - Accent6 3 4 2 4 2 2" xfId="36885" xr:uid="{00000000-0005-0000-0000-0000A68D0000}"/>
    <cellStyle name="60% - Accent6 3 4 2 4 3" xfId="26645" xr:uid="{00000000-0005-0000-0000-0000A78D0000}"/>
    <cellStyle name="60% - Accent6 3 4 2 5" xfId="11285" xr:uid="{00000000-0005-0000-0000-0000A88D0000}"/>
    <cellStyle name="60% - Accent6 3 4 2 5 2" xfId="31765" xr:uid="{00000000-0005-0000-0000-0000A98D0000}"/>
    <cellStyle name="60% - Accent6 3 4 2 6" xfId="21525" xr:uid="{00000000-0005-0000-0000-0000AA8D0000}"/>
    <cellStyle name="60% - Accent6 3 4 3" xfId="1685" xr:uid="{00000000-0005-0000-0000-0000AB8D0000}"/>
    <cellStyle name="60% - Accent6 3 4 3 2" xfId="4245" xr:uid="{00000000-0005-0000-0000-0000AC8D0000}"/>
    <cellStyle name="60% - Accent6 3 4 3 2 2" xfId="9365" xr:uid="{00000000-0005-0000-0000-0000AD8D0000}"/>
    <cellStyle name="60% - Accent6 3 4 3 2 2 2" xfId="19605" xr:uid="{00000000-0005-0000-0000-0000AE8D0000}"/>
    <cellStyle name="60% - Accent6 3 4 3 2 2 2 2" xfId="40085" xr:uid="{00000000-0005-0000-0000-0000AF8D0000}"/>
    <cellStyle name="60% - Accent6 3 4 3 2 2 3" xfId="29845" xr:uid="{00000000-0005-0000-0000-0000B08D0000}"/>
    <cellStyle name="60% - Accent6 3 4 3 2 3" xfId="14485" xr:uid="{00000000-0005-0000-0000-0000B18D0000}"/>
    <cellStyle name="60% - Accent6 3 4 3 2 3 2" xfId="34965" xr:uid="{00000000-0005-0000-0000-0000B28D0000}"/>
    <cellStyle name="60% - Accent6 3 4 3 2 4" xfId="24725" xr:uid="{00000000-0005-0000-0000-0000B38D0000}"/>
    <cellStyle name="60% - Accent6 3 4 3 3" xfId="6805" xr:uid="{00000000-0005-0000-0000-0000B48D0000}"/>
    <cellStyle name="60% - Accent6 3 4 3 3 2" xfId="17045" xr:uid="{00000000-0005-0000-0000-0000B58D0000}"/>
    <cellStyle name="60% - Accent6 3 4 3 3 2 2" xfId="37525" xr:uid="{00000000-0005-0000-0000-0000B68D0000}"/>
    <cellStyle name="60% - Accent6 3 4 3 3 3" xfId="27285" xr:uid="{00000000-0005-0000-0000-0000B78D0000}"/>
    <cellStyle name="60% - Accent6 3 4 3 4" xfId="11925" xr:uid="{00000000-0005-0000-0000-0000B88D0000}"/>
    <cellStyle name="60% - Accent6 3 4 3 4 2" xfId="32405" xr:uid="{00000000-0005-0000-0000-0000B98D0000}"/>
    <cellStyle name="60% - Accent6 3 4 3 5" xfId="22165" xr:uid="{00000000-0005-0000-0000-0000BA8D0000}"/>
    <cellStyle name="60% - Accent6 3 4 4" xfId="2965" xr:uid="{00000000-0005-0000-0000-0000BB8D0000}"/>
    <cellStyle name="60% - Accent6 3 4 4 2" xfId="8085" xr:uid="{00000000-0005-0000-0000-0000BC8D0000}"/>
    <cellStyle name="60% - Accent6 3 4 4 2 2" xfId="18325" xr:uid="{00000000-0005-0000-0000-0000BD8D0000}"/>
    <cellStyle name="60% - Accent6 3 4 4 2 2 2" xfId="38805" xr:uid="{00000000-0005-0000-0000-0000BE8D0000}"/>
    <cellStyle name="60% - Accent6 3 4 4 2 3" xfId="28565" xr:uid="{00000000-0005-0000-0000-0000BF8D0000}"/>
    <cellStyle name="60% - Accent6 3 4 4 3" xfId="13205" xr:uid="{00000000-0005-0000-0000-0000C08D0000}"/>
    <cellStyle name="60% - Accent6 3 4 4 3 2" xfId="33685" xr:uid="{00000000-0005-0000-0000-0000C18D0000}"/>
    <cellStyle name="60% - Accent6 3 4 4 4" xfId="23445" xr:uid="{00000000-0005-0000-0000-0000C28D0000}"/>
    <cellStyle name="60% - Accent6 3 4 5" xfId="5525" xr:uid="{00000000-0005-0000-0000-0000C38D0000}"/>
    <cellStyle name="60% - Accent6 3 4 5 2" xfId="15765" xr:uid="{00000000-0005-0000-0000-0000C48D0000}"/>
    <cellStyle name="60% - Accent6 3 4 5 2 2" xfId="36245" xr:uid="{00000000-0005-0000-0000-0000C58D0000}"/>
    <cellStyle name="60% - Accent6 3 4 5 3" xfId="26005" xr:uid="{00000000-0005-0000-0000-0000C68D0000}"/>
    <cellStyle name="60% - Accent6 3 4 6" xfId="10645" xr:uid="{00000000-0005-0000-0000-0000C78D0000}"/>
    <cellStyle name="60% - Accent6 3 4 6 2" xfId="31125" xr:uid="{00000000-0005-0000-0000-0000C88D0000}"/>
    <cellStyle name="60% - Accent6 3 4 7" xfId="20885" xr:uid="{00000000-0005-0000-0000-0000C98D0000}"/>
    <cellStyle name="60% - Accent6 3 5" xfId="725" xr:uid="{00000000-0005-0000-0000-0000CA8D0000}"/>
    <cellStyle name="60% - Accent6 3 5 2" xfId="2005" xr:uid="{00000000-0005-0000-0000-0000CB8D0000}"/>
    <cellStyle name="60% - Accent6 3 5 2 2" xfId="4565" xr:uid="{00000000-0005-0000-0000-0000CC8D0000}"/>
    <cellStyle name="60% - Accent6 3 5 2 2 2" xfId="9685" xr:uid="{00000000-0005-0000-0000-0000CD8D0000}"/>
    <cellStyle name="60% - Accent6 3 5 2 2 2 2" xfId="19925" xr:uid="{00000000-0005-0000-0000-0000CE8D0000}"/>
    <cellStyle name="60% - Accent6 3 5 2 2 2 2 2" xfId="40405" xr:uid="{00000000-0005-0000-0000-0000CF8D0000}"/>
    <cellStyle name="60% - Accent6 3 5 2 2 2 3" xfId="30165" xr:uid="{00000000-0005-0000-0000-0000D08D0000}"/>
    <cellStyle name="60% - Accent6 3 5 2 2 3" xfId="14805" xr:uid="{00000000-0005-0000-0000-0000D18D0000}"/>
    <cellStyle name="60% - Accent6 3 5 2 2 3 2" xfId="35285" xr:uid="{00000000-0005-0000-0000-0000D28D0000}"/>
    <cellStyle name="60% - Accent6 3 5 2 2 4" xfId="25045" xr:uid="{00000000-0005-0000-0000-0000D38D0000}"/>
    <cellStyle name="60% - Accent6 3 5 2 3" xfId="7125" xr:uid="{00000000-0005-0000-0000-0000D48D0000}"/>
    <cellStyle name="60% - Accent6 3 5 2 3 2" xfId="17365" xr:uid="{00000000-0005-0000-0000-0000D58D0000}"/>
    <cellStyle name="60% - Accent6 3 5 2 3 2 2" xfId="37845" xr:uid="{00000000-0005-0000-0000-0000D68D0000}"/>
    <cellStyle name="60% - Accent6 3 5 2 3 3" xfId="27605" xr:uid="{00000000-0005-0000-0000-0000D78D0000}"/>
    <cellStyle name="60% - Accent6 3 5 2 4" xfId="12245" xr:uid="{00000000-0005-0000-0000-0000D88D0000}"/>
    <cellStyle name="60% - Accent6 3 5 2 4 2" xfId="32725" xr:uid="{00000000-0005-0000-0000-0000D98D0000}"/>
    <cellStyle name="60% - Accent6 3 5 2 5" xfId="22485" xr:uid="{00000000-0005-0000-0000-0000DA8D0000}"/>
    <cellStyle name="60% - Accent6 3 5 3" xfId="3285" xr:uid="{00000000-0005-0000-0000-0000DB8D0000}"/>
    <cellStyle name="60% - Accent6 3 5 3 2" xfId="8405" xr:uid="{00000000-0005-0000-0000-0000DC8D0000}"/>
    <cellStyle name="60% - Accent6 3 5 3 2 2" xfId="18645" xr:uid="{00000000-0005-0000-0000-0000DD8D0000}"/>
    <cellStyle name="60% - Accent6 3 5 3 2 2 2" xfId="39125" xr:uid="{00000000-0005-0000-0000-0000DE8D0000}"/>
    <cellStyle name="60% - Accent6 3 5 3 2 3" xfId="28885" xr:uid="{00000000-0005-0000-0000-0000DF8D0000}"/>
    <cellStyle name="60% - Accent6 3 5 3 3" xfId="13525" xr:uid="{00000000-0005-0000-0000-0000E08D0000}"/>
    <cellStyle name="60% - Accent6 3 5 3 3 2" xfId="34005" xr:uid="{00000000-0005-0000-0000-0000E18D0000}"/>
    <cellStyle name="60% - Accent6 3 5 3 4" xfId="23765" xr:uid="{00000000-0005-0000-0000-0000E28D0000}"/>
    <cellStyle name="60% - Accent6 3 5 4" xfId="5845" xr:uid="{00000000-0005-0000-0000-0000E38D0000}"/>
    <cellStyle name="60% - Accent6 3 5 4 2" xfId="16085" xr:uid="{00000000-0005-0000-0000-0000E48D0000}"/>
    <cellStyle name="60% - Accent6 3 5 4 2 2" xfId="36565" xr:uid="{00000000-0005-0000-0000-0000E58D0000}"/>
    <cellStyle name="60% - Accent6 3 5 4 3" xfId="26325" xr:uid="{00000000-0005-0000-0000-0000E68D0000}"/>
    <cellStyle name="60% - Accent6 3 5 5" xfId="10965" xr:uid="{00000000-0005-0000-0000-0000E78D0000}"/>
    <cellStyle name="60% - Accent6 3 5 5 2" xfId="31445" xr:uid="{00000000-0005-0000-0000-0000E88D0000}"/>
    <cellStyle name="60% - Accent6 3 5 6" xfId="21205" xr:uid="{00000000-0005-0000-0000-0000E98D0000}"/>
    <cellStyle name="60% - Accent6 3 6" xfId="1365" xr:uid="{00000000-0005-0000-0000-0000EA8D0000}"/>
    <cellStyle name="60% - Accent6 3 6 2" xfId="3925" xr:uid="{00000000-0005-0000-0000-0000EB8D0000}"/>
    <cellStyle name="60% - Accent6 3 6 2 2" xfId="9045" xr:uid="{00000000-0005-0000-0000-0000EC8D0000}"/>
    <cellStyle name="60% - Accent6 3 6 2 2 2" xfId="19285" xr:uid="{00000000-0005-0000-0000-0000ED8D0000}"/>
    <cellStyle name="60% - Accent6 3 6 2 2 2 2" xfId="39765" xr:uid="{00000000-0005-0000-0000-0000EE8D0000}"/>
    <cellStyle name="60% - Accent6 3 6 2 2 3" xfId="29525" xr:uid="{00000000-0005-0000-0000-0000EF8D0000}"/>
    <cellStyle name="60% - Accent6 3 6 2 3" xfId="14165" xr:uid="{00000000-0005-0000-0000-0000F08D0000}"/>
    <cellStyle name="60% - Accent6 3 6 2 3 2" xfId="34645" xr:uid="{00000000-0005-0000-0000-0000F18D0000}"/>
    <cellStyle name="60% - Accent6 3 6 2 4" xfId="24405" xr:uid="{00000000-0005-0000-0000-0000F28D0000}"/>
    <cellStyle name="60% - Accent6 3 6 3" xfId="6485" xr:uid="{00000000-0005-0000-0000-0000F38D0000}"/>
    <cellStyle name="60% - Accent6 3 6 3 2" xfId="16725" xr:uid="{00000000-0005-0000-0000-0000F48D0000}"/>
    <cellStyle name="60% - Accent6 3 6 3 2 2" xfId="37205" xr:uid="{00000000-0005-0000-0000-0000F58D0000}"/>
    <cellStyle name="60% - Accent6 3 6 3 3" xfId="26965" xr:uid="{00000000-0005-0000-0000-0000F68D0000}"/>
    <cellStyle name="60% - Accent6 3 6 4" xfId="11605" xr:uid="{00000000-0005-0000-0000-0000F78D0000}"/>
    <cellStyle name="60% - Accent6 3 6 4 2" xfId="32085" xr:uid="{00000000-0005-0000-0000-0000F88D0000}"/>
    <cellStyle name="60% - Accent6 3 6 5" xfId="21845" xr:uid="{00000000-0005-0000-0000-0000F98D0000}"/>
    <cellStyle name="60% - Accent6 3 7" xfId="2645" xr:uid="{00000000-0005-0000-0000-0000FA8D0000}"/>
    <cellStyle name="60% - Accent6 3 7 2" xfId="7765" xr:uid="{00000000-0005-0000-0000-0000FB8D0000}"/>
    <cellStyle name="60% - Accent6 3 7 2 2" xfId="18005" xr:uid="{00000000-0005-0000-0000-0000FC8D0000}"/>
    <cellStyle name="60% - Accent6 3 7 2 2 2" xfId="38485" xr:uid="{00000000-0005-0000-0000-0000FD8D0000}"/>
    <cellStyle name="60% - Accent6 3 7 2 3" xfId="28245" xr:uid="{00000000-0005-0000-0000-0000FE8D0000}"/>
    <cellStyle name="60% - Accent6 3 7 3" xfId="12885" xr:uid="{00000000-0005-0000-0000-0000FF8D0000}"/>
    <cellStyle name="60% - Accent6 3 7 3 2" xfId="33365" xr:uid="{00000000-0005-0000-0000-0000008E0000}"/>
    <cellStyle name="60% - Accent6 3 7 4" xfId="23125" xr:uid="{00000000-0005-0000-0000-0000018E0000}"/>
    <cellStyle name="60% - Accent6 3 8" xfId="5205" xr:uid="{00000000-0005-0000-0000-0000028E0000}"/>
    <cellStyle name="60% - Accent6 3 8 2" xfId="15445" xr:uid="{00000000-0005-0000-0000-0000038E0000}"/>
    <cellStyle name="60% - Accent6 3 8 2 2" xfId="35925" xr:uid="{00000000-0005-0000-0000-0000048E0000}"/>
    <cellStyle name="60% - Accent6 3 8 3" xfId="25685" xr:uid="{00000000-0005-0000-0000-0000058E0000}"/>
    <cellStyle name="60% - Accent6 3 9" xfId="10325" xr:uid="{00000000-0005-0000-0000-0000068E0000}"/>
    <cellStyle name="60% - Accent6 3 9 2" xfId="30805" xr:uid="{00000000-0005-0000-0000-0000078E0000}"/>
    <cellStyle name="60% - Accent6 4" xfId="125" xr:uid="{00000000-0005-0000-0000-0000088E0000}"/>
    <cellStyle name="60% - Accent6 4 2" xfId="285" xr:uid="{00000000-0005-0000-0000-0000098E0000}"/>
    <cellStyle name="60% - Accent6 4 2 2" xfId="605" xr:uid="{00000000-0005-0000-0000-00000A8E0000}"/>
    <cellStyle name="60% - Accent6 4 2 2 2" xfId="1245" xr:uid="{00000000-0005-0000-0000-00000B8E0000}"/>
    <cellStyle name="60% - Accent6 4 2 2 2 2" xfId="2525" xr:uid="{00000000-0005-0000-0000-00000C8E0000}"/>
    <cellStyle name="60% - Accent6 4 2 2 2 2 2" xfId="5085" xr:uid="{00000000-0005-0000-0000-00000D8E0000}"/>
    <cellStyle name="60% - Accent6 4 2 2 2 2 2 2" xfId="10205" xr:uid="{00000000-0005-0000-0000-00000E8E0000}"/>
    <cellStyle name="60% - Accent6 4 2 2 2 2 2 2 2" xfId="20445" xr:uid="{00000000-0005-0000-0000-00000F8E0000}"/>
    <cellStyle name="60% - Accent6 4 2 2 2 2 2 2 2 2" xfId="40925" xr:uid="{00000000-0005-0000-0000-0000108E0000}"/>
    <cellStyle name="60% - Accent6 4 2 2 2 2 2 2 3" xfId="30685" xr:uid="{00000000-0005-0000-0000-0000118E0000}"/>
    <cellStyle name="60% - Accent6 4 2 2 2 2 2 3" xfId="15325" xr:uid="{00000000-0005-0000-0000-0000128E0000}"/>
    <cellStyle name="60% - Accent6 4 2 2 2 2 2 3 2" xfId="35805" xr:uid="{00000000-0005-0000-0000-0000138E0000}"/>
    <cellStyle name="60% - Accent6 4 2 2 2 2 2 4" xfId="25565" xr:uid="{00000000-0005-0000-0000-0000148E0000}"/>
    <cellStyle name="60% - Accent6 4 2 2 2 2 3" xfId="7645" xr:uid="{00000000-0005-0000-0000-0000158E0000}"/>
    <cellStyle name="60% - Accent6 4 2 2 2 2 3 2" xfId="17885" xr:uid="{00000000-0005-0000-0000-0000168E0000}"/>
    <cellStyle name="60% - Accent6 4 2 2 2 2 3 2 2" xfId="38365" xr:uid="{00000000-0005-0000-0000-0000178E0000}"/>
    <cellStyle name="60% - Accent6 4 2 2 2 2 3 3" xfId="28125" xr:uid="{00000000-0005-0000-0000-0000188E0000}"/>
    <cellStyle name="60% - Accent6 4 2 2 2 2 4" xfId="12765" xr:uid="{00000000-0005-0000-0000-0000198E0000}"/>
    <cellStyle name="60% - Accent6 4 2 2 2 2 4 2" xfId="33245" xr:uid="{00000000-0005-0000-0000-00001A8E0000}"/>
    <cellStyle name="60% - Accent6 4 2 2 2 2 5" xfId="23005" xr:uid="{00000000-0005-0000-0000-00001B8E0000}"/>
    <cellStyle name="60% - Accent6 4 2 2 2 3" xfId="3805" xr:uid="{00000000-0005-0000-0000-00001C8E0000}"/>
    <cellStyle name="60% - Accent6 4 2 2 2 3 2" xfId="8925" xr:uid="{00000000-0005-0000-0000-00001D8E0000}"/>
    <cellStyle name="60% - Accent6 4 2 2 2 3 2 2" xfId="19165" xr:uid="{00000000-0005-0000-0000-00001E8E0000}"/>
    <cellStyle name="60% - Accent6 4 2 2 2 3 2 2 2" xfId="39645" xr:uid="{00000000-0005-0000-0000-00001F8E0000}"/>
    <cellStyle name="60% - Accent6 4 2 2 2 3 2 3" xfId="29405" xr:uid="{00000000-0005-0000-0000-0000208E0000}"/>
    <cellStyle name="60% - Accent6 4 2 2 2 3 3" xfId="14045" xr:uid="{00000000-0005-0000-0000-0000218E0000}"/>
    <cellStyle name="60% - Accent6 4 2 2 2 3 3 2" xfId="34525" xr:uid="{00000000-0005-0000-0000-0000228E0000}"/>
    <cellStyle name="60% - Accent6 4 2 2 2 3 4" xfId="24285" xr:uid="{00000000-0005-0000-0000-0000238E0000}"/>
    <cellStyle name="60% - Accent6 4 2 2 2 4" xfId="6365" xr:uid="{00000000-0005-0000-0000-0000248E0000}"/>
    <cellStyle name="60% - Accent6 4 2 2 2 4 2" xfId="16605" xr:uid="{00000000-0005-0000-0000-0000258E0000}"/>
    <cellStyle name="60% - Accent6 4 2 2 2 4 2 2" xfId="37085" xr:uid="{00000000-0005-0000-0000-0000268E0000}"/>
    <cellStyle name="60% - Accent6 4 2 2 2 4 3" xfId="26845" xr:uid="{00000000-0005-0000-0000-0000278E0000}"/>
    <cellStyle name="60% - Accent6 4 2 2 2 5" xfId="11485" xr:uid="{00000000-0005-0000-0000-0000288E0000}"/>
    <cellStyle name="60% - Accent6 4 2 2 2 5 2" xfId="31965" xr:uid="{00000000-0005-0000-0000-0000298E0000}"/>
    <cellStyle name="60% - Accent6 4 2 2 2 6" xfId="21725" xr:uid="{00000000-0005-0000-0000-00002A8E0000}"/>
    <cellStyle name="60% - Accent6 4 2 2 3" xfId="1885" xr:uid="{00000000-0005-0000-0000-00002B8E0000}"/>
    <cellStyle name="60% - Accent6 4 2 2 3 2" xfId="4445" xr:uid="{00000000-0005-0000-0000-00002C8E0000}"/>
    <cellStyle name="60% - Accent6 4 2 2 3 2 2" xfId="9565" xr:uid="{00000000-0005-0000-0000-00002D8E0000}"/>
    <cellStyle name="60% - Accent6 4 2 2 3 2 2 2" xfId="19805" xr:uid="{00000000-0005-0000-0000-00002E8E0000}"/>
    <cellStyle name="60% - Accent6 4 2 2 3 2 2 2 2" xfId="40285" xr:uid="{00000000-0005-0000-0000-00002F8E0000}"/>
    <cellStyle name="60% - Accent6 4 2 2 3 2 2 3" xfId="30045" xr:uid="{00000000-0005-0000-0000-0000308E0000}"/>
    <cellStyle name="60% - Accent6 4 2 2 3 2 3" xfId="14685" xr:uid="{00000000-0005-0000-0000-0000318E0000}"/>
    <cellStyle name="60% - Accent6 4 2 2 3 2 3 2" xfId="35165" xr:uid="{00000000-0005-0000-0000-0000328E0000}"/>
    <cellStyle name="60% - Accent6 4 2 2 3 2 4" xfId="24925" xr:uid="{00000000-0005-0000-0000-0000338E0000}"/>
    <cellStyle name="60% - Accent6 4 2 2 3 3" xfId="7005" xr:uid="{00000000-0005-0000-0000-0000348E0000}"/>
    <cellStyle name="60% - Accent6 4 2 2 3 3 2" xfId="17245" xr:uid="{00000000-0005-0000-0000-0000358E0000}"/>
    <cellStyle name="60% - Accent6 4 2 2 3 3 2 2" xfId="37725" xr:uid="{00000000-0005-0000-0000-0000368E0000}"/>
    <cellStyle name="60% - Accent6 4 2 2 3 3 3" xfId="27485" xr:uid="{00000000-0005-0000-0000-0000378E0000}"/>
    <cellStyle name="60% - Accent6 4 2 2 3 4" xfId="12125" xr:uid="{00000000-0005-0000-0000-0000388E0000}"/>
    <cellStyle name="60% - Accent6 4 2 2 3 4 2" xfId="32605" xr:uid="{00000000-0005-0000-0000-0000398E0000}"/>
    <cellStyle name="60% - Accent6 4 2 2 3 5" xfId="22365" xr:uid="{00000000-0005-0000-0000-00003A8E0000}"/>
    <cellStyle name="60% - Accent6 4 2 2 4" xfId="3165" xr:uid="{00000000-0005-0000-0000-00003B8E0000}"/>
    <cellStyle name="60% - Accent6 4 2 2 4 2" xfId="8285" xr:uid="{00000000-0005-0000-0000-00003C8E0000}"/>
    <cellStyle name="60% - Accent6 4 2 2 4 2 2" xfId="18525" xr:uid="{00000000-0005-0000-0000-00003D8E0000}"/>
    <cellStyle name="60% - Accent6 4 2 2 4 2 2 2" xfId="39005" xr:uid="{00000000-0005-0000-0000-00003E8E0000}"/>
    <cellStyle name="60% - Accent6 4 2 2 4 2 3" xfId="28765" xr:uid="{00000000-0005-0000-0000-00003F8E0000}"/>
    <cellStyle name="60% - Accent6 4 2 2 4 3" xfId="13405" xr:uid="{00000000-0005-0000-0000-0000408E0000}"/>
    <cellStyle name="60% - Accent6 4 2 2 4 3 2" xfId="33885" xr:uid="{00000000-0005-0000-0000-0000418E0000}"/>
    <cellStyle name="60% - Accent6 4 2 2 4 4" xfId="23645" xr:uid="{00000000-0005-0000-0000-0000428E0000}"/>
    <cellStyle name="60% - Accent6 4 2 2 5" xfId="5725" xr:uid="{00000000-0005-0000-0000-0000438E0000}"/>
    <cellStyle name="60% - Accent6 4 2 2 5 2" xfId="15965" xr:uid="{00000000-0005-0000-0000-0000448E0000}"/>
    <cellStyle name="60% - Accent6 4 2 2 5 2 2" xfId="36445" xr:uid="{00000000-0005-0000-0000-0000458E0000}"/>
    <cellStyle name="60% - Accent6 4 2 2 5 3" xfId="26205" xr:uid="{00000000-0005-0000-0000-0000468E0000}"/>
    <cellStyle name="60% - Accent6 4 2 2 6" xfId="10845" xr:uid="{00000000-0005-0000-0000-0000478E0000}"/>
    <cellStyle name="60% - Accent6 4 2 2 6 2" xfId="31325" xr:uid="{00000000-0005-0000-0000-0000488E0000}"/>
    <cellStyle name="60% - Accent6 4 2 2 7" xfId="21085" xr:uid="{00000000-0005-0000-0000-0000498E0000}"/>
    <cellStyle name="60% - Accent6 4 2 3" xfId="925" xr:uid="{00000000-0005-0000-0000-00004A8E0000}"/>
    <cellStyle name="60% - Accent6 4 2 3 2" xfId="2205" xr:uid="{00000000-0005-0000-0000-00004B8E0000}"/>
    <cellStyle name="60% - Accent6 4 2 3 2 2" xfId="4765" xr:uid="{00000000-0005-0000-0000-00004C8E0000}"/>
    <cellStyle name="60% - Accent6 4 2 3 2 2 2" xfId="9885" xr:uid="{00000000-0005-0000-0000-00004D8E0000}"/>
    <cellStyle name="60% - Accent6 4 2 3 2 2 2 2" xfId="20125" xr:uid="{00000000-0005-0000-0000-00004E8E0000}"/>
    <cellStyle name="60% - Accent6 4 2 3 2 2 2 2 2" xfId="40605" xr:uid="{00000000-0005-0000-0000-00004F8E0000}"/>
    <cellStyle name="60% - Accent6 4 2 3 2 2 2 3" xfId="30365" xr:uid="{00000000-0005-0000-0000-0000508E0000}"/>
    <cellStyle name="60% - Accent6 4 2 3 2 2 3" xfId="15005" xr:uid="{00000000-0005-0000-0000-0000518E0000}"/>
    <cellStyle name="60% - Accent6 4 2 3 2 2 3 2" xfId="35485" xr:uid="{00000000-0005-0000-0000-0000528E0000}"/>
    <cellStyle name="60% - Accent6 4 2 3 2 2 4" xfId="25245" xr:uid="{00000000-0005-0000-0000-0000538E0000}"/>
    <cellStyle name="60% - Accent6 4 2 3 2 3" xfId="7325" xr:uid="{00000000-0005-0000-0000-0000548E0000}"/>
    <cellStyle name="60% - Accent6 4 2 3 2 3 2" xfId="17565" xr:uid="{00000000-0005-0000-0000-0000558E0000}"/>
    <cellStyle name="60% - Accent6 4 2 3 2 3 2 2" xfId="38045" xr:uid="{00000000-0005-0000-0000-0000568E0000}"/>
    <cellStyle name="60% - Accent6 4 2 3 2 3 3" xfId="27805" xr:uid="{00000000-0005-0000-0000-0000578E0000}"/>
    <cellStyle name="60% - Accent6 4 2 3 2 4" xfId="12445" xr:uid="{00000000-0005-0000-0000-0000588E0000}"/>
    <cellStyle name="60% - Accent6 4 2 3 2 4 2" xfId="32925" xr:uid="{00000000-0005-0000-0000-0000598E0000}"/>
    <cellStyle name="60% - Accent6 4 2 3 2 5" xfId="22685" xr:uid="{00000000-0005-0000-0000-00005A8E0000}"/>
    <cellStyle name="60% - Accent6 4 2 3 3" xfId="3485" xr:uid="{00000000-0005-0000-0000-00005B8E0000}"/>
    <cellStyle name="60% - Accent6 4 2 3 3 2" xfId="8605" xr:uid="{00000000-0005-0000-0000-00005C8E0000}"/>
    <cellStyle name="60% - Accent6 4 2 3 3 2 2" xfId="18845" xr:uid="{00000000-0005-0000-0000-00005D8E0000}"/>
    <cellStyle name="60% - Accent6 4 2 3 3 2 2 2" xfId="39325" xr:uid="{00000000-0005-0000-0000-00005E8E0000}"/>
    <cellStyle name="60% - Accent6 4 2 3 3 2 3" xfId="29085" xr:uid="{00000000-0005-0000-0000-00005F8E0000}"/>
    <cellStyle name="60% - Accent6 4 2 3 3 3" xfId="13725" xr:uid="{00000000-0005-0000-0000-0000608E0000}"/>
    <cellStyle name="60% - Accent6 4 2 3 3 3 2" xfId="34205" xr:uid="{00000000-0005-0000-0000-0000618E0000}"/>
    <cellStyle name="60% - Accent6 4 2 3 3 4" xfId="23965" xr:uid="{00000000-0005-0000-0000-0000628E0000}"/>
    <cellStyle name="60% - Accent6 4 2 3 4" xfId="6045" xr:uid="{00000000-0005-0000-0000-0000638E0000}"/>
    <cellStyle name="60% - Accent6 4 2 3 4 2" xfId="16285" xr:uid="{00000000-0005-0000-0000-0000648E0000}"/>
    <cellStyle name="60% - Accent6 4 2 3 4 2 2" xfId="36765" xr:uid="{00000000-0005-0000-0000-0000658E0000}"/>
    <cellStyle name="60% - Accent6 4 2 3 4 3" xfId="26525" xr:uid="{00000000-0005-0000-0000-0000668E0000}"/>
    <cellStyle name="60% - Accent6 4 2 3 5" xfId="11165" xr:uid="{00000000-0005-0000-0000-0000678E0000}"/>
    <cellStyle name="60% - Accent6 4 2 3 5 2" xfId="31645" xr:uid="{00000000-0005-0000-0000-0000688E0000}"/>
    <cellStyle name="60% - Accent6 4 2 3 6" xfId="21405" xr:uid="{00000000-0005-0000-0000-0000698E0000}"/>
    <cellStyle name="60% - Accent6 4 2 4" xfId="1565" xr:uid="{00000000-0005-0000-0000-00006A8E0000}"/>
    <cellStyle name="60% - Accent6 4 2 4 2" xfId="4125" xr:uid="{00000000-0005-0000-0000-00006B8E0000}"/>
    <cellStyle name="60% - Accent6 4 2 4 2 2" xfId="9245" xr:uid="{00000000-0005-0000-0000-00006C8E0000}"/>
    <cellStyle name="60% - Accent6 4 2 4 2 2 2" xfId="19485" xr:uid="{00000000-0005-0000-0000-00006D8E0000}"/>
    <cellStyle name="60% - Accent6 4 2 4 2 2 2 2" xfId="39965" xr:uid="{00000000-0005-0000-0000-00006E8E0000}"/>
    <cellStyle name="60% - Accent6 4 2 4 2 2 3" xfId="29725" xr:uid="{00000000-0005-0000-0000-00006F8E0000}"/>
    <cellStyle name="60% - Accent6 4 2 4 2 3" xfId="14365" xr:uid="{00000000-0005-0000-0000-0000708E0000}"/>
    <cellStyle name="60% - Accent6 4 2 4 2 3 2" xfId="34845" xr:uid="{00000000-0005-0000-0000-0000718E0000}"/>
    <cellStyle name="60% - Accent6 4 2 4 2 4" xfId="24605" xr:uid="{00000000-0005-0000-0000-0000728E0000}"/>
    <cellStyle name="60% - Accent6 4 2 4 3" xfId="6685" xr:uid="{00000000-0005-0000-0000-0000738E0000}"/>
    <cellStyle name="60% - Accent6 4 2 4 3 2" xfId="16925" xr:uid="{00000000-0005-0000-0000-0000748E0000}"/>
    <cellStyle name="60% - Accent6 4 2 4 3 2 2" xfId="37405" xr:uid="{00000000-0005-0000-0000-0000758E0000}"/>
    <cellStyle name="60% - Accent6 4 2 4 3 3" xfId="27165" xr:uid="{00000000-0005-0000-0000-0000768E0000}"/>
    <cellStyle name="60% - Accent6 4 2 4 4" xfId="11805" xr:uid="{00000000-0005-0000-0000-0000778E0000}"/>
    <cellStyle name="60% - Accent6 4 2 4 4 2" xfId="32285" xr:uid="{00000000-0005-0000-0000-0000788E0000}"/>
    <cellStyle name="60% - Accent6 4 2 4 5" xfId="22045" xr:uid="{00000000-0005-0000-0000-0000798E0000}"/>
    <cellStyle name="60% - Accent6 4 2 5" xfId="2845" xr:uid="{00000000-0005-0000-0000-00007A8E0000}"/>
    <cellStyle name="60% - Accent6 4 2 5 2" xfId="7965" xr:uid="{00000000-0005-0000-0000-00007B8E0000}"/>
    <cellStyle name="60% - Accent6 4 2 5 2 2" xfId="18205" xr:uid="{00000000-0005-0000-0000-00007C8E0000}"/>
    <cellStyle name="60% - Accent6 4 2 5 2 2 2" xfId="38685" xr:uid="{00000000-0005-0000-0000-00007D8E0000}"/>
    <cellStyle name="60% - Accent6 4 2 5 2 3" xfId="28445" xr:uid="{00000000-0005-0000-0000-00007E8E0000}"/>
    <cellStyle name="60% - Accent6 4 2 5 3" xfId="13085" xr:uid="{00000000-0005-0000-0000-00007F8E0000}"/>
    <cellStyle name="60% - Accent6 4 2 5 3 2" xfId="33565" xr:uid="{00000000-0005-0000-0000-0000808E0000}"/>
    <cellStyle name="60% - Accent6 4 2 5 4" xfId="23325" xr:uid="{00000000-0005-0000-0000-0000818E0000}"/>
    <cellStyle name="60% - Accent6 4 2 6" xfId="5405" xr:uid="{00000000-0005-0000-0000-0000828E0000}"/>
    <cellStyle name="60% - Accent6 4 2 6 2" xfId="15645" xr:uid="{00000000-0005-0000-0000-0000838E0000}"/>
    <cellStyle name="60% - Accent6 4 2 6 2 2" xfId="36125" xr:uid="{00000000-0005-0000-0000-0000848E0000}"/>
    <cellStyle name="60% - Accent6 4 2 6 3" xfId="25885" xr:uid="{00000000-0005-0000-0000-0000858E0000}"/>
    <cellStyle name="60% - Accent6 4 2 7" xfId="10525" xr:uid="{00000000-0005-0000-0000-0000868E0000}"/>
    <cellStyle name="60% - Accent6 4 2 7 2" xfId="31005" xr:uid="{00000000-0005-0000-0000-0000878E0000}"/>
    <cellStyle name="60% - Accent6 4 2 8" xfId="20765" xr:uid="{00000000-0005-0000-0000-0000888E0000}"/>
    <cellStyle name="60% - Accent6 4 3" xfId="445" xr:uid="{00000000-0005-0000-0000-0000898E0000}"/>
    <cellStyle name="60% - Accent6 4 3 2" xfId="1085" xr:uid="{00000000-0005-0000-0000-00008A8E0000}"/>
    <cellStyle name="60% - Accent6 4 3 2 2" xfId="2365" xr:uid="{00000000-0005-0000-0000-00008B8E0000}"/>
    <cellStyle name="60% - Accent6 4 3 2 2 2" xfId="4925" xr:uid="{00000000-0005-0000-0000-00008C8E0000}"/>
    <cellStyle name="60% - Accent6 4 3 2 2 2 2" xfId="10045" xr:uid="{00000000-0005-0000-0000-00008D8E0000}"/>
    <cellStyle name="60% - Accent6 4 3 2 2 2 2 2" xfId="20285" xr:uid="{00000000-0005-0000-0000-00008E8E0000}"/>
    <cellStyle name="60% - Accent6 4 3 2 2 2 2 2 2" xfId="40765" xr:uid="{00000000-0005-0000-0000-00008F8E0000}"/>
    <cellStyle name="60% - Accent6 4 3 2 2 2 2 3" xfId="30525" xr:uid="{00000000-0005-0000-0000-0000908E0000}"/>
    <cellStyle name="60% - Accent6 4 3 2 2 2 3" xfId="15165" xr:uid="{00000000-0005-0000-0000-0000918E0000}"/>
    <cellStyle name="60% - Accent6 4 3 2 2 2 3 2" xfId="35645" xr:uid="{00000000-0005-0000-0000-0000928E0000}"/>
    <cellStyle name="60% - Accent6 4 3 2 2 2 4" xfId="25405" xr:uid="{00000000-0005-0000-0000-0000938E0000}"/>
    <cellStyle name="60% - Accent6 4 3 2 2 3" xfId="7485" xr:uid="{00000000-0005-0000-0000-0000948E0000}"/>
    <cellStyle name="60% - Accent6 4 3 2 2 3 2" xfId="17725" xr:uid="{00000000-0005-0000-0000-0000958E0000}"/>
    <cellStyle name="60% - Accent6 4 3 2 2 3 2 2" xfId="38205" xr:uid="{00000000-0005-0000-0000-0000968E0000}"/>
    <cellStyle name="60% - Accent6 4 3 2 2 3 3" xfId="27965" xr:uid="{00000000-0005-0000-0000-0000978E0000}"/>
    <cellStyle name="60% - Accent6 4 3 2 2 4" xfId="12605" xr:uid="{00000000-0005-0000-0000-0000988E0000}"/>
    <cellStyle name="60% - Accent6 4 3 2 2 4 2" xfId="33085" xr:uid="{00000000-0005-0000-0000-0000998E0000}"/>
    <cellStyle name="60% - Accent6 4 3 2 2 5" xfId="22845" xr:uid="{00000000-0005-0000-0000-00009A8E0000}"/>
    <cellStyle name="60% - Accent6 4 3 2 3" xfId="3645" xr:uid="{00000000-0005-0000-0000-00009B8E0000}"/>
    <cellStyle name="60% - Accent6 4 3 2 3 2" xfId="8765" xr:uid="{00000000-0005-0000-0000-00009C8E0000}"/>
    <cellStyle name="60% - Accent6 4 3 2 3 2 2" xfId="19005" xr:uid="{00000000-0005-0000-0000-00009D8E0000}"/>
    <cellStyle name="60% - Accent6 4 3 2 3 2 2 2" xfId="39485" xr:uid="{00000000-0005-0000-0000-00009E8E0000}"/>
    <cellStyle name="60% - Accent6 4 3 2 3 2 3" xfId="29245" xr:uid="{00000000-0005-0000-0000-00009F8E0000}"/>
    <cellStyle name="60% - Accent6 4 3 2 3 3" xfId="13885" xr:uid="{00000000-0005-0000-0000-0000A08E0000}"/>
    <cellStyle name="60% - Accent6 4 3 2 3 3 2" xfId="34365" xr:uid="{00000000-0005-0000-0000-0000A18E0000}"/>
    <cellStyle name="60% - Accent6 4 3 2 3 4" xfId="24125" xr:uid="{00000000-0005-0000-0000-0000A28E0000}"/>
    <cellStyle name="60% - Accent6 4 3 2 4" xfId="6205" xr:uid="{00000000-0005-0000-0000-0000A38E0000}"/>
    <cellStyle name="60% - Accent6 4 3 2 4 2" xfId="16445" xr:uid="{00000000-0005-0000-0000-0000A48E0000}"/>
    <cellStyle name="60% - Accent6 4 3 2 4 2 2" xfId="36925" xr:uid="{00000000-0005-0000-0000-0000A58E0000}"/>
    <cellStyle name="60% - Accent6 4 3 2 4 3" xfId="26685" xr:uid="{00000000-0005-0000-0000-0000A68E0000}"/>
    <cellStyle name="60% - Accent6 4 3 2 5" xfId="11325" xr:uid="{00000000-0005-0000-0000-0000A78E0000}"/>
    <cellStyle name="60% - Accent6 4 3 2 5 2" xfId="31805" xr:uid="{00000000-0005-0000-0000-0000A88E0000}"/>
    <cellStyle name="60% - Accent6 4 3 2 6" xfId="21565" xr:uid="{00000000-0005-0000-0000-0000A98E0000}"/>
    <cellStyle name="60% - Accent6 4 3 3" xfId="1725" xr:uid="{00000000-0005-0000-0000-0000AA8E0000}"/>
    <cellStyle name="60% - Accent6 4 3 3 2" xfId="4285" xr:uid="{00000000-0005-0000-0000-0000AB8E0000}"/>
    <cellStyle name="60% - Accent6 4 3 3 2 2" xfId="9405" xr:uid="{00000000-0005-0000-0000-0000AC8E0000}"/>
    <cellStyle name="60% - Accent6 4 3 3 2 2 2" xfId="19645" xr:uid="{00000000-0005-0000-0000-0000AD8E0000}"/>
    <cellStyle name="60% - Accent6 4 3 3 2 2 2 2" xfId="40125" xr:uid="{00000000-0005-0000-0000-0000AE8E0000}"/>
    <cellStyle name="60% - Accent6 4 3 3 2 2 3" xfId="29885" xr:uid="{00000000-0005-0000-0000-0000AF8E0000}"/>
    <cellStyle name="60% - Accent6 4 3 3 2 3" xfId="14525" xr:uid="{00000000-0005-0000-0000-0000B08E0000}"/>
    <cellStyle name="60% - Accent6 4 3 3 2 3 2" xfId="35005" xr:uid="{00000000-0005-0000-0000-0000B18E0000}"/>
    <cellStyle name="60% - Accent6 4 3 3 2 4" xfId="24765" xr:uid="{00000000-0005-0000-0000-0000B28E0000}"/>
    <cellStyle name="60% - Accent6 4 3 3 3" xfId="6845" xr:uid="{00000000-0005-0000-0000-0000B38E0000}"/>
    <cellStyle name="60% - Accent6 4 3 3 3 2" xfId="17085" xr:uid="{00000000-0005-0000-0000-0000B48E0000}"/>
    <cellStyle name="60% - Accent6 4 3 3 3 2 2" xfId="37565" xr:uid="{00000000-0005-0000-0000-0000B58E0000}"/>
    <cellStyle name="60% - Accent6 4 3 3 3 3" xfId="27325" xr:uid="{00000000-0005-0000-0000-0000B68E0000}"/>
    <cellStyle name="60% - Accent6 4 3 3 4" xfId="11965" xr:uid="{00000000-0005-0000-0000-0000B78E0000}"/>
    <cellStyle name="60% - Accent6 4 3 3 4 2" xfId="32445" xr:uid="{00000000-0005-0000-0000-0000B88E0000}"/>
    <cellStyle name="60% - Accent6 4 3 3 5" xfId="22205" xr:uid="{00000000-0005-0000-0000-0000B98E0000}"/>
    <cellStyle name="60% - Accent6 4 3 4" xfId="3005" xr:uid="{00000000-0005-0000-0000-0000BA8E0000}"/>
    <cellStyle name="60% - Accent6 4 3 4 2" xfId="8125" xr:uid="{00000000-0005-0000-0000-0000BB8E0000}"/>
    <cellStyle name="60% - Accent6 4 3 4 2 2" xfId="18365" xr:uid="{00000000-0005-0000-0000-0000BC8E0000}"/>
    <cellStyle name="60% - Accent6 4 3 4 2 2 2" xfId="38845" xr:uid="{00000000-0005-0000-0000-0000BD8E0000}"/>
    <cellStyle name="60% - Accent6 4 3 4 2 3" xfId="28605" xr:uid="{00000000-0005-0000-0000-0000BE8E0000}"/>
    <cellStyle name="60% - Accent6 4 3 4 3" xfId="13245" xr:uid="{00000000-0005-0000-0000-0000BF8E0000}"/>
    <cellStyle name="60% - Accent6 4 3 4 3 2" xfId="33725" xr:uid="{00000000-0005-0000-0000-0000C08E0000}"/>
    <cellStyle name="60% - Accent6 4 3 4 4" xfId="23485" xr:uid="{00000000-0005-0000-0000-0000C18E0000}"/>
    <cellStyle name="60% - Accent6 4 3 5" xfId="5565" xr:uid="{00000000-0005-0000-0000-0000C28E0000}"/>
    <cellStyle name="60% - Accent6 4 3 5 2" xfId="15805" xr:uid="{00000000-0005-0000-0000-0000C38E0000}"/>
    <cellStyle name="60% - Accent6 4 3 5 2 2" xfId="36285" xr:uid="{00000000-0005-0000-0000-0000C48E0000}"/>
    <cellStyle name="60% - Accent6 4 3 5 3" xfId="26045" xr:uid="{00000000-0005-0000-0000-0000C58E0000}"/>
    <cellStyle name="60% - Accent6 4 3 6" xfId="10685" xr:uid="{00000000-0005-0000-0000-0000C68E0000}"/>
    <cellStyle name="60% - Accent6 4 3 6 2" xfId="31165" xr:uid="{00000000-0005-0000-0000-0000C78E0000}"/>
    <cellStyle name="60% - Accent6 4 3 7" xfId="20925" xr:uid="{00000000-0005-0000-0000-0000C88E0000}"/>
    <cellStyle name="60% - Accent6 4 4" xfId="765" xr:uid="{00000000-0005-0000-0000-0000C98E0000}"/>
    <cellStyle name="60% - Accent6 4 4 2" xfId="2045" xr:uid="{00000000-0005-0000-0000-0000CA8E0000}"/>
    <cellStyle name="60% - Accent6 4 4 2 2" xfId="4605" xr:uid="{00000000-0005-0000-0000-0000CB8E0000}"/>
    <cellStyle name="60% - Accent6 4 4 2 2 2" xfId="9725" xr:uid="{00000000-0005-0000-0000-0000CC8E0000}"/>
    <cellStyle name="60% - Accent6 4 4 2 2 2 2" xfId="19965" xr:uid="{00000000-0005-0000-0000-0000CD8E0000}"/>
    <cellStyle name="60% - Accent6 4 4 2 2 2 2 2" xfId="40445" xr:uid="{00000000-0005-0000-0000-0000CE8E0000}"/>
    <cellStyle name="60% - Accent6 4 4 2 2 2 3" xfId="30205" xr:uid="{00000000-0005-0000-0000-0000CF8E0000}"/>
    <cellStyle name="60% - Accent6 4 4 2 2 3" xfId="14845" xr:uid="{00000000-0005-0000-0000-0000D08E0000}"/>
    <cellStyle name="60% - Accent6 4 4 2 2 3 2" xfId="35325" xr:uid="{00000000-0005-0000-0000-0000D18E0000}"/>
    <cellStyle name="60% - Accent6 4 4 2 2 4" xfId="25085" xr:uid="{00000000-0005-0000-0000-0000D28E0000}"/>
    <cellStyle name="60% - Accent6 4 4 2 3" xfId="7165" xr:uid="{00000000-0005-0000-0000-0000D38E0000}"/>
    <cellStyle name="60% - Accent6 4 4 2 3 2" xfId="17405" xr:uid="{00000000-0005-0000-0000-0000D48E0000}"/>
    <cellStyle name="60% - Accent6 4 4 2 3 2 2" xfId="37885" xr:uid="{00000000-0005-0000-0000-0000D58E0000}"/>
    <cellStyle name="60% - Accent6 4 4 2 3 3" xfId="27645" xr:uid="{00000000-0005-0000-0000-0000D68E0000}"/>
    <cellStyle name="60% - Accent6 4 4 2 4" xfId="12285" xr:uid="{00000000-0005-0000-0000-0000D78E0000}"/>
    <cellStyle name="60% - Accent6 4 4 2 4 2" xfId="32765" xr:uid="{00000000-0005-0000-0000-0000D88E0000}"/>
    <cellStyle name="60% - Accent6 4 4 2 5" xfId="22525" xr:uid="{00000000-0005-0000-0000-0000D98E0000}"/>
    <cellStyle name="60% - Accent6 4 4 3" xfId="3325" xr:uid="{00000000-0005-0000-0000-0000DA8E0000}"/>
    <cellStyle name="60% - Accent6 4 4 3 2" xfId="8445" xr:uid="{00000000-0005-0000-0000-0000DB8E0000}"/>
    <cellStyle name="60% - Accent6 4 4 3 2 2" xfId="18685" xr:uid="{00000000-0005-0000-0000-0000DC8E0000}"/>
    <cellStyle name="60% - Accent6 4 4 3 2 2 2" xfId="39165" xr:uid="{00000000-0005-0000-0000-0000DD8E0000}"/>
    <cellStyle name="60% - Accent6 4 4 3 2 3" xfId="28925" xr:uid="{00000000-0005-0000-0000-0000DE8E0000}"/>
    <cellStyle name="60% - Accent6 4 4 3 3" xfId="13565" xr:uid="{00000000-0005-0000-0000-0000DF8E0000}"/>
    <cellStyle name="60% - Accent6 4 4 3 3 2" xfId="34045" xr:uid="{00000000-0005-0000-0000-0000E08E0000}"/>
    <cellStyle name="60% - Accent6 4 4 3 4" xfId="23805" xr:uid="{00000000-0005-0000-0000-0000E18E0000}"/>
    <cellStyle name="60% - Accent6 4 4 4" xfId="5885" xr:uid="{00000000-0005-0000-0000-0000E28E0000}"/>
    <cellStyle name="60% - Accent6 4 4 4 2" xfId="16125" xr:uid="{00000000-0005-0000-0000-0000E38E0000}"/>
    <cellStyle name="60% - Accent6 4 4 4 2 2" xfId="36605" xr:uid="{00000000-0005-0000-0000-0000E48E0000}"/>
    <cellStyle name="60% - Accent6 4 4 4 3" xfId="26365" xr:uid="{00000000-0005-0000-0000-0000E58E0000}"/>
    <cellStyle name="60% - Accent6 4 4 5" xfId="11005" xr:uid="{00000000-0005-0000-0000-0000E68E0000}"/>
    <cellStyle name="60% - Accent6 4 4 5 2" xfId="31485" xr:uid="{00000000-0005-0000-0000-0000E78E0000}"/>
    <cellStyle name="60% - Accent6 4 4 6" xfId="21245" xr:uid="{00000000-0005-0000-0000-0000E88E0000}"/>
    <cellStyle name="60% - Accent6 4 5" xfId="1405" xr:uid="{00000000-0005-0000-0000-0000E98E0000}"/>
    <cellStyle name="60% - Accent6 4 5 2" xfId="3965" xr:uid="{00000000-0005-0000-0000-0000EA8E0000}"/>
    <cellStyle name="60% - Accent6 4 5 2 2" xfId="9085" xr:uid="{00000000-0005-0000-0000-0000EB8E0000}"/>
    <cellStyle name="60% - Accent6 4 5 2 2 2" xfId="19325" xr:uid="{00000000-0005-0000-0000-0000EC8E0000}"/>
    <cellStyle name="60% - Accent6 4 5 2 2 2 2" xfId="39805" xr:uid="{00000000-0005-0000-0000-0000ED8E0000}"/>
    <cellStyle name="60% - Accent6 4 5 2 2 3" xfId="29565" xr:uid="{00000000-0005-0000-0000-0000EE8E0000}"/>
    <cellStyle name="60% - Accent6 4 5 2 3" xfId="14205" xr:uid="{00000000-0005-0000-0000-0000EF8E0000}"/>
    <cellStyle name="60% - Accent6 4 5 2 3 2" xfId="34685" xr:uid="{00000000-0005-0000-0000-0000F08E0000}"/>
    <cellStyle name="60% - Accent6 4 5 2 4" xfId="24445" xr:uid="{00000000-0005-0000-0000-0000F18E0000}"/>
    <cellStyle name="60% - Accent6 4 5 3" xfId="6525" xr:uid="{00000000-0005-0000-0000-0000F28E0000}"/>
    <cellStyle name="60% - Accent6 4 5 3 2" xfId="16765" xr:uid="{00000000-0005-0000-0000-0000F38E0000}"/>
    <cellStyle name="60% - Accent6 4 5 3 2 2" xfId="37245" xr:uid="{00000000-0005-0000-0000-0000F48E0000}"/>
    <cellStyle name="60% - Accent6 4 5 3 3" xfId="27005" xr:uid="{00000000-0005-0000-0000-0000F58E0000}"/>
    <cellStyle name="60% - Accent6 4 5 4" xfId="11645" xr:uid="{00000000-0005-0000-0000-0000F68E0000}"/>
    <cellStyle name="60% - Accent6 4 5 4 2" xfId="32125" xr:uid="{00000000-0005-0000-0000-0000F78E0000}"/>
    <cellStyle name="60% - Accent6 4 5 5" xfId="21885" xr:uid="{00000000-0005-0000-0000-0000F88E0000}"/>
    <cellStyle name="60% - Accent6 4 6" xfId="2685" xr:uid="{00000000-0005-0000-0000-0000F98E0000}"/>
    <cellStyle name="60% - Accent6 4 6 2" xfId="7805" xr:uid="{00000000-0005-0000-0000-0000FA8E0000}"/>
    <cellStyle name="60% - Accent6 4 6 2 2" xfId="18045" xr:uid="{00000000-0005-0000-0000-0000FB8E0000}"/>
    <cellStyle name="60% - Accent6 4 6 2 2 2" xfId="38525" xr:uid="{00000000-0005-0000-0000-0000FC8E0000}"/>
    <cellStyle name="60% - Accent6 4 6 2 3" xfId="28285" xr:uid="{00000000-0005-0000-0000-0000FD8E0000}"/>
    <cellStyle name="60% - Accent6 4 6 3" xfId="12925" xr:uid="{00000000-0005-0000-0000-0000FE8E0000}"/>
    <cellStyle name="60% - Accent6 4 6 3 2" xfId="33405" xr:uid="{00000000-0005-0000-0000-0000FF8E0000}"/>
    <cellStyle name="60% - Accent6 4 6 4" xfId="23165" xr:uid="{00000000-0005-0000-0000-0000008F0000}"/>
    <cellStyle name="60% - Accent6 4 7" xfId="5245" xr:uid="{00000000-0005-0000-0000-0000018F0000}"/>
    <cellStyle name="60% - Accent6 4 7 2" xfId="15485" xr:uid="{00000000-0005-0000-0000-0000028F0000}"/>
    <cellStyle name="60% - Accent6 4 7 2 2" xfId="35965" xr:uid="{00000000-0005-0000-0000-0000038F0000}"/>
    <cellStyle name="60% - Accent6 4 7 3" xfId="25725" xr:uid="{00000000-0005-0000-0000-0000048F0000}"/>
    <cellStyle name="60% - Accent6 4 8" xfId="10365" xr:uid="{00000000-0005-0000-0000-0000058F0000}"/>
    <cellStyle name="60% - Accent6 4 8 2" xfId="30845" xr:uid="{00000000-0005-0000-0000-0000068F0000}"/>
    <cellStyle name="60% - Accent6 4 9" xfId="20605" xr:uid="{00000000-0005-0000-0000-0000078F0000}"/>
    <cellStyle name="60% - Accent6 5" xfId="205" xr:uid="{00000000-0005-0000-0000-0000088F0000}"/>
    <cellStyle name="60% - Accent6 5 2" xfId="525" xr:uid="{00000000-0005-0000-0000-0000098F0000}"/>
    <cellStyle name="60% - Accent6 5 2 2" xfId="1165" xr:uid="{00000000-0005-0000-0000-00000A8F0000}"/>
    <cellStyle name="60% - Accent6 5 2 2 2" xfId="2445" xr:uid="{00000000-0005-0000-0000-00000B8F0000}"/>
    <cellStyle name="60% - Accent6 5 2 2 2 2" xfId="5005" xr:uid="{00000000-0005-0000-0000-00000C8F0000}"/>
    <cellStyle name="60% - Accent6 5 2 2 2 2 2" xfId="10125" xr:uid="{00000000-0005-0000-0000-00000D8F0000}"/>
    <cellStyle name="60% - Accent6 5 2 2 2 2 2 2" xfId="20365" xr:uid="{00000000-0005-0000-0000-00000E8F0000}"/>
    <cellStyle name="60% - Accent6 5 2 2 2 2 2 2 2" xfId="40845" xr:uid="{00000000-0005-0000-0000-00000F8F0000}"/>
    <cellStyle name="60% - Accent6 5 2 2 2 2 2 3" xfId="30605" xr:uid="{00000000-0005-0000-0000-0000108F0000}"/>
    <cellStyle name="60% - Accent6 5 2 2 2 2 3" xfId="15245" xr:uid="{00000000-0005-0000-0000-0000118F0000}"/>
    <cellStyle name="60% - Accent6 5 2 2 2 2 3 2" xfId="35725" xr:uid="{00000000-0005-0000-0000-0000128F0000}"/>
    <cellStyle name="60% - Accent6 5 2 2 2 2 4" xfId="25485" xr:uid="{00000000-0005-0000-0000-0000138F0000}"/>
    <cellStyle name="60% - Accent6 5 2 2 2 3" xfId="7565" xr:uid="{00000000-0005-0000-0000-0000148F0000}"/>
    <cellStyle name="60% - Accent6 5 2 2 2 3 2" xfId="17805" xr:uid="{00000000-0005-0000-0000-0000158F0000}"/>
    <cellStyle name="60% - Accent6 5 2 2 2 3 2 2" xfId="38285" xr:uid="{00000000-0005-0000-0000-0000168F0000}"/>
    <cellStyle name="60% - Accent6 5 2 2 2 3 3" xfId="28045" xr:uid="{00000000-0005-0000-0000-0000178F0000}"/>
    <cellStyle name="60% - Accent6 5 2 2 2 4" xfId="12685" xr:uid="{00000000-0005-0000-0000-0000188F0000}"/>
    <cellStyle name="60% - Accent6 5 2 2 2 4 2" xfId="33165" xr:uid="{00000000-0005-0000-0000-0000198F0000}"/>
    <cellStyle name="60% - Accent6 5 2 2 2 5" xfId="22925" xr:uid="{00000000-0005-0000-0000-00001A8F0000}"/>
    <cellStyle name="60% - Accent6 5 2 2 3" xfId="3725" xr:uid="{00000000-0005-0000-0000-00001B8F0000}"/>
    <cellStyle name="60% - Accent6 5 2 2 3 2" xfId="8845" xr:uid="{00000000-0005-0000-0000-00001C8F0000}"/>
    <cellStyle name="60% - Accent6 5 2 2 3 2 2" xfId="19085" xr:uid="{00000000-0005-0000-0000-00001D8F0000}"/>
    <cellStyle name="60% - Accent6 5 2 2 3 2 2 2" xfId="39565" xr:uid="{00000000-0005-0000-0000-00001E8F0000}"/>
    <cellStyle name="60% - Accent6 5 2 2 3 2 3" xfId="29325" xr:uid="{00000000-0005-0000-0000-00001F8F0000}"/>
    <cellStyle name="60% - Accent6 5 2 2 3 3" xfId="13965" xr:uid="{00000000-0005-0000-0000-0000208F0000}"/>
    <cellStyle name="60% - Accent6 5 2 2 3 3 2" xfId="34445" xr:uid="{00000000-0005-0000-0000-0000218F0000}"/>
    <cellStyle name="60% - Accent6 5 2 2 3 4" xfId="24205" xr:uid="{00000000-0005-0000-0000-0000228F0000}"/>
    <cellStyle name="60% - Accent6 5 2 2 4" xfId="6285" xr:uid="{00000000-0005-0000-0000-0000238F0000}"/>
    <cellStyle name="60% - Accent6 5 2 2 4 2" xfId="16525" xr:uid="{00000000-0005-0000-0000-0000248F0000}"/>
    <cellStyle name="60% - Accent6 5 2 2 4 2 2" xfId="37005" xr:uid="{00000000-0005-0000-0000-0000258F0000}"/>
    <cellStyle name="60% - Accent6 5 2 2 4 3" xfId="26765" xr:uid="{00000000-0005-0000-0000-0000268F0000}"/>
    <cellStyle name="60% - Accent6 5 2 2 5" xfId="11405" xr:uid="{00000000-0005-0000-0000-0000278F0000}"/>
    <cellStyle name="60% - Accent6 5 2 2 5 2" xfId="31885" xr:uid="{00000000-0005-0000-0000-0000288F0000}"/>
    <cellStyle name="60% - Accent6 5 2 2 6" xfId="21645" xr:uid="{00000000-0005-0000-0000-0000298F0000}"/>
    <cellStyle name="60% - Accent6 5 2 3" xfId="1805" xr:uid="{00000000-0005-0000-0000-00002A8F0000}"/>
    <cellStyle name="60% - Accent6 5 2 3 2" xfId="4365" xr:uid="{00000000-0005-0000-0000-00002B8F0000}"/>
    <cellStyle name="60% - Accent6 5 2 3 2 2" xfId="9485" xr:uid="{00000000-0005-0000-0000-00002C8F0000}"/>
    <cellStyle name="60% - Accent6 5 2 3 2 2 2" xfId="19725" xr:uid="{00000000-0005-0000-0000-00002D8F0000}"/>
    <cellStyle name="60% - Accent6 5 2 3 2 2 2 2" xfId="40205" xr:uid="{00000000-0005-0000-0000-00002E8F0000}"/>
    <cellStyle name="60% - Accent6 5 2 3 2 2 3" xfId="29965" xr:uid="{00000000-0005-0000-0000-00002F8F0000}"/>
    <cellStyle name="60% - Accent6 5 2 3 2 3" xfId="14605" xr:uid="{00000000-0005-0000-0000-0000308F0000}"/>
    <cellStyle name="60% - Accent6 5 2 3 2 3 2" xfId="35085" xr:uid="{00000000-0005-0000-0000-0000318F0000}"/>
    <cellStyle name="60% - Accent6 5 2 3 2 4" xfId="24845" xr:uid="{00000000-0005-0000-0000-0000328F0000}"/>
    <cellStyle name="60% - Accent6 5 2 3 3" xfId="6925" xr:uid="{00000000-0005-0000-0000-0000338F0000}"/>
    <cellStyle name="60% - Accent6 5 2 3 3 2" xfId="17165" xr:uid="{00000000-0005-0000-0000-0000348F0000}"/>
    <cellStyle name="60% - Accent6 5 2 3 3 2 2" xfId="37645" xr:uid="{00000000-0005-0000-0000-0000358F0000}"/>
    <cellStyle name="60% - Accent6 5 2 3 3 3" xfId="27405" xr:uid="{00000000-0005-0000-0000-0000368F0000}"/>
    <cellStyle name="60% - Accent6 5 2 3 4" xfId="12045" xr:uid="{00000000-0005-0000-0000-0000378F0000}"/>
    <cellStyle name="60% - Accent6 5 2 3 4 2" xfId="32525" xr:uid="{00000000-0005-0000-0000-0000388F0000}"/>
    <cellStyle name="60% - Accent6 5 2 3 5" xfId="22285" xr:uid="{00000000-0005-0000-0000-0000398F0000}"/>
    <cellStyle name="60% - Accent6 5 2 4" xfId="3085" xr:uid="{00000000-0005-0000-0000-00003A8F0000}"/>
    <cellStyle name="60% - Accent6 5 2 4 2" xfId="8205" xr:uid="{00000000-0005-0000-0000-00003B8F0000}"/>
    <cellStyle name="60% - Accent6 5 2 4 2 2" xfId="18445" xr:uid="{00000000-0005-0000-0000-00003C8F0000}"/>
    <cellStyle name="60% - Accent6 5 2 4 2 2 2" xfId="38925" xr:uid="{00000000-0005-0000-0000-00003D8F0000}"/>
    <cellStyle name="60% - Accent6 5 2 4 2 3" xfId="28685" xr:uid="{00000000-0005-0000-0000-00003E8F0000}"/>
    <cellStyle name="60% - Accent6 5 2 4 3" xfId="13325" xr:uid="{00000000-0005-0000-0000-00003F8F0000}"/>
    <cellStyle name="60% - Accent6 5 2 4 3 2" xfId="33805" xr:uid="{00000000-0005-0000-0000-0000408F0000}"/>
    <cellStyle name="60% - Accent6 5 2 4 4" xfId="23565" xr:uid="{00000000-0005-0000-0000-0000418F0000}"/>
    <cellStyle name="60% - Accent6 5 2 5" xfId="5645" xr:uid="{00000000-0005-0000-0000-0000428F0000}"/>
    <cellStyle name="60% - Accent6 5 2 5 2" xfId="15885" xr:uid="{00000000-0005-0000-0000-0000438F0000}"/>
    <cellStyle name="60% - Accent6 5 2 5 2 2" xfId="36365" xr:uid="{00000000-0005-0000-0000-0000448F0000}"/>
    <cellStyle name="60% - Accent6 5 2 5 3" xfId="26125" xr:uid="{00000000-0005-0000-0000-0000458F0000}"/>
    <cellStyle name="60% - Accent6 5 2 6" xfId="10765" xr:uid="{00000000-0005-0000-0000-0000468F0000}"/>
    <cellStyle name="60% - Accent6 5 2 6 2" xfId="31245" xr:uid="{00000000-0005-0000-0000-0000478F0000}"/>
    <cellStyle name="60% - Accent6 5 2 7" xfId="21005" xr:uid="{00000000-0005-0000-0000-0000488F0000}"/>
    <cellStyle name="60% - Accent6 5 3" xfId="845" xr:uid="{00000000-0005-0000-0000-0000498F0000}"/>
    <cellStyle name="60% - Accent6 5 3 2" xfId="2125" xr:uid="{00000000-0005-0000-0000-00004A8F0000}"/>
    <cellStyle name="60% - Accent6 5 3 2 2" xfId="4685" xr:uid="{00000000-0005-0000-0000-00004B8F0000}"/>
    <cellStyle name="60% - Accent6 5 3 2 2 2" xfId="9805" xr:uid="{00000000-0005-0000-0000-00004C8F0000}"/>
    <cellStyle name="60% - Accent6 5 3 2 2 2 2" xfId="20045" xr:uid="{00000000-0005-0000-0000-00004D8F0000}"/>
    <cellStyle name="60% - Accent6 5 3 2 2 2 2 2" xfId="40525" xr:uid="{00000000-0005-0000-0000-00004E8F0000}"/>
    <cellStyle name="60% - Accent6 5 3 2 2 2 3" xfId="30285" xr:uid="{00000000-0005-0000-0000-00004F8F0000}"/>
    <cellStyle name="60% - Accent6 5 3 2 2 3" xfId="14925" xr:uid="{00000000-0005-0000-0000-0000508F0000}"/>
    <cellStyle name="60% - Accent6 5 3 2 2 3 2" xfId="35405" xr:uid="{00000000-0005-0000-0000-0000518F0000}"/>
    <cellStyle name="60% - Accent6 5 3 2 2 4" xfId="25165" xr:uid="{00000000-0005-0000-0000-0000528F0000}"/>
    <cellStyle name="60% - Accent6 5 3 2 3" xfId="7245" xr:uid="{00000000-0005-0000-0000-0000538F0000}"/>
    <cellStyle name="60% - Accent6 5 3 2 3 2" xfId="17485" xr:uid="{00000000-0005-0000-0000-0000548F0000}"/>
    <cellStyle name="60% - Accent6 5 3 2 3 2 2" xfId="37965" xr:uid="{00000000-0005-0000-0000-0000558F0000}"/>
    <cellStyle name="60% - Accent6 5 3 2 3 3" xfId="27725" xr:uid="{00000000-0005-0000-0000-0000568F0000}"/>
    <cellStyle name="60% - Accent6 5 3 2 4" xfId="12365" xr:uid="{00000000-0005-0000-0000-0000578F0000}"/>
    <cellStyle name="60% - Accent6 5 3 2 4 2" xfId="32845" xr:uid="{00000000-0005-0000-0000-0000588F0000}"/>
    <cellStyle name="60% - Accent6 5 3 2 5" xfId="22605" xr:uid="{00000000-0005-0000-0000-0000598F0000}"/>
    <cellStyle name="60% - Accent6 5 3 3" xfId="3405" xr:uid="{00000000-0005-0000-0000-00005A8F0000}"/>
    <cellStyle name="60% - Accent6 5 3 3 2" xfId="8525" xr:uid="{00000000-0005-0000-0000-00005B8F0000}"/>
    <cellStyle name="60% - Accent6 5 3 3 2 2" xfId="18765" xr:uid="{00000000-0005-0000-0000-00005C8F0000}"/>
    <cellStyle name="60% - Accent6 5 3 3 2 2 2" xfId="39245" xr:uid="{00000000-0005-0000-0000-00005D8F0000}"/>
    <cellStyle name="60% - Accent6 5 3 3 2 3" xfId="29005" xr:uid="{00000000-0005-0000-0000-00005E8F0000}"/>
    <cellStyle name="60% - Accent6 5 3 3 3" xfId="13645" xr:uid="{00000000-0005-0000-0000-00005F8F0000}"/>
    <cellStyle name="60% - Accent6 5 3 3 3 2" xfId="34125" xr:uid="{00000000-0005-0000-0000-0000608F0000}"/>
    <cellStyle name="60% - Accent6 5 3 3 4" xfId="23885" xr:uid="{00000000-0005-0000-0000-0000618F0000}"/>
    <cellStyle name="60% - Accent6 5 3 4" xfId="5965" xr:uid="{00000000-0005-0000-0000-0000628F0000}"/>
    <cellStyle name="60% - Accent6 5 3 4 2" xfId="16205" xr:uid="{00000000-0005-0000-0000-0000638F0000}"/>
    <cellStyle name="60% - Accent6 5 3 4 2 2" xfId="36685" xr:uid="{00000000-0005-0000-0000-0000648F0000}"/>
    <cellStyle name="60% - Accent6 5 3 4 3" xfId="26445" xr:uid="{00000000-0005-0000-0000-0000658F0000}"/>
    <cellStyle name="60% - Accent6 5 3 5" xfId="11085" xr:uid="{00000000-0005-0000-0000-0000668F0000}"/>
    <cellStyle name="60% - Accent6 5 3 5 2" xfId="31565" xr:uid="{00000000-0005-0000-0000-0000678F0000}"/>
    <cellStyle name="60% - Accent6 5 3 6" xfId="21325" xr:uid="{00000000-0005-0000-0000-0000688F0000}"/>
    <cellStyle name="60% - Accent6 5 4" xfId="1485" xr:uid="{00000000-0005-0000-0000-0000698F0000}"/>
    <cellStyle name="60% - Accent6 5 4 2" xfId="4045" xr:uid="{00000000-0005-0000-0000-00006A8F0000}"/>
    <cellStyle name="60% - Accent6 5 4 2 2" xfId="9165" xr:uid="{00000000-0005-0000-0000-00006B8F0000}"/>
    <cellStyle name="60% - Accent6 5 4 2 2 2" xfId="19405" xr:uid="{00000000-0005-0000-0000-00006C8F0000}"/>
    <cellStyle name="60% - Accent6 5 4 2 2 2 2" xfId="39885" xr:uid="{00000000-0005-0000-0000-00006D8F0000}"/>
    <cellStyle name="60% - Accent6 5 4 2 2 3" xfId="29645" xr:uid="{00000000-0005-0000-0000-00006E8F0000}"/>
    <cellStyle name="60% - Accent6 5 4 2 3" xfId="14285" xr:uid="{00000000-0005-0000-0000-00006F8F0000}"/>
    <cellStyle name="60% - Accent6 5 4 2 3 2" xfId="34765" xr:uid="{00000000-0005-0000-0000-0000708F0000}"/>
    <cellStyle name="60% - Accent6 5 4 2 4" xfId="24525" xr:uid="{00000000-0005-0000-0000-0000718F0000}"/>
    <cellStyle name="60% - Accent6 5 4 3" xfId="6605" xr:uid="{00000000-0005-0000-0000-0000728F0000}"/>
    <cellStyle name="60% - Accent6 5 4 3 2" xfId="16845" xr:uid="{00000000-0005-0000-0000-0000738F0000}"/>
    <cellStyle name="60% - Accent6 5 4 3 2 2" xfId="37325" xr:uid="{00000000-0005-0000-0000-0000748F0000}"/>
    <cellStyle name="60% - Accent6 5 4 3 3" xfId="27085" xr:uid="{00000000-0005-0000-0000-0000758F0000}"/>
    <cellStyle name="60% - Accent6 5 4 4" xfId="11725" xr:uid="{00000000-0005-0000-0000-0000768F0000}"/>
    <cellStyle name="60% - Accent6 5 4 4 2" xfId="32205" xr:uid="{00000000-0005-0000-0000-0000778F0000}"/>
    <cellStyle name="60% - Accent6 5 4 5" xfId="21965" xr:uid="{00000000-0005-0000-0000-0000788F0000}"/>
    <cellStyle name="60% - Accent6 5 5" xfId="2765" xr:uid="{00000000-0005-0000-0000-0000798F0000}"/>
    <cellStyle name="60% - Accent6 5 5 2" xfId="7885" xr:uid="{00000000-0005-0000-0000-00007A8F0000}"/>
    <cellStyle name="60% - Accent6 5 5 2 2" xfId="18125" xr:uid="{00000000-0005-0000-0000-00007B8F0000}"/>
    <cellStyle name="60% - Accent6 5 5 2 2 2" xfId="38605" xr:uid="{00000000-0005-0000-0000-00007C8F0000}"/>
    <cellStyle name="60% - Accent6 5 5 2 3" xfId="28365" xr:uid="{00000000-0005-0000-0000-00007D8F0000}"/>
    <cellStyle name="60% - Accent6 5 5 3" xfId="13005" xr:uid="{00000000-0005-0000-0000-00007E8F0000}"/>
    <cellStyle name="60% - Accent6 5 5 3 2" xfId="33485" xr:uid="{00000000-0005-0000-0000-00007F8F0000}"/>
    <cellStyle name="60% - Accent6 5 5 4" xfId="23245" xr:uid="{00000000-0005-0000-0000-0000808F0000}"/>
    <cellStyle name="60% - Accent6 5 6" xfId="5325" xr:uid="{00000000-0005-0000-0000-0000818F0000}"/>
    <cellStyle name="60% - Accent6 5 6 2" xfId="15565" xr:uid="{00000000-0005-0000-0000-0000828F0000}"/>
    <cellStyle name="60% - Accent6 5 6 2 2" xfId="36045" xr:uid="{00000000-0005-0000-0000-0000838F0000}"/>
    <cellStyle name="60% - Accent6 5 6 3" xfId="25805" xr:uid="{00000000-0005-0000-0000-0000848F0000}"/>
    <cellStyle name="60% - Accent6 5 7" xfId="10445" xr:uid="{00000000-0005-0000-0000-0000858F0000}"/>
    <cellStyle name="60% - Accent6 5 7 2" xfId="30925" xr:uid="{00000000-0005-0000-0000-0000868F0000}"/>
    <cellStyle name="60% - Accent6 5 8" xfId="20685" xr:uid="{00000000-0005-0000-0000-0000878F0000}"/>
    <cellStyle name="60% - Accent6 6" xfId="365" xr:uid="{00000000-0005-0000-0000-0000888F0000}"/>
    <cellStyle name="60% - Accent6 6 2" xfId="1005" xr:uid="{00000000-0005-0000-0000-0000898F0000}"/>
    <cellStyle name="60% - Accent6 6 2 2" xfId="2285" xr:uid="{00000000-0005-0000-0000-00008A8F0000}"/>
    <cellStyle name="60% - Accent6 6 2 2 2" xfId="4845" xr:uid="{00000000-0005-0000-0000-00008B8F0000}"/>
    <cellStyle name="60% - Accent6 6 2 2 2 2" xfId="9965" xr:uid="{00000000-0005-0000-0000-00008C8F0000}"/>
    <cellStyle name="60% - Accent6 6 2 2 2 2 2" xfId="20205" xr:uid="{00000000-0005-0000-0000-00008D8F0000}"/>
    <cellStyle name="60% - Accent6 6 2 2 2 2 2 2" xfId="40685" xr:uid="{00000000-0005-0000-0000-00008E8F0000}"/>
    <cellStyle name="60% - Accent6 6 2 2 2 2 3" xfId="30445" xr:uid="{00000000-0005-0000-0000-00008F8F0000}"/>
    <cellStyle name="60% - Accent6 6 2 2 2 3" xfId="15085" xr:uid="{00000000-0005-0000-0000-0000908F0000}"/>
    <cellStyle name="60% - Accent6 6 2 2 2 3 2" xfId="35565" xr:uid="{00000000-0005-0000-0000-0000918F0000}"/>
    <cellStyle name="60% - Accent6 6 2 2 2 4" xfId="25325" xr:uid="{00000000-0005-0000-0000-0000928F0000}"/>
    <cellStyle name="60% - Accent6 6 2 2 3" xfId="7405" xr:uid="{00000000-0005-0000-0000-0000938F0000}"/>
    <cellStyle name="60% - Accent6 6 2 2 3 2" xfId="17645" xr:uid="{00000000-0005-0000-0000-0000948F0000}"/>
    <cellStyle name="60% - Accent6 6 2 2 3 2 2" xfId="38125" xr:uid="{00000000-0005-0000-0000-0000958F0000}"/>
    <cellStyle name="60% - Accent6 6 2 2 3 3" xfId="27885" xr:uid="{00000000-0005-0000-0000-0000968F0000}"/>
    <cellStyle name="60% - Accent6 6 2 2 4" xfId="12525" xr:uid="{00000000-0005-0000-0000-0000978F0000}"/>
    <cellStyle name="60% - Accent6 6 2 2 4 2" xfId="33005" xr:uid="{00000000-0005-0000-0000-0000988F0000}"/>
    <cellStyle name="60% - Accent6 6 2 2 5" xfId="22765" xr:uid="{00000000-0005-0000-0000-0000998F0000}"/>
    <cellStyle name="60% - Accent6 6 2 3" xfId="3565" xr:uid="{00000000-0005-0000-0000-00009A8F0000}"/>
    <cellStyle name="60% - Accent6 6 2 3 2" xfId="8685" xr:uid="{00000000-0005-0000-0000-00009B8F0000}"/>
    <cellStyle name="60% - Accent6 6 2 3 2 2" xfId="18925" xr:uid="{00000000-0005-0000-0000-00009C8F0000}"/>
    <cellStyle name="60% - Accent6 6 2 3 2 2 2" xfId="39405" xr:uid="{00000000-0005-0000-0000-00009D8F0000}"/>
    <cellStyle name="60% - Accent6 6 2 3 2 3" xfId="29165" xr:uid="{00000000-0005-0000-0000-00009E8F0000}"/>
    <cellStyle name="60% - Accent6 6 2 3 3" xfId="13805" xr:uid="{00000000-0005-0000-0000-00009F8F0000}"/>
    <cellStyle name="60% - Accent6 6 2 3 3 2" xfId="34285" xr:uid="{00000000-0005-0000-0000-0000A08F0000}"/>
    <cellStyle name="60% - Accent6 6 2 3 4" xfId="24045" xr:uid="{00000000-0005-0000-0000-0000A18F0000}"/>
    <cellStyle name="60% - Accent6 6 2 4" xfId="6125" xr:uid="{00000000-0005-0000-0000-0000A28F0000}"/>
    <cellStyle name="60% - Accent6 6 2 4 2" xfId="16365" xr:uid="{00000000-0005-0000-0000-0000A38F0000}"/>
    <cellStyle name="60% - Accent6 6 2 4 2 2" xfId="36845" xr:uid="{00000000-0005-0000-0000-0000A48F0000}"/>
    <cellStyle name="60% - Accent6 6 2 4 3" xfId="26605" xr:uid="{00000000-0005-0000-0000-0000A58F0000}"/>
    <cellStyle name="60% - Accent6 6 2 5" xfId="11245" xr:uid="{00000000-0005-0000-0000-0000A68F0000}"/>
    <cellStyle name="60% - Accent6 6 2 5 2" xfId="31725" xr:uid="{00000000-0005-0000-0000-0000A78F0000}"/>
    <cellStyle name="60% - Accent6 6 2 6" xfId="21485" xr:uid="{00000000-0005-0000-0000-0000A88F0000}"/>
    <cellStyle name="60% - Accent6 6 3" xfId="1645" xr:uid="{00000000-0005-0000-0000-0000A98F0000}"/>
    <cellStyle name="60% - Accent6 6 3 2" xfId="4205" xr:uid="{00000000-0005-0000-0000-0000AA8F0000}"/>
    <cellStyle name="60% - Accent6 6 3 2 2" xfId="9325" xr:uid="{00000000-0005-0000-0000-0000AB8F0000}"/>
    <cellStyle name="60% - Accent6 6 3 2 2 2" xfId="19565" xr:uid="{00000000-0005-0000-0000-0000AC8F0000}"/>
    <cellStyle name="60% - Accent6 6 3 2 2 2 2" xfId="40045" xr:uid="{00000000-0005-0000-0000-0000AD8F0000}"/>
    <cellStyle name="60% - Accent6 6 3 2 2 3" xfId="29805" xr:uid="{00000000-0005-0000-0000-0000AE8F0000}"/>
    <cellStyle name="60% - Accent6 6 3 2 3" xfId="14445" xr:uid="{00000000-0005-0000-0000-0000AF8F0000}"/>
    <cellStyle name="60% - Accent6 6 3 2 3 2" xfId="34925" xr:uid="{00000000-0005-0000-0000-0000B08F0000}"/>
    <cellStyle name="60% - Accent6 6 3 2 4" xfId="24685" xr:uid="{00000000-0005-0000-0000-0000B18F0000}"/>
    <cellStyle name="60% - Accent6 6 3 3" xfId="6765" xr:uid="{00000000-0005-0000-0000-0000B28F0000}"/>
    <cellStyle name="60% - Accent6 6 3 3 2" xfId="17005" xr:uid="{00000000-0005-0000-0000-0000B38F0000}"/>
    <cellStyle name="60% - Accent6 6 3 3 2 2" xfId="37485" xr:uid="{00000000-0005-0000-0000-0000B48F0000}"/>
    <cellStyle name="60% - Accent6 6 3 3 3" xfId="27245" xr:uid="{00000000-0005-0000-0000-0000B58F0000}"/>
    <cellStyle name="60% - Accent6 6 3 4" xfId="11885" xr:uid="{00000000-0005-0000-0000-0000B68F0000}"/>
    <cellStyle name="60% - Accent6 6 3 4 2" xfId="32365" xr:uid="{00000000-0005-0000-0000-0000B78F0000}"/>
    <cellStyle name="60% - Accent6 6 3 5" xfId="22125" xr:uid="{00000000-0005-0000-0000-0000B88F0000}"/>
    <cellStyle name="60% - Accent6 6 4" xfId="2925" xr:uid="{00000000-0005-0000-0000-0000B98F0000}"/>
    <cellStyle name="60% - Accent6 6 4 2" xfId="8045" xr:uid="{00000000-0005-0000-0000-0000BA8F0000}"/>
    <cellStyle name="60% - Accent6 6 4 2 2" xfId="18285" xr:uid="{00000000-0005-0000-0000-0000BB8F0000}"/>
    <cellStyle name="60% - Accent6 6 4 2 2 2" xfId="38765" xr:uid="{00000000-0005-0000-0000-0000BC8F0000}"/>
    <cellStyle name="60% - Accent6 6 4 2 3" xfId="28525" xr:uid="{00000000-0005-0000-0000-0000BD8F0000}"/>
    <cellStyle name="60% - Accent6 6 4 3" xfId="13165" xr:uid="{00000000-0005-0000-0000-0000BE8F0000}"/>
    <cellStyle name="60% - Accent6 6 4 3 2" xfId="33645" xr:uid="{00000000-0005-0000-0000-0000BF8F0000}"/>
    <cellStyle name="60% - Accent6 6 4 4" xfId="23405" xr:uid="{00000000-0005-0000-0000-0000C08F0000}"/>
    <cellStyle name="60% - Accent6 6 5" xfId="5485" xr:uid="{00000000-0005-0000-0000-0000C18F0000}"/>
    <cellStyle name="60% - Accent6 6 5 2" xfId="15725" xr:uid="{00000000-0005-0000-0000-0000C28F0000}"/>
    <cellStyle name="60% - Accent6 6 5 2 2" xfId="36205" xr:uid="{00000000-0005-0000-0000-0000C38F0000}"/>
    <cellStyle name="60% - Accent6 6 5 3" xfId="25965" xr:uid="{00000000-0005-0000-0000-0000C48F0000}"/>
    <cellStyle name="60% - Accent6 6 6" xfId="10605" xr:uid="{00000000-0005-0000-0000-0000C58F0000}"/>
    <cellStyle name="60% - Accent6 6 6 2" xfId="31085" xr:uid="{00000000-0005-0000-0000-0000C68F0000}"/>
    <cellStyle name="60% - Accent6 6 7" xfId="20845" xr:uid="{00000000-0005-0000-0000-0000C78F0000}"/>
    <cellStyle name="60% - Accent6 7" xfId="685" xr:uid="{00000000-0005-0000-0000-0000C88F0000}"/>
    <cellStyle name="60% - Accent6 7 2" xfId="1965" xr:uid="{00000000-0005-0000-0000-0000C98F0000}"/>
    <cellStyle name="60% - Accent6 7 2 2" xfId="4525" xr:uid="{00000000-0005-0000-0000-0000CA8F0000}"/>
    <cellStyle name="60% - Accent6 7 2 2 2" xfId="9645" xr:uid="{00000000-0005-0000-0000-0000CB8F0000}"/>
    <cellStyle name="60% - Accent6 7 2 2 2 2" xfId="19885" xr:uid="{00000000-0005-0000-0000-0000CC8F0000}"/>
    <cellStyle name="60% - Accent6 7 2 2 2 2 2" xfId="40365" xr:uid="{00000000-0005-0000-0000-0000CD8F0000}"/>
    <cellStyle name="60% - Accent6 7 2 2 2 3" xfId="30125" xr:uid="{00000000-0005-0000-0000-0000CE8F0000}"/>
    <cellStyle name="60% - Accent6 7 2 2 3" xfId="14765" xr:uid="{00000000-0005-0000-0000-0000CF8F0000}"/>
    <cellStyle name="60% - Accent6 7 2 2 3 2" xfId="35245" xr:uid="{00000000-0005-0000-0000-0000D08F0000}"/>
    <cellStyle name="60% - Accent6 7 2 2 4" xfId="25005" xr:uid="{00000000-0005-0000-0000-0000D18F0000}"/>
    <cellStyle name="60% - Accent6 7 2 3" xfId="7085" xr:uid="{00000000-0005-0000-0000-0000D28F0000}"/>
    <cellStyle name="60% - Accent6 7 2 3 2" xfId="17325" xr:uid="{00000000-0005-0000-0000-0000D38F0000}"/>
    <cellStyle name="60% - Accent6 7 2 3 2 2" xfId="37805" xr:uid="{00000000-0005-0000-0000-0000D48F0000}"/>
    <cellStyle name="60% - Accent6 7 2 3 3" xfId="27565" xr:uid="{00000000-0005-0000-0000-0000D58F0000}"/>
    <cellStyle name="60% - Accent6 7 2 4" xfId="12205" xr:uid="{00000000-0005-0000-0000-0000D68F0000}"/>
    <cellStyle name="60% - Accent6 7 2 4 2" xfId="32685" xr:uid="{00000000-0005-0000-0000-0000D78F0000}"/>
    <cellStyle name="60% - Accent6 7 2 5" xfId="22445" xr:uid="{00000000-0005-0000-0000-0000D88F0000}"/>
    <cellStyle name="60% - Accent6 7 3" xfId="3245" xr:uid="{00000000-0005-0000-0000-0000D98F0000}"/>
    <cellStyle name="60% - Accent6 7 3 2" xfId="8365" xr:uid="{00000000-0005-0000-0000-0000DA8F0000}"/>
    <cellStyle name="60% - Accent6 7 3 2 2" xfId="18605" xr:uid="{00000000-0005-0000-0000-0000DB8F0000}"/>
    <cellStyle name="60% - Accent6 7 3 2 2 2" xfId="39085" xr:uid="{00000000-0005-0000-0000-0000DC8F0000}"/>
    <cellStyle name="60% - Accent6 7 3 2 3" xfId="28845" xr:uid="{00000000-0005-0000-0000-0000DD8F0000}"/>
    <cellStyle name="60% - Accent6 7 3 3" xfId="13485" xr:uid="{00000000-0005-0000-0000-0000DE8F0000}"/>
    <cellStyle name="60% - Accent6 7 3 3 2" xfId="33965" xr:uid="{00000000-0005-0000-0000-0000DF8F0000}"/>
    <cellStyle name="60% - Accent6 7 3 4" xfId="23725" xr:uid="{00000000-0005-0000-0000-0000E08F0000}"/>
    <cellStyle name="60% - Accent6 7 4" xfId="5805" xr:uid="{00000000-0005-0000-0000-0000E18F0000}"/>
    <cellStyle name="60% - Accent6 7 4 2" xfId="16045" xr:uid="{00000000-0005-0000-0000-0000E28F0000}"/>
    <cellStyle name="60% - Accent6 7 4 2 2" xfId="36525" xr:uid="{00000000-0005-0000-0000-0000E38F0000}"/>
    <cellStyle name="60% - Accent6 7 4 3" xfId="26285" xr:uid="{00000000-0005-0000-0000-0000E48F0000}"/>
    <cellStyle name="60% - Accent6 7 5" xfId="10925" xr:uid="{00000000-0005-0000-0000-0000E58F0000}"/>
    <cellStyle name="60% - Accent6 7 5 2" xfId="31405" xr:uid="{00000000-0005-0000-0000-0000E68F0000}"/>
    <cellStyle name="60% - Accent6 7 6" xfId="21165" xr:uid="{00000000-0005-0000-0000-0000E78F0000}"/>
    <cellStyle name="60% - Accent6 8" xfId="1325" xr:uid="{00000000-0005-0000-0000-0000E88F0000}"/>
    <cellStyle name="60% - Accent6 8 2" xfId="3885" xr:uid="{00000000-0005-0000-0000-0000E98F0000}"/>
    <cellStyle name="60% - Accent6 8 2 2" xfId="9005" xr:uid="{00000000-0005-0000-0000-0000EA8F0000}"/>
    <cellStyle name="60% - Accent6 8 2 2 2" xfId="19245" xr:uid="{00000000-0005-0000-0000-0000EB8F0000}"/>
    <cellStyle name="60% - Accent6 8 2 2 2 2" xfId="39725" xr:uid="{00000000-0005-0000-0000-0000EC8F0000}"/>
    <cellStyle name="60% - Accent6 8 2 2 3" xfId="29485" xr:uid="{00000000-0005-0000-0000-0000ED8F0000}"/>
    <cellStyle name="60% - Accent6 8 2 3" xfId="14125" xr:uid="{00000000-0005-0000-0000-0000EE8F0000}"/>
    <cellStyle name="60% - Accent6 8 2 3 2" xfId="34605" xr:uid="{00000000-0005-0000-0000-0000EF8F0000}"/>
    <cellStyle name="60% - Accent6 8 2 4" xfId="24365" xr:uid="{00000000-0005-0000-0000-0000F08F0000}"/>
    <cellStyle name="60% - Accent6 8 3" xfId="6445" xr:uid="{00000000-0005-0000-0000-0000F18F0000}"/>
    <cellStyle name="60% - Accent6 8 3 2" xfId="16685" xr:uid="{00000000-0005-0000-0000-0000F28F0000}"/>
    <cellStyle name="60% - Accent6 8 3 2 2" xfId="37165" xr:uid="{00000000-0005-0000-0000-0000F38F0000}"/>
    <cellStyle name="60% - Accent6 8 3 3" xfId="26925" xr:uid="{00000000-0005-0000-0000-0000F48F0000}"/>
    <cellStyle name="60% - Accent6 8 4" xfId="11565" xr:uid="{00000000-0005-0000-0000-0000F58F0000}"/>
    <cellStyle name="60% - Accent6 8 4 2" xfId="32045" xr:uid="{00000000-0005-0000-0000-0000F68F0000}"/>
    <cellStyle name="60% - Accent6 8 5" xfId="21805" xr:uid="{00000000-0005-0000-0000-0000F78F0000}"/>
    <cellStyle name="60% - Accent6 9" xfId="2605" xr:uid="{00000000-0005-0000-0000-0000F88F0000}"/>
    <cellStyle name="60% - Accent6 9 2" xfId="7725" xr:uid="{00000000-0005-0000-0000-0000F98F0000}"/>
    <cellStyle name="60% - Accent6 9 2 2" xfId="17965" xr:uid="{00000000-0005-0000-0000-0000FA8F0000}"/>
    <cellStyle name="60% - Accent6 9 2 2 2" xfId="38445" xr:uid="{00000000-0005-0000-0000-0000FB8F0000}"/>
    <cellStyle name="60% - Accent6 9 2 3" xfId="28205" xr:uid="{00000000-0005-0000-0000-0000FC8F0000}"/>
    <cellStyle name="60% - Accent6 9 3" xfId="12845" xr:uid="{00000000-0005-0000-0000-0000FD8F0000}"/>
    <cellStyle name="60% - Accent6 9 3 2" xfId="33325" xr:uid="{00000000-0005-0000-0000-0000FE8F0000}"/>
    <cellStyle name="60% - Accent6 9 4" xfId="23085" xr:uid="{00000000-0005-0000-0000-0000FF8F0000}"/>
    <cellStyle name="Accent1 2" xfId="22" xr:uid="{00000000-0005-0000-0000-000000900000}"/>
    <cellStyle name="Accent2 2" xfId="26" xr:uid="{00000000-0005-0000-0000-000001900000}"/>
    <cellStyle name="Accent3 2" xfId="30" xr:uid="{00000000-0005-0000-0000-000002900000}"/>
    <cellStyle name="Accent4 2" xfId="34" xr:uid="{00000000-0005-0000-0000-000003900000}"/>
    <cellStyle name="Accent5 2" xfId="38" xr:uid="{00000000-0005-0000-0000-000004900000}"/>
    <cellStyle name="Accent6 2" xfId="42" xr:uid="{00000000-0005-0000-0000-000005900000}"/>
    <cellStyle name="Bad 2" xfId="12" xr:uid="{00000000-0005-0000-0000-000006900000}"/>
    <cellStyle name="Calculation 2" xfId="16" xr:uid="{00000000-0005-0000-0000-000007900000}"/>
    <cellStyle name="Check Cell 2" xfId="18" xr:uid="{00000000-0005-0000-0000-000008900000}"/>
    <cellStyle name="Comma 2" xfId="5" xr:uid="{00000000-0005-0000-0000-000009900000}"/>
    <cellStyle name="Explanatory Text 2" xfId="20" xr:uid="{00000000-0005-0000-0000-00000A900000}"/>
    <cellStyle name="Good 2" xfId="11" xr:uid="{00000000-0005-0000-0000-00000B900000}"/>
    <cellStyle name="Heading 1 2" xfId="7" xr:uid="{00000000-0005-0000-0000-00000C900000}"/>
    <cellStyle name="Heading 2 2" xfId="8" xr:uid="{00000000-0005-0000-0000-00000D900000}"/>
    <cellStyle name="Heading 3 2" xfId="9" xr:uid="{00000000-0005-0000-0000-00000E900000}"/>
    <cellStyle name="Heading 4 2" xfId="10" xr:uid="{00000000-0005-0000-0000-00000F900000}"/>
    <cellStyle name="Input 2" xfId="14" xr:uid="{00000000-0005-0000-0000-000011900000}"/>
    <cellStyle name="Linked Cell 2" xfId="17" xr:uid="{00000000-0005-0000-0000-000012900000}"/>
    <cellStyle name="Neutral 2" xfId="13" xr:uid="{00000000-0005-0000-0000-000013900000}"/>
    <cellStyle name="Normal" xfId="0" builtinId="0"/>
    <cellStyle name="Normal 10" xfId="40995" xr:uid="{00000000-0005-0000-0000-000015900000}"/>
    <cellStyle name="Normal 11" xfId="40996" xr:uid="{00000000-0005-0000-0000-000016900000}"/>
    <cellStyle name="Normal 12" xfId="40997" xr:uid="{00000000-0005-0000-0000-000017900000}"/>
    <cellStyle name="Normal 13" xfId="40998" xr:uid="{00000000-0005-0000-0000-000018900000}"/>
    <cellStyle name="Normal 14" xfId="40999" xr:uid="{00000000-0005-0000-0000-000019900000}"/>
    <cellStyle name="Normal 15" xfId="41000" xr:uid="{00000000-0005-0000-0000-00001A900000}"/>
    <cellStyle name="Normal 16" xfId="41001" xr:uid="{00000000-0005-0000-0000-00001B900000}"/>
    <cellStyle name="Normal 17" xfId="41002" xr:uid="{00000000-0005-0000-0000-00001C900000}"/>
    <cellStyle name="Normal 18" xfId="41003" xr:uid="{00000000-0005-0000-0000-00001D900000}"/>
    <cellStyle name="Normal 19" xfId="41004" xr:uid="{00000000-0005-0000-0000-00001E900000}"/>
    <cellStyle name="Normal 2" xfId="1" xr:uid="{00000000-0005-0000-0000-00001F900000}"/>
    <cellStyle name="Normal 2 10" xfId="5167" xr:uid="{00000000-0005-0000-0000-000020900000}"/>
    <cellStyle name="Normal 2 10 2" xfId="15407" xr:uid="{00000000-0005-0000-0000-000021900000}"/>
    <cellStyle name="Normal 2 10 2 2" xfId="35887" xr:uid="{00000000-0005-0000-0000-000022900000}"/>
    <cellStyle name="Normal 2 10 3" xfId="25647" xr:uid="{00000000-0005-0000-0000-000023900000}"/>
    <cellStyle name="Normal 2 11" xfId="10287" xr:uid="{00000000-0005-0000-0000-000024900000}"/>
    <cellStyle name="Normal 2 11 2" xfId="30767" xr:uid="{00000000-0005-0000-0000-000025900000}"/>
    <cellStyle name="Normal 2 12" xfId="20527" xr:uid="{00000000-0005-0000-0000-000026900000}"/>
    <cellStyle name="Normal 2 2" xfId="67" xr:uid="{00000000-0005-0000-0000-000028900000}"/>
    <cellStyle name="Normal 2 2 10" xfId="10307" xr:uid="{00000000-0005-0000-0000-000029900000}"/>
    <cellStyle name="Normal 2 2 10 2" xfId="30787" xr:uid="{00000000-0005-0000-0000-00002A900000}"/>
    <cellStyle name="Normal 2 2 11" xfId="20547" xr:uid="{00000000-0005-0000-0000-00002B900000}"/>
    <cellStyle name="Normal 2 2 12" xfId="40990" xr:uid="{00000000-0005-0000-0000-00002C900000}"/>
    <cellStyle name="Normal 2 2 2" xfId="107" xr:uid="{00000000-0005-0000-0000-00002D900000}"/>
    <cellStyle name="Normal 2 2 2 10" xfId="20587" xr:uid="{00000000-0005-0000-0000-00002E900000}"/>
    <cellStyle name="Normal 2 2 2 2" xfId="187" xr:uid="{00000000-0005-0000-0000-00002F900000}"/>
    <cellStyle name="Normal 2 2 2 2 2" xfId="347" xr:uid="{00000000-0005-0000-0000-000030900000}"/>
    <cellStyle name="Normal 2 2 2 2 2 2" xfId="667" xr:uid="{00000000-0005-0000-0000-000031900000}"/>
    <cellStyle name="Normal 2 2 2 2 2 2 2" xfId="1307" xr:uid="{00000000-0005-0000-0000-000032900000}"/>
    <cellStyle name="Normal 2 2 2 2 2 2 2 2" xfId="2587" xr:uid="{00000000-0005-0000-0000-000033900000}"/>
    <cellStyle name="Normal 2 2 2 2 2 2 2 2 2" xfId="5147" xr:uid="{00000000-0005-0000-0000-000034900000}"/>
    <cellStyle name="Normal 2 2 2 2 2 2 2 2 2 2" xfId="10267" xr:uid="{00000000-0005-0000-0000-000035900000}"/>
    <cellStyle name="Normal 2 2 2 2 2 2 2 2 2 2 2" xfId="20507" xr:uid="{00000000-0005-0000-0000-000036900000}"/>
    <cellStyle name="Normal 2 2 2 2 2 2 2 2 2 2 2 2" xfId="40987" xr:uid="{00000000-0005-0000-0000-000037900000}"/>
    <cellStyle name="Normal 2 2 2 2 2 2 2 2 2 2 3" xfId="30747" xr:uid="{00000000-0005-0000-0000-000038900000}"/>
    <cellStyle name="Normal 2 2 2 2 2 2 2 2 2 3" xfId="15387" xr:uid="{00000000-0005-0000-0000-000039900000}"/>
    <cellStyle name="Normal 2 2 2 2 2 2 2 2 2 3 2" xfId="35867" xr:uid="{00000000-0005-0000-0000-00003A900000}"/>
    <cellStyle name="Normal 2 2 2 2 2 2 2 2 2 4" xfId="25627" xr:uid="{00000000-0005-0000-0000-00003B900000}"/>
    <cellStyle name="Normal 2 2 2 2 2 2 2 2 3" xfId="7707" xr:uid="{00000000-0005-0000-0000-00003C900000}"/>
    <cellStyle name="Normal 2 2 2 2 2 2 2 2 3 2" xfId="17947" xr:uid="{00000000-0005-0000-0000-00003D900000}"/>
    <cellStyle name="Normal 2 2 2 2 2 2 2 2 3 2 2" xfId="38427" xr:uid="{00000000-0005-0000-0000-00003E900000}"/>
    <cellStyle name="Normal 2 2 2 2 2 2 2 2 3 3" xfId="28187" xr:uid="{00000000-0005-0000-0000-00003F900000}"/>
    <cellStyle name="Normal 2 2 2 2 2 2 2 2 4" xfId="12827" xr:uid="{00000000-0005-0000-0000-000040900000}"/>
    <cellStyle name="Normal 2 2 2 2 2 2 2 2 4 2" xfId="33307" xr:uid="{00000000-0005-0000-0000-000041900000}"/>
    <cellStyle name="Normal 2 2 2 2 2 2 2 2 5" xfId="23067" xr:uid="{00000000-0005-0000-0000-000042900000}"/>
    <cellStyle name="Normal 2 2 2 2 2 2 2 3" xfId="3867" xr:uid="{00000000-0005-0000-0000-000043900000}"/>
    <cellStyle name="Normal 2 2 2 2 2 2 2 3 2" xfId="8987" xr:uid="{00000000-0005-0000-0000-000044900000}"/>
    <cellStyle name="Normal 2 2 2 2 2 2 2 3 2 2" xfId="19227" xr:uid="{00000000-0005-0000-0000-000045900000}"/>
    <cellStyle name="Normal 2 2 2 2 2 2 2 3 2 2 2" xfId="39707" xr:uid="{00000000-0005-0000-0000-000046900000}"/>
    <cellStyle name="Normal 2 2 2 2 2 2 2 3 2 3" xfId="29467" xr:uid="{00000000-0005-0000-0000-000047900000}"/>
    <cellStyle name="Normal 2 2 2 2 2 2 2 3 3" xfId="14107" xr:uid="{00000000-0005-0000-0000-000048900000}"/>
    <cellStyle name="Normal 2 2 2 2 2 2 2 3 3 2" xfId="34587" xr:uid="{00000000-0005-0000-0000-000049900000}"/>
    <cellStyle name="Normal 2 2 2 2 2 2 2 3 4" xfId="24347" xr:uid="{00000000-0005-0000-0000-00004A900000}"/>
    <cellStyle name="Normal 2 2 2 2 2 2 2 4" xfId="6427" xr:uid="{00000000-0005-0000-0000-00004B900000}"/>
    <cellStyle name="Normal 2 2 2 2 2 2 2 4 2" xfId="16667" xr:uid="{00000000-0005-0000-0000-00004C900000}"/>
    <cellStyle name="Normal 2 2 2 2 2 2 2 4 2 2" xfId="37147" xr:uid="{00000000-0005-0000-0000-00004D900000}"/>
    <cellStyle name="Normal 2 2 2 2 2 2 2 4 3" xfId="26907" xr:uid="{00000000-0005-0000-0000-00004E900000}"/>
    <cellStyle name="Normal 2 2 2 2 2 2 2 5" xfId="11547" xr:uid="{00000000-0005-0000-0000-00004F900000}"/>
    <cellStyle name="Normal 2 2 2 2 2 2 2 5 2" xfId="32027" xr:uid="{00000000-0005-0000-0000-000050900000}"/>
    <cellStyle name="Normal 2 2 2 2 2 2 2 6" xfId="21787" xr:uid="{00000000-0005-0000-0000-000051900000}"/>
    <cellStyle name="Normal 2 2 2 2 2 2 3" xfId="1947" xr:uid="{00000000-0005-0000-0000-000052900000}"/>
    <cellStyle name="Normal 2 2 2 2 2 2 3 2" xfId="4507" xr:uid="{00000000-0005-0000-0000-000053900000}"/>
    <cellStyle name="Normal 2 2 2 2 2 2 3 2 2" xfId="9627" xr:uid="{00000000-0005-0000-0000-000054900000}"/>
    <cellStyle name="Normal 2 2 2 2 2 2 3 2 2 2" xfId="19867" xr:uid="{00000000-0005-0000-0000-000055900000}"/>
    <cellStyle name="Normal 2 2 2 2 2 2 3 2 2 2 2" xfId="40347" xr:uid="{00000000-0005-0000-0000-000056900000}"/>
    <cellStyle name="Normal 2 2 2 2 2 2 3 2 2 3" xfId="30107" xr:uid="{00000000-0005-0000-0000-000057900000}"/>
    <cellStyle name="Normal 2 2 2 2 2 2 3 2 3" xfId="14747" xr:uid="{00000000-0005-0000-0000-000058900000}"/>
    <cellStyle name="Normal 2 2 2 2 2 2 3 2 3 2" xfId="35227" xr:uid="{00000000-0005-0000-0000-000059900000}"/>
    <cellStyle name="Normal 2 2 2 2 2 2 3 2 4" xfId="24987" xr:uid="{00000000-0005-0000-0000-00005A900000}"/>
    <cellStyle name="Normal 2 2 2 2 2 2 3 3" xfId="7067" xr:uid="{00000000-0005-0000-0000-00005B900000}"/>
    <cellStyle name="Normal 2 2 2 2 2 2 3 3 2" xfId="17307" xr:uid="{00000000-0005-0000-0000-00005C900000}"/>
    <cellStyle name="Normal 2 2 2 2 2 2 3 3 2 2" xfId="37787" xr:uid="{00000000-0005-0000-0000-00005D900000}"/>
    <cellStyle name="Normal 2 2 2 2 2 2 3 3 3" xfId="27547" xr:uid="{00000000-0005-0000-0000-00005E900000}"/>
    <cellStyle name="Normal 2 2 2 2 2 2 3 4" xfId="12187" xr:uid="{00000000-0005-0000-0000-00005F900000}"/>
    <cellStyle name="Normal 2 2 2 2 2 2 3 4 2" xfId="32667" xr:uid="{00000000-0005-0000-0000-000060900000}"/>
    <cellStyle name="Normal 2 2 2 2 2 2 3 5" xfId="22427" xr:uid="{00000000-0005-0000-0000-000061900000}"/>
    <cellStyle name="Normal 2 2 2 2 2 2 4" xfId="3227" xr:uid="{00000000-0005-0000-0000-000062900000}"/>
    <cellStyle name="Normal 2 2 2 2 2 2 4 2" xfId="8347" xr:uid="{00000000-0005-0000-0000-000063900000}"/>
    <cellStyle name="Normal 2 2 2 2 2 2 4 2 2" xfId="18587" xr:uid="{00000000-0005-0000-0000-000064900000}"/>
    <cellStyle name="Normal 2 2 2 2 2 2 4 2 2 2" xfId="39067" xr:uid="{00000000-0005-0000-0000-000065900000}"/>
    <cellStyle name="Normal 2 2 2 2 2 2 4 2 3" xfId="28827" xr:uid="{00000000-0005-0000-0000-000066900000}"/>
    <cellStyle name="Normal 2 2 2 2 2 2 4 3" xfId="13467" xr:uid="{00000000-0005-0000-0000-000067900000}"/>
    <cellStyle name="Normal 2 2 2 2 2 2 4 3 2" xfId="33947" xr:uid="{00000000-0005-0000-0000-000068900000}"/>
    <cellStyle name="Normal 2 2 2 2 2 2 4 4" xfId="23707" xr:uid="{00000000-0005-0000-0000-000069900000}"/>
    <cellStyle name="Normal 2 2 2 2 2 2 5" xfId="5787" xr:uid="{00000000-0005-0000-0000-00006A900000}"/>
    <cellStyle name="Normal 2 2 2 2 2 2 5 2" xfId="16027" xr:uid="{00000000-0005-0000-0000-00006B900000}"/>
    <cellStyle name="Normal 2 2 2 2 2 2 5 2 2" xfId="36507" xr:uid="{00000000-0005-0000-0000-00006C900000}"/>
    <cellStyle name="Normal 2 2 2 2 2 2 5 3" xfId="26267" xr:uid="{00000000-0005-0000-0000-00006D900000}"/>
    <cellStyle name="Normal 2 2 2 2 2 2 6" xfId="10907" xr:uid="{00000000-0005-0000-0000-00006E900000}"/>
    <cellStyle name="Normal 2 2 2 2 2 2 6 2" xfId="31387" xr:uid="{00000000-0005-0000-0000-00006F900000}"/>
    <cellStyle name="Normal 2 2 2 2 2 2 7" xfId="21147" xr:uid="{00000000-0005-0000-0000-000070900000}"/>
    <cellStyle name="Normal 2 2 2 2 2 3" xfId="987" xr:uid="{00000000-0005-0000-0000-000071900000}"/>
    <cellStyle name="Normal 2 2 2 2 2 3 2" xfId="2267" xr:uid="{00000000-0005-0000-0000-000072900000}"/>
    <cellStyle name="Normal 2 2 2 2 2 3 2 2" xfId="4827" xr:uid="{00000000-0005-0000-0000-000073900000}"/>
    <cellStyle name="Normal 2 2 2 2 2 3 2 2 2" xfId="9947" xr:uid="{00000000-0005-0000-0000-000074900000}"/>
    <cellStyle name="Normal 2 2 2 2 2 3 2 2 2 2" xfId="20187" xr:uid="{00000000-0005-0000-0000-000075900000}"/>
    <cellStyle name="Normal 2 2 2 2 2 3 2 2 2 2 2" xfId="40667" xr:uid="{00000000-0005-0000-0000-000076900000}"/>
    <cellStyle name="Normal 2 2 2 2 2 3 2 2 2 3" xfId="30427" xr:uid="{00000000-0005-0000-0000-000077900000}"/>
    <cellStyle name="Normal 2 2 2 2 2 3 2 2 3" xfId="15067" xr:uid="{00000000-0005-0000-0000-000078900000}"/>
    <cellStyle name="Normal 2 2 2 2 2 3 2 2 3 2" xfId="35547" xr:uid="{00000000-0005-0000-0000-000079900000}"/>
    <cellStyle name="Normal 2 2 2 2 2 3 2 2 4" xfId="25307" xr:uid="{00000000-0005-0000-0000-00007A900000}"/>
    <cellStyle name="Normal 2 2 2 2 2 3 2 3" xfId="7387" xr:uid="{00000000-0005-0000-0000-00007B900000}"/>
    <cellStyle name="Normal 2 2 2 2 2 3 2 3 2" xfId="17627" xr:uid="{00000000-0005-0000-0000-00007C900000}"/>
    <cellStyle name="Normal 2 2 2 2 2 3 2 3 2 2" xfId="38107" xr:uid="{00000000-0005-0000-0000-00007D900000}"/>
    <cellStyle name="Normal 2 2 2 2 2 3 2 3 3" xfId="27867" xr:uid="{00000000-0005-0000-0000-00007E900000}"/>
    <cellStyle name="Normal 2 2 2 2 2 3 2 4" xfId="12507" xr:uid="{00000000-0005-0000-0000-00007F900000}"/>
    <cellStyle name="Normal 2 2 2 2 2 3 2 4 2" xfId="32987" xr:uid="{00000000-0005-0000-0000-000080900000}"/>
    <cellStyle name="Normal 2 2 2 2 2 3 2 5" xfId="22747" xr:uid="{00000000-0005-0000-0000-000081900000}"/>
    <cellStyle name="Normal 2 2 2 2 2 3 3" xfId="3547" xr:uid="{00000000-0005-0000-0000-000082900000}"/>
    <cellStyle name="Normal 2 2 2 2 2 3 3 2" xfId="8667" xr:uid="{00000000-0005-0000-0000-000083900000}"/>
    <cellStyle name="Normal 2 2 2 2 2 3 3 2 2" xfId="18907" xr:uid="{00000000-0005-0000-0000-000084900000}"/>
    <cellStyle name="Normal 2 2 2 2 2 3 3 2 2 2" xfId="39387" xr:uid="{00000000-0005-0000-0000-000085900000}"/>
    <cellStyle name="Normal 2 2 2 2 2 3 3 2 3" xfId="29147" xr:uid="{00000000-0005-0000-0000-000086900000}"/>
    <cellStyle name="Normal 2 2 2 2 2 3 3 3" xfId="13787" xr:uid="{00000000-0005-0000-0000-000087900000}"/>
    <cellStyle name="Normal 2 2 2 2 2 3 3 3 2" xfId="34267" xr:uid="{00000000-0005-0000-0000-000088900000}"/>
    <cellStyle name="Normal 2 2 2 2 2 3 3 4" xfId="24027" xr:uid="{00000000-0005-0000-0000-000089900000}"/>
    <cellStyle name="Normal 2 2 2 2 2 3 4" xfId="6107" xr:uid="{00000000-0005-0000-0000-00008A900000}"/>
    <cellStyle name="Normal 2 2 2 2 2 3 4 2" xfId="16347" xr:uid="{00000000-0005-0000-0000-00008B900000}"/>
    <cellStyle name="Normal 2 2 2 2 2 3 4 2 2" xfId="36827" xr:uid="{00000000-0005-0000-0000-00008C900000}"/>
    <cellStyle name="Normal 2 2 2 2 2 3 4 3" xfId="26587" xr:uid="{00000000-0005-0000-0000-00008D900000}"/>
    <cellStyle name="Normal 2 2 2 2 2 3 5" xfId="11227" xr:uid="{00000000-0005-0000-0000-00008E900000}"/>
    <cellStyle name="Normal 2 2 2 2 2 3 5 2" xfId="31707" xr:uid="{00000000-0005-0000-0000-00008F900000}"/>
    <cellStyle name="Normal 2 2 2 2 2 3 6" xfId="21467" xr:uid="{00000000-0005-0000-0000-000090900000}"/>
    <cellStyle name="Normal 2 2 2 2 2 4" xfId="1627" xr:uid="{00000000-0005-0000-0000-000091900000}"/>
    <cellStyle name="Normal 2 2 2 2 2 4 2" xfId="4187" xr:uid="{00000000-0005-0000-0000-000092900000}"/>
    <cellStyle name="Normal 2 2 2 2 2 4 2 2" xfId="9307" xr:uid="{00000000-0005-0000-0000-000093900000}"/>
    <cellStyle name="Normal 2 2 2 2 2 4 2 2 2" xfId="19547" xr:uid="{00000000-0005-0000-0000-000094900000}"/>
    <cellStyle name="Normal 2 2 2 2 2 4 2 2 2 2" xfId="40027" xr:uid="{00000000-0005-0000-0000-000095900000}"/>
    <cellStyle name="Normal 2 2 2 2 2 4 2 2 3" xfId="29787" xr:uid="{00000000-0005-0000-0000-000096900000}"/>
    <cellStyle name="Normal 2 2 2 2 2 4 2 3" xfId="14427" xr:uid="{00000000-0005-0000-0000-000097900000}"/>
    <cellStyle name="Normal 2 2 2 2 2 4 2 3 2" xfId="34907" xr:uid="{00000000-0005-0000-0000-000098900000}"/>
    <cellStyle name="Normal 2 2 2 2 2 4 2 4" xfId="24667" xr:uid="{00000000-0005-0000-0000-000099900000}"/>
    <cellStyle name="Normal 2 2 2 2 2 4 3" xfId="6747" xr:uid="{00000000-0005-0000-0000-00009A900000}"/>
    <cellStyle name="Normal 2 2 2 2 2 4 3 2" xfId="16987" xr:uid="{00000000-0005-0000-0000-00009B900000}"/>
    <cellStyle name="Normal 2 2 2 2 2 4 3 2 2" xfId="37467" xr:uid="{00000000-0005-0000-0000-00009C900000}"/>
    <cellStyle name="Normal 2 2 2 2 2 4 3 3" xfId="27227" xr:uid="{00000000-0005-0000-0000-00009D900000}"/>
    <cellStyle name="Normal 2 2 2 2 2 4 4" xfId="11867" xr:uid="{00000000-0005-0000-0000-00009E900000}"/>
    <cellStyle name="Normal 2 2 2 2 2 4 4 2" xfId="32347" xr:uid="{00000000-0005-0000-0000-00009F900000}"/>
    <cellStyle name="Normal 2 2 2 2 2 4 5" xfId="22107" xr:uid="{00000000-0005-0000-0000-0000A0900000}"/>
    <cellStyle name="Normal 2 2 2 2 2 5" xfId="2907" xr:uid="{00000000-0005-0000-0000-0000A1900000}"/>
    <cellStyle name="Normal 2 2 2 2 2 5 2" xfId="8027" xr:uid="{00000000-0005-0000-0000-0000A2900000}"/>
    <cellStyle name="Normal 2 2 2 2 2 5 2 2" xfId="18267" xr:uid="{00000000-0005-0000-0000-0000A3900000}"/>
    <cellStyle name="Normal 2 2 2 2 2 5 2 2 2" xfId="38747" xr:uid="{00000000-0005-0000-0000-0000A4900000}"/>
    <cellStyle name="Normal 2 2 2 2 2 5 2 3" xfId="28507" xr:uid="{00000000-0005-0000-0000-0000A5900000}"/>
    <cellStyle name="Normal 2 2 2 2 2 5 3" xfId="13147" xr:uid="{00000000-0005-0000-0000-0000A6900000}"/>
    <cellStyle name="Normal 2 2 2 2 2 5 3 2" xfId="33627" xr:uid="{00000000-0005-0000-0000-0000A7900000}"/>
    <cellStyle name="Normal 2 2 2 2 2 5 4" xfId="23387" xr:uid="{00000000-0005-0000-0000-0000A8900000}"/>
    <cellStyle name="Normal 2 2 2 2 2 6" xfId="5467" xr:uid="{00000000-0005-0000-0000-0000A9900000}"/>
    <cellStyle name="Normal 2 2 2 2 2 6 2" xfId="15707" xr:uid="{00000000-0005-0000-0000-0000AA900000}"/>
    <cellStyle name="Normal 2 2 2 2 2 6 2 2" xfId="36187" xr:uid="{00000000-0005-0000-0000-0000AB900000}"/>
    <cellStyle name="Normal 2 2 2 2 2 6 3" xfId="25947" xr:uid="{00000000-0005-0000-0000-0000AC900000}"/>
    <cellStyle name="Normal 2 2 2 2 2 7" xfId="10587" xr:uid="{00000000-0005-0000-0000-0000AD900000}"/>
    <cellStyle name="Normal 2 2 2 2 2 7 2" xfId="31067" xr:uid="{00000000-0005-0000-0000-0000AE900000}"/>
    <cellStyle name="Normal 2 2 2 2 2 8" xfId="20827" xr:uid="{00000000-0005-0000-0000-0000AF900000}"/>
    <cellStyle name="Normal 2 2 2 2 3" xfId="507" xr:uid="{00000000-0005-0000-0000-0000B0900000}"/>
    <cellStyle name="Normal 2 2 2 2 3 2" xfId="1147" xr:uid="{00000000-0005-0000-0000-0000B1900000}"/>
    <cellStyle name="Normal 2 2 2 2 3 2 2" xfId="2427" xr:uid="{00000000-0005-0000-0000-0000B2900000}"/>
    <cellStyle name="Normal 2 2 2 2 3 2 2 2" xfId="4987" xr:uid="{00000000-0005-0000-0000-0000B3900000}"/>
    <cellStyle name="Normal 2 2 2 2 3 2 2 2 2" xfId="10107" xr:uid="{00000000-0005-0000-0000-0000B4900000}"/>
    <cellStyle name="Normal 2 2 2 2 3 2 2 2 2 2" xfId="20347" xr:uid="{00000000-0005-0000-0000-0000B5900000}"/>
    <cellStyle name="Normal 2 2 2 2 3 2 2 2 2 2 2" xfId="40827" xr:uid="{00000000-0005-0000-0000-0000B6900000}"/>
    <cellStyle name="Normal 2 2 2 2 3 2 2 2 2 3" xfId="30587" xr:uid="{00000000-0005-0000-0000-0000B7900000}"/>
    <cellStyle name="Normal 2 2 2 2 3 2 2 2 3" xfId="15227" xr:uid="{00000000-0005-0000-0000-0000B8900000}"/>
    <cellStyle name="Normal 2 2 2 2 3 2 2 2 3 2" xfId="35707" xr:uid="{00000000-0005-0000-0000-0000B9900000}"/>
    <cellStyle name="Normal 2 2 2 2 3 2 2 2 4" xfId="25467" xr:uid="{00000000-0005-0000-0000-0000BA900000}"/>
    <cellStyle name="Normal 2 2 2 2 3 2 2 3" xfId="7547" xr:uid="{00000000-0005-0000-0000-0000BB900000}"/>
    <cellStyle name="Normal 2 2 2 2 3 2 2 3 2" xfId="17787" xr:uid="{00000000-0005-0000-0000-0000BC900000}"/>
    <cellStyle name="Normal 2 2 2 2 3 2 2 3 2 2" xfId="38267" xr:uid="{00000000-0005-0000-0000-0000BD900000}"/>
    <cellStyle name="Normal 2 2 2 2 3 2 2 3 3" xfId="28027" xr:uid="{00000000-0005-0000-0000-0000BE900000}"/>
    <cellStyle name="Normal 2 2 2 2 3 2 2 4" xfId="12667" xr:uid="{00000000-0005-0000-0000-0000BF900000}"/>
    <cellStyle name="Normal 2 2 2 2 3 2 2 4 2" xfId="33147" xr:uid="{00000000-0005-0000-0000-0000C0900000}"/>
    <cellStyle name="Normal 2 2 2 2 3 2 2 5" xfId="22907" xr:uid="{00000000-0005-0000-0000-0000C1900000}"/>
    <cellStyle name="Normal 2 2 2 2 3 2 3" xfId="3707" xr:uid="{00000000-0005-0000-0000-0000C2900000}"/>
    <cellStyle name="Normal 2 2 2 2 3 2 3 2" xfId="8827" xr:uid="{00000000-0005-0000-0000-0000C3900000}"/>
    <cellStyle name="Normal 2 2 2 2 3 2 3 2 2" xfId="19067" xr:uid="{00000000-0005-0000-0000-0000C4900000}"/>
    <cellStyle name="Normal 2 2 2 2 3 2 3 2 2 2" xfId="39547" xr:uid="{00000000-0005-0000-0000-0000C5900000}"/>
    <cellStyle name="Normal 2 2 2 2 3 2 3 2 3" xfId="29307" xr:uid="{00000000-0005-0000-0000-0000C6900000}"/>
    <cellStyle name="Normal 2 2 2 2 3 2 3 3" xfId="13947" xr:uid="{00000000-0005-0000-0000-0000C7900000}"/>
    <cellStyle name="Normal 2 2 2 2 3 2 3 3 2" xfId="34427" xr:uid="{00000000-0005-0000-0000-0000C8900000}"/>
    <cellStyle name="Normal 2 2 2 2 3 2 3 4" xfId="24187" xr:uid="{00000000-0005-0000-0000-0000C9900000}"/>
    <cellStyle name="Normal 2 2 2 2 3 2 4" xfId="6267" xr:uid="{00000000-0005-0000-0000-0000CA900000}"/>
    <cellStyle name="Normal 2 2 2 2 3 2 4 2" xfId="16507" xr:uid="{00000000-0005-0000-0000-0000CB900000}"/>
    <cellStyle name="Normal 2 2 2 2 3 2 4 2 2" xfId="36987" xr:uid="{00000000-0005-0000-0000-0000CC900000}"/>
    <cellStyle name="Normal 2 2 2 2 3 2 4 3" xfId="26747" xr:uid="{00000000-0005-0000-0000-0000CD900000}"/>
    <cellStyle name="Normal 2 2 2 2 3 2 5" xfId="11387" xr:uid="{00000000-0005-0000-0000-0000CE900000}"/>
    <cellStyle name="Normal 2 2 2 2 3 2 5 2" xfId="31867" xr:uid="{00000000-0005-0000-0000-0000CF900000}"/>
    <cellStyle name="Normal 2 2 2 2 3 2 6" xfId="21627" xr:uid="{00000000-0005-0000-0000-0000D0900000}"/>
    <cellStyle name="Normal 2 2 2 2 3 3" xfId="1787" xr:uid="{00000000-0005-0000-0000-0000D1900000}"/>
    <cellStyle name="Normal 2 2 2 2 3 3 2" xfId="4347" xr:uid="{00000000-0005-0000-0000-0000D2900000}"/>
    <cellStyle name="Normal 2 2 2 2 3 3 2 2" xfId="9467" xr:uid="{00000000-0005-0000-0000-0000D3900000}"/>
    <cellStyle name="Normal 2 2 2 2 3 3 2 2 2" xfId="19707" xr:uid="{00000000-0005-0000-0000-0000D4900000}"/>
    <cellStyle name="Normal 2 2 2 2 3 3 2 2 2 2" xfId="40187" xr:uid="{00000000-0005-0000-0000-0000D5900000}"/>
    <cellStyle name="Normal 2 2 2 2 3 3 2 2 3" xfId="29947" xr:uid="{00000000-0005-0000-0000-0000D6900000}"/>
    <cellStyle name="Normal 2 2 2 2 3 3 2 3" xfId="14587" xr:uid="{00000000-0005-0000-0000-0000D7900000}"/>
    <cellStyle name="Normal 2 2 2 2 3 3 2 3 2" xfId="35067" xr:uid="{00000000-0005-0000-0000-0000D8900000}"/>
    <cellStyle name="Normal 2 2 2 2 3 3 2 4" xfId="24827" xr:uid="{00000000-0005-0000-0000-0000D9900000}"/>
    <cellStyle name="Normal 2 2 2 2 3 3 3" xfId="6907" xr:uid="{00000000-0005-0000-0000-0000DA900000}"/>
    <cellStyle name="Normal 2 2 2 2 3 3 3 2" xfId="17147" xr:uid="{00000000-0005-0000-0000-0000DB900000}"/>
    <cellStyle name="Normal 2 2 2 2 3 3 3 2 2" xfId="37627" xr:uid="{00000000-0005-0000-0000-0000DC900000}"/>
    <cellStyle name="Normal 2 2 2 2 3 3 3 3" xfId="27387" xr:uid="{00000000-0005-0000-0000-0000DD900000}"/>
    <cellStyle name="Normal 2 2 2 2 3 3 4" xfId="12027" xr:uid="{00000000-0005-0000-0000-0000DE900000}"/>
    <cellStyle name="Normal 2 2 2 2 3 3 4 2" xfId="32507" xr:uid="{00000000-0005-0000-0000-0000DF900000}"/>
    <cellStyle name="Normal 2 2 2 2 3 3 5" xfId="22267" xr:uid="{00000000-0005-0000-0000-0000E0900000}"/>
    <cellStyle name="Normal 2 2 2 2 3 4" xfId="3067" xr:uid="{00000000-0005-0000-0000-0000E1900000}"/>
    <cellStyle name="Normal 2 2 2 2 3 4 2" xfId="8187" xr:uid="{00000000-0005-0000-0000-0000E2900000}"/>
    <cellStyle name="Normal 2 2 2 2 3 4 2 2" xfId="18427" xr:uid="{00000000-0005-0000-0000-0000E3900000}"/>
    <cellStyle name="Normal 2 2 2 2 3 4 2 2 2" xfId="38907" xr:uid="{00000000-0005-0000-0000-0000E4900000}"/>
    <cellStyle name="Normal 2 2 2 2 3 4 2 3" xfId="28667" xr:uid="{00000000-0005-0000-0000-0000E5900000}"/>
    <cellStyle name="Normal 2 2 2 2 3 4 3" xfId="13307" xr:uid="{00000000-0005-0000-0000-0000E6900000}"/>
    <cellStyle name="Normal 2 2 2 2 3 4 3 2" xfId="33787" xr:uid="{00000000-0005-0000-0000-0000E7900000}"/>
    <cellStyle name="Normal 2 2 2 2 3 4 4" xfId="23547" xr:uid="{00000000-0005-0000-0000-0000E8900000}"/>
    <cellStyle name="Normal 2 2 2 2 3 5" xfId="5627" xr:uid="{00000000-0005-0000-0000-0000E9900000}"/>
    <cellStyle name="Normal 2 2 2 2 3 5 2" xfId="15867" xr:uid="{00000000-0005-0000-0000-0000EA900000}"/>
    <cellStyle name="Normal 2 2 2 2 3 5 2 2" xfId="36347" xr:uid="{00000000-0005-0000-0000-0000EB900000}"/>
    <cellStyle name="Normal 2 2 2 2 3 5 3" xfId="26107" xr:uid="{00000000-0005-0000-0000-0000EC900000}"/>
    <cellStyle name="Normal 2 2 2 2 3 6" xfId="10747" xr:uid="{00000000-0005-0000-0000-0000ED900000}"/>
    <cellStyle name="Normal 2 2 2 2 3 6 2" xfId="31227" xr:uid="{00000000-0005-0000-0000-0000EE900000}"/>
    <cellStyle name="Normal 2 2 2 2 3 7" xfId="20987" xr:uid="{00000000-0005-0000-0000-0000EF900000}"/>
    <cellStyle name="Normal 2 2 2 2 4" xfId="827" xr:uid="{00000000-0005-0000-0000-0000F0900000}"/>
    <cellStyle name="Normal 2 2 2 2 4 2" xfId="2107" xr:uid="{00000000-0005-0000-0000-0000F1900000}"/>
    <cellStyle name="Normal 2 2 2 2 4 2 2" xfId="4667" xr:uid="{00000000-0005-0000-0000-0000F2900000}"/>
    <cellStyle name="Normal 2 2 2 2 4 2 2 2" xfId="9787" xr:uid="{00000000-0005-0000-0000-0000F3900000}"/>
    <cellStyle name="Normal 2 2 2 2 4 2 2 2 2" xfId="20027" xr:uid="{00000000-0005-0000-0000-0000F4900000}"/>
    <cellStyle name="Normal 2 2 2 2 4 2 2 2 2 2" xfId="40507" xr:uid="{00000000-0005-0000-0000-0000F5900000}"/>
    <cellStyle name="Normal 2 2 2 2 4 2 2 2 3" xfId="30267" xr:uid="{00000000-0005-0000-0000-0000F6900000}"/>
    <cellStyle name="Normal 2 2 2 2 4 2 2 3" xfId="14907" xr:uid="{00000000-0005-0000-0000-0000F7900000}"/>
    <cellStyle name="Normal 2 2 2 2 4 2 2 3 2" xfId="35387" xr:uid="{00000000-0005-0000-0000-0000F8900000}"/>
    <cellStyle name="Normal 2 2 2 2 4 2 2 4" xfId="25147" xr:uid="{00000000-0005-0000-0000-0000F9900000}"/>
    <cellStyle name="Normal 2 2 2 2 4 2 3" xfId="7227" xr:uid="{00000000-0005-0000-0000-0000FA900000}"/>
    <cellStyle name="Normal 2 2 2 2 4 2 3 2" xfId="17467" xr:uid="{00000000-0005-0000-0000-0000FB900000}"/>
    <cellStyle name="Normal 2 2 2 2 4 2 3 2 2" xfId="37947" xr:uid="{00000000-0005-0000-0000-0000FC900000}"/>
    <cellStyle name="Normal 2 2 2 2 4 2 3 3" xfId="27707" xr:uid="{00000000-0005-0000-0000-0000FD900000}"/>
    <cellStyle name="Normal 2 2 2 2 4 2 4" xfId="12347" xr:uid="{00000000-0005-0000-0000-0000FE900000}"/>
    <cellStyle name="Normal 2 2 2 2 4 2 4 2" xfId="32827" xr:uid="{00000000-0005-0000-0000-0000FF900000}"/>
    <cellStyle name="Normal 2 2 2 2 4 2 5" xfId="22587" xr:uid="{00000000-0005-0000-0000-000000910000}"/>
    <cellStyle name="Normal 2 2 2 2 4 3" xfId="3387" xr:uid="{00000000-0005-0000-0000-000001910000}"/>
    <cellStyle name="Normal 2 2 2 2 4 3 2" xfId="8507" xr:uid="{00000000-0005-0000-0000-000002910000}"/>
    <cellStyle name="Normal 2 2 2 2 4 3 2 2" xfId="18747" xr:uid="{00000000-0005-0000-0000-000003910000}"/>
    <cellStyle name="Normal 2 2 2 2 4 3 2 2 2" xfId="39227" xr:uid="{00000000-0005-0000-0000-000004910000}"/>
    <cellStyle name="Normal 2 2 2 2 4 3 2 3" xfId="28987" xr:uid="{00000000-0005-0000-0000-000005910000}"/>
    <cellStyle name="Normal 2 2 2 2 4 3 3" xfId="13627" xr:uid="{00000000-0005-0000-0000-000006910000}"/>
    <cellStyle name="Normal 2 2 2 2 4 3 3 2" xfId="34107" xr:uid="{00000000-0005-0000-0000-000007910000}"/>
    <cellStyle name="Normal 2 2 2 2 4 3 4" xfId="23867" xr:uid="{00000000-0005-0000-0000-000008910000}"/>
    <cellStyle name="Normal 2 2 2 2 4 4" xfId="5947" xr:uid="{00000000-0005-0000-0000-000009910000}"/>
    <cellStyle name="Normal 2 2 2 2 4 4 2" xfId="16187" xr:uid="{00000000-0005-0000-0000-00000A910000}"/>
    <cellStyle name="Normal 2 2 2 2 4 4 2 2" xfId="36667" xr:uid="{00000000-0005-0000-0000-00000B910000}"/>
    <cellStyle name="Normal 2 2 2 2 4 4 3" xfId="26427" xr:uid="{00000000-0005-0000-0000-00000C910000}"/>
    <cellStyle name="Normal 2 2 2 2 4 5" xfId="11067" xr:uid="{00000000-0005-0000-0000-00000D910000}"/>
    <cellStyle name="Normal 2 2 2 2 4 5 2" xfId="31547" xr:uid="{00000000-0005-0000-0000-00000E910000}"/>
    <cellStyle name="Normal 2 2 2 2 4 6" xfId="21307" xr:uid="{00000000-0005-0000-0000-00000F910000}"/>
    <cellStyle name="Normal 2 2 2 2 5" xfId="1467" xr:uid="{00000000-0005-0000-0000-000010910000}"/>
    <cellStyle name="Normal 2 2 2 2 5 2" xfId="4027" xr:uid="{00000000-0005-0000-0000-000011910000}"/>
    <cellStyle name="Normal 2 2 2 2 5 2 2" xfId="9147" xr:uid="{00000000-0005-0000-0000-000012910000}"/>
    <cellStyle name="Normal 2 2 2 2 5 2 2 2" xfId="19387" xr:uid="{00000000-0005-0000-0000-000013910000}"/>
    <cellStyle name="Normal 2 2 2 2 5 2 2 2 2" xfId="39867" xr:uid="{00000000-0005-0000-0000-000014910000}"/>
    <cellStyle name="Normal 2 2 2 2 5 2 2 3" xfId="29627" xr:uid="{00000000-0005-0000-0000-000015910000}"/>
    <cellStyle name="Normal 2 2 2 2 5 2 3" xfId="14267" xr:uid="{00000000-0005-0000-0000-000016910000}"/>
    <cellStyle name="Normal 2 2 2 2 5 2 3 2" xfId="34747" xr:uid="{00000000-0005-0000-0000-000017910000}"/>
    <cellStyle name="Normal 2 2 2 2 5 2 4" xfId="24507" xr:uid="{00000000-0005-0000-0000-000018910000}"/>
    <cellStyle name="Normal 2 2 2 2 5 3" xfId="6587" xr:uid="{00000000-0005-0000-0000-000019910000}"/>
    <cellStyle name="Normal 2 2 2 2 5 3 2" xfId="16827" xr:uid="{00000000-0005-0000-0000-00001A910000}"/>
    <cellStyle name="Normal 2 2 2 2 5 3 2 2" xfId="37307" xr:uid="{00000000-0005-0000-0000-00001B910000}"/>
    <cellStyle name="Normal 2 2 2 2 5 3 3" xfId="27067" xr:uid="{00000000-0005-0000-0000-00001C910000}"/>
    <cellStyle name="Normal 2 2 2 2 5 4" xfId="11707" xr:uid="{00000000-0005-0000-0000-00001D910000}"/>
    <cellStyle name="Normal 2 2 2 2 5 4 2" xfId="32187" xr:uid="{00000000-0005-0000-0000-00001E910000}"/>
    <cellStyle name="Normal 2 2 2 2 5 5" xfId="21947" xr:uid="{00000000-0005-0000-0000-00001F910000}"/>
    <cellStyle name="Normal 2 2 2 2 6" xfId="2747" xr:uid="{00000000-0005-0000-0000-000020910000}"/>
    <cellStyle name="Normal 2 2 2 2 6 2" xfId="7867" xr:uid="{00000000-0005-0000-0000-000021910000}"/>
    <cellStyle name="Normal 2 2 2 2 6 2 2" xfId="18107" xr:uid="{00000000-0005-0000-0000-000022910000}"/>
    <cellStyle name="Normal 2 2 2 2 6 2 2 2" xfId="38587" xr:uid="{00000000-0005-0000-0000-000023910000}"/>
    <cellStyle name="Normal 2 2 2 2 6 2 3" xfId="28347" xr:uid="{00000000-0005-0000-0000-000024910000}"/>
    <cellStyle name="Normal 2 2 2 2 6 3" xfId="12987" xr:uid="{00000000-0005-0000-0000-000025910000}"/>
    <cellStyle name="Normal 2 2 2 2 6 3 2" xfId="33467" xr:uid="{00000000-0005-0000-0000-000026910000}"/>
    <cellStyle name="Normal 2 2 2 2 6 4" xfId="23227" xr:uid="{00000000-0005-0000-0000-000027910000}"/>
    <cellStyle name="Normal 2 2 2 2 7" xfId="5307" xr:uid="{00000000-0005-0000-0000-000028910000}"/>
    <cellStyle name="Normal 2 2 2 2 7 2" xfId="15547" xr:uid="{00000000-0005-0000-0000-000029910000}"/>
    <cellStyle name="Normal 2 2 2 2 7 2 2" xfId="36027" xr:uid="{00000000-0005-0000-0000-00002A910000}"/>
    <cellStyle name="Normal 2 2 2 2 7 3" xfId="25787" xr:uid="{00000000-0005-0000-0000-00002B910000}"/>
    <cellStyle name="Normal 2 2 2 2 8" xfId="10427" xr:uid="{00000000-0005-0000-0000-00002C910000}"/>
    <cellStyle name="Normal 2 2 2 2 8 2" xfId="30907" xr:uid="{00000000-0005-0000-0000-00002D910000}"/>
    <cellStyle name="Normal 2 2 2 2 9" xfId="20667" xr:uid="{00000000-0005-0000-0000-00002E910000}"/>
    <cellStyle name="Normal 2 2 2 3" xfId="267" xr:uid="{00000000-0005-0000-0000-00002F910000}"/>
    <cellStyle name="Normal 2 2 2 3 2" xfId="587" xr:uid="{00000000-0005-0000-0000-000030910000}"/>
    <cellStyle name="Normal 2 2 2 3 2 2" xfId="1227" xr:uid="{00000000-0005-0000-0000-000031910000}"/>
    <cellStyle name="Normal 2 2 2 3 2 2 2" xfId="2507" xr:uid="{00000000-0005-0000-0000-000032910000}"/>
    <cellStyle name="Normal 2 2 2 3 2 2 2 2" xfId="5067" xr:uid="{00000000-0005-0000-0000-000033910000}"/>
    <cellStyle name="Normal 2 2 2 3 2 2 2 2 2" xfId="10187" xr:uid="{00000000-0005-0000-0000-000034910000}"/>
    <cellStyle name="Normal 2 2 2 3 2 2 2 2 2 2" xfId="20427" xr:uid="{00000000-0005-0000-0000-000035910000}"/>
    <cellStyle name="Normal 2 2 2 3 2 2 2 2 2 2 2" xfId="40907" xr:uid="{00000000-0005-0000-0000-000036910000}"/>
    <cellStyle name="Normal 2 2 2 3 2 2 2 2 2 3" xfId="30667" xr:uid="{00000000-0005-0000-0000-000037910000}"/>
    <cellStyle name="Normal 2 2 2 3 2 2 2 2 3" xfId="15307" xr:uid="{00000000-0005-0000-0000-000038910000}"/>
    <cellStyle name="Normal 2 2 2 3 2 2 2 2 3 2" xfId="35787" xr:uid="{00000000-0005-0000-0000-000039910000}"/>
    <cellStyle name="Normal 2 2 2 3 2 2 2 2 4" xfId="25547" xr:uid="{00000000-0005-0000-0000-00003A910000}"/>
    <cellStyle name="Normal 2 2 2 3 2 2 2 3" xfId="7627" xr:uid="{00000000-0005-0000-0000-00003B910000}"/>
    <cellStyle name="Normal 2 2 2 3 2 2 2 3 2" xfId="17867" xr:uid="{00000000-0005-0000-0000-00003C910000}"/>
    <cellStyle name="Normal 2 2 2 3 2 2 2 3 2 2" xfId="38347" xr:uid="{00000000-0005-0000-0000-00003D910000}"/>
    <cellStyle name="Normal 2 2 2 3 2 2 2 3 3" xfId="28107" xr:uid="{00000000-0005-0000-0000-00003E910000}"/>
    <cellStyle name="Normal 2 2 2 3 2 2 2 4" xfId="12747" xr:uid="{00000000-0005-0000-0000-00003F910000}"/>
    <cellStyle name="Normal 2 2 2 3 2 2 2 4 2" xfId="33227" xr:uid="{00000000-0005-0000-0000-000040910000}"/>
    <cellStyle name="Normal 2 2 2 3 2 2 2 5" xfId="22987" xr:uid="{00000000-0005-0000-0000-000041910000}"/>
    <cellStyle name="Normal 2 2 2 3 2 2 3" xfId="3787" xr:uid="{00000000-0005-0000-0000-000042910000}"/>
    <cellStyle name="Normal 2 2 2 3 2 2 3 2" xfId="8907" xr:uid="{00000000-0005-0000-0000-000043910000}"/>
    <cellStyle name="Normal 2 2 2 3 2 2 3 2 2" xfId="19147" xr:uid="{00000000-0005-0000-0000-000044910000}"/>
    <cellStyle name="Normal 2 2 2 3 2 2 3 2 2 2" xfId="39627" xr:uid="{00000000-0005-0000-0000-000045910000}"/>
    <cellStyle name="Normal 2 2 2 3 2 2 3 2 3" xfId="29387" xr:uid="{00000000-0005-0000-0000-000046910000}"/>
    <cellStyle name="Normal 2 2 2 3 2 2 3 3" xfId="14027" xr:uid="{00000000-0005-0000-0000-000047910000}"/>
    <cellStyle name="Normal 2 2 2 3 2 2 3 3 2" xfId="34507" xr:uid="{00000000-0005-0000-0000-000048910000}"/>
    <cellStyle name="Normal 2 2 2 3 2 2 3 4" xfId="24267" xr:uid="{00000000-0005-0000-0000-000049910000}"/>
    <cellStyle name="Normal 2 2 2 3 2 2 4" xfId="6347" xr:uid="{00000000-0005-0000-0000-00004A910000}"/>
    <cellStyle name="Normal 2 2 2 3 2 2 4 2" xfId="16587" xr:uid="{00000000-0005-0000-0000-00004B910000}"/>
    <cellStyle name="Normal 2 2 2 3 2 2 4 2 2" xfId="37067" xr:uid="{00000000-0005-0000-0000-00004C910000}"/>
    <cellStyle name="Normal 2 2 2 3 2 2 4 3" xfId="26827" xr:uid="{00000000-0005-0000-0000-00004D910000}"/>
    <cellStyle name="Normal 2 2 2 3 2 2 5" xfId="11467" xr:uid="{00000000-0005-0000-0000-00004E910000}"/>
    <cellStyle name="Normal 2 2 2 3 2 2 5 2" xfId="31947" xr:uid="{00000000-0005-0000-0000-00004F910000}"/>
    <cellStyle name="Normal 2 2 2 3 2 2 6" xfId="21707" xr:uid="{00000000-0005-0000-0000-000050910000}"/>
    <cellStyle name="Normal 2 2 2 3 2 3" xfId="1867" xr:uid="{00000000-0005-0000-0000-000051910000}"/>
    <cellStyle name="Normal 2 2 2 3 2 3 2" xfId="4427" xr:uid="{00000000-0005-0000-0000-000052910000}"/>
    <cellStyle name="Normal 2 2 2 3 2 3 2 2" xfId="9547" xr:uid="{00000000-0005-0000-0000-000053910000}"/>
    <cellStyle name="Normal 2 2 2 3 2 3 2 2 2" xfId="19787" xr:uid="{00000000-0005-0000-0000-000054910000}"/>
    <cellStyle name="Normal 2 2 2 3 2 3 2 2 2 2" xfId="40267" xr:uid="{00000000-0005-0000-0000-000055910000}"/>
    <cellStyle name="Normal 2 2 2 3 2 3 2 2 3" xfId="30027" xr:uid="{00000000-0005-0000-0000-000056910000}"/>
    <cellStyle name="Normal 2 2 2 3 2 3 2 3" xfId="14667" xr:uid="{00000000-0005-0000-0000-000057910000}"/>
    <cellStyle name="Normal 2 2 2 3 2 3 2 3 2" xfId="35147" xr:uid="{00000000-0005-0000-0000-000058910000}"/>
    <cellStyle name="Normal 2 2 2 3 2 3 2 4" xfId="24907" xr:uid="{00000000-0005-0000-0000-000059910000}"/>
    <cellStyle name="Normal 2 2 2 3 2 3 3" xfId="6987" xr:uid="{00000000-0005-0000-0000-00005A910000}"/>
    <cellStyle name="Normal 2 2 2 3 2 3 3 2" xfId="17227" xr:uid="{00000000-0005-0000-0000-00005B910000}"/>
    <cellStyle name="Normal 2 2 2 3 2 3 3 2 2" xfId="37707" xr:uid="{00000000-0005-0000-0000-00005C910000}"/>
    <cellStyle name="Normal 2 2 2 3 2 3 3 3" xfId="27467" xr:uid="{00000000-0005-0000-0000-00005D910000}"/>
    <cellStyle name="Normal 2 2 2 3 2 3 4" xfId="12107" xr:uid="{00000000-0005-0000-0000-00005E910000}"/>
    <cellStyle name="Normal 2 2 2 3 2 3 4 2" xfId="32587" xr:uid="{00000000-0005-0000-0000-00005F910000}"/>
    <cellStyle name="Normal 2 2 2 3 2 3 5" xfId="22347" xr:uid="{00000000-0005-0000-0000-000060910000}"/>
    <cellStyle name="Normal 2 2 2 3 2 4" xfId="3147" xr:uid="{00000000-0005-0000-0000-000061910000}"/>
    <cellStyle name="Normal 2 2 2 3 2 4 2" xfId="8267" xr:uid="{00000000-0005-0000-0000-000062910000}"/>
    <cellStyle name="Normal 2 2 2 3 2 4 2 2" xfId="18507" xr:uid="{00000000-0005-0000-0000-000063910000}"/>
    <cellStyle name="Normal 2 2 2 3 2 4 2 2 2" xfId="38987" xr:uid="{00000000-0005-0000-0000-000064910000}"/>
    <cellStyle name="Normal 2 2 2 3 2 4 2 3" xfId="28747" xr:uid="{00000000-0005-0000-0000-000065910000}"/>
    <cellStyle name="Normal 2 2 2 3 2 4 3" xfId="13387" xr:uid="{00000000-0005-0000-0000-000066910000}"/>
    <cellStyle name="Normal 2 2 2 3 2 4 3 2" xfId="33867" xr:uid="{00000000-0005-0000-0000-000067910000}"/>
    <cellStyle name="Normal 2 2 2 3 2 4 4" xfId="23627" xr:uid="{00000000-0005-0000-0000-000068910000}"/>
    <cellStyle name="Normal 2 2 2 3 2 5" xfId="5707" xr:uid="{00000000-0005-0000-0000-000069910000}"/>
    <cellStyle name="Normal 2 2 2 3 2 5 2" xfId="15947" xr:uid="{00000000-0005-0000-0000-00006A910000}"/>
    <cellStyle name="Normal 2 2 2 3 2 5 2 2" xfId="36427" xr:uid="{00000000-0005-0000-0000-00006B910000}"/>
    <cellStyle name="Normal 2 2 2 3 2 5 3" xfId="26187" xr:uid="{00000000-0005-0000-0000-00006C910000}"/>
    <cellStyle name="Normal 2 2 2 3 2 6" xfId="10827" xr:uid="{00000000-0005-0000-0000-00006D910000}"/>
    <cellStyle name="Normal 2 2 2 3 2 6 2" xfId="31307" xr:uid="{00000000-0005-0000-0000-00006E910000}"/>
    <cellStyle name="Normal 2 2 2 3 2 7" xfId="21067" xr:uid="{00000000-0005-0000-0000-00006F910000}"/>
    <cellStyle name="Normal 2 2 2 3 3" xfId="907" xr:uid="{00000000-0005-0000-0000-000070910000}"/>
    <cellStyle name="Normal 2 2 2 3 3 2" xfId="2187" xr:uid="{00000000-0005-0000-0000-000071910000}"/>
    <cellStyle name="Normal 2 2 2 3 3 2 2" xfId="4747" xr:uid="{00000000-0005-0000-0000-000072910000}"/>
    <cellStyle name="Normal 2 2 2 3 3 2 2 2" xfId="9867" xr:uid="{00000000-0005-0000-0000-000073910000}"/>
    <cellStyle name="Normal 2 2 2 3 3 2 2 2 2" xfId="20107" xr:uid="{00000000-0005-0000-0000-000074910000}"/>
    <cellStyle name="Normal 2 2 2 3 3 2 2 2 2 2" xfId="40587" xr:uid="{00000000-0005-0000-0000-000075910000}"/>
    <cellStyle name="Normal 2 2 2 3 3 2 2 2 3" xfId="30347" xr:uid="{00000000-0005-0000-0000-000076910000}"/>
    <cellStyle name="Normal 2 2 2 3 3 2 2 3" xfId="14987" xr:uid="{00000000-0005-0000-0000-000077910000}"/>
    <cellStyle name="Normal 2 2 2 3 3 2 2 3 2" xfId="35467" xr:uid="{00000000-0005-0000-0000-000078910000}"/>
    <cellStyle name="Normal 2 2 2 3 3 2 2 4" xfId="25227" xr:uid="{00000000-0005-0000-0000-000079910000}"/>
    <cellStyle name="Normal 2 2 2 3 3 2 3" xfId="7307" xr:uid="{00000000-0005-0000-0000-00007A910000}"/>
    <cellStyle name="Normal 2 2 2 3 3 2 3 2" xfId="17547" xr:uid="{00000000-0005-0000-0000-00007B910000}"/>
    <cellStyle name="Normal 2 2 2 3 3 2 3 2 2" xfId="38027" xr:uid="{00000000-0005-0000-0000-00007C910000}"/>
    <cellStyle name="Normal 2 2 2 3 3 2 3 3" xfId="27787" xr:uid="{00000000-0005-0000-0000-00007D910000}"/>
    <cellStyle name="Normal 2 2 2 3 3 2 4" xfId="12427" xr:uid="{00000000-0005-0000-0000-00007E910000}"/>
    <cellStyle name="Normal 2 2 2 3 3 2 4 2" xfId="32907" xr:uid="{00000000-0005-0000-0000-00007F910000}"/>
    <cellStyle name="Normal 2 2 2 3 3 2 5" xfId="22667" xr:uid="{00000000-0005-0000-0000-000080910000}"/>
    <cellStyle name="Normal 2 2 2 3 3 3" xfId="3467" xr:uid="{00000000-0005-0000-0000-000081910000}"/>
    <cellStyle name="Normal 2 2 2 3 3 3 2" xfId="8587" xr:uid="{00000000-0005-0000-0000-000082910000}"/>
    <cellStyle name="Normal 2 2 2 3 3 3 2 2" xfId="18827" xr:uid="{00000000-0005-0000-0000-000083910000}"/>
    <cellStyle name="Normal 2 2 2 3 3 3 2 2 2" xfId="39307" xr:uid="{00000000-0005-0000-0000-000084910000}"/>
    <cellStyle name="Normal 2 2 2 3 3 3 2 3" xfId="29067" xr:uid="{00000000-0005-0000-0000-000085910000}"/>
    <cellStyle name="Normal 2 2 2 3 3 3 3" xfId="13707" xr:uid="{00000000-0005-0000-0000-000086910000}"/>
    <cellStyle name="Normal 2 2 2 3 3 3 3 2" xfId="34187" xr:uid="{00000000-0005-0000-0000-000087910000}"/>
    <cellStyle name="Normal 2 2 2 3 3 3 4" xfId="23947" xr:uid="{00000000-0005-0000-0000-000088910000}"/>
    <cellStyle name="Normal 2 2 2 3 3 4" xfId="6027" xr:uid="{00000000-0005-0000-0000-000089910000}"/>
    <cellStyle name="Normal 2 2 2 3 3 4 2" xfId="16267" xr:uid="{00000000-0005-0000-0000-00008A910000}"/>
    <cellStyle name="Normal 2 2 2 3 3 4 2 2" xfId="36747" xr:uid="{00000000-0005-0000-0000-00008B910000}"/>
    <cellStyle name="Normal 2 2 2 3 3 4 3" xfId="26507" xr:uid="{00000000-0005-0000-0000-00008C910000}"/>
    <cellStyle name="Normal 2 2 2 3 3 5" xfId="11147" xr:uid="{00000000-0005-0000-0000-00008D910000}"/>
    <cellStyle name="Normal 2 2 2 3 3 5 2" xfId="31627" xr:uid="{00000000-0005-0000-0000-00008E910000}"/>
    <cellStyle name="Normal 2 2 2 3 3 6" xfId="21387" xr:uid="{00000000-0005-0000-0000-00008F910000}"/>
    <cellStyle name="Normal 2 2 2 3 4" xfId="1547" xr:uid="{00000000-0005-0000-0000-000090910000}"/>
    <cellStyle name="Normal 2 2 2 3 4 2" xfId="4107" xr:uid="{00000000-0005-0000-0000-000091910000}"/>
    <cellStyle name="Normal 2 2 2 3 4 2 2" xfId="9227" xr:uid="{00000000-0005-0000-0000-000092910000}"/>
    <cellStyle name="Normal 2 2 2 3 4 2 2 2" xfId="19467" xr:uid="{00000000-0005-0000-0000-000093910000}"/>
    <cellStyle name="Normal 2 2 2 3 4 2 2 2 2" xfId="39947" xr:uid="{00000000-0005-0000-0000-000094910000}"/>
    <cellStyle name="Normal 2 2 2 3 4 2 2 3" xfId="29707" xr:uid="{00000000-0005-0000-0000-000095910000}"/>
    <cellStyle name="Normal 2 2 2 3 4 2 3" xfId="14347" xr:uid="{00000000-0005-0000-0000-000096910000}"/>
    <cellStyle name="Normal 2 2 2 3 4 2 3 2" xfId="34827" xr:uid="{00000000-0005-0000-0000-000097910000}"/>
    <cellStyle name="Normal 2 2 2 3 4 2 4" xfId="24587" xr:uid="{00000000-0005-0000-0000-000098910000}"/>
    <cellStyle name="Normal 2 2 2 3 4 3" xfId="6667" xr:uid="{00000000-0005-0000-0000-000099910000}"/>
    <cellStyle name="Normal 2 2 2 3 4 3 2" xfId="16907" xr:uid="{00000000-0005-0000-0000-00009A910000}"/>
    <cellStyle name="Normal 2 2 2 3 4 3 2 2" xfId="37387" xr:uid="{00000000-0005-0000-0000-00009B910000}"/>
    <cellStyle name="Normal 2 2 2 3 4 3 3" xfId="27147" xr:uid="{00000000-0005-0000-0000-00009C910000}"/>
    <cellStyle name="Normal 2 2 2 3 4 4" xfId="11787" xr:uid="{00000000-0005-0000-0000-00009D910000}"/>
    <cellStyle name="Normal 2 2 2 3 4 4 2" xfId="32267" xr:uid="{00000000-0005-0000-0000-00009E910000}"/>
    <cellStyle name="Normal 2 2 2 3 4 5" xfId="22027" xr:uid="{00000000-0005-0000-0000-00009F910000}"/>
    <cellStyle name="Normal 2 2 2 3 5" xfId="2827" xr:uid="{00000000-0005-0000-0000-0000A0910000}"/>
    <cellStyle name="Normal 2 2 2 3 5 2" xfId="7947" xr:uid="{00000000-0005-0000-0000-0000A1910000}"/>
    <cellStyle name="Normal 2 2 2 3 5 2 2" xfId="18187" xr:uid="{00000000-0005-0000-0000-0000A2910000}"/>
    <cellStyle name="Normal 2 2 2 3 5 2 2 2" xfId="38667" xr:uid="{00000000-0005-0000-0000-0000A3910000}"/>
    <cellStyle name="Normal 2 2 2 3 5 2 3" xfId="28427" xr:uid="{00000000-0005-0000-0000-0000A4910000}"/>
    <cellStyle name="Normal 2 2 2 3 5 3" xfId="13067" xr:uid="{00000000-0005-0000-0000-0000A5910000}"/>
    <cellStyle name="Normal 2 2 2 3 5 3 2" xfId="33547" xr:uid="{00000000-0005-0000-0000-0000A6910000}"/>
    <cellStyle name="Normal 2 2 2 3 5 4" xfId="23307" xr:uid="{00000000-0005-0000-0000-0000A7910000}"/>
    <cellStyle name="Normal 2 2 2 3 6" xfId="5387" xr:uid="{00000000-0005-0000-0000-0000A8910000}"/>
    <cellStyle name="Normal 2 2 2 3 6 2" xfId="15627" xr:uid="{00000000-0005-0000-0000-0000A9910000}"/>
    <cellStyle name="Normal 2 2 2 3 6 2 2" xfId="36107" xr:uid="{00000000-0005-0000-0000-0000AA910000}"/>
    <cellStyle name="Normal 2 2 2 3 6 3" xfId="25867" xr:uid="{00000000-0005-0000-0000-0000AB910000}"/>
    <cellStyle name="Normal 2 2 2 3 7" xfId="10507" xr:uid="{00000000-0005-0000-0000-0000AC910000}"/>
    <cellStyle name="Normal 2 2 2 3 7 2" xfId="30987" xr:uid="{00000000-0005-0000-0000-0000AD910000}"/>
    <cellStyle name="Normal 2 2 2 3 8" xfId="20747" xr:uid="{00000000-0005-0000-0000-0000AE910000}"/>
    <cellStyle name="Normal 2 2 2 4" xfId="427" xr:uid="{00000000-0005-0000-0000-0000AF910000}"/>
    <cellStyle name="Normal 2 2 2 4 2" xfId="1067" xr:uid="{00000000-0005-0000-0000-0000B0910000}"/>
    <cellStyle name="Normal 2 2 2 4 2 2" xfId="2347" xr:uid="{00000000-0005-0000-0000-0000B1910000}"/>
    <cellStyle name="Normal 2 2 2 4 2 2 2" xfId="4907" xr:uid="{00000000-0005-0000-0000-0000B2910000}"/>
    <cellStyle name="Normal 2 2 2 4 2 2 2 2" xfId="10027" xr:uid="{00000000-0005-0000-0000-0000B3910000}"/>
    <cellStyle name="Normal 2 2 2 4 2 2 2 2 2" xfId="20267" xr:uid="{00000000-0005-0000-0000-0000B4910000}"/>
    <cellStyle name="Normal 2 2 2 4 2 2 2 2 2 2" xfId="40747" xr:uid="{00000000-0005-0000-0000-0000B5910000}"/>
    <cellStyle name="Normal 2 2 2 4 2 2 2 2 3" xfId="30507" xr:uid="{00000000-0005-0000-0000-0000B6910000}"/>
    <cellStyle name="Normal 2 2 2 4 2 2 2 3" xfId="15147" xr:uid="{00000000-0005-0000-0000-0000B7910000}"/>
    <cellStyle name="Normal 2 2 2 4 2 2 2 3 2" xfId="35627" xr:uid="{00000000-0005-0000-0000-0000B8910000}"/>
    <cellStyle name="Normal 2 2 2 4 2 2 2 4" xfId="25387" xr:uid="{00000000-0005-0000-0000-0000B9910000}"/>
    <cellStyle name="Normal 2 2 2 4 2 2 3" xfId="7467" xr:uid="{00000000-0005-0000-0000-0000BA910000}"/>
    <cellStyle name="Normal 2 2 2 4 2 2 3 2" xfId="17707" xr:uid="{00000000-0005-0000-0000-0000BB910000}"/>
    <cellStyle name="Normal 2 2 2 4 2 2 3 2 2" xfId="38187" xr:uid="{00000000-0005-0000-0000-0000BC910000}"/>
    <cellStyle name="Normal 2 2 2 4 2 2 3 3" xfId="27947" xr:uid="{00000000-0005-0000-0000-0000BD910000}"/>
    <cellStyle name="Normal 2 2 2 4 2 2 4" xfId="12587" xr:uid="{00000000-0005-0000-0000-0000BE910000}"/>
    <cellStyle name="Normal 2 2 2 4 2 2 4 2" xfId="33067" xr:uid="{00000000-0005-0000-0000-0000BF910000}"/>
    <cellStyle name="Normal 2 2 2 4 2 2 5" xfId="22827" xr:uid="{00000000-0005-0000-0000-0000C0910000}"/>
    <cellStyle name="Normal 2 2 2 4 2 3" xfId="3627" xr:uid="{00000000-0005-0000-0000-0000C1910000}"/>
    <cellStyle name="Normal 2 2 2 4 2 3 2" xfId="8747" xr:uid="{00000000-0005-0000-0000-0000C2910000}"/>
    <cellStyle name="Normal 2 2 2 4 2 3 2 2" xfId="18987" xr:uid="{00000000-0005-0000-0000-0000C3910000}"/>
    <cellStyle name="Normal 2 2 2 4 2 3 2 2 2" xfId="39467" xr:uid="{00000000-0005-0000-0000-0000C4910000}"/>
    <cellStyle name="Normal 2 2 2 4 2 3 2 3" xfId="29227" xr:uid="{00000000-0005-0000-0000-0000C5910000}"/>
    <cellStyle name="Normal 2 2 2 4 2 3 3" xfId="13867" xr:uid="{00000000-0005-0000-0000-0000C6910000}"/>
    <cellStyle name="Normal 2 2 2 4 2 3 3 2" xfId="34347" xr:uid="{00000000-0005-0000-0000-0000C7910000}"/>
    <cellStyle name="Normal 2 2 2 4 2 3 4" xfId="24107" xr:uid="{00000000-0005-0000-0000-0000C8910000}"/>
    <cellStyle name="Normal 2 2 2 4 2 4" xfId="6187" xr:uid="{00000000-0005-0000-0000-0000C9910000}"/>
    <cellStyle name="Normal 2 2 2 4 2 4 2" xfId="16427" xr:uid="{00000000-0005-0000-0000-0000CA910000}"/>
    <cellStyle name="Normal 2 2 2 4 2 4 2 2" xfId="36907" xr:uid="{00000000-0005-0000-0000-0000CB910000}"/>
    <cellStyle name="Normal 2 2 2 4 2 4 3" xfId="26667" xr:uid="{00000000-0005-0000-0000-0000CC910000}"/>
    <cellStyle name="Normal 2 2 2 4 2 5" xfId="11307" xr:uid="{00000000-0005-0000-0000-0000CD910000}"/>
    <cellStyle name="Normal 2 2 2 4 2 5 2" xfId="31787" xr:uid="{00000000-0005-0000-0000-0000CE910000}"/>
    <cellStyle name="Normal 2 2 2 4 2 6" xfId="21547" xr:uid="{00000000-0005-0000-0000-0000CF910000}"/>
    <cellStyle name="Normal 2 2 2 4 3" xfId="1707" xr:uid="{00000000-0005-0000-0000-0000D0910000}"/>
    <cellStyle name="Normal 2 2 2 4 3 2" xfId="4267" xr:uid="{00000000-0005-0000-0000-0000D1910000}"/>
    <cellStyle name="Normal 2 2 2 4 3 2 2" xfId="9387" xr:uid="{00000000-0005-0000-0000-0000D2910000}"/>
    <cellStyle name="Normal 2 2 2 4 3 2 2 2" xfId="19627" xr:uid="{00000000-0005-0000-0000-0000D3910000}"/>
    <cellStyle name="Normal 2 2 2 4 3 2 2 2 2" xfId="40107" xr:uid="{00000000-0005-0000-0000-0000D4910000}"/>
    <cellStyle name="Normal 2 2 2 4 3 2 2 3" xfId="29867" xr:uid="{00000000-0005-0000-0000-0000D5910000}"/>
    <cellStyle name="Normal 2 2 2 4 3 2 3" xfId="14507" xr:uid="{00000000-0005-0000-0000-0000D6910000}"/>
    <cellStyle name="Normal 2 2 2 4 3 2 3 2" xfId="34987" xr:uid="{00000000-0005-0000-0000-0000D7910000}"/>
    <cellStyle name="Normal 2 2 2 4 3 2 4" xfId="24747" xr:uid="{00000000-0005-0000-0000-0000D8910000}"/>
    <cellStyle name="Normal 2 2 2 4 3 3" xfId="6827" xr:uid="{00000000-0005-0000-0000-0000D9910000}"/>
    <cellStyle name="Normal 2 2 2 4 3 3 2" xfId="17067" xr:uid="{00000000-0005-0000-0000-0000DA910000}"/>
    <cellStyle name="Normal 2 2 2 4 3 3 2 2" xfId="37547" xr:uid="{00000000-0005-0000-0000-0000DB910000}"/>
    <cellStyle name="Normal 2 2 2 4 3 3 3" xfId="27307" xr:uid="{00000000-0005-0000-0000-0000DC910000}"/>
    <cellStyle name="Normal 2 2 2 4 3 4" xfId="11947" xr:uid="{00000000-0005-0000-0000-0000DD910000}"/>
    <cellStyle name="Normal 2 2 2 4 3 4 2" xfId="32427" xr:uid="{00000000-0005-0000-0000-0000DE910000}"/>
    <cellStyle name="Normal 2 2 2 4 3 5" xfId="22187" xr:uid="{00000000-0005-0000-0000-0000DF910000}"/>
    <cellStyle name="Normal 2 2 2 4 4" xfId="2987" xr:uid="{00000000-0005-0000-0000-0000E0910000}"/>
    <cellStyle name="Normal 2 2 2 4 4 2" xfId="8107" xr:uid="{00000000-0005-0000-0000-0000E1910000}"/>
    <cellStyle name="Normal 2 2 2 4 4 2 2" xfId="18347" xr:uid="{00000000-0005-0000-0000-0000E2910000}"/>
    <cellStyle name="Normal 2 2 2 4 4 2 2 2" xfId="38827" xr:uid="{00000000-0005-0000-0000-0000E3910000}"/>
    <cellStyle name="Normal 2 2 2 4 4 2 3" xfId="28587" xr:uid="{00000000-0005-0000-0000-0000E4910000}"/>
    <cellStyle name="Normal 2 2 2 4 4 3" xfId="13227" xr:uid="{00000000-0005-0000-0000-0000E5910000}"/>
    <cellStyle name="Normal 2 2 2 4 4 3 2" xfId="33707" xr:uid="{00000000-0005-0000-0000-0000E6910000}"/>
    <cellStyle name="Normal 2 2 2 4 4 4" xfId="23467" xr:uid="{00000000-0005-0000-0000-0000E7910000}"/>
    <cellStyle name="Normal 2 2 2 4 5" xfId="5547" xr:uid="{00000000-0005-0000-0000-0000E8910000}"/>
    <cellStyle name="Normal 2 2 2 4 5 2" xfId="15787" xr:uid="{00000000-0005-0000-0000-0000E9910000}"/>
    <cellStyle name="Normal 2 2 2 4 5 2 2" xfId="36267" xr:uid="{00000000-0005-0000-0000-0000EA910000}"/>
    <cellStyle name="Normal 2 2 2 4 5 3" xfId="26027" xr:uid="{00000000-0005-0000-0000-0000EB910000}"/>
    <cellStyle name="Normal 2 2 2 4 6" xfId="10667" xr:uid="{00000000-0005-0000-0000-0000EC910000}"/>
    <cellStyle name="Normal 2 2 2 4 6 2" xfId="31147" xr:uid="{00000000-0005-0000-0000-0000ED910000}"/>
    <cellStyle name="Normal 2 2 2 4 7" xfId="20907" xr:uid="{00000000-0005-0000-0000-0000EE910000}"/>
    <cellStyle name="Normal 2 2 2 5" xfId="747" xr:uid="{00000000-0005-0000-0000-0000EF910000}"/>
    <cellStyle name="Normal 2 2 2 5 2" xfId="2027" xr:uid="{00000000-0005-0000-0000-0000F0910000}"/>
    <cellStyle name="Normal 2 2 2 5 2 2" xfId="4587" xr:uid="{00000000-0005-0000-0000-0000F1910000}"/>
    <cellStyle name="Normal 2 2 2 5 2 2 2" xfId="9707" xr:uid="{00000000-0005-0000-0000-0000F2910000}"/>
    <cellStyle name="Normal 2 2 2 5 2 2 2 2" xfId="19947" xr:uid="{00000000-0005-0000-0000-0000F3910000}"/>
    <cellStyle name="Normal 2 2 2 5 2 2 2 2 2" xfId="40427" xr:uid="{00000000-0005-0000-0000-0000F4910000}"/>
    <cellStyle name="Normal 2 2 2 5 2 2 2 3" xfId="30187" xr:uid="{00000000-0005-0000-0000-0000F5910000}"/>
    <cellStyle name="Normal 2 2 2 5 2 2 3" xfId="14827" xr:uid="{00000000-0005-0000-0000-0000F6910000}"/>
    <cellStyle name="Normal 2 2 2 5 2 2 3 2" xfId="35307" xr:uid="{00000000-0005-0000-0000-0000F7910000}"/>
    <cellStyle name="Normal 2 2 2 5 2 2 4" xfId="25067" xr:uid="{00000000-0005-0000-0000-0000F8910000}"/>
    <cellStyle name="Normal 2 2 2 5 2 3" xfId="7147" xr:uid="{00000000-0005-0000-0000-0000F9910000}"/>
    <cellStyle name="Normal 2 2 2 5 2 3 2" xfId="17387" xr:uid="{00000000-0005-0000-0000-0000FA910000}"/>
    <cellStyle name="Normal 2 2 2 5 2 3 2 2" xfId="37867" xr:uid="{00000000-0005-0000-0000-0000FB910000}"/>
    <cellStyle name="Normal 2 2 2 5 2 3 3" xfId="27627" xr:uid="{00000000-0005-0000-0000-0000FC910000}"/>
    <cellStyle name="Normal 2 2 2 5 2 4" xfId="12267" xr:uid="{00000000-0005-0000-0000-0000FD910000}"/>
    <cellStyle name="Normal 2 2 2 5 2 4 2" xfId="32747" xr:uid="{00000000-0005-0000-0000-0000FE910000}"/>
    <cellStyle name="Normal 2 2 2 5 2 5" xfId="22507" xr:uid="{00000000-0005-0000-0000-0000FF910000}"/>
    <cellStyle name="Normal 2 2 2 5 3" xfId="3307" xr:uid="{00000000-0005-0000-0000-000000920000}"/>
    <cellStyle name="Normal 2 2 2 5 3 2" xfId="8427" xr:uid="{00000000-0005-0000-0000-000001920000}"/>
    <cellStyle name="Normal 2 2 2 5 3 2 2" xfId="18667" xr:uid="{00000000-0005-0000-0000-000002920000}"/>
    <cellStyle name="Normal 2 2 2 5 3 2 2 2" xfId="39147" xr:uid="{00000000-0005-0000-0000-000003920000}"/>
    <cellStyle name="Normal 2 2 2 5 3 2 3" xfId="28907" xr:uid="{00000000-0005-0000-0000-000004920000}"/>
    <cellStyle name="Normal 2 2 2 5 3 3" xfId="13547" xr:uid="{00000000-0005-0000-0000-000005920000}"/>
    <cellStyle name="Normal 2 2 2 5 3 3 2" xfId="34027" xr:uid="{00000000-0005-0000-0000-000006920000}"/>
    <cellStyle name="Normal 2 2 2 5 3 4" xfId="23787" xr:uid="{00000000-0005-0000-0000-000007920000}"/>
    <cellStyle name="Normal 2 2 2 5 4" xfId="5867" xr:uid="{00000000-0005-0000-0000-000008920000}"/>
    <cellStyle name="Normal 2 2 2 5 4 2" xfId="16107" xr:uid="{00000000-0005-0000-0000-000009920000}"/>
    <cellStyle name="Normal 2 2 2 5 4 2 2" xfId="36587" xr:uid="{00000000-0005-0000-0000-00000A920000}"/>
    <cellStyle name="Normal 2 2 2 5 4 3" xfId="26347" xr:uid="{00000000-0005-0000-0000-00000B920000}"/>
    <cellStyle name="Normal 2 2 2 5 5" xfId="10987" xr:uid="{00000000-0005-0000-0000-00000C920000}"/>
    <cellStyle name="Normal 2 2 2 5 5 2" xfId="31467" xr:uid="{00000000-0005-0000-0000-00000D920000}"/>
    <cellStyle name="Normal 2 2 2 5 6" xfId="21227" xr:uid="{00000000-0005-0000-0000-00000E920000}"/>
    <cellStyle name="Normal 2 2 2 6" xfId="1387" xr:uid="{00000000-0005-0000-0000-00000F920000}"/>
    <cellStyle name="Normal 2 2 2 6 2" xfId="3947" xr:uid="{00000000-0005-0000-0000-000010920000}"/>
    <cellStyle name="Normal 2 2 2 6 2 2" xfId="9067" xr:uid="{00000000-0005-0000-0000-000011920000}"/>
    <cellStyle name="Normal 2 2 2 6 2 2 2" xfId="19307" xr:uid="{00000000-0005-0000-0000-000012920000}"/>
    <cellStyle name="Normal 2 2 2 6 2 2 2 2" xfId="39787" xr:uid="{00000000-0005-0000-0000-000013920000}"/>
    <cellStyle name="Normal 2 2 2 6 2 2 3" xfId="29547" xr:uid="{00000000-0005-0000-0000-000014920000}"/>
    <cellStyle name="Normal 2 2 2 6 2 3" xfId="14187" xr:uid="{00000000-0005-0000-0000-000015920000}"/>
    <cellStyle name="Normal 2 2 2 6 2 3 2" xfId="34667" xr:uid="{00000000-0005-0000-0000-000016920000}"/>
    <cellStyle name="Normal 2 2 2 6 2 4" xfId="24427" xr:uid="{00000000-0005-0000-0000-000017920000}"/>
    <cellStyle name="Normal 2 2 2 6 3" xfId="6507" xr:uid="{00000000-0005-0000-0000-000018920000}"/>
    <cellStyle name="Normal 2 2 2 6 3 2" xfId="16747" xr:uid="{00000000-0005-0000-0000-000019920000}"/>
    <cellStyle name="Normal 2 2 2 6 3 2 2" xfId="37227" xr:uid="{00000000-0005-0000-0000-00001A920000}"/>
    <cellStyle name="Normal 2 2 2 6 3 3" xfId="26987" xr:uid="{00000000-0005-0000-0000-00001B920000}"/>
    <cellStyle name="Normal 2 2 2 6 4" xfId="11627" xr:uid="{00000000-0005-0000-0000-00001C920000}"/>
    <cellStyle name="Normal 2 2 2 6 4 2" xfId="32107" xr:uid="{00000000-0005-0000-0000-00001D920000}"/>
    <cellStyle name="Normal 2 2 2 6 5" xfId="21867" xr:uid="{00000000-0005-0000-0000-00001E920000}"/>
    <cellStyle name="Normal 2 2 2 7" xfId="2667" xr:uid="{00000000-0005-0000-0000-00001F920000}"/>
    <cellStyle name="Normal 2 2 2 7 2" xfId="7787" xr:uid="{00000000-0005-0000-0000-000020920000}"/>
    <cellStyle name="Normal 2 2 2 7 2 2" xfId="18027" xr:uid="{00000000-0005-0000-0000-000021920000}"/>
    <cellStyle name="Normal 2 2 2 7 2 2 2" xfId="38507" xr:uid="{00000000-0005-0000-0000-000022920000}"/>
    <cellStyle name="Normal 2 2 2 7 2 3" xfId="28267" xr:uid="{00000000-0005-0000-0000-000023920000}"/>
    <cellStyle name="Normal 2 2 2 7 3" xfId="12907" xr:uid="{00000000-0005-0000-0000-000024920000}"/>
    <cellStyle name="Normal 2 2 2 7 3 2" xfId="33387" xr:uid="{00000000-0005-0000-0000-000025920000}"/>
    <cellStyle name="Normal 2 2 2 7 4" xfId="23147" xr:uid="{00000000-0005-0000-0000-000026920000}"/>
    <cellStyle name="Normal 2 2 2 8" xfId="5227" xr:uid="{00000000-0005-0000-0000-000027920000}"/>
    <cellStyle name="Normal 2 2 2 8 2" xfId="15467" xr:uid="{00000000-0005-0000-0000-000028920000}"/>
    <cellStyle name="Normal 2 2 2 8 2 2" xfId="35947" xr:uid="{00000000-0005-0000-0000-000029920000}"/>
    <cellStyle name="Normal 2 2 2 8 3" xfId="25707" xr:uid="{00000000-0005-0000-0000-00002A920000}"/>
    <cellStyle name="Normal 2 2 2 9" xfId="10347" xr:uid="{00000000-0005-0000-0000-00002B920000}"/>
    <cellStyle name="Normal 2 2 2 9 2" xfId="30827" xr:uid="{00000000-0005-0000-0000-00002C920000}"/>
    <cellStyle name="Normal 2 2 3" xfId="147" xr:uid="{00000000-0005-0000-0000-00002D920000}"/>
    <cellStyle name="Normal 2 2 3 2" xfId="307" xr:uid="{00000000-0005-0000-0000-00002E920000}"/>
    <cellStyle name="Normal 2 2 3 2 2" xfId="627" xr:uid="{00000000-0005-0000-0000-00002F920000}"/>
    <cellStyle name="Normal 2 2 3 2 2 2" xfId="1267" xr:uid="{00000000-0005-0000-0000-000030920000}"/>
    <cellStyle name="Normal 2 2 3 2 2 2 2" xfId="2547" xr:uid="{00000000-0005-0000-0000-000031920000}"/>
    <cellStyle name="Normal 2 2 3 2 2 2 2 2" xfId="5107" xr:uid="{00000000-0005-0000-0000-000032920000}"/>
    <cellStyle name="Normal 2 2 3 2 2 2 2 2 2" xfId="10227" xr:uid="{00000000-0005-0000-0000-000033920000}"/>
    <cellStyle name="Normal 2 2 3 2 2 2 2 2 2 2" xfId="20467" xr:uid="{00000000-0005-0000-0000-000034920000}"/>
    <cellStyle name="Normal 2 2 3 2 2 2 2 2 2 2 2" xfId="40947" xr:uid="{00000000-0005-0000-0000-000035920000}"/>
    <cellStyle name="Normal 2 2 3 2 2 2 2 2 2 3" xfId="30707" xr:uid="{00000000-0005-0000-0000-000036920000}"/>
    <cellStyle name="Normal 2 2 3 2 2 2 2 2 3" xfId="15347" xr:uid="{00000000-0005-0000-0000-000037920000}"/>
    <cellStyle name="Normal 2 2 3 2 2 2 2 2 3 2" xfId="35827" xr:uid="{00000000-0005-0000-0000-000038920000}"/>
    <cellStyle name="Normal 2 2 3 2 2 2 2 2 4" xfId="25587" xr:uid="{00000000-0005-0000-0000-000039920000}"/>
    <cellStyle name="Normal 2 2 3 2 2 2 2 3" xfId="7667" xr:uid="{00000000-0005-0000-0000-00003A920000}"/>
    <cellStyle name="Normal 2 2 3 2 2 2 2 3 2" xfId="17907" xr:uid="{00000000-0005-0000-0000-00003B920000}"/>
    <cellStyle name="Normal 2 2 3 2 2 2 2 3 2 2" xfId="38387" xr:uid="{00000000-0005-0000-0000-00003C920000}"/>
    <cellStyle name="Normal 2 2 3 2 2 2 2 3 3" xfId="28147" xr:uid="{00000000-0005-0000-0000-00003D920000}"/>
    <cellStyle name="Normal 2 2 3 2 2 2 2 4" xfId="12787" xr:uid="{00000000-0005-0000-0000-00003E920000}"/>
    <cellStyle name="Normal 2 2 3 2 2 2 2 4 2" xfId="33267" xr:uid="{00000000-0005-0000-0000-00003F920000}"/>
    <cellStyle name="Normal 2 2 3 2 2 2 2 5" xfId="23027" xr:uid="{00000000-0005-0000-0000-000040920000}"/>
    <cellStyle name="Normal 2 2 3 2 2 2 3" xfId="3827" xr:uid="{00000000-0005-0000-0000-000041920000}"/>
    <cellStyle name="Normal 2 2 3 2 2 2 3 2" xfId="8947" xr:uid="{00000000-0005-0000-0000-000042920000}"/>
    <cellStyle name="Normal 2 2 3 2 2 2 3 2 2" xfId="19187" xr:uid="{00000000-0005-0000-0000-000043920000}"/>
    <cellStyle name="Normal 2 2 3 2 2 2 3 2 2 2" xfId="39667" xr:uid="{00000000-0005-0000-0000-000044920000}"/>
    <cellStyle name="Normal 2 2 3 2 2 2 3 2 3" xfId="29427" xr:uid="{00000000-0005-0000-0000-000045920000}"/>
    <cellStyle name="Normal 2 2 3 2 2 2 3 3" xfId="14067" xr:uid="{00000000-0005-0000-0000-000046920000}"/>
    <cellStyle name="Normal 2 2 3 2 2 2 3 3 2" xfId="34547" xr:uid="{00000000-0005-0000-0000-000047920000}"/>
    <cellStyle name="Normal 2 2 3 2 2 2 3 4" xfId="24307" xr:uid="{00000000-0005-0000-0000-000048920000}"/>
    <cellStyle name="Normal 2 2 3 2 2 2 4" xfId="6387" xr:uid="{00000000-0005-0000-0000-000049920000}"/>
    <cellStyle name="Normal 2 2 3 2 2 2 4 2" xfId="16627" xr:uid="{00000000-0005-0000-0000-00004A920000}"/>
    <cellStyle name="Normal 2 2 3 2 2 2 4 2 2" xfId="37107" xr:uid="{00000000-0005-0000-0000-00004B920000}"/>
    <cellStyle name="Normal 2 2 3 2 2 2 4 3" xfId="26867" xr:uid="{00000000-0005-0000-0000-00004C920000}"/>
    <cellStyle name="Normal 2 2 3 2 2 2 5" xfId="11507" xr:uid="{00000000-0005-0000-0000-00004D920000}"/>
    <cellStyle name="Normal 2 2 3 2 2 2 5 2" xfId="31987" xr:uid="{00000000-0005-0000-0000-00004E920000}"/>
    <cellStyle name="Normal 2 2 3 2 2 2 6" xfId="21747" xr:uid="{00000000-0005-0000-0000-00004F920000}"/>
    <cellStyle name="Normal 2 2 3 2 2 3" xfId="1907" xr:uid="{00000000-0005-0000-0000-000050920000}"/>
    <cellStyle name="Normal 2 2 3 2 2 3 2" xfId="4467" xr:uid="{00000000-0005-0000-0000-000051920000}"/>
    <cellStyle name="Normal 2 2 3 2 2 3 2 2" xfId="9587" xr:uid="{00000000-0005-0000-0000-000052920000}"/>
    <cellStyle name="Normal 2 2 3 2 2 3 2 2 2" xfId="19827" xr:uid="{00000000-0005-0000-0000-000053920000}"/>
    <cellStyle name="Normal 2 2 3 2 2 3 2 2 2 2" xfId="40307" xr:uid="{00000000-0005-0000-0000-000054920000}"/>
    <cellStyle name="Normal 2 2 3 2 2 3 2 2 3" xfId="30067" xr:uid="{00000000-0005-0000-0000-000055920000}"/>
    <cellStyle name="Normal 2 2 3 2 2 3 2 3" xfId="14707" xr:uid="{00000000-0005-0000-0000-000056920000}"/>
    <cellStyle name="Normal 2 2 3 2 2 3 2 3 2" xfId="35187" xr:uid="{00000000-0005-0000-0000-000057920000}"/>
    <cellStyle name="Normal 2 2 3 2 2 3 2 4" xfId="24947" xr:uid="{00000000-0005-0000-0000-000058920000}"/>
    <cellStyle name="Normal 2 2 3 2 2 3 3" xfId="7027" xr:uid="{00000000-0005-0000-0000-000059920000}"/>
    <cellStyle name="Normal 2 2 3 2 2 3 3 2" xfId="17267" xr:uid="{00000000-0005-0000-0000-00005A920000}"/>
    <cellStyle name="Normal 2 2 3 2 2 3 3 2 2" xfId="37747" xr:uid="{00000000-0005-0000-0000-00005B920000}"/>
    <cellStyle name="Normal 2 2 3 2 2 3 3 3" xfId="27507" xr:uid="{00000000-0005-0000-0000-00005C920000}"/>
    <cellStyle name="Normal 2 2 3 2 2 3 4" xfId="12147" xr:uid="{00000000-0005-0000-0000-00005D920000}"/>
    <cellStyle name="Normal 2 2 3 2 2 3 4 2" xfId="32627" xr:uid="{00000000-0005-0000-0000-00005E920000}"/>
    <cellStyle name="Normal 2 2 3 2 2 3 5" xfId="22387" xr:uid="{00000000-0005-0000-0000-00005F920000}"/>
    <cellStyle name="Normal 2 2 3 2 2 4" xfId="3187" xr:uid="{00000000-0005-0000-0000-000060920000}"/>
    <cellStyle name="Normal 2 2 3 2 2 4 2" xfId="8307" xr:uid="{00000000-0005-0000-0000-000061920000}"/>
    <cellStyle name="Normal 2 2 3 2 2 4 2 2" xfId="18547" xr:uid="{00000000-0005-0000-0000-000062920000}"/>
    <cellStyle name="Normal 2 2 3 2 2 4 2 2 2" xfId="39027" xr:uid="{00000000-0005-0000-0000-000063920000}"/>
    <cellStyle name="Normal 2 2 3 2 2 4 2 3" xfId="28787" xr:uid="{00000000-0005-0000-0000-000064920000}"/>
    <cellStyle name="Normal 2 2 3 2 2 4 3" xfId="13427" xr:uid="{00000000-0005-0000-0000-000065920000}"/>
    <cellStyle name="Normal 2 2 3 2 2 4 3 2" xfId="33907" xr:uid="{00000000-0005-0000-0000-000066920000}"/>
    <cellStyle name="Normal 2 2 3 2 2 4 4" xfId="23667" xr:uid="{00000000-0005-0000-0000-000067920000}"/>
    <cellStyle name="Normal 2 2 3 2 2 5" xfId="5747" xr:uid="{00000000-0005-0000-0000-000068920000}"/>
    <cellStyle name="Normal 2 2 3 2 2 5 2" xfId="15987" xr:uid="{00000000-0005-0000-0000-000069920000}"/>
    <cellStyle name="Normal 2 2 3 2 2 5 2 2" xfId="36467" xr:uid="{00000000-0005-0000-0000-00006A920000}"/>
    <cellStyle name="Normal 2 2 3 2 2 5 3" xfId="26227" xr:uid="{00000000-0005-0000-0000-00006B920000}"/>
    <cellStyle name="Normal 2 2 3 2 2 6" xfId="10867" xr:uid="{00000000-0005-0000-0000-00006C920000}"/>
    <cellStyle name="Normal 2 2 3 2 2 6 2" xfId="31347" xr:uid="{00000000-0005-0000-0000-00006D920000}"/>
    <cellStyle name="Normal 2 2 3 2 2 7" xfId="21107" xr:uid="{00000000-0005-0000-0000-00006E920000}"/>
    <cellStyle name="Normal 2 2 3 2 3" xfId="947" xr:uid="{00000000-0005-0000-0000-00006F920000}"/>
    <cellStyle name="Normal 2 2 3 2 3 2" xfId="2227" xr:uid="{00000000-0005-0000-0000-000070920000}"/>
    <cellStyle name="Normal 2 2 3 2 3 2 2" xfId="4787" xr:uid="{00000000-0005-0000-0000-000071920000}"/>
    <cellStyle name="Normal 2 2 3 2 3 2 2 2" xfId="9907" xr:uid="{00000000-0005-0000-0000-000072920000}"/>
    <cellStyle name="Normal 2 2 3 2 3 2 2 2 2" xfId="20147" xr:uid="{00000000-0005-0000-0000-000073920000}"/>
    <cellStyle name="Normal 2 2 3 2 3 2 2 2 2 2" xfId="40627" xr:uid="{00000000-0005-0000-0000-000074920000}"/>
    <cellStyle name="Normal 2 2 3 2 3 2 2 2 3" xfId="30387" xr:uid="{00000000-0005-0000-0000-000075920000}"/>
    <cellStyle name="Normal 2 2 3 2 3 2 2 3" xfId="15027" xr:uid="{00000000-0005-0000-0000-000076920000}"/>
    <cellStyle name="Normal 2 2 3 2 3 2 2 3 2" xfId="35507" xr:uid="{00000000-0005-0000-0000-000077920000}"/>
    <cellStyle name="Normal 2 2 3 2 3 2 2 4" xfId="25267" xr:uid="{00000000-0005-0000-0000-000078920000}"/>
    <cellStyle name="Normal 2 2 3 2 3 2 3" xfId="7347" xr:uid="{00000000-0005-0000-0000-000079920000}"/>
    <cellStyle name="Normal 2 2 3 2 3 2 3 2" xfId="17587" xr:uid="{00000000-0005-0000-0000-00007A920000}"/>
    <cellStyle name="Normal 2 2 3 2 3 2 3 2 2" xfId="38067" xr:uid="{00000000-0005-0000-0000-00007B920000}"/>
    <cellStyle name="Normal 2 2 3 2 3 2 3 3" xfId="27827" xr:uid="{00000000-0005-0000-0000-00007C920000}"/>
    <cellStyle name="Normal 2 2 3 2 3 2 4" xfId="12467" xr:uid="{00000000-0005-0000-0000-00007D920000}"/>
    <cellStyle name="Normal 2 2 3 2 3 2 4 2" xfId="32947" xr:uid="{00000000-0005-0000-0000-00007E920000}"/>
    <cellStyle name="Normal 2 2 3 2 3 2 5" xfId="22707" xr:uid="{00000000-0005-0000-0000-00007F920000}"/>
    <cellStyle name="Normal 2 2 3 2 3 3" xfId="3507" xr:uid="{00000000-0005-0000-0000-000080920000}"/>
    <cellStyle name="Normal 2 2 3 2 3 3 2" xfId="8627" xr:uid="{00000000-0005-0000-0000-000081920000}"/>
    <cellStyle name="Normal 2 2 3 2 3 3 2 2" xfId="18867" xr:uid="{00000000-0005-0000-0000-000082920000}"/>
    <cellStyle name="Normal 2 2 3 2 3 3 2 2 2" xfId="39347" xr:uid="{00000000-0005-0000-0000-000083920000}"/>
    <cellStyle name="Normal 2 2 3 2 3 3 2 3" xfId="29107" xr:uid="{00000000-0005-0000-0000-000084920000}"/>
    <cellStyle name="Normal 2 2 3 2 3 3 3" xfId="13747" xr:uid="{00000000-0005-0000-0000-000085920000}"/>
    <cellStyle name="Normal 2 2 3 2 3 3 3 2" xfId="34227" xr:uid="{00000000-0005-0000-0000-000086920000}"/>
    <cellStyle name="Normal 2 2 3 2 3 3 4" xfId="23987" xr:uid="{00000000-0005-0000-0000-000087920000}"/>
    <cellStyle name="Normal 2 2 3 2 3 4" xfId="6067" xr:uid="{00000000-0005-0000-0000-000088920000}"/>
    <cellStyle name="Normal 2 2 3 2 3 4 2" xfId="16307" xr:uid="{00000000-0005-0000-0000-000089920000}"/>
    <cellStyle name="Normal 2 2 3 2 3 4 2 2" xfId="36787" xr:uid="{00000000-0005-0000-0000-00008A920000}"/>
    <cellStyle name="Normal 2 2 3 2 3 4 3" xfId="26547" xr:uid="{00000000-0005-0000-0000-00008B920000}"/>
    <cellStyle name="Normal 2 2 3 2 3 5" xfId="11187" xr:uid="{00000000-0005-0000-0000-00008C920000}"/>
    <cellStyle name="Normal 2 2 3 2 3 5 2" xfId="31667" xr:uid="{00000000-0005-0000-0000-00008D920000}"/>
    <cellStyle name="Normal 2 2 3 2 3 6" xfId="21427" xr:uid="{00000000-0005-0000-0000-00008E920000}"/>
    <cellStyle name="Normal 2 2 3 2 4" xfId="1587" xr:uid="{00000000-0005-0000-0000-00008F920000}"/>
    <cellStyle name="Normal 2 2 3 2 4 2" xfId="4147" xr:uid="{00000000-0005-0000-0000-000090920000}"/>
    <cellStyle name="Normal 2 2 3 2 4 2 2" xfId="9267" xr:uid="{00000000-0005-0000-0000-000091920000}"/>
    <cellStyle name="Normal 2 2 3 2 4 2 2 2" xfId="19507" xr:uid="{00000000-0005-0000-0000-000092920000}"/>
    <cellStyle name="Normal 2 2 3 2 4 2 2 2 2" xfId="39987" xr:uid="{00000000-0005-0000-0000-000093920000}"/>
    <cellStyle name="Normal 2 2 3 2 4 2 2 3" xfId="29747" xr:uid="{00000000-0005-0000-0000-000094920000}"/>
    <cellStyle name="Normal 2 2 3 2 4 2 3" xfId="14387" xr:uid="{00000000-0005-0000-0000-000095920000}"/>
    <cellStyle name="Normal 2 2 3 2 4 2 3 2" xfId="34867" xr:uid="{00000000-0005-0000-0000-000096920000}"/>
    <cellStyle name="Normal 2 2 3 2 4 2 4" xfId="24627" xr:uid="{00000000-0005-0000-0000-000097920000}"/>
    <cellStyle name="Normal 2 2 3 2 4 3" xfId="6707" xr:uid="{00000000-0005-0000-0000-000098920000}"/>
    <cellStyle name="Normal 2 2 3 2 4 3 2" xfId="16947" xr:uid="{00000000-0005-0000-0000-000099920000}"/>
    <cellStyle name="Normal 2 2 3 2 4 3 2 2" xfId="37427" xr:uid="{00000000-0005-0000-0000-00009A920000}"/>
    <cellStyle name="Normal 2 2 3 2 4 3 3" xfId="27187" xr:uid="{00000000-0005-0000-0000-00009B920000}"/>
    <cellStyle name="Normal 2 2 3 2 4 4" xfId="11827" xr:uid="{00000000-0005-0000-0000-00009C920000}"/>
    <cellStyle name="Normal 2 2 3 2 4 4 2" xfId="32307" xr:uid="{00000000-0005-0000-0000-00009D920000}"/>
    <cellStyle name="Normal 2 2 3 2 4 5" xfId="22067" xr:uid="{00000000-0005-0000-0000-00009E920000}"/>
    <cellStyle name="Normal 2 2 3 2 5" xfId="2867" xr:uid="{00000000-0005-0000-0000-00009F920000}"/>
    <cellStyle name="Normal 2 2 3 2 5 2" xfId="7987" xr:uid="{00000000-0005-0000-0000-0000A0920000}"/>
    <cellStyle name="Normal 2 2 3 2 5 2 2" xfId="18227" xr:uid="{00000000-0005-0000-0000-0000A1920000}"/>
    <cellStyle name="Normal 2 2 3 2 5 2 2 2" xfId="38707" xr:uid="{00000000-0005-0000-0000-0000A2920000}"/>
    <cellStyle name="Normal 2 2 3 2 5 2 3" xfId="28467" xr:uid="{00000000-0005-0000-0000-0000A3920000}"/>
    <cellStyle name="Normal 2 2 3 2 5 3" xfId="13107" xr:uid="{00000000-0005-0000-0000-0000A4920000}"/>
    <cellStyle name="Normal 2 2 3 2 5 3 2" xfId="33587" xr:uid="{00000000-0005-0000-0000-0000A5920000}"/>
    <cellStyle name="Normal 2 2 3 2 5 4" xfId="23347" xr:uid="{00000000-0005-0000-0000-0000A6920000}"/>
    <cellStyle name="Normal 2 2 3 2 6" xfId="5427" xr:uid="{00000000-0005-0000-0000-0000A7920000}"/>
    <cellStyle name="Normal 2 2 3 2 6 2" xfId="15667" xr:uid="{00000000-0005-0000-0000-0000A8920000}"/>
    <cellStyle name="Normal 2 2 3 2 6 2 2" xfId="36147" xr:uid="{00000000-0005-0000-0000-0000A9920000}"/>
    <cellStyle name="Normal 2 2 3 2 6 3" xfId="25907" xr:uid="{00000000-0005-0000-0000-0000AA920000}"/>
    <cellStyle name="Normal 2 2 3 2 7" xfId="10547" xr:uid="{00000000-0005-0000-0000-0000AB920000}"/>
    <cellStyle name="Normal 2 2 3 2 7 2" xfId="31027" xr:uid="{00000000-0005-0000-0000-0000AC920000}"/>
    <cellStyle name="Normal 2 2 3 2 8" xfId="20787" xr:uid="{00000000-0005-0000-0000-0000AD920000}"/>
    <cellStyle name="Normal 2 2 3 3" xfId="467" xr:uid="{00000000-0005-0000-0000-0000AE920000}"/>
    <cellStyle name="Normal 2 2 3 3 2" xfId="1107" xr:uid="{00000000-0005-0000-0000-0000AF920000}"/>
    <cellStyle name="Normal 2 2 3 3 2 2" xfId="2387" xr:uid="{00000000-0005-0000-0000-0000B0920000}"/>
    <cellStyle name="Normal 2 2 3 3 2 2 2" xfId="4947" xr:uid="{00000000-0005-0000-0000-0000B1920000}"/>
    <cellStyle name="Normal 2 2 3 3 2 2 2 2" xfId="10067" xr:uid="{00000000-0005-0000-0000-0000B2920000}"/>
    <cellStyle name="Normal 2 2 3 3 2 2 2 2 2" xfId="20307" xr:uid="{00000000-0005-0000-0000-0000B3920000}"/>
    <cellStyle name="Normal 2 2 3 3 2 2 2 2 2 2" xfId="40787" xr:uid="{00000000-0005-0000-0000-0000B4920000}"/>
    <cellStyle name="Normal 2 2 3 3 2 2 2 2 3" xfId="30547" xr:uid="{00000000-0005-0000-0000-0000B5920000}"/>
    <cellStyle name="Normal 2 2 3 3 2 2 2 3" xfId="15187" xr:uid="{00000000-0005-0000-0000-0000B6920000}"/>
    <cellStyle name="Normal 2 2 3 3 2 2 2 3 2" xfId="35667" xr:uid="{00000000-0005-0000-0000-0000B7920000}"/>
    <cellStyle name="Normal 2 2 3 3 2 2 2 4" xfId="25427" xr:uid="{00000000-0005-0000-0000-0000B8920000}"/>
    <cellStyle name="Normal 2 2 3 3 2 2 3" xfId="7507" xr:uid="{00000000-0005-0000-0000-0000B9920000}"/>
    <cellStyle name="Normal 2 2 3 3 2 2 3 2" xfId="17747" xr:uid="{00000000-0005-0000-0000-0000BA920000}"/>
    <cellStyle name="Normal 2 2 3 3 2 2 3 2 2" xfId="38227" xr:uid="{00000000-0005-0000-0000-0000BB920000}"/>
    <cellStyle name="Normal 2 2 3 3 2 2 3 3" xfId="27987" xr:uid="{00000000-0005-0000-0000-0000BC920000}"/>
    <cellStyle name="Normal 2 2 3 3 2 2 4" xfId="12627" xr:uid="{00000000-0005-0000-0000-0000BD920000}"/>
    <cellStyle name="Normal 2 2 3 3 2 2 4 2" xfId="33107" xr:uid="{00000000-0005-0000-0000-0000BE920000}"/>
    <cellStyle name="Normal 2 2 3 3 2 2 5" xfId="22867" xr:uid="{00000000-0005-0000-0000-0000BF920000}"/>
    <cellStyle name="Normal 2 2 3 3 2 3" xfId="3667" xr:uid="{00000000-0005-0000-0000-0000C0920000}"/>
    <cellStyle name="Normal 2 2 3 3 2 3 2" xfId="8787" xr:uid="{00000000-0005-0000-0000-0000C1920000}"/>
    <cellStyle name="Normal 2 2 3 3 2 3 2 2" xfId="19027" xr:uid="{00000000-0005-0000-0000-0000C2920000}"/>
    <cellStyle name="Normal 2 2 3 3 2 3 2 2 2" xfId="39507" xr:uid="{00000000-0005-0000-0000-0000C3920000}"/>
    <cellStyle name="Normal 2 2 3 3 2 3 2 3" xfId="29267" xr:uid="{00000000-0005-0000-0000-0000C4920000}"/>
    <cellStyle name="Normal 2 2 3 3 2 3 3" xfId="13907" xr:uid="{00000000-0005-0000-0000-0000C5920000}"/>
    <cellStyle name="Normal 2 2 3 3 2 3 3 2" xfId="34387" xr:uid="{00000000-0005-0000-0000-0000C6920000}"/>
    <cellStyle name="Normal 2 2 3 3 2 3 4" xfId="24147" xr:uid="{00000000-0005-0000-0000-0000C7920000}"/>
    <cellStyle name="Normal 2 2 3 3 2 4" xfId="6227" xr:uid="{00000000-0005-0000-0000-0000C8920000}"/>
    <cellStyle name="Normal 2 2 3 3 2 4 2" xfId="16467" xr:uid="{00000000-0005-0000-0000-0000C9920000}"/>
    <cellStyle name="Normal 2 2 3 3 2 4 2 2" xfId="36947" xr:uid="{00000000-0005-0000-0000-0000CA920000}"/>
    <cellStyle name="Normal 2 2 3 3 2 4 3" xfId="26707" xr:uid="{00000000-0005-0000-0000-0000CB920000}"/>
    <cellStyle name="Normal 2 2 3 3 2 5" xfId="11347" xr:uid="{00000000-0005-0000-0000-0000CC920000}"/>
    <cellStyle name="Normal 2 2 3 3 2 5 2" xfId="31827" xr:uid="{00000000-0005-0000-0000-0000CD920000}"/>
    <cellStyle name="Normal 2 2 3 3 2 6" xfId="21587" xr:uid="{00000000-0005-0000-0000-0000CE920000}"/>
    <cellStyle name="Normal 2 2 3 3 3" xfId="1747" xr:uid="{00000000-0005-0000-0000-0000CF920000}"/>
    <cellStyle name="Normal 2 2 3 3 3 2" xfId="4307" xr:uid="{00000000-0005-0000-0000-0000D0920000}"/>
    <cellStyle name="Normal 2 2 3 3 3 2 2" xfId="9427" xr:uid="{00000000-0005-0000-0000-0000D1920000}"/>
    <cellStyle name="Normal 2 2 3 3 3 2 2 2" xfId="19667" xr:uid="{00000000-0005-0000-0000-0000D2920000}"/>
    <cellStyle name="Normal 2 2 3 3 3 2 2 2 2" xfId="40147" xr:uid="{00000000-0005-0000-0000-0000D3920000}"/>
    <cellStyle name="Normal 2 2 3 3 3 2 2 3" xfId="29907" xr:uid="{00000000-0005-0000-0000-0000D4920000}"/>
    <cellStyle name="Normal 2 2 3 3 3 2 3" xfId="14547" xr:uid="{00000000-0005-0000-0000-0000D5920000}"/>
    <cellStyle name="Normal 2 2 3 3 3 2 3 2" xfId="35027" xr:uid="{00000000-0005-0000-0000-0000D6920000}"/>
    <cellStyle name="Normal 2 2 3 3 3 2 4" xfId="24787" xr:uid="{00000000-0005-0000-0000-0000D7920000}"/>
    <cellStyle name="Normal 2 2 3 3 3 3" xfId="6867" xr:uid="{00000000-0005-0000-0000-0000D8920000}"/>
    <cellStyle name="Normal 2 2 3 3 3 3 2" xfId="17107" xr:uid="{00000000-0005-0000-0000-0000D9920000}"/>
    <cellStyle name="Normal 2 2 3 3 3 3 2 2" xfId="37587" xr:uid="{00000000-0005-0000-0000-0000DA920000}"/>
    <cellStyle name="Normal 2 2 3 3 3 3 3" xfId="27347" xr:uid="{00000000-0005-0000-0000-0000DB920000}"/>
    <cellStyle name="Normal 2 2 3 3 3 4" xfId="11987" xr:uid="{00000000-0005-0000-0000-0000DC920000}"/>
    <cellStyle name="Normal 2 2 3 3 3 4 2" xfId="32467" xr:uid="{00000000-0005-0000-0000-0000DD920000}"/>
    <cellStyle name="Normal 2 2 3 3 3 5" xfId="22227" xr:uid="{00000000-0005-0000-0000-0000DE920000}"/>
    <cellStyle name="Normal 2 2 3 3 4" xfId="3027" xr:uid="{00000000-0005-0000-0000-0000DF920000}"/>
    <cellStyle name="Normal 2 2 3 3 4 2" xfId="8147" xr:uid="{00000000-0005-0000-0000-0000E0920000}"/>
    <cellStyle name="Normal 2 2 3 3 4 2 2" xfId="18387" xr:uid="{00000000-0005-0000-0000-0000E1920000}"/>
    <cellStyle name="Normal 2 2 3 3 4 2 2 2" xfId="38867" xr:uid="{00000000-0005-0000-0000-0000E2920000}"/>
    <cellStyle name="Normal 2 2 3 3 4 2 3" xfId="28627" xr:uid="{00000000-0005-0000-0000-0000E3920000}"/>
    <cellStyle name="Normal 2 2 3 3 4 3" xfId="13267" xr:uid="{00000000-0005-0000-0000-0000E4920000}"/>
    <cellStyle name="Normal 2 2 3 3 4 3 2" xfId="33747" xr:uid="{00000000-0005-0000-0000-0000E5920000}"/>
    <cellStyle name="Normal 2 2 3 3 4 4" xfId="23507" xr:uid="{00000000-0005-0000-0000-0000E6920000}"/>
    <cellStyle name="Normal 2 2 3 3 5" xfId="5587" xr:uid="{00000000-0005-0000-0000-0000E7920000}"/>
    <cellStyle name="Normal 2 2 3 3 5 2" xfId="15827" xr:uid="{00000000-0005-0000-0000-0000E8920000}"/>
    <cellStyle name="Normal 2 2 3 3 5 2 2" xfId="36307" xr:uid="{00000000-0005-0000-0000-0000E9920000}"/>
    <cellStyle name="Normal 2 2 3 3 5 3" xfId="26067" xr:uid="{00000000-0005-0000-0000-0000EA920000}"/>
    <cellStyle name="Normal 2 2 3 3 6" xfId="10707" xr:uid="{00000000-0005-0000-0000-0000EB920000}"/>
    <cellStyle name="Normal 2 2 3 3 6 2" xfId="31187" xr:uid="{00000000-0005-0000-0000-0000EC920000}"/>
    <cellStyle name="Normal 2 2 3 3 7" xfId="20947" xr:uid="{00000000-0005-0000-0000-0000ED920000}"/>
    <cellStyle name="Normal 2 2 3 4" xfId="787" xr:uid="{00000000-0005-0000-0000-0000EE920000}"/>
    <cellStyle name="Normal 2 2 3 4 2" xfId="2067" xr:uid="{00000000-0005-0000-0000-0000EF920000}"/>
    <cellStyle name="Normal 2 2 3 4 2 2" xfId="4627" xr:uid="{00000000-0005-0000-0000-0000F0920000}"/>
    <cellStyle name="Normal 2 2 3 4 2 2 2" xfId="9747" xr:uid="{00000000-0005-0000-0000-0000F1920000}"/>
    <cellStyle name="Normal 2 2 3 4 2 2 2 2" xfId="19987" xr:uid="{00000000-0005-0000-0000-0000F2920000}"/>
    <cellStyle name="Normal 2 2 3 4 2 2 2 2 2" xfId="40467" xr:uid="{00000000-0005-0000-0000-0000F3920000}"/>
    <cellStyle name="Normal 2 2 3 4 2 2 2 3" xfId="30227" xr:uid="{00000000-0005-0000-0000-0000F4920000}"/>
    <cellStyle name="Normal 2 2 3 4 2 2 3" xfId="14867" xr:uid="{00000000-0005-0000-0000-0000F5920000}"/>
    <cellStyle name="Normal 2 2 3 4 2 2 3 2" xfId="35347" xr:uid="{00000000-0005-0000-0000-0000F6920000}"/>
    <cellStyle name="Normal 2 2 3 4 2 2 4" xfId="25107" xr:uid="{00000000-0005-0000-0000-0000F7920000}"/>
    <cellStyle name="Normal 2 2 3 4 2 3" xfId="7187" xr:uid="{00000000-0005-0000-0000-0000F8920000}"/>
    <cellStyle name="Normal 2 2 3 4 2 3 2" xfId="17427" xr:uid="{00000000-0005-0000-0000-0000F9920000}"/>
    <cellStyle name="Normal 2 2 3 4 2 3 2 2" xfId="37907" xr:uid="{00000000-0005-0000-0000-0000FA920000}"/>
    <cellStyle name="Normal 2 2 3 4 2 3 3" xfId="27667" xr:uid="{00000000-0005-0000-0000-0000FB920000}"/>
    <cellStyle name="Normal 2 2 3 4 2 4" xfId="12307" xr:uid="{00000000-0005-0000-0000-0000FC920000}"/>
    <cellStyle name="Normal 2 2 3 4 2 4 2" xfId="32787" xr:uid="{00000000-0005-0000-0000-0000FD920000}"/>
    <cellStyle name="Normal 2 2 3 4 2 5" xfId="22547" xr:uid="{00000000-0005-0000-0000-0000FE920000}"/>
    <cellStyle name="Normal 2 2 3 4 3" xfId="3347" xr:uid="{00000000-0005-0000-0000-0000FF920000}"/>
    <cellStyle name="Normal 2 2 3 4 3 2" xfId="8467" xr:uid="{00000000-0005-0000-0000-000000930000}"/>
    <cellStyle name="Normal 2 2 3 4 3 2 2" xfId="18707" xr:uid="{00000000-0005-0000-0000-000001930000}"/>
    <cellStyle name="Normal 2 2 3 4 3 2 2 2" xfId="39187" xr:uid="{00000000-0005-0000-0000-000002930000}"/>
    <cellStyle name="Normal 2 2 3 4 3 2 3" xfId="28947" xr:uid="{00000000-0005-0000-0000-000003930000}"/>
    <cellStyle name="Normal 2 2 3 4 3 3" xfId="13587" xr:uid="{00000000-0005-0000-0000-000004930000}"/>
    <cellStyle name="Normal 2 2 3 4 3 3 2" xfId="34067" xr:uid="{00000000-0005-0000-0000-000005930000}"/>
    <cellStyle name="Normal 2 2 3 4 3 4" xfId="23827" xr:uid="{00000000-0005-0000-0000-000006930000}"/>
    <cellStyle name="Normal 2 2 3 4 4" xfId="5907" xr:uid="{00000000-0005-0000-0000-000007930000}"/>
    <cellStyle name="Normal 2 2 3 4 4 2" xfId="16147" xr:uid="{00000000-0005-0000-0000-000008930000}"/>
    <cellStyle name="Normal 2 2 3 4 4 2 2" xfId="36627" xr:uid="{00000000-0005-0000-0000-000009930000}"/>
    <cellStyle name="Normal 2 2 3 4 4 3" xfId="26387" xr:uid="{00000000-0005-0000-0000-00000A930000}"/>
    <cellStyle name="Normal 2 2 3 4 5" xfId="11027" xr:uid="{00000000-0005-0000-0000-00000B930000}"/>
    <cellStyle name="Normal 2 2 3 4 5 2" xfId="31507" xr:uid="{00000000-0005-0000-0000-00000C930000}"/>
    <cellStyle name="Normal 2 2 3 4 6" xfId="21267" xr:uid="{00000000-0005-0000-0000-00000D930000}"/>
    <cellStyle name="Normal 2 2 3 5" xfId="1427" xr:uid="{00000000-0005-0000-0000-00000E930000}"/>
    <cellStyle name="Normal 2 2 3 5 2" xfId="3987" xr:uid="{00000000-0005-0000-0000-00000F930000}"/>
    <cellStyle name="Normal 2 2 3 5 2 2" xfId="9107" xr:uid="{00000000-0005-0000-0000-000010930000}"/>
    <cellStyle name="Normal 2 2 3 5 2 2 2" xfId="19347" xr:uid="{00000000-0005-0000-0000-000011930000}"/>
    <cellStyle name="Normal 2 2 3 5 2 2 2 2" xfId="39827" xr:uid="{00000000-0005-0000-0000-000012930000}"/>
    <cellStyle name="Normal 2 2 3 5 2 2 3" xfId="29587" xr:uid="{00000000-0005-0000-0000-000013930000}"/>
    <cellStyle name="Normal 2 2 3 5 2 3" xfId="14227" xr:uid="{00000000-0005-0000-0000-000014930000}"/>
    <cellStyle name="Normal 2 2 3 5 2 3 2" xfId="34707" xr:uid="{00000000-0005-0000-0000-000015930000}"/>
    <cellStyle name="Normal 2 2 3 5 2 4" xfId="24467" xr:uid="{00000000-0005-0000-0000-000016930000}"/>
    <cellStyle name="Normal 2 2 3 5 3" xfId="6547" xr:uid="{00000000-0005-0000-0000-000017930000}"/>
    <cellStyle name="Normal 2 2 3 5 3 2" xfId="16787" xr:uid="{00000000-0005-0000-0000-000018930000}"/>
    <cellStyle name="Normal 2 2 3 5 3 2 2" xfId="37267" xr:uid="{00000000-0005-0000-0000-000019930000}"/>
    <cellStyle name="Normal 2 2 3 5 3 3" xfId="27027" xr:uid="{00000000-0005-0000-0000-00001A930000}"/>
    <cellStyle name="Normal 2 2 3 5 4" xfId="11667" xr:uid="{00000000-0005-0000-0000-00001B930000}"/>
    <cellStyle name="Normal 2 2 3 5 4 2" xfId="32147" xr:uid="{00000000-0005-0000-0000-00001C930000}"/>
    <cellStyle name="Normal 2 2 3 5 5" xfId="21907" xr:uid="{00000000-0005-0000-0000-00001D930000}"/>
    <cellStyle name="Normal 2 2 3 6" xfId="2707" xr:uid="{00000000-0005-0000-0000-00001E930000}"/>
    <cellStyle name="Normal 2 2 3 6 2" xfId="7827" xr:uid="{00000000-0005-0000-0000-00001F930000}"/>
    <cellStyle name="Normal 2 2 3 6 2 2" xfId="18067" xr:uid="{00000000-0005-0000-0000-000020930000}"/>
    <cellStyle name="Normal 2 2 3 6 2 2 2" xfId="38547" xr:uid="{00000000-0005-0000-0000-000021930000}"/>
    <cellStyle name="Normal 2 2 3 6 2 3" xfId="28307" xr:uid="{00000000-0005-0000-0000-000022930000}"/>
    <cellStyle name="Normal 2 2 3 6 3" xfId="12947" xr:uid="{00000000-0005-0000-0000-000023930000}"/>
    <cellStyle name="Normal 2 2 3 6 3 2" xfId="33427" xr:uid="{00000000-0005-0000-0000-000024930000}"/>
    <cellStyle name="Normal 2 2 3 6 4" xfId="23187" xr:uid="{00000000-0005-0000-0000-000025930000}"/>
    <cellStyle name="Normal 2 2 3 7" xfId="5267" xr:uid="{00000000-0005-0000-0000-000026930000}"/>
    <cellStyle name="Normal 2 2 3 7 2" xfId="15507" xr:uid="{00000000-0005-0000-0000-000027930000}"/>
    <cellStyle name="Normal 2 2 3 7 2 2" xfId="35987" xr:uid="{00000000-0005-0000-0000-000028930000}"/>
    <cellStyle name="Normal 2 2 3 7 3" xfId="25747" xr:uid="{00000000-0005-0000-0000-000029930000}"/>
    <cellStyle name="Normal 2 2 3 8" xfId="10387" xr:uid="{00000000-0005-0000-0000-00002A930000}"/>
    <cellStyle name="Normal 2 2 3 8 2" xfId="30867" xr:uid="{00000000-0005-0000-0000-00002B930000}"/>
    <cellStyle name="Normal 2 2 3 9" xfId="20627" xr:uid="{00000000-0005-0000-0000-00002C930000}"/>
    <cellStyle name="Normal 2 2 4" xfId="227" xr:uid="{00000000-0005-0000-0000-00002D930000}"/>
    <cellStyle name="Normal 2 2 4 2" xfId="547" xr:uid="{00000000-0005-0000-0000-00002E930000}"/>
    <cellStyle name="Normal 2 2 4 2 2" xfId="1187" xr:uid="{00000000-0005-0000-0000-00002F930000}"/>
    <cellStyle name="Normal 2 2 4 2 2 2" xfId="2467" xr:uid="{00000000-0005-0000-0000-000030930000}"/>
    <cellStyle name="Normal 2 2 4 2 2 2 2" xfId="5027" xr:uid="{00000000-0005-0000-0000-000031930000}"/>
    <cellStyle name="Normal 2 2 4 2 2 2 2 2" xfId="10147" xr:uid="{00000000-0005-0000-0000-000032930000}"/>
    <cellStyle name="Normal 2 2 4 2 2 2 2 2 2" xfId="20387" xr:uid="{00000000-0005-0000-0000-000033930000}"/>
    <cellStyle name="Normal 2 2 4 2 2 2 2 2 2 2" xfId="40867" xr:uid="{00000000-0005-0000-0000-000034930000}"/>
    <cellStyle name="Normal 2 2 4 2 2 2 2 2 3" xfId="30627" xr:uid="{00000000-0005-0000-0000-000035930000}"/>
    <cellStyle name="Normal 2 2 4 2 2 2 2 3" xfId="15267" xr:uid="{00000000-0005-0000-0000-000036930000}"/>
    <cellStyle name="Normal 2 2 4 2 2 2 2 3 2" xfId="35747" xr:uid="{00000000-0005-0000-0000-000037930000}"/>
    <cellStyle name="Normal 2 2 4 2 2 2 2 4" xfId="25507" xr:uid="{00000000-0005-0000-0000-000038930000}"/>
    <cellStyle name="Normal 2 2 4 2 2 2 3" xfId="7587" xr:uid="{00000000-0005-0000-0000-000039930000}"/>
    <cellStyle name="Normal 2 2 4 2 2 2 3 2" xfId="17827" xr:uid="{00000000-0005-0000-0000-00003A930000}"/>
    <cellStyle name="Normal 2 2 4 2 2 2 3 2 2" xfId="38307" xr:uid="{00000000-0005-0000-0000-00003B930000}"/>
    <cellStyle name="Normal 2 2 4 2 2 2 3 3" xfId="28067" xr:uid="{00000000-0005-0000-0000-00003C930000}"/>
    <cellStyle name="Normal 2 2 4 2 2 2 4" xfId="12707" xr:uid="{00000000-0005-0000-0000-00003D930000}"/>
    <cellStyle name="Normal 2 2 4 2 2 2 4 2" xfId="33187" xr:uid="{00000000-0005-0000-0000-00003E930000}"/>
    <cellStyle name="Normal 2 2 4 2 2 2 5" xfId="22947" xr:uid="{00000000-0005-0000-0000-00003F930000}"/>
    <cellStyle name="Normal 2 2 4 2 2 3" xfId="3747" xr:uid="{00000000-0005-0000-0000-000040930000}"/>
    <cellStyle name="Normal 2 2 4 2 2 3 2" xfId="8867" xr:uid="{00000000-0005-0000-0000-000041930000}"/>
    <cellStyle name="Normal 2 2 4 2 2 3 2 2" xfId="19107" xr:uid="{00000000-0005-0000-0000-000042930000}"/>
    <cellStyle name="Normal 2 2 4 2 2 3 2 2 2" xfId="39587" xr:uid="{00000000-0005-0000-0000-000043930000}"/>
    <cellStyle name="Normal 2 2 4 2 2 3 2 3" xfId="29347" xr:uid="{00000000-0005-0000-0000-000044930000}"/>
    <cellStyle name="Normal 2 2 4 2 2 3 3" xfId="13987" xr:uid="{00000000-0005-0000-0000-000045930000}"/>
    <cellStyle name="Normal 2 2 4 2 2 3 3 2" xfId="34467" xr:uid="{00000000-0005-0000-0000-000046930000}"/>
    <cellStyle name="Normal 2 2 4 2 2 3 4" xfId="24227" xr:uid="{00000000-0005-0000-0000-000047930000}"/>
    <cellStyle name="Normal 2 2 4 2 2 4" xfId="6307" xr:uid="{00000000-0005-0000-0000-000048930000}"/>
    <cellStyle name="Normal 2 2 4 2 2 4 2" xfId="16547" xr:uid="{00000000-0005-0000-0000-000049930000}"/>
    <cellStyle name="Normal 2 2 4 2 2 4 2 2" xfId="37027" xr:uid="{00000000-0005-0000-0000-00004A930000}"/>
    <cellStyle name="Normal 2 2 4 2 2 4 3" xfId="26787" xr:uid="{00000000-0005-0000-0000-00004B930000}"/>
    <cellStyle name="Normal 2 2 4 2 2 5" xfId="11427" xr:uid="{00000000-0005-0000-0000-00004C930000}"/>
    <cellStyle name="Normal 2 2 4 2 2 5 2" xfId="31907" xr:uid="{00000000-0005-0000-0000-00004D930000}"/>
    <cellStyle name="Normal 2 2 4 2 2 6" xfId="21667" xr:uid="{00000000-0005-0000-0000-00004E930000}"/>
    <cellStyle name="Normal 2 2 4 2 3" xfId="1827" xr:uid="{00000000-0005-0000-0000-00004F930000}"/>
    <cellStyle name="Normal 2 2 4 2 3 2" xfId="4387" xr:uid="{00000000-0005-0000-0000-000050930000}"/>
    <cellStyle name="Normal 2 2 4 2 3 2 2" xfId="9507" xr:uid="{00000000-0005-0000-0000-000051930000}"/>
    <cellStyle name="Normal 2 2 4 2 3 2 2 2" xfId="19747" xr:uid="{00000000-0005-0000-0000-000052930000}"/>
    <cellStyle name="Normal 2 2 4 2 3 2 2 2 2" xfId="40227" xr:uid="{00000000-0005-0000-0000-000053930000}"/>
    <cellStyle name="Normal 2 2 4 2 3 2 2 3" xfId="29987" xr:uid="{00000000-0005-0000-0000-000054930000}"/>
    <cellStyle name="Normal 2 2 4 2 3 2 3" xfId="14627" xr:uid="{00000000-0005-0000-0000-000055930000}"/>
    <cellStyle name="Normal 2 2 4 2 3 2 3 2" xfId="35107" xr:uid="{00000000-0005-0000-0000-000056930000}"/>
    <cellStyle name="Normal 2 2 4 2 3 2 4" xfId="24867" xr:uid="{00000000-0005-0000-0000-000057930000}"/>
    <cellStyle name="Normal 2 2 4 2 3 3" xfId="6947" xr:uid="{00000000-0005-0000-0000-000058930000}"/>
    <cellStyle name="Normal 2 2 4 2 3 3 2" xfId="17187" xr:uid="{00000000-0005-0000-0000-000059930000}"/>
    <cellStyle name="Normal 2 2 4 2 3 3 2 2" xfId="37667" xr:uid="{00000000-0005-0000-0000-00005A930000}"/>
    <cellStyle name="Normal 2 2 4 2 3 3 3" xfId="27427" xr:uid="{00000000-0005-0000-0000-00005B930000}"/>
    <cellStyle name="Normal 2 2 4 2 3 4" xfId="12067" xr:uid="{00000000-0005-0000-0000-00005C930000}"/>
    <cellStyle name="Normal 2 2 4 2 3 4 2" xfId="32547" xr:uid="{00000000-0005-0000-0000-00005D930000}"/>
    <cellStyle name="Normal 2 2 4 2 3 5" xfId="22307" xr:uid="{00000000-0005-0000-0000-00005E930000}"/>
    <cellStyle name="Normal 2 2 4 2 4" xfId="3107" xr:uid="{00000000-0005-0000-0000-00005F930000}"/>
    <cellStyle name="Normal 2 2 4 2 4 2" xfId="8227" xr:uid="{00000000-0005-0000-0000-000060930000}"/>
    <cellStyle name="Normal 2 2 4 2 4 2 2" xfId="18467" xr:uid="{00000000-0005-0000-0000-000061930000}"/>
    <cellStyle name="Normal 2 2 4 2 4 2 2 2" xfId="38947" xr:uid="{00000000-0005-0000-0000-000062930000}"/>
    <cellStyle name="Normal 2 2 4 2 4 2 3" xfId="28707" xr:uid="{00000000-0005-0000-0000-000063930000}"/>
    <cellStyle name="Normal 2 2 4 2 4 3" xfId="13347" xr:uid="{00000000-0005-0000-0000-000064930000}"/>
    <cellStyle name="Normal 2 2 4 2 4 3 2" xfId="33827" xr:uid="{00000000-0005-0000-0000-000065930000}"/>
    <cellStyle name="Normal 2 2 4 2 4 4" xfId="23587" xr:uid="{00000000-0005-0000-0000-000066930000}"/>
    <cellStyle name="Normal 2 2 4 2 5" xfId="5667" xr:uid="{00000000-0005-0000-0000-000067930000}"/>
    <cellStyle name="Normal 2 2 4 2 5 2" xfId="15907" xr:uid="{00000000-0005-0000-0000-000068930000}"/>
    <cellStyle name="Normal 2 2 4 2 5 2 2" xfId="36387" xr:uid="{00000000-0005-0000-0000-000069930000}"/>
    <cellStyle name="Normal 2 2 4 2 5 3" xfId="26147" xr:uid="{00000000-0005-0000-0000-00006A930000}"/>
    <cellStyle name="Normal 2 2 4 2 6" xfId="10787" xr:uid="{00000000-0005-0000-0000-00006B930000}"/>
    <cellStyle name="Normal 2 2 4 2 6 2" xfId="31267" xr:uid="{00000000-0005-0000-0000-00006C930000}"/>
    <cellStyle name="Normal 2 2 4 2 7" xfId="21027" xr:uid="{00000000-0005-0000-0000-00006D930000}"/>
    <cellStyle name="Normal 2 2 4 3" xfId="867" xr:uid="{00000000-0005-0000-0000-00006E930000}"/>
    <cellStyle name="Normal 2 2 4 3 2" xfId="2147" xr:uid="{00000000-0005-0000-0000-00006F930000}"/>
    <cellStyle name="Normal 2 2 4 3 2 2" xfId="4707" xr:uid="{00000000-0005-0000-0000-000070930000}"/>
    <cellStyle name="Normal 2 2 4 3 2 2 2" xfId="9827" xr:uid="{00000000-0005-0000-0000-000071930000}"/>
    <cellStyle name="Normal 2 2 4 3 2 2 2 2" xfId="20067" xr:uid="{00000000-0005-0000-0000-000072930000}"/>
    <cellStyle name="Normal 2 2 4 3 2 2 2 2 2" xfId="40547" xr:uid="{00000000-0005-0000-0000-000073930000}"/>
    <cellStyle name="Normal 2 2 4 3 2 2 2 3" xfId="30307" xr:uid="{00000000-0005-0000-0000-000074930000}"/>
    <cellStyle name="Normal 2 2 4 3 2 2 3" xfId="14947" xr:uid="{00000000-0005-0000-0000-000075930000}"/>
    <cellStyle name="Normal 2 2 4 3 2 2 3 2" xfId="35427" xr:uid="{00000000-0005-0000-0000-000076930000}"/>
    <cellStyle name="Normal 2 2 4 3 2 2 4" xfId="25187" xr:uid="{00000000-0005-0000-0000-000077930000}"/>
    <cellStyle name="Normal 2 2 4 3 2 3" xfId="7267" xr:uid="{00000000-0005-0000-0000-000078930000}"/>
    <cellStyle name="Normal 2 2 4 3 2 3 2" xfId="17507" xr:uid="{00000000-0005-0000-0000-000079930000}"/>
    <cellStyle name="Normal 2 2 4 3 2 3 2 2" xfId="37987" xr:uid="{00000000-0005-0000-0000-00007A930000}"/>
    <cellStyle name="Normal 2 2 4 3 2 3 3" xfId="27747" xr:uid="{00000000-0005-0000-0000-00007B930000}"/>
    <cellStyle name="Normal 2 2 4 3 2 4" xfId="12387" xr:uid="{00000000-0005-0000-0000-00007C930000}"/>
    <cellStyle name="Normal 2 2 4 3 2 4 2" xfId="32867" xr:uid="{00000000-0005-0000-0000-00007D930000}"/>
    <cellStyle name="Normal 2 2 4 3 2 5" xfId="22627" xr:uid="{00000000-0005-0000-0000-00007E930000}"/>
    <cellStyle name="Normal 2 2 4 3 3" xfId="3427" xr:uid="{00000000-0005-0000-0000-00007F930000}"/>
    <cellStyle name="Normal 2 2 4 3 3 2" xfId="8547" xr:uid="{00000000-0005-0000-0000-000080930000}"/>
    <cellStyle name="Normal 2 2 4 3 3 2 2" xfId="18787" xr:uid="{00000000-0005-0000-0000-000081930000}"/>
    <cellStyle name="Normal 2 2 4 3 3 2 2 2" xfId="39267" xr:uid="{00000000-0005-0000-0000-000082930000}"/>
    <cellStyle name="Normal 2 2 4 3 3 2 3" xfId="29027" xr:uid="{00000000-0005-0000-0000-000083930000}"/>
    <cellStyle name="Normal 2 2 4 3 3 3" xfId="13667" xr:uid="{00000000-0005-0000-0000-000084930000}"/>
    <cellStyle name="Normal 2 2 4 3 3 3 2" xfId="34147" xr:uid="{00000000-0005-0000-0000-000085930000}"/>
    <cellStyle name="Normal 2 2 4 3 3 4" xfId="23907" xr:uid="{00000000-0005-0000-0000-000086930000}"/>
    <cellStyle name="Normal 2 2 4 3 4" xfId="5987" xr:uid="{00000000-0005-0000-0000-000087930000}"/>
    <cellStyle name="Normal 2 2 4 3 4 2" xfId="16227" xr:uid="{00000000-0005-0000-0000-000088930000}"/>
    <cellStyle name="Normal 2 2 4 3 4 2 2" xfId="36707" xr:uid="{00000000-0005-0000-0000-000089930000}"/>
    <cellStyle name="Normal 2 2 4 3 4 3" xfId="26467" xr:uid="{00000000-0005-0000-0000-00008A930000}"/>
    <cellStyle name="Normal 2 2 4 3 5" xfId="11107" xr:uid="{00000000-0005-0000-0000-00008B930000}"/>
    <cellStyle name="Normal 2 2 4 3 5 2" xfId="31587" xr:uid="{00000000-0005-0000-0000-00008C930000}"/>
    <cellStyle name="Normal 2 2 4 3 6" xfId="21347" xr:uid="{00000000-0005-0000-0000-00008D930000}"/>
    <cellStyle name="Normal 2 2 4 4" xfId="1507" xr:uid="{00000000-0005-0000-0000-00008E930000}"/>
    <cellStyle name="Normal 2 2 4 4 2" xfId="4067" xr:uid="{00000000-0005-0000-0000-00008F930000}"/>
    <cellStyle name="Normal 2 2 4 4 2 2" xfId="9187" xr:uid="{00000000-0005-0000-0000-000090930000}"/>
    <cellStyle name="Normal 2 2 4 4 2 2 2" xfId="19427" xr:uid="{00000000-0005-0000-0000-000091930000}"/>
    <cellStyle name="Normal 2 2 4 4 2 2 2 2" xfId="39907" xr:uid="{00000000-0005-0000-0000-000092930000}"/>
    <cellStyle name="Normal 2 2 4 4 2 2 3" xfId="29667" xr:uid="{00000000-0005-0000-0000-000093930000}"/>
    <cellStyle name="Normal 2 2 4 4 2 3" xfId="14307" xr:uid="{00000000-0005-0000-0000-000094930000}"/>
    <cellStyle name="Normal 2 2 4 4 2 3 2" xfId="34787" xr:uid="{00000000-0005-0000-0000-000095930000}"/>
    <cellStyle name="Normal 2 2 4 4 2 4" xfId="24547" xr:uid="{00000000-0005-0000-0000-000096930000}"/>
    <cellStyle name="Normal 2 2 4 4 3" xfId="6627" xr:uid="{00000000-0005-0000-0000-000097930000}"/>
    <cellStyle name="Normal 2 2 4 4 3 2" xfId="16867" xr:uid="{00000000-0005-0000-0000-000098930000}"/>
    <cellStyle name="Normal 2 2 4 4 3 2 2" xfId="37347" xr:uid="{00000000-0005-0000-0000-000099930000}"/>
    <cellStyle name="Normal 2 2 4 4 3 3" xfId="27107" xr:uid="{00000000-0005-0000-0000-00009A930000}"/>
    <cellStyle name="Normal 2 2 4 4 4" xfId="11747" xr:uid="{00000000-0005-0000-0000-00009B930000}"/>
    <cellStyle name="Normal 2 2 4 4 4 2" xfId="32227" xr:uid="{00000000-0005-0000-0000-00009C930000}"/>
    <cellStyle name="Normal 2 2 4 4 5" xfId="21987" xr:uid="{00000000-0005-0000-0000-00009D930000}"/>
    <cellStyle name="Normal 2 2 4 5" xfId="2787" xr:uid="{00000000-0005-0000-0000-00009E930000}"/>
    <cellStyle name="Normal 2 2 4 5 2" xfId="7907" xr:uid="{00000000-0005-0000-0000-00009F930000}"/>
    <cellStyle name="Normal 2 2 4 5 2 2" xfId="18147" xr:uid="{00000000-0005-0000-0000-0000A0930000}"/>
    <cellStyle name="Normal 2 2 4 5 2 2 2" xfId="38627" xr:uid="{00000000-0005-0000-0000-0000A1930000}"/>
    <cellStyle name="Normal 2 2 4 5 2 3" xfId="28387" xr:uid="{00000000-0005-0000-0000-0000A2930000}"/>
    <cellStyle name="Normal 2 2 4 5 3" xfId="13027" xr:uid="{00000000-0005-0000-0000-0000A3930000}"/>
    <cellStyle name="Normal 2 2 4 5 3 2" xfId="33507" xr:uid="{00000000-0005-0000-0000-0000A4930000}"/>
    <cellStyle name="Normal 2 2 4 5 4" xfId="23267" xr:uid="{00000000-0005-0000-0000-0000A5930000}"/>
    <cellStyle name="Normal 2 2 4 6" xfId="5347" xr:uid="{00000000-0005-0000-0000-0000A6930000}"/>
    <cellStyle name="Normal 2 2 4 6 2" xfId="15587" xr:uid="{00000000-0005-0000-0000-0000A7930000}"/>
    <cellStyle name="Normal 2 2 4 6 2 2" xfId="36067" xr:uid="{00000000-0005-0000-0000-0000A8930000}"/>
    <cellStyle name="Normal 2 2 4 6 3" xfId="25827" xr:uid="{00000000-0005-0000-0000-0000A9930000}"/>
    <cellStyle name="Normal 2 2 4 7" xfId="10467" xr:uid="{00000000-0005-0000-0000-0000AA930000}"/>
    <cellStyle name="Normal 2 2 4 7 2" xfId="30947" xr:uid="{00000000-0005-0000-0000-0000AB930000}"/>
    <cellStyle name="Normal 2 2 4 8" xfId="20707" xr:uid="{00000000-0005-0000-0000-0000AC930000}"/>
    <cellStyle name="Normal 2 2 5" xfId="387" xr:uid="{00000000-0005-0000-0000-0000AD930000}"/>
    <cellStyle name="Normal 2 2 5 2" xfId="1027" xr:uid="{00000000-0005-0000-0000-0000AE930000}"/>
    <cellStyle name="Normal 2 2 5 2 2" xfId="2307" xr:uid="{00000000-0005-0000-0000-0000AF930000}"/>
    <cellStyle name="Normal 2 2 5 2 2 2" xfId="4867" xr:uid="{00000000-0005-0000-0000-0000B0930000}"/>
    <cellStyle name="Normal 2 2 5 2 2 2 2" xfId="9987" xr:uid="{00000000-0005-0000-0000-0000B1930000}"/>
    <cellStyle name="Normal 2 2 5 2 2 2 2 2" xfId="20227" xr:uid="{00000000-0005-0000-0000-0000B2930000}"/>
    <cellStyle name="Normal 2 2 5 2 2 2 2 2 2" xfId="40707" xr:uid="{00000000-0005-0000-0000-0000B3930000}"/>
    <cellStyle name="Normal 2 2 5 2 2 2 2 3" xfId="30467" xr:uid="{00000000-0005-0000-0000-0000B4930000}"/>
    <cellStyle name="Normal 2 2 5 2 2 2 3" xfId="15107" xr:uid="{00000000-0005-0000-0000-0000B5930000}"/>
    <cellStyle name="Normal 2 2 5 2 2 2 3 2" xfId="35587" xr:uid="{00000000-0005-0000-0000-0000B6930000}"/>
    <cellStyle name="Normal 2 2 5 2 2 2 4" xfId="25347" xr:uid="{00000000-0005-0000-0000-0000B7930000}"/>
    <cellStyle name="Normal 2 2 5 2 2 3" xfId="7427" xr:uid="{00000000-0005-0000-0000-0000B8930000}"/>
    <cellStyle name="Normal 2 2 5 2 2 3 2" xfId="17667" xr:uid="{00000000-0005-0000-0000-0000B9930000}"/>
    <cellStyle name="Normal 2 2 5 2 2 3 2 2" xfId="38147" xr:uid="{00000000-0005-0000-0000-0000BA930000}"/>
    <cellStyle name="Normal 2 2 5 2 2 3 3" xfId="27907" xr:uid="{00000000-0005-0000-0000-0000BB930000}"/>
    <cellStyle name="Normal 2 2 5 2 2 4" xfId="12547" xr:uid="{00000000-0005-0000-0000-0000BC930000}"/>
    <cellStyle name="Normal 2 2 5 2 2 4 2" xfId="33027" xr:uid="{00000000-0005-0000-0000-0000BD930000}"/>
    <cellStyle name="Normal 2 2 5 2 2 5" xfId="22787" xr:uid="{00000000-0005-0000-0000-0000BE930000}"/>
    <cellStyle name="Normal 2 2 5 2 3" xfId="3587" xr:uid="{00000000-0005-0000-0000-0000BF930000}"/>
    <cellStyle name="Normal 2 2 5 2 3 2" xfId="8707" xr:uid="{00000000-0005-0000-0000-0000C0930000}"/>
    <cellStyle name="Normal 2 2 5 2 3 2 2" xfId="18947" xr:uid="{00000000-0005-0000-0000-0000C1930000}"/>
    <cellStyle name="Normal 2 2 5 2 3 2 2 2" xfId="39427" xr:uid="{00000000-0005-0000-0000-0000C2930000}"/>
    <cellStyle name="Normal 2 2 5 2 3 2 3" xfId="29187" xr:uid="{00000000-0005-0000-0000-0000C3930000}"/>
    <cellStyle name="Normal 2 2 5 2 3 3" xfId="13827" xr:uid="{00000000-0005-0000-0000-0000C4930000}"/>
    <cellStyle name="Normal 2 2 5 2 3 3 2" xfId="34307" xr:uid="{00000000-0005-0000-0000-0000C5930000}"/>
    <cellStyle name="Normal 2 2 5 2 3 4" xfId="24067" xr:uid="{00000000-0005-0000-0000-0000C6930000}"/>
    <cellStyle name="Normal 2 2 5 2 4" xfId="6147" xr:uid="{00000000-0005-0000-0000-0000C7930000}"/>
    <cellStyle name="Normal 2 2 5 2 4 2" xfId="16387" xr:uid="{00000000-0005-0000-0000-0000C8930000}"/>
    <cellStyle name="Normal 2 2 5 2 4 2 2" xfId="36867" xr:uid="{00000000-0005-0000-0000-0000C9930000}"/>
    <cellStyle name="Normal 2 2 5 2 4 3" xfId="26627" xr:uid="{00000000-0005-0000-0000-0000CA930000}"/>
    <cellStyle name="Normal 2 2 5 2 5" xfId="11267" xr:uid="{00000000-0005-0000-0000-0000CB930000}"/>
    <cellStyle name="Normal 2 2 5 2 5 2" xfId="31747" xr:uid="{00000000-0005-0000-0000-0000CC930000}"/>
    <cellStyle name="Normal 2 2 5 2 6" xfId="21507" xr:uid="{00000000-0005-0000-0000-0000CD930000}"/>
    <cellStyle name="Normal 2 2 5 3" xfId="1667" xr:uid="{00000000-0005-0000-0000-0000CE930000}"/>
    <cellStyle name="Normal 2 2 5 3 2" xfId="4227" xr:uid="{00000000-0005-0000-0000-0000CF930000}"/>
    <cellStyle name="Normal 2 2 5 3 2 2" xfId="9347" xr:uid="{00000000-0005-0000-0000-0000D0930000}"/>
    <cellStyle name="Normal 2 2 5 3 2 2 2" xfId="19587" xr:uid="{00000000-0005-0000-0000-0000D1930000}"/>
    <cellStyle name="Normal 2 2 5 3 2 2 2 2" xfId="40067" xr:uid="{00000000-0005-0000-0000-0000D2930000}"/>
    <cellStyle name="Normal 2 2 5 3 2 2 3" xfId="29827" xr:uid="{00000000-0005-0000-0000-0000D3930000}"/>
    <cellStyle name="Normal 2 2 5 3 2 3" xfId="14467" xr:uid="{00000000-0005-0000-0000-0000D4930000}"/>
    <cellStyle name="Normal 2 2 5 3 2 3 2" xfId="34947" xr:uid="{00000000-0005-0000-0000-0000D5930000}"/>
    <cellStyle name="Normal 2 2 5 3 2 4" xfId="24707" xr:uid="{00000000-0005-0000-0000-0000D6930000}"/>
    <cellStyle name="Normal 2 2 5 3 3" xfId="6787" xr:uid="{00000000-0005-0000-0000-0000D7930000}"/>
    <cellStyle name="Normal 2 2 5 3 3 2" xfId="17027" xr:uid="{00000000-0005-0000-0000-0000D8930000}"/>
    <cellStyle name="Normal 2 2 5 3 3 2 2" xfId="37507" xr:uid="{00000000-0005-0000-0000-0000D9930000}"/>
    <cellStyle name="Normal 2 2 5 3 3 3" xfId="27267" xr:uid="{00000000-0005-0000-0000-0000DA930000}"/>
    <cellStyle name="Normal 2 2 5 3 4" xfId="11907" xr:uid="{00000000-0005-0000-0000-0000DB930000}"/>
    <cellStyle name="Normal 2 2 5 3 4 2" xfId="32387" xr:uid="{00000000-0005-0000-0000-0000DC930000}"/>
    <cellStyle name="Normal 2 2 5 3 5" xfId="22147" xr:uid="{00000000-0005-0000-0000-0000DD930000}"/>
    <cellStyle name="Normal 2 2 5 4" xfId="2947" xr:uid="{00000000-0005-0000-0000-0000DE930000}"/>
    <cellStyle name="Normal 2 2 5 4 2" xfId="8067" xr:uid="{00000000-0005-0000-0000-0000DF930000}"/>
    <cellStyle name="Normal 2 2 5 4 2 2" xfId="18307" xr:uid="{00000000-0005-0000-0000-0000E0930000}"/>
    <cellStyle name="Normal 2 2 5 4 2 2 2" xfId="38787" xr:uid="{00000000-0005-0000-0000-0000E1930000}"/>
    <cellStyle name="Normal 2 2 5 4 2 3" xfId="28547" xr:uid="{00000000-0005-0000-0000-0000E2930000}"/>
    <cellStyle name="Normal 2 2 5 4 3" xfId="13187" xr:uid="{00000000-0005-0000-0000-0000E3930000}"/>
    <cellStyle name="Normal 2 2 5 4 3 2" xfId="33667" xr:uid="{00000000-0005-0000-0000-0000E4930000}"/>
    <cellStyle name="Normal 2 2 5 4 4" xfId="23427" xr:uid="{00000000-0005-0000-0000-0000E5930000}"/>
    <cellStyle name="Normal 2 2 5 5" xfId="5507" xr:uid="{00000000-0005-0000-0000-0000E6930000}"/>
    <cellStyle name="Normal 2 2 5 5 2" xfId="15747" xr:uid="{00000000-0005-0000-0000-0000E7930000}"/>
    <cellStyle name="Normal 2 2 5 5 2 2" xfId="36227" xr:uid="{00000000-0005-0000-0000-0000E8930000}"/>
    <cellStyle name="Normal 2 2 5 5 3" xfId="25987" xr:uid="{00000000-0005-0000-0000-0000E9930000}"/>
    <cellStyle name="Normal 2 2 5 6" xfId="10627" xr:uid="{00000000-0005-0000-0000-0000EA930000}"/>
    <cellStyle name="Normal 2 2 5 6 2" xfId="31107" xr:uid="{00000000-0005-0000-0000-0000EB930000}"/>
    <cellStyle name="Normal 2 2 5 7" xfId="20867" xr:uid="{00000000-0005-0000-0000-0000EC930000}"/>
    <cellStyle name="Normal 2 2 6" xfId="707" xr:uid="{00000000-0005-0000-0000-0000ED930000}"/>
    <cellStyle name="Normal 2 2 6 2" xfId="1987" xr:uid="{00000000-0005-0000-0000-0000EE930000}"/>
    <cellStyle name="Normal 2 2 6 2 2" xfId="4547" xr:uid="{00000000-0005-0000-0000-0000EF930000}"/>
    <cellStyle name="Normal 2 2 6 2 2 2" xfId="9667" xr:uid="{00000000-0005-0000-0000-0000F0930000}"/>
    <cellStyle name="Normal 2 2 6 2 2 2 2" xfId="19907" xr:uid="{00000000-0005-0000-0000-0000F1930000}"/>
    <cellStyle name="Normal 2 2 6 2 2 2 2 2" xfId="40387" xr:uid="{00000000-0005-0000-0000-0000F2930000}"/>
    <cellStyle name="Normal 2 2 6 2 2 2 3" xfId="30147" xr:uid="{00000000-0005-0000-0000-0000F3930000}"/>
    <cellStyle name="Normal 2 2 6 2 2 3" xfId="14787" xr:uid="{00000000-0005-0000-0000-0000F4930000}"/>
    <cellStyle name="Normal 2 2 6 2 2 3 2" xfId="35267" xr:uid="{00000000-0005-0000-0000-0000F5930000}"/>
    <cellStyle name="Normal 2 2 6 2 2 4" xfId="25027" xr:uid="{00000000-0005-0000-0000-0000F6930000}"/>
    <cellStyle name="Normal 2 2 6 2 3" xfId="7107" xr:uid="{00000000-0005-0000-0000-0000F7930000}"/>
    <cellStyle name="Normal 2 2 6 2 3 2" xfId="17347" xr:uid="{00000000-0005-0000-0000-0000F8930000}"/>
    <cellStyle name="Normal 2 2 6 2 3 2 2" xfId="37827" xr:uid="{00000000-0005-0000-0000-0000F9930000}"/>
    <cellStyle name="Normal 2 2 6 2 3 3" xfId="27587" xr:uid="{00000000-0005-0000-0000-0000FA930000}"/>
    <cellStyle name="Normal 2 2 6 2 4" xfId="12227" xr:uid="{00000000-0005-0000-0000-0000FB930000}"/>
    <cellStyle name="Normal 2 2 6 2 4 2" xfId="32707" xr:uid="{00000000-0005-0000-0000-0000FC930000}"/>
    <cellStyle name="Normal 2 2 6 2 5" xfId="22467" xr:uid="{00000000-0005-0000-0000-0000FD930000}"/>
    <cellStyle name="Normal 2 2 6 3" xfId="3267" xr:uid="{00000000-0005-0000-0000-0000FE930000}"/>
    <cellStyle name="Normal 2 2 6 3 2" xfId="8387" xr:uid="{00000000-0005-0000-0000-0000FF930000}"/>
    <cellStyle name="Normal 2 2 6 3 2 2" xfId="18627" xr:uid="{00000000-0005-0000-0000-000000940000}"/>
    <cellStyle name="Normal 2 2 6 3 2 2 2" xfId="39107" xr:uid="{00000000-0005-0000-0000-000001940000}"/>
    <cellStyle name="Normal 2 2 6 3 2 3" xfId="28867" xr:uid="{00000000-0005-0000-0000-000002940000}"/>
    <cellStyle name="Normal 2 2 6 3 3" xfId="13507" xr:uid="{00000000-0005-0000-0000-000003940000}"/>
    <cellStyle name="Normal 2 2 6 3 3 2" xfId="33987" xr:uid="{00000000-0005-0000-0000-000004940000}"/>
    <cellStyle name="Normal 2 2 6 3 4" xfId="23747" xr:uid="{00000000-0005-0000-0000-000005940000}"/>
    <cellStyle name="Normal 2 2 6 4" xfId="5827" xr:uid="{00000000-0005-0000-0000-000006940000}"/>
    <cellStyle name="Normal 2 2 6 4 2" xfId="16067" xr:uid="{00000000-0005-0000-0000-000007940000}"/>
    <cellStyle name="Normal 2 2 6 4 2 2" xfId="36547" xr:uid="{00000000-0005-0000-0000-000008940000}"/>
    <cellStyle name="Normal 2 2 6 4 3" xfId="26307" xr:uid="{00000000-0005-0000-0000-000009940000}"/>
    <cellStyle name="Normal 2 2 6 5" xfId="10947" xr:uid="{00000000-0005-0000-0000-00000A940000}"/>
    <cellStyle name="Normal 2 2 6 5 2" xfId="31427" xr:uid="{00000000-0005-0000-0000-00000B940000}"/>
    <cellStyle name="Normal 2 2 6 6" xfId="21187" xr:uid="{00000000-0005-0000-0000-00000C940000}"/>
    <cellStyle name="Normal 2 2 7" xfId="1347" xr:uid="{00000000-0005-0000-0000-00000D940000}"/>
    <cellStyle name="Normal 2 2 7 2" xfId="3907" xr:uid="{00000000-0005-0000-0000-00000E940000}"/>
    <cellStyle name="Normal 2 2 7 2 2" xfId="9027" xr:uid="{00000000-0005-0000-0000-00000F940000}"/>
    <cellStyle name="Normal 2 2 7 2 2 2" xfId="19267" xr:uid="{00000000-0005-0000-0000-000010940000}"/>
    <cellStyle name="Normal 2 2 7 2 2 2 2" xfId="39747" xr:uid="{00000000-0005-0000-0000-000011940000}"/>
    <cellStyle name="Normal 2 2 7 2 2 3" xfId="29507" xr:uid="{00000000-0005-0000-0000-000012940000}"/>
    <cellStyle name="Normal 2 2 7 2 3" xfId="14147" xr:uid="{00000000-0005-0000-0000-000013940000}"/>
    <cellStyle name="Normal 2 2 7 2 3 2" xfId="34627" xr:uid="{00000000-0005-0000-0000-000014940000}"/>
    <cellStyle name="Normal 2 2 7 2 4" xfId="24387" xr:uid="{00000000-0005-0000-0000-000015940000}"/>
    <cellStyle name="Normal 2 2 7 3" xfId="6467" xr:uid="{00000000-0005-0000-0000-000016940000}"/>
    <cellStyle name="Normal 2 2 7 3 2" xfId="16707" xr:uid="{00000000-0005-0000-0000-000017940000}"/>
    <cellStyle name="Normal 2 2 7 3 2 2" xfId="37187" xr:uid="{00000000-0005-0000-0000-000018940000}"/>
    <cellStyle name="Normal 2 2 7 3 3" xfId="26947" xr:uid="{00000000-0005-0000-0000-000019940000}"/>
    <cellStyle name="Normal 2 2 7 4" xfId="11587" xr:uid="{00000000-0005-0000-0000-00001A940000}"/>
    <cellStyle name="Normal 2 2 7 4 2" xfId="32067" xr:uid="{00000000-0005-0000-0000-00001B940000}"/>
    <cellStyle name="Normal 2 2 7 5" xfId="21827" xr:uid="{00000000-0005-0000-0000-00001C940000}"/>
    <cellStyle name="Normal 2 2 8" xfId="2627" xr:uid="{00000000-0005-0000-0000-00001D940000}"/>
    <cellStyle name="Normal 2 2 8 2" xfId="7747" xr:uid="{00000000-0005-0000-0000-00001E940000}"/>
    <cellStyle name="Normal 2 2 8 2 2" xfId="17987" xr:uid="{00000000-0005-0000-0000-00001F940000}"/>
    <cellStyle name="Normal 2 2 8 2 2 2" xfId="38467" xr:uid="{00000000-0005-0000-0000-000020940000}"/>
    <cellStyle name="Normal 2 2 8 2 3" xfId="28227" xr:uid="{00000000-0005-0000-0000-000021940000}"/>
    <cellStyle name="Normal 2 2 8 3" xfId="12867" xr:uid="{00000000-0005-0000-0000-000022940000}"/>
    <cellStyle name="Normal 2 2 8 3 2" xfId="33347" xr:uid="{00000000-0005-0000-0000-000023940000}"/>
    <cellStyle name="Normal 2 2 8 4" xfId="23107" xr:uid="{00000000-0005-0000-0000-000024940000}"/>
    <cellStyle name="Normal 2 2 9" xfId="5187" xr:uid="{00000000-0005-0000-0000-000025940000}"/>
    <cellStyle name="Normal 2 2 9 2" xfId="15427" xr:uid="{00000000-0005-0000-0000-000026940000}"/>
    <cellStyle name="Normal 2 2 9 2 2" xfId="35907" xr:uid="{00000000-0005-0000-0000-000027940000}"/>
    <cellStyle name="Normal 2 2 9 3" xfId="25667" xr:uid="{00000000-0005-0000-0000-000028940000}"/>
    <cellStyle name="Normal 2 3" xfId="87" xr:uid="{00000000-0005-0000-0000-000029940000}"/>
    <cellStyle name="Normal 2 3 10" xfId="20567" xr:uid="{00000000-0005-0000-0000-00002A940000}"/>
    <cellStyle name="Normal 2 3 2" xfId="167" xr:uid="{00000000-0005-0000-0000-00002B940000}"/>
    <cellStyle name="Normal 2 3 2 2" xfId="327" xr:uid="{00000000-0005-0000-0000-00002C940000}"/>
    <cellStyle name="Normal 2 3 2 2 2" xfId="647" xr:uid="{00000000-0005-0000-0000-00002D940000}"/>
    <cellStyle name="Normal 2 3 2 2 2 2" xfId="1287" xr:uid="{00000000-0005-0000-0000-00002E940000}"/>
    <cellStyle name="Normal 2 3 2 2 2 2 2" xfId="2567" xr:uid="{00000000-0005-0000-0000-00002F940000}"/>
    <cellStyle name="Normal 2 3 2 2 2 2 2 2" xfId="5127" xr:uid="{00000000-0005-0000-0000-000030940000}"/>
    <cellStyle name="Normal 2 3 2 2 2 2 2 2 2" xfId="10247" xr:uid="{00000000-0005-0000-0000-000031940000}"/>
    <cellStyle name="Normal 2 3 2 2 2 2 2 2 2 2" xfId="20487" xr:uid="{00000000-0005-0000-0000-000032940000}"/>
    <cellStyle name="Normal 2 3 2 2 2 2 2 2 2 2 2" xfId="40967" xr:uid="{00000000-0005-0000-0000-000033940000}"/>
    <cellStyle name="Normal 2 3 2 2 2 2 2 2 2 3" xfId="30727" xr:uid="{00000000-0005-0000-0000-000034940000}"/>
    <cellStyle name="Normal 2 3 2 2 2 2 2 2 3" xfId="15367" xr:uid="{00000000-0005-0000-0000-000035940000}"/>
    <cellStyle name="Normal 2 3 2 2 2 2 2 2 3 2" xfId="35847" xr:uid="{00000000-0005-0000-0000-000036940000}"/>
    <cellStyle name="Normal 2 3 2 2 2 2 2 2 4" xfId="25607" xr:uid="{00000000-0005-0000-0000-000037940000}"/>
    <cellStyle name="Normal 2 3 2 2 2 2 2 3" xfId="7687" xr:uid="{00000000-0005-0000-0000-000038940000}"/>
    <cellStyle name="Normal 2 3 2 2 2 2 2 3 2" xfId="17927" xr:uid="{00000000-0005-0000-0000-000039940000}"/>
    <cellStyle name="Normal 2 3 2 2 2 2 2 3 2 2" xfId="38407" xr:uid="{00000000-0005-0000-0000-00003A940000}"/>
    <cellStyle name="Normal 2 3 2 2 2 2 2 3 3" xfId="28167" xr:uid="{00000000-0005-0000-0000-00003B940000}"/>
    <cellStyle name="Normal 2 3 2 2 2 2 2 4" xfId="12807" xr:uid="{00000000-0005-0000-0000-00003C940000}"/>
    <cellStyle name="Normal 2 3 2 2 2 2 2 4 2" xfId="33287" xr:uid="{00000000-0005-0000-0000-00003D940000}"/>
    <cellStyle name="Normal 2 3 2 2 2 2 2 5" xfId="23047" xr:uid="{00000000-0005-0000-0000-00003E940000}"/>
    <cellStyle name="Normal 2 3 2 2 2 2 3" xfId="3847" xr:uid="{00000000-0005-0000-0000-00003F940000}"/>
    <cellStyle name="Normal 2 3 2 2 2 2 3 2" xfId="8967" xr:uid="{00000000-0005-0000-0000-000040940000}"/>
    <cellStyle name="Normal 2 3 2 2 2 2 3 2 2" xfId="19207" xr:uid="{00000000-0005-0000-0000-000041940000}"/>
    <cellStyle name="Normal 2 3 2 2 2 2 3 2 2 2" xfId="39687" xr:uid="{00000000-0005-0000-0000-000042940000}"/>
    <cellStyle name="Normal 2 3 2 2 2 2 3 2 3" xfId="29447" xr:uid="{00000000-0005-0000-0000-000043940000}"/>
    <cellStyle name="Normal 2 3 2 2 2 2 3 3" xfId="14087" xr:uid="{00000000-0005-0000-0000-000044940000}"/>
    <cellStyle name="Normal 2 3 2 2 2 2 3 3 2" xfId="34567" xr:uid="{00000000-0005-0000-0000-000045940000}"/>
    <cellStyle name="Normal 2 3 2 2 2 2 3 4" xfId="24327" xr:uid="{00000000-0005-0000-0000-000046940000}"/>
    <cellStyle name="Normal 2 3 2 2 2 2 4" xfId="6407" xr:uid="{00000000-0005-0000-0000-000047940000}"/>
    <cellStyle name="Normal 2 3 2 2 2 2 4 2" xfId="16647" xr:uid="{00000000-0005-0000-0000-000048940000}"/>
    <cellStyle name="Normal 2 3 2 2 2 2 4 2 2" xfId="37127" xr:uid="{00000000-0005-0000-0000-000049940000}"/>
    <cellStyle name="Normal 2 3 2 2 2 2 4 3" xfId="26887" xr:uid="{00000000-0005-0000-0000-00004A940000}"/>
    <cellStyle name="Normal 2 3 2 2 2 2 5" xfId="11527" xr:uid="{00000000-0005-0000-0000-00004B940000}"/>
    <cellStyle name="Normal 2 3 2 2 2 2 5 2" xfId="32007" xr:uid="{00000000-0005-0000-0000-00004C940000}"/>
    <cellStyle name="Normal 2 3 2 2 2 2 6" xfId="21767" xr:uid="{00000000-0005-0000-0000-00004D940000}"/>
    <cellStyle name="Normal 2 3 2 2 2 3" xfId="1927" xr:uid="{00000000-0005-0000-0000-00004E940000}"/>
    <cellStyle name="Normal 2 3 2 2 2 3 2" xfId="4487" xr:uid="{00000000-0005-0000-0000-00004F940000}"/>
    <cellStyle name="Normal 2 3 2 2 2 3 2 2" xfId="9607" xr:uid="{00000000-0005-0000-0000-000050940000}"/>
    <cellStyle name="Normal 2 3 2 2 2 3 2 2 2" xfId="19847" xr:uid="{00000000-0005-0000-0000-000051940000}"/>
    <cellStyle name="Normal 2 3 2 2 2 3 2 2 2 2" xfId="40327" xr:uid="{00000000-0005-0000-0000-000052940000}"/>
    <cellStyle name="Normal 2 3 2 2 2 3 2 2 3" xfId="30087" xr:uid="{00000000-0005-0000-0000-000053940000}"/>
    <cellStyle name="Normal 2 3 2 2 2 3 2 3" xfId="14727" xr:uid="{00000000-0005-0000-0000-000054940000}"/>
    <cellStyle name="Normal 2 3 2 2 2 3 2 3 2" xfId="35207" xr:uid="{00000000-0005-0000-0000-000055940000}"/>
    <cellStyle name="Normal 2 3 2 2 2 3 2 4" xfId="24967" xr:uid="{00000000-0005-0000-0000-000056940000}"/>
    <cellStyle name="Normal 2 3 2 2 2 3 3" xfId="7047" xr:uid="{00000000-0005-0000-0000-000057940000}"/>
    <cellStyle name="Normal 2 3 2 2 2 3 3 2" xfId="17287" xr:uid="{00000000-0005-0000-0000-000058940000}"/>
    <cellStyle name="Normal 2 3 2 2 2 3 3 2 2" xfId="37767" xr:uid="{00000000-0005-0000-0000-000059940000}"/>
    <cellStyle name="Normal 2 3 2 2 2 3 3 3" xfId="27527" xr:uid="{00000000-0005-0000-0000-00005A940000}"/>
    <cellStyle name="Normal 2 3 2 2 2 3 4" xfId="12167" xr:uid="{00000000-0005-0000-0000-00005B940000}"/>
    <cellStyle name="Normal 2 3 2 2 2 3 4 2" xfId="32647" xr:uid="{00000000-0005-0000-0000-00005C940000}"/>
    <cellStyle name="Normal 2 3 2 2 2 3 5" xfId="22407" xr:uid="{00000000-0005-0000-0000-00005D940000}"/>
    <cellStyle name="Normal 2 3 2 2 2 4" xfId="3207" xr:uid="{00000000-0005-0000-0000-00005E940000}"/>
    <cellStyle name="Normal 2 3 2 2 2 4 2" xfId="8327" xr:uid="{00000000-0005-0000-0000-00005F940000}"/>
    <cellStyle name="Normal 2 3 2 2 2 4 2 2" xfId="18567" xr:uid="{00000000-0005-0000-0000-000060940000}"/>
    <cellStyle name="Normal 2 3 2 2 2 4 2 2 2" xfId="39047" xr:uid="{00000000-0005-0000-0000-000061940000}"/>
    <cellStyle name="Normal 2 3 2 2 2 4 2 3" xfId="28807" xr:uid="{00000000-0005-0000-0000-000062940000}"/>
    <cellStyle name="Normal 2 3 2 2 2 4 3" xfId="13447" xr:uid="{00000000-0005-0000-0000-000063940000}"/>
    <cellStyle name="Normal 2 3 2 2 2 4 3 2" xfId="33927" xr:uid="{00000000-0005-0000-0000-000064940000}"/>
    <cellStyle name="Normal 2 3 2 2 2 4 4" xfId="23687" xr:uid="{00000000-0005-0000-0000-000065940000}"/>
    <cellStyle name="Normal 2 3 2 2 2 5" xfId="5767" xr:uid="{00000000-0005-0000-0000-000066940000}"/>
    <cellStyle name="Normal 2 3 2 2 2 5 2" xfId="16007" xr:uid="{00000000-0005-0000-0000-000067940000}"/>
    <cellStyle name="Normal 2 3 2 2 2 5 2 2" xfId="36487" xr:uid="{00000000-0005-0000-0000-000068940000}"/>
    <cellStyle name="Normal 2 3 2 2 2 5 3" xfId="26247" xr:uid="{00000000-0005-0000-0000-000069940000}"/>
    <cellStyle name="Normal 2 3 2 2 2 6" xfId="10887" xr:uid="{00000000-0005-0000-0000-00006A940000}"/>
    <cellStyle name="Normal 2 3 2 2 2 6 2" xfId="31367" xr:uid="{00000000-0005-0000-0000-00006B940000}"/>
    <cellStyle name="Normal 2 3 2 2 2 7" xfId="21127" xr:uid="{00000000-0005-0000-0000-00006C940000}"/>
    <cellStyle name="Normal 2 3 2 2 3" xfId="967" xr:uid="{00000000-0005-0000-0000-00006D940000}"/>
    <cellStyle name="Normal 2 3 2 2 3 2" xfId="2247" xr:uid="{00000000-0005-0000-0000-00006E940000}"/>
    <cellStyle name="Normal 2 3 2 2 3 2 2" xfId="4807" xr:uid="{00000000-0005-0000-0000-00006F940000}"/>
    <cellStyle name="Normal 2 3 2 2 3 2 2 2" xfId="9927" xr:uid="{00000000-0005-0000-0000-000070940000}"/>
    <cellStyle name="Normal 2 3 2 2 3 2 2 2 2" xfId="20167" xr:uid="{00000000-0005-0000-0000-000071940000}"/>
    <cellStyle name="Normal 2 3 2 2 3 2 2 2 2 2" xfId="40647" xr:uid="{00000000-0005-0000-0000-000072940000}"/>
    <cellStyle name="Normal 2 3 2 2 3 2 2 2 3" xfId="30407" xr:uid="{00000000-0005-0000-0000-000073940000}"/>
    <cellStyle name="Normal 2 3 2 2 3 2 2 3" xfId="15047" xr:uid="{00000000-0005-0000-0000-000074940000}"/>
    <cellStyle name="Normal 2 3 2 2 3 2 2 3 2" xfId="35527" xr:uid="{00000000-0005-0000-0000-000075940000}"/>
    <cellStyle name="Normal 2 3 2 2 3 2 2 4" xfId="25287" xr:uid="{00000000-0005-0000-0000-000076940000}"/>
    <cellStyle name="Normal 2 3 2 2 3 2 3" xfId="7367" xr:uid="{00000000-0005-0000-0000-000077940000}"/>
    <cellStyle name="Normal 2 3 2 2 3 2 3 2" xfId="17607" xr:uid="{00000000-0005-0000-0000-000078940000}"/>
    <cellStyle name="Normal 2 3 2 2 3 2 3 2 2" xfId="38087" xr:uid="{00000000-0005-0000-0000-000079940000}"/>
    <cellStyle name="Normal 2 3 2 2 3 2 3 3" xfId="27847" xr:uid="{00000000-0005-0000-0000-00007A940000}"/>
    <cellStyle name="Normal 2 3 2 2 3 2 4" xfId="12487" xr:uid="{00000000-0005-0000-0000-00007B940000}"/>
    <cellStyle name="Normal 2 3 2 2 3 2 4 2" xfId="32967" xr:uid="{00000000-0005-0000-0000-00007C940000}"/>
    <cellStyle name="Normal 2 3 2 2 3 2 5" xfId="22727" xr:uid="{00000000-0005-0000-0000-00007D940000}"/>
    <cellStyle name="Normal 2 3 2 2 3 3" xfId="3527" xr:uid="{00000000-0005-0000-0000-00007E940000}"/>
    <cellStyle name="Normal 2 3 2 2 3 3 2" xfId="8647" xr:uid="{00000000-0005-0000-0000-00007F940000}"/>
    <cellStyle name="Normal 2 3 2 2 3 3 2 2" xfId="18887" xr:uid="{00000000-0005-0000-0000-000080940000}"/>
    <cellStyle name="Normal 2 3 2 2 3 3 2 2 2" xfId="39367" xr:uid="{00000000-0005-0000-0000-000081940000}"/>
    <cellStyle name="Normal 2 3 2 2 3 3 2 3" xfId="29127" xr:uid="{00000000-0005-0000-0000-000082940000}"/>
    <cellStyle name="Normal 2 3 2 2 3 3 3" xfId="13767" xr:uid="{00000000-0005-0000-0000-000083940000}"/>
    <cellStyle name="Normal 2 3 2 2 3 3 3 2" xfId="34247" xr:uid="{00000000-0005-0000-0000-000084940000}"/>
    <cellStyle name="Normal 2 3 2 2 3 3 4" xfId="24007" xr:uid="{00000000-0005-0000-0000-000085940000}"/>
    <cellStyle name="Normal 2 3 2 2 3 4" xfId="6087" xr:uid="{00000000-0005-0000-0000-000086940000}"/>
    <cellStyle name="Normal 2 3 2 2 3 4 2" xfId="16327" xr:uid="{00000000-0005-0000-0000-000087940000}"/>
    <cellStyle name="Normal 2 3 2 2 3 4 2 2" xfId="36807" xr:uid="{00000000-0005-0000-0000-000088940000}"/>
    <cellStyle name="Normal 2 3 2 2 3 4 3" xfId="26567" xr:uid="{00000000-0005-0000-0000-000089940000}"/>
    <cellStyle name="Normal 2 3 2 2 3 5" xfId="11207" xr:uid="{00000000-0005-0000-0000-00008A940000}"/>
    <cellStyle name="Normal 2 3 2 2 3 5 2" xfId="31687" xr:uid="{00000000-0005-0000-0000-00008B940000}"/>
    <cellStyle name="Normal 2 3 2 2 3 6" xfId="21447" xr:uid="{00000000-0005-0000-0000-00008C940000}"/>
    <cellStyle name="Normal 2 3 2 2 4" xfId="1607" xr:uid="{00000000-0005-0000-0000-00008D940000}"/>
    <cellStyle name="Normal 2 3 2 2 4 2" xfId="4167" xr:uid="{00000000-0005-0000-0000-00008E940000}"/>
    <cellStyle name="Normal 2 3 2 2 4 2 2" xfId="9287" xr:uid="{00000000-0005-0000-0000-00008F940000}"/>
    <cellStyle name="Normal 2 3 2 2 4 2 2 2" xfId="19527" xr:uid="{00000000-0005-0000-0000-000090940000}"/>
    <cellStyle name="Normal 2 3 2 2 4 2 2 2 2" xfId="40007" xr:uid="{00000000-0005-0000-0000-000091940000}"/>
    <cellStyle name="Normal 2 3 2 2 4 2 2 3" xfId="29767" xr:uid="{00000000-0005-0000-0000-000092940000}"/>
    <cellStyle name="Normal 2 3 2 2 4 2 3" xfId="14407" xr:uid="{00000000-0005-0000-0000-000093940000}"/>
    <cellStyle name="Normal 2 3 2 2 4 2 3 2" xfId="34887" xr:uid="{00000000-0005-0000-0000-000094940000}"/>
    <cellStyle name="Normal 2 3 2 2 4 2 4" xfId="24647" xr:uid="{00000000-0005-0000-0000-000095940000}"/>
    <cellStyle name="Normal 2 3 2 2 4 3" xfId="6727" xr:uid="{00000000-0005-0000-0000-000096940000}"/>
    <cellStyle name="Normal 2 3 2 2 4 3 2" xfId="16967" xr:uid="{00000000-0005-0000-0000-000097940000}"/>
    <cellStyle name="Normal 2 3 2 2 4 3 2 2" xfId="37447" xr:uid="{00000000-0005-0000-0000-000098940000}"/>
    <cellStyle name="Normal 2 3 2 2 4 3 3" xfId="27207" xr:uid="{00000000-0005-0000-0000-000099940000}"/>
    <cellStyle name="Normal 2 3 2 2 4 4" xfId="11847" xr:uid="{00000000-0005-0000-0000-00009A940000}"/>
    <cellStyle name="Normal 2 3 2 2 4 4 2" xfId="32327" xr:uid="{00000000-0005-0000-0000-00009B940000}"/>
    <cellStyle name="Normal 2 3 2 2 4 5" xfId="22087" xr:uid="{00000000-0005-0000-0000-00009C940000}"/>
    <cellStyle name="Normal 2 3 2 2 5" xfId="2887" xr:uid="{00000000-0005-0000-0000-00009D940000}"/>
    <cellStyle name="Normal 2 3 2 2 5 2" xfId="8007" xr:uid="{00000000-0005-0000-0000-00009E940000}"/>
    <cellStyle name="Normal 2 3 2 2 5 2 2" xfId="18247" xr:uid="{00000000-0005-0000-0000-00009F940000}"/>
    <cellStyle name="Normal 2 3 2 2 5 2 2 2" xfId="38727" xr:uid="{00000000-0005-0000-0000-0000A0940000}"/>
    <cellStyle name="Normal 2 3 2 2 5 2 3" xfId="28487" xr:uid="{00000000-0005-0000-0000-0000A1940000}"/>
    <cellStyle name="Normal 2 3 2 2 5 3" xfId="13127" xr:uid="{00000000-0005-0000-0000-0000A2940000}"/>
    <cellStyle name="Normal 2 3 2 2 5 3 2" xfId="33607" xr:uid="{00000000-0005-0000-0000-0000A3940000}"/>
    <cellStyle name="Normal 2 3 2 2 5 4" xfId="23367" xr:uid="{00000000-0005-0000-0000-0000A4940000}"/>
    <cellStyle name="Normal 2 3 2 2 6" xfId="5447" xr:uid="{00000000-0005-0000-0000-0000A5940000}"/>
    <cellStyle name="Normal 2 3 2 2 6 2" xfId="15687" xr:uid="{00000000-0005-0000-0000-0000A6940000}"/>
    <cellStyle name="Normal 2 3 2 2 6 2 2" xfId="36167" xr:uid="{00000000-0005-0000-0000-0000A7940000}"/>
    <cellStyle name="Normal 2 3 2 2 6 3" xfId="25927" xr:uid="{00000000-0005-0000-0000-0000A8940000}"/>
    <cellStyle name="Normal 2 3 2 2 7" xfId="10567" xr:uid="{00000000-0005-0000-0000-0000A9940000}"/>
    <cellStyle name="Normal 2 3 2 2 7 2" xfId="31047" xr:uid="{00000000-0005-0000-0000-0000AA940000}"/>
    <cellStyle name="Normal 2 3 2 2 8" xfId="20807" xr:uid="{00000000-0005-0000-0000-0000AB940000}"/>
    <cellStyle name="Normal 2 3 2 3" xfId="487" xr:uid="{00000000-0005-0000-0000-0000AC940000}"/>
    <cellStyle name="Normal 2 3 2 3 2" xfId="1127" xr:uid="{00000000-0005-0000-0000-0000AD940000}"/>
    <cellStyle name="Normal 2 3 2 3 2 2" xfId="2407" xr:uid="{00000000-0005-0000-0000-0000AE940000}"/>
    <cellStyle name="Normal 2 3 2 3 2 2 2" xfId="4967" xr:uid="{00000000-0005-0000-0000-0000AF940000}"/>
    <cellStyle name="Normal 2 3 2 3 2 2 2 2" xfId="10087" xr:uid="{00000000-0005-0000-0000-0000B0940000}"/>
    <cellStyle name="Normal 2 3 2 3 2 2 2 2 2" xfId="20327" xr:uid="{00000000-0005-0000-0000-0000B1940000}"/>
    <cellStyle name="Normal 2 3 2 3 2 2 2 2 2 2" xfId="40807" xr:uid="{00000000-0005-0000-0000-0000B2940000}"/>
    <cellStyle name="Normal 2 3 2 3 2 2 2 2 3" xfId="30567" xr:uid="{00000000-0005-0000-0000-0000B3940000}"/>
    <cellStyle name="Normal 2 3 2 3 2 2 2 3" xfId="15207" xr:uid="{00000000-0005-0000-0000-0000B4940000}"/>
    <cellStyle name="Normal 2 3 2 3 2 2 2 3 2" xfId="35687" xr:uid="{00000000-0005-0000-0000-0000B5940000}"/>
    <cellStyle name="Normal 2 3 2 3 2 2 2 4" xfId="25447" xr:uid="{00000000-0005-0000-0000-0000B6940000}"/>
    <cellStyle name="Normal 2 3 2 3 2 2 3" xfId="7527" xr:uid="{00000000-0005-0000-0000-0000B7940000}"/>
    <cellStyle name="Normal 2 3 2 3 2 2 3 2" xfId="17767" xr:uid="{00000000-0005-0000-0000-0000B8940000}"/>
    <cellStyle name="Normal 2 3 2 3 2 2 3 2 2" xfId="38247" xr:uid="{00000000-0005-0000-0000-0000B9940000}"/>
    <cellStyle name="Normal 2 3 2 3 2 2 3 3" xfId="28007" xr:uid="{00000000-0005-0000-0000-0000BA940000}"/>
    <cellStyle name="Normal 2 3 2 3 2 2 4" xfId="12647" xr:uid="{00000000-0005-0000-0000-0000BB940000}"/>
    <cellStyle name="Normal 2 3 2 3 2 2 4 2" xfId="33127" xr:uid="{00000000-0005-0000-0000-0000BC940000}"/>
    <cellStyle name="Normal 2 3 2 3 2 2 5" xfId="22887" xr:uid="{00000000-0005-0000-0000-0000BD940000}"/>
    <cellStyle name="Normal 2 3 2 3 2 3" xfId="3687" xr:uid="{00000000-0005-0000-0000-0000BE940000}"/>
    <cellStyle name="Normal 2 3 2 3 2 3 2" xfId="8807" xr:uid="{00000000-0005-0000-0000-0000BF940000}"/>
    <cellStyle name="Normal 2 3 2 3 2 3 2 2" xfId="19047" xr:uid="{00000000-0005-0000-0000-0000C0940000}"/>
    <cellStyle name="Normal 2 3 2 3 2 3 2 2 2" xfId="39527" xr:uid="{00000000-0005-0000-0000-0000C1940000}"/>
    <cellStyle name="Normal 2 3 2 3 2 3 2 3" xfId="29287" xr:uid="{00000000-0005-0000-0000-0000C2940000}"/>
    <cellStyle name="Normal 2 3 2 3 2 3 3" xfId="13927" xr:uid="{00000000-0005-0000-0000-0000C3940000}"/>
    <cellStyle name="Normal 2 3 2 3 2 3 3 2" xfId="34407" xr:uid="{00000000-0005-0000-0000-0000C4940000}"/>
    <cellStyle name="Normal 2 3 2 3 2 3 4" xfId="24167" xr:uid="{00000000-0005-0000-0000-0000C5940000}"/>
    <cellStyle name="Normal 2 3 2 3 2 4" xfId="6247" xr:uid="{00000000-0005-0000-0000-0000C6940000}"/>
    <cellStyle name="Normal 2 3 2 3 2 4 2" xfId="16487" xr:uid="{00000000-0005-0000-0000-0000C7940000}"/>
    <cellStyle name="Normal 2 3 2 3 2 4 2 2" xfId="36967" xr:uid="{00000000-0005-0000-0000-0000C8940000}"/>
    <cellStyle name="Normal 2 3 2 3 2 4 3" xfId="26727" xr:uid="{00000000-0005-0000-0000-0000C9940000}"/>
    <cellStyle name="Normal 2 3 2 3 2 5" xfId="11367" xr:uid="{00000000-0005-0000-0000-0000CA940000}"/>
    <cellStyle name="Normal 2 3 2 3 2 5 2" xfId="31847" xr:uid="{00000000-0005-0000-0000-0000CB940000}"/>
    <cellStyle name="Normal 2 3 2 3 2 6" xfId="21607" xr:uid="{00000000-0005-0000-0000-0000CC940000}"/>
    <cellStyle name="Normal 2 3 2 3 3" xfId="1767" xr:uid="{00000000-0005-0000-0000-0000CD940000}"/>
    <cellStyle name="Normal 2 3 2 3 3 2" xfId="4327" xr:uid="{00000000-0005-0000-0000-0000CE940000}"/>
    <cellStyle name="Normal 2 3 2 3 3 2 2" xfId="9447" xr:uid="{00000000-0005-0000-0000-0000CF940000}"/>
    <cellStyle name="Normal 2 3 2 3 3 2 2 2" xfId="19687" xr:uid="{00000000-0005-0000-0000-0000D0940000}"/>
    <cellStyle name="Normal 2 3 2 3 3 2 2 2 2" xfId="40167" xr:uid="{00000000-0005-0000-0000-0000D1940000}"/>
    <cellStyle name="Normal 2 3 2 3 3 2 2 3" xfId="29927" xr:uid="{00000000-0005-0000-0000-0000D2940000}"/>
    <cellStyle name="Normal 2 3 2 3 3 2 3" xfId="14567" xr:uid="{00000000-0005-0000-0000-0000D3940000}"/>
    <cellStyle name="Normal 2 3 2 3 3 2 3 2" xfId="35047" xr:uid="{00000000-0005-0000-0000-0000D4940000}"/>
    <cellStyle name="Normal 2 3 2 3 3 2 4" xfId="24807" xr:uid="{00000000-0005-0000-0000-0000D5940000}"/>
    <cellStyle name="Normal 2 3 2 3 3 3" xfId="6887" xr:uid="{00000000-0005-0000-0000-0000D6940000}"/>
    <cellStyle name="Normal 2 3 2 3 3 3 2" xfId="17127" xr:uid="{00000000-0005-0000-0000-0000D7940000}"/>
    <cellStyle name="Normal 2 3 2 3 3 3 2 2" xfId="37607" xr:uid="{00000000-0005-0000-0000-0000D8940000}"/>
    <cellStyle name="Normal 2 3 2 3 3 3 3" xfId="27367" xr:uid="{00000000-0005-0000-0000-0000D9940000}"/>
    <cellStyle name="Normal 2 3 2 3 3 4" xfId="12007" xr:uid="{00000000-0005-0000-0000-0000DA940000}"/>
    <cellStyle name="Normal 2 3 2 3 3 4 2" xfId="32487" xr:uid="{00000000-0005-0000-0000-0000DB940000}"/>
    <cellStyle name="Normal 2 3 2 3 3 5" xfId="22247" xr:uid="{00000000-0005-0000-0000-0000DC940000}"/>
    <cellStyle name="Normal 2 3 2 3 4" xfId="3047" xr:uid="{00000000-0005-0000-0000-0000DD940000}"/>
    <cellStyle name="Normal 2 3 2 3 4 2" xfId="8167" xr:uid="{00000000-0005-0000-0000-0000DE940000}"/>
    <cellStyle name="Normal 2 3 2 3 4 2 2" xfId="18407" xr:uid="{00000000-0005-0000-0000-0000DF940000}"/>
    <cellStyle name="Normal 2 3 2 3 4 2 2 2" xfId="38887" xr:uid="{00000000-0005-0000-0000-0000E0940000}"/>
    <cellStyle name="Normal 2 3 2 3 4 2 3" xfId="28647" xr:uid="{00000000-0005-0000-0000-0000E1940000}"/>
    <cellStyle name="Normal 2 3 2 3 4 3" xfId="13287" xr:uid="{00000000-0005-0000-0000-0000E2940000}"/>
    <cellStyle name="Normal 2 3 2 3 4 3 2" xfId="33767" xr:uid="{00000000-0005-0000-0000-0000E3940000}"/>
    <cellStyle name="Normal 2 3 2 3 4 4" xfId="23527" xr:uid="{00000000-0005-0000-0000-0000E4940000}"/>
    <cellStyle name="Normal 2 3 2 3 5" xfId="5607" xr:uid="{00000000-0005-0000-0000-0000E5940000}"/>
    <cellStyle name="Normal 2 3 2 3 5 2" xfId="15847" xr:uid="{00000000-0005-0000-0000-0000E6940000}"/>
    <cellStyle name="Normal 2 3 2 3 5 2 2" xfId="36327" xr:uid="{00000000-0005-0000-0000-0000E7940000}"/>
    <cellStyle name="Normal 2 3 2 3 5 3" xfId="26087" xr:uid="{00000000-0005-0000-0000-0000E8940000}"/>
    <cellStyle name="Normal 2 3 2 3 6" xfId="10727" xr:uid="{00000000-0005-0000-0000-0000E9940000}"/>
    <cellStyle name="Normal 2 3 2 3 6 2" xfId="31207" xr:uid="{00000000-0005-0000-0000-0000EA940000}"/>
    <cellStyle name="Normal 2 3 2 3 7" xfId="20967" xr:uid="{00000000-0005-0000-0000-0000EB940000}"/>
    <cellStyle name="Normal 2 3 2 4" xfId="807" xr:uid="{00000000-0005-0000-0000-0000EC940000}"/>
    <cellStyle name="Normal 2 3 2 4 2" xfId="2087" xr:uid="{00000000-0005-0000-0000-0000ED940000}"/>
    <cellStyle name="Normal 2 3 2 4 2 2" xfId="4647" xr:uid="{00000000-0005-0000-0000-0000EE940000}"/>
    <cellStyle name="Normal 2 3 2 4 2 2 2" xfId="9767" xr:uid="{00000000-0005-0000-0000-0000EF940000}"/>
    <cellStyle name="Normal 2 3 2 4 2 2 2 2" xfId="20007" xr:uid="{00000000-0005-0000-0000-0000F0940000}"/>
    <cellStyle name="Normal 2 3 2 4 2 2 2 2 2" xfId="40487" xr:uid="{00000000-0005-0000-0000-0000F1940000}"/>
    <cellStyle name="Normal 2 3 2 4 2 2 2 3" xfId="30247" xr:uid="{00000000-0005-0000-0000-0000F2940000}"/>
    <cellStyle name="Normal 2 3 2 4 2 2 3" xfId="14887" xr:uid="{00000000-0005-0000-0000-0000F3940000}"/>
    <cellStyle name="Normal 2 3 2 4 2 2 3 2" xfId="35367" xr:uid="{00000000-0005-0000-0000-0000F4940000}"/>
    <cellStyle name="Normal 2 3 2 4 2 2 4" xfId="25127" xr:uid="{00000000-0005-0000-0000-0000F5940000}"/>
    <cellStyle name="Normal 2 3 2 4 2 3" xfId="7207" xr:uid="{00000000-0005-0000-0000-0000F6940000}"/>
    <cellStyle name="Normal 2 3 2 4 2 3 2" xfId="17447" xr:uid="{00000000-0005-0000-0000-0000F7940000}"/>
    <cellStyle name="Normal 2 3 2 4 2 3 2 2" xfId="37927" xr:uid="{00000000-0005-0000-0000-0000F8940000}"/>
    <cellStyle name="Normal 2 3 2 4 2 3 3" xfId="27687" xr:uid="{00000000-0005-0000-0000-0000F9940000}"/>
    <cellStyle name="Normal 2 3 2 4 2 4" xfId="12327" xr:uid="{00000000-0005-0000-0000-0000FA940000}"/>
    <cellStyle name="Normal 2 3 2 4 2 4 2" xfId="32807" xr:uid="{00000000-0005-0000-0000-0000FB940000}"/>
    <cellStyle name="Normal 2 3 2 4 2 5" xfId="22567" xr:uid="{00000000-0005-0000-0000-0000FC940000}"/>
    <cellStyle name="Normal 2 3 2 4 3" xfId="3367" xr:uid="{00000000-0005-0000-0000-0000FD940000}"/>
    <cellStyle name="Normal 2 3 2 4 3 2" xfId="8487" xr:uid="{00000000-0005-0000-0000-0000FE940000}"/>
    <cellStyle name="Normal 2 3 2 4 3 2 2" xfId="18727" xr:uid="{00000000-0005-0000-0000-0000FF940000}"/>
    <cellStyle name="Normal 2 3 2 4 3 2 2 2" xfId="39207" xr:uid="{00000000-0005-0000-0000-000000950000}"/>
    <cellStyle name="Normal 2 3 2 4 3 2 3" xfId="28967" xr:uid="{00000000-0005-0000-0000-000001950000}"/>
    <cellStyle name="Normal 2 3 2 4 3 3" xfId="13607" xr:uid="{00000000-0005-0000-0000-000002950000}"/>
    <cellStyle name="Normal 2 3 2 4 3 3 2" xfId="34087" xr:uid="{00000000-0005-0000-0000-000003950000}"/>
    <cellStyle name="Normal 2 3 2 4 3 4" xfId="23847" xr:uid="{00000000-0005-0000-0000-000004950000}"/>
    <cellStyle name="Normal 2 3 2 4 4" xfId="5927" xr:uid="{00000000-0005-0000-0000-000005950000}"/>
    <cellStyle name="Normal 2 3 2 4 4 2" xfId="16167" xr:uid="{00000000-0005-0000-0000-000006950000}"/>
    <cellStyle name="Normal 2 3 2 4 4 2 2" xfId="36647" xr:uid="{00000000-0005-0000-0000-000007950000}"/>
    <cellStyle name="Normal 2 3 2 4 4 3" xfId="26407" xr:uid="{00000000-0005-0000-0000-000008950000}"/>
    <cellStyle name="Normal 2 3 2 4 5" xfId="11047" xr:uid="{00000000-0005-0000-0000-000009950000}"/>
    <cellStyle name="Normal 2 3 2 4 5 2" xfId="31527" xr:uid="{00000000-0005-0000-0000-00000A950000}"/>
    <cellStyle name="Normal 2 3 2 4 6" xfId="21287" xr:uid="{00000000-0005-0000-0000-00000B950000}"/>
    <cellStyle name="Normal 2 3 2 5" xfId="1447" xr:uid="{00000000-0005-0000-0000-00000C950000}"/>
    <cellStyle name="Normal 2 3 2 5 2" xfId="4007" xr:uid="{00000000-0005-0000-0000-00000D950000}"/>
    <cellStyle name="Normal 2 3 2 5 2 2" xfId="9127" xr:uid="{00000000-0005-0000-0000-00000E950000}"/>
    <cellStyle name="Normal 2 3 2 5 2 2 2" xfId="19367" xr:uid="{00000000-0005-0000-0000-00000F950000}"/>
    <cellStyle name="Normal 2 3 2 5 2 2 2 2" xfId="39847" xr:uid="{00000000-0005-0000-0000-000010950000}"/>
    <cellStyle name="Normal 2 3 2 5 2 2 3" xfId="29607" xr:uid="{00000000-0005-0000-0000-000011950000}"/>
    <cellStyle name="Normal 2 3 2 5 2 3" xfId="14247" xr:uid="{00000000-0005-0000-0000-000012950000}"/>
    <cellStyle name="Normal 2 3 2 5 2 3 2" xfId="34727" xr:uid="{00000000-0005-0000-0000-000013950000}"/>
    <cellStyle name="Normal 2 3 2 5 2 4" xfId="24487" xr:uid="{00000000-0005-0000-0000-000014950000}"/>
    <cellStyle name="Normal 2 3 2 5 3" xfId="6567" xr:uid="{00000000-0005-0000-0000-000015950000}"/>
    <cellStyle name="Normal 2 3 2 5 3 2" xfId="16807" xr:uid="{00000000-0005-0000-0000-000016950000}"/>
    <cellStyle name="Normal 2 3 2 5 3 2 2" xfId="37287" xr:uid="{00000000-0005-0000-0000-000017950000}"/>
    <cellStyle name="Normal 2 3 2 5 3 3" xfId="27047" xr:uid="{00000000-0005-0000-0000-000018950000}"/>
    <cellStyle name="Normal 2 3 2 5 4" xfId="11687" xr:uid="{00000000-0005-0000-0000-000019950000}"/>
    <cellStyle name="Normal 2 3 2 5 4 2" xfId="32167" xr:uid="{00000000-0005-0000-0000-00001A950000}"/>
    <cellStyle name="Normal 2 3 2 5 5" xfId="21927" xr:uid="{00000000-0005-0000-0000-00001B950000}"/>
    <cellStyle name="Normal 2 3 2 6" xfId="2727" xr:uid="{00000000-0005-0000-0000-00001C950000}"/>
    <cellStyle name="Normal 2 3 2 6 2" xfId="7847" xr:uid="{00000000-0005-0000-0000-00001D950000}"/>
    <cellStyle name="Normal 2 3 2 6 2 2" xfId="18087" xr:uid="{00000000-0005-0000-0000-00001E950000}"/>
    <cellStyle name="Normal 2 3 2 6 2 2 2" xfId="38567" xr:uid="{00000000-0005-0000-0000-00001F950000}"/>
    <cellStyle name="Normal 2 3 2 6 2 3" xfId="28327" xr:uid="{00000000-0005-0000-0000-000020950000}"/>
    <cellStyle name="Normal 2 3 2 6 3" xfId="12967" xr:uid="{00000000-0005-0000-0000-000021950000}"/>
    <cellStyle name="Normal 2 3 2 6 3 2" xfId="33447" xr:uid="{00000000-0005-0000-0000-000022950000}"/>
    <cellStyle name="Normal 2 3 2 6 4" xfId="23207" xr:uid="{00000000-0005-0000-0000-000023950000}"/>
    <cellStyle name="Normal 2 3 2 7" xfId="5287" xr:uid="{00000000-0005-0000-0000-000024950000}"/>
    <cellStyle name="Normal 2 3 2 7 2" xfId="15527" xr:uid="{00000000-0005-0000-0000-000025950000}"/>
    <cellStyle name="Normal 2 3 2 7 2 2" xfId="36007" xr:uid="{00000000-0005-0000-0000-000026950000}"/>
    <cellStyle name="Normal 2 3 2 7 3" xfId="25767" xr:uid="{00000000-0005-0000-0000-000027950000}"/>
    <cellStyle name="Normal 2 3 2 8" xfId="10407" xr:uid="{00000000-0005-0000-0000-000028950000}"/>
    <cellStyle name="Normal 2 3 2 8 2" xfId="30887" xr:uid="{00000000-0005-0000-0000-000029950000}"/>
    <cellStyle name="Normal 2 3 2 9" xfId="20647" xr:uid="{00000000-0005-0000-0000-00002A950000}"/>
    <cellStyle name="Normal 2 3 3" xfId="247" xr:uid="{00000000-0005-0000-0000-00002B950000}"/>
    <cellStyle name="Normal 2 3 3 2" xfId="567" xr:uid="{00000000-0005-0000-0000-00002C950000}"/>
    <cellStyle name="Normal 2 3 3 2 2" xfId="1207" xr:uid="{00000000-0005-0000-0000-00002D950000}"/>
    <cellStyle name="Normal 2 3 3 2 2 2" xfId="2487" xr:uid="{00000000-0005-0000-0000-00002E950000}"/>
    <cellStyle name="Normal 2 3 3 2 2 2 2" xfId="5047" xr:uid="{00000000-0005-0000-0000-00002F950000}"/>
    <cellStyle name="Normal 2 3 3 2 2 2 2 2" xfId="10167" xr:uid="{00000000-0005-0000-0000-000030950000}"/>
    <cellStyle name="Normal 2 3 3 2 2 2 2 2 2" xfId="20407" xr:uid="{00000000-0005-0000-0000-000031950000}"/>
    <cellStyle name="Normal 2 3 3 2 2 2 2 2 2 2" xfId="40887" xr:uid="{00000000-0005-0000-0000-000032950000}"/>
    <cellStyle name="Normal 2 3 3 2 2 2 2 2 3" xfId="30647" xr:uid="{00000000-0005-0000-0000-000033950000}"/>
    <cellStyle name="Normal 2 3 3 2 2 2 2 3" xfId="15287" xr:uid="{00000000-0005-0000-0000-000034950000}"/>
    <cellStyle name="Normal 2 3 3 2 2 2 2 3 2" xfId="35767" xr:uid="{00000000-0005-0000-0000-000035950000}"/>
    <cellStyle name="Normal 2 3 3 2 2 2 2 4" xfId="25527" xr:uid="{00000000-0005-0000-0000-000036950000}"/>
    <cellStyle name="Normal 2 3 3 2 2 2 3" xfId="7607" xr:uid="{00000000-0005-0000-0000-000037950000}"/>
    <cellStyle name="Normal 2 3 3 2 2 2 3 2" xfId="17847" xr:uid="{00000000-0005-0000-0000-000038950000}"/>
    <cellStyle name="Normal 2 3 3 2 2 2 3 2 2" xfId="38327" xr:uid="{00000000-0005-0000-0000-000039950000}"/>
    <cellStyle name="Normal 2 3 3 2 2 2 3 3" xfId="28087" xr:uid="{00000000-0005-0000-0000-00003A950000}"/>
    <cellStyle name="Normal 2 3 3 2 2 2 4" xfId="12727" xr:uid="{00000000-0005-0000-0000-00003B950000}"/>
    <cellStyle name="Normal 2 3 3 2 2 2 4 2" xfId="33207" xr:uid="{00000000-0005-0000-0000-00003C950000}"/>
    <cellStyle name="Normal 2 3 3 2 2 2 5" xfId="22967" xr:uid="{00000000-0005-0000-0000-00003D950000}"/>
    <cellStyle name="Normal 2 3 3 2 2 3" xfId="3767" xr:uid="{00000000-0005-0000-0000-00003E950000}"/>
    <cellStyle name="Normal 2 3 3 2 2 3 2" xfId="8887" xr:uid="{00000000-0005-0000-0000-00003F950000}"/>
    <cellStyle name="Normal 2 3 3 2 2 3 2 2" xfId="19127" xr:uid="{00000000-0005-0000-0000-000040950000}"/>
    <cellStyle name="Normal 2 3 3 2 2 3 2 2 2" xfId="39607" xr:uid="{00000000-0005-0000-0000-000041950000}"/>
    <cellStyle name="Normal 2 3 3 2 2 3 2 3" xfId="29367" xr:uid="{00000000-0005-0000-0000-000042950000}"/>
    <cellStyle name="Normal 2 3 3 2 2 3 3" xfId="14007" xr:uid="{00000000-0005-0000-0000-000043950000}"/>
    <cellStyle name="Normal 2 3 3 2 2 3 3 2" xfId="34487" xr:uid="{00000000-0005-0000-0000-000044950000}"/>
    <cellStyle name="Normal 2 3 3 2 2 3 4" xfId="24247" xr:uid="{00000000-0005-0000-0000-000045950000}"/>
    <cellStyle name="Normal 2 3 3 2 2 4" xfId="6327" xr:uid="{00000000-0005-0000-0000-000046950000}"/>
    <cellStyle name="Normal 2 3 3 2 2 4 2" xfId="16567" xr:uid="{00000000-0005-0000-0000-000047950000}"/>
    <cellStyle name="Normal 2 3 3 2 2 4 2 2" xfId="37047" xr:uid="{00000000-0005-0000-0000-000048950000}"/>
    <cellStyle name="Normal 2 3 3 2 2 4 3" xfId="26807" xr:uid="{00000000-0005-0000-0000-000049950000}"/>
    <cellStyle name="Normal 2 3 3 2 2 5" xfId="11447" xr:uid="{00000000-0005-0000-0000-00004A950000}"/>
    <cellStyle name="Normal 2 3 3 2 2 5 2" xfId="31927" xr:uid="{00000000-0005-0000-0000-00004B950000}"/>
    <cellStyle name="Normal 2 3 3 2 2 6" xfId="21687" xr:uid="{00000000-0005-0000-0000-00004C950000}"/>
    <cellStyle name="Normal 2 3 3 2 3" xfId="1847" xr:uid="{00000000-0005-0000-0000-00004D950000}"/>
    <cellStyle name="Normal 2 3 3 2 3 2" xfId="4407" xr:uid="{00000000-0005-0000-0000-00004E950000}"/>
    <cellStyle name="Normal 2 3 3 2 3 2 2" xfId="9527" xr:uid="{00000000-0005-0000-0000-00004F950000}"/>
    <cellStyle name="Normal 2 3 3 2 3 2 2 2" xfId="19767" xr:uid="{00000000-0005-0000-0000-000050950000}"/>
    <cellStyle name="Normal 2 3 3 2 3 2 2 2 2" xfId="40247" xr:uid="{00000000-0005-0000-0000-000051950000}"/>
    <cellStyle name="Normal 2 3 3 2 3 2 2 3" xfId="30007" xr:uid="{00000000-0005-0000-0000-000052950000}"/>
    <cellStyle name="Normal 2 3 3 2 3 2 3" xfId="14647" xr:uid="{00000000-0005-0000-0000-000053950000}"/>
    <cellStyle name="Normal 2 3 3 2 3 2 3 2" xfId="35127" xr:uid="{00000000-0005-0000-0000-000054950000}"/>
    <cellStyle name="Normal 2 3 3 2 3 2 4" xfId="24887" xr:uid="{00000000-0005-0000-0000-000055950000}"/>
    <cellStyle name="Normal 2 3 3 2 3 3" xfId="6967" xr:uid="{00000000-0005-0000-0000-000056950000}"/>
    <cellStyle name="Normal 2 3 3 2 3 3 2" xfId="17207" xr:uid="{00000000-0005-0000-0000-000057950000}"/>
    <cellStyle name="Normal 2 3 3 2 3 3 2 2" xfId="37687" xr:uid="{00000000-0005-0000-0000-000058950000}"/>
    <cellStyle name="Normal 2 3 3 2 3 3 3" xfId="27447" xr:uid="{00000000-0005-0000-0000-000059950000}"/>
    <cellStyle name="Normal 2 3 3 2 3 4" xfId="12087" xr:uid="{00000000-0005-0000-0000-00005A950000}"/>
    <cellStyle name="Normal 2 3 3 2 3 4 2" xfId="32567" xr:uid="{00000000-0005-0000-0000-00005B950000}"/>
    <cellStyle name="Normal 2 3 3 2 3 5" xfId="22327" xr:uid="{00000000-0005-0000-0000-00005C950000}"/>
    <cellStyle name="Normal 2 3 3 2 4" xfId="3127" xr:uid="{00000000-0005-0000-0000-00005D950000}"/>
    <cellStyle name="Normal 2 3 3 2 4 2" xfId="8247" xr:uid="{00000000-0005-0000-0000-00005E950000}"/>
    <cellStyle name="Normal 2 3 3 2 4 2 2" xfId="18487" xr:uid="{00000000-0005-0000-0000-00005F950000}"/>
    <cellStyle name="Normal 2 3 3 2 4 2 2 2" xfId="38967" xr:uid="{00000000-0005-0000-0000-000060950000}"/>
    <cellStyle name="Normal 2 3 3 2 4 2 3" xfId="28727" xr:uid="{00000000-0005-0000-0000-000061950000}"/>
    <cellStyle name="Normal 2 3 3 2 4 3" xfId="13367" xr:uid="{00000000-0005-0000-0000-000062950000}"/>
    <cellStyle name="Normal 2 3 3 2 4 3 2" xfId="33847" xr:uid="{00000000-0005-0000-0000-000063950000}"/>
    <cellStyle name="Normal 2 3 3 2 4 4" xfId="23607" xr:uid="{00000000-0005-0000-0000-000064950000}"/>
    <cellStyle name="Normal 2 3 3 2 5" xfId="5687" xr:uid="{00000000-0005-0000-0000-000065950000}"/>
    <cellStyle name="Normal 2 3 3 2 5 2" xfId="15927" xr:uid="{00000000-0005-0000-0000-000066950000}"/>
    <cellStyle name="Normal 2 3 3 2 5 2 2" xfId="36407" xr:uid="{00000000-0005-0000-0000-000067950000}"/>
    <cellStyle name="Normal 2 3 3 2 5 3" xfId="26167" xr:uid="{00000000-0005-0000-0000-000068950000}"/>
    <cellStyle name="Normal 2 3 3 2 6" xfId="10807" xr:uid="{00000000-0005-0000-0000-000069950000}"/>
    <cellStyle name="Normal 2 3 3 2 6 2" xfId="31287" xr:uid="{00000000-0005-0000-0000-00006A950000}"/>
    <cellStyle name="Normal 2 3 3 2 7" xfId="21047" xr:uid="{00000000-0005-0000-0000-00006B950000}"/>
    <cellStyle name="Normal 2 3 3 3" xfId="887" xr:uid="{00000000-0005-0000-0000-00006C950000}"/>
    <cellStyle name="Normal 2 3 3 3 2" xfId="2167" xr:uid="{00000000-0005-0000-0000-00006D950000}"/>
    <cellStyle name="Normal 2 3 3 3 2 2" xfId="4727" xr:uid="{00000000-0005-0000-0000-00006E950000}"/>
    <cellStyle name="Normal 2 3 3 3 2 2 2" xfId="9847" xr:uid="{00000000-0005-0000-0000-00006F950000}"/>
    <cellStyle name="Normal 2 3 3 3 2 2 2 2" xfId="20087" xr:uid="{00000000-0005-0000-0000-000070950000}"/>
    <cellStyle name="Normal 2 3 3 3 2 2 2 2 2" xfId="40567" xr:uid="{00000000-0005-0000-0000-000071950000}"/>
    <cellStyle name="Normal 2 3 3 3 2 2 2 3" xfId="30327" xr:uid="{00000000-0005-0000-0000-000072950000}"/>
    <cellStyle name="Normal 2 3 3 3 2 2 3" xfId="14967" xr:uid="{00000000-0005-0000-0000-000073950000}"/>
    <cellStyle name="Normal 2 3 3 3 2 2 3 2" xfId="35447" xr:uid="{00000000-0005-0000-0000-000074950000}"/>
    <cellStyle name="Normal 2 3 3 3 2 2 4" xfId="25207" xr:uid="{00000000-0005-0000-0000-000075950000}"/>
    <cellStyle name="Normal 2 3 3 3 2 3" xfId="7287" xr:uid="{00000000-0005-0000-0000-000076950000}"/>
    <cellStyle name="Normal 2 3 3 3 2 3 2" xfId="17527" xr:uid="{00000000-0005-0000-0000-000077950000}"/>
    <cellStyle name="Normal 2 3 3 3 2 3 2 2" xfId="38007" xr:uid="{00000000-0005-0000-0000-000078950000}"/>
    <cellStyle name="Normal 2 3 3 3 2 3 3" xfId="27767" xr:uid="{00000000-0005-0000-0000-000079950000}"/>
    <cellStyle name="Normal 2 3 3 3 2 4" xfId="12407" xr:uid="{00000000-0005-0000-0000-00007A950000}"/>
    <cellStyle name="Normal 2 3 3 3 2 4 2" xfId="32887" xr:uid="{00000000-0005-0000-0000-00007B950000}"/>
    <cellStyle name="Normal 2 3 3 3 2 5" xfId="22647" xr:uid="{00000000-0005-0000-0000-00007C950000}"/>
    <cellStyle name="Normal 2 3 3 3 3" xfId="3447" xr:uid="{00000000-0005-0000-0000-00007D950000}"/>
    <cellStyle name="Normal 2 3 3 3 3 2" xfId="8567" xr:uid="{00000000-0005-0000-0000-00007E950000}"/>
    <cellStyle name="Normal 2 3 3 3 3 2 2" xfId="18807" xr:uid="{00000000-0005-0000-0000-00007F950000}"/>
    <cellStyle name="Normal 2 3 3 3 3 2 2 2" xfId="39287" xr:uid="{00000000-0005-0000-0000-000080950000}"/>
    <cellStyle name="Normal 2 3 3 3 3 2 3" xfId="29047" xr:uid="{00000000-0005-0000-0000-000081950000}"/>
    <cellStyle name="Normal 2 3 3 3 3 3" xfId="13687" xr:uid="{00000000-0005-0000-0000-000082950000}"/>
    <cellStyle name="Normal 2 3 3 3 3 3 2" xfId="34167" xr:uid="{00000000-0005-0000-0000-000083950000}"/>
    <cellStyle name="Normal 2 3 3 3 3 4" xfId="23927" xr:uid="{00000000-0005-0000-0000-000084950000}"/>
    <cellStyle name="Normal 2 3 3 3 4" xfId="6007" xr:uid="{00000000-0005-0000-0000-000085950000}"/>
    <cellStyle name="Normal 2 3 3 3 4 2" xfId="16247" xr:uid="{00000000-0005-0000-0000-000086950000}"/>
    <cellStyle name="Normal 2 3 3 3 4 2 2" xfId="36727" xr:uid="{00000000-0005-0000-0000-000087950000}"/>
    <cellStyle name="Normal 2 3 3 3 4 3" xfId="26487" xr:uid="{00000000-0005-0000-0000-000088950000}"/>
    <cellStyle name="Normal 2 3 3 3 5" xfId="11127" xr:uid="{00000000-0005-0000-0000-000089950000}"/>
    <cellStyle name="Normal 2 3 3 3 5 2" xfId="31607" xr:uid="{00000000-0005-0000-0000-00008A950000}"/>
    <cellStyle name="Normal 2 3 3 3 6" xfId="21367" xr:uid="{00000000-0005-0000-0000-00008B950000}"/>
    <cellStyle name="Normal 2 3 3 4" xfId="1527" xr:uid="{00000000-0005-0000-0000-00008C950000}"/>
    <cellStyle name="Normal 2 3 3 4 2" xfId="4087" xr:uid="{00000000-0005-0000-0000-00008D950000}"/>
    <cellStyle name="Normal 2 3 3 4 2 2" xfId="9207" xr:uid="{00000000-0005-0000-0000-00008E950000}"/>
    <cellStyle name="Normal 2 3 3 4 2 2 2" xfId="19447" xr:uid="{00000000-0005-0000-0000-00008F950000}"/>
    <cellStyle name="Normal 2 3 3 4 2 2 2 2" xfId="39927" xr:uid="{00000000-0005-0000-0000-000090950000}"/>
    <cellStyle name="Normal 2 3 3 4 2 2 3" xfId="29687" xr:uid="{00000000-0005-0000-0000-000091950000}"/>
    <cellStyle name="Normal 2 3 3 4 2 3" xfId="14327" xr:uid="{00000000-0005-0000-0000-000092950000}"/>
    <cellStyle name="Normal 2 3 3 4 2 3 2" xfId="34807" xr:uid="{00000000-0005-0000-0000-000093950000}"/>
    <cellStyle name="Normal 2 3 3 4 2 4" xfId="24567" xr:uid="{00000000-0005-0000-0000-000094950000}"/>
    <cellStyle name="Normal 2 3 3 4 3" xfId="6647" xr:uid="{00000000-0005-0000-0000-000095950000}"/>
    <cellStyle name="Normal 2 3 3 4 3 2" xfId="16887" xr:uid="{00000000-0005-0000-0000-000096950000}"/>
    <cellStyle name="Normal 2 3 3 4 3 2 2" xfId="37367" xr:uid="{00000000-0005-0000-0000-000097950000}"/>
    <cellStyle name="Normal 2 3 3 4 3 3" xfId="27127" xr:uid="{00000000-0005-0000-0000-000098950000}"/>
    <cellStyle name="Normal 2 3 3 4 4" xfId="11767" xr:uid="{00000000-0005-0000-0000-000099950000}"/>
    <cellStyle name="Normal 2 3 3 4 4 2" xfId="32247" xr:uid="{00000000-0005-0000-0000-00009A950000}"/>
    <cellStyle name="Normal 2 3 3 4 5" xfId="22007" xr:uid="{00000000-0005-0000-0000-00009B950000}"/>
    <cellStyle name="Normal 2 3 3 5" xfId="2807" xr:uid="{00000000-0005-0000-0000-00009C950000}"/>
    <cellStyle name="Normal 2 3 3 5 2" xfId="7927" xr:uid="{00000000-0005-0000-0000-00009D950000}"/>
    <cellStyle name="Normal 2 3 3 5 2 2" xfId="18167" xr:uid="{00000000-0005-0000-0000-00009E950000}"/>
    <cellStyle name="Normal 2 3 3 5 2 2 2" xfId="38647" xr:uid="{00000000-0005-0000-0000-00009F950000}"/>
    <cellStyle name="Normal 2 3 3 5 2 3" xfId="28407" xr:uid="{00000000-0005-0000-0000-0000A0950000}"/>
    <cellStyle name="Normal 2 3 3 5 3" xfId="13047" xr:uid="{00000000-0005-0000-0000-0000A1950000}"/>
    <cellStyle name="Normal 2 3 3 5 3 2" xfId="33527" xr:uid="{00000000-0005-0000-0000-0000A2950000}"/>
    <cellStyle name="Normal 2 3 3 5 4" xfId="23287" xr:uid="{00000000-0005-0000-0000-0000A3950000}"/>
    <cellStyle name="Normal 2 3 3 6" xfId="5367" xr:uid="{00000000-0005-0000-0000-0000A4950000}"/>
    <cellStyle name="Normal 2 3 3 6 2" xfId="15607" xr:uid="{00000000-0005-0000-0000-0000A5950000}"/>
    <cellStyle name="Normal 2 3 3 6 2 2" xfId="36087" xr:uid="{00000000-0005-0000-0000-0000A6950000}"/>
    <cellStyle name="Normal 2 3 3 6 3" xfId="25847" xr:uid="{00000000-0005-0000-0000-0000A7950000}"/>
    <cellStyle name="Normal 2 3 3 7" xfId="10487" xr:uid="{00000000-0005-0000-0000-0000A8950000}"/>
    <cellStyle name="Normal 2 3 3 7 2" xfId="30967" xr:uid="{00000000-0005-0000-0000-0000A9950000}"/>
    <cellStyle name="Normal 2 3 3 8" xfId="20727" xr:uid="{00000000-0005-0000-0000-0000AA950000}"/>
    <cellStyle name="Normal 2 3 4" xfId="407" xr:uid="{00000000-0005-0000-0000-0000AB950000}"/>
    <cellStyle name="Normal 2 3 4 2" xfId="1047" xr:uid="{00000000-0005-0000-0000-0000AC950000}"/>
    <cellStyle name="Normal 2 3 4 2 2" xfId="2327" xr:uid="{00000000-0005-0000-0000-0000AD950000}"/>
    <cellStyle name="Normal 2 3 4 2 2 2" xfId="4887" xr:uid="{00000000-0005-0000-0000-0000AE950000}"/>
    <cellStyle name="Normal 2 3 4 2 2 2 2" xfId="10007" xr:uid="{00000000-0005-0000-0000-0000AF950000}"/>
    <cellStyle name="Normal 2 3 4 2 2 2 2 2" xfId="20247" xr:uid="{00000000-0005-0000-0000-0000B0950000}"/>
    <cellStyle name="Normal 2 3 4 2 2 2 2 2 2" xfId="40727" xr:uid="{00000000-0005-0000-0000-0000B1950000}"/>
    <cellStyle name="Normal 2 3 4 2 2 2 2 3" xfId="30487" xr:uid="{00000000-0005-0000-0000-0000B2950000}"/>
    <cellStyle name="Normal 2 3 4 2 2 2 3" xfId="15127" xr:uid="{00000000-0005-0000-0000-0000B3950000}"/>
    <cellStyle name="Normal 2 3 4 2 2 2 3 2" xfId="35607" xr:uid="{00000000-0005-0000-0000-0000B4950000}"/>
    <cellStyle name="Normal 2 3 4 2 2 2 4" xfId="25367" xr:uid="{00000000-0005-0000-0000-0000B5950000}"/>
    <cellStyle name="Normal 2 3 4 2 2 3" xfId="7447" xr:uid="{00000000-0005-0000-0000-0000B6950000}"/>
    <cellStyle name="Normal 2 3 4 2 2 3 2" xfId="17687" xr:uid="{00000000-0005-0000-0000-0000B7950000}"/>
    <cellStyle name="Normal 2 3 4 2 2 3 2 2" xfId="38167" xr:uid="{00000000-0005-0000-0000-0000B8950000}"/>
    <cellStyle name="Normal 2 3 4 2 2 3 3" xfId="27927" xr:uid="{00000000-0005-0000-0000-0000B9950000}"/>
    <cellStyle name="Normal 2 3 4 2 2 4" xfId="12567" xr:uid="{00000000-0005-0000-0000-0000BA950000}"/>
    <cellStyle name="Normal 2 3 4 2 2 4 2" xfId="33047" xr:uid="{00000000-0005-0000-0000-0000BB950000}"/>
    <cellStyle name="Normal 2 3 4 2 2 5" xfId="22807" xr:uid="{00000000-0005-0000-0000-0000BC950000}"/>
    <cellStyle name="Normal 2 3 4 2 3" xfId="3607" xr:uid="{00000000-0005-0000-0000-0000BD950000}"/>
    <cellStyle name="Normal 2 3 4 2 3 2" xfId="8727" xr:uid="{00000000-0005-0000-0000-0000BE950000}"/>
    <cellStyle name="Normal 2 3 4 2 3 2 2" xfId="18967" xr:uid="{00000000-0005-0000-0000-0000BF950000}"/>
    <cellStyle name="Normal 2 3 4 2 3 2 2 2" xfId="39447" xr:uid="{00000000-0005-0000-0000-0000C0950000}"/>
    <cellStyle name="Normal 2 3 4 2 3 2 3" xfId="29207" xr:uid="{00000000-0005-0000-0000-0000C1950000}"/>
    <cellStyle name="Normal 2 3 4 2 3 3" xfId="13847" xr:uid="{00000000-0005-0000-0000-0000C2950000}"/>
    <cellStyle name="Normal 2 3 4 2 3 3 2" xfId="34327" xr:uid="{00000000-0005-0000-0000-0000C3950000}"/>
    <cellStyle name="Normal 2 3 4 2 3 4" xfId="24087" xr:uid="{00000000-0005-0000-0000-0000C4950000}"/>
    <cellStyle name="Normal 2 3 4 2 4" xfId="6167" xr:uid="{00000000-0005-0000-0000-0000C5950000}"/>
    <cellStyle name="Normal 2 3 4 2 4 2" xfId="16407" xr:uid="{00000000-0005-0000-0000-0000C6950000}"/>
    <cellStyle name="Normal 2 3 4 2 4 2 2" xfId="36887" xr:uid="{00000000-0005-0000-0000-0000C7950000}"/>
    <cellStyle name="Normal 2 3 4 2 4 3" xfId="26647" xr:uid="{00000000-0005-0000-0000-0000C8950000}"/>
    <cellStyle name="Normal 2 3 4 2 5" xfId="11287" xr:uid="{00000000-0005-0000-0000-0000C9950000}"/>
    <cellStyle name="Normal 2 3 4 2 5 2" xfId="31767" xr:uid="{00000000-0005-0000-0000-0000CA950000}"/>
    <cellStyle name="Normal 2 3 4 2 6" xfId="21527" xr:uid="{00000000-0005-0000-0000-0000CB950000}"/>
    <cellStyle name="Normal 2 3 4 3" xfId="1687" xr:uid="{00000000-0005-0000-0000-0000CC950000}"/>
    <cellStyle name="Normal 2 3 4 3 2" xfId="4247" xr:uid="{00000000-0005-0000-0000-0000CD950000}"/>
    <cellStyle name="Normal 2 3 4 3 2 2" xfId="9367" xr:uid="{00000000-0005-0000-0000-0000CE950000}"/>
    <cellStyle name="Normal 2 3 4 3 2 2 2" xfId="19607" xr:uid="{00000000-0005-0000-0000-0000CF950000}"/>
    <cellStyle name="Normal 2 3 4 3 2 2 2 2" xfId="40087" xr:uid="{00000000-0005-0000-0000-0000D0950000}"/>
    <cellStyle name="Normal 2 3 4 3 2 2 3" xfId="29847" xr:uid="{00000000-0005-0000-0000-0000D1950000}"/>
    <cellStyle name="Normal 2 3 4 3 2 3" xfId="14487" xr:uid="{00000000-0005-0000-0000-0000D2950000}"/>
    <cellStyle name="Normal 2 3 4 3 2 3 2" xfId="34967" xr:uid="{00000000-0005-0000-0000-0000D3950000}"/>
    <cellStyle name="Normal 2 3 4 3 2 4" xfId="24727" xr:uid="{00000000-0005-0000-0000-0000D4950000}"/>
    <cellStyle name="Normal 2 3 4 3 3" xfId="6807" xr:uid="{00000000-0005-0000-0000-0000D5950000}"/>
    <cellStyle name="Normal 2 3 4 3 3 2" xfId="17047" xr:uid="{00000000-0005-0000-0000-0000D6950000}"/>
    <cellStyle name="Normal 2 3 4 3 3 2 2" xfId="37527" xr:uid="{00000000-0005-0000-0000-0000D7950000}"/>
    <cellStyle name="Normal 2 3 4 3 3 3" xfId="27287" xr:uid="{00000000-0005-0000-0000-0000D8950000}"/>
    <cellStyle name="Normal 2 3 4 3 4" xfId="11927" xr:uid="{00000000-0005-0000-0000-0000D9950000}"/>
    <cellStyle name="Normal 2 3 4 3 4 2" xfId="32407" xr:uid="{00000000-0005-0000-0000-0000DA950000}"/>
    <cellStyle name="Normal 2 3 4 3 5" xfId="22167" xr:uid="{00000000-0005-0000-0000-0000DB950000}"/>
    <cellStyle name="Normal 2 3 4 4" xfId="2967" xr:uid="{00000000-0005-0000-0000-0000DC950000}"/>
    <cellStyle name="Normal 2 3 4 4 2" xfId="8087" xr:uid="{00000000-0005-0000-0000-0000DD950000}"/>
    <cellStyle name="Normal 2 3 4 4 2 2" xfId="18327" xr:uid="{00000000-0005-0000-0000-0000DE950000}"/>
    <cellStyle name="Normal 2 3 4 4 2 2 2" xfId="38807" xr:uid="{00000000-0005-0000-0000-0000DF950000}"/>
    <cellStyle name="Normal 2 3 4 4 2 3" xfId="28567" xr:uid="{00000000-0005-0000-0000-0000E0950000}"/>
    <cellStyle name="Normal 2 3 4 4 3" xfId="13207" xr:uid="{00000000-0005-0000-0000-0000E1950000}"/>
    <cellStyle name="Normal 2 3 4 4 3 2" xfId="33687" xr:uid="{00000000-0005-0000-0000-0000E2950000}"/>
    <cellStyle name="Normal 2 3 4 4 4" xfId="23447" xr:uid="{00000000-0005-0000-0000-0000E3950000}"/>
    <cellStyle name="Normal 2 3 4 5" xfId="5527" xr:uid="{00000000-0005-0000-0000-0000E4950000}"/>
    <cellStyle name="Normal 2 3 4 5 2" xfId="15767" xr:uid="{00000000-0005-0000-0000-0000E5950000}"/>
    <cellStyle name="Normal 2 3 4 5 2 2" xfId="36247" xr:uid="{00000000-0005-0000-0000-0000E6950000}"/>
    <cellStyle name="Normal 2 3 4 5 3" xfId="26007" xr:uid="{00000000-0005-0000-0000-0000E7950000}"/>
    <cellStyle name="Normal 2 3 4 6" xfId="10647" xr:uid="{00000000-0005-0000-0000-0000E8950000}"/>
    <cellStyle name="Normal 2 3 4 6 2" xfId="31127" xr:uid="{00000000-0005-0000-0000-0000E9950000}"/>
    <cellStyle name="Normal 2 3 4 7" xfId="20887" xr:uid="{00000000-0005-0000-0000-0000EA950000}"/>
    <cellStyle name="Normal 2 3 5" xfId="727" xr:uid="{00000000-0005-0000-0000-0000EB950000}"/>
    <cellStyle name="Normal 2 3 5 2" xfId="2007" xr:uid="{00000000-0005-0000-0000-0000EC950000}"/>
    <cellStyle name="Normal 2 3 5 2 2" xfId="4567" xr:uid="{00000000-0005-0000-0000-0000ED950000}"/>
    <cellStyle name="Normal 2 3 5 2 2 2" xfId="9687" xr:uid="{00000000-0005-0000-0000-0000EE950000}"/>
    <cellStyle name="Normal 2 3 5 2 2 2 2" xfId="19927" xr:uid="{00000000-0005-0000-0000-0000EF950000}"/>
    <cellStyle name="Normal 2 3 5 2 2 2 2 2" xfId="40407" xr:uid="{00000000-0005-0000-0000-0000F0950000}"/>
    <cellStyle name="Normal 2 3 5 2 2 2 3" xfId="30167" xr:uid="{00000000-0005-0000-0000-0000F1950000}"/>
    <cellStyle name="Normal 2 3 5 2 2 3" xfId="14807" xr:uid="{00000000-0005-0000-0000-0000F2950000}"/>
    <cellStyle name="Normal 2 3 5 2 2 3 2" xfId="35287" xr:uid="{00000000-0005-0000-0000-0000F3950000}"/>
    <cellStyle name="Normal 2 3 5 2 2 4" xfId="25047" xr:uid="{00000000-0005-0000-0000-0000F4950000}"/>
    <cellStyle name="Normal 2 3 5 2 3" xfId="7127" xr:uid="{00000000-0005-0000-0000-0000F5950000}"/>
    <cellStyle name="Normal 2 3 5 2 3 2" xfId="17367" xr:uid="{00000000-0005-0000-0000-0000F6950000}"/>
    <cellStyle name="Normal 2 3 5 2 3 2 2" xfId="37847" xr:uid="{00000000-0005-0000-0000-0000F7950000}"/>
    <cellStyle name="Normal 2 3 5 2 3 3" xfId="27607" xr:uid="{00000000-0005-0000-0000-0000F8950000}"/>
    <cellStyle name="Normal 2 3 5 2 4" xfId="12247" xr:uid="{00000000-0005-0000-0000-0000F9950000}"/>
    <cellStyle name="Normal 2 3 5 2 4 2" xfId="32727" xr:uid="{00000000-0005-0000-0000-0000FA950000}"/>
    <cellStyle name="Normal 2 3 5 2 5" xfId="22487" xr:uid="{00000000-0005-0000-0000-0000FB950000}"/>
    <cellStyle name="Normal 2 3 5 3" xfId="3287" xr:uid="{00000000-0005-0000-0000-0000FC950000}"/>
    <cellStyle name="Normal 2 3 5 3 2" xfId="8407" xr:uid="{00000000-0005-0000-0000-0000FD950000}"/>
    <cellStyle name="Normal 2 3 5 3 2 2" xfId="18647" xr:uid="{00000000-0005-0000-0000-0000FE950000}"/>
    <cellStyle name="Normal 2 3 5 3 2 2 2" xfId="39127" xr:uid="{00000000-0005-0000-0000-0000FF950000}"/>
    <cellStyle name="Normal 2 3 5 3 2 3" xfId="28887" xr:uid="{00000000-0005-0000-0000-000000960000}"/>
    <cellStyle name="Normal 2 3 5 3 3" xfId="13527" xr:uid="{00000000-0005-0000-0000-000001960000}"/>
    <cellStyle name="Normal 2 3 5 3 3 2" xfId="34007" xr:uid="{00000000-0005-0000-0000-000002960000}"/>
    <cellStyle name="Normal 2 3 5 3 4" xfId="23767" xr:uid="{00000000-0005-0000-0000-000003960000}"/>
    <cellStyle name="Normal 2 3 5 4" xfId="5847" xr:uid="{00000000-0005-0000-0000-000004960000}"/>
    <cellStyle name="Normal 2 3 5 4 2" xfId="16087" xr:uid="{00000000-0005-0000-0000-000005960000}"/>
    <cellStyle name="Normal 2 3 5 4 2 2" xfId="36567" xr:uid="{00000000-0005-0000-0000-000006960000}"/>
    <cellStyle name="Normal 2 3 5 4 3" xfId="26327" xr:uid="{00000000-0005-0000-0000-000007960000}"/>
    <cellStyle name="Normal 2 3 5 5" xfId="10967" xr:uid="{00000000-0005-0000-0000-000008960000}"/>
    <cellStyle name="Normal 2 3 5 5 2" xfId="31447" xr:uid="{00000000-0005-0000-0000-000009960000}"/>
    <cellStyle name="Normal 2 3 5 6" xfId="21207" xr:uid="{00000000-0005-0000-0000-00000A960000}"/>
    <cellStyle name="Normal 2 3 6" xfId="1367" xr:uid="{00000000-0005-0000-0000-00000B960000}"/>
    <cellStyle name="Normal 2 3 6 2" xfId="3927" xr:uid="{00000000-0005-0000-0000-00000C960000}"/>
    <cellStyle name="Normal 2 3 6 2 2" xfId="9047" xr:uid="{00000000-0005-0000-0000-00000D960000}"/>
    <cellStyle name="Normal 2 3 6 2 2 2" xfId="19287" xr:uid="{00000000-0005-0000-0000-00000E960000}"/>
    <cellStyle name="Normal 2 3 6 2 2 2 2" xfId="39767" xr:uid="{00000000-0005-0000-0000-00000F960000}"/>
    <cellStyle name="Normal 2 3 6 2 2 3" xfId="29527" xr:uid="{00000000-0005-0000-0000-000010960000}"/>
    <cellStyle name="Normal 2 3 6 2 3" xfId="14167" xr:uid="{00000000-0005-0000-0000-000011960000}"/>
    <cellStyle name="Normal 2 3 6 2 3 2" xfId="34647" xr:uid="{00000000-0005-0000-0000-000012960000}"/>
    <cellStyle name="Normal 2 3 6 2 4" xfId="24407" xr:uid="{00000000-0005-0000-0000-000013960000}"/>
    <cellStyle name="Normal 2 3 6 3" xfId="6487" xr:uid="{00000000-0005-0000-0000-000014960000}"/>
    <cellStyle name="Normal 2 3 6 3 2" xfId="16727" xr:uid="{00000000-0005-0000-0000-000015960000}"/>
    <cellStyle name="Normal 2 3 6 3 2 2" xfId="37207" xr:uid="{00000000-0005-0000-0000-000016960000}"/>
    <cellStyle name="Normal 2 3 6 3 3" xfId="26967" xr:uid="{00000000-0005-0000-0000-000017960000}"/>
    <cellStyle name="Normal 2 3 6 4" xfId="11607" xr:uid="{00000000-0005-0000-0000-000018960000}"/>
    <cellStyle name="Normal 2 3 6 4 2" xfId="32087" xr:uid="{00000000-0005-0000-0000-000019960000}"/>
    <cellStyle name="Normal 2 3 6 5" xfId="21847" xr:uid="{00000000-0005-0000-0000-00001A960000}"/>
    <cellStyle name="Normal 2 3 7" xfId="2647" xr:uid="{00000000-0005-0000-0000-00001B960000}"/>
    <cellStyle name="Normal 2 3 7 2" xfId="7767" xr:uid="{00000000-0005-0000-0000-00001C960000}"/>
    <cellStyle name="Normal 2 3 7 2 2" xfId="18007" xr:uid="{00000000-0005-0000-0000-00001D960000}"/>
    <cellStyle name="Normal 2 3 7 2 2 2" xfId="38487" xr:uid="{00000000-0005-0000-0000-00001E960000}"/>
    <cellStyle name="Normal 2 3 7 2 3" xfId="28247" xr:uid="{00000000-0005-0000-0000-00001F960000}"/>
    <cellStyle name="Normal 2 3 7 3" xfId="12887" xr:uid="{00000000-0005-0000-0000-000020960000}"/>
    <cellStyle name="Normal 2 3 7 3 2" xfId="33367" xr:uid="{00000000-0005-0000-0000-000021960000}"/>
    <cellStyle name="Normal 2 3 7 4" xfId="23127" xr:uid="{00000000-0005-0000-0000-000022960000}"/>
    <cellStyle name="Normal 2 3 8" xfId="5207" xr:uid="{00000000-0005-0000-0000-000023960000}"/>
    <cellStyle name="Normal 2 3 8 2" xfId="15447" xr:uid="{00000000-0005-0000-0000-000024960000}"/>
    <cellStyle name="Normal 2 3 8 2 2" xfId="35927" xr:uid="{00000000-0005-0000-0000-000025960000}"/>
    <cellStyle name="Normal 2 3 8 3" xfId="25687" xr:uid="{00000000-0005-0000-0000-000026960000}"/>
    <cellStyle name="Normal 2 3 9" xfId="10327" xr:uid="{00000000-0005-0000-0000-000027960000}"/>
    <cellStyle name="Normal 2 3 9 2" xfId="30807" xr:uid="{00000000-0005-0000-0000-000028960000}"/>
    <cellStyle name="Normal 2 4" xfId="127" xr:uid="{00000000-0005-0000-0000-000029960000}"/>
    <cellStyle name="Normal 2 4 2" xfId="287" xr:uid="{00000000-0005-0000-0000-00002A960000}"/>
    <cellStyle name="Normal 2 4 2 2" xfId="607" xr:uid="{00000000-0005-0000-0000-00002B960000}"/>
    <cellStyle name="Normal 2 4 2 2 2" xfId="1247" xr:uid="{00000000-0005-0000-0000-00002C960000}"/>
    <cellStyle name="Normal 2 4 2 2 2 2" xfId="2527" xr:uid="{00000000-0005-0000-0000-00002D960000}"/>
    <cellStyle name="Normal 2 4 2 2 2 2 2" xfId="5087" xr:uid="{00000000-0005-0000-0000-00002E960000}"/>
    <cellStyle name="Normal 2 4 2 2 2 2 2 2" xfId="10207" xr:uid="{00000000-0005-0000-0000-00002F960000}"/>
    <cellStyle name="Normal 2 4 2 2 2 2 2 2 2" xfId="20447" xr:uid="{00000000-0005-0000-0000-000030960000}"/>
    <cellStyle name="Normal 2 4 2 2 2 2 2 2 2 2" xfId="40927" xr:uid="{00000000-0005-0000-0000-000031960000}"/>
    <cellStyle name="Normal 2 4 2 2 2 2 2 2 3" xfId="30687" xr:uid="{00000000-0005-0000-0000-000032960000}"/>
    <cellStyle name="Normal 2 4 2 2 2 2 2 3" xfId="15327" xr:uid="{00000000-0005-0000-0000-000033960000}"/>
    <cellStyle name="Normal 2 4 2 2 2 2 2 3 2" xfId="35807" xr:uid="{00000000-0005-0000-0000-000034960000}"/>
    <cellStyle name="Normal 2 4 2 2 2 2 2 4" xfId="25567" xr:uid="{00000000-0005-0000-0000-000035960000}"/>
    <cellStyle name="Normal 2 4 2 2 2 2 3" xfId="7647" xr:uid="{00000000-0005-0000-0000-000036960000}"/>
    <cellStyle name="Normal 2 4 2 2 2 2 3 2" xfId="17887" xr:uid="{00000000-0005-0000-0000-000037960000}"/>
    <cellStyle name="Normal 2 4 2 2 2 2 3 2 2" xfId="38367" xr:uid="{00000000-0005-0000-0000-000038960000}"/>
    <cellStyle name="Normal 2 4 2 2 2 2 3 3" xfId="28127" xr:uid="{00000000-0005-0000-0000-000039960000}"/>
    <cellStyle name="Normal 2 4 2 2 2 2 4" xfId="12767" xr:uid="{00000000-0005-0000-0000-00003A960000}"/>
    <cellStyle name="Normal 2 4 2 2 2 2 4 2" xfId="33247" xr:uid="{00000000-0005-0000-0000-00003B960000}"/>
    <cellStyle name="Normal 2 4 2 2 2 2 5" xfId="23007" xr:uid="{00000000-0005-0000-0000-00003C960000}"/>
    <cellStyle name="Normal 2 4 2 2 2 3" xfId="3807" xr:uid="{00000000-0005-0000-0000-00003D960000}"/>
    <cellStyle name="Normal 2 4 2 2 2 3 2" xfId="8927" xr:uid="{00000000-0005-0000-0000-00003E960000}"/>
    <cellStyle name="Normal 2 4 2 2 2 3 2 2" xfId="19167" xr:uid="{00000000-0005-0000-0000-00003F960000}"/>
    <cellStyle name="Normal 2 4 2 2 2 3 2 2 2" xfId="39647" xr:uid="{00000000-0005-0000-0000-000040960000}"/>
    <cellStyle name="Normal 2 4 2 2 2 3 2 3" xfId="29407" xr:uid="{00000000-0005-0000-0000-000041960000}"/>
    <cellStyle name="Normal 2 4 2 2 2 3 3" xfId="14047" xr:uid="{00000000-0005-0000-0000-000042960000}"/>
    <cellStyle name="Normal 2 4 2 2 2 3 3 2" xfId="34527" xr:uid="{00000000-0005-0000-0000-000043960000}"/>
    <cellStyle name="Normal 2 4 2 2 2 3 4" xfId="24287" xr:uid="{00000000-0005-0000-0000-000044960000}"/>
    <cellStyle name="Normal 2 4 2 2 2 4" xfId="6367" xr:uid="{00000000-0005-0000-0000-000045960000}"/>
    <cellStyle name="Normal 2 4 2 2 2 4 2" xfId="16607" xr:uid="{00000000-0005-0000-0000-000046960000}"/>
    <cellStyle name="Normal 2 4 2 2 2 4 2 2" xfId="37087" xr:uid="{00000000-0005-0000-0000-000047960000}"/>
    <cellStyle name="Normal 2 4 2 2 2 4 3" xfId="26847" xr:uid="{00000000-0005-0000-0000-000048960000}"/>
    <cellStyle name="Normal 2 4 2 2 2 5" xfId="11487" xr:uid="{00000000-0005-0000-0000-000049960000}"/>
    <cellStyle name="Normal 2 4 2 2 2 5 2" xfId="31967" xr:uid="{00000000-0005-0000-0000-00004A960000}"/>
    <cellStyle name="Normal 2 4 2 2 2 6" xfId="21727" xr:uid="{00000000-0005-0000-0000-00004B960000}"/>
    <cellStyle name="Normal 2 4 2 2 3" xfId="1887" xr:uid="{00000000-0005-0000-0000-00004C960000}"/>
    <cellStyle name="Normal 2 4 2 2 3 2" xfId="4447" xr:uid="{00000000-0005-0000-0000-00004D960000}"/>
    <cellStyle name="Normal 2 4 2 2 3 2 2" xfId="9567" xr:uid="{00000000-0005-0000-0000-00004E960000}"/>
    <cellStyle name="Normal 2 4 2 2 3 2 2 2" xfId="19807" xr:uid="{00000000-0005-0000-0000-00004F960000}"/>
    <cellStyle name="Normal 2 4 2 2 3 2 2 2 2" xfId="40287" xr:uid="{00000000-0005-0000-0000-000050960000}"/>
    <cellStyle name="Normal 2 4 2 2 3 2 2 3" xfId="30047" xr:uid="{00000000-0005-0000-0000-000051960000}"/>
    <cellStyle name="Normal 2 4 2 2 3 2 3" xfId="14687" xr:uid="{00000000-0005-0000-0000-000052960000}"/>
    <cellStyle name="Normal 2 4 2 2 3 2 3 2" xfId="35167" xr:uid="{00000000-0005-0000-0000-000053960000}"/>
    <cellStyle name="Normal 2 4 2 2 3 2 4" xfId="24927" xr:uid="{00000000-0005-0000-0000-000054960000}"/>
    <cellStyle name="Normal 2 4 2 2 3 3" xfId="7007" xr:uid="{00000000-0005-0000-0000-000055960000}"/>
    <cellStyle name="Normal 2 4 2 2 3 3 2" xfId="17247" xr:uid="{00000000-0005-0000-0000-000056960000}"/>
    <cellStyle name="Normal 2 4 2 2 3 3 2 2" xfId="37727" xr:uid="{00000000-0005-0000-0000-000057960000}"/>
    <cellStyle name="Normal 2 4 2 2 3 3 3" xfId="27487" xr:uid="{00000000-0005-0000-0000-000058960000}"/>
    <cellStyle name="Normal 2 4 2 2 3 4" xfId="12127" xr:uid="{00000000-0005-0000-0000-000059960000}"/>
    <cellStyle name="Normal 2 4 2 2 3 4 2" xfId="32607" xr:uid="{00000000-0005-0000-0000-00005A960000}"/>
    <cellStyle name="Normal 2 4 2 2 3 5" xfId="22367" xr:uid="{00000000-0005-0000-0000-00005B960000}"/>
    <cellStyle name="Normal 2 4 2 2 4" xfId="3167" xr:uid="{00000000-0005-0000-0000-00005C960000}"/>
    <cellStyle name="Normal 2 4 2 2 4 2" xfId="8287" xr:uid="{00000000-0005-0000-0000-00005D960000}"/>
    <cellStyle name="Normal 2 4 2 2 4 2 2" xfId="18527" xr:uid="{00000000-0005-0000-0000-00005E960000}"/>
    <cellStyle name="Normal 2 4 2 2 4 2 2 2" xfId="39007" xr:uid="{00000000-0005-0000-0000-00005F960000}"/>
    <cellStyle name="Normal 2 4 2 2 4 2 3" xfId="28767" xr:uid="{00000000-0005-0000-0000-000060960000}"/>
    <cellStyle name="Normal 2 4 2 2 4 3" xfId="13407" xr:uid="{00000000-0005-0000-0000-000061960000}"/>
    <cellStyle name="Normal 2 4 2 2 4 3 2" xfId="33887" xr:uid="{00000000-0005-0000-0000-000062960000}"/>
    <cellStyle name="Normal 2 4 2 2 4 4" xfId="23647" xr:uid="{00000000-0005-0000-0000-000063960000}"/>
    <cellStyle name="Normal 2 4 2 2 5" xfId="5727" xr:uid="{00000000-0005-0000-0000-000064960000}"/>
    <cellStyle name="Normal 2 4 2 2 5 2" xfId="15967" xr:uid="{00000000-0005-0000-0000-000065960000}"/>
    <cellStyle name="Normal 2 4 2 2 5 2 2" xfId="36447" xr:uid="{00000000-0005-0000-0000-000066960000}"/>
    <cellStyle name="Normal 2 4 2 2 5 3" xfId="26207" xr:uid="{00000000-0005-0000-0000-000067960000}"/>
    <cellStyle name="Normal 2 4 2 2 6" xfId="10847" xr:uid="{00000000-0005-0000-0000-000068960000}"/>
    <cellStyle name="Normal 2 4 2 2 6 2" xfId="31327" xr:uid="{00000000-0005-0000-0000-000069960000}"/>
    <cellStyle name="Normal 2 4 2 2 7" xfId="21087" xr:uid="{00000000-0005-0000-0000-00006A960000}"/>
    <cellStyle name="Normal 2 4 2 3" xfId="927" xr:uid="{00000000-0005-0000-0000-00006B960000}"/>
    <cellStyle name="Normal 2 4 2 3 2" xfId="2207" xr:uid="{00000000-0005-0000-0000-00006C960000}"/>
    <cellStyle name="Normal 2 4 2 3 2 2" xfId="4767" xr:uid="{00000000-0005-0000-0000-00006D960000}"/>
    <cellStyle name="Normal 2 4 2 3 2 2 2" xfId="9887" xr:uid="{00000000-0005-0000-0000-00006E960000}"/>
    <cellStyle name="Normal 2 4 2 3 2 2 2 2" xfId="20127" xr:uid="{00000000-0005-0000-0000-00006F960000}"/>
    <cellStyle name="Normal 2 4 2 3 2 2 2 2 2" xfId="40607" xr:uid="{00000000-0005-0000-0000-000070960000}"/>
    <cellStyle name="Normal 2 4 2 3 2 2 2 3" xfId="30367" xr:uid="{00000000-0005-0000-0000-000071960000}"/>
    <cellStyle name="Normal 2 4 2 3 2 2 3" xfId="15007" xr:uid="{00000000-0005-0000-0000-000072960000}"/>
    <cellStyle name="Normal 2 4 2 3 2 2 3 2" xfId="35487" xr:uid="{00000000-0005-0000-0000-000073960000}"/>
    <cellStyle name="Normal 2 4 2 3 2 2 4" xfId="25247" xr:uid="{00000000-0005-0000-0000-000074960000}"/>
    <cellStyle name="Normal 2 4 2 3 2 3" xfId="7327" xr:uid="{00000000-0005-0000-0000-000075960000}"/>
    <cellStyle name="Normal 2 4 2 3 2 3 2" xfId="17567" xr:uid="{00000000-0005-0000-0000-000076960000}"/>
    <cellStyle name="Normal 2 4 2 3 2 3 2 2" xfId="38047" xr:uid="{00000000-0005-0000-0000-000077960000}"/>
    <cellStyle name="Normal 2 4 2 3 2 3 3" xfId="27807" xr:uid="{00000000-0005-0000-0000-000078960000}"/>
    <cellStyle name="Normal 2 4 2 3 2 4" xfId="12447" xr:uid="{00000000-0005-0000-0000-000079960000}"/>
    <cellStyle name="Normal 2 4 2 3 2 4 2" xfId="32927" xr:uid="{00000000-0005-0000-0000-00007A960000}"/>
    <cellStyle name="Normal 2 4 2 3 2 5" xfId="22687" xr:uid="{00000000-0005-0000-0000-00007B960000}"/>
    <cellStyle name="Normal 2 4 2 3 3" xfId="3487" xr:uid="{00000000-0005-0000-0000-00007C960000}"/>
    <cellStyle name="Normal 2 4 2 3 3 2" xfId="8607" xr:uid="{00000000-0005-0000-0000-00007D960000}"/>
    <cellStyle name="Normal 2 4 2 3 3 2 2" xfId="18847" xr:uid="{00000000-0005-0000-0000-00007E960000}"/>
    <cellStyle name="Normal 2 4 2 3 3 2 2 2" xfId="39327" xr:uid="{00000000-0005-0000-0000-00007F960000}"/>
    <cellStyle name="Normal 2 4 2 3 3 2 3" xfId="29087" xr:uid="{00000000-0005-0000-0000-000080960000}"/>
    <cellStyle name="Normal 2 4 2 3 3 3" xfId="13727" xr:uid="{00000000-0005-0000-0000-000081960000}"/>
    <cellStyle name="Normal 2 4 2 3 3 3 2" xfId="34207" xr:uid="{00000000-0005-0000-0000-000082960000}"/>
    <cellStyle name="Normal 2 4 2 3 3 4" xfId="23967" xr:uid="{00000000-0005-0000-0000-000083960000}"/>
    <cellStyle name="Normal 2 4 2 3 4" xfId="6047" xr:uid="{00000000-0005-0000-0000-000084960000}"/>
    <cellStyle name="Normal 2 4 2 3 4 2" xfId="16287" xr:uid="{00000000-0005-0000-0000-000085960000}"/>
    <cellStyle name="Normal 2 4 2 3 4 2 2" xfId="36767" xr:uid="{00000000-0005-0000-0000-000086960000}"/>
    <cellStyle name="Normal 2 4 2 3 4 3" xfId="26527" xr:uid="{00000000-0005-0000-0000-000087960000}"/>
    <cellStyle name="Normal 2 4 2 3 5" xfId="11167" xr:uid="{00000000-0005-0000-0000-000088960000}"/>
    <cellStyle name="Normal 2 4 2 3 5 2" xfId="31647" xr:uid="{00000000-0005-0000-0000-000089960000}"/>
    <cellStyle name="Normal 2 4 2 3 6" xfId="21407" xr:uid="{00000000-0005-0000-0000-00008A960000}"/>
    <cellStyle name="Normal 2 4 2 4" xfId="1567" xr:uid="{00000000-0005-0000-0000-00008B960000}"/>
    <cellStyle name="Normal 2 4 2 4 2" xfId="4127" xr:uid="{00000000-0005-0000-0000-00008C960000}"/>
    <cellStyle name="Normal 2 4 2 4 2 2" xfId="9247" xr:uid="{00000000-0005-0000-0000-00008D960000}"/>
    <cellStyle name="Normal 2 4 2 4 2 2 2" xfId="19487" xr:uid="{00000000-0005-0000-0000-00008E960000}"/>
    <cellStyle name="Normal 2 4 2 4 2 2 2 2" xfId="39967" xr:uid="{00000000-0005-0000-0000-00008F960000}"/>
    <cellStyle name="Normal 2 4 2 4 2 2 3" xfId="29727" xr:uid="{00000000-0005-0000-0000-000090960000}"/>
    <cellStyle name="Normal 2 4 2 4 2 3" xfId="14367" xr:uid="{00000000-0005-0000-0000-000091960000}"/>
    <cellStyle name="Normal 2 4 2 4 2 3 2" xfId="34847" xr:uid="{00000000-0005-0000-0000-000092960000}"/>
    <cellStyle name="Normal 2 4 2 4 2 4" xfId="24607" xr:uid="{00000000-0005-0000-0000-000093960000}"/>
    <cellStyle name="Normal 2 4 2 4 3" xfId="6687" xr:uid="{00000000-0005-0000-0000-000094960000}"/>
    <cellStyle name="Normal 2 4 2 4 3 2" xfId="16927" xr:uid="{00000000-0005-0000-0000-000095960000}"/>
    <cellStyle name="Normal 2 4 2 4 3 2 2" xfId="37407" xr:uid="{00000000-0005-0000-0000-000096960000}"/>
    <cellStyle name="Normal 2 4 2 4 3 3" xfId="27167" xr:uid="{00000000-0005-0000-0000-000097960000}"/>
    <cellStyle name="Normal 2 4 2 4 4" xfId="11807" xr:uid="{00000000-0005-0000-0000-000098960000}"/>
    <cellStyle name="Normal 2 4 2 4 4 2" xfId="32287" xr:uid="{00000000-0005-0000-0000-000099960000}"/>
    <cellStyle name="Normal 2 4 2 4 5" xfId="22047" xr:uid="{00000000-0005-0000-0000-00009A960000}"/>
    <cellStyle name="Normal 2 4 2 5" xfId="2847" xr:uid="{00000000-0005-0000-0000-00009B960000}"/>
    <cellStyle name="Normal 2 4 2 5 2" xfId="7967" xr:uid="{00000000-0005-0000-0000-00009C960000}"/>
    <cellStyle name="Normal 2 4 2 5 2 2" xfId="18207" xr:uid="{00000000-0005-0000-0000-00009D960000}"/>
    <cellStyle name="Normal 2 4 2 5 2 2 2" xfId="38687" xr:uid="{00000000-0005-0000-0000-00009E960000}"/>
    <cellStyle name="Normal 2 4 2 5 2 3" xfId="28447" xr:uid="{00000000-0005-0000-0000-00009F960000}"/>
    <cellStyle name="Normal 2 4 2 5 3" xfId="13087" xr:uid="{00000000-0005-0000-0000-0000A0960000}"/>
    <cellStyle name="Normal 2 4 2 5 3 2" xfId="33567" xr:uid="{00000000-0005-0000-0000-0000A1960000}"/>
    <cellStyle name="Normal 2 4 2 5 4" xfId="23327" xr:uid="{00000000-0005-0000-0000-0000A2960000}"/>
    <cellStyle name="Normal 2 4 2 6" xfId="5407" xr:uid="{00000000-0005-0000-0000-0000A3960000}"/>
    <cellStyle name="Normal 2 4 2 6 2" xfId="15647" xr:uid="{00000000-0005-0000-0000-0000A4960000}"/>
    <cellStyle name="Normal 2 4 2 6 2 2" xfId="36127" xr:uid="{00000000-0005-0000-0000-0000A5960000}"/>
    <cellStyle name="Normal 2 4 2 6 3" xfId="25887" xr:uid="{00000000-0005-0000-0000-0000A6960000}"/>
    <cellStyle name="Normal 2 4 2 7" xfId="10527" xr:uid="{00000000-0005-0000-0000-0000A7960000}"/>
    <cellStyle name="Normal 2 4 2 7 2" xfId="31007" xr:uid="{00000000-0005-0000-0000-0000A8960000}"/>
    <cellStyle name="Normal 2 4 2 8" xfId="20767" xr:uid="{00000000-0005-0000-0000-0000A9960000}"/>
    <cellStyle name="Normal 2 4 3" xfId="447" xr:uid="{00000000-0005-0000-0000-0000AA960000}"/>
    <cellStyle name="Normal 2 4 3 2" xfId="1087" xr:uid="{00000000-0005-0000-0000-0000AB960000}"/>
    <cellStyle name="Normal 2 4 3 2 2" xfId="2367" xr:uid="{00000000-0005-0000-0000-0000AC960000}"/>
    <cellStyle name="Normal 2 4 3 2 2 2" xfId="4927" xr:uid="{00000000-0005-0000-0000-0000AD960000}"/>
    <cellStyle name="Normal 2 4 3 2 2 2 2" xfId="10047" xr:uid="{00000000-0005-0000-0000-0000AE960000}"/>
    <cellStyle name="Normal 2 4 3 2 2 2 2 2" xfId="20287" xr:uid="{00000000-0005-0000-0000-0000AF960000}"/>
    <cellStyle name="Normal 2 4 3 2 2 2 2 2 2" xfId="40767" xr:uid="{00000000-0005-0000-0000-0000B0960000}"/>
    <cellStyle name="Normal 2 4 3 2 2 2 2 3" xfId="30527" xr:uid="{00000000-0005-0000-0000-0000B1960000}"/>
    <cellStyle name="Normal 2 4 3 2 2 2 3" xfId="15167" xr:uid="{00000000-0005-0000-0000-0000B2960000}"/>
    <cellStyle name="Normal 2 4 3 2 2 2 3 2" xfId="35647" xr:uid="{00000000-0005-0000-0000-0000B3960000}"/>
    <cellStyle name="Normal 2 4 3 2 2 2 4" xfId="25407" xr:uid="{00000000-0005-0000-0000-0000B4960000}"/>
    <cellStyle name="Normal 2 4 3 2 2 3" xfId="7487" xr:uid="{00000000-0005-0000-0000-0000B5960000}"/>
    <cellStyle name="Normal 2 4 3 2 2 3 2" xfId="17727" xr:uid="{00000000-0005-0000-0000-0000B6960000}"/>
    <cellStyle name="Normal 2 4 3 2 2 3 2 2" xfId="38207" xr:uid="{00000000-0005-0000-0000-0000B7960000}"/>
    <cellStyle name="Normal 2 4 3 2 2 3 3" xfId="27967" xr:uid="{00000000-0005-0000-0000-0000B8960000}"/>
    <cellStyle name="Normal 2 4 3 2 2 4" xfId="12607" xr:uid="{00000000-0005-0000-0000-0000B9960000}"/>
    <cellStyle name="Normal 2 4 3 2 2 4 2" xfId="33087" xr:uid="{00000000-0005-0000-0000-0000BA960000}"/>
    <cellStyle name="Normal 2 4 3 2 2 5" xfId="22847" xr:uid="{00000000-0005-0000-0000-0000BB960000}"/>
    <cellStyle name="Normal 2 4 3 2 3" xfId="3647" xr:uid="{00000000-0005-0000-0000-0000BC960000}"/>
    <cellStyle name="Normal 2 4 3 2 3 2" xfId="8767" xr:uid="{00000000-0005-0000-0000-0000BD960000}"/>
    <cellStyle name="Normal 2 4 3 2 3 2 2" xfId="19007" xr:uid="{00000000-0005-0000-0000-0000BE960000}"/>
    <cellStyle name="Normal 2 4 3 2 3 2 2 2" xfId="39487" xr:uid="{00000000-0005-0000-0000-0000BF960000}"/>
    <cellStyle name="Normal 2 4 3 2 3 2 3" xfId="29247" xr:uid="{00000000-0005-0000-0000-0000C0960000}"/>
    <cellStyle name="Normal 2 4 3 2 3 3" xfId="13887" xr:uid="{00000000-0005-0000-0000-0000C1960000}"/>
    <cellStyle name="Normal 2 4 3 2 3 3 2" xfId="34367" xr:uid="{00000000-0005-0000-0000-0000C2960000}"/>
    <cellStyle name="Normal 2 4 3 2 3 4" xfId="24127" xr:uid="{00000000-0005-0000-0000-0000C3960000}"/>
    <cellStyle name="Normal 2 4 3 2 4" xfId="6207" xr:uid="{00000000-0005-0000-0000-0000C4960000}"/>
    <cellStyle name="Normal 2 4 3 2 4 2" xfId="16447" xr:uid="{00000000-0005-0000-0000-0000C5960000}"/>
    <cellStyle name="Normal 2 4 3 2 4 2 2" xfId="36927" xr:uid="{00000000-0005-0000-0000-0000C6960000}"/>
    <cellStyle name="Normal 2 4 3 2 4 3" xfId="26687" xr:uid="{00000000-0005-0000-0000-0000C7960000}"/>
    <cellStyle name="Normal 2 4 3 2 5" xfId="11327" xr:uid="{00000000-0005-0000-0000-0000C8960000}"/>
    <cellStyle name="Normal 2 4 3 2 5 2" xfId="31807" xr:uid="{00000000-0005-0000-0000-0000C9960000}"/>
    <cellStyle name="Normal 2 4 3 2 6" xfId="21567" xr:uid="{00000000-0005-0000-0000-0000CA960000}"/>
    <cellStyle name="Normal 2 4 3 3" xfId="1727" xr:uid="{00000000-0005-0000-0000-0000CB960000}"/>
    <cellStyle name="Normal 2 4 3 3 2" xfId="4287" xr:uid="{00000000-0005-0000-0000-0000CC960000}"/>
    <cellStyle name="Normal 2 4 3 3 2 2" xfId="9407" xr:uid="{00000000-0005-0000-0000-0000CD960000}"/>
    <cellStyle name="Normal 2 4 3 3 2 2 2" xfId="19647" xr:uid="{00000000-0005-0000-0000-0000CE960000}"/>
    <cellStyle name="Normal 2 4 3 3 2 2 2 2" xfId="40127" xr:uid="{00000000-0005-0000-0000-0000CF960000}"/>
    <cellStyle name="Normal 2 4 3 3 2 2 3" xfId="29887" xr:uid="{00000000-0005-0000-0000-0000D0960000}"/>
    <cellStyle name="Normal 2 4 3 3 2 3" xfId="14527" xr:uid="{00000000-0005-0000-0000-0000D1960000}"/>
    <cellStyle name="Normal 2 4 3 3 2 3 2" xfId="35007" xr:uid="{00000000-0005-0000-0000-0000D2960000}"/>
    <cellStyle name="Normal 2 4 3 3 2 4" xfId="24767" xr:uid="{00000000-0005-0000-0000-0000D3960000}"/>
    <cellStyle name="Normal 2 4 3 3 3" xfId="6847" xr:uid="{00000000-0005-0000-0000-0000D4960000}"/>
    <cellStyle name="Normal 2 4 3 3 3 2" xfId="17087" xr:uid="{00000000-0005-0000-0000-0000D5960000}"/>
    <cellStyle name="Normal 2 4 3 3 3 2 2" xfId="37567" xr:uid="{00000000-0005-0000-0000-0000D6960000}"/>
    <cellStyle name="Normal 2 4 3 3 3 3" xfId="27327" xr:uid="{00000000-0005-0000-0000-0000D7960000}"/>
    <cellStyle name="Normal 2 4 3 3 4" xfId="11967" xr:uid="{00000000-0005-0000-0000-0000D8960000}"/>
    <cellStyle name="Normal 2 4 3 3 4 2" xfId="32447" xr:uid="{00000000-0005-0000-0000-0000D9960000}"/>
    <cellStyle name="Normal 2 4 3 3 5" xfId="22207" xr:uid="{00000000-0005-0000-0000-0000DA960000}"/>
    <cellStyle name="Normal 2 4 3 4" xfId="3007" xr:uid="{00000000-0005-0000-0000-0000DB960000}"/>
    <cellStyle name="Normal 2 4 3 4 2" xfId="8127" xr:uid="{00000000-0005-0000-0000-0000DC960000}"/>
    <cellStyle name="Normal 2 4 3 4 2 2" xfId="18367" xr:uid="{00000000-0005-0000-0000-0000DD960000}"/>
    <cellStyle name="Normal 2 4 3 4 2 2 2" xfId="38847" xr:uid="{00000000-0005-0000-0000-0000DE960000}"/>
    <cellStyle name="Normal 2 4 3 4 2 3" xfId="28607" xr:uid="{00000000-0005-0000-0000-0000DF960000}"/>
    <cellStyle name="Normal 2 4 3 4 3" xfId="13247" xr:uid="{00000000-0005-0000-0000-0000E0960000}"/>
    <cellStyle name="Normal 2 4 3 4 3 2" xfId="33727" xr:uid="{00000000-0005-0000-0000-0000E1960000}"/>
    <cellStyle name="Normal 2 4 3 4 4" xfId="23487" xr:uid="{00000000-0005-0000-0000-0000E2960000}"/>
    <cellStyle name="Normal 2 4 3 5" xfId="5567" xr:uid="{00000000-0005-0000-0000-0000E3960000}"/>
    <cellStyle name="Normal 2 4 3 5 2" xfId="15807" xr:uid="{00000000-0005-0000-0000-0000E4960000}"/>
    <cellStyle name="Normal 2 4 3 5 2 2" xfId="36287" xr:uid="{00000000-0005-0000-0000-0000E5960000}"/>
    <cellStyle name="Normal 2 4 3 5 3" xfId="26047" xr:uid="{00000000-0005-0000-0000-0000E6960000}"/>
    <cellStyle name="Normal 2 4 3 6" xfId="10687" xr:uid="{00000000-0005-0000-0000-0000E7960000}"/>
    <cellStyle name="Normal 2 4 3 6 2" xfId="31167" xr:uid="{00000000-0005-0000-0000-0000E8960000}"/>
    <cellStyle name="Normal 2 4 3 7" xfId="20927" xr:uid="{00000000-0005-0000-0000-0000E9960000}"/>
    <cellStyle name="Normal 2 4 4" xfId="767" xr:uid="{00000000-0005-0000-0000-0000EA960000}"/>
    <cellStyle name="Normal 2 4 4 2" xfId="2047" xr:uid="{00000000-0005-0000-0000-0000EB960000}"/>
    <cellStyle name="Normal 2 4 4 2 2" xfId="4607" xr:uid="{00000000-0005-0000-0000-0000EC960000}"/>
    <cellStyle name="Normal 2 4 4 2 2 2" xfId="9727" xr:uid="{00000000-0005-0000-0000-0000ED960000}"/>
    <cellStyle name="Normal 2 4 4 2 2 2 2" xfId="19967" xr:uid="{00000000-0005-0000-0000-0000EE960000}"/>
    <cellStyle name="Normal 2 4 4 2 2 2 2 2" xfId="40447" xr:uid="{00000000-0005-0000-0000-0000EF960000}"/>
    <cellStyle name="Normal 2 4 4 2 2 2 3" xfId="30207" xr:uid="{00000000-0005-0000-0000-0000F0960000}"/>
    <cellStyle name="Normal 2 4 4 2 2 3" xfId="14847" xr:uid="{00000000-0005-0000-0000-0000F1960000}"/>
    <cellStyle name="Normal 2 4 4 2 2 3 2" xfId="35327" xr:uid="{00000000-0005-0000-0000-0000F2960000}"/>
    <cellStyle name="Normal 2 4 4 2 2 4" xfId="25087" xr:uid="{00000000-0005-0000-0000-0000F3960000}"/>
    <cellStyle name="Normal 2 4 4 2 3" xfId="7167" xr:uid="{00000000-0005-0000-0000-0000F4960000}"/>
    <cellStyle name="Normal 2 4 4 2 3 2" xfId="17407" xr:uid="{00000000-0005-0000-0000-0000F5960000}"/>
    <cellStyle name="Normal 2 4 4 2 3 2 2" xfId="37887" xr:uid="{00000000-0005-0000-0000-0000F6960000}"/>
    <cellStyle name="Normal 2 4 4 2 3 3" xfId="27647" xr:uid="{00000000-0005-0000-0000-0000F7960000}"/>
    <cellStyle name="Normal 2 4 4 2 4" xfId="12287" xr:uid="{00000000-0005-0000-0000-0000F8960000}"/>
    <cellStyle name="Normal 2 4 4 2 4 2" xfId="32767" xr:uid="{00000000-0005-0000-0000-0000F9960000}"/>
    <cellStyle name="Normal 2 4 4 2 5" xfId="22527" xr:uid="{00000000-0005-0000-0000-0000FA960000}"/>
    <cellStyle name="Normal 2 4 4 3" xfId="3327" xr:uid="{00000000-0005-0000-0000-0000FB960000}"/>
    <cellStyle name="Normal 2 4 4 3 2" xfId="8447" xr:uid="{00000000-0005-0000-0000-0000FC960000}"/>
    <cellStyle name="Normal 2 4 4 3 2 2" xfId="18687" xr:uid="{00000000-0005-0000-0000-0000FD960000}"/>
    <cellStyle name="Normal 2 4 4 3 2 2 2" xfId="39167" xr:uid="{00000000-0005-0000-0000-0000FE960000}"/>
    <cellStyle name="Normal 2 4 4 3 2 3" xfId="28927" xr:uid="{00000000-0005-0000-0000-0000FF960000}"/>
    <cellStyle name="Normal 2 4 4 3 3" xfId="13567" xr:uid="{00000000-0005-0000-0000-000000970000}"/>
    <cellStyle name="Normal 2 4 4 3 3 2" xfId="34047" xr:uid="{00000000-0005-0000-0000-000001970000}"/>
    <cellStyle name="Normal 2 4 4 3 4" xfId="23807" xr:uid="{00000000-0005-0000-0000-000002970000}"/>
    <cellStyle name="Normal 2 4 4 4" xfId="5887" xr:uid="{00000000-0005-0000-0000-000003970000}"/>
    <cellStyle name="Normal 2 4 4 4 2" xfId="16127" xr:uid="{00000000-0005-0000-0000-000004970000}"/>
    <cellStyle name="Normal 2 4 4 4 2 2" xfId="36607" xr:uid="{00000000-0005-0000-0000-000005970000}"/>
    <cellStyle name="Normal 2 4 4 4 3" xfId="26367" xr:uid="{00000000-0005-0000-0000-000006970000}"/>
    <cellStyle name="Normal 2 4 4 5" xfId="11007" xr:uid="{00000000-0005-0000-0000-000007970000}"/>
    <cellStyle name="Normal 2 4 4 5 2" xfId="31487" xr:uid="{00000000-0005-0000-0000-000008970000}"/>
    <cellStyle name="Normal 2 4 4 6" xfId="21247" xr:uid="{00000000-0005-0000-0000-000009970000}"/>
    <cellStyle name="Normal 2 4 5" xfId="1407" xr:uid="{00000000-0005-0000-0000-00000A970000}"/>
    <cellStyle name="Normal 2 4 5 2" xfId="3967" xr:uid="{00000000-0005-0000-0000-00000B970000}"/>
    <cellStyle name="Normal 2 4 5 2 2" xfId="9087" xr:uid="{00000000-0005-0000-0000-00000C970000}"/>
    <cellStyle name="Normal 2 4 5 2 2 2" xfId="19327" xr:uid="{00000000-0005-0000-0000-00000D970000}"/>
    <cellStyle name="Normal 2 4 5 2 2 2 2" xfId="39807" xr:uid="{00000000-0005-0000-0000-00000E970000}"/>
    <cellStyle name="Normal 2 4 5 2 2 3" xfId="29567" xr:uid="{00000000-0005-0000-0000-00000F970000}"/>
    <cellStyle name="Normal 2 4 5 2 3" xfId="14207" xr:uid="{00000000-0005-0000-0000-000010970000}"/>
    <cellStyle name="Normal 2 4 5 2 3 2" xfId="34687" xr:uid="{00000000-0005-0000-0000-000011970000}"/>
    <cellStyle name="Normal 2 4 5 2 4" xfId="24447" xr:uid="{00000000-0005-0000-0000-000012970000}"/>
    <cellStyle name="Normal 2 4 5 3" xfId="6527" xr:uid="{00000000-0005-0000-0000-000013970000}"/>
    <cellStyle name="Normal 2 4 5 3 2" xfId="16767" xr:uid="{00000000-0005-0000-0000-000014970000}"/>
    <cellStyle name="Normal 2 4 5 3 2 2" xfId="37247" xr:uid="{00000000-0005-0000-0000-000015970000}"/>
    <cellStyle name="Normal 2 4 5 3 3" xfId="27007" xr:uid="{00000000-0005-0000-0000-000016970000}"/>
    <cellStyle name="Normal 2 4 5 4" xfId="11647" xr:uid="{00000000-0005-0000-0000-000017970000}"/>
    <cellStyle name="Normal 2 4 5 4 2" xfId="32127" xr:uid="{00000000-0005-0000-0000-000018970000}"/>
    <cellStyle name="Normal 2 4 5 5" xfId="21887" xr:uid="{00000000-0005-0000-0000-000019970000}"/>
    <cellStyle name="Normal 2 4 6" xfId="2687" xr:uid="{00000000-0005-0000-0000-00001A970000}"/>
    <cellStyle name="Normal 2 4 6 2" xfId="7807" xr:uid="{00000000-0005-0000-0000-00001B970000}"/>
    <cellStyle name="Normal 2 4 6 2 2" xfId="18047" xr:uid="{00000000-0005-0000-0000-00001C970000}"/>
    <cellStyle name="Normal 2 4 6 2 2 2" xfId="38527" xr:uid="{00000000-0005-0000-0000-00001D970000}"/>
    <cellStyle name="Normal 2 4 6 2 3" xfId="28287" xr:uid="{00000000-0005-0000-0000-00001E970000}"/>
    <cellStyle name="Normal 2 4 6 3" xfId="12927" xr:uid="{00000000-0005-0000-0000-00001F970000}"/>
    <cellStyle name="Normal 2 4 6 3 2" xfId="33407" xr:uid="{00000000-0005-0000-0000-000020970000}"/>
    <cellStyle name="Normal 2 4 6 4" xfId="23167" xr:uid="{00000000-0005-0000-0000-000021970000}"/>
    <cellStyle name="Normal 2 4 7" xfId="5247" xr:uid="{00000000-0005-0000-0000-000022970000}"/>
    <cellStyle name="Normal 2 4 7 2" xfId="15487" xr:uid="{00000000-0005-0000-0000-000023970000}"/>
    <cellStyle name="Normal 2 4 7 2 2" xfId="35967" xr:uid="{00000000-0005-0000-0000-000024970000}"/>
    <cellStyle name="Normal 2 4 7 3" xfId="25727" xr:uid="{00000000-0005-0000-0000-000025970000}"/>
    <cellStyle name="Normal 2 4 8" xfId="10367" xr:uid="{00000000-0005-0000-0000-000026970000}"/>
    <cellStyle name="Normal 2 4 8 2" xfId="30847" xr:uid="{00000000-0005-0000-0000-000027970000}"/>
    <cellStyle name="Normal 2 4 9" xfId="20607" xr:uid="{00000000-0005-0000-0000-000028970000}"/>
    <cellStyle name="Normal 2 5" xfId="207" xr:uid="{00000000-0005-0000-0000-000029970000}"/>
    <cellStyle name="Normal 2 5 2" xfId="527" xr:uid="{00000000-0005-0000-0000-00002A970000}"/>
    <cellStyle name="Normal 2 5 2 2" xfId="1167" xr:uid="{00000000-0005-0000-0000-00002B970000}"/>
    <cellStyle name="Normal 2 5 2 2 2" xfId="2447" xr:uid="{00000000-0005-0000-0000-00002C970000}"/>
    <cellStyle name="Normal 2 5 2 2 2 2" xfId="5007" xr:uid="{00000000-0005-0000-0000-00002D970000}"/>
    <cellStyle name="Normal 2 5 2 2 2 2 2" xfId="10127" xr:uid="{00000000-0005-0000-0000-00002E970000}"/>
    <cellStyle name="Normal 2 5 2 2 2 2 2 2" xfId="20367" xr:uid="{00000000-0005-0000-0000-00002F970000}"/>
    <cellStyle name="Normal 2 5 2 2 2 2 2 2 2" xfId="40847" xr:uid="{00000000-0005-0000-0000-000030970000}"/>
    <cellStyle name="Normal 2 5 2 2 2 2 2 3" xfId="30607" xr:uid="{00000000-0005-0000-0000-000031970000}"/>
    <cellStyle name="Normal 2 5 2 2 2 2 3" xfId="15247" xr:uid="{00000000-0005-0000-0000-000032970000}"/>
    <cellStyle name="Normal 2 5 2 2 2 2 3 2" xfId="35727" xr:uid="{00000000-0005-0000-0000-000033970000}"/>
    <cellStyle name="Normal 2 5 2 2 2 2 4" xfId="25487" xr:uid="{00000000-0005-0000-0000-000034970000}"/>
    <cellStyle name="Normal 2 5 2 2 2 3" xfId="7567" xr:uid="{00000000-0005-0000-0000-000035970000}"/>
    <cellStyle name="Normal 2 5 2 2 2 3 2" xfId="17807" xr:uid="{00000000-0005-0000-0000-000036970000}"/>
    <cellStyle name="Normal 2 5 2 2 2 3 2 2" xfId="38287" xr:uid="{00000000-0005-0000-0000-000037970000}"/>
    <cellStyle name="Normal 2 5 2 2 2 3 3" xfId="28047" xr:uid="{00000000-0005-0000-0000-000038970000}"/>
    <cellStyle name="Normal 2 5 2 2 2 4" xfId="12687" xr:uid="{00000000-0005-0000-0000-000039970000}"/>
    <cellStyle name="Normal 2 5 2 2 2 4 2" xfId="33167" xr:uid="{00000000-0005-0000-0000-00003A970000}"/>
    <cellStyle name="Normal 2 5 2 2 2 5" xfId="22927" xr:uid="{00000000-0005-0000-0000-00003B970000}"/>
    <cellStyle name="Normal 2 5 2 2 3" xfId="3727" xr:uid="{00000000-0005-0000-0000-00003C970000}"/>
    <cellStyle name="Normal 2 5 2 2 3 2" xfId="8847" xr:uid="{00000000-0005-0000-0000-00003D970000}"/>
    <cellStyle name="Normal 2 5 2 2 3 2 2" xfId="19087" xr:uid="{00000000-0005-0000-0000-00003E970000}"/>
    <cellStyle name="Normal 2 5 2 2 3 2 2 2" xfId="39567" xr:uid="{00000000-0005-0000-0000-00003F970000}"/>
    <cellStyle name="Normal 2 5 2 2 3 2 3" xfId="29327" xr:uid="{00000000-0005-0000-0000-000040970000}"/>
    <cellStyle name="Normal 2 5 2 2 3 3" xfId="13967" xr:uid="{00000000-0005-0000-0000-000041970000}"/>
    <cellStyle name="Normal 2 5 2 2 3 3 2" xfId="34447" xr:uid="{00000000-0005-0000-0000-000042970000}"/>
    <cellStyle name="Normal 2 5 2 2 3 4" xfId="24207" xr:uid="{00000000-0005-0000-0000-000043970000}"/>
    <cellStyle name="Normal 2 5 2 2 4" xfId="6287" xr:uid="{00000000-0005-0000-0000-000044970000}"/>
    <cellStyle name="Normal 2 5 2 2 4 2" xfId="16527" xr:uid="{00000000-0005-0000-0000-000045970000}"/>
    <cellStyle name="Normal 2 5 2 2 4 2 2" xfId="37007" xr:uid="{00000000-0005-0000-0000-000046970000}"/>
    <cellStyle name="Normal 2 5 2 2 4 3" xfId="26767" xr:uid="{00000000-0005-0000-0000-000047970000}"/>
    <cellStyle name="Normal 2 5 2 2 5" xfId="11407" xr:uid="{00000000-0005-0000-0000-000048970000}"/>
    <cellStyle name="Normal 2 5 2 2 5 2" xfId="31887" xr:uid="{00000000-0005-0000-0000-000049970000}"/>
    <cellStyle name="Normal 2 5 2 2 6" xfId="21647" xr:uid="{00000000-0005-0000-0000-00004A970000}"/>
    <cellStyle name="Normal 2 5 2 3" xfId="1807" xr:uid="{00000000-0005-0000-0000-00004B970000}"/>
    <cellStyle name="Normal 2 5 2 3 2" xfId="4367" xr:uid="{00000000-0005-0000-0000-00004C970000}"/>
    <cellStyle name="Normal 2 5 2 3 2 2" xfId="9487" xr:uid="{00000000-0005-0000-0000-00004D970000}"/>
    <cellStyle name="Normal 2 5 2 3 2 2 2" xfId="19727" xr:uid="{00000000-0005-0000-0000-00004E970000}"/>
    <cellStyle name="Normal 2 5 2 3 2 2 2 2" xfId="40207" xr:uid="{00000000-0005-0000-0000-00004F970000}"/>
    <cellStyle name="Normal 2 5 2 3 2 2 3" xfId="29967" xr:uid="{00000000-0005-0000-0000-000050970000}"/>
    <cellStyle name="Normal 2 5 2 3 2 3" xfId="14607" xr:uid="{00000000-0005-0000-0000-000051970000}"/>
    <cellStyle name="Normal 2 5 2 3 2 3 2" xfId="35087" xr:uid="{00000000-0005-0000-0000-000052970000}"/>
    <cellStyle name="Normal 2 5 2 3 2 4" xfId="24847" xr:uid="{00000000-0005-0000-0000-000053970000}"/>
    <cellStyle name="Normal 2 5 2 3 3" xfId="6927" xr:uid="{00000000-0005-0000-0000-000054970000}"/>
    <cellStyle name="Normal 2 5 2 3 3 2" xfId="17167" xr:uid="{00000000-0005-0000-0000-000055970000}"/>
    <cellStyle name="Normal 2 5 2 3 3 2 2" xfId="37647" xr:uid="{00000000-0005-0000-0000-000056970000}"/>
    <cellStyle name="Normal 2 5 2 3 3 3" xfId="27407" xr:uid="{00000000-0005-0000-0000-000057970000}"/>
    <cellStyle name="Normal 2 5 2 3 4" xfId="12047" xr:uid="{00000000-0005-0000-0000-000058970000}"/>
    <cellStyle name="Normal 2 5 2 3 4 2" xfId="32527" xr:uid="{00000000-0005-0000-0000-000059970000}"/>
    <cellStyle name="Normal 2 5 2 3 5" xfId="22287" xr:uid="{00000000-0005-0000-0000-00005A970000}"/>
    <cellStyle name="Normal 2 5 2 4" xfId="3087" xr:uid="{00000000-0005-0000-0000-00005B970000}"/>
    <cellStyle name="Normal 2 5 2 4 2" xfId="8207" xr:uid="{00000000-0005-0000-0000-00005C970000}"/>
    <cellStyle name="Normal 2 5 2 4 2 2" xfId="18447" xr:uid="{00000000-0005-0000-0000-00005D970000}"/>
    <cellStyle name="Normal 2 5 2 4 2 2 2" xfId="38927" xr:uid="{00000000-0005-0000-0000-00005E970000}"/>
    <cellStyle name="Normal 2 5 2 4 2 3" xfId="28687" xr:uid="{00000000-0005-0000-0000-00005F970000}"/>
    <cellStyle name="Normal 2 5 2 4 3" xfId="13327" xr:uid="{00000000-0005-0000-0000-000060970000}"/>
    <cellStyle name="Normal 2 5 2 4 3 2" xfId="33807" xr:uid="{00000000-0005-0000-0000-000061970000}"/>
    <cellStyle name="Normal 2 5 2 4 4" xfId="23567" xr:uid="{00000000-0005-0000-0000-000062970000}"/>
    <cellStyle name="Normal 2 5 2 5" xfId="5647" xr:uid="{00000000-0005-0000-0000-000063970000}"/>
    <cellStyle name="Normal 2 5 2 5 2" xfId="15887" xr:uid="{00000000-0005-0000-0000-000064970000}"/>
    <cellStyle name="Normal 2 5 2 5 2 2" xfId="36367" xr:uid="{00000000-0005-0000-0000-000065970000}"/>
    <cellStyle name="Normal 2 5 2 5 3" xfId="26127" xr:uid="{00000000-0005-0000-0000-000066970000}"/>
    <cellStyle name="Normal 2 5 2 6" xfId="10767" xr:uid="{00000000-0005-0000-0000-000067970000}"/>
    <cellStyle name="Normal 2 5 2 6 2" xfId="31247" xr:uid="{00000000-0005-0000-0000-000068970000}"/>
    <cellStyle name="Normal 2 5 2 7" xfId="21007" xr:uid="{00000000-0005-0000-0000-000069970000}"/>
    <cellStyle name="Normal 2 5 3" xfId="847" xr:uid="{00000000-0005-0000-0000-00006A970000}"/>
    <cellStyle name="Normal 2 5 3 2" xfId="2127" xr:uid="{00000000-0005-0000-0000-00006B970000}"/>
    <cellStyle name="Normal 2 5 3 2 2" xfId="4687" xr:uid="{00000000-0005-0000-0000-00006C970000}"/>
    <cellStyle name="Normal 2 5 3 2 2 2" xfId="9807" xr:uid="{00000000-0005-0000-0000-00006D970000}"/>
    <cellStyle name="Normal 2 5 3 2 2 2 2" xfId="20047" xr:uid="{00000000-0005-0000-0000-00006E970000}"/>
    <cellStyle name="Normal 2 5 3 2 2 2 2 2" xfId="40527" xr:uid="{00000000-0005-0000-0000-00006F970000}"/>
    <cellStyle name="Normal 2 5 3 2 2 2 3" xfId="30287" xr:uid="{00000000-0005-0000-0000-000070970000}"/>
    <cellStyle name="Normal 2 5 3 2 2 3" xfId="14927" xr:uid="{00000000-0005-0000-0000-000071970000}"/>
    <cellStyle name="Normal 2 5 3 2 2 3 2" xfId="35407" xr:uid="{00000000-0005-0000-0000-000072970000}"/>
    <cellStyle name="Normal 2 5 3 2 2 4" xfId="25167" xr:uid="{00000000-0005-0000-0000-000073970000}"/>
    <cellStyle name="Normal 2 5 3 2 3" xfId="7247" xr:uid="{00000000-0005-0000-0000-000074970000}"/>
    <cellStyle name="Normal 2 5 3 2 3 2" xfId="17487" xr:uid="{00000000-0005-0000-0000-000075970000}"/>
    <cellStyle name="Normal 2 5 3 2 3 2 2" xfId="37967" xr:uid="{00000000-0005-0000-0000-000076970000}"/>
    <cellStyle name="Normal 2 5 3 2 3 3" xfId="27727" xr:uid="{00000000-0005-0000-0000-000077970000}"/>
    <cellStyle name="Normal 2 5 3 2 4" xfId="12367" xr:uid="{00000000-0005-0000-0000-000078970000}"/>
    <cellStyle name="Normal 2 5 3 2 4 2" xfId="32847" xr:uid="{00000000-0005-0000-0000-000079970000}"/>
    <cellStyle name="Normal 2 5 3 2 5" xfId="22607" xr:uid="{00000000-0005-0000-0000-00007A970000}"/>
    <cellStyle name="Normal 2 5 3 3" xfId="3407" xr:uid="{00000000-0005-0000-0000-00007B970000}"/>
    <cellStyle name="Normal 2 5 3 3 2" xfId="8527" xr:uid="{00000000-0005-0000-0000-00007C970000}"/>
    <cellStyle name="Normal 2 5 3 3 2 2" xfId="18767" xr:uid="{00000000-0005-0000-0000-00007D970000}"/>
    <cellStyle name="Normal 2 5 3 3 2 2 2" xfId="39247" xr:uid="{00000000-0005-0000-0000-00007E970000}"/>
    <cellStyle name="Normal 2 5 3 3 2 3" xfId="29007" xr:uid="{00000000-0005-0000-0000-00007F970000}"/>
    <cellStyle name="Normal 2 5 3 3 3" xfId="13647" xr:uid="{00000000-0005-0000-0000-000080970000}"/>
    <cellStyle name="Normal 2 5 3 3 3 2" xfId="34127" xr:uid="{00000000-0005-0000-0000-000081970000}"/>
    <cellStyle name="Normal 2 5 3 3 4" xfId="23887" xr:uid="{00000000-0005-0000-0000-000082970000}"/>
    <cellStyle name="Normal 2 5 3 4" xfId="5967" xr:uid="{00000000-0005-0000-0000-000083970000}"/>
    <cellStyle name="Normal 2 5 3 4 2" xfId="16207" xr:uid="{00000000-0005-0000-0000-000084970000}"/>
    <cellStyle name="Normal 2 5 3 4 2 2" xfId="36687" xr:uid="{00000000-0005-0000-0000-000085970000}"/>
    <cellStyle name="Normal 2 5 3 4 3" xfId="26447" xr:uid="{00000000-0005-0000-0000-000086970000}"/>
    <cellStyle name="Normal 2 5 3 5" xfId="11087" xr:uid="{00000000-0005-0000-0000-000087970000}"/>
    <cellStyle name="Normal 2 5 3 5 2" xfId="31567" xr:uid="{00000000-0005-0000-0000-000088970000}"/>
    <cellStyle name="Normal 2 5 3 6" xfId="21327" xr:uid="{00000000-0005-0000-0000-000089970000}"/>
    <cellStyle name="Normal 2 5 4" xfId="1487" xr:uid="{00000000-0005-0000-0000-00008A970000}"/>
    <cellStyle name="Normal 2 5 4 2" xfId="4047" xr:uid="{00000000-0005-0000-0000-00008B970000}"/>
    <cellStyle name="Normal 2 5 4 2 2" xfId="9167" xr:uid="{00000000-0005-0000-0000-00008C970000}"/>
    <cellStyle name="Normal 2 5 4 2 2 2" xfId="19407" xr:uid="{00000000-0005-0000-0000-00008D970000}"/>
    <cellStyle name="Normal 2 5 4 2 2 2 2" xfId="39887" xr:uid="{00000000-0005-0000-0000-00008E970000}"/>
    <cellStyle name="Normal 2 5 4 2 2 3" xfId="29647" xr:uid="{00000000-0005-0000-0000-00008F970000}"/>
    <cellStyle name="Normal 2 5 4 2 3" xfId="14287" xr:uid="{00000000-0005-0000-0000-000090970000}"/>
    <cellStyle name="Normal 2 5 4 2 3 2" xfId="34767" xr:uid="{00000000-0005-0000-0000-000091970000}"/>
    <cellStyle name="Normal 2 5 4 2 4" xfId="24527" xr:uid="{00000000-0005-0000-0000-000092970000}"/>
    <cellStyle name="Normal 2 5 4 3" xfId="6607" xr:uid="{00000000-0005-0000-0000-000093970000}"/>
    <cellStyle name="Normal 2 5 4 3 2" xfId="16847" xr:uid="{00000000-0005-0000-0000-000094970000}"/>
    <cellStyle name="Normal 2 5 4 3 2 2" xfId="37327" xr:uid="{00000000-0005-0000-0000-000095970000}"/>
    <cellStyle name="Normal 2 5 4 3 3" xfId="27087" xr:uid="{00000000-0005-0000-0000-000096970000}"/>
    <cellStyle name="Normal 2 5 4 4" xfId="11727" xr:uid="{00000000-0005-0000-0000-000097970000}"/>
    <cellStyle name="Normal 2 5 4 4 2" xfId="32207" xr:uid="{00000000-0005-0000-0000-000098970000}"/>
    <cellStyle name="Normal 2 5 4 5" xfId="21967" xr:uid="{00000000-0005-0000-0000-000099970000}"/>
    <cellStyle name="Normal 2 5 5" xfId="2767" xr:uid="{00000000-0005-0000-0000-00009A970000}"/>
    <cellStyle name="Normal 2 5 5 2" xfId="7887" xr:uid="{00000000-0005-0000-0000-00009B970000}"/>
    <cellStyle name="Normal 2 5 5 2 2" xfId="18127" xr:uid="{00000000-0005-0000-0000-00009C970000}"/>
    <cellStyle name="Normal 2 5 5 2 2 2" xfId="38607" xr:uid="{00000000-0005-0000-0000-00009D970000}"/>
    <cellStyle name="Normal 2 5 5 2 3" xfId="28367" xr:uid="{00000000-0005-0000-0000-00009E970000}"/>
    <cellStyle name="Normal 2 5 5 3" xfId="13007" xr:uid="{00000000-0005-0000-0000-00009F970000}"/>
    <cellStyle name="Normal 2 5 5 3 2" xfId="33487" xr:uid="{00000000-0005-0000-0000-0000A0970000}"/>
    <cellStyle name="Normal 2 5 5 4" xfId="23247" xr:uid="{00000000-0005-0000-0000-0000A1970000}"/>
    <cellStyle name="Normal 2 5 6" xfId="5327" xr:uid="{00000000-0005-0000-0000-0000A2970000}"/>
    <cellStyle name="Normal 2 5 6 2" xfId="15567" xr:uid="{00000000-0005-0000-0000-0000A3970000}"/>
    <cellStyle name="Normal 2 5 6 2 2" xfId="36047" xr:uid="{00000000-0005-0000-0000-0000A4970000}"/>
    <cellStyle name="Normal 2 5 6 3" xfId="25807" xr:uid="{00000000-0005-0000-0000-0000A5970000}"/>
    <cellStyle name="Normal 2 5 7" xfId="10447" xr:uid="{00000000-0005-0000-0000-0000A6970000}"/>
    <cellStyle name="Normal 2 5 7 2" xfId="30927" xr:uid="{00000000-0005-0000-0000-0000A7970000}"/>
    <cellStyle name="Normal 2 5 8" xfId="20687" xr:uid="{00000000-0005-0000-0000-0000A8970000}"/>
    <cellStyle name="Normal 2 6" xfId="367" xr:uid="{00000000-0005-0000-0000-0000A9970000}"/>
    <cellStyle name="Normal 2 6 2" xfId="1007" xr:uid="{00000000-0005-0000-0000-0000AA970000}"/>
    <cellStyle name="Normal 2 6 2 2" xfId="2287" xr:uid="{00000000-0005-0000-0000-0000AB970000}"/>
    <cellStyle name="Normal 2 6 2 2 2" xfId="4847" xr:uid="{00000000-0005-0000-0000-0000AC970000}"/>
    <cellStyle name="Normal 2 6 2 2 2 2" xfId="9967" xr:uid="{00000000-0005-0000-0000-0000AD970000}"/>
    <cellStyle name="Normal 2 6 2 2 2 2 2" xfId="20207" xr:uid="{00000000-0005-0000-0000-0000AE970000}"/>
    <cellStyle name="Normal 2 6 2 2 2 2 2 2" xfId="40687" xr:uid="{00000000-0005-0000-0000-0000AF970000}"/>
    <cellStyle name="Normal 2 6 2 2 2 2 3" xfId="30447" xr:uid="{00000000-0005-0000-0000-0000B0970000}"/>
    <cellStyle name="Normal 2 6 2 2 2 3" xfId="15087" xr:uid="{00000000-0005-0000-0000-0000B1970000}"/>
    <cellStyle name="Normal 2 6 2 2 2 3 2" xfId="35567" xr:uid="{00000000-0005-0000-0000-0000B2970000}"/>
    <cellStyle name="Normal 2 6 2 2 2 4" xfId="25327" xr:uid="{00000000-0005-0000-0000-0000B3970000}"/>
    <cellStyle name="Normal 2 6 2 2 3" xfId="7407" xr:uid="{00000000-0005-0000-0000-0000B4970000}"/>
    <cellStyle name="Normal 2 6 2 2 3 2" xfId="17647" xr:uid="{00000000-0005-0000-0000-0000B5970000}"/>
    <cellStyle name="Normal 2 6 2 2 3 2 2" xfId="38127" xr:uid="{00000000-0005-0000-0000-0000B6970000}"/>
    <cellStyle name="Normal 2 6 2 2 3 3" xfId="27887" xr:uid="{00000000-0005-0000-0000-0000B7970000}"/>
    <cellStyle name="Normal 2 6 2 2 4" xfId="12527" xr:uid="{00000000-0005-0000-0000-0000B8970000}"/>
    <cellStyle name="Normal 2 6 2 2 4 2" xfId="33007" xr:uid="{00000000-0005-0000-0000-0000B9970000}"/>
    <cellStyle name="Normal 2 6 2 2 5" xfId="22767" xr:uid="{00000000-0005-0000-0000-0000BA970000}"/>
    <cellStyle name="Normal 2 6 2 3" xfId="3567" xr:uid="{00000000-0005-0000-0000-0000BB970000}"/>
    <cellStyle name="Normal 2 6 2 3 2" xfId="8687" xr:uid="{00000000-0005-0000-0000-0000BC970000}"/>
    <cellStyle name="Normal 2 6 2 3 2 2" xfId="18927" xr:uid="{00000000-0005-0000-0000-0000BD970000}"/>
    <cellStyle name="Normal 2 6 2 3 2 2 2" xfId="39407" xr:uid="{00000000-0005-0000-0000-0000BE970000}"/>
    <cellStyle name="Normal 2 6 2 3 2 3" xfId="29167" xr:uid="{00000000-0005-0000-0000-0000BF970000}"/>
    <cellStyle name="Normal 2 6 2 3 3" xfId="13807" xr:uid="{00000000-0005-0000-0000-0000C0970000}"/>
    <cellStyle name="Normal 2 6 2 3 3 2" xfId="34287" xr:uid="{00000000-0005-0000-0000-0000C1970000}"/>
    <cellStyle name="Normal 2 6 2 3 4" xfId="24047" xr:uid="{00000000-0005-0000-0000-0000C2970000}"/>
    <cellStyle name="Normal 2 6 2 4" xfId="6127" xr:uid="{00000000-0005-0000-0000-0000C3970000}"/>
    <cellStyle name="Normal 2 6 2 4 2" xfId="16367" xr:uid="{00000000-0005-0000-0000-0000C4970000}"/>
    <cellStyle name="Normal 2 6 2 4 2 2" xfId="36847" xr:uid="{00000000-0005-0000-0000-0000C5970000}"/>
    <cellStyle name="Normal 2 6 2 4 3" xfId="26607" xr:uid="{00000000-0005-0000-0000-0000C6970000}"/>
    <cellStyle name="Normal 2 6 2 5" xfId="11247" xr:uid="{00000000-0005-0000-0000-0000C7970000}"/>
    <cellStyle name="Normal 2 6 2 5 2" xfId="31727" xr:uid="{00000000-0005-0000-0000-0000C8970000}"/>
    <cellStyle name="Normal 2 6 2 6" xfId="21487" xr:uid="{00000000-0005-0000-0000-0000C9970000}"/>
    <cellStyle name="Normal 2 6 3" xfId="1647" xr:uid="{00000000-0005-0000-0000-0000CA970000}"/>
    <cellStyle name="Normal 2 6 3 2" xfId="4207" xr:uid="{00000000-0005-0000-0000-0000CB970000}"/>
    <cellStyle name="Normal 2 6 3 2 2" xfId="9327" xr:uid="{00000000-0005-0000-0000-0000CC970000}"/>
    <cellStyle name="Normal 2 6 3 2 2 2" xfId="19567" xr:uid="{00000000-0005-0000-0000-0000CD970000}"/>
    <cellStyle name="Normal 2 6 3 2 2 2 2" xfId="40047" xr:uid="{00000000-0005-0000-0000-0000CE970000}"/>
    <cellStyle name="Normal 2 6 3 2 2 3" xfId="29807" xr:uid="{00000000-0005-0000-0000-0000CF970000}"/>
    <cellStyle name="Normal 2 6 3 2 3" xfId="14447" xr:uid="{00000000-0005-0000-0000-0000D0970000}"/>
    <cellStyle name="Normal 2 6 3 2 3 2" xfId="34927" xr:uid="{00000000-0005-0000-0000-0000D1970000}"/>
    <cellStyle name="Normal 2 6 3 2 4" xfId="24687" xr:uid="{00000000-0005-0000-0000-0000D2970000}"/>
    <cellStyle name="Normal 2 6 3 3" xfId="6767" xr:uid="{00000000-0005-0000-0000-0000D3970000}"/>
    <cellStyle name="Normal 2 6 3 3 2" xfId="17007" xr:uid="{00000000-0005-0000-0000-0000D4970000}"/>
    <cellStyle name="Normal 2 6 3 3 2 2" xfId="37487" xr:uid="{00000000-0005-0000-0000-0000D5970000}"/>
    <cellStyle name="Normal 2 6 3 3 3" xfId="27247" xr:uid="{00000000-0005-0000-0000-0000D6970000}"/>
    <cellStyle name="Normal 2 6 3 4" xfId="11887" xr:uid="{00000000-0005-0000-0000-0000D7970000}"/>
    <cellStyle name="Normal 2 6 3 4 2" xfId="32367" xr:uid="{00000000-0005-0000-0000-0000D8970000}"/>
    <cellStyle name="Normal 2 6 3 5" xfId="22127" xr:uid="{00000000-0005-0000-0000-0000D9970000}"/>
    <cellStyle name="Normal 2 6 4" xfId="2927" xr:uid="{00000000-0005-0000-0000-0000DA970000}"/>
    <cellStyle name="Normal 2 6 4 2" xfId="8047" xr:uid="{00000000-0005-0000-0000-0000DB970000}"/>
    <cellStyle name="Normal 2 6 4 2 2" xfId="18287" xr:uid="{00000000-0005-0000-0000-0000DC970000}"/>
    <cellStyle name="Normal 2 6 4 2 2 2" xfId="38767" xr:uid="{00000000-0005-0000-0000-0000DD970000}"/>
    <cellStyle name="Normal 2 6 4 2 3" xfId="28527" xr:uid="{00000000-0005-0000-0000-0000DE970000}"/>
    <cellStyle name="Normal 2 6 4 3" xfId="13167" xr:uid="{00000000-0005-0000-0000-0000DF970000}"/>
    <cellStyle name="Normal 2 6 4 3 2" xfId="33647" xr:uid="{00000000-0005-0000-0000-0000E0970000}"/>
    <cellStyle name="Normal 2 6 4 4" xfId="23407" xr:uid="{00000000-0005-0000-0000-0000E1970000}"/>
    <cellStyle name="Normal 2 6 5" xfId="5487" xr:uid="{00000000-0005-0000-0000-0000E2970000}"/>
    <cellStyle name="Normal 2 6 5 2" xfId="15727" xr:uid="{00000000-0005-0000-0000-0000E3970000}"/>
    <cellStyle name="Normal 2 6 5 2 2" xfId="36207" xr:uid="{00000000-0005-0000-0000-0000E4970000}"/>
    <cellStyle name="Normal 2 6 5 3" xfId="25967" xr:uid="{00000000-0005-0000-0000-0000E5970000}"/>
    <cellStyle name="Normal 2 6 6" xfId="10607" xr:uid="{00000000-0005-0000-0000-0000E6970000}"/>
    <cellStyle name="Normal 2 6 6 2" xfId="31087" xr:uid="{00000000-0005-0000-0000-0000E7970000}"/>
    <cellStyle name="Normal 2 6 7" xfId="20847" xr:uid="{00000000-0005-0000-0000-0000E8970000}"/>
    <cellStyle name="Normal 2 7" xfId="687" xr:uid="{00000000-0005-0000-0000-0000E9970000}"/>
    <cellStyle name="Normal 2 7 2" xfId="1967" xr:uid="{00000000-0005-0000-0000-0000EA970000}"/>
    <cellStyle name="Normal 2 7 2 2" xfId="4527" xr:uid="{00000000-0005-0000-0000-0000EB970000}"/>
    <cellStyle name="Normal 2 7 2 2 2" xfId="9647" xr:uid="{00000000-0005-0000-0000-0000EC970000}"/>
    <cellStyle name="Normal 2 7 2 2 2 2" xfId="19887" xr:uid="{00000000-0005-0000-0000-0000ED970000}"/>
    <cellStyle name="Normal 2 7 2 2 2 2 2" xfId="40367" xr:uid="{00000000-0005-0000-0000-0000EE970000}"/>
    <cellStyle name="Normal 2 7 2 2 2 3" xfId="30127" xr:uid="{00000000-0005-0000-0000-0000EF970000}"/>
    <cellStyle name="Normal 2 7 2 2 3" xfId="14767" xr:uid="{00000000-0005-0000-0000-0000F0970000}"/>
    <cellStyle name="Normal 2 7 2 2 3 2" xfId="35247" xr:uid="{00000000-0005-0000-0000-0000F1970000}"/>
    <cellStyle name="Normal 2 7 2 2 4" xfId="25007" xr:uid="{00000000-0005-0000-0000-0000F2970000}"/>
    <cellStyle name="Normal 2 7 2 3" xfId="7087" xr:uid="{00000000-0005-0000-0000-0000F3970000}"/>
    <cellStyle name="Normal 2 7 2 3 2" xfId="17327" xr:uid="{00000000-0005-0000-0000-0000F4970000}"/>
    <cellStyle name="Normal 2 7 2 3 2 2" xfId="37807" xr:uid="{00000000-0005-0000-0000-0000F5970000}"/>
    <cellStyle name="Normal 2 7 2 3 3" xfId="27567" xr:uid="{00000000-0005-0000-0000-0000F6970000}"/>
    <cellStyle name="Normal 2 7 2 4" xfId="12207" xr:uid="{00000000-0005-0000-0000-0000F7970000}"/>
    <cellStyle name="Normal 2 7 2 4 2" xfId="32687" xr:uid="{00000000-0005-0000-0000-0000F8970000}"/>
    <cellStyle name="Normal 2 7 2 5" xfId="22447" xr:uid="{00000000-0005-0000-0000-0000F9970000}"/>
    <cellStyle name="Normal 2 7 3" xfId="3247" xr:uid="{00000000-0005-0000-0000-0000FA970000}"/>
    <cellStyle name="Normal 2 7 3 2" xfId="8367" xr:uid="{00000000-0005-0000-0000-0000FB970000}"/>
    <cellStyle name="Normal 2 7 3 2 2" xfId="18607" xr:uid="{00000000-0005-0000-0000-0000FC970000}"/>
    <cellStyle name="Normal 2 7 3 2 2 2" xfId="39087" xr:uid="{00000000-0005-0000-0000-0000FD970000}"/>
    <cellStyle name="Normal 2 7 3 2 3" xfId="28847" xr:uid="{00000000-0005-0000-0000-0000FE970000}"/>
    <cellStyle name="Normal 2 7 3 3" xfId="13487" xr:uid="{00000000-0005-0000-0000-0000FF970000}"/>
    <cellStyle name="Normal 2 7 3 3 2" xfId="33967" xr:uid="{00000000-0005-0000-0000-000000980000}"/>
    <cellStyle name="Normal 2 7 3 4" xfId="23727" xr:uid="{00000000-0005-0000-0000-000001980000}"/>
    <cellStyle name="Normal 2 7 4" xfId="5807" xr:uid="{00000000-0005-0000-0000-000002980000}"/>
    <cellStyle name="Normal 2 7 4 2" xfId="16047" xr:uid="{00000000-0005-0000-0000-000003980000}"/>
    <cellStyle name="Normal 2 7 4 2 2" xfId="36527" xr:uid="{00000000-0005-0000-0000-000004980000}"/>
    <cellStyle name="Normal 2 7 4 3" xfId="26287" xr:uid="{00000000-0005-0000-0000-000005980000}"/>
    <cellStyle name="Normal 2 7 5" xfId="10927" xr:uid="{00000000-0005-0000-0000-000006980000}"/>
    <cellStyle name="Normal 2 7 5 2" xfId="31407" xr:uid="{00000000-0005-0000-0000-000007980000}"/>
    <cellStyle name="Normal 2 7 6" xfId="21167" xr:uid="{00000000-0005-0000-0000-000008980000}"/>
    <cellStyle name="Normal 2 8" xfId="1327" xr:uid="{00000000-0005-0000-0000-000009980000}"/>
    <cellStyle name="Normal 2 8 2" xfId="3887" xr:uid="{00000000-0005-0000-0000-00000A980000}"/>
    <cellStyle name="Normal 2 8 2 2" xfId="9007" xr:uid="{00000000-0005-0000-0000-00000B980000}"/>
    <cellStyle name="Normal 2 8 2 2 2" xfId="19247" xr:uid="{00000000-0005-0000-0000-00000C980000}"/>
    <cellStyle name="Normal 2 8 2 2 2 2" xfId="39727" xr:uid="{00000000-0005-0000-0000-00000D980000}"/>
    <cellStyle name="Normal 2 8 2 2 3" xfId="29487" xr:uid="{00000000-0005-0000-0000-00000E980000}"/>
    <cellStyle name="Normal 2 8 2 3" xfId="14127" xr:uid="{00000000-0005-0000-0000-00000F980000}"/>
    <cellStyle name="Normal 2 8 2 3 2" xfId="34607" xr:uid="{00000000-0005-0000-0000-000010980000}"/>
    <cellStyle name="Normal 2 8 2 4" xfId="24367" xr:uid="{00000000-0005-0000-0000-000011980000}"/>
    <cellStyle name="Normal 2 8 3" xfId="6447" xr:uid="{00000000-0005-0000-0000-000012980000}"/>
    <cellStyle name="Normal 2 8 3 2" xfId="16687" xr:uid="{00000000-0005-0000-0000-000013980000}"/>
    <cellStyle name="Normal 2 8 3 2 2" xfId="37167" xr:uid="{00000000-0005-0000-0000-000014980000}"/>
    <cellStyle name="Normal 2 8 3 3" xfId="26927" xr:uid="{00000000-0005-0000-0000-000015980000}"/>
    <cellStyle name="Normal 2 8 4" xfId="11567" xr:uid="{00000000-0005-0000-0000-000016980000}"/>
    <cellStyle name="Normal 2 8 4 2" xfId="32047" xr:uid="{00000000-0005-0000-0000-000017980000}"/>
    <cellStyle name="Normal 2 8 5" xfId="21807" xr:uid="{00000000-0005-0000-0000-000018980000}"/>
    <cellStyle name="Normal 2 9" xfId="2607" xr:uid="{00000000-0005-0000-0000-000019980000}"/>
    <cellStyle name="Normal 2 9 2" xfId="7727" xr:uid="{00000000-0005-0000-0000-00001A980000}"/>
    <cellStyle name="Normal 2 9 2 2" xfId="17967" xr:uid="{00000000-0005-0000-0000-00001B980000}"/>
    <cellStyle name="Normal 2 9 2 2 2" xfId="38447" xr:uid="{00000000-0005-0000-0000-00001C980000}"/>
    <cellStyle name="Normal 2 9 2 3" xfId="28207" xr:uid="{00000000-0005-0000-0000-00001D980000}"/>
    <cellStyle name="Normal 2 9 3" xfId="12847" xr:uid="{00000000-0005-0000-0000-00001E980000}"/>
    <cellStyle name="Normal 2 9 3 2" xfId="33327" xr:uid="{00000000-0005-0000-0000-00001F980000}"/>
    <cellStyle name="Normal 2 9 4" xfId="23087" xr:uid="{00000000-0005-0000-0000-000020980000}"/>
    <cellStyle name="Normal 20" xfId="41005" xr:uid="{00000000-0005-0000-0000-000021980000}"/>
    <cellStyle name="Normal 21" xfId="41006" xr:uid="{00000000-0005-0000-0000-000022980000}"/>
    <cellStyle name="Normal 22" xfId="41007" xr:uid="{00000000-0005-0000-0000-000023980000}"/>
    <cellStyle name="Normal 23" xfId="41008" xr:uid="{00000000-0005-0000-0000-000024980000}"/>
    <cellStyle name="Normal 24" xfId="41009" xr:uid="{00000000-0005-0000-0000-000025980000}"/>
    <cellStyle name="Normal 25" xfId="41010" xr:uid="{00000000-0005-0000-0000-000026980000}"/>
    <cellStyle name="Normal 26" xfId="41011" xr:uid="{00000000-0005-0000-0000-000027980000}"/>
    <cellStyle name="Normal 27" xfId="3" xr:uid="{00000000-0005-0000-0000-000028980000}"/>
    <cellStyle name="Normal 28" xfId="4" xr:uid="{00000000-0005-0000-0000-000029980000}"/>
    <cellStyle name="Normal 29" xfId="41012" xr:uid="{00000000-0005-0000-0000-00002A980000}"/>
    <cellStyle name="Normal 3" xfId="2" xr:uid="{00000000-0005-0000-0000-00002B980000}"/>
    <cellStyle name="Normal 3 2" xfId="47" xr:uid="{00000000-0005-0000-0000-00002C980000}"/>
    <cellStyle name="Normal 30" xfId="41013" xr:uid="{00000000-0005-0000-0000-00002D980000}"/>
    <cellStyle name="Normal 31" xfId="41014" xr:uid="{00000000-0005-0000-0000-00002E980000}"/>
    <cellStyle name="Normal 32" xfId="41015" xr:uid="{00000000-0005-0000-0000-00002F980000}"/>
    <cellStyle name="Normal 33" xfId="41016" xr:uid="{00000000-0005-0000-0000-000030980000}"/>
    <cellStyle name="Normal 34" xfId="41017" xr:uid="{00000000-0005-0000-0000-000031980000}"/>
    <cellStyle name="Normal 35" xfId="41018" xr:uid="{00000000-0005-0000-0000-000032980000}"/>
    <cellStyle name="Normal 36" xfId="41019" xr:uid="{00000000-0005-0000-0000-000033980000}"/>
    <cellStyle name="Normal 37" xfId="41020" xr:uid="{00000000-0005-0000-0000-000034980000}"/>
    <cellStyle name="Normal 38" xfId="41021" xr:uid="{00000000-0005-0000-0000-000035980000}"/>
    <cellStyle name="Normal 39" xfId="41022" xr:uid="{00000000-0005-0000-0000-000036980000}"/>
    <cellStyle name="Normal 4" xfId="40988" xr:uid="{00000000-0005-0000-0000-000037980000}"/>
    <cellStyle name="Normal 40" xfId="41023" xr:uid="{00000000-0005-0000-0000-000038980000}"/>
    <cellStyle name="Normal 41" xfId="41024" xr:uid="{00000000-0005-0000-0000-000039980000}"/>
    <cellStyle name="Normal 42" xfId="41025" xr:uid="{00000000-0005-0000-0000-00003A980000}"/>
    <cellStyle name="Normal 43" xfId="41026" xr:uid="{00000000-0005-0000-0000-00003B980000}"/>
    <cellStyle name="Normal 44" xfId="41027" xr:uid="{00000000-0005-0000-0000-00003C980000}"/>
    <cellStyle name="Normal 45" xfId="41028" xr:uid="{00000000-0005-0000-0000-00003D980000}"/>
    <cellStyle name="Normal 46" xfId="41029" xr:uid="{00000000-0005-0000-0000-00003E980000}"/>
    <cellStyle name="Normal 47" xfId="41030" xr:uid="{00000000-0005-0000-0000-00003F980000}"/>
    <cellStyle name="Normal 47 2" xfId="41040" xr:uid="{00000000-0005-0000-0000-000040980000}"/>
    <cellStyle name="Normal 48" xfId="41031" xr:uid="{00000000-0005-0000-0000-000041980000}"/>
    <cellStyle name="Normal 49" xfId="41032" xr:uid="{00000000-0005-0000-0000-000042980000}"/>
    <cellStyle name="Normal 5" xfId="40989" xr:uid="{00000000-0005-0000-0000-000043980000}"/>
    <cellStyle name="Normal 50" xfId="41033" xr:uid="{00000000-0005-0000-0000-000044980000}"/>
    <cellStyle name="Normal 51" xfId="41034" xr:uid="{00000000-0005-0000-0000-000045980000}"/>
    <cellStyle name="Normal 52" xfId="41035" xr:uid="{00000000-0005-0000-0000-000046980000}"/>
    <cellStyle name="Normal 53" xfId="41036" xr:uid="{00000000-0005-0000-0000-000047980000}"/>
    <cellStyle name="Normal 53 2" xfId="41039" xr:uid="{00000000-0005-0000-0000-000048980000}"/>
    <cellStyle name="Normal 54" xfId="41037" xr:uid="{00000000-0005-0000-0000-000049980000}"/>
    <cellStyle name="Normal 55" xfId="41038" xr:uid="{00000000-0005-0000-0000-00004A980000}"/>
    <cellStyle name="Normal 6" xfId="40991" xr:uid="{00000000-0005-0000-0000-00004B980000}"/>
    <cellStyle name="Normal 7" xfId="40992" xr:uid="{00000000-0005-0000-0000-00004C980000}"/>
    <cellStyle name="Normal 8" xfId="40993" xr:uid="{00000000-0005-0000-0000-00004D980000}"/>
    <cellStyle name="Normal 9" xfId="40994" xr:uid="{00000000-0005-0000-0000-00004E980000}"/>
    <cellStyle name="Note 2" xfId="46" xr:uid="{00000000-0005-0000-0000-00004F980000}"/>
    <cellStyle name="Note 2 10" xfId="5166" xr:uid="{00000000-0005-0000-0000-000050980000}"/>
    <cellStyle name="Note 2 10 2" xfId="15406" xr:uid="{00000000-0005-0000-0000-000051980000}"/>
    <cellStyle name="Note 2 10 2 2" xfId="35886" xr:uid="{00000000-0005-0000-0000-000052980000}"/>
    <cellStyle name="Note 2 10 3" xfId="25646" xr:uid="{00000000-0005-0000-0000-000053980000}"/>
    <cellStyle name="Note 2 11" xfId="10286" xr:uid="{00000000-0005-0000-0000-000054980000}"/>
    <cellStyle name="Note 2 11 2" xfId="30766" xr:uid="{00000000-0005-0000-0000-000055980000}"/>
    <cellStyle name="Note 2 12" xfId="20526" xr:uid="{00000000-0005-0000-0000-000056980000}"/>
    <cellStyle name="Note 2 2" xfId="66" xr:uid="{00000000-0005-0000-0000-000057980000}"/>
    <cellStyle name="Note 2 2 10" xfId="10306" xr:uid="{00000000-0005-0000-0000-000058980000}"/>
    <cellStyle name="Note 2 2 10 2" xfId="30786" xr:uid="{00000000-0005-0000-0000-000059980000}"/>
    <cellStyle name="Note 2 2 11" xfId="20546" xr:uid="{00000000-0005-0000-0000-00005A980000}"/>
    <cellStyle name="Note 2 2 2" xfId="106" xr:uid="{00000000-0005-0000-0000-00005B980000}"/>
    <cellStyle name="Note 2 2 2 10" xfId="20586" xr:uid="{00000000-0005-0000-0000-00005C980000}"/>
    <cellStyle name="Note 2 2 2 2" xfId="186" xr:uid="{00000000-0005-0000-0000-00005D980000}"/>
    <cellStyle name="Note 2 2 2 2 2" xfId="346" xr:uid="{00000000-0005-0000-0000-00005E980000}"/>
    <cellStyle name="Note 2 2 2 2 2 2" xfId="666" xr:uid="{00000000-0005-0000-0000-00005F980000}"/>
    <cellStyle name="Note 2 2 2 2 2 2 2" xfId="1306" xr:uid="{00000000-0005-0000-0000-000060980000}"/>
    <cellStyle name="Note 2 2 2 2 2 2 2 2" xfId="2586" xr:uid="{00000000-0005-0000-0000-000061980000}"/>
    <cellStyle name="Note 2 2 2 2 2 2 2 2 2" xfId="5146" xr:uid="{00000000-0005-0000-0000-000062980000}"/>
    <cellStyle name="Note 2 2 2 2 2 2 2 2 2 2" xfId="10266" xr:uid="{00000000-0005-0000-0000-000063980000}"/>
    <cellStyle name="Note 2 2 2 2 2 2 2 2 2 2 2" xfId="20506" xr:uid="{00000000-0005-0000-0000-000064980000}"/>
    <cellStyle name="Note 2 2 2 2 2 2 2 2 2 2 2 2" xfId="40986" xr:uid="{00000000-0005-0000-0000-000065980000}"/>
    <cellStyle name="Note 2 2 2 2 2 2 2 2 2 2 3" xfId="30746" xr:uid="{00000000-0005-0000-0000-000066980000}"/>
    <cellStyle name="Note 2 2 2 2 2 2 2 2 2 3" xfId="15386" xr:uid="{00000000-0005-0000-0000-000067980000}"/>
    <cellStyle name="Note 2 2 2 2 2 2 2 2 2 3 2" xfId="35866" xr:uid="{00000000-0005-0000-0000-000068980000}"/>
    <cellStyle name="Note 2 2 2 2 2 2 2 2 2 4" xfId="25626" xr:uid="{00000000-0005-0000-0000-000069980000}"/>
    <cellStyle name="Note 2 2 2 2 2 2 2 2 3" xfId="7706" xr:uid="{00000000-0005-0000-0000-00006A980000}"/>
    <cellStyle name="Note 2 2 2 2 2 2 2 2 3 2" xfId="17946" xr:uid="{00000000-0005-0000-0000-00006B980000}"/>
    <cellStyle name="Note 2 2 2 2 2 2 2 2 3 2 2" xfId="38426" xr:uid="{00000000-0005-0000-0000-00006C980000}"/>
    <cellStyle name="Note 2 2 2 2 2 2 2 2 3 3" xfId="28186" xr:uid="{00000000-0005-0000-0000-00006D980000}"/>
    <cellStyle name="Note 2 2 2 2 2 2 2 2 4" xfId="12826" xr:uid="{00000000-0005-0000-0000-00006E980000}"/>
    <cellStyle name="Note 2 2 2 2 2 2 2 2 4 2" xfId="33306" xr:uid="{00000000-0005-0000-0000-00006F980000}"/>
    <cellStyle name="Note 2 2 2 2 2 2 2 2 5" xfId="23066" xr:uid="{00000000-0005-0000-0000-000070980000}"/>
    <cellStyle name="Note 2 2 2 2 2 2 2 3" xfId="3866" xr:uid="{00000000-0005-0000-0000-000071980000}"/>
    <cellStyle name="Note 2 2 2 2 2 2 2 3 2" xfId="8986" xr:uid="{00000000-0005-0000-0000-000072980000}"/>
    <cellStyle name="Note 2 2 2 2 2 2 2 3 2 2" xfId="19226" xr:uid="{00000000-0005-0000-0000-000073980000}"/>
    <cellStyle name="Note 2 2 2 2 2 2 2 3 2 2 2" xfId="39706" xr:uid="{00000000-0005-0000-0000-000074980000}"/>
    <cellStyle name="Note 2 2 2 2 2 2 2 3 2 3" xfId="29466" xr:uid="{00000000-0005-0000-0000-000075980000}"/>
    <cellStyle name="Note 2 2 2 2 2 2 2 3 3" xfId="14106" xr:uid="{00000000-0005-0000-0000-000076980000}"/>
    <cellStyle name="Note 2 2 2 2 2 2 2 3 3 2" xfId="34586" xr:uid="{00000000-0005-0000-0000-000077980000}"/>
    <cellStyle name="Note 2 2 2 2 2 2 2 3 4" xfId="24346" xr:uid="{00000000-0005-0000-0000-000078980000}"/>
    <cellStyle name="Note 2 2 2 2 2 2 2 4" xfId="6426" xr:uid="{00000000-0005-0000-0000-000079980000}"/>
    <cellStyle name="Note 2 2 2 2 2 2 2 4 2" xfId="16666" xr:uid="{00000000-0005-0000-0000-00007A980000}"/>
    <cellStyle name="Note 2 2 2 2 2 2 2 4 2 2" xfId="37146" xr:uid="{00000000-0005-0000-0000-00007B980000}"/>
    <cellStyle name="Note 2 2 2 2 2 2 2 4 3" xfId="26906" xr:uid="{00000000-0005-0000-0000-00007C980000}"/>
    <cellStyle name="Note 2 2 2 2 2 2 2 5" xfId="11546" xr:uid="{00000000-0005-0000-0000-00007D980000}"/>
    <cellStyle name="Note 2 2 2 2 2 2 2 5 2" xfId="32026" xr:uid="{00000000-0005-0000-0000-00007E980000}"/>
    <cellStyle name="Note 2 2 2 2 2 2 2 6" xfId="21786" xr:uid="{00000000-0005-0000-0000-00007F980000}"/>
    <cellStyle name="Note 2 2 2 2 2 2 3" xfId="1946" xr:uid="{00000000-0005-0000-0000-000080980000}"/>
    <cellStyle name="Note 2 2 2 2 2 2 3 2" xfId="4506" xr:uid="{00000000-0005-0000-0000-000081980000}"/>
    <cellStyle name="Note 2 2 2 2 2 2 3 2 2" xfId="9626" xr:uid="{00000000-0005-0000-0000-000082980000}"/>
    <cellStyle name="Note 2 2 2 2 2 2 3 2 2 2" xfId="19866" xr:uid="{00000000-0005-0000-0000-000083980000}"/>
    <cellStyle name="Note 2 2 2 2 2 2 3 2 2 2 2" xfId="40346" xr:uid="{00000000-0005-0000-0000-000084980000}"/>
    <cellStyle name="Note 2 2 2 2 2 2 3 2 2 3" xfId="30106" xr:uid="{00000000-0005-0000-0000-000085980000}"/>
    <cellStyle name="Note 2 2 2 2 2 2 3 2 3" xfId="14746" xr:uid="{00000000-0005-0000-0000-000086980000}"/>
    <cellStyle name="Note 2 2 2 2 2 2 3 2 3 2" xfId="35226" xr:uid="{00000000-0005-0000-0000-000087980000}"/>
    <cellStyle name="Note 2 2 2 2 2 2 3 2 4" xfId="24986" xr:uid="{00000000-0005-0000-0000-000088980000}"/>
    <cellStyle name="Note 2 2 2 2 2 2 3 3" xfId="7066" xr:uid="{00000000-0005-0000-0000-000089980000}"/>
    <cellStyle name="Note 2 2 2 2 2 2 3 3 2" xfId="17306" xr:uid="{00000000-0005-0000-0000-00008A980000}"/>
    <cellStyle name="Note 2 2 2 2 2 2 3 3 2 2" xfId="37786" xr:uid="{00000000-0005-0000-0000-00008B980000}"/>
    <cellStyle name="Note 2 2 2 2 2 2 3 3 3" xfId="27546" xr:uid="{00000000-0005-0000-0000-00008C980000}"/>
    <cellStyle name="Note 2 2 2 2 2 2 3 4" xfId="12186" xr:uid="{00000000-0005-0000-0000-00008D980000}"/>
    <cellStyle name="Note 2 2 2 2 2 2 3 4 2" xfId="32666" xr:uid="{00000000-0005-0000-0000-00008E980000}"/>
    <cellStyle name="Note 2 2 2 2 2 2 3 5" xfId="22426" xr:uid="{00000000-0005-0000-0000-00008F980000}"/>
    <cellStyle name="Note 2 2 2 2 2 2 4" xfId="3226" xr:uid="{00000000-0005-0000-0000-000090980000}"/>
    <cellStyle name="Note 2 2 2 2 2 2 4 2" xfId="8346" xr:uid="{00000000-0005-0000-0000-000091980000}"/>
    <cellStyle name="Note 2 2 2 2 2 2 4 2 2" xfId="18586" xr:uid="{00000000-0005-0000-0000-000092980000}"/>
    <cellStyle name="Note 2 2 2 2 2 2 4 2 2 2" xfId="39066" xr:uid="{00000000-0005-0000-0000-000093980000}"/>
    <cellStyle name="Note 2 2 2 2 2 2 4 2 3" xfId="28826" xr:uid="{00000000-0005-0000-0000-000094980000}"/>
    <cellStyle name="Note 2 2 2 2 2 2 4 3" xfId="13466" xr:uid="{00000000-0005-0000-0000-000095980000}"/>
    <cellStyle name="Note 2 2 2 2 2 2 4 3 2" xfId="33946" xr:uid="{00000000-0005-0000-0000-000096980000}"/>
    <cellStyle name="Note 2 2 2 2 2 2 4 4" xfId="23706" xr:uid="{00000000-0005-0000-0000-000097980000}"/>
    <cellStyle name="Note 2 2 2 2 2 2 5" xfId="5786" xr:uid="{00000000-0005-0000-0000-000098980000}"/>
    <cellStyle name="Note 2 2 2 2 2 2 5 2" xfId="16026" xr:uid="{00000000-0005-0000-0000-000099980000}"/>
    <cellStyle name="Note 2 2 2 2 2 2 5 2 2" xfId="36506" xr:uid="{00000000-0005-0000-0000-00009A980000}"/>
    <cellStyle name="Note 2 2 2 2 2 2 5 3" xfId="26266" xr:uid="{00000000-0005-0000-0000-00009B980000}"/>
    <cellStyle name="Note 2 2 2 2 2 2 6" xfId="10906" xr:uid="{00000000-0005-0000-0000-00009C980000}"/>
    <cellStyle name="Note 2 2 2 2 2 2 6 2" xfId="31386" xr:uid="{00000000-0005-0000-0000-00009D980000}"/>
    <cellStyle name="Note 2 2 2 2 2 2 7" xfId="21146" xr:uid="{00000000-0005-0000-0000-00009E980000}"/>
    <cellStyle name="Note 2 2 2 2 2 3" xfId="986" xr:uid="{00000000-0005-0000-0000-00009F980000}"/>
    <cellStyle name="Note 2 2 2 2 2 3 2" xfId="2266" xr:uid="{00000000-0005-0000-0000-0000A0980000}"/>
    <cellStyle name="Note 2 2 2 2 2 3 2 2" xfId="4826" xr:uid="{00000000-0005-0000-0000-0000A1980000}"/>
    <cellStyle name="Note 2 2 2 2 2 3 2 2 2" xfId="9946" xr:uid="{00000000-0005-0000-0000-0000A2980000}"/>
    <cellStyle name="Note 2 2 2 2 2 3 2 2 2 2" xfId="20186" xr:uid="{00000000-0005-0000-0000-0000A3980000}"/>
    <cellStyle name="Note 2 2 2 2 2 3 2 2 2 2 2" xfId="40666" xr:uid="{00000000-0005-0000-0000-0000A4980000}"/>
    <cellStyle name="Note 2 2 2 2 2 3 2 2 2 3" xfId="30426" xr:uid="{00000000-0005-0000-0000-0000A5980000}"/>
    <cellStyle name="Note 2 2 2 2 2 3 2 2 3" xfId="15066" xr:uid="{00000000-0005-0000-0000-0000A6980000}"/>
    <cellStyle name="Note 2 2 2 2 2 3 2 2 3 2" xfId="35546" xr:uid="{00000000-0005-0000-0000-0000A7980000}"/>
    <cellStyle name="Note 2 2 2 2 2 3 2 2 4" xfId="25306" xr:uid="{00000000-0005-0000-0000-0000A8980000}"/>
    <cellStyle name="Note 2 2 2 2 2 3 2 3" xfId="7386" xr:uid="{00000000-0005-0000-0000-0000A9980000}"/>
    <cellStyle name="Note 2 2 2 2 2 3 2 3 2" xfId="17626" xr:uid="{00000000-0005-0000-0000-0000AA980000}"/>
    <cellStyle name="Note 2 2 2 2 2 3 2 3 2 2" xfId="38106" xr:uid="{00000000-0005-0000-0000-0000AB980000}"/>
    <cellStyle name="Note 2 2 2 2 2 3 2 3 3" xfId="27866" xr:uid="{00000000-0005-0000-0000-0000AC980000}"/>
    <cellStyle name="Note 2 2 2 2 2 3 2 4" xfId="12506" xr:uid="{00000000-0005-0000-0000-0000AD980000}"/>
    <cellStyle name="Note 2 2 2 2 2 3 2 4 2" xfId="32986" xr:uid="{00000000-0005-0000-0000-0000AE980000}"/>
    <cellStyle name="Note 2 2 2 2 2 3 2 5" xfId="22746" xr:uid="{00000000-0005-0000-0000-0000AF980000}"/>
    <cellStyle name="Note 2 2 2 2 2 3 3" xfId="3546" xr:uid="{00000000-0005-0000-0000-0000B0980000}"/>
    <cellStyle name="Note 2 2 2 2 2 3 3 2" xfId="8666" xr:uid="{00000000-0005-0000-0000-0000B1980000}"/>
    <cellStyle name="Note 2 2 2 2 2 3 3 2 2" xfId="18906" xr:uid="{00000000-0005-0000-0000-0000B2980000}"/>
    <cellStyle name="Note 2 2 2 2 2 3 3 2 2 2" xfId="39386" xr:uid="{00000000-0005-0000-0000-0000B3980000}"/>
    <cellStyle name="Note 2 2 2 2 2 3 3 2 3" xfId="29146" xr:uid="{00000000-0005-0000-0000-0000B4980000}"/>
    <cellStyle name="Note 2 2 2 2 2 3 3 3" xfId="13786" xr:uid="{00000000-0005-0000-0000-0000B5980000}"/>
    <cellStyle name="Note 2 2 2 2 2 3 3 3 2" xfId="34266" xr:uid="{00000000-0005-0000-0000-0000B6980000}"/>
    <cellStyle name="Note 2 2 2 2 2 3 3 4" xfId="24026" xr:uid="{00000000-0005-0000-0000-0000B7980000}"/>
    <cellStyle name="Note 2 2 2 2 2 3 4" xfId="6106" xr:uid="{00000000-0005-0000-0000-0000B8980000}"/>
    <cellStyle name="Note 2 2 2 2 2 3 4 2" xfId="16346" xr:uid="{00000000-0005-0000-0000-0000B9980000}"/>
    <cellStyle name="Note 2 2 2 2 2 3 4 2 2" xfId="36826" xr:uid="{00000000-0005-0000-0000-0000BA980000}"/>
    <cellStyle name="Note 2 2 2 2 2 3 4 3" xfId="26586" xr:uid="{00000000-0005-0000-0000-0000BB980000}"/>
    <cellStyle name="Note 2 2 2 2 2 3 5" xfId="11226" xr:uid="{00000000-0005-0000-0000-0000BC980000}"/>
    <cellStyle name="Note 2 2 2 2 2 3 5 2" xfId="31706" xr:uid="{00000000-0005-0000-0000-0000BD980000}"/>
    <cellStyle name="Note 2 2 2 2 2 3 6" xfId="21466" xr:uid="{00000000-0005-0000-0000-0000BE980000}"/>
    <cellStyle name="Note 2 2 2 2 2 4" xfId="1626" xr:uid="{00000000-0005-0000-0000-0000BF980000}"/>
    <cellStyle name="Note 2 2 2 2 2 4 2" xfId="4186" xr:uid="{00000000-0005-0000-0000-0000C0980000}"/>
    <cellStyle name="Note 2 2 2 2 2 4 2 2" xfId="9306" xr:uid="{00000000-0005-0000-0000-0000C1980000}"/>
    <cellStyle name="Note 2 2 2 2 2 4 2 2 2" xfId="19546" xr:uid="{00000000-0005-0000-0000-0000C2980000}"/>
    <cellStyle name="Note 2 2 2 2 2 4 2 2 2 2" xfId="40026" xr:uid="{00000000-0005-0000-0000-0000C3980000}"/>
    <cellStyle name="Note 2 2 2 2 2 4 2 2 3" xfId="29786" xr:uid="{00000000-0005-0000-0000-0000C4980000}"/>
    <cellStyle name="Note 2 2 2 2 2 4 2 3" xfId="14426" xr:uid="{00000000-0005-0000-0000-0000C5980000}"/>
    <cellStyle name="Note 2 2 2 2 2 4 2 3 2" xfId="34906" xr:uid="{00000000-0005-0000-0000-0000C6980000}"/>
    <cellStyle name="Note 2 2 2 2 2 4 2 4" xfId="24666" xr:uid="{00000000-0005-0000-0000-0000C7980000}"/>
    <cellStyle name="Note 2 2 2 2 2 4 3" xfId="6746" xr:uid="{00000000-0005-0000-0000-0000C8980000}"/>
    <cellStyle name="Note 2 2 2 2 2 4 3 2" xfId="16986" xr:uid="{00000000-0005-0000-0000-0000C9980000}"/>
    <cellStyle name="Note 2 2 2 2 2 4 3 2 2" xfId="37466" xr:uid="{00000000-0005-0000-0000-0000CA980000}"/>
    <cellStyle name="Note 2 2 2 2 2 4 3 3" xfId="27226" xr:uid="{00000000-0005-0000-0000-0000CB980000}"/>
    <cellStyle name="Note 2 2 2 2 2 4 4" xfId="11866" xr:uid="{00000000-0005-0000-0000-0000CC980000}"/>
    <cellStyle name="Note 2 2 2 2 2 4 4 2" xfId="32346" xr:uid="{00000000-0005-0000-0000-0000CD980000}"/>
    <cellStyle name="Note 2 2 2 2 2 4 5" xfId="22106" xr:uid="{00000000-0005-0000-0000-0000CE980000}"/>
    <cellStyle name="Note 2 2 2 2 2 5" xfId="2906" xr:uid="{00000000-0005-0000-0000-0000CF980000}"/>
    <cellStyle name="Note 2 2 2 2 2 5 2" xfId="8026" xr:uid="{00000000-0005-0000-0000-0000D0980000}"/>
    <cellStyle name="Note 2 2 2 2 2 5 2 2" xfId="18266" xr:uid="{00000000-0005-0000-0000-0000D1980000}"/>
    <cellStyle name="Note 2 2 2 2 2 5 2 2 2" xfId="38746" xr:uid="{00000000-0005-0000-0000-0000D2980000}"/>
    <cellStyle name="Note 2 2 2 2 2 5 2 3" xfId="28506" xr:uid="{00000000-0005-0000-0000-0000D3980000}"/>
    <cellStyle name="Note 2 2 2 2 2 5 3" xfId="13146" xr:uid="{00000000-0005-0000-0000-0000D4980000}"/>
    <cellStyle name="Note 2 2 2 2 2 5 3 2" xfId="33626" xr:uid="{00000000-0005-0000-0000-0000D5980000}"/>
    <cellStyle name="Note 2 2 2 2 2 5 4" xfId="23386" xr:uid="{00000000-0005-0000-0000-0000D6980000}"/>
    <cellStyle name="Note 2 2 2 2 2 6" xfId="5466" xr:uid="{00000000-0005-0000-0000-0000D7980000}"/>
    <cellStyle name="Note 2 2 2 2 2 6 2" xfId="15706" xr:uid="{00000000-0005-0000-0000-0000D8980000}"/>
    <cellStyle name="Note 2 2 2 2 2 6 2 2" xfId="36186" xr:uid="{00000000-0005-0000-0000-0000D9980000}"/>
    <cellStyle name="Note 2 2 2 2 2 6 3" xfId="25946" xr:uid="{00000000-0005-0000-0000-0000DA980000}"/>
    <cellStyle name="Note 2 2 2 2 2 7" xfId="10586" xr:uid="{00000000-0005-0000-0000-0000DB980000}"/>
    <cellStyle name="Note 2 2 2 2 2 7 2" xfId="31066" xr:uid="{00000000-0005-0000-0000-0000DC980000}"/>
    <cellStyle name="Note 2 2 2 2 2 8" xfId="20826" xr:uid="{00000000-0005-0000-0000-0000DD980000}"/>
    <cellStyle name="Note 2 2 2 2 3" xfId="506" xr:uid="{00000000-0005-0000-0000-0000DE980000}"/>
    <cellStyle name="Note 2 2 2 2 3 2" xfId="1146" xr:uid="{00000000-0005-0000-0000-0000DF980000}"/>
    <cellStyle name="Note 2 2 2 2 3 2 2" xfId="2426" xr:uid="{00000000-0005-0000-0000-0000E0980000}"/>
    <cellStyle name="Note 2 2 2 2 3 2 2 2" xfId="4986" xr:uid="{00000000-0005-0000-0000-0000E1980000}"/>
    <cellStyle name="Note 2 2 2 2 3 2 2 2 2" xfId="10106" xr:uid="{00000000-0005-0000-0000-0000E2980000}"/>
    <cellStyle name="Note 2 2 2 2 3 2 2 2 2 2" xfId="20346" xr:uid="{00000000-0005-0000-0000-0000E3980000}"/>
    <cellStyle name="Note 2 2 2 2 3 2 2 2 2 2 2" xfId="40826" xr:uid="{00000000-0005-0000-0000-0000E4980000}"/>
    <cellStyle name="Note 2 2 2 2 3 2 2 2 2 3" xfId="30586" xr:uid="{00000000-0005-0000-0000-0000E5980000}"/>
    <cellStyle name="Note 2 2 2 2 3 2 2 2 3" xfId="15226" xr:uid="{00000000-0005-0000-0000-0000E6980000}"/>
    <cellStyle name="Note 2 2 2 2 3 2 2 2 3 2" xfId="35706" xr:uid="{00000000-0005-0000-0000-0000E7980000}"/>
    <cellStyle name="Note 2 2 2 2 3 2 2 2 4" xfId="25466" xr:uid="{00000000-0005-0000-0000-0000E8980000}"/>
    <cellStyle name="Note 2 2 2 2 3 2 2 3" xfId="7546" xr:uid="{00000000-0005-0000-0000-0000E9980000}"/>
    <cellStyle name="Note 2 2 2 2 3 2 2 3 2" xfId="17786" xr:uid="{00000000-0005-0000-0000-0000EA980000}"/>
    <cellStyle name="Note 2 2 2 2 3 2 2 3 2 2" xfId="38266" xr:uid="{00000000-0005-0000-0000-0000EB980000}"/>
    <cellStyle name="Note 2 2 2 2 3 2 2 3 3" xfId="28026" xr:uid="{00000000-0005-0000-0000-0000EC980000}"/>
    <cellStyle name="Note 2 2 2 2 3 2 2 4" xfId="12666" xr:uid="{00000000-0005-0000-0000-0000ED980000}"/>
    <cellStyle name="Note 2 2 2 2 3 2 2 4 2" xfId="33146" xr:uid="{00000000-0005-0000-0000-0000EE980000}"/>
    <cellStyle name="Note 2 2 2 2 3 2 2 5" xfId="22906" xr:uid="{00000000-0005-0000-0000-0000EF980000}"/>
    <cellStyle name="Note 2 2 2 2 3 2 3" xfId="3706" xr:uid="{00000000-0005-0000-0000-0000F0980000}"/>
    <cellStyle name="Note 2 2 2 2 3 2 3 2" xfId="8826" xr:uid="{00000000-0005-0000-0000-0000F1980000}"/>
    <cellStyle name="Note 2 2 2 2 3 2 3 2 2" xfId="19066" xr:uid="{00000000-0005-0000-0000-0000F2980000}"/>
    <cellStyle name="Note 2 2 2 2 3 2 3 2 2 2" xfId="39546" xr:uid="{00000000-0005-0000-0000-0000F3980000}"/>
    <cellStyle name="Note 2 2 2 2 3 2 3 2 3" xfId="29306" xr:uid="{00000000-0005-0000-0000-0000F4980000}"/>
    <cellStyle name="Note 2 2 2 2 3 2 3 3" xfId="13946" xr:uid="{00000000-0005-0000-0000-0000F5980000}"/>
    <cellStyle name="Note 2 2 2 2 3 2 3 3 2" xfId="34426" xr:uid="{00000000-0005-0000-0000-0000F6980000}"/>
    <cellStyle name="Note 2 2 2 2 3 2 3 4" xfId="24186" xr:uid="{00000000-0005-0000-0000-0000F7980000}"/>
    <cellStyle name="Note 2 2 2 2 3 2 4" xfId="6266" xr:uid="{00000000-0005-0000-0000-0000F8980000}"/>
    <cellStyle name="Note 2 2 2 2 3 2 4 2" xfId="16506" xr:uid="{00000000-0005-0000-0000-0000F9980000}"/>
    <cellStyle name="Note 2 2 2 2 3 2 4 2 2" xfId="36986" xr:uid="{00000000-0005-0000-0000-0000FA980000}"/>
    <cellStyle name="Note 2 2 2 2 3 2 4 3" xfId="26746" xr:uid="{00000000-0005-0000-0000-0000FB980000}"/>
    <cellStyle name="Note 2 2 2 2 3 2 5" xfId="11386" xr:uid="{00000000-0005-0000-0000-0000FC980000}"/>
    <cellStyle name="Note 2 2 2 2 3 2 5 2" xfId="31866" xr:uid="{00000000-0005-0000-0000-0000FD980000}"/>
    <cellStyle name="Note 2 2 2 2 3 2 6" xfId="21626" xr:uid="{00000000-0005-0000-0000-0000FE980000}"/>
    <cellStyle name="Note 2 2 2 2 3 3" xfId="1786" xr:uid="{00000000-0005-0000-0000-0000FF980000}"/>
    <cellStyle name="Note 2 2 2 2 3 3 2" xfId="4346" xr:uid="{00000000-0005-0000-0000-000000990000}"/>
    <cellStyle name="Note 2 2 2 2 3 3 2 2" xfId="9466" xr:uid="{00000000-0005-0000-0000-000001990000}"/>
    <cellStyle name="Note 2 2 2 2 3 3 2 2 2" xfId="19706" xr:uid="{00000000-0005-0000-0000-000002990000}"/>
    <cellStyle name="Note 2 2 2 2 3 3 2 2 2 2" xfId="40186" xr:uid="{00000000-0005-0000-0000-000003990000}"/>
    <cellStyle name="Note 2 2 2 2 3 3 2 2 3" xfId="29946" xr:uid="{00000000-0005-0000-0000-000004990000}"/>
    <cellStyle name="Note 2 2 2 2 3 3 2 3" xfId="14586" xr:uid="{00000000-0005-0000-0000-000005990000}"/>
    <cellStyle name="Note 2 2 2 2 3 3 2 3 2" xfId="35066" xr:uid="{00000000-0005-0000-0000-000006990000}"/>
    <cellStyle name="Note 2 2 2 2 3 3 2 4" xfId="24826" xr:uid="{00000000-0005-0000-0000-000007990000}"/>
    <cellStyle name="Note 2 2 2 2 3 3 3" xfId="6906" xr:uid="{00000000-0005-0000-0000-000008990000}"/>
    <cellStyle name="Note 2 2 2 2 3 3 3 2" xfId="17146" xr:uid="{00000000-0005-0000-0000-000009990000}"/>
    <cellStyle name="Note 2 2 2 2 3 3 3 2 2" xfId="37626" xr:uid="{00000000-0005-0000-0000-00000A990000}"/>
    <cellStyle name="Note 2 2 2 2 3 3 3 3" xfId="27386" xr:uid="{00000000-0005-0000-0000-00000B990000}"/>
    <cellStyle name="Note 2 2 2 2 3 3 4" xfId="12026" xr:uid="{00000000-0005-0000-0000-00000C990000}"/>
    <cellStyle name="Note 2 2 2 2 3 3 4 2" xfId="32506" xr:uid="{00000000-0005-0000-0000-00000D990000}"/>
    <cellStyle name="Note 2 2 2 2 3 3 5" xfId="22266" xr:uid="{00000000-0005-0000-0000-00000E990000}"/>
    <cellStyle name="Note 2 2 2 2 3 4" xfId="3066" xr:uid="{00000000-0005-0000-0000-00000F990000}"/>
    <cellStyle name="Note 2 2 2 2 3 4 2" xfId="8186" xr:uid="{00000000-0005-0000-0000-000010990000}"/>
    <cellStyle name="Note 2 2 2 2 3 4 2 2" xfId="18426" xr:uid="{00000000-0005-0000-0000-000011990000}"/>
    <cellStyle name="Note 2 2 2 2 3 4 2 2 2" xfId="38906" xr:uid="{00000000-0005-0000-0000-000012990000}"/>
    <cellStyle name="Note 2 2 2 2 3 4 2 3" xfId="28666" xr:uid="{00000000-0005-0000-0000-000013990000}"/>
    <cellStyle name="Note 2 2 2 2 3 4 3" xfId="13306" xr:uid="{00000000-0005-0000-0000-000014990000}"/>
    <cellStyle name="Note 2 2 2 2 3 4 3 2" xfId="33786" xr:uid="{00000000-0005-0000-0000-000015990000}"/>
    <cellStyle name="Note 2 2 2 2 3 4 4" xfId="23546" xr:uid="{00000000-0005-0000-0000-000016990000}"/>
    <cellStyle name="Note 2 2 2 2 3 5" xfId="5626" xr:uid="{00000000-0005-0000-0000-000017990000}"/>
    <cellStyle name="Note 2 2 2 2 3 5 2" xfId="15866" xr:uid="{00000000-0005-0000-0000-000018990000}"/>
    <cellStyle name="Note 2 2 2 2 3 5 2 2" xfId="36346" xr:uid="{00000000-0005-0000-0000-000019990000}"/>
    <cellStyle name="Note 2 2 2 2 3 5 3" xfId="26106" xr:uid="{00000000-0005-0000-0000-00001A990000}"/>
    <cellStyle name="Note 2 2 2 2 3 6" xfId="10746" xr:uid="{00000000-0005-0000-0000-00001B990000}"/>
    <cellStyle name="Note 2 2 2 2 3 6 2" xfId="31226" xr:uid="{00000000-0005-0000-0000-00001C990000}"/>
    <cellStyle name="Note 2 2 2 2 3 7" xfId="20986" xr:uid="{00000000-0005-0000-0000-00001D990000}"/>
    <cellStyle name="Note 2 2 2 2 4" xfId="826" xr:uid="{00000000-0005-0000-0000-00001E990000}"/>
    <cellStyle name="Note 2 2 2 2 4 2" xfId="2106" xr:uid="{00000000-0005-0000-0000-00001F990000}"/>
    <cellStyle name="Note 2 2 2 2 4 2 2" xfId="4666" xr:uid="{00000000-0005-0000-0000-000020990000}"/>
    <cellStyle name="Note 2 2 2 2 4 2 2 2" xfId="9786" xr:uid="{00000000-0005-0000-0000-000021990000}"/>
    <cellStyle name="Note 2 2 2 2 4 2 2 2 2" xfId="20026" xr:uid="{00000000-0005-0000-0000-000022990000}"/>
    <cellStyle name="Note 2 2 2 2 4 2 2 2 2 2" xfId="40506" xr:uid="{00000000-0005-0000-0000-000023990000}"/>
    <cellStyle name="Note 2 2 2 2 4 2 2 2 3" xfId="30266" xr:uid="{00000000-0005-0000-0000-000024990000}"/>
    <cellStyle name="Note 2 2 2 2 4 2 2 3" xfId="14906" xr:uid="{00000000-0005-0000-0000-000025990000}"/>
    <cellStyle name="Note 2 2 2 2 4 2 2 3 2" xfId="35386" xr:uid="{00000000-0005-0000-0000-000026990000}"/>
    <cellStyle name="Note 2 2 2 2 4 2 2 4" xfId="25146" xr:uid="{00000000-0005-0000-0000-000027990000}"/>
    <cellStyle name="Note 2 2 2 2 4 2 3" xfId="7226" xr:uid="{00000000-0005-0000-0000-000028990000}"/>
    <cellStyle name="Note 2 2 2 2 4 2 3 2" xfId="17466" xr:uid="{00000000-0005-0000-0000-000029990000}"/>
    <cellStyle name="Note 2 2 2 2 4 2 3 2 2" xfId="37946" xr:uid="{00000000-0005-0000-0000-00002A990000}"/>
    <cellStyle name="Note 2 2 2 2 4 2 3 3" xfId="27706" xr:uid="{00000000-0005-0000-0000-00002B990000}"/>
    <cellStyle name="Note 2 2 2 2 4 2 4" xfId="12346" xr:uid="{00000000-0005-0000-0000-00002C990000}"/>
    <cellStyle name="Note 2 2 2 2 4 2 4 2" xfId="32826" xr:uid="{00000000-0005-0000-0000-00002D990000}"/>
    <cellStyle name="Note 2 2 2 2 4 2 5" xfId="22586" xr:uid="{00000000-0005-0000-0000-00002E990000}"/>
    <cellStyle name="Note 2 2 2 2 4 3" xfId="3386" xr:uid="{00000000-0005-0000-0000-00002F990000}"/>
    <cellStyle name="Note 2 2 2 2 4 3 2" xfId="8506" xr:uid="{00000000-0005-0000-0000-000030990000}"/>
    <cellStyle name="Note 2 2 2 2 4 3 2 2" xfId="18746" xr:uid="{00000000-0005-0000-0000-000031990000}"/>
    <cellStyle name="Note 2 2 2 2 4 3 2 2 2" xfId="39226" xr:uid="{00000000-0005-0000-0000-000032990000}"/>
    <cellStyle name="Note 2 2 2 2 4 3 2 3" xfId="28986" xr:uid="{00000000-0005-0000-0000-000033990000}"/>
    <cellStyle name="Note 2 2 2 2 4 3 3" xfId="13626" xr:uid="{00000000-0005-0000-0000-000034990000}"/>
    <cellStyle name="Note 2 2 2 2 4 3 3 2" xfId="34106" xr:uid="{00000000-0005-0000-0000-000035990000}"/>
    <cellStyle name="Note 2 2 2 2 4 3 4" xfId="23866" xr:uid="{00000000-0005-0000-0000-000036990000}"/>
    <cellStyle name="Note 2 2 2 2 4 4" xfId="5946" xr:uid="{00000000-0005-0000-0000-000037990000}"/>
    <cellStyle name="Note 2 2 2 2 4 4 2" xfId="16186" xr:uid="{00000000-0005-0000-0000-000038990000}"/>
    <cellStyle name="Note 2 2 2 2 4 4 2 2" xfId="36666" xr:uid="{00000000-0005-0000-0000-000039990000}"/>
    <cellStyle name="Note 2 2 2 2 4 4 3" xfId="26426" xr:uid="{00000000-0005-0000-0000-00003A990000}"/>
    <cellStyle name="Note 2 2 2 2 4 5" xfId="11066" xr:uid="{00000000-0005-0000-0000-00003B990000}"/>
    <cellStyle name="Note 2 2 2 2 4 5 2" xfId="31546" xr:uid="{00000000-0005-0000-0000-00003C990000}"/>
    <cellStyle name="Note 2 2 2 2 4 6" xfId="21306" xr:uid="{00000000-0005-0000-0000-00003D990000}"/>
    <cellStyle name="Note 2 2 2 2 5" xfId="1466" xr:uid="{00000000-0005-0000-0000-00003E990000}"/>
    <cellStyle name="Note 2 2 2 2 5 2" xfId="4026" xr:uid="{00000000-0005-0000-0000-00003F990000}"/>
    <cellStyle name="Note 2 2 2 2 5 2 2" xfId="9146" xr:uid="{00000000-0005-0000-0000-000040990000}"/>
    <cellStyle name="Note 2 2 2 2 5 2 2 2" xfId="19386" xr:uid="{00000000-0005-0000-0000-000041990000}"/>
    <cellStyle name="Note 2 2 2 2 5 2 2 2 2" xfId="39866" xr:uid="{00000000-0005-0000-0000-000042990000}"/>
    <cellStyle name="Note 2 2 2 2 5 2 2 3" xfId="29626" xr:uid="{00000000-0005-0000-0000-000043990000}"/>
    <cellStyle name="Note 2 2 2 2 5 2 3" xfId="14266" xr:uid="{00000000-0005-0000-0000-000044990000}"/>
    <cellStyle name="Note 2 2 2 2 5 2 3 2" xfId="34746" xr:uid="{00000000-0005-0000-0000-000045990000}"/>
    <cellStyle name="Note 2 2 2 2 5 2 4" xfId="24506" xr:uid="{00000000-0005-0000-0000-000046990000}"/>
    <cellStyle name="Note 2 2 2 2 5 3" xfId="6586" xr:uid="{00000000-0005-0000-0000-000047990000}"/>
    <cellStyle name="Note 2 2 2 2 5 3 2" xfId="16826" xr:uid="{00000000-0005-0000-0000-000048990000}"/>
    <cellStyle name="Note 2 2 2 2 5 3 2 2" xfId="37306" xr:uid="{00000000-0005-0000-0000-000049990000}"/>
    <cellStyle name="Note 2 2 2 2 5 3 3" xfId="27066" xr:uid="{00000000-0005-0000-0000-00004A990000}"/>
    <cellStyle name="Note 2 2 2 2 5 4" xfId="11706" xr:uid="{00000000-0005-0000-0000-00004B990000}"/>
    <cellStyle name="Note 2 2 2 2 5 4 2" xfId="32186" xr:uid="{00000000-0005-0000-0000-00004C990000}"/>
    <cellStyle name="Note 2 2 2 2 5 5" xfId="21946" xr:uid="{00000000-0005-0000-0000-00004D990000}"/>
    <cellStyle name="Note 2 2 2 2 6" xfId="2746" xr:uid="{00000000-0005-0000-0000-00004E990000}"/>
    <cellStyle name="Note 2 2 2 2 6 2" xfId="7866" xr:uid="{00000000-0005-0000-0000-00004F990000}"/>
    <cellStyle name="Note 2 2 2 2 6 2 2" xfId="18106" xr:uid="{00000000-0005-0000-0000-000050990000}"/>
    <cellStyle name="Note 2 2 2 2 6 2 2 2" xfId="38586" xr:uid="{00000000-0005-0000-0000-000051990000}"/>
    <cellStyle name="Note 2 2 2 2 6 2 3" xfId="28346" xr:uid="{00000000-0005-0000-0000-000052990000}"/>
    <cellStyle name="Note 2 2 2 2 6 3" xfId="12986" xr:uid="{00000000-0005-0000-0000-000053990000}"/>
    <cellStyle name="Note 2 2 2 2 6 3 2" xfId="33466" xr:uid="{00000000-0005-0000-0000-000054990000}"/>
    <cellStyle name="Note 2 2 2 2 6 4" xfId="23226" xr:uid="{00000000-0005-0000-0000-000055990000}"/>
    <cellStyle name="Note 2 2 2 2 7" xfId="5306" xr:uid="{00000000-0005-0000-0000-000056990000}"/>
    <cellStyle name="Note 2 2 2 2 7 2" xfId="15546" xr:uid="{00000000-0005-0000-0000-000057990000}"/>
    <cellStyle name="Note 2 2 2 2 7 2 2" xfId="36026" xr:uid="{00000000-0005-0000-0000-000058990000}"/>
    <cellStyle name="Note 2 2 2 2 7 3" xfId="25786" xr:uid="{00000000-0005-0000-0000-000059990000}"/>
    <cellStyle name="Note 2 2 2 2 8" xfId="10426" xr:uid="{00000000-0005-0000-0000-00005A990000}"/>
    <cellStyle name="Note 2 2 2 2 8 2" xfId="30906" xr:uid="{00000000-0005-0000-0000-00005B990000}"/>
    <cellStyle name="Note 2 2 2 2 9" xfId="20666" xr:uid="{00000000-0005-0000-0000-00005C990000}"/>
    <cellStyle name="Note 2 2 2 3" xfId="266" xr:uid="{00000000-0005-0000-0000-00005D990000}"/>
    <cellStyle name="Note 2 2 2 3 2" xfId="586" xr:uid="{00000000-0005-0000-0000-00005E990000}"/>
    <cellStyle name="Note 2 2 2 3 2 2" xfId="1226" xr:uid="{00000000-0005-0000-0000-00005F990000}"/>
    <cellStyle name="Note 2 2 2 3 2 2 2" xfId="2506" xr:uid="{00000000-0005-0000-0000-000060990000}"/>
    <cellStyle name="Note 2 2 2 3 2 2 2 2" xfId="5066" xr:uid="{00000000-0005-0000-0000-000061990000}"/>
    <cellStyle name="Note 2 2 2 3 2 2 2 2 2" xfId="10186" xr:uid="{00000000-0005-0000-0000-000062990000}"/>
    <cellStyle name="Note 2 2 2 3 2 2 2 2 2 2" xfId="20426" xr:uid="{00000000-0005-0000-0000-000063990000}"/>
    <cellStyle name="Note 2 2 2 3 2 2 2 2 2 2 2" xfId="40906" xr:uid="{00000000-0005-0000-0000-000064990000}"/>
    <cellStyle name="Note 2 2 2 3 2 2 2 2 2 3" xfId="30666" xr:uid="{00000000-0005-0000-0000-000065990000}"/>
    <cellStyle name="Note 2 2 2 3 2 2 2 2 3" xfId="15306" xr:uid="{00000000-0005-0000-0000-000066990000}"/>
    <cellStyle name="Note 2 2 2 3 2 2 2 2 3 2" xfId="35786" xr:uid="{00000000-0005-0000-0000-000067990000}"/>
    <cellStyle name="Note 2 2 2 3 2 2 2 2 4" xfId="25546" xr:uid="{00000000-0005-0000-0000-000068990000}"/>
    <cellStyle name="Note 2 2 2 3 2 2 2 3" xfId="7626" xr:uid="{00000000-0005-0000-0000-000069990000}"/>
    <cellStyle name="Note 2 2 2 3 2 2 2 3 2" xfId="17866" xr:uid="{00000000-0005-0000-0000-00006A990000}"/>
    <cellStyle name="Note 2 2 2 3 2 2 2 3 2 2" xfId="38346" xr:uid="{00000000-0005-0000-0000-00006B990000}"/>
    <cellStyle name="Note 2 2 2 3 2 2 2 3 3" xfId="28106" xr:uid="{00000000-0005-0000-0000-00006C990000}"/>
    <cellStyle name="Note 2 2 2 3 2 2 2 4" xfId="12746" xr:uid="{00000000-0005-0000-0000-00006D990000}"/>
    <cellStyle name="Note 2 2 2 3 2 2 2 4 2" xfId="33226" xr:uid="{00000000-0005-0000-0000-00006E990000}"/>
    <cellStyle name="Note 2 2 2 3 2 2 2 5" xfId="22986" xr:uid="{00000000-0005-0000-0000-00006F990000}"/>
    <cellStyle name="Note 2 2 2 3 2 2 3" xfId="3786" xr:uid="{00000000-0005-0000-0000-000070990000}"/>
    <cellStyle name="Note 2 2 2 3 2 2 3 2" xfId="8906" xr:uid="{00000000-0005-0000-0000-000071990000}"/>
    <cellStyle name="Note 2 2 2 3 2 2 3 2 2" xfId="19146" xr:uid="{00000000-0005-0000-0000-000072990000}"/>
    <cellStyle name="Note 2 2 2 3 2 2 3 2 2 2" xfId="39626" xr:uid="{00000000-0005-0000-0000-000073990000}"/>
    <cellStyle name="Note 2 2 2 3 2 2 3 2 3" xfId="29386" xr:uid="{00000000-0005-0000-0000-000074990000}"/>
    <cellStyle name="Note 2 2 2 3 2 2 3 3" xfId="14026" xr:uid="{00000000-0005-0000-0000-000075990000}"/>
    <cellStyle name="Note 2 2 2 3 2 2 3 3 2" xfId="34506" xr:uid="{00000000-0005-0000-0000-000076990000}"/>
    <cellStyle name="Note 2 2 2 3 2 2 3 4" xfId="24266" xr:uid="{00000000-0005-0000-0000-000077990000}"/>
    <cellStyle name="Note 2 2 2 3 2 2 4" xfId="6346" xr:uid="{00000000-0005-0000-0000-000078990000}"/>
    <cellStyle name="Note 2 2 2 3 2 2 4 2" xfId="16586" xr:uid="{00000000-0005-0000-0000-000079990000}"/>
    <cellStyle name="Note 2 2 2 3 2 2 4 2 2" xfId="37066" xr:uid="{00000000-0005-0000-0000-00007A990000}"/>
    <cellStyle name="Note 2 2 2 3 2 2 4 3" xfId="26826" xr:uid="{00000000-0005-0000-0000-00007B990000}"/>
    <cellStyle name="Note 2 2 2 3 2 2 5" xfId="11466" xr:uid="{00000000-0005-0000-0000-00007C990000}"/>
    <cellStyle name="Note 2 2 2 3 2 2 5 2" xfId="31946" xr:uid="{00000000-0005-0000-0000-00007D990000}"/>
    <cellStyle name="Note 2 2 2 3 2 2 6" xfId="21706" xr:uid="{00000000-0005-0000-0000-00007E990000}"/>
    <cellStyle name="Note 2 2 2 3 2 3" xfId="1866" xr:uid="{00000000-0005-0000-0000-00007F990000}"/>
    <cellStyle name="Note 2 2 2 3 2 3 2" xfId="4426" xr:uid="{00000000-0005-0000-0000-000080990000}"/>
    <cellStyle name="Note 2 2 2 3 2 3 2 2" xfId="9546" xr:uid="{00000000-0005-0000-0000-000081990000}"/>
    <cellStyle name="Note 2 2 2 3 2 3 2 2 2" xfId="19786" xr:uid="{00000000-0005-0000-0000-000082990000}"/>
    <cellStyle name="Note 2 2 2 3 2 3 2 2 2 2" xfId="40266" xr:uid="{00000000-0005-0000-0000-000083990000}"/>
    <cellStyle name="Note 2 2 2 3 2 3 2 2 3" xfId="30026" xr:uid="{00000000-0005-0000-0000-000084990000}"/>
    <cellStyle name="Note 2 2 2 3 2 3 2 3" xfId="14666" xr:uid="{00000000-0005-0000-0000-000085990000}"/>
    <cellStyle name="Note 2 2 2 3 2 3 2 3 2" xfId="35146" xr:uid="{00000000-0005-0000-0000-000086990000}"/>
    <cellStyle name="Note 2 2 2 3 2 3 2 4" xfId="24906" xr:uid="{00000000-0005-0000-0000-000087990000}"/>
    <cellStyle name="Note 2 2 2 3 2 3 3" xfId="6986" xr:uid="{00000000-0005-0000-0000-000088990000}"/>
    <cellStyle name="Note 2 2 2 3 2 3 3 2" xfId="17226" xr:uid="{00000000-0005-0000-0000-000089990000}"/>
    <cellStyle name="Note 2 2 2 3 2 3 3 2 2" xfId="37706" xr:uid="{00000000-0005-0000-0000-00008A990000}"/>
    <cellStyle name="Note 2 2 2 3 2 3 3 3" xfId="27466" xr:uid="{00000000-0005-0000-0000-00008B990000}"/>
    <cellStyle name="Note 2 2 2 3 2 3 4" xfId="12106" xr:uid="{00000000-0005-0000-0000-00008C990000}"/>
    <cellStyle name="Note 2 2 2 3 2 3 4 2" xfId="32586" xr:uid="{00000000-0005-0000-0000-00008D990000}"/>
    <cellStyle name="Note 2 2 2 3 2 3 5" xfId="22346" xr:uid="{00000000-0005-0000-0000-00008E990000}"/>
    <cellStyle name="Note 2 2 2 3 2 4" xfId="3146" xr:uid="{00000000-0005-0000-0000-00008F990000}"/>
    <cellStyle name="Note 2 2 2 3 2 4 2" xfId="8266" xr:uid="{00000000-0005-0000-0000-000090990000}"/>
    <cellStyle name="Note 2 2 2 3 2 4 2 2" xfId="18506" xr:uid="{00000000-0005-0000-0000-000091990000}"/>
    <cellStyle name="Note 2 2 2 3 2 4 2 2 2" xfId="38986" xr:uid="{00000000-0005-0000-0000-000092990000}"/>
    <cellStyle name="Note 2 2 2 3 2 4 2 3" xfId="28746" xr:uid="{00000000-0005-0000-0000-000093990000}"/>
    <cellStyle name="Note 2 2 2 3 2 4 3" xfId="13386" xr:uid="{00000000-0005-0000-0000-000094990000}"/>
    <cellStyle name="Note 2 2 2 3 2 4 3 2" xfId="33866" xr:uid="{00000000-0005-0000-0000-000095990000}"/>
    <cellStyle name="Note 2 2 2 3 2 4 4" xfId="23626" xr:uid="{00000000-0005-0000-0000-000096990000}"/>
    <cellStyle name="Note 2 2 2 3 2 5" xfId="5706" xr:uid="{00000000-0005-0000-0000-000097990000}"/>
    <cellStyle name="Note 2 2 2 3 2 5 2" xfId="15946" xr:uid="{00000000-0005-0000-0000-000098990000}"/>
    <cellStyle name="Note 2 2 2 3 2 5 2 2" xfId="36426" xr:uid="{00000000-0005-0000-0000-000099990000}"/>
    <cellStyle name="Note 2 2 2 3 2 5 3" xfId="26186" xr:uid="{00000000-0005-0000-0000-00009A990000}"/>
    <cellStyle name="Note 2 2 2 3 2 6" xfId="10826" xr:uid="{00000000-0005-0000-0000-00009B990000}"/>
    <cellStyle name="Note 2 2 2 3 2 6 2" xfId="31306" xr:uid="{00000000-0005-0000-0000-00009C990000}"/>
    <cellStyle name="Note 2 2 2 3 2 7" xfId="21066" xr:uid="{00000000-0005-0000-0000-00009D990000}"/>
    <cellStyle name="Note 2 2 2 3 3" xfId="906" xr:uid="{00000000-0005-0000-0000-00009E990000}"/>
    <cellStyle name="Note 2 2 2 3 3 2" xfId="2186" xr:uid="{00000000-0005-0000-0000-00009F990000}"/>
    <cellStyle name="Note 2 2 2 3 3 2 2" xfId="4746" xr:uid="{00000000-0005-0000-0000-0000A0990000}"/>
    <cellStyle name="Note 2 2 2 3 3 2 2 2" xfId="9866" xr:uid="{00000000-0005-0000-0000-0000A1990000}"/>
    <cellStyle name="Note 2 2 2 3 3 2 2 2 2" xfId="20106" xr:uid="{00000000-0005-0000-0000-0000A2990000}"/>
    <cellStyle name="Note 2 2 2 3 3 2 2 2 2 2" xfId="40586" xr:uid="{00000000-0005-0000-0000-0000A3990000}"/>
    <cellStyle name="Note 2 2 2 3 3 2 2 2 3" xfId="30346" xr:uid="{00000000-0005-0000-0000-0000A4990000}"/>
    <cellStyle name="Note 2 2 2 3 3 2 2 3" xfId="14986" xr:uid="{00000000-0005-0000-0000-0000A5990000}"/>
    <cellStyle name="Note 2 2 2 3 3 2 2 3 2" xfId="35466" xr:uid="{00000000-0005-0000-0000-0000A6990000}"/>
    <cellStyle name="Note 2 2 2 3 3 2 2 4" xfId="25226" xr:uid="{00000000-0005-0000-0000-0000A7990000}"/>
    <cellStyle name="Note 2 2 2 3 3 2 3" xfId="7306" xr:uid="{00000000-0005-0000-0000-0000A8990000}"/>
    <cellStyle name="Note 2 2 2 3 3 2 3 2" xfId="17546" xr:uid="{00000000-0005-0000-0000-0000A9990000}"/>
    <cellStyle name="Note 2 2 2 3 3 2 3 2 2" xfId="38026" xr:uid="{00000000-0005-0000-0000-0000AA990000}"/>
    <cellStyle name="Note 2 2 2 3 3 2 3 3" xfId="27786" xr:uid="{00000000-0005-0000-0000-0000AB990000}"/>
    <cellStyle name="Note 2 2 2 3 3 2 4" xfId="12426" xr:uid="{00000000-0005-0000-0000-0000AC990000}"/>
    <cellStyle name="Note 2 2 2 3 3 2 4 2" xfId="32906" xr:uid="{00000000-0005-0000-0000-0000AD990000}"/>
    <cellStyle name="Note 2 2 2 3 3 2 5" xfId="22666" xr:uid="{00000000-0005-0000-0000-0000AE990000}"/>
    <cellStyle name="Note 2 2 2 3 3 3" xfId="3466" xr:uid="{00000000-0005-0000-0000-0000AF990000}"/>
    <cellStyle name="Note 2 2 2 3 3 3 2" xfId="8586" xr:uid="{00000000-0005-0000-0000-0000B0990000}"/>
    <cellStyle name="Note 2 2 2 3 3 3 2 2" xfId="18826" xr:uid="{00000000-0005-0000-0000-0000B1990000}"/>
    <cellStyle name="Note 2 2 2 3 3 3 2 2 2" xfId="39306" xr:uid="{00000000-0005-0000-0000-0000B2990000}"/>
    <cellStyle name="Note 2 2 2 3 3 3 2 3" xfId="29066" xr:uid="{00000000-0005-0000-0000-0000B3990000}"/>
    <cellStyle name="Note 2 2 2 3 3 3 3" xfId="13706" xr:uid="{00000000-0005-0000-0000-0000B4990000}"/>
    <cellStyle name="Note 2 2 2 3 3 3 3 2" xfId="34186" xr:uid="{00000000-0005-0000-0000-0000B5990000}"/>
    <cellStyle name="Note 2 2 2 3 3 3 4" xfId="23946" xr:uid="{00000000-0005-0000-0000-0000B6990000}"/>
    <cellStyle name="Note 2 2 2 3 3 4" xfId="6026" xr:uid="{00000000-0005-0000-0000-0000B7990000}"/>
    <cellStyle name="Note 2 2 2 3 3 4 2" xfId="16266" xr:uid="{00000000-0005-0000-0000-0000B8990000}"/>
    <cellStyle name="Note 2 2 2 3 3 4 2 2" xfId="36746" xr:uid="{00000000-0005-0000-0000-0000B9990000}"/>
    <cellStyle name="Note 2 2 2 3 3 4 3" xfId="26506" xr:uid="{00000000-0005-0000-0000-0000BA990000}"/>
    <cellStyle name="Note 2 2 2 3 3 5" xfId="11146" xr:uid="{00000000-0005-0000-0000-0000BB990000}"/>
    <cellStyle name="Note 2 2 2 3 3 5 2" xfId="31626" xr:uid="{00000000-0005-0000-0000-0000BC990000}"/>
    <cellStyle name="Note 2 2 2 3 3 6" xfId="21386" xr:uid="{00000000-0005-0000-0000-0000BD990000}"/>
    <cellStyle name="Note 2 2 2 3 4" xfId="1546" xr:uid="{00000000-0005-0000-0000-0000BE990000}"/>
    <cellStyle name="Note 2 2 2 3 4 2" xfId="4106" xr:uid="{00000000-0005-0000-0000-0000BF990000}"/>
    <cellStyle name="Note 2 2 2 3 4 2 2" xfId="9226" xr:uid="{00000000-0005-0000-0000-0000C0990000}"/>
    <cellStyle name="Note 2 2 2 3 4 2 2 2" xfId="19466" xr:uid="{00000000-0005-0000-0000-0000C1990000}"/>
    <cellStyle name="Note 2 2 2 3 4 2 2 2 2" xfId="39946" xr:uid="{00000000-0005-0000-0000-0000C2990000}"/>
    <cellStyle name="Note 2 2 2 3 4 2 2 3" xfId="29706" xr:uid="{00000000-0005-0000-0000-0000C3990000}"/>
    <cellStyle name="Note 2 2 2 3 4 2 3" xfId="14346" xr:uid="{00000000-0005-0000-0000-0000C4990000}"/>
    <cellStyle name="Note 2 2 2 3 4 2 3 2" xfId="34826" xr:uid="{00000000-0005-0000-0000-0000C5990000}"/>
    <cellStyle name="Note 2 2 2 3 4 2 4" xfId="24586" xr:uid="{00000000-0005-0000-0000-0000C6990000}"/>
    <cellStyle name="Note 2 2 2 3 4 3" xfId="6666" xr:uid="{00000000-0005-0000-0000-0000C7990000}"/>
    <cellStyle name="Note 2 2 2 3 4 3 2" xfId="16906" xr:uid="{00000000-0005-0000-0000-0000C8990000}"/>
    <cellStyle name="Note 2 2 2 3 4 3 2 2" xfId="37386" xr:uid="{00000000-0005-0000-0000-0000C9990000}"/>
    <cellStyle name="Note 2 2 2 3 4 3 3" xfId="27146" xr:uid="{00000000-0005-0000-0000-0000CA990000}"/>
    <cellStyle name="Note 2 2 2 3 4 4" xfId="11786" xr:uid="{00000000-0005-0000-0000-0000CB990000}"/>
    <cellStyle name="Note 2 2 2 3 4 4 2" xfId="32266" xr:uid="{00000000-0005-0000-0000-0000CC990000}"/>
    <cellStyle name="Note 2 2 2 3 4 5" xfId="22026" xr:uid="{00000000-0005-0000-0000-0000CD990000}"/>
    <cellStyle name="Note 2 2 2 3 5" xfId="2826" xr:uid="{00000000-0005-0000-0000-0000CE990000}"/>
    <cellStyle name="Note 2 2 2 3 5 2" xfId="7946" xr:uid="{00000000-0005-0000-0000-0000CF990000}"/>
    <cellStyle name="Note 2 2 2 3 5 2 2" xfId="18186" xr:uid="{00000000-0005-0000-0000-0000D0990000}"/>
    <cellStyle name="Note 2 2 2 3 5 2 2 2" xfId="38666" xr:uid="{00000000-0005-0000-0000-0000D1990000}"/>
    <cellStyle name="Note 2 2 2 3 5 2 3" xfId="28426" xr:uid="{00000000-0005-0000-0000-0000D2990000}"/>
    <cellStyle name="Note 2 2 2 3 5 3" xfId="13066" xr:uid="{00000000-0005-0000-0000-0000D3990000}"/>
    <cellStyle name="Note 2 2 2 3 5 3 2" xfId="33546" xr:uid="{00000000-0005-0000-0000-0000D4990000}"/>
    <cellStyle name="Note 2 2 2 3 5 4" xfId="23306" xr:uid="{00000000-0005-0000-0000-0000D5990000}"/>
    <cellStyle name="Note 2 2 2 3 6" xfId="5386" xr:uid="{00000000-0005-0000-0000-0000D6990000}"/>
    <cellStyle name="Note 2 2 2 3 6 2" xfId="15626" xr:uid="{00000000-0005-0000-0000-0000D7990000}"/>
    <cellStyle name="Note 2 2 2 3 6 2 2" xfId="36106" xr:uid="{00000000-0005-0000-0000-0000D8990000}"/>
    <cellStyle name="Note 2 2 2 3 6 3" xfId="25866" xr:uid="{00000000-0005-0000-0000-0000D9990000}"/>
    <cellStyle name="Note 2 2 2 3 7" xfId="10506" xr:uid="{00000000-0005-0000-0000-0000DA990000}"/>
    <cellStyle name="Note 2 2 2 3 7 2" xfId="30986" xr:uid="{00000000-0005-0000-0000-0000DB990000}"/>
    <cellStyle name="Note 2 2 2 3 8" xfId="20746" xr:uid="{00000000-0005-0000-0000-0000DC990000}"/>
    <cellStyle name="Note 2 2 2 4" xfId="426" xr:uid="{00000000-0005-0000-0000-0000DD990000}"/>
    <cellStyle name="Note 2 2 2 4 2" xfId="1066" xr:uid="{00000000-0005-0000-0000-0000DE990000}"/>
    <cellStyle name="Note 2 2 2 4 2 2" xfId="2346" xr:uid="{00000000-0005-0000-0000-0000DF990000}"/>
    <cellStyle name="Note 2 2 2 4 2 2 2" xfId="4906" xr:uid="{00000000-0005-0000-0000-0000E0990000}"/>
    <cellStyle name="Note 2 2 2 4 2 2 2 2" xfId="10026" xr:uid="{00000000-0005-0000-0000-0000E1990000}"/>
    <cellStyle name="Note 2 2 2 4 2 2 2 2 2" xfId="20266" xr:uid="{00000000-0005-0000-0000-0000E2990000}"/>
    <cellStyle name="Note 2 2 2 4 2 2 2 2 2 2" xfId="40746" xr:uid="{00000000-0005-0000-0000-0000E3990000}"/>
    <cellStyle name="Note 2 2 2 4 2 2 2 2 3" xfId="30506" xr:uid="{00000000-0005-0000-0000-0000E4990000}"/>
    <cellStyle name="Note 2 2 2 4 2 2 2 3" xfId="15146" xr:uid="{00000000-0005-0000-0000-0000E5990000}"/>
    <cellStyle name="Note 2 2 2 4 2 2 2 3 2" xfId="35626" xr:uid="{00000000-0005-0000-0000-0000E6990000}"/>
    <cellStyle name="Note 2 2 2 4 2 2 2 4" xfId="25386" xr:uid="{00000000-0005-0000-0000-0000E7990000}"/>
    <cellStyle name="Note 2 2 2 4 2 2 3" xfId="7466" xr:uid="{00000000-0005-0000-0000-0000E8990000}"/>
    <cellStyle name="Note 2 2 2 4 2 2 3 2" xfId="17706" xr:uid="{00000000-0005-0000-0000-0000E9990000}"/>
    <cellStyle name="Note 2 2 2 4 2 2 3 2 2" xfId="38186" xr:uid="{00000000-0005-0000-0000-0000EA990000}"/>
    <cellStyle name="Note 2 2 2 4 2 2 3 3" xfId="27946" xr:uid="{00000000-0005-0000-0000-0000EB990000}"/>
    <cellStyle name="Note 2 2 2 4 2 2 4" xfId="12586" xr:uid="{00000000-0005-0000-0000-0000EC990000}"/>
    <cellStyle name="Note 2 2 2 4 2 2 4 2" xfId="33066" xr:uid="{00000000-0005-0000-0000-0000ED990000}"/>
    <cellStyle name="Note 2 2 2 4 2 2 5" xfId="22826" xr:uid="{00000000-0005-0000-0000-0000EE990000}"/>
    <cellStyle name="Note 2 2 2 4 2 3" xfId="3626" xr:uid="{00000000-0005-0000-0000-0000EF990000}"/>
    <cellStyle name="Note 2 2 2 4 2 3 2" xfId="8746" xr:uid="{00000000-0005-0000-0000-0000F0990000}"/>
    <cellStyle name="Note 2 2 2 4 2 3 2 2" xfId="18986" xr:uid="{00000000-0005-0000-0000-0000F1990000}"/>
    <cellStyle name="Note 2 2 2 4 2 3 2 2 2" xfId="39466" xr:uid="{00000000-0005-0000-0000-0000F2990000}"/>
    <cellStyle name="Note 2 2 2 4 2 3 2 3" xfId="29226" xr:uid="{00000000-0005-0000-0000-0000F3990000}"/>
    <cellStyle name="Note 2 2 2 4 2 3 3" xfId="13866" xr:uid="{00000000-0005-0000-0000-0000F4990000}"/>
    <cellStyle name="Note 2 2 2 4 2 3 3 2" xfId="34346" xr:uid="{00000000-0005-0000-0000-0000F5990000}"/>
    <cellStyle name="Note 2 2 2 4 2 3 4" xfId="24106" xr:uid="{00000000-0005-0000-0000-0000F6990000}"/>
    <cellStyle name="Note 2 2 2 4 2 4" xfId="6186" xr:uid="{00000000-0005-0000-0000-0000F7990000}"/>
    <cellStyle name="Note 2 2 2 4 2 4 2" xfId="16426" xr:uid="{00000000-0005-0000-0000-0000F8990000}"/>
    <cellStyle name="Note 2 2 2 4 2 4 2 2" xfId="36906" xr:uid="{00000000-0005-0000-0000-0000F9990000}"/>
    <cellStyle name="Note 2 2 2 4 2 4 3" xfId="26666" xr:uid="{00000000-0005-0000-0000-0000FA990000}"/>
    <cellStyle name="Note 2 2 2 4 2 5" xfId="11306" xr:uid="{00000000-0005-0000-0000-0000FB990000}"/>
    <cellStyle name="Note 2 2 2 4 2 5 2" xfId="31786" xr:uid="{00000000-0005-0000-0000-0000FC990000}"/>
    <cellStyle name="Note 2 2 2 4 2 6" xfId="21546" xr:uid="{00000000-0005-0000-0000-0000FD990000}"/>
    <cellStyle name="Note 2 2 2 4 3" xfId="1706" xr:uid="{00000000-0005-0000-0000-0000FE990000}"/>
    <cellStyle name="Note 2 2 2 4 3 2" xfId="4266" xr:uid="{00000000-0005-0000-0000-0000FF990000}"/>
    <cellStyle name="Note 2 2 2 4 3 2 2" xfId="9386" xr:uid="{00000000-0005-0000-0000-0000009A0000}"/>
    <cellStyle name="Note 2 2 2 4 3 2 2 2" xfId="19626" xr:uid="{00000000-0005-0000-0000-0000019A0000}"/>
    <cellStyle name="Note 2 2 2 4 3 2 2 2 2" xfId="40106" xr:uid="{00000000-0005-0000-0000-0000029A0000}"/>
    <cellStyle name="Note 2 2 2 4 3 2 2 3" xfId="29866" xr:uid="{00000000-0005-0000-0000-0000039A0000}"/>
    <cellStyle name="Note 2 2 2 4 3 2 3" xfId="14506" xr:uid="{00000000-0005-0000-0000-0000049A0000}"/>
    <cellStyle name="Note 2 2 2 4 3 2 3 2" xfId="34986" xr:uid="{00000000-0005-0000-0000-0000059A0000}"/>
    <cellStyle name="Note 2 2 2 4 3 2 4" xfId="24746" xr:uid="{00000000-0005-0000-0000-0000069A0000}"/>
    <cellStyle name="Note 2 2 2 4 3 3" xfId="6826" xr:uid="{00000000-0005-0000-0000-0000079A0000}"/>
    <cellStyle name="Note 2 2 2 4 3 3 2" xfId="17066" xr:uid="{00000000-0005-0000-0000-0000089A0000}"/>
    <cellStyle name="Note 2 2 2 4 3 3 2 2" xfId="37546" xr:uid="{00000000-0005-0000-0000-0000099A0000}"/>
    <cellStyle name="Note 2 2 2 4 3 3 3" xfId="27306" xr:uid="{00000000-0005-0000-0000-00000A9A0000}"/>
    <cellStyle name="Note 2 2 2 4 3 4" xfId="11946" xr:uid="{00000000-0005-0000-0000-00000B9A0000}"/>
    <cellStyle name="Note 2 2 2 4 3 4 2" xfId="32426" xr:uid="{00000000-0005-0000-0000-00000C9A0000}"/>
    <cellStyle name="Note 2 2 2 4 3 5" xfId="22186" xr:uid="{00000000-0005-0000-0000-00000D9A0000}"/>
    <cellStyle name="Note 2 2 2 4 4" xfId="2986" xr:uid="{00000000-0005-0000-0000-00000E9A0000}"/>
    <cellStyle name="Note 2 2 2 4 4 2" xfId="8106" xr:uid="{00000000-0005-0000-0000-00000F9A0000}"/>
    <cellStyle name="Note 2 2 2 4 4 2 2" xfId="18346" xr:uid="{00000000-0005-0000-0000-0000109A0000}"/>
    <cellStyle name="Note 2 2 2 4 4 2 2 2" xfId="38826" xr:uid="{00000000-0005-0000-0000-0000119A0000}"/>
    <cellStyle name="Note 2 2 2 4 4 2 3" xfId="28586" xr:uid="{00000000-0005-0000-0000-0000129A0000}"/>
    <cellStyle name="Note 2 2 2 4 4 3" xfId="13226" xr:uid="{00000000-0005-0000-0000-0000139A0000}"/>
    <cellStyle name="Note 2 2 2 4 4 3 2" xfId="33706" xr:uid="{00000000-0005-0000-0000-0000149A0000}"/>
    <cellStyle name="Note 2 2 2 4 4 4" xfId="23466" xr:uid="{00000000-0005-0000-0000-0000159A0000}"/>
    <cellStyle name="Note 2 2 2 4 5" xfId="5546" xr:uid="{00000000-0005-0000-0000-0000169A0000}"/>
    <cellStyle name="Note 2 2 2 4 5 2" xfId="15786" xr:uid="{00000000-0005-0000-0000-0000179A0000}"/>
    <cellStyle name="Note 2 2 2 4 5 2 2" xfId="36266" xr:uid="{00000000-0005-0000-0000-0000189A0000}"/>
    <cellStyle name="Note 2 2 2 4 5 3" xfId="26026" xr:uid="{00000000-0005-0000-0000-0000199A0000}"/>
    <cellStyle name="Note 2 2 2 4 6" xfId="10666" xr:uid="{00000000-0005-0000-0000-00001A9A0000}"/>
    <cellStyle name="Note 2 2 2 4 6 2" xfId="31146" xr:uid="{00000000-0005-0000-0000-00001B9A0000}"/>
    <cellStyle name="Note 2 2 2 4 7" xfId="20906" xr:uid="{00000000-0005-0000-0000-00001C9A0000}"/>
    <cellStyle name="Note 2 2 2 5" xfId="746" xr:uid="{00000000-0005-0000-0000-00001D9A0000}"/>
    <cellStyle name="Note 2 2 2 5 2" xfId="2026" xr:uid="{00000000-0005-0000-0000-00001E9A0000}"/>
    <cellStyle name="Note 2 2 2 5 2 2" xfId="4586" xr:uid="{00000000-0005-0000-0000-00001F9A0000}"/>
    <cellStyle name="Note 2 2 2 5 2 2 2" xfId="9706" xr:uid="{00000000-0005-0000-0000-0000209A0000}"/>
    <cellStyle name="Note 2 2 2 5 2 2 2 2" xfId="19946" xr:uid="{00000000-0005-0000-0000-0000219A0000}"/>
    <cellStyle name="Note 2 2 2 5 2 2 2 2 2" xfId="40426" xr:uid="{00000000-0005-0000-0000-0000229A0000}"/>
    <cellStyle name="Note 2 2 2 5 2 2 2 3" xfId="30186" xr:uid="{00000000-0005-0000-0000-0000239A0000}"/>
    <cellStyle name="Note 2 2 2 5 2 2 3" xfId="14826" xr:uid="{00000000-0005-0000-0000-0000249A0000}"/>
    <cellStyle name="Note 2 2 2 5 2 2 3 2" xfId="35306" xr:uid="{00000000-0005-0000-0000-0000259A0000}"/>
    <cellStyle name="Note 2 2 2 5 2 2 4" xfId="25066" xr:uid="{00000000-0005-0000-0000-0000269A0000}"/>
    <cellStyle name="Note 2 2 2 5 2 3" xfId="7146" xr:uid="{00000000-0005-0000-0000-0000279A0000}"/>
    <cellStyle name="Note 2 2 2 5 2 3 2" xfId="17386" xr:uid="{00000000-0005-0000-0000-0000289A0000}"/>
    <cellStyle name="Note 2 2 2 5 2 3 2 2" xfId="37866" xr:uid="{00000000-0005-0000-0000-0000299A0000}"/>
    <cellStyle name="Note 2 2 2 5 2 3 3" xfId="27626" xr:uid="{00000000-0005-0000-0000-00002A9A0000}"/>
    <cellStyle name="Note 2 2 2 5 2 4" xfId="12266" xr:uid="{00000000-0005-0000-0000-00002B9A0000}"/>
    <cellStyle name="Note 2 2 2 5 2 4 2" xfId="32746" xr:uid="{00000000-0005-0000-0000-00002C9A0000}"/>
    <cellStyle name="Note 2 2 2 5 2 5" xfId="22506" xr:uid="{00000000-0005-0000-0000-00002D9A0000}"/>
    <cellStyle name="Note 2 2 2 5 3" xfId="3306" xr:uid="{00000000-0005-0000-0000-00002E9A0000}"/>
    <cellStyle name="Note 2 2 2 5 3 2" xfId="8426" xr:uid="{00000000-0005-0000-0000-00002F9A0000}"/>
    <cellStyle name="Note 2 2 2 5 3 2 2" xfId="18666" xr:uid="{00000000-0005-0000-0000-0000309A0000}"/>
    <cellStyle name="Note 2 2 2 5 3 2 2 2" xfId="39146" xr:uid="{00000000-0005-0000-0000-0000319A0000}"/>
    <cellStyle name="Note 2 2 2 5 3 2 3" xfId="28906" xr:uid="{00000000-0005-0000-0000-0000329A0000}"/>
    <cellStyle name="Note 2 2 2 5 3 3" xfId="13546" xr:uid="{00000000-0005-0000-0000-0000339A0000}"/>
    <cellStyle name="Note 2 2 2 5 3 3 2" xfId="34026" xr:uid="{00000000-0005-0000-0000-0000349A0000}"/>
    <cellStyle name="Note 2 2 2 5 3 4" xfId="23786" xr:uid="{00000000-0005-0000-0000-0000359A0000}"/>
    <cellStyle name="Note 2 2 2 5 4" xfId="5866" xr:uid="{00000000-0005-0000-0000-0000369A0000}"/>
    <cellStyle name="Note 2 2 2 5 4 2" xfId="16106" xr:uid="{00000000-0005-0000-0000-0000379A0000}"/>
    <cellStyle name="Note 2 2 2 5 4 2 2" xfId="36586" xr:uid="{00000000-0005-0000-0000-0000389A0000}"/>
    <cellStyle name="Note 2 2 2 5 4 3" xfId="26346" xr:uid="{00000000-0005-0000-0000-0000399A0000}"/>
    <cellStyle name="Note 2 2 2 5 5" xfId="10986" xr:uid="{00000000-0005-0000-0000-00003A9A0000}"/>
    <cellStyle name="Note 2 2 2 5 5 2" xfId="31466" xr:uid="{00000000-0005-0000-0000-00003B9A0000}"/>
    <cellStyle name="Note 2 2 2 5 6" xfId="21226" xr:uid="{00000000-0005-0000-0000-00003C9A0000}"/>
    <cellStyle name="Note 2 2 2 6" xfId="1386" xr:uid="{00000000-0005-0000-0000-00003D9A0000}"/>
    <cellStyle name="Note 2 2 2 6 2" xfId="3946" xr:uid="{00000000-0005-0000-0000-00003E9A0000}"/>
    <cellStyle name="Note 2 2 2 6 2 2" xfId="9066" xr:uid="{00000000-0005-0000-0000-00003F9A0000}"/>
    <cellStyle name="Note 2 2 2 6 2 2 2" xfId="19306" xr:uid="{00000000-0005-0000-0000-0000409A0000}"/>
    <cellStyle name="Note 2 2 2 6 2 2 2 2" xfId="39786" xr:uid="{00000000-0005-0000-0000-0000419A0000}"/>
    <cellStyle name="Note 2 2 2 6 2 2 3" xfId="29546" xr:uid="{00000000-0005-0000-0000-0000429A0000}"/>
    <cellStyle name="Note 2 2 2 6 2 3" xfId="14186" xr:uid="{00000000-0005-0000-0000-0000439A0000}"/>
    <cellStyle name="Note 2 2 2 6 2 3 2" xfId="34666" xr:uid="{00000000-0005-0000-0000-0000449A0000}"/>
    <cellStyle name="Note 2 2 2 6 2 4" xfId="24426" xr:uid="{00000000-0005-0000-0000-0000459A0000}"/>
    <cellStyle name="Note 2 2 2 6 3" xfId="6506" xr:uid="{00000000-0005-0000-0000-0000469A0000}"/>
    <cellStyle name="Note 2 2 2 6 3 2" xfId="16746" xr:uid="{00000000-0005-0000-0000-0000479A0000}"/>
    <cellStyle name="Note 2 2 2 6 3 2 2" xfId="37226" xr:uid="{00000000-0005-0000-0000-0000489A0000}"/>
    <cellStyle name="Note 2 2 2 6 3 3" xfId="26986" xr:uid="{00000000-0005-0000-0000-0000499A0000}"/>
    <cellStyle name="Note 2 2 2 6 4" xfId="11626" xr:uid="{00000000-0005-0000-0000-00004A9A0000}"/>
    <cellStyle name="Note 2 2 2 6 4 2" xfId="32106" xr:uid="{00000000-0005-0000-0000-00004B9A0000}"/>
    <cellStyle name="Note 2 2 2 6 5" xfId="21866" xr:uid="{00000000-0005-0000-0000-00004C9A0000}"/>
    <cellStyle name="Note 2 2 2 7" xfId="2666" xr:uid="{00000000-0005-0000-0000-00004D9A0000}"/>
    <cellStyle name="Note 2 2 2 7 2" xfId="7786" xr:uid="{00000000-0005-0000-0000-00004E9A0000}"/>
    <cellStyle name="Note 2 2 2 7 2 2" xfId="18026" xr:uid="{00000000-0005-0000-0000-00004F9A0000}"/>
    <cellStyle name="Note 2 2 2 7 2 2 2" xfId="38506" xr:uid="{00000000-0005-0000-0000-0000509A0000}"/>
    <cellStyle name="Note 2 2 2 7 2 3" xfId="28266" xr:uid="{00000000-0005-0000-0000-0000519A0000}"/>
    <cellStyle name="Note 2 2 2 7 3" xfId="12906" xr:uid="{00000000-0005-0000-0000-0000529A0000}"/>
    <cellStyle name="Note 2 2 2 7 3 2" xfId="33386" xr:uid="{00000000-0005-0000-0000-0000539A0000}"/>
    <cellStyle name="Note 2 2 2 7 4" xfId="23146" xr:uid="{00000000-0005-0000-0000-0000549A0000}"/>
    <cellStyle name="Note 2 2 2 8" xfId="5226" xr:uid="{00000000-0005-0000-0000-0000559A0000}"/>
    <cellStyle name="Note 2 2 2 8 2" xfId="15466" xr:uid="{00000000-0005-0000-0000-0000569A0000}"/>
    <cellStyle name="Note 2 2 2 8 2 2" xfId="35946" xr:uid="{00000000-0005-0000-0000-0000579A0000}"/>
    <cellStyle name="Note 2 2 2 8 3" xfId="25706" xr:uid="{00000000-0005-0000-0000-0000589A0000}"/>
    <cellStyle name="Note 2 2 2 9" xfId="10346" xr:uid="{00000000-0005-0000-0000-0000599A0000}"/>
    <cellStyle name="Note 2 2 2 9 2" xfId="30826" xr:uid="{00000000-0005-0000-0000-00005A9A0000}"/>
    <cellStyle name="Note 2 2 3" xfId="146" xr:uid="{00000000-0005-0000-0000-00005B9A0000}"/>
    <cellStyle name="Note 2 2 3 2" xfId="306" xr:uid="{00000000-0005-0000-0000-00005C9A0000}"/>
    <cellStyle name="Note 2 2 3 2 2" xfId="626" xr:uid="{00000000-0005-0000-0000-00005D9A0000}"/>
    <cellStyle name="Note 2 2 3 2 2 2" xfId="1266" xr:uid="{00000000-0005-0000-0000-00005E9A0000}"/>
    <cellStyle name="Note 2 2 3 2 2 2 2" xfId="2546" xr:uid="{00000000-0005-0000-0000-00005F9A0000}"/>
    <cellStyle name="Note 2 2 3 2 2 2 2 2" xfId="5106" xr:uid="{00000000-0005-0000-0000-0000609A0000}"/>
    <cellStyle name="Note 2 2 3 2 2 2 2 2 2" xfId="10226" xr:uid="{00000000-0005-0000-0000-0000619A0000}"/>
    <cellStyle name="Note 2 2 3 2 2 2 2 2 2 2" xfId="20466" xr:uid="{00000000-0005-0000-0000-0000629A0000}"/>
    <cellStyle name="Note 2 2 3 2 2 2 2 2 2 2 2" xfId="40946" xr:uid="{00000000-0005-0000-0000-0000639A0000}"/>
    <cellStyle name="Note 2 2 3 2 2 2 2 2 2 3" xfId="30706" xr:uid="{00000000-0005-0000-0000-0000649A0000}"/>
    <cellStyle name="Note 2 2 3 2 2 2 2 2 3" xfId="15346" xr:uid="{00000000-0005-0000-0000-0000659A0000}"/>
    <cellStyle name="Note 2 2 3 2 2 2 2 2 3 2" xfId="35826" xr:uid="{00000000-0005-0000-0000-0000669A0000}"/>
    <cellStyle name="Note 2 2 3 2 2 2 2 2 4" xfId="25586" xr:uid="{00000000-0005-0000-0000-0000679A0000}"/>
    <cellStyle name="Note 2 2 3 2 2 2 2 3" xfId="7666" xr:uid="{00000000-0005-0000-0000-0000689A0000}"/>
    <cellStyle name="Note 2 2 3 2 2 2 2 3 2" xfId="17906" xr:uid="{00000000-0005-0000-0000-0000699A0000}"/>
    <cellStyle name="Note 2 2 3 2 2 2 2 3 2 2" xfId="38386" xr:uid="{00000000-0005-0000-0000-00006A9A0000}"/>
    <cellStyle name="Note 2 2 3 2 2 2 2 3 3" xfId="28146" xr:uid="{00000000-0005-0000-0000-00006B9A0000}"/>
    <cellStyle name="Note 2 2 3 2 2 2 2 4" xfId="12786" xr:uid="{00000000-0005-0000-0000-00006C9A0000}"/>
    <cellStyle name="Note 2 2 3 2 2 2 2 4 2" xfId="33266" xr:uid="{00000000-0005-0000-0000-00006D9A0000}"/>
    <cellStyle name="Note 2 2 3 2 2 2 2 5" xfId="23026" xr:uid="{00000000-0005-0000-0000-00006E9A0000}"/>
    <cellStyle name="Note 2 2 3 2 2 2 3" xfId="3826" xr:uid="{00000000-0005-0000-0000-00006F9A0000}"/>
    <cellStyle name="Note 2 2 3 2 2 2 3 2" xfId="8946" xr:uid="{00000000-0005-0000-0000-0000709A0000}"/>
    <cellStyle name="Note 2 2 3 2 2 2 3 2 2" xfId="19186" xr:uid="{00000000-0005-0000-0000-0000719A0000}"/>
    <cellStyle name="Note 2 2 3 2 2 2 3 2 2 2" xfId="39666" xr:uid="{00000000-0005-0000-0000-0000729A0000}"/>
    <cellStyle name="Note 2 2 3 2 2 2 3 2 3" xfId="29426" xr:uid="{00000000-0005-0000-0000-0000739A0000}"/>
    <cellStyle name="Note 2 2 3 2 2 2 3 3" xfId="14066" xr:uid="{00000000-0005-0000-0000-0000749A0000}"/>
    <cellStyle name="Note 2 2 3 2 2 2 3 3 2" xfId="34546" xr:uid="{00000000-0005-0000-0000-0000759A0000}"/>
    <cellStyle name="Note 2 2 3 2 2 2 3 4" xfId="24306" xr:uid="{00000000-0005-0000-0000-0000769A0000}"/>
    <cellStyle name="Note 2 2 3 2 2 2 4" xfId="6386" xr:uid="{00000000-0005-0000-0000-0000779A0000}"/>
    <cellStyle name="Note 2 2 3 2 2 2 4 2" xfId="16626" xr:uid="{00000000-0005-0000-0000-0000789A0000}"/>
    <cellStyle name="Note 2 2 3 2 2 2 4 2 2" xfId="37106" xr:uid="{00000000-0005-0000-0000-0000799A0000}"/>
    <cellStyle name="Note 2 2 3 2 2 2 4 3" xfId="26866" xr:uid="{00000000-0005-0000-0000-00007A9A0000}"/>
    <cellStyle name="Note 2 2 3 2 2 2 5" xfId="11506" xr:uid="{00000000-0005-0000-0000-00007B9A0000}"/>
    <cellStyle name="Note 2 2 3 2 2 2 5 2" xfId="31986" xr:uid="{00000000-0005-0000-0000-00007C9A0000}"/>
    <cellStyle name="Note 2 2 3 2 2 2 6" xfId="21746" xr:uid="{00000000-0005-0000-0000-00007D9A0000}"/>
    <cellStyle name="Note 2 2 3 2 2 3" xfId="1906" xr:uid="{00000000-0005-0000-0000-00007E9A0000}"/>
    <cellStyle name="Note 2 2 3 2 2 3 2" xfId="4466" xr:uid="{00000000-0005-0000-0000-00007F9A0000}"/>
    <cellStyle name="Note 2 2 3 2 2 3 2 2" xfId="9586" xr:uid="{00000000-0005-0000-0000-0000809A0000}"/>
    <cellStyle name="Note 2 2 3 2 2 3 2 2 2" xfId="19826" xr:uid="{00000000-0005-0000-0000-0000819A0000}"/>
    <cellStyle name="Note 2 2 3 2 2 3 2 2 2 2" xfId="40306" xr:uid="{00000000-0005-0000-0000-0000829A0000}"/>
    <cellStyle name="Note 2 2 3 2 2 3 2 2 3" xfId="30066" xr:uid="{00000000-0005-0000-0000-0000839A0000}"/>
    <cellStyle name="Note 2 2 3 2 2 3 2 3" xfId="14706" xr:uid="{00000000-0005-0000-0000-0000849A0000}"/>
    <cellStyle name="Note 2 2 3 2 2 3 2 3 2" xfId="35186" xr:uid="{00000000-0005-0000-0000-0000859A0000}"/>
    <cellStyle name="Note 2 2 3 2 2 3 2 4" xfId="24946" xr:uid="{00000000-0005-0000-0000-0000869A0000}"/>
    <cellStyle name="Note 2 2 3 2 2 3 3" xfId="7026" xr:uid="{00000000-0005-0000-0000-0000879A0000}"/>
    <cellStyle name="Note 2 2 3 2 2 3 3 2" xfId="17266" xr:uid="{00000000-0005-0000-0000-0000889A0000}"/>
    <cellStyle name="Note 2 2 3 2 2 3 3 2 2" xfId="37746" xr:uid="{00000000-0005-0000-0000-0000899A0000}"/>
    <cellStyle name="Note 2 2 3 2 2 3 3 3" xfId="27506" xr:uid="{00000000-0005-0000-0000-00008A9A0000}"/>
    <cellStyle name="Note 2 2 3 2 2 3 4" xfId="12146" xr:uid="{00000000-0005-0000-0000-00008B9A0000}"/>
    <cellStyle name="Note 2 2 3 2 2 3 4 2" xfId="32626" xr:uid="{00000000-0005-0000-0000-00008C9A0000}"/>
    <cellStyle name="Note 2 2 3 2 2 3 5" xfId="22386" xr:uid="{00000000-0005-0000-0000-00008D9A0000}"/>
    <cellStyle name="Note 2 2 3 2 2 4" xfId="3186" xr:uid="{00000000-0005-0000-0000-00008E9A0000}"/>
    <cellStyle name="Note 2 2 3 2 2 4 2" xfId="8306" xr:uid="{00000000-0005-0000-0000-00008F9A0000}"/>
    <cellStyle name="Note 2 2 3 2 2 4 2 2" xfId="18546" xr:uid="{00000000-0005-0000-0000-0000909A0000}"/>
    <cellStyle name="Note 2 2 3 2 2 4 2 2 2" xfId="39026" xr:uid="{00000000-0005-0000-0000-0000919A0000}"/>
    <cellStyle name="Note 2 2 3 2 2 4 2 3" xfId="28786" xr:uid="{00000000-0005-0000-0000-0000929A0000}"/>
    <cellStyle name="Note 2 2 3 2 2 4 3" xfId="13426" xr:uid="{00000000-0005-0000-0000-0000939A0000}"/>
    <cellStyle name="Note 2 2 3 2 2 4 3 2" xfId="33906" xr:uid="{00000000-0005-0000-0000-0000949A0000}"/>
    <cellStyle name="Note 2 2 3 2 2 4 4" xfId="23666" xr:uid="{00000000-0005-0000-0000-0000959A0000}"/>
    <cellStyle name="Note 2 2 3 2 2 5" xfId="5746" xr:uid="{00000000-0005-0000-0000-0000969A0000}"/>
    <cellStyle name="Note 2 2 3 2 2 5 2" xfId="15986" xr:uid="{00000000-0005-0000-0000-0000979A0000}"/>
    <cellStyle name="Note 2 2 3 2 2 5 2 2" xfId="36466" xr:uid="{00000000-0005-0000-0000-0000989A0000}"/>
    <cellStyle name="Note 2 2 3 2 2 5 3" xfId="26226" xr:uid="{00000000-0005-0000-0000-0000999A0000}"/>
    <cellStyle name="Note 2 2 3 2 2 6" xfId="10866" xr:uid="{00000000-0005-0000-0000-00009A9A0000}"/>
    <cellStyle name="Note 2 2 3 2 2 6 2" xfId="31346" xr:uid="{00000000-0005-0000-0000-00009B9A0000}"/>
    <cellStyle name="Note 2 2 3 2 2 7" xfId="21106" xr:uid="{00000000-0005-0000-0000-00009C9A0000}"/>
    <cellStyle name="Note 2 2 3 2 3" xfId="946" xr:uid="{00000000-0005-0000-0000-00009D9A0000}"/>
    <cellStyle name="Note 2 2 3 2 3 2" xfId="2226" xr:uid="{00000000-0005-0000-0000-00009E9A0000}"/>
    <cellStyle name="Note 2 2 3 2 3 2 2" xfId="4786" xr:uid="{00000000-0005-0000-0000-00009F9A0000}"/>
    <cellStyle name="Note 2 2 3 2 3 2 2 2" xfId="9906" xr:uid="{00000000-0005-0000-0000-0000A09A0000}"/>
    <cellStyle name="Note 2 2 3 2 3 2 2 2 2" xfId="20146" xr:uid="{00000000-0005-0000-0000-0000A19A0000}"/>
    <cellStyle name="Note 2 2 3 2 3 2 2 2 2 2" xfId="40626" xr:uid="{00000000-0005-0000-0000-0000A29A0000}"/>
    <cellStyle name="Note 2 2 3 2 3 2 2 2 3" xfId="30386" xr:uid="{00000000-0005-0000-0000-0000A39A0000}"/>
    <cellStyle name="Note 2 2 3 2 3 2 2 3" xfId="15026" xr:uid="{00000000-0005-0000-0000-0000A49A0000}"/>
    <cellStyle name="Note 2 2 3 2 3 2 2 3 2" xfId="35506" xr:uid="{00000000-0005-0000-0000-0000A59A0000}"/>
    <cellStyle name="Note 2 2 3 2 3 2 2 4" xfId="25266" xr:uid="{00000000-0005-0000-0000-0000A69A0000}"/>
    <cellStyle name="Note 2 2 3 2 3 2 3" xfId="7346" xr:uid="{00000000-0005-0000-0000-0000A79A0000}"/>
    <cellStyle name="Note 2 2 3 2 3 2 3 2" xfId="17586" xr:uid="{00000000-0005-0000-0000-0000A89A0000}"/>
    <cellStyle name="Note 2 2 3 2 3 2 3 2 2" xfId="38066" xr:uid="{00000000-0005-0000-0000-0000A99A0000}"/>
    <cellStyle name="Note 2 2 3 2 3 2 3 3" xfId="27826" xr:uid="{00000000-0005-0000-0000-0000AA9A0000}"/>
    <cellStyle name="Note 2 2 3 2 3 2 4" xfId="12466" xr:uid="{00000000-0005-0000-0000-0000AB9A0000}"/>
    <cellStyle name="Note 2 2 3 2 3 2 4 2" xfId="32946" xr:uid="{00000000-0005-0000-0000-0000AC9A0000}"/>
    <cellStyle name="Note 2 2 3 2 3 2 5" xfId="22706" xr:uid="{00000000-0005-0000-0000-0000AD9A0000}"/>
    <cellStyle name="Note 2 2 3 2 3 3" xfId="3506" xr:uid="{00000000-0005-0000-0000-0000AE9A0000}"/>
    <cellStyle name="Note 2 2 3 2 3 3 2" xfId="8626" xr:uid="{00000000-0005-0000-0000-0000AF9A0000}"/>
    <cellStyle name="Note 2 2 3 2 3 3 2 2" xfId="18866" xr:uid="{00000000-0005-0000-0000-0000B09A0000}"/>
    <cellStyle name="Note 2 2 3 2 3 3 2 2 2" xfId="39346" xr:uid="{00000000-0005-0000-0000-0000B19A0000}"/>
    <cellStyle name="Note 2 2 3 2 3 3 2 3" xfId="29106" xr:uid="{00000000-0005-0000-0000-0000B29A0000}"/>
    <cellStyle name="Note 2 2 3 2 3 3 3" xfId="13746" xr:uid="{00000000-0005-0000-0000-0000B39A0000}"/>
    <cellStyle name="Note 2 2 3 2 3 3 3 2" xfId="34226" xr:uid="{00000000-0005-0000-0000-0000B49A0000}"/>
    <cellStyle name="Note 2 2 3 2 3 3 4" xfId="23986" xr:uid="{00000000-0005-0000-0000-0000B59A0000}"/>
    <cellStyle name="Note 2 2 3 2 3 4" xfId="6066" xr:uid="{00000000-0005-0000-0000-0000B69A0000}"/>
    <cellStyle name="Note 2 2 3 2 3 4 2" xfId="16306" xr:uid="{00000000-0005-0000-0000-0000B79A0000}"/>
    <cellStyle name="Note 2 2 3 2 3 4 2 2" xfId="36786" xr:uid="{00000000-0005-0000-0000-0000B89A0000}"/>
    <cellStyle name="Note 2 2 3 2 3 4 3" xfId="26546" xr:uid="{00000000-0005-0000-0000-0000B99A0000}"/>
    <cellStyle name="Note 2 2 3 2 3 5" xfId="11186" xr:uid="{00000000-0005-0000-0000-0000BA9A0000}"/>
    <cellStyle name="Note 2 2 3 2 3 5 2" xfId="31666" xr:uid="{00000000-0005-0000-0000-0000BB9A0000}"/>
    <cellStyle name="Note 2 2 3 2 3 6" xfId="21426" xr:uid="{00000000-0005-0000-0000-0000BC9A0000}"/>
    <cellStyle name="Note 2 2 3 2 4" xfId="1586" xr:uid="{00000000-0005-0000-0000-0000BD9A0000}"/>
    <cellStyle name="Note 2 2 3 2 4 2" xfId="4146" xr:uid="{00000000-0005-0000-0000-0000BE9A0000}"/>
    <cellStyle name="Note 2 2 3 2 4 2 2" xfId="9266" xr:uid="{00000000-0005-0000-0000-0000BF9A0000}"/>
    <cellStyle name="Note 2 2 3 2 4 2 2 2" xfId="19506" xr:uid="{00000000-0005-0000-0000-0000C09A0000}"/>
    <cellStyle name="Note 2 2 3 2 4 2 2 2 2" xfId="39986" xr:uid="{00000000-0005-0000-0000-0000C19A0000}"/>
    <cellStyle name="Note 2 2 3 2 4 2 2 3" xfId="29746" xr:uid="{00000000-0005-0000-0000-0000C29A0000}"/>
    <cellStyle name="Note 2 2 3 2 4 2 3" xfId="14386" xr:uid="{00000000-0005-0000-0000-0000C39A0000}"/>
    <cellStyle name="Note 2 2 3 2 4 2 3 2" xfId="34866" xr:uid="{00000000-0005-0000-0000-0000C49A0000}"/>
    <cellStyle name="Note 2 2 3 2 4 2 4" xfId="24626" xr:uid="{00000000-0005-0000-0000-0000C59A0000}"/>
    <cellStyle name="Note 2 2 3 2 4 3" xfId="6706" xr:uid="{00000000-0005-0000-0000-0000C69A0000}"/>
    <cellStyle name="Note 2 2 3 2 4 3 2" xfId="16946" xr:uid="{00000000-0005-0000-0000-0000C79A0000}"/>
    <cellStyle name="Note 2 2 3 2 4 3 2 2" xfId="37426" xr:uid="{00000000-0005-0000-0000-0000C89A0000}"/>
    <cellStyle name="Note 2 2 3 2 4 3 3" xfId="27186" xr:uid="{00000000-0005-0000-0000-0000C99A0000}"/>
    <cellStyle name="Note 2 2 3 2 4 4" xfId="11826" xr:uid="{00000000-0005-0000-0000-0000CA9A0000}"/>
    <cellStyle name="Note 2 2 3 2 4 4 2" xfId="32306" xr:uid="{00000000-0005-0000-0000-0000CB9A0000}"/>
    <cellStyle name="Note 2 2 3 2 4 5" xfId="22066" xr:uid="{00000000-0005-0000-0000-0000CC9A0000}"/>
    <cellStyle name="Note 2 2 3 2 5" xfId="2866" xr:uid="{00000000-0005-0000-0000-0000CD9A0000}"/>
    <cellStyle name="Note 2 2 3 2 5 2" xfId="7986" xr:uid="{00000000-0005-0000-0000-0000CE9A0000}"/>
    <cellStyle name="Note 2 2 3 2 5 2 2" xfId="18226" xr:uid="{00000000-0005-0000-0000-0000CF9A0000}"/>
    <cellStyle name="Note 2 2 3 2 5 2 2 2" xfId="38706" xr:uid="{00000000-0005-0000-0000-0000D09A0000}"/>
    <cellStyle name="Note 2 2 3 2 5 2 3" xfId="28466" xr:uid="{00000000-0005-0000-0000-0000D19A0000}"/>
    <cellStyle name="Note 2 2 3 2 5 3" xfId="13106" xr:uid="{00000000-0005-0000-0000-0000D29A0000}"/>
    <cellStyle name="Note 2 2 3 2 5 3 2" xfId="33586" xr:uid="{00000000-0005-0000-0000-0000D39A0000}"/>
    <cellStyle name="Note 2 2 3 2 5 4" xfId="23346" xr:uid="{00000000-0005-0000-0000-0000D49A0000}"/>
    <cellStyle name="Note 2 2 3 2 6" xfId="5426" xr:uid="{00000000-0005-0000-0000-0000D59A0000}"/>
    <cellStyle name="Note 2 2 3 2 6 2" xfId="15666" xr:uid="{00000000-0005-0000-0000-0000D69A0000}"/>
    <cellStyle name="Note 2 2 3 2 6 2 2" xfId="36146" xr:uid="{00000000-0005-0000-0000-0000D79A0000}"/>
    <cellStyle name="Note 2 2 3 2 6 3" xfId="25906" xr:uid="{00000000-0005-0000-0000-0000D89A0000}"/>
    <cellStyle name="Note 2 2 3 2 7" xfId="10546" xr:uid="{00000000-0005-0000-0000-0000D99A0000}"/>
    <cellStyle name="Note 2 2 3 2 7 2" xfId="31026" xr:uid="{00000000-0005-0000-0000-0000DA9A0000}"/>
    <cellStyle name="Note 2 2 3 2 8" xfId="20786" xr:uid="{00000000-0005-0000-0000-0000DB9A0000}"/>
    <cellStyle name="Note 2 2 3 3" xfId="466" xr:uid="{00000000-0005-0000-0000-0000DC9A0000}"/>
    <cellStyle name="Note 2 2 3 3 2" xfId="1106" xr:uid="{00000000-0005-0000-0000-0000DD9A0000}"/>
    <cellStyle name="Note 2 2 3 3 2 2" xfId="2386" xr:uid="{00000000-0005-0000-0000-0000DE9A0000}"/>
    <cellStyle name="Note 2 2 3 3 2 2 2" xfId="4946" xr:uid="{00000000-0005-0000-0000-0000DF9A0000}"/>
    <cellStyle name="Note 2 2 3 3 2 2 2 2" xfId="10066" xr:uid="{00000000-0005-0000-0000-0000E09A0000}"/>
    <cellStyle name="Note 2 2 3 3 2 2 2 2 2" xfId="20306" xr:uid="{00000000-0005-0000-0000-0000E19A0000}"/>
    <cellStyle name="Note 2 2 3 3 2 2 2 2 2 2" xfId="40786" xr:uid="{00000000-0005-0000-0000-0000E29A0000}"/>
    <cellStyle name="Note 2 2 3 3 2 2 2 2 3" xfId="30546" xr:uid="{00000000-0005-0000-0000-0000E39A0000}"/>
    <cellStyle name="Note 2 2 3 3 2 2 2 3" xfId="15186" xr:uid="{00000000-0005-0000-0000-0000E49A0000}"/>
    <cellStyle name="Note 2 2 3 3 2 2 2 3 2" xfId="35666" xr:uid="{00000000-0005-0000-0000-0000E59A0000}"/>
    <cellStyle name="Note 2 2 3 3 2 2 2 4" xfId="25426" xr:uid="{00000000-0005-0000-0000-0000E69A0000}"/>
    <cellStyle name="Note 2 2 3 3 2 2 3" xfId="7506" xr:uid="{00000000-0005-0000-0000-0000E79A0000}"/>
    <cellStyle name="Note 2 2 3 3 2 2 3 2" xfId="17746" xr:uid="{00000000-0005-0000-0000-0000E89A0000}"/>
    <cellStyle name="Note 2 2 3 3 2 2 3 2 2" xfId="38226" xr:uid="{00000000-0005-0000-0000-0000E99A0000}"/>
    <cellStyle name="Note 2 2 3 3 2 2 3 3" xfId="27986" xr:uid="{00000000-0005-0000-0000-0000EA9A0000}"/>
    <cellStyle name="Note 2 2 3 3 2 2 4" xfId="12626" xr:uid="{00000000-0005-0000-0000-0000EB9A0000}"/>
    <cellStyle name="Note 2 2 3 3 2 2 4 2" xfId="33106" xr:uid="{00000000-0005-0000-0000-0000EC9A0000}"/>
    <cellStyle name="Note 2 2 3 3 2 2 5" xfId="22866" xr:uid="{00000000-0005-0000-0000-0000ED9A0000}"/>
    <cellStyle name="Note 2 2 3 3 2 3" xfId="3666" xr:uid="{00000000-0005-0000-0000-0000EE9A0000}"/>
    <cellStyle name="Note 2 2 3 3 2 3 2" xfId="8786" xr:uid="{00000000-0005-0000-0000-0000EF9A0000}"/>
    <cellStyle name="Note 2 2 3 3 2 3 2 2" xfId="19026" xr:uid="{00000000-0005-0000-0000-0000F09A0000}"/>
    <cellStyle name="Note 2 2 3 3 2 3 2 2 2" xfId="39506" xr:uid="{00000000-0005-0000-0000-0000F19A0000}"/>
    <cellStyle name="Note 2 2 3 3 2 3 2 3" xfId="29266" xr:uid="{00000000-0005-0000-0000-0000F29A0000}"/>
    <cellStyle name="Note 2 2 3 3 2 3 3" xfId="13906" xr:uid="{00000000-0005-0000-0000-0000F39A0000}"/>
    <cellStyle name="Note 2 2 3 3 2 3 3 2" xfId="34386" xr:uid="{00000000-0005-0000-0000-0000F49A0000}"/>
    <cellStyle name="Note 2 2 3 3 2 3 4" xfId="24146" xr:uid="{00000000-0005-0000-0000-0000F59A0000}"/>
    <cellStyle name="Note 2 2 3 3 2 4" xfId="6226" xr:uid="{00000000-0005-0000-0000-0000F69A0000}"/>
    <cellStyle name="Note 2 2 3 3 2 4 2" xfId="16466" xr:uid="{00000000-0005-0000-0000-0000F79A0000}"/>
    <cellStyle name="Note 2 2 3 3 2 4 2 2" xfId="36946" xr:uid="{00000000-0005-0000-0000-0000F89A0000}"/>
    <cellStyle name="Note 2 2 3 3 2 4 3" xfId="26706" xr:uid="{00000000-0005-0000-0000-0000F99A0000}"/>
    <cellStyle name="Note 2 2 3 3 2 5" xfId="11346" xr:uid="{00000000-0005-0000-0000-0000FA9A0000}"/>
    <cellStyle name="Note 2 2 3 3 2 5 2" xfId="31826" xr:uid="{00000000-0005-0000-0000-0000FB9A0000}"/>
    <cellStyle name="Note 2 2 3 3 2 6" xfId="21586" xr:uid="{00000000-0005-0000-0000-0000FC9A0000}"/>
    <cellStyle name="Note 2 2 3 3 3" xfId="1746" xr:uid="{00000000-0005-0000-0000-0000FD9A0000}"/>
    <cellStyle name="Note 2 2 3 3 3 2" xfId="4306" xr:uid="{00000000-0005-0000-0000-0000FE9A0000}"/>
    <cellStyle name="Note 2 2 3 3 3 2 2" xfId="9426" xr:uid="{00000000-0005-0000-0000-0000FF9A0000}"/>
    <cellStyle name="Note 2 2 3 3 3 2 2 2" xfId="19666" xr:uid="{00000000-0005-0000-0000-0000009B0000}"/>
    <cellStyle name="Note 2 2 3 3 3 2 2 2 2" xfId="40146" xr:uid="{00000000-0005-0000-0000-0000019B0000}"/>
    <cellStyle name="Note 2 2 3 3 3 2 2 3" xfId="29906" xr:uid="{00000000-0005-0000-0000-0000029B0000}"/>
    <cellStyle name="Note 2 2 3 3 3 2 3" xfId="14546" xr:uid="{00000000-0005-0000-0000-0000039B0000}"/>
    <cellStyle name="Note 2 2 3 3 3 2 3 2" xfId="35026" xr:uid="{00000000-0005-0000-0000-0000049B0000}"/>
    <cellStyle name="Note 2 2 3 3 3 2 4" xfId="24786" xr:uid="{00000000-0005-0000-0000-0000059B0000}"/>
    <cellStyle name="Note 2 2 3 3 3 3" xfId="6866" xr:uid="{00000000-0005-0000-0000-0000069B0000}"/>
    <cellStyle name="Note 2 2 3 3 3 3 2" xfId="17106" xr:uid="{00000000-0005-0000-0000-0000079B0000}"/>
    <cellStyle name="Note 2 2 3 3 3 3 2 2" xfId="37586" xr:uid="{00000000-0005-0000-0000-0000089B0000}"/>
    <cellStyle name="Note 2 2 3 3 3 3 3" xfId="27346" xr:uid="{00000000-0005-0000-0000-0000099B0000}"/>
    <cellStyle name="Note 2 2 3 3 3 4" xfId="11986" xr:uid="{00000000-0005-0000-0000-00000A9B0000}"/>
    <cellStyle name="Note 2 2 3 3 3 4 2" xfId="32466" xr:uid="{00000000-0005-0000-0000-00000B9B0000}"/>
    <cellStyle name="Note 2 2 3 3 3 5" xfId="22226" xr:uid="{00000000-0005-0000-0000-00000C9B0000}"/>
    <cellStyle name="Note 2 2 3 3 4" xfId="3026" xr:uid="{00000000-0005-0000-0000-00000D9B0000}"/>
    <cellStyle name="Note 2 2 3 3 4 2" xfId="8146" xr:uid="{00000000-0005-0000-0000-00000E9B0000}"/>
    <cellStyle name="Note 2 2 3 3 4 2 2" xfId="18386" xr:uid="{00000000-0005-0000-0000-00000F9B0000}"/>
    <cellStyle name="Note 2 2 3 3 4 2 2 2" xfId="38866" xr:uid="{00000000-0005-0000-0000-0000109B0000}"/>
    <cellStyle name="Note 2 2 3 3 4 2 3" xfId="28626" xr:uid="{00000000-0005-0000-0000-0000119B0000}"/>
    <cellStyle name="Note 2 2 3 3 4 3" xfId="13266" xr:uid="{00000000-0005-0000-0000-0000129B0000}"/>
    <cellStyle name="Note 2 2 3 3 4 3 2" xfId="33746" xr:uid="{00000000-0005-0000-0000-0000139B0000}"/>
    <cellStyle name="Note 2 2 3 3 4 4" xfId="23506" xr:uid="{00000000-0005-0000-0000-0000149B0000}"/>
    <cellStyle name="Note 2 2 3 3 5" xfId="5586" xr:uid="{00000000-0005-0000-0000-0000159B0000}"/>
    <cellStyle name="Note 2 2 3 3 5 2" xfId="15826" xr:uid="{00000000-0005-0000-0000-0000169B0000}"/>
    <cellStyle name="Note 2 2 3 3 5 2 2" xfId="36306" xr:uid="{00000000-0005-0000-0000-0000179B0000}"/>
    <cellStyle name="Note 2 2 3 3 5 3" xfId="26066" xr:uid="{00000000-0005-0000-0000-0000189B0000}"/>
    <cellStyle name="Note 2 2 3 3 6" xfId="10706" xr:uid="{00000000-0005-0000-0000-0000199B0000}"/>
    <cellStyle name="Note 2 2 3 3 6 2" xfId="31186" xr:uid="{00000000-0005-0000-0000-00001A9B0000}"/>
    <cellStyle name="Note 2 2 3 3 7" xfId="20946" xr:uid="{00000000-0005-0000-0000-00001B9B0000}"/>
    <cellStyle name="Note 2 2 3 4" xfId="786" xr:uid="{00000000-0005-0000-0000-00001C9B0000}"/>
    <cellStyle name="Note 2 2 3 4 2" xfId="2066" xr:uid="{00000000-0005-0000-0000-00001D9B0000}"/>
    <cellStyle name="Note 2 2 3 4 2 2" xfId="4626" xr:uid="{00000000-0005-0000-0000-00001E9B0000}"/>
    <cellStyle name="Note 2 2 3 4 2 2 2" xfId="9746" xr:uid="{00000000-0005-0000-0000-00001F9B0000}"/>
    <cellStyle name="Note 2 2 3 4 2 2 2 2" xfId="19986" xr:uid="{00000000-0005-0000-0000-0000209B0000}"/>
    <cellStyle name="Note 2 2 3 4 2 2 2 2 2" xfId="40466" xr:uid="{00000000-0005-0000-0000-0000219B0000}"/>
    <cellStyle name="Note 2 2 3 4 2 2 2 3" xfId="30226" xr:uid="{00000000-0005-0000-0000-0000229B0000}"/>
    <cellStyle name="Note 2 2 3 4 2 2 3" xfId="14866" xr:uid="{00000000-0005-0000-0000-0000239B0000}"/>
    <cellStyle name="Note 2 2 3 4 2 2 3 2" xfId="35346" xr:uid="{00000000-0005-0000-0000-0000249B0000}"/>
    <cellStyle name="Note 2 2 3 4 2 2 4" xfId="25106" xr:uid="{00000000-0005-0000-0000-0000259B0000}"/>
    <cellStyle name="Note 2 2 3 4 2 3" xfId="7186" xr:uid="{00000000-0005-0000-0000-0000269B0000}"/>
    <cellStyle name="Note 2 2 3 4 2 3 2" xfId="17426" xr:uid="{00000000-0005-0000-0000-0000279B0000}"/>
    <cellStyle name="Note 2 2 3 4 2 3 2 2" xfId="37906" xr:uid="{00000000-0005-0000-0000-0000289B0000}"/>
    <cellStyle name="Note 2 2 3 4 2 3 3" xfId="27666" xr:uid="{00000000-0005-0000-0000-0000299B0000}"/>
    <cellStyle name="Note 2 2 3 4 2 4" xfId="12306" xr:uid="{00000000-0005-0000-0000-00002A9B0000}"/>
    <cellStyle name="Note 2 2 3 4 2 4 2" xfId="32786" xr:uid="{00000000-0005-0000-0000-00002B9B0000}"/>
    <cellStyle name="Note 2 2 3 4 2 5" xfId="22546" xr:uid="{00000000-0005-0000-0000-00002C9B0000}"/>
    <cellStyle name="Note 2 2 3 4 3" xfId="3346" xr:uid="{00000000-0005-0000-0000-00002D9B0000}"/>
    <cellStyle name="Note 2 2 3 4 3 2" xfId="8466" xr:uid="{00000000-0005-0000-0000-00002E9B0000}"/>
    <cellStyle name="Note 2 2 3 4 3 2 2" xfId="18706" xr:uid="{00000000-0005-0000-0000-00002F9B0000}"/>
    <cellStyle name="Note 2 2 3 4 3 2 2 2" xfId="39186" xr:uid="{00000000-0005-0000-0000-0000309B0000}"/>
    <cellStyle name="Note 2 2 3 4 3 2 3" xfId="28946" xr:uid="{00000000-0005-0000-0000-0000319B0000}"/>
    <cellStyle name="Note 2 2 3 4 3 3" xfId="13586" xr:uid="{00000000-0005-0000-0000-0000329B0000}"/>
    <cellStyle name="Note 2 2 3 4 3 3 2" xfId="34066" xr:uid="{00000000-0005-0000-0000-0000339B0000}"/>
    <cellStyle name="Note 2 2 3 4 3 4" xfId="23826" xr:uid="{00000000-0005-0000-0000-0000349B0000}"/>
    <cellStyle name="Note 2 2 3 4 4" xfId="5906" xr:uid="{00000000-0005-0000-0000-0000359B0000}"/>
    <cellStyle name="Note 2 2 3 4 4 2" xfId="16146" xr:uid="{00000000-0005-0000-0000-0000369B0000}"/>
    <cellStyle name="Note 2 2 3 4 4 2 2" xfId="36626" xr:uid="{00000000-0005-0000-0000-0000379B0000}"/>
    <cellStyle name="Note 2 2 3 4 4 3" xfId="26386" xr:uid="{00000000-0005-0000-0000-0000389B0000}"/>
    <cellStyle name="Note 2 2 3 4 5" xfId="11026" xr:uid="{00000000-0005-0000-0000-0000399B0000}"/>
    <cellStyle name="Note 2 2 3 4 5 2" xfId="31506" xr:uid="{00000000-0005-0000-0000-00003A9B0000}"/>
    <cellStyle name="Note 2 2 3 4 6" xfId="21266" xr:uid="{00000000-0005-0000-0000-00003B9B0000}"/>
    <cellStyle name="Note 2 2 3 5" xfId="1426" xr:uid="{00000000-0005-0000-0000-00003C9B0000}"/>
    <cellStyle name="Note 2 2 3 5 2" xfId="3986" xr:uid="{00000000-0005-0000-0000-00003D9B0000}"/>
    <cellStyle name="Note 2 2 3 5 2 2" xfId="9106" xr:uid="{00000000-0005-0000-0000-00003E9B0000}"/>
    <cellStyle name="Note 2 2 3 5 2 2 2" xfId="19346" xr:uid="{00000000-0005-0000-0000-00003F9B0000}"/>
    <cellStyle name="Note 2 2 3 5 2 2 2 2" xfId="39826" xr:uid="{00000000-0005-0000-0000-0000409B0000}"/>
    <cellStyle name="Note 2 2 3 5 2 2 3" xfId="29586" xr:uid="{00000000-0005-0000-0000-0000419B0000}"/>
    <cellStyle name="Note 2 2 3 5 2 3" xfId="14226" xr:uid="{00000000-0005-0000-0000-0000429B0000}"/>
    <cellStyle name="Note 2 2 3 5 2 3 2" xfId="34706" xr:uid="{00000000-0005-0000-0000-0000439B0000}"/>
    <cellStyle name="Note 2 2 3 5 2 4" xfId="24466" xr:uid="{00000000-0005-0000-0000-0000449B0000}"/>
    <cellStyle name="Note 2 2 3 5 3" xfId="6546" xr:uid="{00000000-0005-0000-0000-0000459B0000}"/>
    <cellStyle name="Note 2 2 3 5 3 2" xfId="16786" xr:uid="{00000000-0005-0000-0000-0000469B0000}"/>
    <cellStyle name="Note 2 2 3 5 3 2 2" xfId="37266" xr:uid="{00000000-0005-0000-0000-0000479B0000}"/>
    <cellStyle name="Note 2 2 3 5 3 3" xfId="27026" xr:uid="{00000000-0005-0000-0000-0000489B0000}"/>
    <cellStyle name="Note 2 2 3 5 4" xfId="11666" xr:uid="{00000000-0005-0000-0000-0000499B0000}"/>
    <cellStyle name="Note 2 2 3 5 4 2" xfId="32146" xr:uid="{00000000-0005-0000-0000-00004A9B0000}"/>
    <cellStyle name="Note 2 2 3 5 5" xfId="21906" xr:uid="{00000000-0005-0000-0000-00004B9B0000}"/>
    <cellStyle name="Note 2 2 3 6" xfId="2706" xr:uid="{00000000-0005-0000-0000-00004C9B0000}"/>
    <cellStyle name="Note 2 2 3 6 2" xfId="7826" xr:uid="{00000000-0005-0000-0000-00004D9B0000}"/>
    <cellStyle name="Note 2 2 3 6 2 2" xfId="18066" xr:uid="{00000000-0005-0000-0000-00004E9B0000}"/>
    <cellStyle name="Note 2 2 3 6 2 2 2" xfId="38546" xr:uid="{00000000-0005-0000-0000-00004F9B0000}"/>
    <cellStyle name="Note 2 2 3 6 2 3" xfId="28306" xr:uid="{00000000-0005-0000-0000-0000509B0000}"/>
    <cellStyle name="Note 2 2 3 6 3" xfId="12946" xr:uid="{00000000-0005-0000-0000-0000519B0000}"/>
    <cellStyle name="Note 2 2 3 6 3 2" xfId="33426" xr:uid="{00000000-0005-0000-0000-0000529B0000}"/>
    <cellStyle name="Note 2 2 3 6 4" xfId="23186" xr:uid="{00000000-0005-0000-0000-0000539B0000}"/>
    <cellStyle name="Note 2 2 3 7" xfId="5266" xr:uid="{00000000-0005-0000-0000-0000549B0000}"/>
    <cellStyle name="Note 2 2 3 7 2" xfId="15506" xr:uid="{00000000-0005-0000-0000-0000559B0000}"/>
    <cellStyle name="Note 2 2 3 7 2 2" xfId="35986" xr:uid="{00000000-0005-0000-0000-0000569B0000}"/>
    <cellStyle name="Note 2 2 3 7 3" xfId="25746" xr:uid="{00000000-0005-0000-0000-0000579B0000}"/>
    <cellStyle name="Note 2 2 3 8" xfId="10386" xr:uid="{00000000-0005-0000-0000-0000589B0000}"/>
    <cellStyle name="Note 2 2 3 8 2" xfId="30866" xr:uid="{00000000-0005-0000-0000-0000599B0000}"/>
    <cellStyle name="Note 2 2 3 9" xfId="20626" xr:uid="{00000000-0005-0000-0000-00005A9B0000}"/>
    <cellStyle name="Note 2 2 4" xfId="226" xr:uid="{00000000-0005-0000-0000-00005B9B0000}"/>
    <cellStyle name="Note 2 2 4 2" xfId="546" xr:uid="{00000000-0005-0000-0000-00005C9B0000}"/>
    <cellStyle name="Note 2 2 4 2 2" xfId="1186" xr:uid="{00000000-0005-0000-0000-00005D9B0000}"/>
    <cellStyle name="Note 2 2 4 2 2 2" xfId="2466" xr:uid="{00000000-0005-0000-0000-00005E9B0000}"/>
    <cellStyle name="Note 2 2 4 2 2 2 2" xfId="5026" xr:uid="{00000000-0005-0000-0000-00005F9B0000}"/>
    <cellStyle name="Note 2 2 4 2 2 2 2 2" xfId="10146" xr:uid="{00000000-0005-0000-0000-0000609B0000}"/>
    <cellStyle name="Note 2 2 4 2 2 2 2 2 2" xfId="20386" xr:uid="{00000000-0005-0000-0000-0000619B0000}"/>
    <cellStyle name="Note 2 2 4 2 2 2 2 2 2 2" xfId="40866" xr:uid="{00000000-0005-0000-0000-0000629B0000}"/>
    <cellStyle name="Note 2 2 4 2 2 2 2 2 3" xfId="30626" xr:uid="{00000000-0005-0000-0000-0000639B0000}"/>
    <cellStyle name="Note 2 2 4 2 2 2 2 3" xfId="15266" xr:uid="{00000000-0005-0000-0000-0000649B0000}"/>
    <cellStyle name="Note 2 2 4 2 2 2 2 3 2" xfId="35746" xr:uid="{00000000-0005-0000-0000-0000659B0000}"/>
    <cellStyle name="Note 2 2 4 2 2 2 2 4" xfId="25506" xr:uid="{00000000-0005-0000-0000-0000669B0000}"/>
    <cellStyle name="Note 2 2 4 2 2 2 3" xfId="7586" xr:uid="{00000000-0005-0000-0000-0000679B0000}"/>
    <cellStyle name="Note 2 2 4 2 2 2 3 2" xfId="17826" xr:uid="{00000000-0005-0000-0000-0000689B0000}"/>
    <cellStyle name="Note 2 2 4 2 2 2 3 2 2" xfId="38306" xr:uid="{00000000-0005-0000-0000-0000699B0000}"/>
    <cellStyle name="Note 2 2 4 2 2 2 3 3" xfId="28066" xr:uid="{00000000-0005-0000-0000-00006A9B0000}"/>
    <cellStyle name="Note 2 2 4 2 2 2 4" xfId="12706" xr:uid="{00000000-0005-0000-0000-00006B9B0000}"/>
    <cellStyle name="Note 2 2 4 2 2 2 4 2" xfId="33186" xr:uid="{00000000-0005-0000-0000-00006C9B0000}"/>
    <cellStyle name="Note 2 2 4 2 2 2 5" xfId="22946" xr:uid="{00000000-0005-0000-0000-00006D9B0000}"/>
    <cellStyle name="Note 2 2 4 2 2 3" xfId="3746" xr:uid="{00000000-0005-0000-0000-00006E9B0000}"/>
    <cellStyle name="Note 2 2 4 2 2 3 2" xfId="8866" xr:uid="{00000000-0005-0000-0000-00006F9B0000}"/>
    <cellStyle name="Note 2 2 4 2 2 3 2 2" xfId="19106" xr:uid="{00000000-0005-0000-0000-0000709B0000}"/>
    <cellStyle name="Note 2 2 4 2 2 3 2 2 2" xfId="39586" xr:uid="{00000000-0005-0000-0000-0000719B0000}"/>
    <cellStyle name="Note 2 2 4 2 2 3 2 3" xfId="29346" xr:uid="{00000000-0005-0000-0000-0000729B0000}"/>
    <cellStyle name="Note 2 2 4 2 2 3 3" xfId="13986" xr:uid="{00000000-0005-0000-0000-0000739B0000}"/>
    <cellStyle name="Note 2 2 4 2 2 3 3 2" xfId="34466" xr:uid="{00000000-0005-0000-0000-0000749B0000}"/>
    <cellStyle name="Note 2 2 4 2 2 3 4" xfId="24226" xr:uid="{00000000-0005-0000-0000-0000759B0000}"/>
    <cellStyle name="Note 2 2 4 2 2 4" xfId="6306" xr:uid="{00000000-0005-0000-0000-0000769B0000}"/>
    <cellStyle name="Note 2 2 4 2 2 4 2" xfId="16546" xr:uid="{00000000-0005-0000-0000-0000779B0000}"/>
    <cellStyle name="Note 2 2 4 2 2 4 2 2" xfId="37026" xr:uid="{00000000-0005-0000-0000-0000789B0000}"/>
    <cellStyle name="Note 2 2 4 2 2 4 3" xfId="26786" xr:uid="{00000000-0005-0000-0000-0000799B0000}"/>
    <cellStyle name="Note 2 2 4 2 2 5" xfId="11426" xr:uid="{00000000-0005-0000-0000-00007A9B0000}"/>
    <cellStyle name="Note 2 2 4 2 2 5 2" xfId="31906" xr:uid="{00000000-0005-0000-0000-00007B9B0000}"/>
    <cellStyle name="Note 2 2 4 2 2 6" xfId="21666" xr:uid="{00000000-0005-0000-0000-00007C9B0000}"/>
    <cellStyle name="Note 2 2 4 2 3" xfId="1826" xr:uid="{00000000-0005-0000-0000-00007D9B0000}"/>
    <cellStyle name="Note 2 2 4 2 3 2" xfId="4386" xr:uid="{00000000-0005-0000-0000-00007E9B0000}"/>
    <cellStyle name="Note 2 2 4 2 3 2 2" xfId="9506" xr:uid="{00000000-0005-0000-0000-00007F9B0000}"/>
    <cellStyle name="Note 2 2 4 2 3 2 2 2" xfId="19746" xr:uid="{00000000-0005-0000-0000-0000809B0000}"/>
    <cellStyle name="Note 2 2 4 2 3 2 2 2 2" xfId="40226" xr:uid="{00000000-0005-0000-0000-0000819B0000}"/>
    <cellStyle name="Note 2 2 4 2 3 2 2 3" xfId="29986" xr:uid="{00000000-0005-0000-0000-0000829B0000}"/>
    <cellStyle name="Note 2 2 4 2 3 2 3" xfId="14626" xr:uid="{00000000-0005-0000-0000-0000839B0000}"/>
    <cellStyle name="Note 2 2 4 2 3 2 3 2" xfId="35106" xr:uid="{00000000-0005-0000-0000-0000849B0000}"/>
    <cellStyle name="Note 2 2 4 2 3 2 4" xfId="24866" xr:uid="{00000000-0005-0000-0000-0000859B0000}"/>
    <cellStyle name="Note 2 2 4 2 3 3" xfId="6946" xr:uid="{00000000-0005-0000-0000-0000869B0000}"/>
    <cellStyle name="Note 2 2 4 2 3 3 2" xfId="17186" xr:uid="{00000000-0005-0000-0000-0000879B0000}"/>
    <cellStyle name="Note 2 2 4 2 3 3 2 2" xfId="37666" xr:uid="{00000000-0005-0000-0000-0000889B0000}"/>
    <cellStyle name="Note 2 2 4 2 3 3 3" xfId="27426" xr:uid="{00000000-0005-0000-0000-0000899B0000}"/>
    <cellStyle name="Note 2 2 4 2 3 4" xfId="12066" xr:uid="{00000000-0005-0000-0000-00008A9B0000}"/>
    <cellStyle name="Note 2 2 4 2 3 4 2" xfId="32546" xr:uid="{00000000-0005-0000-0000-00008B9B0000}"/>
    <cellStyle name="Note 2 2 4 2 3 5" xfId="22306" xr:uid="{00000000-0005-0000-0000-00008C9B0000}"/>
    <cellStyle name="Note 2 2 4 2 4" xfId="3106" xr:uid="{00000000-0005-0000-0000-00008D9B0000}"/>
    <cellStyle name="Note 2 2 4 2 4 2" xfId="8226" xr:uid="{00000000-0005-0000-0000-00008E9B0000}"/>
    <cellStyle name="Note 2 2 4 2 4 2 2" xfId="18466" xr:uid="{00000000-0005-0000-0000-00008F9B0000}"/>
    <cellStyle name="Note 2 2 4 2 4 2 2 2" xfId="38946" xr:uid="{00000000-0005-0000-0000-0000909B0000}"/>
    <cellStyle name="Note 2 2 4 2 4 2 3" xfId="28706" xr:uid="{00000000-0005-0000-0000-0000919B0000}"/>
    <cellStyle name="Note 2 2 4 2 4 3" xfId="13346" xr:uid="{00000000-0005-0000-0000-0000929B0000}"/>
    <cellStyle name="Note 2 2 4 2 4 3 2" xfId="33826" xr:uid="{00000000-0005-0000-0000-0000939B0000}"/>
    <cellStyle name="Note 2 2 4 2 4 4" xfId="23586" xr:uid="{00000000-0005-0000-0000-0000949B0000}"/>
    <cellStyle name="Note 2 2 4 2 5" xfId="5666" xr:uid="{00000000-0005-0000-0000-0000959B0000}"/>
    <cellStyle name="Note 2 2 4 2 5 2" xfId="15906" xr:uid="{00000000-0005-0000-0000-0000969B0000}"/>
    <cellStyle name="Note 2 2 4 2 5 2 2" xfId="36386" xr:uid="{00000000-0005-0000-0000-0000979B0000}"/>
    <cellStyle name="Note 2 2 4 2 5 3" xfId="26146" xr:uid="{00000000-0005-0000-0000-0000989B0000}"/>
    <cellStyle name="Note 2 2 4 2 6" xfId="10786" xr:uid="{00000000-0005-0000-0000-0000999B0000}"/>
    <cellStyle name="Note 2 2 4 2 6 2" xfId="31266" xr:uid="{00000000-0005-0000-0000-00009A9B0000}"/>
    <cellStyle name="Note 2 2 4 2 7" xfId="21026" xr:uid="{00000000-0005-0000-0000-00009B9B0000}"/>
    <cellStyle name="Note 2 2 4 3" xfId="866" xr:uid="{00000000-0005-0000-0000-00009C9B0000}"/>
    <cellStyle name="Note 2 2 4 3 2" xfId="2146" xr:uid="{00000000-0005-0000-0000-00009D9B0000}"/>
    <cellStyle name="Note 2 2 4 3 2 2" xfId="4706" xr:uid="{00000000-0005-0000-0000-00009E9B0000}"/>
    <cellStyle name="Note 2 2 4 3 2 2 2" xfId="9826" xr:uid="{00000000-0005-0000-0000-00009F9B0000}"/>
    <cellStyle name="Note 2 2 4 3 2 2 2 2" xfId="20066" xr:uid="{00000000-0005-0000-0000-0000A09B0000}"/>
    <cellStyle name="Note 2 2 4 3 2 2 2 2 2" xfId="40546" xr:uid="{00000000-0005-0000-0000-0000A19B0000}"/>
    <cellStyle name="Note 2 2 4 3 2 2 2 3" xfId="30306" xr:uid="{00000000-0005-0000-0000-0000A29B0000}"/>
    <cellStyle name="Note 2 2 4 3 2 2 3" xfId="14946" xr:uid="{00000000-0005-0000-0000-0000A39B0000}"/>
    <cellStyle name="Note 2 2 4 3 2 2 3 2" xfId="35426" xr:uid="{00000000-0005-0000-0000-0000A49B0000}"/>
    <cellStyle name="Note 2 2 4 3 2 2 4" xfId="25186" xr:uid="{00000000-0005-0000-0000-0000A59B0000}"/>
    <cellStyle name="Note 2 2 4 3 2 3" xfId="7266" xr:uid="{00000000-0005-0000-0000-0000A69B0000}"/>
    <cellStyle name="Note 2 2 4 3 2 3 2" xfId="17506" xr:uid="{00000000-0005-0000-0000-0000A79B0000}"/>
    <cellStyle name="Note 2 2 4 3 2 3 2 2" xfId="37986" xr:uid="{00000000-0005-0000-0000-0000A89B0000}"/>
    <cellStyle name="Note 2 2 4 3 2 3 3" xfId="27746" xr:uid="{00000000-0005-0000-0000-0000A99B0000}"/>
    <cellStyle name="Note 2 2 4 3 2 4" xfId="12386" xr:uid="{00000000-0005-0000-0000-0000AA9B0000}"/>
    <cellStyle name="Note 2 2 4 3 2 4 2" xfId="32866" xr:uid="{00000000-0005-0000-0000-0000AB9B0000}"/>
    <cellStyle name="Note 2 2 4 3 2 5" xfId="22626" xr:uid="{00000000-0005-0000-0000-0000AC9B0000}"/>
    <cellStyle name="Note 2 2 4 3 3" xfId="3426" xr:uid="{00000000-0005-0000-0000-0000AD9B0000}"/>
    <cellStyle name="Note 2 2 4 3 3 2" xfId="8546" xr:uid="{00000000-0005-0000-0000-0000AE9B0000}"/>
    <cellStyle name="Note 2 2 4 3 3 2 2" xfId="18786" xr:uid="{00000000-0005-0000-0000-0000AF9B0000}"/>
    <cellStyle name="Note 2 2 4 3 3 2 2 2" xfId="39266" xr:uid="{00000000-0005-0000-0000-0000B09B0000}"/>
    <cellStyle name="Note 2 2 4 3 3 2 3" xfId="29026" xr:uid="{00000000-0005-0000-0000-0000B19B0000}"/>
    <cellStyle name="Note 2 2 4 3 3 3" xfId="13666" xr:uid="{00000000-0005-0000-0000-0000B29B0000}"/>
    <cellStyle name="Note 2 2 4 3 3 3 2" xfId="34146" xr:uid="{00000000-0005-0000-0000-0000B39B0000}"/>
    <cellStyle name="Note 2 2 4 3 3 4" xfId="23906" xr:uid="{00000000-0005-0000-0000-0000B49B0000}"/>
    <cellStyle name="Note 2 2 4 3 4" xfId="5986" xr:uid="{00000000-0005-0000-0000-0000B59B0000}"/>
    <cellStyle name="Note 2 2 4 3 4 2" xfId="16226" xr:uid="{00000000-0005-0000-0000-0000B69B0000}"/>
    <cellStyle name="Note 2 2 4 3 4 2 2" xfId="36706" xr:uid="{00000000-0005-0000-0000-0000B79B0000}"/>
    <cellStyle name="Note 2 2 4 3 4 3" xfId="26466" xr:uid="{00000000-0005-0000-0000-0000B89B0000}"/>
    <cellStyle name="Note 2 2 4 3 5" xfId="11106" xr:uid="{00000000-0005-0000-0000-0000B99B0000}"/>
    <cellStyle name="Note 2 2 4 3 5 2" xfId="31586" xr:uid="{00000000-0005-0000-0000-0000BA9B0000}"/>
    <cellStyle name="Note 2 2 4 3 6" xfId="21346" xr:uid="{00000000-0005-0000-0000-0000BB9B0000}"/>
    <cellStyle name="Note 2 2 4 4" xfId="1506" xr:uid="{00000000-0005-0000-0000-0000BC9B0000}"/>
    <cellStyle name="Note 2 2 4 4 2" xfId="4066" xr:uid="{00000000-0005-0000-0000-0000BD9B0000}"/>
    <cellStyle name="Note 2 2 4 4 2 2" xfId="9186" xr:uid="{00000000-0005-0000-0000-0000BE9B0000}"/>
    <cellStyle name="Note 2 2 4 4 2 2 2" xfId="19426" xr:uid="{00000000-0005-0000-0000-0000BF9B0000}"/>
    <cellStyle name="Note 2 2 4 4 2 2 2 2" xfId="39906" xr:uid="{00000000-0005-0000-0000-0000C09B0000}"/>
    <cellStyle name="Note 2 2 4 4 2 2 3" xfId="29666" xr:uid="{00000000-0005-0000-0000-0000C19B0000}"/>
    <cellStyle name="Note 2 2 4 4 2 3" xfId="14306" xr:uid="{00000000-0005-0000-0000-0000C29B0000}"/>
    <cellStyle name="Note 2 2 4 4 2 3 2" xfId="34786" xr:uid="{00000000-0005-0000-0000-0000C39B0000}"/>
    <cellStyle name="Note 2 2 4 4 2 4" xfId="24546" xr:uid="{00000000-0005-0000-0000-0000C49B0000}"/>
    <cellStyle name="Note 2 2 4 4 3" xfId="6626" xr:uid="{00000000-0005-0000-0000-0000C59B0000}"/>
    <cellStyle name="Note 2 2 4 4 3 2" xfId="16866" xr:uid="{00000000-0005-0000-0000-0000C69B0000}"/>
    <cellStyle name="Note 2 2 4 4 3 2 2" xfId="37346" xr:uid="{00000000-0005-0000-0000-0000C79B0000}"/>
    <cellStyle name="Note 2 2 4 4 3 3" xfId="27106" xr:uid="{00000000-0005-0000-0000-0000C89B0000}"/>
    <cellStyle name="Note 2 2 4 4 4" xfId="11746" xr:uid="{00000000-0005-0000-0000-0000C99B0000}"/>
    <cellStyle name="Note 2 2 4 4 4 2" xfId="32226" xr:uid="{00000000-0005-0000-0000-0000CA9B0000}"/>
    <cellStyle name="Note 2 2 4 4 5" xfId="21986" xr:uid="{00000000-0005-0000-0000-0000CB9B0000}"/>
    <cellStyle name="Note 2 2 4 5" xfId="2786" xr:uid="{00000000-0005-0000-0000-0000CC9B0000}"/>
    <cellStyle name="Note 2 2 4 5 2" xfId="7906" xr:uid="{00000000-0005-0000-0000-0000CD9B0000}"/>
    <cellStyle name="Note 2 2 4 5 2 2" xfId="18146" xr:uid="{00000000-0005-0000-0000-0000CE9B0000}"/>
    <cellStyle name="Note 2 2 4 5 2 2 2" xfId="38626" xr:uid="{00000000-0005-0000-0000-0000CF9B0000}"/>
    <cellStyle name="Note 2 2 4 5 2 3" xfId="28386" xr:uid="{00000000-0005-0000-0000-0000D09B0000}"/>
    <cellStyle name="Note 2 2 4 5 3" xfId="13026" xr:uid="{00000000-0005-0000-0000-0000D19B0000}"/>
    <cellStyle name="Note 2 2 4 5 3 2" xfId="33506" xr:uid="{00000000-0005-0000-0000-0000D29B0000}"/>
    <cellStyle name="Note 2 2 4 5 4" xfId="23266" xr:uid="{00000000-0005-0000-0000-0000D39B0000}"/>
    <cellStyle name="Note 2 2 4 6" xfId="5346" xr:uid="{00000000-0005-0000-0000-0000D49B0000}"/>
    <cellStyle name="Note 2 2 4 6 2" xfId="15586" xr:uid="{00000000-0005-0000-0000-0000D59B0000}"/>
    <cellStyle name="Note 2 2 4 6 2 2" xfId="36066" xr:uid="{00000000-0005-0000-0000-0000D69B0000}"/>
    <cellStyle name="Note 2 2 4 6 3" xfId="25826" xr:uid="{00000000-0005-0000-0000-0000D79B0000}"/>
    <cellStyle name="Note 2 2 4 7" xfId="10466" xr:uid="{00000000-0005-0000-0000-0000D89B0000}"/>
    <cellStyle name="Note 2 2 4 7 2" xfId="30946" xr:uid="{00000000-0005-0000-0000-0000D99B0000}"/>
    <cellStyle name="Note 2 2 4 8" xfId="20706" xr:uid="{00000000-0005-0000-0000-0000DA9B0000}"/>
    <cellStyle name="Note 2 2 5" xfId="386" xr:uid="{00000000-0005-0000-0000-0000DB9B0000}"/>
    <cellStyle name="Note 2 2 5 2" xfId="1026" xr:uid="{00000000-0005-0000-0000-0000DC9B0000}"/>
    <cellStyle name="Note 2 2 5 2 2" xfId="2306" xr:uid="{00000000-0005-0000-0000-0000DD9B0000}"/>
    <cellStyle name="Note 2 2 5 2 2 2" xfId="4866" xr:uid="{00000000-0005-0000-0000-0000DE9B0000}"/>
    <cellStyle name="Note 2 2 5 2 2 2 2" xfId="9986" xr:uid="{00000000-0005-0000-0000-0000DF9B0000}"/>
    <cellStyle name="Note 2 2 5 2 2 2 2 2" xfId="20226" xr:uid="{00000000-0005-0000-0000-0000E09B0000}"/>
    <cellStyle name="Note 2 2 5 2 2 2 2 2 2" xfId="40706" xr:uid="{00000000-0005-0000-0000-0000E19B0000}"/>
    <cellStyle name="Note 2 2 5 2 2 2 2 3" xfId="30466" xr:uid="{00000000-0005-0000-0000-0000E29B0000}"/>
    <cellStyle name="Note 2 2 5 2 2 2 3" xfId="15106" xr:uid="{00000000-0005-0000-0000-0000E39B0000}"/>
    <cellStyle name="Note 2 2 5 2 2 2 3 2" xfId="35586" xr:uid="{00000000-0005-0000-0000-0000E49B0000}"/>
    <cellStyle name="Note 2 2 5 2 2 2 4" xfId="25346" xr:uid="{00000000-0005-0000-0000-0000E59B0000}"/>
    <cellStyle name="Note 2 2 5 2 2 3" xfId="7426" xr:uid="{00000000-0005-0000-0000-0000E69B0000}"/>
    <cellStyle name="Note 2 2 5 2 2 3 2" xfId="17666" xr:uid="{00000000-0005-0000-0000-0000E79B0000}"/>
    <cellStyle name="Note 2 2 5 2 2 3 2 2" xfId="38146" xr:uid="{00000000-0005-0000-0000-0000E89B0000}"/>
    <cellStyle name="Note 2 2 5 2 2 3 3" xfId="27906" xr:uid="{00000000-0005-0000-0000-0000E99B0000}"/>
    <cellStyle name="Note 2 2 5 2 2 4" xfId="12546" xr:uid="{00000000-0005-0000-0000-0000EA9B0000}"/>
    <cellStyle name="Note 2 2 5 2 2 4 2" xfId="33026" xr:uid="{00000000-0005-0000-0000-0000EB9B0000}"/>
    <cellStyle name="Note 2 2 5 2 2 5" xfId="22786" xr:uid="{00000000-0005-0000-0000-0000EC9B0000}"/>
    <cellStyle name="Note 2 2 5 2 3" xfId="3586" xr:uid="{00000000-0005-0000-0000-0000ED9B0000}"/>
    <cellStyle name="Note 2 2 5 2 3 2" xfId="8706" xr:uid="{00000000-0005-0000-0000-0000EE9B0000}"/>
    <cellStyle name="Note 2 2 5 2 3 2 2" xfId="18946" xr:uid="{00000000-0005-0000-0000-0000EF9B0000}"/>
    <cellStyle name="Note 2 2 5 2 3 2 2 2" xfId="39426" xr:uid="{00000000-0005-0000-0000-0000F09B0000}"/>
    <cellStyle name="Note 2 2 5 2 3 2 3" xfId="29186" xr:uid="{00000000-0005-0000-0000-0000F19B0000}"/>
    <cellStyle name="Note 2 2 5 2 3 3" xfId="13826" xr:uid="{00000000-0005-0000-0000-0000F29B0000}"/>
    <cellStyle name="Note 2 2 5 2 3 3 2" xfId="34306" xr:uid="{00000000-0005-0000-0000-0000F39B0000}"/>
    <cellStyle name="Note 2 2 5 2 3 4" xfId="24066" xr:uid="{00000000-0005-0000-0000-0000F49B0000}"/>
    <cellStyle name="Note 2 2 5 2 4" xfId="6146" xr:uid="{00000000-0005-0000-0000-0000F59B0000}"/>
    <cellStyle name="Note 2 2 5 2 4 2" xfId="16386" xr:uid="{00000000-0005-0000-0000-0000F69B0000}"/>
    <cellStyle name="Note 2 2 5 2 4 2 2" xfId="36866" xr:uid="{00000000-0005-0000-0000-0000F79B0000}"/>
    <cellStyle name="Note 2 2 5 2 4 3" xfId="26626" xr:uid="{00000000-0005-0000-0000-0000F89B0000}"/>
    <cellStyle name="Note 2 2 5 2 5" xfId="11266" xr:uid="{00000000-0005-0000-0000-0000F99B0000}"/>
    <cellStyle name="Note 2 2 5 2 5 2" xfId="31746" xr:uid="{00000000-0005-0000-0000-0000FA9B0000}"/>
    <cellStyle name="Note 2 2 5 2 6" xfId="21506" xr:uid="{00000000-0005-0000-0000-0000FB9B0000}"/>
    <cellStyle name="Note 2 2 5 3" xfId="1666" xr:uid="{00000000-0005-0000-0000-0000FC9B0000}"/>
    <cellStyle name="Note 2 2 5 3 2" xfId="4226" xr:uid="{00000000-0005-0000-0000-0000FD9B0000}"/>
    <cellStyle name="Note 2 2 5 3 2 2" xfId="9346" xr:uid="{00000000-0005-0000-0000-0000FE9B0000}"/>
    <cellStyle name="Note 2 2 5 3 2 2 2" xfId="19586" xr:uid="{00000000-0005-0000-0000-0000FF9B0000}"/>
    <cellStyle name="Note 2 2 5 3 2 2 2 2" xfId="40066" xr:uid="{00000000-0005-0000-0000-0000009C0000}"/>
    <cellStyle name="Note 2 2 5 3 2 2 3" xfId="29826" xr:uid="{00000000-0005-0000-0000-0000019C0000}"/>
    <cellStyle name="Note 2 2 5 3 2 3" xfId="14466" xr:uid="{00000000-0005-0000-0000-0000029C0000}"/>
    <cellStyle name="Note 2 2 5 3 2 3 2" xfId="34946" xr:uid="{00000000-0005-0000-0000-0000039C0000}"/>
    <cellStyle name="Note 2 2 5 3 2 4" xfId="24706" xr:uid="{00000000-0005-0000-0000-0000049C0000}"/>
    <cellStyle name="Note 2 2 5 3 3" xfId="6786" xr:uid="{00000000-0005-0000-0000-0000059C0000}"/>
    <cellStyle name="Note 2 2 5 3 3 2" xfId="17026" xr:uid="{00000000-0005-0000-0000-0000069C0000}"/>
    <cellStyle name="Note 2 2 5 3 3 2 2" xfId="37506" xr:uid="{00000000-0005-0000-0000-0000079C0000}"/>
    <cellStyle name="Note 2 2 5 3 3 3" xfId="27266" xr:uid="{00000000-0005-0000-0000-0000089C0000}"/>
    <cellStyle name="Note 2 2 5 3 4" xfId="11906" xr:uid="{00000000-0005-0000-0000-0000099C0000}"/>
    <cellStyle name="Note 2 2 5 3 4 2" xfId="32386" xr:uid="{00000000-0005-0000-0000-00000A9C0000}"/>
    <cellStyle name="Note 2 2 5 3 5" xfId="22146" xr:uid="{00000000-0005-0000-0000-00000B9C0000}"/>
    <cellStyle name="Note 2 2 5 4" xfId="2946" xr:uid="{00000000-0005-0000-0000-00000C9C0000}"/>
    <cellStyle name="Note 2 2 5 4 2" xfId="8066" xr:uid="{00000000-0005-0000-0000-00000D9C0000}"/>
    <cellStyle name="Note 2 2 5 4 2 2" xfId="18306" xr:uid="{00000000-0005-0000-0000-00000E9C0000}"/>
    <cellStyle name="Note 2 2 5 4 2 2 2" xfId="38786" xr:uid="{00000000-0005-0000-0000-00000F9C0000}"/>
    <cellStyle name="Note 2 2 5 4 2 3" xfId="28546" xr:uid="{00000000-0005-0000-0000-0000109C0000}"/>
    <cellStyle name="Note 2 2 5 4 3" xfId="13186" xr:uid="{00000000-0005-0000-0000-0000119C0000}"/>
    <cellStyle name="Note 2 2 5 4 3 2" xfId="33666" xr:uid="{00000000-0005-0000-0000-0000129C0000}"/>
    <cellStyle name="Note 2 2 5 4 4" xfId="23426" xr:uid="{00000000-0005-0000-0000-0000139C0000}"/>
    <cellStyle name="Note 2 2 5 5" xfId="5506" xr:uid="{00000000-0005-0000-0000-0000149C0000}"/>
    <cellStyle name="Note 2 2 5 5 2" xfId="15746" xr:uid="{00000000-0005-0000-0000-0000159C0000}"/>
    <cellStyle name="Note 2 2 5 5 2 2" xfId="36226" xr:uid="{00000000-0005-0000-0000-0000169C0000}"/>
    <cellStyle name="Note 2 2 5 5 3" xfId="25986" xr:uid="{00000000-0005-0000-0000-0000179C0000}"/>
    <cellStyle name="Note 2 2 5 6" xfId="10626" xr:uid="{00000000-0005-0000-0000-0000189C0000}"/>
    <cellStyle name="Note 2 2 5 6 2" xfId="31106" xr:uid="{00000000-0005-0000-0000-0000199C0000}"/>
    <cellStyle name="Note 2 2 5 7" xfId="20866" xr:uid="{00000000-0005-0000-0000-00001A9C0000}"/>
    <cellStyle name="Note 2 2 6" xfId="706" xr:uid="{00000000-0005-0000-0000-00001B9C0000}"/>
    <cellStyle name="Note 2 2 6 2" xfId="1986" xr:uid="{00000000-0005-0000-0000-00001C9C0000}"/>
    <cellStyle name="Note 2 2 6 2 2" xfId="4546" xr:uid="{00000000-0005-0000-0000-00001D9C0000}"/>
    <cellStyle name="Note 2 2 6 2 2 2" xfId="9666" xr:uid="{00000000-0005-0000-0000-00001E9C0000}"/>
    <cellStyle name="Note 2 2 6 2 2 2 2" xfId="19906" xr:uid="{00000000-0005-0000-0000-00001F9C0000}"/>
    <cellStyle name="Note 2 2 6 2 2 2 2 2" xfId="40386" xr:uid="{00000000-0005-0000-0000-0000209C0000}"/>
    <cellStyle name="Note 2 2 6 2 2 2 3" xfId="30146" xr:uid="{00000000-0005-0000-0000-0000219C0000}"/>
    <cellStyle name="Note 2 2 6 2 2 3" xfId="14786" xr:uid="{00000000-0005-0000-0000-0000229C0000}"/>
    <cellStyle name="Note 2 2 6 2 2 3 2" xfId="35266" xr:uid="{00000000-0005-0000-0000-0000239C0000}"/>
    <cellStyle name="Note 2 2 6 2 2 4" xfId="25026" xr:uid="{00000000-0005-0000-0000-0000249C0000}"/>
    <cellStyle name="Note 2 2 6 2 3" xfId="7106" xr:uid="{00000000-0005-0000-0000-0000259C0000}"/>
    <cellStyle name="Note 2 2 6 2 3 2" xfId="17346" xr:uid="{00000000-0005-0000-0000-0000269C0000}"/>
    <cellStyle name="Note 2 2 6 2 3 2 2" xfId="37826" xr:uid="{00000000-0005-0000-0000-0000279C0000}"/>
    <cellStyle name="Note 2 2 6 2 3 3" xfId="27586" xr:uid="{00000000-0005-0000-0000-0000289C0000}"/>
    <cellStyle name="Note 2 2 6 2 4" xfId="12226" xr:uid="{00000000-0005-0000-0000-0000299C0000}"/>
    <cellStyle name="Note 2 2 6 2 4 2" xfId="32706" xr:uid="{00000000-0005-0000-0000-00002A9C0000}"/>
    <cellStyle name="Note 2 2 6 2 5" xfId="22466" xr:uid="{00000000-0005-0000-0000-00002B9C0000}"/>
    <cellStyle name="Note 2 2 6 3" xfId="3266" xr:uid="{00000000-0005-0000-0000-00002C9C0000}"/>
    <cellStyle name="Note 2 2 6 3 2" xfId="8386" xr:uid="{00000000-0005-0000-0000-00002D9C0000}"/>
    <cellStyle name="Note 2 2 6 3 2 2" xfId="18626" xr:uid="{00000000-0005-0000-0000-00002E9C0000}"/>
    <cellStyle name="Note 2 2 6 3 2 2 2" xfId="39106" xr:uid="{00000000-0005-0000-0000-00002F9C0000}"/>
    <cellStyle name="Note 2 2 6 3 2 3" xfId="28866" xr:uid="{00000000-0005-0000-0000-0000309C0000}"/>
    <cellStyle name="Note 2 2 6 3 3" xfId="13506" xr:uid="{00000000-0005-0000-0000-0000319C0000}"/>
    <cellStyle name="Note 2 2 6 3 3 2" xfId="33986" xr:uid="{00000000-0005-0000-0000-0000329C0000}"/>
    <cellStyle name="Note 2 2 6 3 4" xfId="23746" xr:uid="{00000000-0005-0000-0000-0000339C0000}"/>
    <cellStyle name="Note 2 2 6 4" xfId="5826" xr:uid="{00000000-0005-0000-0000-0000349C0000}"/>
    <cellStyle name="Note 2 2 6 4 2" xfId="16066" xr:uid="{00000000-0005-0000-0000-0000359C0000}"/>
    <cellStyle name="Note 2 2 6 4 2 2" xfId="36546" xr:uid="{00000000-0005-0000-0000-0000369C0000}"/>
    <cellStyle name="Note 2 2 6 4 3" xfId="26306" xr:uid="{00000000-0005-0000-0000-0000379C0000}"/>
    <cellStyle name="Note 2 2 6 5" xfId="10946" xr:uid="{00000000-0005-0000-0000-0000389C0000}"/>
    <cellStyle name="Note 2 2 6 5 2" xfId="31426" xr:uid="{00000000-0005-0000-0000-0000399C0000}"/>
    <cellStyle name="Note 2 2 6 6" xfId="21186" xr:uid="{00000000-0005-0000-0000-00003A9C0000}"/>
    <cellStyle name="Note 2 2 7" xfId="1346" xr:uid="{00000000-0005-0000-0000-00003B9C0000}"/>
    <cellStyle name="Note 2 2 7 2" xfId="3906" xr:uid="{00000000-0005-0000-0000-00003C9C0000}"/>
    <cellStyle name="Note 2 2 7 2 2" xfId="9026" xr:uid="{00000000-0005-0000-0000-00003D9C0000}"/>
    <cellStyle name="Note 2 2 7 2 2 2" xfId="19266" xr:uid="{00000000-0005-0000-0000-00003E9C0000}"/>
    <cellStyle name="Note 2 2 7 2 2 2 2" xfId="39746" xr:uid="{00000000-0005-0000-0000-00003F9C0000}"/>
    <cellStyle name="Note 2 2 7 2 2 3" xfId="29506" xr:uid="{00000000-0005-0000-0000-0000409C0000}"/>
    <cellStyle name="Note 2 2 7 2 3" xfId="14146" xr:uid="{00000000-0005-0000-0000-0000419C0000}"/>
    <cellStyle name="Note 2 2 7 2 3 2" xfId="34626" xr:uid="{00000000-0005-0000-0000-0000429C0000}"/>
    <cellStyle name="Note 2 2 7 2 4" xfId="24386" xr:uid="{00000000-0005-0000-0000-0000439C0000}"/>
    <cellStyle name="Note 2 2 7 3" xfId="6466" xr:uid="{00000000-0005-0000-0000-0000449C0000}"/>
    <cellStyle name="Note 2 2 7 3 2" xfId="16706" xr:uid="{00000000-0005-0000-0000-0000459C0000}"/>
    <cellStyle name="Note 2 2 7 3 2 2" xfId="37186" xr:uid="{00000000-0005-0000-0000-0000469C0000}"/>
    <cellStyle name="Note 2 2 7 3 3" xfId="26946" xr:uid="{00000000-0005-0000-0000-0000479C0000}"/>
    <cellStyle name="Note 2 2 7 4" xfId="11586" xr:uid="{00000000-0005-0000-0000-0000489C0000}"/>
    <cellStyle name="Note 2 2 7 4 2" xfId="32066" xr:uid="{00000000-0005-0000-0000-0000499C0000}"/>
    <cellStyle name="Note 2 2 7 5" xfId="21826" xr:uid="{00000000-0005-0000-0000-00004A9C0000}"/>
    <cellStyle name="Note 2 2 8" xfId="2626" xr:uid="{00000000-0005-0000-0000-00004B9C0000}"/>
    <cellStyle name="Note 2 2 8 2" xfId="7746" xr:uid="{00000000-0005-0000-0000-00004C9C0000}"/>
    <cellStyle name="Note 2 2 8 2 2" xfId="17986" xr:uid="{00000000-0005-0000-0000-00004D9C0000}"/>
    <cellStyle name="Note 2 2 8 2 2 2" xfId="38466" xr:uid="{00000000-0005-0000-0000-00004E9C0000}"/>
    <cellStyle name="Note 2 2 8 2 3" xfId="28226" xr:uid="{00000000-0005-0000-0000-00004F9C0000}"/>
    <cellStyle name="Note 2 2 8 3" xfId="12866" xr:uid="{00000000-0005-0000-0000-0000509C0000}"/>
    <cellStyle name="Note 2 2 8 3 2" xfId="33346" xr:uid="{00000000-0005-0000-0000-0000519C0000}"/>
    <cellStyle name="Note 2 2 8 4" xfId="23106" xr:uid="{00000000-0005-0000-0000-0000529C0000}"/>
    <cellStyle name="Note 2 2 9" xfId="5186" xr:uid="{00000000-0005-0000-0000-0000539C0000}"/>
    <cellStyle name="Note 2 2 9 2" xfId="15426" xr:uid="{00000000-0005-0000-0000-0000549C0000}"/>
    <cellStyle name="Note 2 2 9 2 2" xfId="35906" xr:uid="{00000000-0005-0000-0000-0000559C0000}"/>
    <cellStyle name="Note 2 2 9 3" xfId="25666" xr:uid="{00000000-0005-0000-0000-0000569C0000}"/>
    <cellStyle name="Note 2 3" xfId="86" xr:uid="{00000000-0005-0000-0000-0000579C0000}"/>
    <cellStyle name="Note 2 3 10" xfId="20566" xr:uid="{00000000-0005-0000-0000-0000589C0000}"/>
    <cellStyle name="Note 2 3 2" xfId="166" xr:uid="{00000000-0005-0000-0000-0000599C0000}"/>
    <cellStyle name="Note 2 3 2 2" xfId="326" xr:uid="{00000000-0005-0000-0000-00005A9C0000}"/>
    <cellStyle name="Note 2 3 2 2 2" xfId="646" xr:uid="{00000000-0005-0000-0000-00005B9C0000}"/>
    <cellStyle name="Note 2 3 2 2 2 2" xfId="1286" xr:uid="{00000000-0005-0000-0000-00005C9C0000}"/>
    <cellStyle name="Note 2 3 2 2 2 2 2" xfId="2566" xr:uid="{00000000-0005-0000-0000-00005D9C0000}"/>
    <cellStyle name="Note 2 3 2 2 2 2 2 2" xfId="5126" xr:uid="{00000000-0005-0000-0000-00005E9C0000}"/>
    <cellStyle name="Note 2 3 2 2 2 2 2 2 2" xfId="10246" xr:uid="{00000000-0005-0000-0000-00005F9C0000}"/>
    <cellStyle name="Note 2 3 2 2 2 2 2 2 2 2" xfId="20486" xr:uid="{00000000-0005-0000-0000-0000609C0000}"/>
    <cellStyle name="Note 2 3 2 2 2 2 2 2 2 2 2" xfId="40966" xr:uid="{00000000-0005-0000-0000-0000619C0000}"/>
    <cellStyle name="Note 2 3 2 2 2 2 2 2 2 3" xfId="30726" xr:uid="{00000000-0005-0000-0000-0000629C0000}"/>
    <cellStyle name="Note 2 3 2 2 2 2 2 2 3" xfId="15366" xr:uid="{00000000-0005-0000-0000-0000639C0000}"/>
    <cellStyle name="Note 2 3 2 2 2 2 2 2 3 2" xfId="35846" xr:uid="{00000000-0005-0000-0000-0000649C0000}"/>
    <cellStyle name="Note 2 3 2 2 2 2 2 2 4" xfId="25606" xr:uid="{00000000-0005-0000-0000-0000659C0000}"/>
    <cellStyle name="Note 2 3 2 2 2 2 2 3" xfId="7686" xr:uid="{00000000-0005-0000-0000-0000669C0000}"/>
    <cellStyle name="Note 2 3 2 2 2 2 2 3 2" xfId="17926" xr:uid="{00000000-0005-0000-0000-0000679C0000}"/>
    <cellStyle name="Note 2 3 2 2 2 2 2 3 2 2" xfId="38406" xr:uid="{00000000-0005-0000-0000-0000689C0000}"/>
    <cellStyle name="Note 2 3 2 2 2 2 2 3 3" xfId="28166" xr:uid="{00000000-0005-0000-0000-0000699C0000}"/>
    <cellStyle name="Note 2 3 2 2 2 2 2 4" xfId="12806" xr:uid="{00000000-0005-0000-0000-00006A9C0000}"/>
    <cellStyle name="Note 2 3 2 2 2 2 2 4 2" xfId="33286" xr:uid="{00000000-0005-0000-0000-00006B9C0000}"/>
    <cellStyle name="Note 2 3 2 2 2 2 2 5" xfId="23046" xr:uid="{00000000-0005-0000-0000-00006C9C0000}"/>
    <cellStyle name="Note 2 3 2 2 2 2 3" xfId="3846" xr:uid="{00000000-0005-0000-0000-00006D9C0000}"/>
    <cellStyle name="Note 2 3 2 2 2 2 3 2" xfId="8966" xr:uid="{00000000-0005-0000-0000-00006E9C0000}"/>
    <cellStyle name="Note 2 3 2 2 2 2 3 2 2" xfId="19206" xr:uid="{00000000-0005-0000-0000-00006F9C0000}"/>
    <cellStyle name="Note 2 3 2 2 2 2 3 2 2 2" xfId="39686" xr:uid="{00000000-0005-0000-0000-0000709C0000}"/>
    <cellStyle name="Note 2 3 2 2 2 2 3 2 3" xfId="29446" xr:uid="{00000000-0005-0000-0000-0000719C0000}"/>
    <cellStyle name="Note 2 3 2 2 2 2 3 3" xfId="14086" xr:uid="{00000000-0005-0000-0000-0000729C0000}"/>
    <cellStyle name="Note 2 3 2 2 2 2 3 3 2" xfId="34566" xr:uid="{00000000-0005-0000-0000-0000739C0000}"/>
    <cellStyle name="Note 2 3 2 2 2 2 3 4" xfId="24326" xr:uid="{00000000-0005-0000-0000-0000749C0000}"/>
    <cellStyle name="Note 2 3 2 2 2 2 4" xfId="6406" xr:uid="{00000000-0005-0000-0000-0000759C0000}"/>
    <cellStyle name="Note 2 3 2 2 2 2 4 2" xfId="16646" xr:uid="{00000000-0005-0000-0000-0000769C0000}"/>
    <cellStyle name="Note 2 3 2 2 2 2 4 2 2" xfId="37126" xr:uid="{00000000-0005-0000-0000-0000779C0000}"/>
    <cellStyle name="Note 2 3 2 2 2 2 4 3" xfId="26886" xr:uid="{00000000-0005-0000-0000-0000789C0000}"/>
    <cellStyle name="Note 2 3 2 2 2 2 5" xfId="11526" xr:uid="{00000000-0005-0000-0000-0000799C0000}"/>
    <cellStyle name="Note 2 3 2 2 2 2 5 2" xfId="32006" xr:uid="{00000000-0005-0000-0000-00007A9C0000}"/>
    <cellStyle name="Note 2 3 2 2 2 2 6" xfId="21766" xr:uid="{00000000-0005-0000-0000-00007B9C0000}"/>
    <cellStyle name="Note 2 3 2 2 2 3" xfId="1926" xr:uid="{00000000-0005-0000-0000-00007C9C0000}"/>
    <cellStyle name="Note 2 3 2 2 2 3 2" xfId="4486" xr:uid="{00000000-0005-0000-0000-00007D9C0000}"/>
    <cellStyle name="Note 2 3 2 2 2 3 2 2" xfId="9606" xr:uid="{00000000-0005-0000-0000-00007E9C0000}"/>
    <cellStyle name="Note 2 3 2 2 2 3 2 2 2" xfId="19846" xr:uid="{00000000-0005-0000-0000-00007F9C0000}"/>
    <cellStyle name="Note 2 3 2 2 2 3 2 2 2 2" xfId="40326" xr:uid="{00000000-0005-0000-0000-0000809C0000}"/>
    <cellStyle name="Note 2 3 2 2 2 3 2 2 3" xfId="30086" xr:uid="{00000000-0005-0000-0000-0000819C0000}"/>
    <cellStyle name="Note 2 3 2 2 2 3 2 3" xfId="14726" xr:uid="{00000000-0005-0000-0000-0000829C0000}"/>
    <cellStyle name="Note 2 3 2 2 2 3 2 3 2" xfId="35206" xr:uid="{00000000-0005-0000-0000-0000839C0000}"/>
    <cellStyle name="Note 2 3 2 2 2 3 2 4" xfId="24966" xr:uid="{00000000-0005-0000-0000-0000849C0000}"/>
    <cellStyle name="Note 2 3 2 2 2 3 3" xfId="7046" xr:uid="{00000000-0005-0000-0000-0000859C0000}"/>
    <cellStyle name="Note 2 3 2 2 2 3 3 2" xfId="17286" xr:uid="{00000000-0005-0000-0000-0000869C0000}"/>
    <cellStyle name="Note 2 3 2 2 2 3 3 2 2" xfId="37766" xr:uid="{00000000-0005-0000-0000-0000879C0000}"/>
    <cellStyle name="Note 2 3 2 2 2 3 3 3" xfId="27526" xr:uid="{00000000-0005-0000-0000-0000889C0000}"/>
    <cellStyle name="Note 2 3 2 2 2 3 4" xfId="12166" xr:uid="{00000000-0005-0000-0000-0000899C0000}"/>
    <cellStyle name="Note 2 3 2 2 2 3 4 2" xfId="32646" xr:uid="{00000000-0005-0000-0000-00008A9C0000}"/>
    <cellStyle name="Note 2 3 2 2 2 3 5" xfId="22406" xr:uid="{00000000-0005-0000-0000-00008B9C0000}"/>
    <cellStyle name="Note 2 3 2 2 2 4" xfId="3206" xr:uid="{00000000-0005-0000-0000-00008C9C0000}"/>
    <cellStyle name="Note 2 3 2 2 2 4 2" xfId="8326" xr:uid="{00000000-0005-0000-0000-00008D9C0000}"/>
    <cellStyle name="Note 2 3 2 2 2 4 2 2" xfId="18566" xr:uid="{00000000-0005-0000-0000-00008E9C0000}"/>
    <cellStyle name="Note 2 3 2 2 2 4 2 2 2" xfId="39046" xr:uid="{00000000-0005-0000-0000-00008F9C0000}"/>
    <cellStyle name="Note 2 3 2 2 2 4 2 3" xfId="28806" xr:uid="{00000000-0005-0000-0000-0000909C0000}"/>
    <cellStyle name="Note 2 3 2 2 2 4 3" xfId="13446" xr:uid="{00000000-0005-0000-0000-0000919C0000}"/>
    <cellStyle name="Note 2 3 2 2 2 4 3 2" xfId="33926" xr:uid="{00000000-0005-0000-0000-0000929C0000}"/>
    <cellStyle name="Note 2 3 2 2 2 4 4" xfId="23686" xr:uid="{00000000-0005-0000-0000-0000939C0000}"/>
    <cellStyle name="Note 2 3 2 2 2 5" xfId="5766" xr:uid="{00000000-0005-0000-0000-0000949C0000}"/>
    <cellStyle name="Note 2 3 2 2 2 5 2" xfId="16006" xr:uid="{00000000-0005-0000-0000-0000959C0000}"/>
    <cellStyle name="Note 2 3 2 2 2 5 2 2" xfId="36486" xr:uid="{00000000-0005-0000-0000-0000969C0000}"/>
    <cellStyle name="Note 2 3 2 2 2 5 3" xfId="26246" xr:uid="{00000000-0005-0000-0000-0000979C0000}"/>
    <cellStyle name="Note 2 3 2 2 2 6" xfId="10886" xr:uid="{00000000-0005-0000-0000-0000989C0000}"/>
    <cellStyle name="Note 2 3 2 2 2 6 2" xfId="31366" xr:uid="{00000000-0005-0000-0000-0000999C0000}"/>
    <cellStyle name="Note 2 3 2 2 2 7" xfId="21126" xr:uid="{00000000-0005-0000-0000-00009A9C0000}"/>
    <cellStyle name="Note 2 3 2 2 3" xfId="966" xr:uid="{00000000-0005-0000-0000-00009B9C0000}"/>
    <cellStyle name="Note 2 3 2 2 3 2" xfId="2246" xr:uid="{00000000-0005-0000-0000-00009C9C0000}"/>
    <cellStyle name="Note 2 3 2 2 3 2 2" xfId="4806" xr:uid="{00000000-0005-0000-0000-00009D9C0000}"/>
    <cellStyle name="Note 2 3 2 2 3 2 2 2" xfId="9926" xr:uid="{00000000-0005-0000-0000-00009E9C0000}"/>
    <cellStyle name="Note 2 3 2 2 3 2 2 2 2" xfId="20166" xr:uid="{00000000-0005-0000-0000-00009F9C0000}"/>
    <cellStyle name="Note 2 3 2 2 3 2 2 2 2 2" xfId="40646" xr:uid="{00000000-0005-0000-0000-0000A09C0000}"/>
    <cellStyle name="Note 2 3 2 2 3 2 2 2 3" xfId="30406" xr:uid="{00000000-0005-0000-0000-0000A19C0000}"/>
    <cellStyle name="Note 2 3 2 2 3 2 2 3" xfId="15046" xr:uid="{00000000-0005-0000-0000-0000A29C0000}"/>
    <cellStyle name="Note 2 3 2 2 3 2 2 3 2" xfId="35526" xr:uid="{00000000-0005-0000-0000-0000A39C0000}"/>
    <cellStyle name="Note 2 3 2 2 3 2 2 4" xfId="25286" xr:uid="{00000000-0005-0000-0000-0000A49C0000}"/>
    <cellStyle name="Note 2 3 2 2 3 2 3" xfId="7366" xr:uid="{00000000-0005-0000-0000-0000A59C0000}"/>
    <cellStyle name="Note 2 3 2 2 3 2 3 2" xfId="17606" xr:uid="{00000000-0005-0000-0000-0000A69C0000}"/>
    <cellStyle name="Note 2 3 2 2 3 2 3 2 2" xfId="38086" xr:uid="{00000000-0005-0000-0000-0000A79C0000}"/>
    <cellStyle name="Note 2 3 2 2 3 2 3 3" xfId="27846" xr:uid="{00000000-0005-0000-0000-0000A89C0000}"/>
    <cellStyle name="Note 2 3 2 2 3 2 4" xfId="12486" xr:uid="{00000000-0005-0000-0000-0000A99C0000}"/>
    <cellStyle name="Note 2 3 2 2 3 2 4 2" xfId="32966" xr:uid="{00000000-0005-0000-0000-0000AA9C0000}"/>
    <cellStyle name="Note 2 3 2 2 3 2 5" xfId="22726" xr:uid="{00000000-0005-0000-0000-0000AB9C0000}"/>
    <cellStyle name="Note 2 3 2 2 3 3" xfId="3526" xr:uid="{00000000-0005-0000-0000-0000AC9C0000}"/>
    <cellStyle name="Note 2 3 2 2 3 3 2" xfId="8646" xr:uid="{00000000-0005-0000-0000-0000AD9C0000}"/>
    <cellStyle name="Note 2 3 2 2 3 3 2 2" xfId="18886" xr:uid="{00000000-0005-0000-0000-0000AE9C0000}"/>
    <cellStyle name="Note 2 3 2 2 3 3 2 2 2" xfId="39366" xr:uid="{00000000-0005-0000-0000-0000AF9C0000}"/>
    <cellStyle name="Note 2 3 2 2 3 3 2 3" xfId="29126" xr:uid="{00000000-0005-0000-0000-0000B09C0000}"/>
    <cellStyle name="Note 2 3 2 2 3 3 3" xfId="13766" xr:uid="{00000000-0005-0000-0000-0000B19C0000}"/>
    <cellStyle name="Note 2 3 2 2 3 3 3 2" xfId="34246" xr:uid="{00000000-0005-0000-0000-0000B29C0000}"/>
    <cellStyle name="Note 2 3 2 2 3 3 4" xfId="24006" xr:uid="{00000000-0005-0000-0000-0000B39C0000}"/>
    <cellStyle name="Note 2 3 2 2 3 4" xfId="6086" xr:uid="{00000000-0005-0000-0000-0000B49C0000}"/>
    <cellStyle name="Note 2 3 2 2 3 4 2" xfId="16326" xr:uid="{00000000-0005-0000-0000-0000B59C0000}"/>
    <cellStyle name="Note 2 3 2 2 3 4 2 2" xfId="36806" xr:uid="{00000000-0005-0000-0000-0000B69C0000}"/>
    <cellStyle name="Note 2 3 2 2 3 4 3" xfId="26566" xr:uid="{00000000-0005-0000-0000-0000B79C0000}"/>
    <cellStyle name="Note 2 3 2 2 3 5" xfId="11206" xr:uid="{00000000-0005-0000-0000-0000B89C0000}"/>
    <cellStyle name="Note 2 3 2 2 3 5 2" xfId="31686" xr:uid="{00000000-0005-0000-0000-0000B99C0000}"/>
    <cellStyle name="Note 2 3 2 2 3 6" xfId="21446" xr:uid="{00000000-0005-0000-0000-0000BA9C0000}"/>
    <cellStyle name="Note 2 3 2 2 4" xfId="1606" xr:uid="{00000000-0005-0000-0000-0000BB9C0000}"/>
    <cellStyle name="Note 2 3 2 2 4 2" xfId="4166" xr:uid="{00000000-0005-0000-0000-0000BC9C0000}"/>
    <cellStyle name="Note 2 3 2 2 4 2 2" xfId="9286" xr:uid="{00000000-0005-0000-0000-0000BD9C0000}"/>
    <cellStyle name="Note 2 3 2 2 4 2 2 2" xfId="19526" xr:uid="{00000000-0005-0000-0000-0000BE9C0000}"/>
    <cellStyle name="Note 2 3 2 2 4 2 2 2 2" xfId="40006" xr:uid="{00000000-0005-0000-0000-0000BF9C0000}"/>
    <cellStyle name="Note 2 3 2 2 4 2 2 3" xfId="29766" xr:uid="{00000000-0005-0000-0000-0000C09C0000}"/>
    <cellStyle name="Note 2 3 2 2 4 2 3" xfId="14406" xr:uid="{00000000-0005-0000-0000-0000C19C0000}"/>
    <cellStyle name="Note 2 3 2 2 4 2 3 2" xfId="34886" xr:uid="{00000000-0005-0000-0000-0000C29C0000}"/>
    <cellStyle name="Note 2 3 2 2 4 2 4" xfId="24646" xr:uid="{00000000-0005-0000-0000-0000C39C0000}"/>
    <cellStyle name="Note 2 3 2 2 4 3" xfId="6726" xr:uid="{00000000-0005-0000-0000-0000C49C0000}"/>
    <cellStyle name="Note 2 3 2 2 4 3 2" xfId="16966" xr:uid="{00000000-0005-0000-0000-0000C59C0000}"/>
    <cellStyle name="Note 2 3 2 2 4 3 2 2" xfId="37446" xr:uid="{00000000-0005-0000-0000-0000C69C0000}"/>
    <cellStyle name="Note 2 3 2 2 4 3 3" xfId="27206" xr:uid="{00000000-0005-0000-0000-0000C79C0000}"/>
    <cellStyle name="Note 2 3 2 2 4 4" xfId="11846" xr:uid="{00000000-0005-0000-0000-0000C89C0000}"/>
    <cellStyle name="Note 2 3 2 2 4 4 2" xfId="32326" xr:uid="{00000000-0005-0000-0000-0000C99C0000}"/>
    <cellStyle name="Note 2 3 2 2 4 5" xfId="22086" xr:uid="{00000000-0005-0000-0000-0000CA9C0000}"/>
    <cellStyle name="Note 2 3 2 2 5" xfId="2886" xr:uid="{00000000-0005-0000-0000-0000CB9C0000}"/>
    <cellStyle name="Note 2 3 2 2 5 2" xfId="8006" xr:uid="{00000000-0005-0000-0000-0000CC9C0000}"/>
    <cellStyle name="Note 2 3 2 2 5 2 2" xfId="18246" xr:uid="{00000000-0005-0000-0000-0000CD9C0000}"/>
    <cellStyle name="Note 2 3 2 2 5 2 2 2" xfId="38726" xr:uid="{00000000-0005-0000-0000-0000CE9C0000}"/>
    <cellStyle name="Note 2 3 2 2 5 2 3" xfId="28486" xr:uid="{00000000-0005-0000-0000-0000CF9C0000}"/>
    <cellStyle name="Note 2 3 2 2 5 3" xfId="13126" xr:uid="{00000000-0005-0000-0000-0000D09C0000}"/>
    <cellStyle name="Note 2 3 2 2 5 3 2" xfId="33606" xr:uid="{00000000-0005-0000-0000-0000D19C0000}"/>
    <cellStyle name="Note 2 3 2 2 5 4" xfId="23366" xr:uid="{00000000-0005-0000-0000-0000D29C0000}"/>
    <cellStyle name="Note 2 3 2 2 6" xfId="5446" xr:uid="{00000000-0005-0000-0000-0000D39C0000}"/>
    <cellStyle name="Note 2 3 2 2 6 2" xfId="15686" xr:uid="{00000000-0005-0000-0000-0000D49C0000}"/>
    <cellStyle name="Note 2 3 2 2 6 2 2" xfId="36166" xr:uid="{00000000-0005-0000-0000-0000D59C0000}"/>
    <cellStyle name="Note 2 3 2 2 6 3" xfId="25926" xr:uid="{00000000-0005-0000-0000-0000D69C0000}"/>
    <cellStyle name="Note 2 3 2 2 7" xfId="10566" xr:uid="{00000000-0005-0000-0000-0000D79C0000}"/>
    <cellStyle name="Note 2 3 2 2 7 2" xfId="31046" xr:uid="{00000000-0005-0000-0000-0000D89C0000}"/>
    <cellStyle name="Note 2 3 2 2 8" xfId="20806" xr:uid="{00000000-0005-0000-0000-0000D99C0000}"/>
    <cellStyle name="Note 2 3 2 3" xfId="486" xr:uid="{00000000-0005-0000-0000-0000DA9C0000}"/>
    <cellStyle name="Note 2 3 2 3 2" xfId="1126" xr:uid="{00000000-0005-0000-0000-0000DB9C0000}"/>
    <cellStyle name="Note 2 3 2 3 2 2" xfId="2406" xr:uid="{00000000-0005-0000-0000-0000DC9C0000}"/>
    <cellStyle name="Note 2 3 2 3 2 2 2" xfId="4966" xr:uid="{00000000-0005-0000-0000-0000DD9C0000}"/>
    <cellStyle name="Note 2 3 2 3 2 2 2 2" xfId="10086" xr:uid="{00000000-0005-0000-0000-0000DE9C0000}"/>
    <cellStyle name="Note 2 3 2 3 2 2 2 2 2" xfId="20326" xr:uid="{00000000-0005-0000-0000-0000DF9C0000}"/>
    <cellStyle name="Note 2 3 2 3 2 2 2 2 2 2" xfId="40806" xr:uid="{00000000-0005-0000-0000-0000E09C0000}"/>
    <cellStyle name="Note 2 3 2 3 2 2 2 2 3" xfId="30566" xr:uid="{00000000-0005-0000-0000-0000E19C0000}"/>
    <cellStyle name="Note 2 3 2 3 2 2 2 3" xfId="15206" xr:uid="{00000000-0005-0000-0000-0000E29C0000}"/>
    <cellStyle name="Note 2 3 2 3 2 2 2 3 2" xfId="35686" xr:uid="{00000000-0005-0000-0000-0000E39C0000}"/>
    <cellStyle name="Note 2 3 2 3 2 2 2 4" xfId="25446" xr:uid="{00000000-0005-0000-0000-0000E49C0000}"/>
    <cellStyle name="Note 2 3 2 3 2 2 3" xfId="7526" xr:uid="{00000000-0005-0000-0000-0000E59C0000}"/>
    <cellStyle name="Note 2 3 2 3 2 2 3 2" xfId="17766" xr:uid="{00000000-0005-0000-0000-0000E69C0000}"/>
    <cellStyle name="Note 2 3 2 3 2 2 3 2 2" xfId="38246" xr:uid="{00000000-0005-0000-0000-0000E79C0000}"/>
    <cellStyle name="Note 2 3 2 3 2 2 3 3" xfId="28006" xr:uid="{00000000-0005-0000-0000-0000E89C0000}"/>
    <cellStyle name="Note 2 3 2 3 2 2 4" xfId="12646" xr:uid="{00000000-0005-0000-0000-0000E99C0000}"/>
    <cellStyle name="Note 2 3 2 3 2 2 4 2" xfId="33126" xr:uid="{00000000-0005-0000-0000-0000EA9C0000}"/>
    <cellStyle name="Note 2 3 2 3 2 2 5" xfId="22886" xr:uid="{00000000-0005-0000-0000-0000EB9C0000}"/>
    <cellStyle name="Note 2 3 2 3 2 3" xfId="3686" xr:uid="{00000000-0005-0000-0000-0000EC9C0000}"/>
    <cellStyle name="Note 2 3 2 3 2 3 2" xfId="8806" xr:uid="{00000000-0005-0000-0000-0000ED9C0000}"/>
    <cellStyle name="Note 2 3 2 3 2 3 2 2" xfId="19046" xr:uid="{00000000-0005-0000-0000-0000EE9C0000}"/>
    <cellStyle name="Note 2 3 2 3 2 3 2 2 2" xfId="39526" xr:uid="{00000000-0005-0000-0000-0000EF9C0000}"/>
    <cellStyle name="Note 2 3 2 3 2 3 2 3" xfId="29286" xr:uid="{00000000-0005-0000-0000-0000F09C0000}"/>
    <cellStyle name="Note 2 3 2 3 2 3 3" xfId="13926" xr:uid="{00000000-0005-0000-0000-0000F19C0000}"/>
    <cellStyle name="Note 2 3 2 3 2 3 3 2" xfId="34406" xr:uid="{00000000-0005-0000-0000-0000F29C0000}"/>
    <cellStyle name="Note 2 3 2 3 2 3 4" xfId="24166" xr:uid="{00000000-0005-0000-0000-0000F39C0000}"/>
    <cellStyle name="Note 2 3 2 3 2 4" xfId="6246" xr:uid="{00000000-0005-0000-0000-0000F49C0000}"/>
    <cellStyle name="Note 2 3 2 3 2 4 2" xfId="16486" xr:uid="{00000000-0005-0000-0000-0000F59C0000}"/>
    <cellStyle name="Note 2 3 2 3 2 4 2 2" xfId="36966" xr:uid="{00000000-0005-0000-0000-0000F69C0000}"/>
    <cellStyle name="Note 2 3 2 3 2 4 3" xfId="26726" xr:uid="{00000000-0005-0000-0000-0000F79C0000}"/>
    <cellStyle name="Note 2 3 2 3 2 5" xfId="11366" xr:uid="{00000000-0005-0000-0000-0000F89C0000}"/>
    <cellStyle name="Note 2 3 2 3 2 5 2" xfId="31846" xr:uid="{00000000-0005-0000-0000-0000F99C0000}"/>
    <cellStyle name="Note 2 3 2 3 2 6" xfId="21606" xr:uid="{00000000-0005-0000-0000-0000FA9C0000}"/>
    <cellStyle name="Note 2 3 2 3 3" xfId="1766" xr:uid="{00000000-0005-0000-0000-0000FB9C0000}"/>
    <cellStyle name="Note 2 3 2 3 3 2" xfId="4326" xr:uid="{00000000-0005-0000-0000-0000FC9C0000}"/>
    <cellStyle name="Note 2 3 2 3 3 2 2" xfId="9446" xr:uid="{00000000-0005-0000-0000-0000FD9C0000}"/>
    <cellStyle name="Note 2 3 2 3 3 2 2 2" xfId="19686" xr:uid="{00000000-0005-0000-0000-0000FE9C0000}"/>
    <cellStyle name="Note 2 3 2 3 3 2 2 2 2" xfId="40166" xr:uid="{00000000-0005-0000-0000-0000FF9C0000}"/>
    <cellStyle name="Note 2 3 2 3 3 2 2 3" xfId="29926" xr:uid="{00000000-0005-0000-0000-0000009D0000}"/>
    <cellStyle name="Note 2 3 2 3 3 2 3" xfId="14566" xr:uid="{00000000-0005-0000-0000-0000019D0000}"/>
    <cellStyle name="Note 2 3 2 3 3 2 3 2" xfId="35046" xr:uid="{00000000-0005-0000-0000-0000029D0000}"/>
    <cellStyle name="Note 2 3 2 3 3 2 4" xfId="24806" xr:uid="{00000000-0005-0000-0000-0000039D0000}"/>
    <cellStyle name="Note 2 3 2 3 3 3" xfId="6886" xr:uid="{00000000-0005-0000-0000-0000049D0000}"/>
    <cellStyle name="Note 2 3 2 3 3 3 2" xfId="17126" xr:uid="{00000000-0005-0000-0000-0000059D0000}"/>
    <cellStyle name="Note 2 3 2 3 3 3 2 2" xfId="37606" xr:uid="{00000000-0005-0000-0000-0000069D0000}"/>
    <cellStyle name="Note 2 3 2 3 3 3 3" xfId="27366" xr:uid="{00000000-0005-0000-0000-0000079D0000}"/>
    <cellStyle name="Note 2 3 2 3 3 4" xfId="12006" xr:uid="{00000000-0005-0000-0000-0000089D0000}"/>
    <cellStyle name="Note 2 3 2 3 3 4 2" xfId="32486" xr:uid="{00000000-0005-0000-0000-0000099D0000}"/>
    <cellStyle name="Note 2 3 2 3 3 5" xfId="22246" xr:uid="{00000000-0005-0000-0000-00000A9D0000}"/>
    <cellStyle name="Note 2 3 2 3 4" xfId="3046" xr:uid="{00000000-0005-0000-0000-00000B9D0000}"/>
    <cellStyle name="Note 2 3 2 3 4 2" xfId="8166" xr:uid="{00000000-0005-0000-0000-00000C9D0000}"/>
    <cellStyle name="Note 2 3 2 3 4 2 2" xfId="18406" xr:uid="{00000000-0005-0000-0000-00000D9D0000}"/>
    <cellStyle name="Note 2 3 2 3 4 2 2 2" xfId="38886" xr:uid="{00000000-0005-0000-0000-00000E9D0000}"/>
    <cellStyle name="Note 2 3 2 3 4 2 3" xfId="28646" xr:uid="{00000000-0005-0000-0000-00000F9D0000}"/>
    <cellStyle name="Note 2 3 2 3 4 3" xfId="13286" xr:uid="{00000000-0005-0000-0000-0000109D0000}"/>
    <cellStyle name="Note 2 3 2 3 4 3 2" xfId="33766" xr:uid="{00000000-0005-0000-0000-0000119D0000}"/>
    <cellStyle name="Note 2 3 2 3 4 4" xfId="23526" xr:uid="{00000000-0005-0000-0000-0000129D0000}"/>
    <cellStyle name="Note 2 3 2 3 5" xfId="5606" xr:uid="{00000000-0005-0000-0000-0000139D0000}"/>
    <cellStyle name="Note 2 3 2 3 5 2" xfId="15846" xr:uid="{00000000-0005-0000-0000-0000149D0000}"/>
    <cellStyle name="Note 2 3 2 3 5 2 2" xfId="36326" xr:uid="{00000000-0005-0000-0000-0000159D0000}"/>
    <cellStyle name="Note 2 3 2 3 5 3" xfId="26086" xr:uid="{00000000-0005-0000-0000-0000169D0000}"/>
    <cellStyle name="Note 2 3 2 3 6" xfId="10726" xr:uid="{00000000-0005-0000-0000-0000179D0000}"/>
    <cellStyle name="Note 2 3 2 3 6 2" xfId="31206" xr:uid="{00000000-0005-0000-0000-0000189D0000}"/>
    <cellStyle name="Note 2 3 2 3 7" xfId="20966" xr:uid="{00000000-0005-0000-0000-0000199D0000}"/>
    <cellStyle name="Note 2 3 2 4" xfId="806" xr:uid="{00000000-0005-0000-0000-00001A9D0000}"/>
    <cellStyle name="Note 2 3 2 4 2" xfId="2086" xr:uid="{00000000-0005-0000-0000-00001B9D0000}"/>
    <cellStyle name="Note 2 3 2 4 2 2" xfId="4646" xr:uid="{00000000-0005-0000-0000-00001C9D0000}"/>
    <cellStyle name="Note 2 3 2 4 2 2 2" xfId="9766" xr:uid="{00000000-0005-0000-0000-00001D9D0000}"/>
    <cellStyle name="Note 2 3 2 4 2 2 2 2" xfId="20006" xr:uid="{00000000-0005-0000-0000-00001E9D0000}"/>
    <cellStyle name="Note 2 3 2 4 2 2 2 2 2" xfId="40486" xr:uid="{00000000-0005-0000-0000-00001F9D0000}"/>
    <cellStyle name="Note 2 3 2 4 2 2 2 3" xfId="30246" xr:uid="{00000000-0005-0000-0000-0000209D0000}"/>
    <cellStyle name="Note 2 3 2 4 2 2 3" xfId="14886" xr:uid="{00000000-0005-0000-0000-0000219D0000}"/>
    <cellStyle name="Note 2 3 2 4 2 2 3 2" xfId="35366" xr:uid="{00000000-0005-0000-0000-0000229D0000}"/>
    <cellStyle name="Note 2 3 2 4 2 2 4" xfId="25126" xr:uid="{00000000-0005-0000-0000-0000239D0000}"/>
    <cellStyle name="Note 2 3 2 4 2 3" xfId="7206" xr:uid="{00000000-0005-0000-0000-0000249D0000}"/>
    <cellStyle name="Note 2 3 2 4 2 3 2" xfId="17446" xr:uid="{00000000-0005-0000-0000-0000259D0000}"/>
    <cellStyle name="Note 2 3 2 4 2 3 2 2" xfId="37926" xr:uid="{00000000-0005-0000-0000-0000269D0000}"/>
    <cellStyle name="Note 2 3 2 4 2 3 3" xfId="27686" xr:uid="{00000000-0005-0000-0000-0000279D0000}"/>
    <cellStyle name="Note 2 3 2 4 2 4" xfId="12326" xr:uid="{00000000-0005-0000-0000-0000289D0000}"/>
    <cellStyle name="Note 2 3 2 4 2 4 2" xfId="32806" xr:uid="{00000000-0005-0000-0000-0000299D0000}"/>
    <cellStyle name="Note 2 3 2 4 2 5" xfId="22566" xr:uid="{00000000-0005-0000-0000-00002A9D0000}"/>
    <cellStyle name="Note 2 3 2 4 3" xfId="3366" xr:uid="{00000000-0005-0000-0000-00002B9D0000}"/>
    <cellStyle name="Note 2 3 2 4 3 2" xfId="8486" xr:uid="{00000000-0005-0000-0000-00002C9D0000}"/>
    <cellStyle name="Note 2 3 2 4 3 2 2" xfId="18726" xr:uid="{00000000-0005-0000-0000-00002D9D0000}"/>
    <cellStyle name="Note 2 3 2 4 3 2 2 2" xfId="39206" xr:uid="{00000000-0005-0000-0000-00002E9D0000}"/>
    <cellStyle name="Note 2 3 2 4 3 2 3" xfId="28966" xr:uid="{00000000-0005-0000-0000-00002F9D0000}"/>
    <cellStyle name="Note 2 3 2 4 3 3" xfId="13606" xr:uid="{00000000-0005-0000-0000-0000309D0000}"/>
    <cellStyle name="Note 2 3 2 4 3 3 2" xfId="34086" xr:uid="{00000000-0005-0000-0000-0000319D0000}"/>
    <cellStyle name="Note 2 3 2 4 3 4" xfId="23846" xr:uid="{00000000-0005-0000-0000-0000329D0000}"/>
    <cellStyle name="Note 2 3 2 4 4" xfId="5926" xr:uid="{00000000-0005-0000-0000-0000339D0000}"/>
    <cellStyle name="Note 2 3 2 4 4 2" xfId="16166" xr:uid="{00000000-0005-0000-0000-0000349D0000}"/>
    <cellStyle name="Note 2 3 2 4 4 2 2" xfId="36646" xr:uid="{00000000-0005-0000-0000-0000359D0000}"/>
    <cellStyle name="Note 2 3 2 4 4 3" xfId="26406" xr:uid="{00000000-0005-0000-0000-0000369D0000}"/>
    <cellStyle name="Note 2 3 2 4 5" xfId="11046" xr:uid="{00000000-0005-0000-0000-0000379D0000}"/>
    <cellStyle name="Note 2 3 2 4 5 2" xfId="31526" xr:uid="{00000000-0005-0000-0000-0000389D0000}"/>
    <cellStyle name="Note 2 3 2 4 6" xfId="21286" xr:uid="{00000000-0005-0000-0000-0000399D0000}"/>
    <cellStyle name="Note 2 3 2 5" xfId="1446" xr:uid="{00000000-0005-0000-0000-00003A9D0000}"/>
    <cellStyle name="Note 2 3 2 5 2" xfId="4006" xr:uid="{00000000-0005-0000-0000-00003B9D0000}"/>
    <cellStyle name="Note 2 3 2 5 2 2" xfId="9126" xr:uid="{00000000-0005-0000-0000-00003C9D0000}"/>
    <cellStyle name="Note 2 3 2 5 2 2 2" xfId="19366" xr:uid="{00000000-0005-0000-0000-00003D9D0000}"/>
    <cellStyle name="Note 2 3 2 5 2 2 2 2" xfId="39846" xr:uid="{00000000-0005-0000-0000-00003E9D0000}"/>
    <cellStyle name="Note 2 3 2 5 2 2 3" xfId="29606" xr:uid="{00000000-0005-0000-0000-00003F9D0000}"/>
    <cellStyle name="Note 2 3 2 5 2 3" xfId="14246" xr:uid="{00000000-0005-0000-0000-0000409D0000}"/>
    <cellStyle name="Note 2 3 2 5 2 3 2" xfId="34726" xr:uid="{00000000-0005-0000-0000-0000419D0000}"/>
    <cellStyle name="Note 2 3 2 5 2 4" xfId="24486" xr:uid="{00000000-0005-0000-0000-0000429D0000}"/>
    <cellStyle name="Note 2 3 2 5 3" xfId="6566" xr:uid="{00000000-0005-0000-0000-0000439D0000}"/>
    <cellStyle name="Note 2 3 2 5 3 2" xfId="16806" xr:uid="{00000000-0005-0000-0000-0000449D0000}"/>
    <cellStyle name="Note 2 3 2 5 3 2 2" xfId="37286" xr:uid="{00000000-0005-0000-0000-0000459D0000}"/>
    <cellStyle name="Note 2 3 2 5 3 3" xfId="27046" xr:uid="{00000000-0005-0000-0000-0000469D0000}"/>
    <cellStyle name="Note 2 3 2 5 4" xfId="11686" xr:uid="{00000000-0005-0000-0000-0000479D0000}"/>
    <cellStyle name="Note 2 3 2 5 4 2" xfId="32166" xr:uid="{00000000-0005-0000-0000-0000489D0000}"/>
    <cellStyle name="Note 2 3 2 5 5" xfId="21926" xr:uid="{00000000-0005-0000-0000-0000499D0000}"/>
    <cellStyle name="Note 2 3 2 6" xfId="2726" xr:uid="{00000000-0005-0000-0000-00004A9D0000}"/>
    <cellStyle name="Note 2 3 2 6 2" xfId="7846" xr:uid="{00000000-0005-0000-0000-00004B9D0000}"/>
    <cellStyle name="Note 2 3 2 6 2 2" xfId="18086" xr:uid="{00000000-0005-0000-0000-00004C9D0000}"/>
    <cellStyle name="Note 2 3 2 6 2 2 2" xfId="38566" xr:uid="{00000000-0005-0000-0000-00004D9D0000}"/>
    <cellStyle name="Note 2 3 2 6 2 3" xfId="28326" xr:uid="{00000000-0005-0000-0000-00004E9D0000}"/>
    <cellStyle name="Note 2 3 2 6 3" xfId="12966" xr:uid="{00000000-0005-0000-0000-00004F9D0000}"/>
    <cellStyle name="Note 2 3 2 6 3 2" xfId="33446" xr:uid="{00000000-0005-0000-0000-0000509D0000}"/>
    <cellStyle name="Note 2 3 2 6 4" xfId="23206" xr:uid="{00000000-0005-0000-0000-0000519D0000}"/>
    <cellStyle name="Note 2 3 2 7" xfId="5286" xr:uid="{00000000-0005-0000-0000-0000529D0000}"/>
    <cellStyle name="Note 2 3 2 7 2" xfId="15526" xr:uid="{00000000-0005-0000-0000-0000539D0000}"/>
    <cellStyle name="Note 2 3 2 7 2 2" xfId="36006" xr:uid="{00000000-0005-0000-0000-0000549D0000}"/>
    <cellStyle name="Note 2 3 2 7 3" xfId="25766" xr:uid="{00000000-0005-0000-0000-0000559D0000}"/>
    <cellStyle name="Note 2 3 2 8" xfId="10406" xr:uid="{00000000-0005-0000-0000-0000569D0000}"/>
    <cellStyle name="Note 2 3 2 8 2" xfId="30886" xr:uid="{00000000-0005-0000-0000-0000579D0000}"/>
    <cellStyle name="Note 2 3 2 9" xfId="20646" xr:uid="{00000000-0005-0000-0000-0000589D0000}"/>
    <cellStyle name="Note 2 3 3" xfId="246" xr:uid="{00000000-0005-0000-0000-0000599D0000}"/>
    <cellStyle name="Note 2 3 3 2" xfId="566" xr:uid="{00000000-0005-0000-0000-00005A9D0000}"/>
    <cellStyle name="Note 2 3 3 2 2" xfId="1206" xr:uid="{00000000-0005-0000-0000-00005B9D0000}"/>
    <cellStyle name="Note 2 3 3 2 2 2" xfId="2486" xr:uid="{00000000-0005-0000-0000-00005C9D0000}"/>
    <cellStyle name="Note 2 3 3 2 2 2 2" xfId="5046" xr:uid="{00000000-0005-0000-0000-00005D9D0000}"/>
    <cellStyle name="Note 2 3 3 2 2 2 2 2" xfId="10166" xr:uid="{00000000-0005-0000-0000-00005E9D0000}"/>
    <cellStyle name="Note 2 3 3 2 2 2 2 2 2" xfId="20406" xr:uid="{00000000-0005-0000-0000-00005F9D0000}"/>
    <cellStyle name="Note 2 3 3 2 2 2 2 2 2 2" xfId="40886" xr:uid="{00000000-0005-0000-0000-0000609D0000}"/>
    <cellStyle name="Note 2 3 3 2 2 2 2 2 3" xfId="30646" xr:uid="{00000000-0005-0000-0000-0000619D0000}"/>
    <cellStyle name="Note 2 3 3 2 2 2 2 3" xfId="15286" xr:uid="{00000000-0005-0000-0000-0000629D0000}"/>
    <cellStyle name="Note 2 3 3 2 2 2 2 3 2" xfId="35766" xr:uid="{00000000-0005-0000-0000-0000639D0000}"/>
    <cellStyle name="Note 2 3 3 2 2 2 2 4" xfId="25526" xr:uid="{00000000-0005-0000-0000-0000649D0000}"/>
    <cellStyle name="Note 2 3 3 2 2 2 3" xfId="7606" xr:uid="{00000000-0005-0000-0000-0000659D0000}"/>
    <cellStyle name="Note 2 3 3 2 2 2 3 2" xfId="17846" xr:uid="{00000000-0005-0000-0000-0000669D0000}"/>
    <cellStyle name="Note 2 3 3 2 2 2 3 2 2" xfId="38326" xr:uid="{00000000-0005-0000-0000-0000679D0000}"/>
    <cellStyle name="Note 2 3 3 2 2 2 3 3" xfId="28086" xr:uid="{00000000-0005-0000-0000-0000689D0000}"/>
    <cellStyle name="Note 2 3 3 2 2 2 4" xfId="12726" xr:uid="{00000000-0005-0000-0000-0000699D0000}"/>
    <cellStyle name="Note 2 3 3 2 2 2 4 2" xfId="33206" xr:uid="{00000000-0005-0000-0000-00006A9D0000}"/>
    <cellStyle name="Note 2 3 3 2 2 2 5" xfId="22966" xr:uid="{00000000-0005-0000-0000-00006B9D0000}"/>
    <cellStyle name="Note 2 3 3 2 2 3" xfId="3766" xr:uid="{00000000-0005-0000-0000-00006C9D0000}"/>
    <cellStyle name="Note 2 3 3 2 2 3 2" xfId="8886" xr:uid="{00000000-0005-0000-0000-00006D9D0000}"/>
    <cellStyle name="Note 2 3 3 2 2 3 2 2" xfId="19126" xr:uid="{00000000-0005-0000-0000-00006E9D0000}"/>
    <cellStyle name="Note 2 3 3 2 2 3 2 2 2" xfId="39606" xr:uid="{00000000-0005-0000-0000-00006F9D0000}"/>
    <cellStyle name="Note 2 3 3 2 2 3 2 3" xfId="29366" xr:uid="{00000000-0005-0000-0000-0000709D0000}"/>
    <cellStyle name="Note 2 3 3 2 2 3 3" xfId="14006" xr:uid="{00000000-0005-0000-0000-0000719D0000}"/>
    <cellStyle name="Note 2 3 3 2 2 3 3 2" xfId="34486" xr:uid="{00000000-0005-0000-0000-0000729D0000}"/>
    <cellStyle name="Note 2 3 3 2 2 3 4" xfId="24246" xr:uid="{00000000-0005-0000-0000-0000739D0000}"/>
    <cellStyle name="Note 2 3 3 2 2 4" xfId="6326" xr:uid="{00000000-0005-0000-0000-0000749D0000}"/>
    <cellStyle name="Note 2 3 3 2 2 4 2" xfId="16566" xr:uid="{00000000-0005-0000-0000-0000759D0000}"/>
    <cellStyle name="Note 2 3 3 2 2 4 2 2" xfId="37046" xr:uid="{00000000-0005-0000-0000-0000769D0000}"/>
    <cellStyle name="Note 2 3 3 2 2 4 3" xfId="26806" xr:uid="{00000000-0005-0000-0000-0000779D0000}"/>
    <cellStyle name="Note 2 3 3 2 2 5" xfId="11446" xr:uid="{00000000-0005-0000-0000-0000789D0000}"/>
    <cellStyle name="Note 2 3 3 2 2 5 2" xfId="31926" xr:uid="{00000000-0005-0000-0000-0000799D0000}"/>
    <cellStyle name="Note 2 3 3 2 2 6" xfId="21686" xr:uid="{00000000-0005-0000-0000-00007A9D0000}"/>
    <cellStyle name="Note 2 3 3 2 3" xfId="1846" xr:uid="{00000000-0005-0000-0000-00007B9D0000}"/>
    <cellStyle name="Note 2 3 3 2 3 2" xfId="4406" xr:uid="{00000000-0005-0000-0000-00007C9D0000}"/>
    <cellStyle name="Note 2 3 3 2 3 2 2" xfId="9526" xr:uid="{00000000-0005-0000-0000-00007D9D0000}"/>
    <cellStyle name="Note 2 3 3 2 3 2 2 2" xfId="19766" xr:uid="{00000000-0005-0000-0000-00007E9D0000}"/>
    <cellStyle name="Note 2 3 3 2 3 2 2 2 2" xfId="40246" xr:uid="{00000000-0005-0000-0000-00007F9D0000}"/>
    <cellStyle name="Note 2 3 3 2 3 2 2 3" xfId="30006" xr:uid="{00000000-0005-0000-0000-0000809D0000}"/>
    <cellStyle name="Note 2 3 3 2 3 2 3" xfId="14646" xr:uid="{00000000-0005-0000-0000-0000819D0000}"/>
    <cellStyle name="Note 2 3 3 2 3 2 3 2" xfId="35126" xr:uid="{00000000-0005-0000-0000-0000829D0000}"/>
    <cellStyle name="Note 2 3 3 2 3 2 4" xfId="24886" xr:uid="{00000000-0005-0000-0000-0000839D0000}"/>
    <cellStyle name="Note 2 3 3 2 3 3" xfId="6966" xr:uid="{00000000-0005-0000-0000-0000849D0000}"/>
    <cellStyle name="Note 2 3 3 2 3 3 2" xfId="17206" xr:uid="{00000000-0005-0000-0000-0000859D0000}"/>
    <cellStyle name="Note 2 3 3 2 3 3 2 2" xfId="37686" xr:uid="{00000000-0005-0000-0000-0000869D0000}"/>
    <cellStyle name="Note 2 3 3 2 3 3 3" xfId="27446" xr:uid="{00000000-0005-0000-0000-0000879D0000}"/>
    <cellStyle name="Note 2 3 3 2 3 4" xfId="12086" xr:uid="{00000000-0005-0000-0000-0000889D0000}"/>
    <cellStyle name="Note 2 3 3 2 3 4 2" xfId="32566" xr:uid="{00000000-0005-0000-0000-0000899D0000}"/>
    <cellStyle name="Note 2 3 3 2 3 5" xfId="22326" xr:uid="{00000000-0005-0000-0000-00008A9D0000}"/>
    <cellStyle name="Note 2 3 3 2 4" xfId="3126" xr:uid="{00000000-0005-0000-0000-00008B9D0000}"/>
    <cellStyle name="Note 2 3 3 2 4 2" xfId="8246" xr:uid="{00000000-0005-0000-0000-00008C9D0000}"/>
    <cellStyle name="Note 2 3 3 2 4 2 2" xfId="18486" xr:uid="{00000000-0005-0000-0000-00008D9D0000}"/>
    <cellStyle name="Note 2 3 3 2 4 2 2 2" xfId="38966" xr:uid="{00000000-0005-0000-0000-00008E9D0000}"/>
    <cellStyle name="Note 2 3 3 2 4 2 3" xfId="28726" xr:uid="{00000000-0005-0000-0000-00008F9D0000}"/>
    <cellStyle name="Note 2 3 3 2 4 3" xfId="13366" xr:uid="{00000000-0005-0000-0000-0000909D0000}"/>
    <cellStyle name="Note 2 3 3 2 4 3 2" xfId="33846" xr:uid="{00000000-0005-0000-0000-0000919D0000}"/>
    <cellStyle name="Note 2 3 3 2 4 4" xfId="23606" xr:uid="{00000000-0005-0000-0000-0000929D0000}"/>
    <cellStyle name="Note 2 3 3 2 5" xfId="5686" xr:uid="{00000000-0005-0000-0000-0000939D0000}"/>
    <cellStyle name="Note 2 3 3 2 5 2" xfId="15926" xr:uid="{00000000-0005-0000-0000-0000949D0000}"/>
    <cellStyle name="Note 2 3 3 2 5 2 2" xfId="36406" xr:uid="{00000000-0005-0000-0000-0000959D0000}"/>
    <cellStyle name="Note 2 3 3 2 5 3" xfId="26166" xr:uid="{00000000-0005-0000-0000-0000969D0000}"/>
    <cellStyle name="Note 2 3 3 2 6" xfId="10806" xr:uid="{00000000-0005-0000-0000-0000979D0000}"/>
    <cellStyle name="Note 2 3 3 2 6 2" xfId="31286" xr:uid="{00000000-0005-0000-0000-0000989D0000}"/>
    <cellStyle name="Note 2 3 3 2 7" xfId="21046" xr:uid="{00000000-0005-0000-0000-0000999D0000}"/>
    <cellStyle name="Note 2 3 3 3" xfId="886" xr:uid="{00000000-0005-0000-0000-00009A9D0000}"/>
    <cellStyle name="Note 2 3 3 3 2" xfId="2166" xr:uid="{00000000-0005-0000-0000-00009B9D0000}"/>
    <cellStyle name="Note 2 3 3 3 2 2" xfId="4726" xr:uid="{00000000-0005-0000-0000-00009C9D0000}"/>
    <cellStyle name="Note 2 3 3 3 2 2 2" xfId="9846" xr:uid="{00000000-0005-0000-0000-00009D9D0000}"/>
    <cellStyle name="Note 2 3 3 3 2 2 2 2" xfId="20086" xr:uid="{00000000-0005-0000-0000-00009E9D0000}"/>
    <cellStyle name="Note 2 3 3 3 2 2 2 2 2" xfId="40566" xr:uid="{00000000-0005-0000-0000-00009F9D0000}"/>
    <cellStyle name="Note 2 3 3 3 2 2 2 3" xfId="30326" xr:uid="{00000000-0005-0000-0000-0000A09D0000}"/>
    <cellStyle name="Note 2 3 3 3 2 2 3" xfId="14966" xr:uid="{00000000-0005-0000-0000-0000A19D0000}"/>
    <cellStyle name="Note 2 3 3 3 2 2 3 2" xfId="35446" xr:uid="{00000000-0005-0000-0000-0000A29D0000}"/>
    <cellStyle name="Note 2 3 3 3 2 2 4" xfId="25206" xr:uid="{00000000-0005-0000-0000-0000A39D0000}"/>
    <cellStyle name="Note 2 3 3 3 2 3" xfId="7286" xr:uid="{00000000-0005-0000-0000-0000A49D0000}"/>
    <cellStyle name="Note 2 3 3 3 2 3 2" xfId="17526" xr:uid="{00000000-0005-0000-0000-0000A59D0000}"/>
    <cellStyle name="Note 2 3 3 3 2 3 2 2" xfId="38006" xr:uid="{00000000-0005-0000-0000-0000A69D0000}"/>
    <cellStyle name="Note 2 3 3 3 2 3 3" xfId="27766" xr:uid="{00000000-0005-0000-0000-0000A79D0000}"/>
    <cellStyle name="Note 2 3 3 3 2 4" xfId="12406" xr:uid="{00000000-0005-0000-0000-0000A89D0000}"/>
    <cellStyle name="Note 2 3 3 3 2 4 2" xfId="32886" xr:uid="{00000000-0005-0000-0000-0000A99D0000}"/>
    <cellStyle name="Note 2 3 3 3 2 5" xfId="22646" xr:uid="{00000000-0005-0000-0000-0000AA9D0000}"/>
    <cellStyle name="Note 2 3 3 3 3" xfId="3446" xr:uid="{00000000-0005-0000-0000-0000AB9D0000}"/>
    <cellStyle name="Note 2 3 3 3 3 2" xfId="8566" xr:uid="{00000000-0005-0000-0000-0000AC9D0000}"/>
    <cellStyle name="Note 2 3 3 3 3 2 2" xfId="18806" xr:uid="{00000000-0005-0000-0000-0000AD9D0000}"/>
    <cellStyle name="Note 2 3 3 3 3 2 2 2" xfId="39286" xr:uid="{00000000-0005-0000-0000-0000AE9D0000}"/>
    <cellStyle name="Note 2 3 3 3 3 2 3" xfId="29046" xr:uid="{00000000-0005-0000-0000-0000AF9D0000}"/>
    <cellStyle name="Note 2 3 3 3 3 3" xfId="13686" xr:uid="{00000000-0005-0000-0000-0000B09D0000}"/>
    <cellStyle name="Note 2 3 3 3 3 3 2" xfId="34166" xr:uid="{00000000-0005-0000-0000-0000B19D0000}"/>
    <cellStyle name="Note 2 3 3 3 3 4" xfId="23926" xr:uid="{00000000-0005-0000-0000-0000B29D0000}"/>
    <cellStyle name="Note 2 3 3 3 4" xfId="6006" xr:uid="{00000000-0005-0000-0000-0000B39D0000}"/>
    <cellStyle name="Note 2 3 3 3 4 2" xfId="16246" xr:uid="{00000000-0005-0000-0000-0000B49D0000}"/>
    <cellStyle name="Note 2 3 3 3 4 2 2" xfId="36726" xr:uid="{00000000-0005-0000-0000-0000B59D0000}"/>
    <cellStyle name="Note 2 3 3 3 4 3" xfId="26486" xr:uid="{00000000-0005-0000-0000-0000B69D0000}"/>
    <cellStyle name="Note 2 3 3 3 5" xfId="11126" xr:uid="{00000000-0005-0000-0000-0000B79D0000}"/>
    <cellStyle name="Note 2 3 3 3 5 2" xfId="31606" xr:uid="{00000000-0005-0000-0000-0000B89D0000}"/>
    <cellStyle name="Note 2 3 3 3 6" xfId="21366" xr:uid="{00000000-0005-0000-0000-0000B99D0000}"/>
    <cellStyle name="Note 2 3 3 4" xfId="1526" xr:uid="{00000000-0005-0000-0000-0000BA9D0000}"/>
    <cellStyle name="Note 2 3 3 4 2" xfId="4086" xr:uid="{00000000-0005-0000-0000-0000BB9D0000}"/>
    <cellStyle name="Note 2 3 3 4 2 2" xfId="9206" xr:uid="{00000000-0005-0000-0000-0000BC9D0000}"/>
    <cellStyle name="Note 2 3 3 4 2 2 2" xfId="19446" xr:uid="{00000000-0005-0000-0000-0000BD9D0000}"/>
    <cellStyle name="Note 2 3 3 4 2 2 2 2" xfId="39926" xr:uid="{00000000-0005-0000-0000-0000BE9D0000}"/>
    <cellStyle name="Note 2 3 3 4 2 2 3" xfId="29686" xr:uid="{00000000-0005-0000-0000-0000BF9D0000}"/>
    <cellStyle name="Note 2 3 3 4 2 3" xfId="14326" xr:uid="{00000000-0005-0000-0000-0000C09D0000}"/>
    <cellStyle name="Note 2 3 3 4 2 3 2" xfId="34806" xr:uid="{00000000-0005-0000-0000-0000C19D0000}"/>
    <cellStyle name="Note 2 3 3 4 2 4" xfId="24566" xr:uid="{00000000-0005-0000-0000-0000C29D0000}"/>
    <cellStyle name="Note 2 3 3 4 3" xfId="6646" xr:uid="{00000000-0005-0000-0000-0000C39D0000}"/>
    <cellStyle name="Note 2 3 3 4 3 2" xfId="16886" xr:uid="{00000000-0005-0000-0000-0000C49D0000}"/>
    <cellStyle name="Note 2 3 3 4 3 2 2" xfId="37366" xr:uid="{00000000-0005-0000-0000-0000C59D0000}"/>
    <cellStyle name="Note 2 3 3 4 3 3" xfId="27126" xr:uid="{00000000-0005-0000-0000-0000C69D0000}"/>
    <cellStyle name="Note 2 3 3 4 4" xfId="11766" xr:uid="{00000000-0005-0000-0000-0000C79D0000}"/>
    <cellStyle name="Note 2 3 3 4 4 2" xfId="32246" xr:uid="{00000000-0005-0000-0000-0000C89D0000}"/>
    <cellStyle name="Note 2 3 3 4 5" xfId="22006" xr:uid="{00000000-0005-0000-0000-0000C99D0000}"/>
    <cellStyle name="Note 2 3 3 5" xfId="2806" xr:uid="{00000000-0005-0000-0000-0000CA9D0000}"/>
    <cellStyle name="Note 2 3 3 5 2" xfId="7926" xr:uid="{00000000-0005-0000-0000-0000CB9D0000}"/>
    <cellStyle name="Note 2 3 3 5 2 2" xfId="18166" xr:uid="{00000000-0005-0000-0000-0000CC9D0000}"/>
    <cellStyle name="Note 2 3 3 5 2 2 2" xfId="38646" xr:uid="{00000000-0005-0000-0000-0000CD9D0000}"/>
    <cellStyle name="Note 2 3 3 5 2 3" xfId="28406" xr:uid="{00000000-0005-0000-0000-0000CE9D0000}"/>
    <cellStyle name="Note 2 3 3 5 3" xfId="13046" xr:uid="{00000000-0005-0000-0000-0000CF9D0000}"/>
    <cellStyle name="Note 2 3 3 5 3 2" xfId="33526" xr:uid="{00000000-0005-0000-0000-0000D09D0000}"/>
    <cellStyle name="Note 2 3 3 5 4" xfId="23286" xr:uid="{00000000-0005-0000-0000-0000D19D0000}"/>
    <cellStyle name="Note 2 3 3 6" xfId="5366" xr:uid="{00000000-0005-0000-0000-0000D29D0000}"/>
    <cellStyle name="Note 2 3 3 6 2" xfId="15606" xr:uid="{00000000-0005-0000-0000-0000D39D0000}"/>
    <cellStyle name="Note 2 3 3 6 2 2" xfId="36086" xr:uid="{00000000-0005-0000-0000-0000D49D0000}"/>
    <cellStyle name="Note 2 3 3 6 3" xfId="25846" xr:uid="{00000000-0005-0000-0000-0000D59D0000}"/>
    <cellStyle name="Note 2 3 3 7" xfId="10486" xr:uid="{00000000-0005-0000-0000-0000D69D0000}"/>
    <cellStyle name="Note 2 3 3 7 2" xfId="30966" xr:uid="{00000000-0005-0000-0000-0000D79D0000}"/>
    <cellStyle name="Note 2 3 3 8" xfId="20726" xr:uid="{00000000-0005-0000-0000-0000D89D0000}"/>
    <cellStyle name="Note 2 3 4" xfId="406" xr:uid="{00000000-0005-0000-0000-0000D99D0000}"/>
    <cellStyle name="Note 2 3 4 2" xfId="1046" xr:uid="{00000000-0005-0000-0000-0000DA9D0000}"/>
    <cellStyle name="Note 2 3 4 2 2" xfId="2326" xr:uid="{00000000-0005-0000-0000-0000DB9D0000}"/>
    <cellStyle name="Note 2 3 4 2 2 2" xfId="4886" xr:uid="{00000000-0005-0000-0000-0000DC9D0000}"/>
    <cellStyle name="Note 2 3 4 2 2 2 2" xfId="10006" xr:uid="{00000000-0005-0000-0000-0000DD9D0000}"/>
    <cellStyle name="Note 2 3 4 2 2 2 2 2" xfId="20246" xr:uid="{00000000-0005-0000-0000-0000DE9D0000}"/>
    <cellStyle name="Note 2 3 4 2 2 2 2 2 2" xfId="40726" xr:uid="{00000000-0005-0000-0000-0000DF9D0000}"/>
    <cellStyle name="Note 2 3 4 2 2 2 2 3" xfId="30486" xr:uid="{00000000-0005-0000-0000-0000E09D0000}"/>
    <cellStyle name="Note 2 3 4 2 2 2 3" xfId="15126" xr:uid="{00000000-0005-0000-0000-0000E19D0000}"/>
    <cellStyle name="Note 2 3 4 2 2 2 3 2" xfId="35606" xr:uid="{00000000-0005-0000-0000-0000E29D0000}"/>
    <cellStyle name="Note 2 3 4 2 2 2 4" xfId="25366" xr:uid="{00000000-0005-0000-0000-0000E39D0000}"/>
    <cellStyle name="Note 2 3 4 2 2 3" xfId="7446" xr:uid="{00000000-0005-0000-0000-0000E49D0000}"/>
    <cellStyle name="Note 2 3 4 2 2 3 2" xfId="17686" xr:uid="{00000000-0005-0000-0000-0000E59D0000}"/>
    <cellStyle name="Note 2 3 4 2 2 3 2 2" xfId="38166" xr:uid="{00000000-0005-0000-0000-0000E69D0000}"/>
    <cellStyle name="Note 2 3 4 2 2 3 3" xfId="27926" xr:uid="{00000000-0005-0000-0000-0000E79D0000}"/>
    <cellStyle name="Note 2 3 4 2 2 4" xfId="12566" xr:uid="{00000000-0005-0000-0000-0000E89D0000}"/>
    <cellStyle name="Note 2 3 4 2 2 4 2" xfId="33046" xr:uid="{00000000-0005-0000-0000-0000E99D0000}"/>
    <cellStyle name="Note 2 3 4 2 2 5" xfId="22806" xr:uid="{00000000-0005-0000-0000-0000EA9D0000}"/>
    <cellStyle name="Note 2 3 4 2 3" xfId="3606" xr:uid="{00000000-0005-0000-0000-0000EB9D0000}"/>
    <cellStyle name="Note 2 3 4 2 3 2" xfId="8726" xr:uid="{00000000-0005-0000-0000-0000EC9D0000}"/>
    <cellStyle name="Note 2 3 4 2 3 2 2" xfId="18966" xr:uid="{00000000-0005-0000-0000-0000ED9D0000}"/>
    <cellStyle name="Note 2 3 4 2 3 2 2 2" xfId="39446" xr:uid="{00000000-0005-0000-0000-0000EE9D0000}"/>
    <cellStyle name="Note 2 3 4 2 3 2 3" xfId="29206" xr:uid="{00000000-0005-0000-0000-0000EF9D0000}"/>
    <cellStyle name="Note 2 3 4 2 3 3" xfId="13846" xr:uid="{00000000-0005-0000-0000-0000F09D0000}"/>
    <cellStyle name="Note 2 3 4 2 3 3 2" xfId="34326" xr:uid="{00000000-0005-0000-0000-0000F19D0000}"/>
    <cellStyle name="Note 2 3 4 2 3 4" xfId="24086" xr:uid="{00000000-0005-0000-0000-0000F29D0000}"/>
    <cellStyle name="Note 2 3 4 2 4" xfId="6166" xr:uid="{00000000-0005-0000-0000-0000F39D0000}"/>
    <cellStyle name="Note 2 3 4 2 4 2" xfId="16406" xr:uid="{00000000-0005-0000-0000-0000F49D0000}"/>
    <cellStyle name="Note 2 3 4 2 4 2 2" xfId="36886" xr:uid="{00000000-0005-0000-0000-0000F59D0000}"/>
    <cellStyle name="Note 2 3 4 2 4 3" xfId="26646" xr:uid="{00000000-0005-0000-0000-0000F69D0000}"/>
    <cellStyle name="Note 2 3 4 2 5" xfId="11286" xr:uid="{00000000-0005-0000-0000-0000F79D0000}"/>
    <cellStyle name="Note 2 3 4 2 5 2" xfId="31766" xr:uid="{00000000-0005-0000-0000-0000F89D0000}"/>
    <cellStyle name="Note 2 3 4 2 6" xfId="21526" xr:uid="{00000000-0005-0000-0000-0000F99D0000}"/>
    <cellStyle name="Note 2 3 4 3" xfId="1686" xr:uid="{00000000-0005-0000-0000-0000FA9D0000}"/>
    <cellStyle name="Note 2 3 4 3 2" xfId="4246" xr:uid="{00000000-0005-0000-0000-0000FB9D0000}"/>
    <cellStyle name="Note 2 3 4 3 2 2" xfId="9366" xr:uid="{00000000-0005-0000-0000-0000FC9D0000}"/>
    <cellStyle name="Note 2 3 4 3 2 2 2" xfId="19606" xr:uid="{00000000-0005-0000-0000-0000FD9D0000}"/>
    <cellStyle name="Note 2 3 4 3 2 2 2 2" xfId="40086" xr:uid="{00000000-0005-0000-0000-0000FE9D0000}"/>
    <cellStyle name="Note 2 3 4 3 2 2 3" xfId="29846" xr:uid="{00000000-0005-0000-0000-0000FF9D0000}"/>
    <cellStyle name="Note 2 3 4 3 2 3" xfId="14486" xr:uid="{00000000-0005-0000-0000-0000009E0000}"/>
    <cellStyle name="Note 2 3 4 3 2 3 2" xfId="34966" xr:uid="{00000000-0005-0000-0000-0000019E0000}"/>
    <cellStyle name="Note 2 3 4 3 2 4" xfId="24726" xr:uid="{00000000-0005-0000-0000-0000029E0000}"/>
    <cellStyle name="Note 2 3 4 3 3" xfId="6806" xr:uid="{00000000-0005-0000-0000-0000039E0000}"/>
    <cellStyle name="Note 2 3 4 3 3 2" xfId="17046" xr:uid="{00000000-0005-0000-0000-0000049E0000}"/>
    <cellStyle name="Note 2 3 4 3 3 2 2" xfId="37526" xr:uid="{00000000-0005-0000-0000-0000059E0000}"/>
    <cellStyle name="Note 2 3 4 3 3 3" xfId="27286" xr:uid="{00000000-0005-0000-0000-0000069E0000}"/>
    <cellStyle name="Note 2 3 4 3 4" xfId="11926" xr:uid="{00000000-0005-0000-0000-0000079E0000}"/>
    <cellStyle name="Note 2 3 4 3 4 2" xfId="32406" xr:uid="{00000000-0005-0000-0000-0000089E0000}"/>
    <cellStyle name="Note 2 3 4 3 5" xfId="22166" xr:uid="{00000000-0005-0000-0000-0000099E0000}"/>
    <cellStyle name="Note 2 3 4 4" xfId="2966" xr:uid="{00000000-0005-0000-0000-00000A9E0000}"/>
    <cellStyle name="Note 2 3 4 4 2" xfId="8086" xr:uid="{00000000-0005-0000-0000-00000B9E0000}"/>
    <cellStyle name="Note 2 3 4 4 2 2" xfId="18326" xr:uid="{00000000-0005-0000-0000-00000C9E0000}"/>
    <cellStyle name="Note 2 3 4 4 2 2 2" xfId="38806" xr:uid="{00000000-0005-0000-0000-00000D9E0000}"/>
    <cellStyle name="Note 2 3 4 4 2 3" xfId="28566" xr:uid="{00000000-0005-0000-0000-00000E9E0000}"/>
    <cellStyle name="Note 2 3 4 4 3" xfId="13206" xr:uid="{00000000-0005-0000-0000-00000F9E0000}"/>
    <cellStyle name="Note 2 3 4 4 3 2" xfId="33686" xr:uid="{00000000-0005-0000-0000-0000109E0000}"/>
    <cellStyle name="Note 2 3 4 4 4" xfId="23446" xr:uid="{00000000-0005-0000-0000-0000119E0000}"/>
    <cellStyle name="Note 2 3 4 5" xfId="5526" xr:uid="{00000000-0005-0000-0000-0000129E0000}"/>
    <cellStyle name="Note 2 3 4 5 2" xfId="15766" xr:uid="{00000000-0005-0000-0000-0000139E0000}"/>
    <cellStyle name="Note 2 3 4 5 2 2" xfId="36246" xr:uid="{00000000-0005-0000-0000-0000149E0000}"/>
    <cellStyle name="Note 2 3 4 5 3" xfId="26006" xr:uid="{00000000-0005-0000-0000-0000159E0000}"/>
    <cellStyle name="Note 2 3 4 6" xfId="10646" xr:uid="{00000000-0005-0000-0000-0000169E0000}"/>
    <cellStyle name="Note 2 3 4 6 2" xfId="31126" xr:uid="{00000000-0005-0000-0000-0000179E0000}"/>
    <cellStyle name="Note 2 3 4 7" xfId="20886" xr:uid="{00000000-0005-0000-0000-0000189E0000}"/>
    <cellStyle name="Note 2 3 5" xfId="726" xr:uid="{00000000-0005-0000-0000-0000199E0000}"/>
    <cellStyle name="Note 2 3 5 2" xfId="2006" xr:uid="{00000000-0005-0000-0000-00001A9E0000}"/>
    <cellStyle name="Note 2 3 5 2 2" xfId="4566" xr:uid="{00000000-0005-0000-0000-00001B9E0000}"/>
    <cellStyle name="Note 2 3 5 2 2 2" xfId="9686" xr:uid="{00000000-0005-0000-0000-00001C9E0000}"/>
    <cellStyle name="Note 2 3 5 2 2 2 2" xfId="19926" xr:uid="{00000000-0005-0000-0000-00001D9E0000}"/>
    <cellStyle name="Note 2 3 5 2 2 2 2 2" xfId="40406" xr:uid="{00000000-0005-0000-0000-00001E9E0000}"/>
    <cellStyle name="Note 2 3 5 2 2 2 3" xfId="30166" xr:uid="{00000000-0005-0000-0000-00001F9E0000}"/>
    <cellStyle name="Note 2 3 5 2 2 3" xfId="14806" xr:uid="{00000000-0005-0000-0000-0000209E0000}"/>
    <cellStyle name="Note 2 3 5 2 2 3 2" xfId="35286" xr:uid="{00000000-0005-0000-0000-0000219E0000}"/>
    <cellStyle name="Note 2 3 5 2 2 4" xfId="25046" xr:uid="{00000000-0005-0000-0000-0000229E0000}"/>
    <cellStyle name="Note 2 3 5 2 3" xfId="7126" xr:uid="{00000000-0005-0000-0000-0000239E0000}"/>
    <cellStyle name="Note 2 3 5 2 3 2" xfId="17366" xr:uid="{00000000-0005-0000-0000-0000249E0000}"/>
    <cellStyle name="Note 2 3 5 2 3 2 2" xfId="37846" xr:uid="{00000000-0005-0000-0000-0000259E0000}"/>
    <cellStyle name="Note 2 3 5 2 3 3" xfId="27606" xr:uid="{00000000-0005-0000-0000-0000269E0000}"/>
    <cellStyle name="Note 2 3 5 2 4" xfId="12246" xr:uid="{00000000-0005-0000-0000-0000279E0000}"/>
    <cellStyle name="Note 2 3 5 2 4 2" xfId="32726" xr:uid="{00000000-0005-0000-0000-0000289E0000}"/>
    <cellStyle name="Note 2 3 5 2 5" xfId="22486" xr:uid="{00000000-0005-0000-0000-0000299E0000}"/>
    <cellStyle name="Note 2 3 5 3" xfId="3286" xr:uid="{00000000-0005-0000-0000-00002A9E0000}"/>
    <cellStyle name="Note 2 3 5 3 2" xfId="8406" xr:uid="{00000000-0005-0000-0000-00002B9E0000}"/>
    <cellStyle name="Note 2 3 5 3 2 2" xfId="18646" xr:uid="{00000000-0005-0000-0000-00002C9E0000}"/>
    <cellStyle name="Note 2 3 5 3 2 2 2" xfId="39126" xr:uid="{00000000-0005-0000-0000-00002D9E0000}"/>
    <cellStyle name="Note 2 3 5 3 2 3" xfId="28886" xr:uid="{00000000-0005-0000-0000-00002E9E0000}"/>
    <cellStyle name="Note 2 3 5 3 3" xfId="13526" xr:uid="{00000000-0005-0000-0000-00002F9E0000}"/>
    <cellStyle name="Note 2 3 5 3 3 2" xfId="34006" xr:uid="{00000000-0005-0000-0000-0000309E0000}"/>
    <cellStyle name="Note 2 3 5 3 4" xfId="23766" xr:uid="{00000000-0005-0000-0000-0000319E0000}"/>
    <cellStyle name="Note 2 3 5 4" xfId="5846" xr:uid="{00000000-0005-0000-0000-0000329E0000}"/>
    <cellStyle name="Note 2 3 5 4 2" xfId="16086" xr:uid="{00000000-0005-0000-0000-0000339E0000}"/>
    <cellStyle name="Note 2 3 5 4 2 2" xfId="36566" xr:uid="{00000000-0005-0000-0000-0000349E0000}"/>
    <cellStyle name="Note 2 3 5 4 3" xfId="26326" xr:uid="{00000000-0005-0000-0000-0000359E0000}"/>
    <cellStyle name="Note 2 3 5 5" xfId="10966" xr:uid="{00000000-0005-0000-0000-0000369E0000}"/>
    <cellStyle name="Note 2 3 5 5 2" xfId="31446" xr:uid="{00000000-0005-0000-0000-0000379E0000}"/>
    <cellStyle name="Note 2 3 5 6" xfId="21206" xr:uid="{00000000-0005-0000-0000-0000389E0000}"/>
    <cellStyle name="Note 2 3 6" xfId="1366" xr:uid="{00000000-0005-0000-0000-0000399E0000}"/>
    <cellStyle name="Note 2 3 6 2" xfId="3926" xr:uid="{00000000-0005-0000-0000-00003A9E0000}"/>
    <cellStyle name="Note 2 3 6 2 2" xfId="9046" xr:uid="{00000000-0005-0000-0000-00003B9E0000}"/>
    <cellStyle name="Note 2 3 6 2 2 2" xfId="19286" xr:uid="{00000000-0005-0000-0000-00003C9E0000}"/>
    <cellStyle name="Note 2 3 6 2 2 2 2" xfId="39766" xr:uid="{00000000-0005-0000-0000-00003D9E0000}"/>
    <cellStyle name="Note 2 3 6 2 2 3" xfId="29526" xr:uid="{00000000-0005-0000-0000-00003E9E0000}"/>
    <cellStyle name="Note 2 3 6 2 3" xfId="14166" xr:uid="{00000000-0005-0000-0000-00003F9E0000}"/>
    <cellStyle name="Note 2 3 6 2 3 2" xfId="34646" xr:uid="{00000000-0005-0000-0000-0000409E0000}"/>
    <cellStyle name="Note 2 3 6 2 4" xfId="24406" xr:uid="{00000000-0005-0000-0000-0000419E0000}"/>
    <cellStyle name="Note 2 3 6 3" xfId="6486" xr:uid="{00000000-0005-0000-0000-0000429E0000}"/>
    <cellStyle name="Note 2 3 6 3 2" xfId="16726" xr:uid="{00000000-0005-0000-0000-0000439E0000}"/>
    <cellStyle name="Note 2 3 6 3 2 2" xfId="37206" xr:uid="{00000000-0005-0000-0000-0000449E0000}"/>
    <cellStyle name="Note 2 3 6 3 3" xfId="26966" xr:uid="{00000000-0005-0000-0000-0000459E0000}"/>
    <cellStyle name="Note 2 3 6 4" xfId="11606" xr:uid="{00000000-0005-0000-0000-0000469E0000}"/>
    <cellStyle name="Note 2 3 6 4 2" xfId="32086" xr:uid="{00000000-0005-0000-0000-0000479E0000}"/>
    <cellStyle name="Note 2 3 6 5" xfId="21846" xr:uid="{00000000-0005-0000-0000-0000489E0000}"/>
    <cellStyle name="Note 2 3 7" xfId="2646" xr:uid="{00000000-0005-0000-0000-0000499E0000}"/>
    <cellStyle name="Note 2 3 7 2" xfId="7766" xr:uid="{00000000-0005-0000-0000-00004A9E0000}"/>
    <cellStyle name="Note 2 3 7 2 2" xfId="18006" xr:uid="{00000000-0005-0000-0000-00004B9E0000}"/>
    <cellStyle name="Note 2 3 7 2 2 2" xfId="38486" xr:uid="{00000000-0005-0000-0000-00004C9E0000}"/>
    <cellStyle name="Note 2 3 7 2 3" xfId="28246" xr:uid="{00000000-0005-0000-0000-00004D9E0000}"/>
    <cellStyle name="Note 2 3 7 3" xfId="12886" xr:uid="{00000000-0005-0000-0000-00004E9E0000}"/>
    <cellStyle name="Note 2 3 7 3 2" xfId="33366" xr:uid="{00000000-0005-0000-0000-00004F9E0000}"/>
    <cellStyle name="Note 2 3 7 4" xfId="23126" xr:uid="{00000000-0005-0000-0000-0000509E0000}"/>
    <cellStyle name="Note 2 3 8" xfId="5206" xr:uid="{00000000-0005-0000-0000-0000519E0000}"/>
    <cellStyle name="Note 2 3 8 2" xfId="15446" xr:uid="{00000000-0005-0000-0000-0000529E0000}"/>
    <cellStyle name="Note 2 3 8 2 2" xfId="35926" xr:uid="{00000000-0005-0000-0000-0000539E0000}"/>
    <cellStyle name="Note 2 3 8 3" xfId="25686" xr:uid="{00000000-0005-0000-0000-0000549E0000}"/>
    <cellStyle name="Note 2 3 9" xfId="10326" xr:uid="{00000000-0005-0000-0000-0000559E0000}"/>
    <cellStyle name="Note 2 3 9 2" xfId="30806" xr:uid="{00000000-0005-0000-0000-0000569E0000}"/>
    <cellStyle name="Note 2 4" xfId="126" xr:uid="{00000000-0005-0000-0000-0000579E0000}"/>
    <cellStyle name="Note 2 4 2" xfId="286" xr:uid="{00000000-0005-0000-0000-0000589E0000}"/>
    <cellStyle name="Note 2 4 2 2" xfId="606" xr:uid="{00000000-0005-0000-0000-0000599E0000}"/>
    <cellStyle name="Note 2 4 2 2 2" xfId="1246" xr:uid="{00000000-0005-0000-0000-00005A9E0000}"/>
    <cellStyle name="Note 2 4 2 2 2 2" xfId="2526" xr:uid="{00000000-0005-0000-0000-00005B9E0000}"/>
    <cellStyle name="Note 2 4 2 2 2 2 2" xfId="5086" xr:uid="{00000000-0005-0000-0000-00005C9E0000}"/>
    <cellStyle name="Note 2 4 2 2 2 2 2 2" xfId="10206" xr:uid="{00000000-0005-0000-0000-00005D9E0000}"/>
    <cellStyle name="Note 2 4 2 2 2 2 2 2 2" xfId="20446" xr:uid="{00000000-0005-0000-0000-00005E9E0000}"/>
    <cellStyle name="Note 2 4 2 2 2 2 2 2 2 2" xfId="40926" xr:uid="{00000000-0005-0000-0000-00005F9E0000}"/>
    <cellStyle name="Note 2 4 2 2 2 2 2 2 3" xfId="30686" xr:uid="{00000000-0005-0000-0000-0000609E0000}"/>
    <cellStyle name="Note 2 4 2 2 2 2 2 3" xfId="15326" xr:uid="{00000000-0005-0000-0000-0000619E0000}"/>
    <cellStyle name="Note 2 4 2 2 2 2 2 3 2" xfId="35806" xr:uid="{00000000-0005-0000-0000-0000629E0000}"/>
    <cellStyle name="Note 2 4 2 2 2 2 2 4" xfId="25566" xr:uid="{00000000-0005-0000-0000-0000639E0000}"/>
    <cellStyle name="Note 2 4 2 2 2 2 3" xfId="7646" xr:uid="{00000000-0005-0000-0000-0000649E0000}"/>
    <cellStyle name="Note 2 4 2 2 2 2 3 2" xfId="17886" xr:uid="{00000000-0005-0000-0000-0000659E0000}"/>
    <cellStyle name="Note 2 4 2 2 2 2 3 2 2" xfId="38366" xr:uid="{00000000-0005-0000-0000-0000669E0000}"/>
    <cellStyle name="Note 2 4 2 2 2 2 3 3" xfId="28126" xr:uid="{00000000-0005-0000-0000-0000679E0000}"/>
    <cellStyle name="Note 2 4 2 2 2 2 4" xfId="12766" xr:uid="{00000000-0005-0000-0000-0000689E0000}"/>
    <cellStyle name="Note 2 4 2 2 2 2 4 2" xfId="33246" xr:uid="{00000000-0005-0000-0000-0000699E0000}"/>
    <cellStyle name="Note 2 4 2 2 2 2 5" xfId="23006" xr:uid="{00000000-0005-0000-0000-00006A9E0000}"/>
    <cellStyle name="Note 2 4 2 2 2 3" xfId="3806" xr:uid="{00000000-0005-0000-0000-00006B9E0000}"/>
    <cellStyle name="Note 2 4 2 2 2 3 2" xfId="8926" xr:uid="{00000000-0005-0000-0000-00006C9E0000}"/>
    <cellStyle name="Note 2 4 2 2 2 3 2 2" xfId="19166" xr:uid="{00000000-0005-0000-0000-00006D9E0000}"/>
    <cellStyle name="Note 2 4 2 2 2 3 2 2 2" xfId="39646" xr:uid="{00000000-0005-0000-0000-00006E9E0000}"/>
    <cellStyle name="Note 2 4 2 2 2 3 2 3" xfId="29406" xr:uid="{00000000-0005-0000-0000-00006F9E0000}"/>
    <cellStyle name="Note 2 4 2 2 2 3 3" xfId="14046" xr:uid="{00000000-0005-0000-0000-0000709E0000}"/>
    <cellStyle name="Note 2 4 2 2 2 3 3 2" xfId="34526" xr:uid="{00000000-0005-0000-0000-0000719E0000}"/>
    <cellStyle name="Note 2 4 2 2 2 3 4" xfId="24286" xr:uid="{00000000-0005-0000-0000-0000729E0000}"/>
    <cellStyle name="Note 2 4 2 2 2 4" xfId="6366" xr:uid="{00000000-0005-0000-0000-0000739E0000}"/>
    <cellStyle name="Note 2 4 2 2 2 4 2" xfId="16606" xr:uid="{00000000-0005-0000-0000-0000749E0000}"/>
    <cellStyle name="Note 2 4 2 2 2 4 2 2" xfId="37086" xr:uid="{00000000-0005-0000-0000-0000759E0000}"/>
    <cellStyle name="Note 2 4 2 2 2 4 3" xfId="26846" xr:uid="{00000000-0005-0000-0000-0000769E0000}"/>
    <cellStyle name="Note 2 4 2 2 2 5" xfId="11486" xr:uid="{00000000-0005-0000-0000-0000779E0000}"/>
    <cellStyle name="Note 2 4 2 2 2 5 2" xfId="31966" xr:uid="{00000000-0005-0000-0000-0000789E0000}"/>
    <cellStyle name="Note 2 4 2 2 2 6" xfId="21726" xr:uid="{00000000-0005-0000-0000-0000799E0000}"/>
    <cellStyle name="Note 2 4 2 2 3" xfId="1886" xr:uid="{00000000-0005-0000-0000-00007A9E0000}"/>
    <cellStyle name="Note 2 4 2 2 3 2" xfId="4446" xr:uid="{00000000-0005-0000-0000-00007B9E0000}"/>
    <cellStyle name="Note 2 4 2 2 3 2 2" xfId="9566" xr:uid="{00000000-0005-0000-0000-00007C9E0000}"/>
    <cellStyle name="Note 2 4 2 2 3 2 2 2" xfId="19806" xr:uid="{00000000-0005-0000-0000-00007D9E0000}"/>
    <cellStyle name="Note 2 4 2 2 3 2 2 2 2" xfId="40286" xr:uid="{00000000-0005-0000-0000-00007E9E0000}"/>
    <cellStyle name="Note 2 4 2 2 3 2 2 3" xfId="30046" xr:uid="{00000000-0005-0000-0000-00007F9E0000}"/>
    <cellStyle name="Note 2 4 2 2 3 2 3" xfId="14686" xr:uid="{00000000-0005-0000-0000-0000809E0000}"/>
    <cellStyle name="Note 2 4 2 2 3 2 3 2" xfId="35166" xr:uid="{00000000-0005-0000-0000-0000819E0000}"/>
    <cellStyle name="Note 2 4 2 2 3 2 4" xfId="24926" xr:uid="{00000000-0005-0000-0000-0000829E0000}"/>
    <cellStyle name="Note 2 4 2 2 3 3" xfId="7006" xr:uid="{00000000-0005-0000-0000-0000839E0000}"/>
    <cellStyle name="Note 2 4 2 2 3 3 2" xfId="17246" xr:uid="{00000000-0005-0000-0000-0000849E0000}"/>
    <cellStyle name="Note 2 4 2 2 3 3 2 2" xfId="37726" xr:uid="{00000000-0005-0000-0000-0000859E0000}"/>
    <cellStyle name="Note 2 4 2 2 3 3 3" xfId="27486" xr:uid="{00000000-0005-0000-0000-0000869E0000}"/>
    <cellStyle name="Note 2 4 2 2 3 4" xfId="12126" xr:uid="{00000000-0005-0000-0000-0000879E0000}"/>
    <cellStyle name="Note 2 4 2 2 3 4 2" xfId="32606" xr:uid="{00000000-0005-0000-0000-0000889E0000}"/>
    <cellStyle name="Note 2 4 2 2 3 5" xfId="22366" xr:uid="{00000000-0005-0000-0000-0000899E0000}"/>
    <cellStyle name="Note 2 4 2 2 4" xfId="3166" xr:uid="{00000000-0005-0000-0000-00008A9E0000}"/>
    <cellStyle name="Note 2 4 2 2 4 2" xfId="8286" xr:uid="{00000000-0005-0000-0000-00008B9E0000}"/>
    <cellStyle name="Note 2 4 2 2 4 2 2" xfId="18526" xr:uid="{00000000-0005-0000-0000-00008C9E0000}"/>
    <cellStyle name="Note 2 4 2 2 4 2 2 2" xfId="39006" xr:uid="{00000000-0005-0000-0000-00008D9E0000}"/>
    <cellStyle name="Note 2 4 2 2 4 2 3" xfId="28766" xr:uid="{00000000-0005-0000-0000-00008E9E0000}"/>
    <cellStyle name="Note 2 4 2 2 4 3" xfId="13406" xr:uid="{00000000-0005-0000-0000-00008F9E0000}"/>
    <cellStyle name="Note 2 4 2 2 4 3 2" xfId="33886" xr:uid="{00000000-0005-0000-0000-0000909E0000}"/>
    <cellStyle name="Note 2 4 2 2 4 4" xfId="23646" xr:uid="{00000000-0005-0000-0000-0000919E0000}"/>
    <cellStyle name="Note 2 4 2 2 5" xfId="5726" xr:uid="{00000000-0005-0000-0000-0000929E0000}"/>
    <cellStyle name="Note 2 4 2 2 5 2" xfId="15966" xr:uid="{00000000-0005-0000-0000-0000939E0000}"/>
    <cellStyle name="Note 2 4 2 2 5 2 2" xfId="36446" xr:uid="{00000000-0005-0000-0000-0000949E0000}"/>
    <cellStyle name="Note 2 4 2 2 5 3" xfId="26206" xr:uid="{00000000-0005-0000-0000-0000959E0000}"/>
    <cellStyle name="Note 2 4 2 2 6" xfId="10846" xr:uid="{00000000-0005-0000-0000-0000969E0000}"/>
    <cellStyle name="Note 2 4 2 2 6 2" xfId="31326" xr:uid="{00000000-0005-0000-0000-0000979E0000}"/>
    <cellStyle name="Note 2 4 2 2 7" xfId="21086" xr:uid="{00000000-0005-0000-0000-0000989E0000}"/>
    <cellStyle name="Note 2 4 2 3" xfId="926" xr:uid="{00000000-0005-0000-0000-0000999E0000}"/>
    <cellStyle name="Note 2 4 2 3 2" xfId="2206" xr:uid="{00000000-0005-0000-0000-00009A9E0000}"/>
    <cellStyle name="Note 2 4 2 3 2 2" xfId="4766" xr:uid="{00000000-0005-0000-0000-00009B9E0000}"/>
    <cellStyle name="Note 2 4 2 3 2 2 2" xfId="9886" xr:uid="{00000000-0005-0000-0000-00009C9E0000}"/>
    <cellStyle name="Note 2 4 2 3 2 2 2 2" xfId="20126" xr:uid="{00000000-0005-0000-0000-00009D9E0000}"/>
    <cellStyle name="Note 2 4 2 3 2 2 2 2 2" xfId="40606" xr:uid="{00000000-0005-0000-0000-00009E9E0000}"/>
    <cellStyle name="Note 2 4 2 3 2 2 2 3" xfId="30366" xr:uid="{00000000-0005-0000-0000-00009F9E0000}"/>
    <cellStyle name="Note 2 4 2 3 2 2 3" xfId="15006" xr:uid="{00000000-0005-0000-0000-0000A09E0000}"/>
    <cellStyle name="Note 2 4 2 3 2 2 3 2" xfId="35486" xr:uid="{00000000-0005-0000-0000-0000A19E0000}"/>
    <cellStyle name="Note 2 4 2 3 2 2 4" xfId="25246" xr:uid="{00000000-0005-0000-0000-0000A29E0000}"/>
    <cellStyle name="Note 2 4 2 3 2 3" xfId="7326" xr:uid="{00000000-0005-0000-0000-0000A39E0000}"/>
    <cellStyle name="Note 2 4 2 3 2 3 2" xfId="17566" xr:uid="{00000000-0005-0000-0000-0000A49E0000}"/>
    <cellStyle name="Note 2 4 2 3 2 3 2 2" xfId="38046" xr:uid="{00000000-0005-0000-0000-0000A59E0000}"/>
    <cellStyle name="Note 2 4 2 3 2 3 3" xfId="27806" xr:uid="{00000000-0005-0000-0000-0000A69E0000}"/>
    <cellStyle name="Note 2 4 2 3 2 4" xfId="12446" xr:uid="{00000000-0005-0000-0000-0000A79E0000}"/>
    <cellStyle name="Note 2 4 2 3 2 4 2" xfId="32926" xr:uid="{00000000-0005-0000-0000-0000A89E0000}"/>
    <cellStyle name="Note 2 4 2 3 2 5" xfId="22686" xr:uid="{00000000-0005-0000-0000-0000A99E0000}"/>
    <cellStyle name="Note 2 4 2 3 3" xfId="3486" xr:uid="{00000000-0005-0000-0000-0000AA9E0000}"/>
    <cellStyle name="Note 2 4 2 3 3 2" xfId="8606" xr:uid="{00000000-0005-0000-0000-0000AB9E0000}"/>
    <cellStyle name="Note 2 4 2 3 3 2 2" xfId="18846" xr:uid="{00000000-0005-0000-0000-0000AC9E0000}"/>
    <cellStyle name="Note 2 4 2 3 3 2 2 2" xfId="39326" xr:uid="{00000000-0005-0000-0000-0000AD9E0000}"/>
    <cellStyle name="Note 2 4 2 3 3 2 3" xfId="29086" xr:uid="{00000000-0005-0000-0000-0000AE9E0000}"/>
    <cellStyle name="Note 2 4 2 3 3 3" xfId="13726" xr:uid="{00000000-0005-0000-0000-0000AF9E0000}"/>
    <cellStyle name="Note 2 4 2 3 3 3 2" xfId="34206" xr:uid="{00000000-0005-0000-0000-0000B09E0000}"/>
    <cellStyle name="Note 2 4 2 3 3 4" xfId="23966" xr:uid="{00000000-0005-0000-0000-0000B19E0000}"/>
    <cellStyle name="Note 2 4 2 3 4" xfId="6046" xr:uid="{00000000-0005-0000-0000-0000B29E0000}"/>
    <cellStyle name="Note 2 4 2 3 4 2" xfId="16286" xr:uid="{00000000-0005-0000-0000-0000B39E0000}"/>
    <cellStyle name="Note 2 4 2 3 4 2 2" xfId="36766" xr:uid="{00000000-0005-0000-0000-0000B49E0000}"/>
    <cellStyle name="Note 2 4 2 3 4 3" xfId="26526" xr:uid="{00000000-0005-0000-0000-0000B59E0000}"/>
    <cellStyle name="Note 2 4 2 3 5" xfId="11166" xr:uid="{00000000-0005-0000-0000-0000B69E0000}"/>
    <cellStyle name="Note 2 4 2 3 5 2" xfId="31646" xr:uid="{00000000-0005-0000-0000-0000B79E0000}"/>
    <cellStyle name="Note 2 4 2 3 6" xfId="21406" xr:uid="{00000000-0005-0000-0000-0000B89E0000}"/>
    <cellStyle name="Note 2 4 2 4" xfId="1566" xr:uid="{00000000-0005-0000-0000-0000B99E0000}"/>
    <cellStyle name="Note 2 4 2 4 2" xfId="4126" xr:uid="{00000000-0005-0000-0000-0000BA9E0000}"/>
    <cellStyle name="Note 2 4 2 4 2 2" xfId="9246" xr:uid="{00000000-0005-0000-0000-0000BB9E0000}"/>
    <cellStyle name="Note 2 4 2 4 2 2 2" xfId="19486" xr:uid="{00000000-0005-0000-0000-0000BC9E0000}"/>
    <cellStyle name="Note 2 4 2 4 2 2 2 2" xfId="39966" xr:uid="{00000000-0005-0000-0000-0000BD9E0000}"/>
    <cellStyle name="Note 2 4 2 4 2 2 3" xfId="29726" xr:uid="{00000000-0005-0000-0000-0000BE9E0000}"/>
    <cellStyle name="Note 2 4 2 4 2 3" xfId="14366" xr:uid="{00000000-0005-0000-0000-0000BF9E0000}"/>
    <cellStyle name="Note 2 4 2 4 2 3 2" xfId="34846" xr:uid="{00000000-0005-0000-0000-0000C09E0000}"/>
    <cellStyle name="Note 2 4 2 4 2 4" xfId="24606" xr:uid="{00000000-0005-0000-0000-0000C19E0000}"/>
    <cellStyle name="Note 2 4 2 4 3" xfId="6686" xr:uid="{00000000-0005-0000-0000-0000C29E0000}"/>
    <cellStyle name="Note 2 4 2 4 3 2" xfId="16926" xr:uid="{00000000-0005-0000-0000-0000C39E0000}"/>
    <cellStyle name="Note 2 4 2 4 3 2 2" xfId="37406" xr:uid="{00000000-0005-0000-0000-0000C49E0000}"/>
    <cellStyle name="Note 2 4 2 4 3 3" xfId="27166" xr:uid="{00000000-0005-0000-0000-0000C59E0000}"/>
    <cellStyle name="Note 2 4 2 4 4" xfId="11806" xr:uid="{00000000-0005-0000-0000-0000C69E0000}"/>
    <cellStyle name="Note 2 4 2 4 4 2" xfId="32286" xr:uid="{00000000-0005-0000-0000-0000C79E0000}"/>
    <cellStyle name="Note 2 4 2 4 5" xfId="22046" xr:uid="{00000000-0005-0000-0000-0000C89E0000}"/>
    <cellStyle name="Note 2 4 2 5" xfId="2846" xr:uid="{00000000-0005-0000-0000-0000C99E0000}"/>
    <cellStyle name="Note 2 4 2 5 2" xfId="7966" xr:uid="{00000000-0005-0000-0000-0000CA9E0000}"/>
    <cellStyle name="Note 2 4 2 5 2 2" xfId="18206" xr:uid="{00000000-0005-0000-0000-0000CB9E0000}"/>
    <cellStyle name="Note 2 4 2 5 2 2 2" xfId="38686" xr:uid="{00000000-0005-0000-0000-0000CC9E0000}"/>
    <cellStyle name="Note 2 4 2 5 2 3" xfId="28446" xr:uid="{00000000-0005-0000-0000-0000CD9E0000}"/>
    <cellStyle name="Note 2 4 2 5 3" xfId="13086" xr:uid="{00000000-0005-0000-0000-0000CE9E0000}"/>
    <cellStyle name="Note 2 4 2 5 3 2" xfId="33566" xr:uid="{00000000-0005-0000-0000-0000CF9E0000}"/>
    <cellStyle name="Note 2 4 2 5 4" xfId="23326" xr:uid="{00000000-0005-0000-0000-0000D09E0000}"/>
    <cellStyle name="Note 2 4 2 6" xfId="5406" xr:uid="{00000000-0005-0000-0000-0000D19E0000}"/>
    <cellStyle name="Note 2 4 2 6 2" xfId="15646" xr:uid="{00000000-0005-0000-0000-0000D29E0000}"/>
    <cellStyle name="Note 2 4 2 6 2 2" xfId="36126" xr:uid="{00000000-0005-0000-0000-0000D39E0000}"/>
    <cellStyle name="Note 2 4 2 6 3" xfId="25886" xr:uid="{00000000-0005-0000-0000-0000D49E0000}"/>
    <cellStyle name="Note 2 4 2 7" xfId="10526" xr:uid="{00000000-0005-0000-0000-0000D59E0000}"/>
    <cellStyle name="Note 2 4 2 7 2" xfId="31006" xr:uid="{00000000-0005-0000-0000-0000D69E0000}"/>
    <cellStyle name="Note 2 4 2 8" xfId="20766" xr:uid="{00000000-0005-0000-0000-0000D79E0000}"/>
    <cellStyle name="Note 2 4 3" xfId="446" xr:uid="{00000000-0005-0000-0000-0000D89E0000}"/>
    <cellStyle name="Note 2 4 3 2" xfId="1086" xr:uid="{00000000-0005-0000-0000-0000D99E0000}"/>
    <cellStyle name="Note 2 4 3 2 2" xfId="2366" xr:uid="{00000000-0005-0000-0000-0000DA9E0000}"/>
    <cellStyle name="Note 2 4 3 2 2 2" xfId="4926" xr:uid="{00000000-0005-0000-0000-0000DB9E0000}"/>
    <cellStyle name="Note 2 4 3 2 2 2 2" xfId="10046" xr:uid="{00000000-0005-0000-0000-0000DC9E0000}"/>
    <cellStyle name="Note 2 4 3 2 2 2 2 2" xfId="20286" xr:uid="{00000000-0005-0000-0000-0000DD9E0000}"/>
    <cellStyle name="Note 2 4 3 2 2 2 2 2 2" xfId="40766" xr:uid="{00000000-0005-0000-0000-0000DE9E0000}"/>
    <cellStyle name="Note 2 4 3 2 2 2 2 3" xfId="30526" xr:uid="{00000000-0005-0000-0000-0000DF9E0000}"/>
    <cellStyle name="Note 2 4 3 2 2 2 3" xfId="15166" xr:uid="{00000000-0005-0000-0000-0000E09E0000}"/>
    <cellStyle name="Note 2 4 3 2 2 2 3 2" xfId="35646" xr:uid="{00000000-0005-0000-0000-0000E19E0000}"/>
    <cellStyle name="Note 2 4 3 2 2 2 4" xfId="25406" xr:uid="{00000000-0005-0000-0000-0000E29E0000}"/>
    <cellStyle name="Note 2 4 3 2 2 3" xfId="7486" xr:uid="{00000000-0005-0000-0000-0000E39E0000}"/>
    <cellStyle name="Note 2 4 3 2 2 3 2" xfId="17726" xr:uid="{00000000-0005-0000-0000-0000E49E0000}"/>
    <cellStyle name="Note 2 4 3 2 2 3 2 2" xfId="38206" xr:uid="{00000000-0005-0000-0000-0000E59E0000}"/>
    <cellStyle name="Note 2 4 3 2 2 3 3" xfId="27966" xr:uid="{00000000-0005-0000-0000-0000E69E0000}"/>
    <cellStyle name="Note 2 4 3 2 2 4" xfId="12606" xr:uid="{00000000-0005-0000-0000-0000E79E0000}"/>
    <cellStyle name="Note 2 4 3 2 2 4 2" xfId="33086" xr:uid="{00000000-0005-0000-0000-0000E89E0000}"/>
    <cellStyle name="Note 2 4 3 2 2 5" xfId="22846" xr:uid="{00000000-0005-0000-0000-0000E99E0000}"/>
    <cellStyle name="Note 2 4 3 2 3" xfId="3646" xr:uid="{00000000-0005-0000-0000-0000EA9E0000}"/>
    <cellStyle name="Note 2 4 3 2 3 2" xfId="8766" xr:uid="{00000000-0005-0000-0000-0000EB9E0000}"/>
    <cellStyle name="Note 2 4 3 2 3 2 2" xfId="19006" xr:uid="{00000000-0005-0000-0000-0000EC9E0000}"/>
    <cellStyle name="Note 2 4 3 2 3 2 2 2" xfId="39486" xr:uid="{00000000-0005-0000-0000-0000ED9E0000}"/>
    <cellStyle name="Note 2 4 3 2 3 2 3" xfId="29246" xr:uid="{00000000-0005-0000-0000-0000EE9E0000}"/>
    <cellStyle name="Note 2 4 3 2 3 3" xfId="13886" xr:uid="{00000000-0005-0000-0000-0000EF9E0000}"/>
    <cellStyle name="Note 2 4 3 2 3 3 2" xfId="34366" xr:uid="{00000000-0005-0000-0000-0000F09E0000}"/>
    <cellStyle name="Note 2 4 3 2 3 4" xfId="24126" xr:uid="{00000000-0005-0000-0000-0000F19E0000}"/>
    <cellStyle name="Note 2 4 3 2 4" xfId="6206" xr:uid="{00000000-0005-0000-0000-0000F29E0000}"/>
    <cellStyle name="Note 2 4 3 2 4 2" xfId="16446" xr:uid="{00000000-0005-0000-0000-0000F39E0000}"/>
    <cellStyle name="Note 2 4 3 2 4 2 2" xfId="36926" xr:uid="{00000000-0005-0000-0000-0000F49E0000}"/>
    <cellStyle name="Note 2 4 3 2 4 3" xfId="26686" xr:uid="{00000000-0005-0000-0000-0000F59E0000}"/>
    <cellStyle name="Note 2 4 3 2 5" xfId="11326" xr:uid="{00000000-0005-0000-0000-0000F69E0000}"/>
    <cellStyle name="Note 2 4 3 2 5 2" xfId="31806" xr:uid="{00000000-0005-0000-0000-0000F79E0000}"/>
    <cellStyle name="Note 2 4 3 2 6" xfId="21566" xr:uid="{00000000-0005-0000-0000-0000F89E0000}"/>
    <cellStyle name="Note 2 4 3 3" xfId="1726" xr:uid="{00000000-0005-0000-0000-0000F99E0000}"/>
    <cellStyle name="Note 2 4 3 3 2" xfId="4286" xr:uid="{00000000-0005-0000-0000-0000FA9E0000}"/>
    <cellStyle name="Note 2 4 3 3 2 2" xfId="9406" xr:uid="{00000000-0005-0000-0000-0000FB9E0000}"/>
    <cellStyle name="Note 2 4 3 3 2 2 2" xfId="19646" xr:uid="{00000000-0005-0000-0000-0000FC9E0000}"/>
    <cellStyle name="Note 2 4 3 3 2 2 2 2" xfId="40126" xr:uid="{00000000-0005-0000-0000-0000FD9E0000}"/>
    <cellStyle name="Note 2 4 3 3 2 2 3" xfId="29886" xr:uid="{00000000-0005-0000-0000-0000FE9E0000}"/>
    <cellStyle name="Note 2 4 3 3 2 3" xfId="14526" xr:uid="{00000000-0005-0000-0000-0000FF9E0000}"/>
    <cellStyle name="Note 2 4 3 3 2 3 2" xfId="35006" xr:uid="{00000000-0005-0000-0000-0000009F0000}"/>
    <cellStyle name="Note 2 4 3 3 2 4" xfId="24766" xr:uid="{00000000-0005-0000-0000-0000019F0000}"/>
    <cellStyle name="Note 2 4 3 3 3" xfId="6846" xr:uid="{00000000-0005-0000-0000-0000029F0000}"/>
    <cellStyle name="Note 2 4 3 3 3 2" xfId="17086" xr:uid="{00000000-0005-0000-0000-0000039F0000}"/>
    <cellStyle name="Note 2 4 3 3 3 2 2" xfId="37566" xr:uid="{00000000-0005-0000-0000-0000049F0000}"/>
    <cellStyle name="Note 2 4 3 3 3 3" xfId="27326" xr:uid="{00000000-0005-0000-0000-0000059F0000}"/>
    <cellStyle name="Note 2 4 3 3 4" xfId="11966" xr:uid="{00000000-0005-0000-0000-0000069F0000}"/>
    <cellStyle name="Note 2 4 3 3 4 2" xfId="32446" xr:uid="{00000000-0005-0000-0000-0000079F0000}"/>
    <cellStyle name="Note 2 4 3 3 5" xfId="22206" xr:uid="{00000000-0005-0000-0000-0000089F0000}"/>
    <cellStyle name="Note 2 4 3 4" xfId="3006" xr:uid="{00000000-0005-0000-0000-0000099F0000}"/>
    <cellStyle name="Note 2 4 3 4 2" xfId="8126" xr:uid="{00000000-0005-0000-0000-00000A9F0000}"/>
    <cellStyle name="Note 2 4 3 4 2 2" xfId="18366" xr:uid="{00000000-0005-0000-0000-00000B9F0000}"/>
    <cellStyle name="Note 2 4 3 4 2 2 2" xfId="38846" xr:uid="{00000000-0005-0000-0000-00000C9F0000}"/>
    <cellStyle name="Note 2 4 3 4 2 3" xfId="28606" xr:uid="{00000000-0005-0000-0000-00000D9F0000}"/>
    <cellStyle name="Note 2 4 3 4 3" xfId="13246" xr:uid="{00000000-0005-0000-0000-00000E9F0000}"/>
    <cellStyle name="Note 2 4 3 4 3 2" xfId="33726" xr:uid="{00000000-0005-0000-0000-00000F9F0000}"/>
    <cellStyle name="Note 2 4 3 4 4" xfId="23486" xr:uid="{00000000-0005-0000-0000-0000109F0000}"/>
    <cellStyle name="Note 2 4 3 5" xfId="5566" xr:uid="{00000000-0005-0000-0000-0000119F0000}"/>
    <cellStyle name="Note 2 4 3 5 2" xfId="15806" xr:uid="{00000000-0005-0000-0000-0000129F0000}"/>
    <cellStyle name="Note 2 4 3 5 2 2" xfId="36286" xr:uid="{00000000-0005-0000-0000-0000139F0000}"/>
    <cellStyle name="Note 2 4 3 5 3" xfId="26046" xr:uid="{00000000-0005-0000-0000-0000149F0000}"/>
    <cellStyle name="Note 2 4 3 6" xfId="10686" xr:uid="{00000000-0005-0000-0000-0000159F0000}"/>
    <cellStyle name="Note 2 4 3 6 2" xfId="31166" xr:uid="{00000000-0005-0000-0000-0000169F0000}"/>
    <cellStyle name="Note 2 4 3 7" xfId="20926" xr:uid="{00000000-0005-0000-0000-0000179F0000}"/>
    <cellStyle name="Note 2 4 4" xfId="766" xr:uid="{00000000-0005-0000-0000-0000189F0000}"/>
    <cellStyle name="Note 2 4 4 2" xfId="2046" xr:uid="{00000000-0005-0000-0000-0000199F0000}"/>
    <cellStyle name="Note 2 4 4 2 2" xfId="4606" xr:uid="{00000000-0005-0000-0000-00001A9F0000}"/>
    <cellStyle name="Note 2 4 4 2 2 2" xfId="9726" xr:uid="{00000000-0005-0000-0000-00001B9F0000}"/>
    <cellStyle name="Note 2 4 4 2 2 2 2" xfId="19966" xr:uid="{00000000-0005-0000-0000-00001C9F0000}"/>
    <cellStyle name="Note 2 4 4 2 2 2 2 2" xfId="40446" xr:uid="{00000000-0005-0000-0000-00001D9F0000}"/>
    <cellStyle name="Note 2 4 4 2 2 2 3" xfId="30206" xr:uid="{00000000-0005-0000-0000-00001E9F0000}"/>
    <cellStyle name="Note 2 4 4 2 2 3" xfId="14846" xr:uid="{00000000-0005-0000-0000-00001F9F0000}"/>
    <cellStyle name="Note 2 4 4 2 2 3 2" xfId="35326" xr:uid="{00000000-0005-0000-0000-0000209F0000}"/>
    <cellStyle name="Note 2 4 4 2 2 4" xfId="25086" xr:uid="{00000000-0005-0000-0000-0000219F0000}"/>
    <cellStyle name="Note 2 4 4 2 3" xfId="7166" xr:uid="{00000000-0005-0000-0000-0000229F0000}"/>
    <cellStyle name="Note 2 4 4 2 3 2" xfId="17406" xr:uid="{00000000-0005-0000-0000-0000239F0000}"/>
    <cellStyle name="Note 2 4 4 2 3 2 2" xfId="37886" xr:uid="{00000000-0005-0000-0000-0000249F0000}"/>
    <cellStyle name="Note 2 4 4 2 3 3" xfId="27646" xr:uid="{00000000-0005-0000-0000-0000259F0000}"/>
    <cellStyle name="Note 2 4 4 2 4" xfId="12286" xr:uid="{00000000-0005-0000-0000-0000269F0000}"/>
    <cellStyle name="Note 2 4 4 2 4 2" xfId="32766" xr:uid="{00000000-0005-0000-0000-0000279F0000}"/>
    <cellStyle name="Note 2 4 4 2 5" xfId="22526" xr:uid="{00000000-0005-0000-0000-0000289F0000}"/>
    <cellStyle name="Note 2 4 4 3" xfId="3326" xr:uid="{00000000-0005-0000-0000-0000299F0000}"/>
    <cellStyle name="Note 2 4 4 3 2" xfId="8446" xr:uid="{00000000-0005-0000-0000-00002A9F0000}"/>
    <cellStyle name="Note 2 4 4 3 2 2" xfId="18686" xr:uid="{00000000-0005-0000-0000-00002B9F0000}"/>
    <cellStyle name="Note 2 4 4 3 2 2 2" xfId="39166" xr:uid="{00000000-0005-0000-0000-00002C9F0000}"/>
    <cellStyle name="Note 2 4 4 3 2 3" xfId="28926" xr:uid="{00000000-0005-0000-0000-00002D9F0000}"/>
    <cellStyle name="Note 2 4 4 3 3" xfId="13566" xr:uid="{00000000-0005-0000-0000-00002E9F0000}"/>
    <cellStyle name="Note 2 4 4 3 3 2" xfId="34046" xr:uid="{00000000-0005-0000-0000-00002F9F0000}"/>
    <cellStyle name="Note 2 4 4 3 4" xfId="23806" xr:uid="{00000000-0005-0000-0000-0000309F0000}"/>
    <cellStyle name="Note 2 4 4 4" xfId="5886" xr:uid="{00000000-0005-0000-0000-0000319F0000}"/>
    <cellStyle name="Note 2 4 4 4 2" xfId="16126" xr:uid="{00000000-0005-0000-0000-0000329F0000}"/>
    <cellStyle name="Note 2 4 4 4 2 2" xfId="36606" xr:uid="{00000000-0005-0000-0000-0000339F0000}"/>
    <cellStyle name="Note 2 4 4 4 3" xfId="26366" xr:uid="{00000000-0005-0000-0000-0000349F0000}"/>
    <cellStyle name="Note 2 4 4 5" xfId="11006" xr:uid="{00000000-0005-0000-0000-0000359F0000}"/>
    <cellStyle name="Note 2 4 4 5 2" xfId="31486" xr:uid="{00000000-0005-0000-0000-0000369F0000}"/>
    <cellStyle name="Note 2 4 4 6" xfId="21246" xr:uid="{00000000-0005-0000-0000-0000379F0000}"/>
    <cellStyle name="Note 2 4 5" xfId="1406" xr:uid="{00000000-0005-0000-0000-0000389F0000}"/>
    <cellStyle name="Note 2 4 5 2" xfId="3966" xr:uid="{00000000-0005-0000-0000-0000399F0000}"/>
    <cellStyle name="Note 2 4 5 2 2" xfId="9086" xr:uid="{00000000-0005-0000-0000-00003A9F0000}"/>
    <cellStyle name="Note 2 4 5 2 2 2" xfId="19326" xr:uid="{00000000-0005-0000-0000-00003B9F0000}"/>
    <cellStyle name="Note 2 4 5 2 2 2 2" xfId="39806" xr:uid="{00000000-0005-0000-0000-00003C9F0000}"/>
    <cellStyle name="Note 2 4 5 2 2 3" xfId="29566" xr:uid="{00000000-0005-0000-0000-00003D9F0000}"/>
    <cellStyle name="Note 2 4 5 2 3" xfId="14206" xr:uid="{00000000-0005-0000-0000-00003E9F0000}"/>
    <cellStyle name="Note 2 4 5 2 3 2" xfId="34686" xr:uid="{00000000-0005-0000-0000-00003F9F0000}"/>
    <cellStyle name="Note 2 4 5 2 4" xfId="24446" xr:uid="{00000000-0005-0000-0000-0000409F0000}"/>
    <cellStyle name="Note 2 4 5 3" xfId="6526" xr:uid="{00000000-0005-0000-0000-0000419F0000}"/>
    <cellStyle name="Note 2 4 5 3 2" xfId="16766" xr:uid="{00000000-0005-0000-0000-0000429F0000}"/>
    <cellStyle name="Note 2 4 5 3 2 2" xfId="37246" xr:uid="{00000000-0005-0000-0000-0000439F0000}"/>
    <cellStyle name="Note 2 4 5 3 3" xfId="27006" xr:uid="{00000000-0005-0000-0000-0000449F0000}"/>
    <cellStyle name="Note 2 4 5 4" xfId="11646" xr:uid="{00000000-0005-0000-0000-0000459F0000}"/>
    <cellStyle name="Note 2 4 5 4 2" xfId="32126" xr:uid="{00000000-0005-0000-0000-0000469F0000}"/>
    <cellStyle name="Note 2 4 5 5" xfId="21886" xr:uid="{00000000-0005-0000-0000-0000479F0000}"/>
    <cellStyle name="Note 2 4 6" xfId="2686" xr:uid="{00000000-0005-0000-0000-0000489F0000}"/>
    <cellStyle name="Note 2 4 6 2" xfId="7806" xr:uid="{00000000-0005-0000-0000-0000499F0000}"/>
    <cellStyle name="Note 2 4 6 2 2" xfId="18046" xr:uid="{00000000-0005-0000-0000-00004A9F0000}"/>
    <cellStyle name="Note 2 4 6 2 2 2" xfId="38526" xr:uid="{00000000-0005-0000-0000-00004B9F0000}"/>
    <cellStyle name="Note 2 4 6 2 3" xfId="28286" xr:uid="{00000000-0005-0000-0000-00004C9F0000}"/>
    <cellStyle name="Note 2 4 6 3" xfId="12926" xr:uid="{00000000-0005-0000-0000-00004D9F0000}"/>
    <cellStyle name="Note 2 4 6 3 2" xfId="33406" xr:uid="{00000000-0005-0000-0000-00004E9F0000}"/>
    <cellStyle name="Note 2 4 6 4" xfId="23166" xr:uid="{00000000-0005-0000-0000-00004F9F0000}"/>
    <cellStyle name="Note 2 4 7" xfId="5246" xr:uid="{00000000-0005-0000-0000-0000509F0000}"/>
    <cellStyle name="Note 2 4 7 2" xfId="15486" xr:uid="{00000000-0005-0000-0000-0000519F0000}"/>
    <cellStyle name="Note 2 4 7 2 2" xfId="35966" xr:uid="{00000000-0005-0000-0000-0000529F0000}"/>
    <cellStyle name="Note 2 4 7 3" xfId="25726" xr:uid="{00000000-0005-0000-0000-0000539F0000}"/>
    <cellStyle name="Note 2 4 8" xfId="10366" xr:uid="{00000000-0005-0000-0000-0000549F0000}"/>
    <cellStyle name="Note 2 4 8 2" xfId="30846" xr:uid="{00000000-0005-0000-0000-0000559F0000}"/>
    <cellStyle name="Note 2 4 9" xfId="20606" xr:uid="{00000000-0005-0000-0000-0000569F0000}"/>
    <cellStyle name="Note 2 5" xfId="206" xr:uid="{00000000-0005-0000-0000-0000579F0000}"/>
    <cellStyle name="Note 2 5 2" xfId="526" xr:uid="{00000000-0005-0000-0000-0000589F0000}"/>
    <cellStyle name="Note 2 5 2 2" xfId="1166" xr:uid="{00000000-0005-0000-0000-0000599F0000}"/>
    <cellStyle name="Note 2 5 2 2 2" xfId="2446" xr:uid="{00000000-0005-0000-0000-00005A9F0000}"/>
    <cellStyle name="Note 2 5 2 2 2 2" xfId="5006" xr:uid="{00000000-0005-0000-0000-00005B9F0000}"/>
    <cellStyle name="Note 2 5 2 2 2 2 2" xfId="10126" xr:uid="{00000000-0005-0000-0000-00005C9F0000}"/>
    <cellStyle name="Note 2 5 2 2 2 2 2 2" xfId="20366" xr:uid="{00000000-0005-0000-0000-00005D9F0000}"/>
    <cellStyle name="Note 2 5 2 2 2 2 2 2 2" xfId="40846" xr:uid="{00000000-0005-0000-0000-00005E9F0000}"/>
    <cellStyle name="Note 2 5 2 2 2 2 2 3" xfId="30606" xr:uid="{00000000-0005-0000-0000-00005F9F0000}"/>
    <cellStyle name="Note 2 5 2 2 2 2 3" xfId="15246" xr:uid="{00000000-0005-0000-0000-0000609F0000}"/>
    <cellStyle name="Note 2 5 2 2 2 2 3 2" xfId="35726" xr:uid="{00000000-0005-0000-0000-0000619F0000}"/>
    <cellStyle name="Note 2 5 2 2 2 2 4" xfId="25486" xr:uid="{00000000-0005-0000-0000-0000629F0000}"/>
    <cellStyle name="Note 2 5 2 2 2 3" xfId="7566" xr:uid="{00000000-0005-0000-0000-0000639F0000}"/>
    <cellStyle name="Note 2 5 2 2 2 3 2" xfId="17806" xr:uid="{00000000-0005-0000-0000-0000649F0000}"/>
    <cellStyle name="Note 2 5 2 2 2 3 2 2" xfId="38286" xr:uid="{00000000-0005-0000-0000-0000659F0000}"/>
    <cellStyle name="Note 2 5 2 2 2 3 3" xfId="28046" xr:uid="{00000000-0005-0000-0000-0000669F0000}"/>
    <cellStyle name="Note 2 5 2 2 2 4" xfId="12686" xr:uid="{00000000-0005-0000-0000-0000679F0000}"/>
    <cellStyle name="Note 2 5 2 2 2 4 2" xfId="33166" xr:uid="{00000000-0005-0000-0000-0000689F0000}"/>
    <cellStyle name="Note 2 5 2 2 2 5" xfId="22926" xr:uid="{00000000-0005-0000-0000-0000699F0000}"/>
    <cellStyle name="Note 2 5 2 2 3" xfId="3726" xr:uid="{00000000-0005-0000-0000-00006A9F0000}"/>
    <cellStyle name="Note 2 5 2 2 3 2" xfId="8846" xr:uid="{00000000-0005-0000-0000-00006B9F0000}"/>
    <cellStyle name="Note 2 5 2 2 3 2 2" xfId="19086" xr:uid="{00000000-0005-0000-0000-00006C9F0000}"/>
    <cellStyle name="Note 2 5 2 2 3 2 2 2" xfId="39566" xr:uid="{00000000-0005-0000-0000-00006D9F0000}"/>
    <cellStyle name="Note 2 5 2 2 3 2 3" xfId="29326" xr:uid="{00000000-0005-0000-0000-00006E9F0000}"/>
    <cellStyle name="Note 2 5 2 2 3 3" xfId="13966" xr:uid="{00000000-0005-0000-0000-00006F9F0000}"/>
    <cellStyle name="Note 2 5 2 2 3 3 2" xfId="34446" xr:uid="{00000000-0005-0000-0000-0000709F0000}"/>
    <cellStyle name="Note 2 5 2 2 3 4" xfId="24206" xr:uid="{00000000-0005-0000-0000-0000719F0000}"/>
    <cellStyle name="Note 2 5 2 2 4" xfId="6286" xr:uid="{00000000-0005-0000-0000-0000729F0000}"/>
    <cellStyle name="Note 2 5 2 2 4 2" xfId="16526" xr:uid="{00000000-0005-0000-0000-0000739F0000}"/>
    <cellStyle name="Note 2 5 2 2 4 2 2" xfId="37006" xr:uid="{00000000-0005-0000-0000-0000749F0000}"/>
    <cellStyle name="Note 2 5 2 2 4 3" xfId="26766" xr:uid="{00000000-0005-0000-0000-0000759F0000}"/>
    <cellStyle name="Note 2 5 2 2 5" xfId="11406" xr:uid="{00000000-0005-0000-0000-0000769F0000}"/>
    <cellStyle name="Note 2 5 2 2 5 2" xfId="31886" xr:uid="{00000000-0005-0000-0000-0000779F0000}"/>
    <cellStyle name="Note 2 5 2 2 6" xfId="21646" xr:uid="{00000000-0005-0000-0000-0000789F0000}"/>
    <cellStyle name="Note 2 5 2 3" xfId="1806" xr:uid="{00000000-0005-0000-0000-0000799F0000}"/>
    <cellStyle name="Note 2 5 2 3 2" xfId="4366" xr:uid="{00000000-0005-0000-0000-00007A9F0000}"/>
    <cellStyle name="Note 2 5 2 3 2 2" xfId="9486" xr:uid="{00000000-0005-0000-0000-00007B9F0000}"/>
    <cellStyle name="Note 2 5 2 3 2 2 2" xfId="19726" xr:uid="{00000000-0005-0000-0000-00007C9F0000}"/>
    <cellStyle name="Note 2 5 2 3 2 2 2 2" xfId="40206" xr:uid="{00000000-0005-0000-0000-00007D9F0000}"/>
    <cellStyle name="Note 2 5 2 3 2 2 3" xfId="29966" xr:uid="{00000000-0005-0000-0000-00007E9F0000}"/>
    <cellStyle name="Note 2 5 2 3 2 3" xfId="14606" xr:uid="{00000000-0005-0000-0000-00007F9F0000}"/>
    <cellStyle name="Note 2 5 2 3 2 3 2" xfId="35086" xr:uid="{00000000-0005-0000-0000-0000809F0000}"/>
    <cellStyle name="Note 2 5 2 3 2 4" xfId="24846" xr:uid="{00000000-0005-0000-0000-0000819F0000}"/>
    <cellStyle name="Note 2 5 2 3 3" xfId="6926" xr:uid="{00000000-0005-0000-0000-0000829F0000}"/>
    <cellStyle name="Note 2 5 2 3 3 2" xfId="17166" xr:uid="{00000000-0005-0000-0000-0000839F0000}"/>
    <cellStyle name="Note 2 5 2 3 3 2 2" xfId="37646" xr:uid="{00000000-0005-0000-0000-0000849F0000}"/>
    <cellStyle name="Note 2 5 2 3 3 3" xfId="27406" xr:uid="{00000000-0005-0000-0000-0000859F0000}"/>
    <cellStyle name="Note 2 5 2 3 4" xfId="12046" xr:uid="{00000000-0005-0000-0000-0000869F0000}"/>
    <cellStyle name="Note 2 5 2 3 4 2" xfId="32526" xr:uid="{00000000-0005-0000-0000-0000879F0000}"/>
    <cellStyle name="Note 2 5 2 3 5" xfId="22286" xr:uid="{00000000-0005-0000-0000-0000889F0000}"/>
    <cellStyle name="Note 2 5 2 4" xfId="3086" xr:uid="{00000000-0005-0000-0000-0000899F0000}"/>
    <cellStyle name="Note 2 5 2 4 2" xfId="8206" xr:uid="{00000000-0005-0000-0000-00008A9F0000}"/>
    <cellStyle name="Note 2 5 2 4 2 2" xfId="18446" xr:uid="{00000000-0005-0000-0000-00008B9F0000}"/>
    <cellStyle name="Note 2 5 2 4 2 2 2" xfId="38926" xr:uid="{00000000-0005-0000-0000-00008C9F0000}"/>
    <cellStyle name="Note 2 5 2 4 2 3" xfId="28686" xr:uid="{00000000-0005-0000-0000-00008D9F0000}"/>
    <cellStyle name="Note 2 5 2 4 3" xfId="13326" xr:uid="{00000000-0005-0000-0000-00008E9F0000}"/>
    <cellStyle name="Note 2 5 2 4 3 2" xfId="33806" xr:uid="{00000000-0005-0000-0000-00008F9F0000}"/>
    <cellStyle name="Note 2 5 2 4 4" xfId="23566" xr:uid="{00000000-0005-0000-0000-0000909F0000}"/>
    <cellStyle name="Note 2 5 2 5" xfId="5646" xr:uid="{00000000-0005-0000-0000-0000919F0000}"/>
    <cellStyle name="Note 2 5 2 5 2" xfId="15886" xr:uid="{00000000-0005-0000-0000-0000929F0000}"/>
    <cellStyle name="Note 2 5 2 5 2 2" xfId="36366" xr:uid="{00000000-0005-0000-0000-0000939F0000}"/>
    <cellStyle name="Note 2 5 2 5 3" xfId="26126" xr:uid="{00000000-0005-0000-0000-0000949F0000}"/>
    <cellStyle name="Note 2 5 2 6" xfId="10766" xr:uid="{00000000-0005-0000-0000-0000959F0000}"/>
    <cellStyle name="Note 2 5 2 6 2" xfId="31246" xr:uid="{00000000-0005-0000-0000-0000969F0000}"/>
    <cellStyle name="Note 2 5 2 7" xfId="21006" xr:uid="{00000000-0005-0000-0000-0000979F0000}"/>
    <cellStyle name="Note 2 5 3" xfId="846" xr:uid="{00000000-0005-0000-0000-0000989F0000}"/>
    <cellStyle name="Note 2 5 3 2" xfId="2126" xr:uid="{00000000-0005-0000-0000-0000999F0000}"/>
    <cellStyle name="Note 2 5 3 2 2" xfId="4686" xr:uid="{00000000-0005-0000-0000-00009A9F0000}"/>
    <cellStyle name="Note 2 5 3 2 2 2" xfId="9806" xr:uid="{00000000-0005-0000-0000-00009B9F0000}"/>
    <cellStyle name="Note 2 5 3 2 2 2 2" xfId="20046" xr:uid="{00000000-0005-0000-0000-00009C9F0000}"/>
    <cellStyle name="Note 2 5 3 2 2 2 2 2" xfId="40526" xr:uid="{00000000-0005-0000-0000-00009D9F0000}"/>
    <cellStyle name="Note 2 5 3 2 2 2 3" xfId="30286" xr:uid="{00000000-0005-0000-0000-00009E9F0000}"/>
    <cellStyle name="Note 2 5 3 2 2 3" xfId="14926" xr:uid="{00000000-0005-0000-0000-00009F9F0000}"/>
    <cellStyle name="Note 2 5 3 2 2 3 2" xfId="35406" xr:uid="{00000000-0005-0000-0000-0000A09F0000}"/>
    <cellStyle name="Note 2 5 3 2 2 4" xfId="25166" xr:uid="{00000000-0005-0000-0000-0000A19F0000}"/>
    <cellStyle name="Note 2 5 3 2 3" xfId="7246" xr:uid="{00000000-0005-0000-0000-0000A29F0000}"/>
    <cellStyle name="Note 2 5 3 2 3 2" xfId="17486" xr:uid="{00000000-0005-0000-0000-0000A39F0000}"/>
    <cellStyle name="Note 2 5 3 2 3 2 2" xfId="37966" xr:uid="{00000000-0005-0000-0000-0000A49F0000}"/>
    <cellStyle name="Note 2 5 3 2 3 3" xfId="27726" xr:uid="{00000000-0005-0000-0000-0000A59F0000}"/>
    <cellStyle name="Note 2 5 3 2 4" xfId="12366" xr:uid="{00000000-0005-0000-0000-0000A69F0000}"/>
    <cellStyle name="Note 2 5 3 2 4 2" xfId="32846" xr:uid="{00000000-0005-0000-0000-0000A79F0000}"/>
    <cellStyle name="Note 2 5 3 2 5" xfId="22606" xr:uid="{00000000-0005-0000-0000-0000A89F0000}"/>
    <cellStyle name="Note 2 5 3 3" xfId="3406" xr:uid="{00000000-0005-0000-0000-0000A99F0000}"/>
    <cellStyle name="Note 2 5 3 3 2" xfId="8526" xr:uid="{00000000-0005-0000-0000-0000AA9F0000}"/>
    <cellStyle name="Note 2 5 3 3 2 2" xfId="18766" xr:uid="{00000000-0005-0000-0000-0000AB9F0000}"/>
    <cellStyle name="Note 2 5 3 3 2 2 2" xfId="39246" xr:uid="{00000000-0005-0000-0000-0000AC9F0000}"/>
    <cellStyle name="Note 2 5 3 3 2 3" xfId="29006" xr:uid="{00000000-0005-0000-0000-0000AD9F0000}"/>
    <cellStyle name="Note 2 5 3 3 3" xfId="13646" xr:uid="{00000000-0005-0000-0000-0000AE9F0000}"/>
    <cellStyle name="Note 2 5 3 3 3 2" xfId="34126" xr:uid="{00000000-0005-0000-0000-0000AF9F0000}"/>
    <cellStyle name="Note 2 5 3 3 4" xfId="23886" xr:uid="{00000000-0005-0000-0000-0000B09F0000}"/>
    <cellStyle name="Note 2 5 3 4" xfId="5966" xr:uid="{00000000-0005-0000-0000-0000B19F0000}"/>
    <cellStyle name="Note 2 5 3 4 2" xfId="16206" xr:uid="{00000000-0005-0000-0000-0000B29F0000}"/>
    <cellStyle name="Note 2 5 3 4 2 2" xfId="36686" xr:uid="{00000000-0005-0000-0000-0000B39F0000}"/>
    <cellStyle name="Note 2 5 3 4 3" xfId="26446" xr:uid="{00000000-0005-0000-0000-0000B49F0000}"/>
    <cellStyle name="Note 2 5 3 5" xfId="11086" xr:uid="{00000000-0005-0000-0000-0000B59F0000}"/>
    <cellStyle name="Note 2 5 3 5 2" xfId="31566" xr:uid="{00000000-0005-0000-0000-0000B69F0000}"/>
    <cellStyle name="Note 2 5 3 6" xfId="21326" xr:uid="{00000000-0005-0000-0000-0000B79F0000}"/>
    <cellStyle name="Note 2 5 4" xfId="1486" xr:uid="{00000000-0005-0000-0000-0000B89F0000}"/>
    <cellStyle name="Note 2 5 4 2" xfId="4046" xr:uid="{00000000-0005-0000-0000-0000B99F0000}"/>
    <cellStyle name="Note 2 5 4 2 2" xfId="9166" xr:uid="{00000000-0005-0000-0000-0000BA9F0000}"/>
    <cellStyle name="Note 2 5 4 2 2 2" xfId="19406" xr:uid="{00000000-0005-0000-0000-0000BB9F0000}"/>
    <cellStyle name="Note 2 5 4 2 2 2 2" xfId="39886" xr:uid="{00000000-0005-0000-0000-0000BC9F0000}"/>
    <cellStyle name="Note 2 5 4 2 2 3" xfId="29646" xr:uid="{00000000-0005-0000-0000-0000BD9F0000}"/>
    <cellStyle name="Note 2 5 4 2 3" xfId="14286" xr:uid="{00000000-0005-0000-0000-0000BE9F0000}"/>
    <cellStyle name="Note 2 5 4 2 3 2" xfId="34766" xr:uid="{00000000-0005-0000-0000-0000BF9F0000}"/>
    <cellStyle name="Note 2 5 4 2 4" xfId="24526" xr:uid="{00000000-0005-0000-0000-0000C09F0000}"/>
    <cellStyle name="Note 2 5 4 3" xfId="6606" xr:uid="{00000000-0005-0000-0000-0000C19F0000}"/>
    <cellStyle name="Note 2 5 4 3 2" xfId="16846" xr:uid="{00000000-0005-0000-0000-0000C29F0000}"/>
    <cellStyle name="Note 2 5 4 3 2 2" xfId="37326" xr:uid="{00000000-0005-0000-0000-0000C39F0000}"/>
    <cellStyle name="Note 2 5 4 3 3" xfId="27086" xr:uid="{00000000-0005-0000-0000-0000C49F0000}"/>
    <cellStyle name="Note 2 5 4 4" xfId="11726" xr:uid="{00000000-0005-0000-0000-0000C59F0000}"/>
    <cellStyle name="Note 2 5 4 4 2" xfId="32206" xr:uid="{00000000-0005-0000-0000-0000C69F0000}"/>
    <cellStyle name="Note 2 5 4 5" xfId="21966" xr:uid="{00000000-0005-0000-0000-0000C79F0000}"/>
    <cellStyle name="Note 2 5 5" xfId="2766" xr:uid="{00000000-0005-0000-0000-0000C89F0000}"/>
    <cellStyle name="Note 2 5 5 2" xfId="7886" xr:uid="{00000000-0005-0000-0000-0000C99F0000}"/>
    <cellStyle name="Note 2 5 5 2 2" xfId="18126" xr:uid="{00000000-0005-0000-0000-0000CA9F0000}"/>
    <cellStyle name="Note 2 5 5 2 2 2" xfId="38606" xr:uid="{00000000-0005-0000-0000-0000CB9F0000}"/>
    <cellStyle name="Note 2 5 5 2 3" xfId="28366" xr:uid="{00000000-0005-0000-0000-0000CC9F0000}"/>
    <cellStyle name="Note 2 5 5 3" xfId="13006" xr:uid="{00000000-0005-0000-0000-0000CD9F0000}"/>
    <cellStyle name="Note 2 5 5 3 2" xfId="33486" xr:uid="{00000000-0005-0000-0000-0000CE9F0000}"/>
    <cellStyle name="Note 2 5 5 4" xfId="23246" xr:uid="{00000000-0005-0000-0000-0000CF9F0000}"/>
    <cellStyle name="Note 2 5 6" xfId="5326" xr:uid="{00000000-0005-0000-0000-0000D09F0000}"/>
    <cellStyle name="Note 2 5 6 2" xfId="15566" xr:uid="{00000000-0005-0000-0000-0000D19F0000}"/>
    <cellStyle name="Note 2 5 6 2 2" xfId="36046" xr:uid="{00000000-0005-0000-0000-0000D29F0000}"/>
    <cellStyle name="Note 2 5 6 3" xfId="25806" xr:uid="{00000000-0005-0000-0000-0000D39F0000}"/>
    <cellStyle name="Note 2 5 7" xfId="10446" xr:uid="{00000000-0005-0000-0000-0000D49F0000}"/>
    <cellStyle name="Note 2 5 7 2" xfId="30926" xr:uid="{00000000-0005-0000-0000-0000D59F0000}"/>
    <cellStyle name="Note 2 5 8" xfId="20686" xr:uid="{00000000-0005-0000-0000-0000D69F0000}"/>
    <cellStyle name="Note 2 6" xfId="366" xr:uid="{00000000-0005-0000-0000-0000D79F0000}"/>
    <cellStyle name="Note 2 6 2" xfId="1006" xr:uid="{00000000-0005-0000-0000-0000D89F0000}"/>
    <cellStyle name="Note 2 6 2 2" xfId="2286" xr:uid="{00000000-0005-0000-0000-0000D99F0000}"/>
    <cellStyle name="Note 2 6 2 2 2" xfId="4846" xr:uid="{00000000-0005-0000-0000-0000DA9F0000}"/>
    <cellStyle name="Note 2 6 2 2 2 2" xfId="9966" xr:uid="{00000000-0005-0000-0000-0000DB9F0000}"/>
    <cellStyle name="Note 2 6 2 2 2 2 2" xfId="20206" xr:uid="{00000000-0005-0000-0000-0000DC9F0000}"/>
    <cellStyle name="Note 2 6 2 2 2 2 2 2" xfId="40686" xr:uid="{00000000-0005-0000-0000-0000DD9F0000}"/>
    <cellStyle name="Note 2 6 2 2 2 2 3" xfId="30446" xr:uid="{00000000-0005-0000-0000-0000DE9F0000}"/>
    <cellStyle name="Note 2 6 2 2 2 3" xfId="15086" xr:uid="{00000000-0005-0000-0000-0000DF9F0000}"/>
    <cellStyle name="Note 2 6 2 2 2 3 2" xfId="35566" xr:uid="{00000000-0005-0000-0000-0000E09F0000}"/>
    <cellStyle name="Note 2 6 2 2 2 4" xfId="25326" xr:uid="{00000000-0005-0000-0000-0000E19F0000}"/>
    <cellStyle name="Note 2 6 2 2 3" xfId="7406" xr:uid="{00000000-0005-0000-0000-0000E29F0000}"/>
    <cellStyle name="Note 2 6 2 2 3 2" xfId="17646" xr:uid="{00000000-0005-0000-0000-0000E39F0000}"/>
    <cellStyle name="Note 2 6 2 2 3 2 2" xfId="38126" xr:uid="{00000000-0005-0000-0000-0000E49F0000}"/>
    <cellStyle name="Note 2 6 2 2 3 3" xfId="27886" xr:uid="{00000000-0005-0000-0000-0000E59F0000}"/>
    <cellStyle name="Note 2 6 2 2 4" xfId="12526" xr:uid="{00000000-0005-0000-0000-0000E69F0000}"/>
    <cellStyle name="Note 2 6 2 2 4 2" xfId="33006" xr:uid="{00000000-0005-0000-0000-0000E79F0000}"/>
    <cellStyle name="Note 2 6 2 2 5" xfId="22766" xr:uid="{00000000-0005-0000-0000-0000E89F0000}"/>
    <cellStyle name="Note 2 6 2 3" xfId="3566" xr:uid="{00000000-0005-0000-0000-0000E99F0000}"/>
    <cellStyle name="Note 2 6 2 3 2" xfId="8686" xr:uid="{00000000-0005-0000-0000-0000EA9F0000}"/>
    <cellStyle name="Note 2 6 2 3 2 2" xfId="18926" xr:uid="{00000000-0005-0000-0000-0000EB9F0000}"/>
    <cellStyle name="Note 2 6 2 3 2 2 2" xfId="39406" xr:uid="{00000000-0005-0000-0000-0000EC9F0000}"/>
    <cellStyle name="Note 2 6 2 3 2 3" xfId="29166" xr:uid="{00000000-0005-0000-0000-0000ED9F0000}"/>
    <cellStyle name="Note 2 6 2 3 3" xfId="13806" xr:uid="{00000000-0005-0000-0000-0000EE9F0000}"/>
    <cellStyle name="Note 2 6 2 3 3 2" xfId="34286" xr:uid="{00000000-0005-0000-0000-0000EF9F0000}"/>
    <cellStyle name="Note 2 6 2 3 4" xfId="24046" xr:uid="{00000000-0005-0000-0000-0000F09F0000}"/>
    <cellStyle name="Note 2 6 2 4" xfId="6126" xr:uid="{00000000-0005-0000-0000-0000F19F0000}"/>
    <cellStyle name="Note 2 6 2 4 2" xfId="16366" xr:uid="{00000000-0005-0000-0000-0000F29F0000}"/>
    <cellStyle name="Note 2 6 2 4 2 2" xfId="36846" xr:uid="{00000000-0005-0000-0000-0000F39F0000}"/>
    <cellStyle name="Note 2 6 2 4 3" xfId="26606" xr:uid="{00000000-0005-0000-0000-0000F49F0000}"/>
    <cellStyle name="Note 2 6 2 5" xfId="11246" xr:uid="{00000000-0005-0000-0000-0000F59F0000}"/>
    <cellStyle name="Note 2 6 2 5 2" xfId="31726" xr:uid="{00000000-0005-0000-0000-0000F69F0000}"/>
    <cellStyle name="Note 2 6 2 6" xfId="21486" xr:uid="{00000000-0005-0000-0000-0000F79F0000}"/>
    <cellStyle name="Note 2 6 3" xfId="1646" xr:uid="{00000000-0005-0000-0000-0000F89F0000}"/>
    <cellStyle name="Note 2 6 3 2" xfId="4206" xr:uid="{00000000-0005-0000-0000-0000F99F0000}"/>
    <cellStyle name="Note 2 6 3 2 2" xfId="9326" xr:uid="{00000000-0005-0000-0000-0000FA9F0000}"/>
    <cellStyle name="Note 2 6 3 2 2 2" xfId="19566" xr:uid="{00000000-0005-0000-0000-0000FB9F0000}"/>
    <cellStyle name="Note 2 6 3 2 2 2 2" xfId="40046" xr:uid="{00000000-0005-0000-0000-0000FC9F0000}"/>
    <cellStyle name="Note 2 6 3 2 2 3" xfId="29806" xr:uid="{00000000-0005-0000-0000-0000FD9F0000}"/>
    <cellStyle name="Note 2 6 3 2 3" xfId="14446" xr:uid="{00000000-0005-0000-0000-0000FE9F0000}"/>
    <cellStyle name="Note 2 6 3 2 3 2" xfId="34926" xr:uid="{00000000-0005-0000-0000-0000FF9F0000}"/>
    <cellStyle name="Note 2 6 3 2 4" xfId="24686" xr:uid="{00000000-0005-0000-0000-000000A00000}"/>
    <cellStyle name="Note 2 6 3 3" xfId="6766" xr:uid="{00000000-0005-0000-0000-000001A00000}"/>
    <cellStyle name="Note 2 6 3 3 2" xfId="17006" xr:uid="{00000000-0005-0000-0000-000002A00000}"/>
    <cellStyle name="Note 2 6 3 3 2 2" xfId="37486" xr:uid="{00000000-0005-0000-0000-000003A00000}"/>
    <cellStyle name="Note 2 6 3 3 3" xfId="27246" xr:uid="{00000000-0005-0000-0000-000004A00000}"/>
    <cellStyle name="Note 2 6 3 4" xfId="11886" xr:uid="{00000000-0005-0000-0000-000005A00000}"/>
    <cellStyle name="Note 2 6 3 4 2" xfId="32366" xr:uid="{00000000-0005-0000-0000-000006A00000}"/>
    <cellStyle name="Note 2 6 3 5" xfId="22126" xr:uid="{00000000-0005-0000-0000-000007A00000}"/>
    <cellStyle name="Note 2 6 4" xfId="2926" xr:uid="{00000000-0005-0000-0000-000008A00000}"/>
    <cellStyle name="Note 2 6 4 2" xfId="8046" xr:uid="{00000000-0005-0000-0000-000009A00000}"/>
    <cellStyle name="Note 2 6 4 2 2" xfId="18286" xr:uid="{00000000-0005-0000-0000-00000AA00000}"/>
    <cellStyle name="Note 2 6 4 2 2 2" xfId="38766" xr:uid="{00000000-0005-0000-0000-00000BA00000}"/>
    <cellStyle name="Note 2 6 4 2 3" xfId="28526" xr:uid="{00000000-0005-0000-0000-00000CA00000}"/>
    <cellStyle name="Note 2 6 4 3" xfId="13166" xr:uid="{00000000-0005-0000-0000-00000DA00000}"/>
    <cellStyle name="Note 2 6 4 3 2" xfId="33646" xr:uid="{00000000-0005-0000-0000-00000EA00000}"/>
    <cellStyle name="Note 2 6 4 4" xfId="23406" xr:uid="{00000000-0005-0000-0000-00000FA00000}"/>
    <cellStyle name="Note 2 6 5" xfId="5486" xr:uid="{00000000-0005-0000-0000-000010A00000}"/>
    <cellStyle name="Note 2 6 5 2" xfId="15726" xr:uid="{00000000-0005-0000-0000-000011A00000}"/>
    <cellStyle name="Note 2 6 5 2 2" xfId="36206" xr:uid="{00000000-0005-0000-0000-000012A00000}"/>
    <cellStyle name="Note 2 6 5 3" xfId="25966" xr:uid="{00000000-0005-0000-0000-000013A00000}"/>
    <cellStyle name="Note 2 6 6" xfId="10606" xr:uid="{00000000-0005-0000-0000-000014A00000}"/>
    <cellStyle name="Note 2 6 6 2" xfId="31086" xr:uid="{00000000-0005-0000-0000-000015A00000}"/>
    <cellStyle name="Note 2 6 7" xfId="20846" xr:uid="{00000000-0005-0000-0000-000016A00000}"/>
    <cellStyle name="Note 2 7" xfId="686" xr:uid="{00000000-0005-0000-0000-000017A00000}"/>
    <cellStyle name="Note 2 7 2" xfId="1966" xr:uid="{00000000-0005-0000-0000-000018A00000}"/>
    <cellStyle name="Note 2 7 2 2" xfId="4526" xr:uid="{00000000-0005-0000-0000-000019A00000}"/>
    <cellStyle name="Note 2 7 2 2 2" xfId="9646" xr:uid="{00000000-0005-0000-0000-00001AA00000}"/>
    <cellStyle name="Note 2 7 2 2 2 2" xfId="19886" xr:uid="{00000000-0005-0000-0000-00001BA00000}"/>
    <cellStyle name="Note 2 7 2 2 2 2 2" xfId="40366" xr:uid="{00000000-0005-0000-0000-00001CA00000}"/>
    <cellStyle name="Note 2 7 2 2 2 3" xfId="30126" xr:uid="{00000000-0005-0000-0000-00001DA00000}"/>
    <cellStyle name="Note 2 7 2 2 3" xfId="14766" xr:uid="{00000000-0005-0000-0000-00001EA00000}"/>
    <cellStyle name="Note 2 7 2 2 3 2" xfId="35246" xr:uid="{00000000-0005-0000-0000-00001FA00000}"/>
    <cellStyle name="Note 2 7 2 2 4" xfId="25006" xr:uid="{00000000-0005-0000-0000-000020A00000}"/>
    <cellStyle name="Note 2 7 2 3" xfId="7086" xr:uid="{00000000-0005-0000-0000-000021A00000}"/>
    <cellStyle name="Note 2 7 2 3 2" xfId="17326" xr:uid="{00000000-0005-0000-0000-000022A00000}"/>
    <cellStyle name="Note 2 7 2 3 2 2" xfId="37806" xr:uid="{00000000-0005-0000-0000-000023A00000}"/>
    <cellStyle name="Note 2 7 2 3 3" xfId="27566" xr:uid="{00000000-0005-0000-0000-000024A00000}"/>
    <cellStyle name="Note 2 7 2 4" xfId="12206" xr:uid="{00000000-0005-0000-0000-000025A00000}"/>
    <cellStyle name="Note 2 7 2 4 2" xfId="32686" xr:uid="{00000000-0005-0000-0000-000026A00000}"/>
    <cellStyle name="Note 2 7 2 5" xfId="22446" xr:uid="{00000000-0005-0000-0000-000027A00000}"/>
    <cellStyle name="Note 2 7 3" xfId="3246" xr:uid="{00000000-0005-0000-0000-000028A00000}"/>
    <cellStyle name="Note 2 7 3 2" xfId="8366" xr:uid="{00000000-0005-0000-0000-000029A00000}"/>
    <cellStyle name="Note 2 7 3 2 2" xfId="18606" xr:uid="{00000000-0005-0000-0000-00002AA00000}"/>
    <cellStyle name="Note 2 7 3 2 2 2" xfId="39086" xr:uid="{00000000-0005-0000-0000-00002BA00000}"/>
    <cellStyle name="Note 2 7 3 2 3" xfId="28846" xr:uid="{00000000-0005-0000-0000-00002CA00000}"/>
    <cellStyle name="Note 2 7 3 3" xfId="13486" xr:uid="{00000000-0005-0000-0000-00002DA00000}"/>
    <cellStyle name="Note 2 7 3 3 2" xfId="33966" xr:uid="{00000000-0005-0000-0000-00002EA00000}"/>
    <cellStyle name="Note 2 7 3 4" xfId="23726" xr:uid="{00000000-0005-0000-0000-00002FA00000}"/>
    <cellStyle name="Note 2 7 4" xfId="5806" xr:uid="{00000000-0005-0000-0000-000030A00000}"/>
    <cellStyle name="Note 2 7 4 2" xfId="16046" xr:uid="{00000000-0005-0000-0000-000031A00000}"/>
    <cellStyle name="Note 2 7 4 2 2" xfId="36526" xr:uid="{00000000-0005-0000-0000-000032A00000}"/>
    <cellStyle name="Note 2 7 4 3" xfId="26286" xr:uid="{00000000-0005-0000-0000-000033A00000}"/>
    <cellStyle name="Note 2 7 5" xfId="10926" xr:uid="{00000000-0005-0000-0000-000034A00000}"/>
    <cellStyle name="Note 2 7 5 2" xfId="31406" xr:uid="{00000000-0005-0000-0000-000035A00000}"/>
    <cellStyle name="Note 2 7 6" xfId="21166" xr:uid="{00000000-0005-0000-0000-000036A00000}"/>
    <cellStyle name="Note 2 8" xfId="1326" xr:uid="{00000000-0005-0000-0000-000037A00000}"/>
    <cellStyle name="Note 2 8 2" xfId="3886" xr:uid="{00000000-0005-0000-0000-000038A00000}"/>
    <cellStyle name="Note 2 8 2 2" xfId="9006" xr:uid="{00000000-0005-0000-0000-000039A00000}"/>
    <cellStyle name="Note 2 8 2 2 2" xfId="19246" xr:uid="{00000000-0005-0000-0000-00003AA00000}"/>
    <cellStyle name="Note 2 8 2 2 2 2" xfId="39726" xr:uid="{00000000-0005-0000-0000-00003BA00000}"/>
    <cellStyle name="Note 2 8 2 2 3" xfId="29486" xr:uid="{00000000-0005-0000-0000-00003CA00000}"/>
    <cellStyle name="Note 2 8 2 3" xfId="14126" xr:uid="{00000000-0005-0000-0000-00003DA00000}"/>
    <cellStyle name="Note 2 8 2 3 2" xfId="34606" xr:uid="{00000000-0005-0000-0000-00003EA00000}"/>
    <cellStyle name="Note 2 8 2 4" xfId="24366" xr:uid="{00000000-0005-0000-0000-00003FA00000}"/>
    <cellStyle name="Note 2 8 3" xfId="6446" xr:uid="{00000000-0005-0000-0000-000040A00000}"/>
    <cellStyle name="Note 2 8 3 2" xfId="16686" xr:uid="{00000000-0005-0000-0000-000041A00000}"/>
    <cellStyle name="Note 2 8 3 2 2" xfId="37166" xr:uid="{00000000-0005-0000-0000-000042A00000}"/>
    <cellStyle name="Note 2 8 3 3" xfId="26926" xr:uid="{00000000-0005-0000-0000-000043A00000}"/>
    <cellStyle name="Note 2 8 4" xfId="11566" xr:uid="{00000000-0005-0000-0000-000044A00000}"/>
    <cellStyle name="Note 2 8 4 2" xfId="32046" xr:uid="{00000000-0005-0000-0000-000045A00000}"/>
    <cellStyle name="Note 2 8 5" xfId="21806" xr:uid="{00000000-0005-0000-0000-000046A00000}"/>
    <cellStyle name="Note 2 9" xfId="2606" xr:uid="{00000000-0005-0000-0000-000047A00000}"/>
    <cellStyle name="Note 2 9 2" xfId="7726" xr:uid="{00000000-0005-0000-0000-000048A00000}"/>
    <cellStyle name="Note 2 9 2 2" xfId="17966" xr:uid="{00000000-0005-0000-0000-000049A00000}"/>
    <cellStyle name="Note 2 9 2 2 2" xfId="38446" xr:uid="{00000000-0005-0000-0000-00004AA00000}"/>
    <cellStyle name="Note 2 9 2 3" xfId="28206" xr:uid="{00000000-0005-0000-0000-00004BA00000}"/>
    <cellStyle name="Note 2 9 3" xfId="12846" xr:uid="{00000000-0005-0000-0000-00004CA00000}"/>
    <cellStyle name="Note 2 9 3 2" xfId="33326" xr:uid="{00000000-0005-0000-0000-00004DA00000}"/>
    <cellStyle name="Note 2 9 4" xfId="23086" xr:uid="{00000000-0005-0000-0000-00004EA00000}"/>
    <cellStyle name="Output 2" xfId="15" xr:uid="{00000000-0005-0000-0000-00004FA00000}"/>
    <cellStyle name="TableStyleLight1" xfId="41041" xr:uid="{9D6A1FBB-1C80-464D-9444-4898B0C6ABB6}"/>
    <cellStyle name="Title 2" xfId="6" xr:uid="{00000000-0005-0000-0000-000050A00000}"/>
    <cellStyle name="Total 2" xfId="21" xr:uid="{00000000-0005-0000-0000-000051A00000}"/>
    <cellStyle name="Warning Text 2" xfId="19" xr:uid="{00000000-0005-0000-0000-000052A00000}"/>
  </cellStyles>
  <dxfs count="10"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838200</xdr:colOff>
          <xdr:row>6</xdr:row>
          <xdr:rowOff>50800</xdr:rowOff>
        </xdr:from>
        <xdr:to>
          <xdr:col>8</xdr:col>
          <xdr:colOff>203200</xdr:colOff>
          <xdr:row>12</xdr:row>
          <xdr:rowOff>19050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Button 1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546100</xdr:colOff>
      <xdr:row>2460</xdr:row>
      <xdr:rowOff>0</xdr:rowOff>
    </xdr:from>
    <xdr:to>
      <xdr:col>1</xdr:col>
      <xdr:colOff>245668</xdr:colOff>
      <xdr:row>2460</xdr:row>
      <xdr:rowOff>0</xdr:rowOff>
    </xdr:to>
    <xdr:pic>
      <xdr:nvPicPr>
        <xdr:cNvPr id="2" name="Picture 1" descr="page11image512652160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6100" y="427024800"/>
          <a:ext cx="392988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457200</xdr:colOff>
      <xdr:row>2460</xdr:row>
      <xdr:rowOff>0</xdr:rowOff>
    </xdr:from>
    <xdr:to>
      <xdr:col>2</xdr:col>
      <xdr:colOff>285063</xdr:colOff>
      <xdr:row>2460</xdr:row>
      <xdr:rowOff>0</xdr:rowOff>
    </xdr:to>
    <xdr:pic>
      <xdr:nvPicPr>
        <xdr:cNvPr id="3" name="Picture 2" descr="page11image512652448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0620" y="427024800"/>
          <a:ext cx="749883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647700</xdr:colOff>
      <xdr:row>2478</xdr:row>
      <xdr:rowOff>0</xdr:rowOff>
    </xdr:from>
    <xdr:to>
      <xdr:col>1</xdr:col>
      <xdr:colOff>807300</xdr:colOff>
      <xdr:row>2478</xdr:row>
      <xdr:rowOff>0</xdr:rowOff>
    </xdr:to>
    <xdr:pic>
      <xdr:nvPicPr>
        <xdr:cNvPr id="4" name="Picture 3" descr="page11image49287307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430316640"/>
          <a:ext cx="8530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647700</xdr:colOff>
      <xdr:row>2484</xdr:row>
      <xdr:rowOff>0</xdr:rowOff>
    </xdr:from>
    <xdr:to>
      <xdr:col>1</xdr:col>
      <xdr:colOff>807300</xdr:colOff>
      <xdr:row>2484</xdr:row>
      <xdr:rowOff>0</xdr:rowOff>
    </xdr:to>
    <xdr:pic>
      <xdr:nvPicPr>
        <xdr:cNvPr id="5" name="Picture 4" descr="page11image492961232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431413920"/>
          <a:ext cx="8530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457200</xdr:colOff>
      <xdr:row>2494</xdr:row>
      <xdr:rowOff>0</xdr:rowOff>
    </xdr:from>
    <xdr:to>
      <xdr:col>2</xdr:col>
      <xdr:colOff>292</xdr:colOff>
      <xdr:row>2494</xdr:row>
      <xdr:rowOff>0</xdr:rowOff>
    </xdr:to>
    <xdr:pic>
      <xdr:nvPicPr>
        <xdr:cNvPr id="6" name="Picture 5" descr="page12image518909408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0620" y="433242720"/>
          <a:ext cx="465112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647700</xdr:colOff>
      <xdr:row>2518</xdr:row>
      <xdr:rowOff>0</xdr:rowOff>
    </xdr:from>
    <xdr:to>
      <xdr:col>1</xdr:col>
      <xdr:colOff>807300</xdr:colOff>
      <xdr:row>2518</xdr:row>
      <xdr:rowOff>0</xdr:rowOff>
    </xdr:to>
    <xdr:pic>
      <xdr:nvPicPr>
        <xdr:cNvPr id="7" name="Picture 6" descr="page12image806339024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437631840"/>
          <a:ext cx="8530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457200</xdr:colOff>
      <xdr:row>2528</xdr:row>
      <xdr:rowOff>0</xdr:rowOff>
    </xdr:from>
    <xdr:to>
      <xdr:col>2</xdr:col>
      <xdr:colOff>292</xdr:colOff>
      <xdr:row>2528</xdr:row>
      <xdr:rowOff>0</xdr:rowOff>
    </xdr:to>
    <xdr:pic>
      <xdr:nvPicPr>
        <xdr:cNvPr id="8" name="Picture 7" descr="page13image1466213664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0620" y="439460640"/>
          <a:ext cx="465112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647700</xdr:colOff>
      <xdr:row>2546</xdr:row>
      <xdr:rowOff>0</xdr:rowOff>
    </xdr:from>
    <xdr:to>
      <xdr:col>1</xdr:col>
      <xdr:colOff>807300</xdr:colOff>
      <xdr:row>2546</xdr:row>
      <xdr:rowOff>0</xdr:rowOff>
    </xdr:to>
    <xdr:pic>
      <xdr:nvPicPr>
        <xdr:cNvPr id="9" name="Picture 8" descr="page13image512389504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442752480"/>
          <a:ext cx="8530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647700</xdr:colOff>
      <xdr:row>2552</xdr:row>
      <xdr:rowOff>0</xdr:rowOff>
    </xdr:from>
    <xdr:to>
      <xdr:col>1</xdr:col>
      <xdr:colOff>807300</xdr:colOff>
      <xdr:row>2552</xdr:row>
      <xdr:rowOff>0</xdr:rowOff>
    </xdr:to>
    <xdr:pic>
      <xdr:nvPicPr>
        <xdr:cNvPr id="10" name="Picture 9" descr="page13image512523040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443849760"/>
          <a:ext cx="8530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279400</xdr:colOff>
      <xdr:row>2575</xdr:row>
      <xdr:rowOff>0</xdr:rowOff>
    </xdr:from>
    <xdr:to>
      <xdr:col>1</xdr:col>
      <xdr:colOff>861739</xdr:colOff>
      <xdr:row>2575</xdr:row>
      <xdr:rowOff>0</xdr:rowOff>
    </xdr:to>
    <xdr:pic>
      <xdr:nvPicPr>
        <xdr:cNvPr id="11" name="Picture 10" descr="page11image492873648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400" y="448056000"/>
          <a:ext cx="1275759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279400</xdr:colOff>
      <xdr:row>2581</xdr:row>
      <xdr:rowOff>0</xdr:rowOff>
    </xdr:from>
    <xdr:to>
      <xdr:col>1</xdr:col>
      <xdr:colOff>861739</xdr:colOff>
      <xdr:row>2581</xdr:row>
      <xdr:rowOff>0</xdr:rowOff>
    </xdr:to>
    <xdr:pic>
      <xdr:nvPicPr>
        <xdr:cNvPr id="12" name="Picture 11" descr="page11image492961808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400" y="449153280"/>
          <a:ext cx="1275759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88900</xdr:colOff>
      <xdr:row>2591</xdr:row>
      <xdr:rowOff>0</xdr:rowOff>
    </xdr:from>
    <xdr:to>
      <xdr:col>2</xdr:col>
      <xdr:colOff>418696</xdr:colOff>
      <xdr:row>2591</xdr:row>
      <xdr:rowOff>0</xdr:rowOff>
    </xdr:to>
    <xdr:pic>
      <xdr:nvPicPr>
        <xdr:cNvPr id="13" name="Picture 12" descr="page12image518909984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2320" y="450982080"/>
          <a:ext cx="125181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279400</xdr:colOff>
      <xdr:row>2615</xdr:row>
      <xdr:rowOff>0</xdr:rowOff>
    </xdr:from>
    <xdr:to>
      <xdr:col>1</xdr:col>
      <xdr:colOff>861739</xdr:colOff>
      <xdr:row>2615</xdr:row>
      <xdr:rowOff>0</xdr:rowOff>
    </xdr:to>
    <xdr:pic>
      <xdr:nvPicPr>
        <xdr:cNvPr id="14" name="Picture 13" descr="page12image806339600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400" y="455371200"/>
          <a:ext cx="1275759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88900</xdr:colOff>
      <xdr:row>2625</xdr:row>
      <xdr:rowOff>0</xdr:rowOff>
    </xdr:from>
    <xdr:to>
      <xdr:col>2</xdr:col>
      <xdr:colOff>418696</xdr:colOff>
      <xdr:row>2625</xdr:row>
      <xdr:rowOff>0</xdr:rowOff>
    </xdr:to>
    <xdr:pic>
      <xdr:nvPicPr>
        <xdr:cNvPr id="15" name="Picture 14" descr="page13image1466214240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2320" y="457200000"/>
          <a:ext cx="125181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279400</xdr:colOff>
      <xdr:row>2643</xdr:row>
      <xdr:rowOff>0</xdr:rowOff>
    </xdr:from>
    <xdr:to>
      <xdr:col>1</xdr:col>
      <xdr:colOff>861739</xdr:colOff>
      <xdr:row>2643</xdr:row>
      <xdr:rowOff>0</xdr:rowOff>
    </xdr:to>
    <xdr:pic>
      <xdr:nvPicPr>
        <xdr:cNvPr id="16" name="Picture 15" descr="page13image512390080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400" y="460491840"/>
          <a:ext cx="1275759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279400</xdr:colOff>
      <xdr:row>2649</xdr:row>
      <xdr:rowOff>0</xdr:rowOff>
    </xdr:from>
    <xdr:to>
      <xdr:col>1</xdr:col>
      <xdr:colOff>861739</xdr:colOff>
      <xdr:row>2649</xdr:row>
      <xdr:rowOff>0</xdr:rowOff>
    </xdr:to>
    <xdr:pic>
      <xdr:nvPicPr>
        <xdr:cNvPr id="17" name="Picture 16" descr="page13image51240689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400" y="461589120"/>
          <a:ext cx="1275759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358"/>
  <sheetViews>
    <sheetView tabSelected="1" zoomScaleNormal="100" workbookViewId="0">
      <selection activeCell="K10" sqref="K10"/>
    </sheetView>
  </sheetViews>
  <sheetFormatPr defaultColWidth="8.81640625" defaultRowHeight="14.5" x14ac:dyDescent="0.35"/>
  <cols>
    <col min="1" max="1" width="16.1796875" style="59" customWidth="1"/>
    <col min="2" max="2" width="14.453125" style="45" customWidth="1"/>
    <col min="3" max="3" width="24.453125" style="58" customWidth="1"/>
    <col min="4" max="4" width="13" style="59" hidden="1" customWidth="1"/>
    <col min="5" max="5" width="15" style="59" hidden="1" customWidth="1"/>
    <col min="6" max="6" width="14.81640625" style="59" hidden="1" customWidth="1"/>
    <col min="7" max="7" width="16.7265625" style="59" hidden="1" customWidth="1"/>
    <col min="8" max="8" width="23.26953125" style="59" bestFit="1" customWidth="1"/>
    <col min="9" max="9" width="13.81640625" style="139" customWidth="1"/>
    <col min="10" max="10" width="12.1796875" style="59" customWidth="1"/>
    <col min="11" max="12" width="10.26953125" style="59" customWidth="1"/>
    <col min="13" max="13" width="11.26953125" style="60" customWidth="1"/>
    <col min="14" max="16" width="10.26953125" style="59" hidden="1" customWidth="1"/>
    <col min="17" max="17" width="15.26953125" style="59" hidden="1" customWidth="1"/>
    <col min="18" max="18" width="24.81640625" style="45" customWidth="1"/>
    <col min="19" max="19" width="12.81640625" style="59" customWidth="1"/>
    <col min="20" max="20" width="13" style="45" customWidth="1"/>
    <col min="21" max="21" width="15" style="45" customWidth="1"/>
    <col min="22" max="22" width="12.7265625" style="45" bestFit="1" customWidth="1"/>
    <col min="23" max="16384" width="8.81640625" style="45"/>
  </cols>
  <sheetData>
    <row r="1" spans="1:20" x14ac:dyDescent="0.35">
      <c r="A1" s="61" t="s">
        <v>0</v>
      </c>
      <c r="B1" s="62"/>
      <c r="C1" s="49"/>
      <c r="D1" s="63"/>
      <c r="E1" s="63"/>
      <c r="F1" s="63"/>
      <c r="G1" s="63"/>
      <c r="H1" s="63"/>
      <c r="I1" s="135"/>
      <c r="J1" s="63"/>
      <c r="K1" s="63"/>
      <c r="L1" s="63"/>
      <c r="M1" s="43"/>
      <c r="N1" s="63"/>
      <c r="O1" s="63"/>
      <c r="P1" s="63"/>
      <c r="Q1" s="63"/>
      <c r="R1" s="62"/>
      <c r="S1" s="63"/>
      <c r="T1" s="62"/>
    </row>
    <row r="2" spans="1:20" x14ac:dyDescent="0.35">
      <c r="A2" s="64"/>
      <c r="B2" s="62"/>
      <c r="C2" s="49"/>
      <c r="D2" s="63"/>
      <c r="E2" s="63"/>
      <c r="F2" s="63"/>
      <c r="G2" s="63"/>
      <c r="H2" s="63"/>
      <c r="I2" s="135"/>
      <c r="J2" s="63"/>
      <c r="K2" s="63"/>
      <c r="L2" s="63"/>
      <c r="M2" s="43"/>
      <c r="N2" s="63"/>
      <c r="O2" s="63"/>
      <c r="P2" s="63"/>
      <c r="Q2" s="63"/>
      <c r="R2" s="62"/>
      <c r="S2" s="63"/>
      <c r="T2" s="62"/>
    </row>
    <row r="3" spans="1:20" x14ac:dyDescent="0.35">
      <c r="A3" s="64" t="s">
        <v>1</v>
      </c>
      <c r="B3" s="65"/>
      <c r="C3" s="49" t="s">
        <v>2</v>
      </c>
      <c r="D3" s="63"/>
      <c r="E3" s="63"/>
      <c r="F3" s="63"/>
      <c r="G3" s="63"/>
      <c r="H3" s="63"/>
      <c r="I3" s="135"/>
      <c r="J3" s="63"/>
      <c r="K3" s="63"/>
      <c r="L3" s="63"/>
      <c r="M3" s="43"/>
      <c r="N3" s="63"/>
      <c r="O3" s="63"/>
      <c r="P3" s="63"/>
      <c r="Q3" s="63"/>
      <c r="R3" s="62"/>
      <c r="S3" s="63"/>
      <c r="T3" s="62"/>
    </row>
    <row r="4" spans="1:20" x14ac:dyDescent="0.35">
      <c r="A4" s="64" t="s">
        <v>3</v>
      </c>
      <c r="B4" s="65"/>
      <c r="C4" s="49" t="s">
        <v>4</v>
      </c>
      <c r="D4" s="63"/>
      <c r="E4" s="63"/>
      <c r="F4" s="63"/>
      <c r="G4" s="63"/>
      <c r="H4" s="63"/>
      <c r="I4" s="135"/>
      <c r="J4" s="63"/>
      <c r="K4" s="63"/>
      <c r="L4" s="63"/>
      <c r="M4" s="43"/>
      <c r="N4" s="63"/>
      <c r="O4" s="63"/>
      <c r="P4" s="63"/>
      <c r="Q4" s="63"/>
      <c r="R4" s="62"/>
      <c r="S4" s="63"/>
      <c r="T4" s="62"/>
    </row>
    <row r="5" spans="1:20" x14ac:dyDescent="0.35">
      <c r="A5" s="64" t="s">
        <v>5</v>
      </c>
      <c r="B5" s="65"/>
      <c r="C5" s="49"/>
      <c r="D5" s="63"/>
      <c r="E5" s="66"/>
      <c r="F5" s="63"/>
      <c r="G5" s="63"/>
      <c r="H5" s="63"/>
      <c r="I5" s="135"/>
      <c r="J5" s="63"/>
      <c r="K5" s="63"/>
      <c r="L5" s="63"/>
      <c r="M5" s="43"/>
      <c r="N5" s="63"/>
      <c r="O5" s="63"/>
      <c r="P5" s="63"/>
      <c r="Q5" s="63"/>
      <c r="R5" s="62"/>
      <c r="S5" s="63"/>
      <c r="T5" s="62"/>
    </row>
    <row r="6" spans="1:20" x14ac:dyDescent="0.35">
      <c r="A6" s="64" t="s">
        <v>6</v>
      </c>
      <c r="B6" s="65"/>
      <c r="C6" s="49" t="s">
        <v>7</v>
      </c>
      <c r="D6" s="63"/>
      <c r="E6" s="63"/>
      <c r="F6" s="63"/>
      <c r="G6" s="63"/>
      <c r="H6" s="63"/>
      <c r="I6" s="135"/>
      <c r="J6" s="63"/>
      <c r="K6" s="63"/>
      <c r="L6" s="63"/>
      <c r="M6" s="43"/>
      <c r="N6" s="63"/>
      <c r="O6" s="63"/>
      <c r="P6" s="63"/>
      <c r="Q6" s="63"/>
      <c r="R6" s="62"/>
      <c r="S6" s="63"/>
      <c r="T6" s="62"/>
    </row>
    <row r="7" spans="1:20" x14ac:dyDescent="0.35">
      <c r="A7" s="64" t="s">
        <v>8</v>
      </c>
      <c r="B7" s="65"/>
      <c r="C7" s="49" t="s">
        <v>9</v>
      </c>
      <c r="D7" s="63"/>
      <c r="E7" s="63"/>
      <c r="F7" s="63"/>
      <c r="G7" s="63"/>
      <c r="H7" s="63"/>
      <c r="I7" s="135"/>
      <c r="J7" s="63"/>
      <c r="K7" s="63"/>
      <c r="L7" s="63"/>
      <c r="M7" s="43"/>
      <c r="N7" s="63"/>
      <c r="O7" s="63"/>
      <c r="P7" s="63"/>
      <c r="Q7" s="63"/>
      <c r="R7" s="62"/>
      <c r="S7" s="63"/>
      <c r="T7" s="62"/>
    </row>
    <row r="8" spans="1:20" x14ac:dyDescent="0.35">
      <c r="A8" s="64" t="s">
        <v>10</v>
      </c>
      <c r="B8" s="65"/>
      <c r="C8" s="49" t="s">
        <v>11</v>
      </c>
      <c r="D8" s="63"/>
      <c r="E8" s="63"/>
      <c r="F8" s="63"/>
      <c r="G8" s="63"/>
      <c r="H8" s="63"/>
      <c r="I8" s="135"/>
      <c r="J8" s="63"/>
      <c r="K8" s="63"/>
      <c r="L8" s="63"/>
      <c r="M8" s="43"/>
      <c r="N8" s="63"/>
      <c r="O8" s="63"/>
      <c r="P8" s="63"/>
      <c r="Q8" s="63"/>
      <c r="R8" s="62"/>
      <c r="S8" s="63"/>
      <c r="T8" s="62"/>
    </row>
    <row r="9" spans="1:20" x14ac:dyDescent="0.35">
      <c r="A9" s="64" t="s">
        <v>12</v>
      </c>
      <c r="B9" s="65"/>
      <c r="C9" s="49" t="s">
        <v>13</v>
      </c>
      <c r="D9" s="63"/>
      <c r="E9" s="63"/>
      <c r="F9" s="63"/>
      <c r="G9" s="63"/>
      <c r="H9" s="63"/>
      <c r="I9" s="135"/>
      <c r="J9" s="63"/>
      <c r="K9" s="63"/>
      <c r="L9" s="63"/>
      <c r="M9" s="43"/>
      <c r="N9" s="63"/>
      <c r="O9" s="63"/>
      <c r="P9" s="63"/>
      <c r="Q9" s="63"/>
      <c r="R9" s="62"/>
      <c r="S9" s="63"/>
      <c r="T9" s="62"/>
    </row>
    <row r="10" spans="1:20" x14ac:dyDescent="0.35">
      <c r="A10" s="64" t="s">
        <v>14</v>
      </c>
      <c r="B10" s="65"/>
      <c r="C10" s="49">
        <v>300</v>
      </c>
      <c r="D10" s="63"/>
      <c r="E10" s="63"/>
      <c r="F10" s="63"/>
      <c r="G10" s="63"/>
      <c r="H10" s="63"/>
      <c r="I10" s="135"/>
      <c r="J10" s="63"/>
      <c r="K10" s="63"/>
      <c r="L10" s="63"/>
      <c r="M10" s="43"/>
      <c r="N10" s="63"/>
      <c r="O10" s="63"/>
      <c r="P10" s="63"/>
      <c r="Q10" s="63"/>
      <c r="R10" s="62"/>
      <c r="S10" s="63"/>
    </row>
    <row r="11" spans="1:20" x14ac:dyDescent="0.35">
      <c r="A11" s="64" t="s">
        <v>15</v>
      </c>
      <c r="B11" s="65"/>
      <c r="C11" s="49" t="s">
        <v>16</v>
      </c>
      <c r="D11" s="63"/>
      <c r="E11" s="63"/>
      <c r="F11" s="63"/>
      <c r="G11" s="63"/>
      <c r="H11" s="63"/>
      <c r="I11" s="135"/>
      <c r="J11" s="63"/>
      <c r="K11" s="63"/>
      <c r="L11" s="63"/>
      <c r="M11" s="43"/>
      <c r="N11" s="63"/>
      <c r="O11" s="63"/>
      <c r="P11" s="63"/>
      <c r="Q11" s="63"/>
      <c r="R11" s="62"/>
      <c r="S11" s="63"/>
      <c r="T11" s="62"/>
    </row>
    <row r="12" spans="1:20" x14ac:dyDescent="0.35">
      <c r="A12" s="64" t="s">
        <v>17</v>
      </c>
      <c r="B12" s="65"/>
      <c r="C12" s="49" t="s">
        <v>18</v>
      </c>
      <c r="D12" s="63"/>
      <c r="E12" s="63"/>
      <c r="F12" s="63"/>
      <c r="G12" s="63"/>
      <c r="H12" s="63"/>
      <c r="I12" s="135"/>
      <c r="J12" s="63"/>
      <c r="K12" s="63"/>
      <c r="L12" s="63"/>
      <c r="M12" s="43"/>
      <c r="N12" s="63"/>
      <c r="O12" s="63"/>
      <c r="P12" s="63"/>
      <c r="Q12" s="63"/>
      <c r="R12" s="62"/>
      <c r="S12" s="63"/>
      <c r="T12" s="62"/>
    </row>
    <row r="13" spans="1:20" x14ac:dyDescent="0.35">
      <c r="A13" s="64" t="s">
        <v>19</v>
      </c>
      <c r="B13" s="65"/>
      <c r="C13" s="49" t="s">
        <v>20</v>
      </c>
      <c r="D13" s="63"/>
      <c r="E13" s="63"/>
      <c r="F13" s="63"/>
      <c r="G13" s="63"/>
      <c r="H13" s="63"/>
      <c r="I13" s="135"/>
      <c r="J13" s="63"/>
      <c r="K13" s="63"/>
      <c r="L13" s="63"/>
      <c r="M13" s="43"/>
      <c r="N13" s="63"/>
      <c r="O13" s="63"/>
      <c r="P13" s="63"/>
      <c r="Q13" s="63"/>
      <c r="R13" s="62"/>
      <c r="S13" s="63"/>
      <c r="T13" s="62"/>
    </row>
    <row r="14" spans="1:20" x14ac:dyDescent="0.35">
      <c r="A14" s="64" t="s">
        <v>21</v>
      </c>
      <c r="B14" s="65"/>
      <c r="C14" s="49"/>
      <c r="D14" s="63"/>
      <c r="E14" s="63"/>
      <c r="F14" s="63"/>
      <c r="G14" s="63"/>
      <c r="H14"/>
      <c r="I14" s="135"/>
      <c r="J14" s="63"/>
      <c r="K14" s="63"/>
      <c r="L14" s="63"/>
      <c r="M14" s="43"/>
      <c r="N14" s="63"/>
      <c r="O14" s="63"/>
      <c r="P14" s="63"/>
      <c r="Q14" s="63"/>
      <c r="R14" s="62"/>
      <c r="S14" s="63"/>
      <c r="T14" t="s">
        <v>6687</v>
      </c>
    </row>
    <row r="15" spans="1:20" x14ac:dyDescent="0.35">
      <c r="A15" s="64" t="s">
        <v>22</v>
      </c>
      <c r="B15" s="65"/>
      <c r="C15" s="58" t="s">
        <v>23</v>
      </c>
      <c r="D15" s="63"/>
      <c r="E15" s="63"/>
      <c r="F15" s="63"/>
      <c r="G15" s="63"/>
      <c r="H15" s="63"/>
      <c r="I15" s="135"/>
      <c r="J15" s="63"/>
      <c r="K15" s="63"/>
      <c r="L15" s="63"/>
      <c r="M15" s="43"/>
      <c r="N15" s="63"/>
      <c r="O15" s="63"/>
      <c r="P15" s="63"/>
      <c r="Q15" s="63"/>
      <c r="R15" s="62"/>
      <c r="S15" s="63"/>
      <c r="T15" s="62"/>
    </row>
    <row r="16" spans="1:20" x14ac:dyDescent="0.35">
      <c r="A16" s="64"/>
      <c r="B16" s="62"/>
      <c r="C16" s="49"/>
      <c r="D16" s="63"/>
      <c r="E16" s="63"/>
      <c r="F16" s="63"/>
      <c r="G16" s="63"/>
      <c r="H16" s="63"/>
      <c r="I16" s="135"/>
      <c r="J16" s="63"/>
      <c r="K16" s="63"/>
      <c r="L16" s="63"/>
      <c r="M16" s="43"/>
      <c r="N16" s="63"/>
      <c r="O16" s="63"/>
      <c r="P16" s="63"/>
      <c r="Q16" s="63"/>
      <c r="R16" s="62"/>
      <c r="S16" s="63"/>
      <c r="T16" s="62"/>
    </row>
    <row r="17" spans="1:29" x14ac:dyDescent="0.35">
      <c r="A17" s="67"/>
      <c r="B17" s="62"/>
      <c r="C17" s="49"/>
      <c r="D17" s="63"/>
      <c r="E17" s="63"/>
      <c r="F17" s="63"/>
      <c r="G17" s="63"/>
      <c r="H17" s="63"/>
      <c r="I17" s="135"/>
      <c r="J17" s="63"/>
      <c r="K17" s="63"/>
      <c r="L17" s="63"/>
      <c r="M17" s="43"/>
      <c r="N17" s="63"/>
      <c r="O17" s="63"/>
      <c r="P17" s="63"/>
      <c r="Q17" s="63"/>
      <c r="R17" s="62"/>
      <c r="S17" s="63"/>
      <c r="T17" s="62"/>
    </row>
    <row r="18" spans="1:29" x14ac:dyDescent="0.35">
      <c r="A18" s="61" t="s">
        <v>24</v>
      </c>
      <c r="B18" s="62"/>
      <c r="C18" s="49"/>
      <c r="D18" s="63"/>
      <c r="E18" s="63"/>
      <c r="F18" s="63"/>
      <c r="G18" s="63"/>
      <c r="H18" s="63"/>
      <c r="I18" s="135"/>
      <c r="J18" s="63"/>
      <c r="K18" s="63"/>
      <c r="L18" s="63"/>
      <c r="M18" s="43"/>
      <c r="N18" s="63"/>
      <c r="O18" s="63"/>
      <c r="P18" s="63"/>
      <c r="Q18" s="63"/>
      <c r="R18" s="62"/>
      <c r="S18" s="63"/>
      <c r="T18" s="62"/>
    </row>
    <row r="19" spans="1:29" x14ac:dyDescent="0.35">
      <c r="A19" s="61" t="s">
        <v>25</v>
      </c>
      <c r="B19" s="62"/>
      <c r="C19" s="49"/>
      <c r="D19" s="63"/>
      <c r="E19" s="63"/>
      <c r="F19" s="63"/>
      <c r="G19" s="63"/>
      <c r="H19" s="63"/>
      <c r="I19" s="135"/>
      <c r="J19" s="63"/>
      <c r="K19" s="63"/>
      <c r="L19" s="63"/>
      <c r="M19" s="43"/>
      <c r="N19" s="63"/>
      <c r="O19" s="63"/>
      <c r="P19" s="63"/>
      <c r="Q19" s="63"/>
      <c r="R19" s="62"/>
      <c r="S19" s="63"/>
      <c r="T19" s="62"/>
    </row>
    <row r="20" spans="1:29" x14ac:dyDescent="0.35">
      <c r="A20" s="67"/>
      <c r="B20" s="62"/>
      <c r="C20" s="49"/>
      <c r="D20" s="63"/>
      <c r="E20" s="63"/>
      <c r="F20" s="63"/>
      <c r="G20" s="63"/>
      <c r="H20" s="63"/>
      <c r="I20" s="135"/>
      <c r="J20" s="63"/>
      <c r="K20" s="63"/>
      <c r="L20" s="63"/>
      <c r="M20" s="43"/>
      <c r="N20" s="63"/>
      <c r="O20" s="63"/>
      <c r="P20" s="63"/>
      <c r="Q20" s="63"/>
      <c r="R20" s="62"/>
      <c r="S20" s="63"/>
      <c r="T20" s="62"/>
    </row>
    <row r="21" spans="1:29" ht="15" thickBot="1" x14ac:dyDescent="0.4">
      <c r="A21" s="68" t="s">
        <v>26</v>
      </c>
      <c r="B21" s="73" t="s">
        <v>27</v>
      </c>
      <c r="C21" s="77" t="s">
        <v>28</v>
      </c>
      <c r="D21" s="69" t="s">
        <v>29</v>
      </c>
      <c r="E21" s="69" t="s">
        <v>30</v>
      </c>
      <c r="F21" s="70" t="s">
        <v>31</v>
      </c>
      <c r="G21" s="71" t="s">
        <v>32</v>
      </c>
      <c r="H21" s="72" t="s">
        <v>33</v>
      </c>
      <c r="I21" s="136" t="s">
        <v>34</v>
      </c>
      <c r="J21" s="70" t="s">
        <v>35</v>
      </c>
      <c r="K21" s="73" t="s">
        <v>36</v>
      </c>
      <c r="L21" s="70" t="s">
        <v>37</v>
      </c>
      <c r="M21" s="44" t="s">
        <v>38</v>
      </c>
      <c r="N21" s="74" t="s">
        <v>39</v>
      </c>
      <c r="O21" s="70" t="s">
        <v>40</v>
      </c>
      <c r="P21" s="70" t="s">
        <v>41</v>
      </c>
      <c r="Q21" s="70" t="s">
        <v>42</v>
      </c>
      <c r="R21" s="73" t="s">
        <v>43</v>
      </c>
      <c r="S21" s="75" t="s">
        <v>44</v>
      </c>
      <c r="T21" s="76" t="s">
        <v>45</v>
      </c>
      <c r="X21" s="53"/>
    </row>
    <row r="22" spans="1:29" s="55" customFormat="1" ht="17.5" thickBot="1" x14ac:dyDescent="0.4">
      <c r="A22" s="129" t="s">
        <v>6480</v>
      </c>
      <c r="B22" s="129">
        <v>1</v>
      </c>
      <c r="C22" s="129" t="s">
        <v>6491</v>
      </c>
      <c r="H22" s="79" t="s">
        <v>4</v>
      </c>
      <c r="I22" s="137">
        <v>44930</v>
      </c>
      <c r="J22" s="80" t="s">
        <v>46</v>
      </c>
      <c r="K22" s="92" t="str">
        <f>VLOOKUP(T22,'Index Sets'!$A$2:$C$4000,2,FALSE)</f>
        <v>S7701</v>
      </c>
      <c r="L22" s="93" t="str">
        <f>VLOOKUP(T22,'Index Sets'!$A$2:$C$4000,3,FALSE)</f>
        <v>S7501</v>
      </c>
      <c r="M22" s="89" t="e">
        <f t="array" ref="M22">VLOOKUP(A22&amp;B22,CHOOSE({1,2},PCR!$A$1:$A$3000&amp;PCR!$B$1:$B$3000,PCR!$C$1:$C$3000),2,0)</f>
        <v>#N/A</v>
      </c>
      <c r="R22" s="55" t="s">
        <v>6686</v>
      </c>
      <c r="T22" s="129">
        <v>577</v>
      </c>
      <c r="U22" s="97"/>
      <c r="V22" s="94"/>
      <c r="W22" s="78"/>
      <c r="X22" s="95"/>
      <c r="Y22" s="96"/>
      <c r="Z22" s="95"/>
      <c r="AA22" s="95"/>
      <c r="AC22" s="45"/>
    </row>
    <row r="23" spans="1:29" ht="15.5" x14ac:dyDescent="0.35">
      <c r="A23" s="59" t="s">
        <v>6480</v>
      </c>
      <c r="B23" s="45">
        <v>2</v>
      </c>
      <c r="C23" s="58" t="s">
        <v>6492</v>
      </c>
      <c r="H23" s="79" t="s">
        <v>4</v>
      </c>
      <c r="I23" s="137">
        <v>44930</v>
      </c>
      <c r="J23" s="80" t="s">
        <v>46</v>
      </c>
      <c r="K23" s="92" t="str">
        <f>VLOOKUP(T23,'Index Sets'!$A$2:$C$4000,2,FALSE)</f>
        <v>S7702</v>
      </c>
      <c r="L23" s="93" t="str">
        <f>VLOOKUP(T23,'Index Sets'!$A$2:$C$4000,3,FALSE)</f>
        <v>S7502</v>
      </c>
      <c r="M23" s="89" t="e">
        <f>VLOOKUP(A23&amp;B23,CHOOSE({1,2},PCR!$A$1:$A$3000&amp;PCR!$B$1:$B$3000,PCR!$C$1:$C$3000),2,0)</f>
        <v>#N/A</v>
      </c>
      <c r="R23" s="55" t="s">
        <v>6686</v>
      </c>
      <c r="T23" s="45">
        <v>578</v>
      </c>
    </row>
    <row r="24" spans="1:29" ht="15.5" x14ac:dyDescent="0.35">
      <c r="A24" s="59" t="s">
        <v>6480</v>
      </c>
      <c r="B24" s="45">
        <v>4</v>
      </c>
      <c r="C24" s="58" t="s">
        <v>6493</v>
      </c>
      <c r="H24" s="79" t="s">
        <v>4</v>
      </c>
      <c r="I24" s="137">
        <v>44930</v>
      </c>
      <c r="J24" s="80" t="s">
        <v>46</v>
      </c>
      <c r="K24" s="92" t="str">
        <f>VLOOKUP(T24,'Index Sets'!$A$2:$C$4000,2,FALSE)</f>
        <v>S7704</v>
      </c>
      <c r="L24" s="93" t="str">
        <f>VLOOKUP(T24,'Index Sets'!$A$2:$C$4000,3,FALSE)</f>
        <v>S7504</v>
      </c>
      <c r="M24" s="89" t="e">
        <f>VLOOKUP(A24&amp;B24,CHOOSE({1,2},PCR!$A$1:$A$3000&amp;PCR!$B$1:$B$3000,PCR!$C$1:$C$3000),2,0)</f>
        <v>#N/A</v>
      </c>
      <c r="R24" s="55" t="s">
        <v>6686</v>
      </c>
      <c r="T24" s="45">
        <v>580</v>
      </c>
    </row>
    <row r="25" spans="1:29" ht="15.5" x14ac:dyDescent="0.35">
      <c r="A25" s="59" t="s">
        <v>6480</v>
      </c>
      <c r="B25" s="45">
        <v>5</v>
      </c>
      <c r="C25" s="58" t="s">
        <v>6494</v>
      </c>
      <c r="H25" s="79" t="s">
        <v>4</v>
      </c>
      <c r="I25" s="137">
        <v>44930</v>
      </c>
      <c r="J25" s="80" t="s">
        <v>46</v>
      </c>
      <c r="K25" s="92" t="str">
        <f>VLOOKUP(T25,'Index Sets'!$A$2:$C$4000,2,FALSE)</f>
        <v>S7705</v>
      </c>
      <c r="L25" s="93" t="str">
        <f>VLOOKUP(T25,'Index Sets'!$A$2:$C$4000,3,FALSE)</f>
        <v>S7505</v>
      </c>
      <c r="M25" s="89" t="e">
        <f>VLOOKUP(A25&amp;B25,CHOOSE({1,2},PCR!$A$1:$A$3000&amp;PCR!$B$1:$B$3000,PCR!$C$1:$C$3000),2,0)</f>
        <v>#N/A</v>
      </c>
      <c r="R25" s="55" t="s">
        <v>6686</v>
      </c>
      <c r="T25" s="45">
        <v>581</v>
      </c>
    </row>
    <row r="26" spans="1:29" ht="15.5" x14ac:dyDescent="0.35">
      <c r="A26" s="59" t="s">
        <v>6480</v>
      </c>
      <c r="B26" s="45">
        <v>6</v>
      </c>
      <c r="C26" s="58" t="s">
        <v>6495</v>
      </c>
      <c r="H26" s="79" t="s">
        <v>4</v>
      </c>
      <c r="I26" s="137">
        <v>44930</v>
      </c>
      <c r="J26" s="80" t="s">
        <v>46</v>
      </c>
      <c r="K26" s="92" t="str">
        <f>VLOOKUP(T26,'Index Sets'!$A$2:$C$4000,2,FALSE)</f>
        <v>S7706</v>
      </c>
      <c r="L26" s="93" t="str">
        <f>VLOOKUP(T26,'Index Sets'!$A$2:$C$4000,3,FALSE)</f>
        <v>S7506</v>
      </c>
      <c r="M26" s="89" t="e">
        <f>VLOOKUP(A26&amp;B26,CHOOSE({1,2},PCR!$A$1:$A$3000&amp;PCR!$B$1:$B$3000,PCR!$C$1:$C$3000),2,0)</f>
        <v>#N/A</v>
      </c>
      <c r="R26" s="55" t="s">
        <v>6686</v>
      </c>
      <c r="T26" s="45">
        <v>582</v>
      </c>
    </row>
    <row r="27" spans="1:29" ht="15.5" x14ac:dyDescent="0.35">
      <c r="A27" s="59" t="s">
        <v>6480</v>
      </c>
      <c r="B27" s="45">
        <v>7</v>
      </c>
      <c r="C27" s="58" t="s">
        <v>6496</v>
      </c>
      <c r="H27" s="79" t="s">
        <v>4</v>
      </c>
      <c r="I27" s="137">
        <v>44930</v>
      </c>
      <c r="J27" s="80" t="s">
        <v>46</v>
      </c>
      <c r="K27" s="92" t="str">
        <f>VLOOKUP(T27,'Index Sets'!$A$2:$C$4000,2,FALSE)</f>
        <v>S7707</v>
      </c>
      <c r="L27" s="93" t="str">
        <f>VLOOKUP(T27,'Index Sets'!$A$2:$C$4000,3,FALSE)</f>
        <v>S7507</v>
      </c>
      <c r="M27" s="89" t="e">
        <f>VLOOKUP(A27&amp;B27,CHOOSE({1,2},PCR!$A$1:$A$3000&amp;PCR!$B$1:$B$3000,PCR!$C$1:$C$3000),2,0)</f>
        <v>#N/A</v>
      </c>
      <c r="R27" s="55" t="s">
        <v>6686</v>
      </c>
      <c r="T27" s="45">
        <v>583</v>
      </c>
    </row>
    <row r="28" spans="1:29" ht="15.5" x14ac:dyDescent="0.35">
      <c r="A28" s="59" t="s">
        <v>6480</v>
      </c>
      <c r="B28" s="45">
        <v>8</v>
      </c>
      <c r="C28" s="58" t="s">
        <v>6497</v>
      </c>
      <c r="H28" s="79" t="s">
        <v>4</v>
      </c>
      <c r="I28" s="137">
        <v>44930</v>
      </c>
      <c r="J28" s="80" t="s">
        <v>46</v>
      </c>
      <c r="K28" s="92" t="str">
        <f>VLOOKUP(T28,'Index Sets'!$A$2:$C$4000,2,FALSE)</f>
        <v>S7708</v>
      </c>
      <c r="L28" s="93" t="str">
        <f>VLOOKUP(T28,'Index Sets'!$A$2:$C$4000,3,FALSE)</f>
        <v>S7508</v>
      </c>
      <c r="M28" s="89" t="e">
        <f>VLOOKUP(A28&amp;B28,CHOOSE({1,2},PCR!$A$1:$A$3000&amp;PCR!$B$1:$B$3000,PCR!$C$1:$C$3000),2,0)</f>
        <v>#N/A</v>
      </c>
      <c r="R28" s="55" t="s">
        <v>6686</v>
      </c>
      <c r="T28" s="45">
        <v>584</v>
      </c>
    </row>
    <row r="29" spans="1:29" ht="15.5" x14ac:dyDescent="0.35">
      <c r="A29" s="59" t="s">
        <v>6480</v>
      </c>
      <c r="B29" s="45">
        <v>9</v>
      </c>
      <c r="C29" s="58" t="s">
        <v>6498</v>
      </c>
      <c r="H29" s="79" t="s">
        <v>4</v>
      </c>
      <c r="I29" s="137">
        <v>44930</v>
      </c>
      <c r="J29" s="80" t="s">
        <v>46</v>
      </c>
      <c r="K29" s="92" t="str">
        <f>VLOOKUP(T29,'Index Sets'!$A$2:$C$4000,2,FALSE)</f>
        <v>S7709</v>
      </c>
      <c r="L29" s="93" t="str">
        <f>VLOOKUP(T29,'Index Sets'!$A$2:$C$4000,3,FALSE)</f>
        <v>S7509</v>
      </c>
      <c r="M29" s="89" t="e">
        <f>VLOOKUP(A29&amp;B29,CHOOSE({1,2},PCR!$A$1:$A$3000&amp;PCR!$B$1:$B$3000,PCR!$C$1:$C$3000),2,0)</f>
        <v>#N/A</v>
      </c>
      <c r="R29" s="55" t="s">
        <v>6686</v>
      </c>
      <c r="T29" s="45">
        <v>585</v>
      </c>
    </row>
    <row r="30" spans="1:29" ht="15.5" x14ac:dyDescent="0.35">
      <c r="A30" s="59" t="s">
        <v>6480</v>
      </c>
      <c r="B30" s="45">
        <v>10</v>
      </c>
      <c r="C30" s="58" t="s">
        <v>6499</v>
      </c>
      <c r="H30" s="79" t="s">
        <v>4</v>
      </c>
      <c r="I30" s="137">
        <v>44930</v>
      </c>
      <c r="J30" s="80" t="s">
        <v>46</v>
      </c>
      <c r="K30" s="92" t="str">
        <f>VLOOKUP(T30,'Index Sets'!$A$2:$C$4000,2,FALSE)</f>
        <v>S7710</v>
      </c>
      <c r="L30" s="93" t="str">
        <f>VLOOKUP(T30,'Index Sets'!$A$2:$C$4000,3,FALSE)</f>
        <v>S7510</v>
      </c>
      <c r="M30" s="89" t="e">
        <f>VLOOKUP(A30&amp;B30,CHOOSE({1,2},PCR!$A$1:$A$3000&amp;PCR!$B$1:$B$3000,PCR!$C$1:$C$3000),2,0)</f>
        <v>#N/A</v>
      </c>
      <c r="R30" s="55" t="s">
        <v>6686</v>
      </c>
      <c r="T30" s="45">
        <v>586</v>
      </c>
    </row>
    <row r="31" spans="1:29" ht="15.5" x14ac:dyDescent="0.35">
      <c r="A31" s="59" t="s">
        <v>6480</v>
      </c>
      <c r="B31" s="45">
        <v>11</v>
      </c>
      <c r="C31" s="58" t="s">
        <v>6500</v>
      </c>
      <c r="H31" s="79" t="s">
        <v>4</v>
      </c>
      <c r="I31" s="137">
        <v>44930</v>
      </c>
      <c r="J31" s="80" t="s">
        <v>46</v>
      </c>
      <c r="K31" s="92" t="str">
        <f>VLOOKUP(T31,'Index Sets'!$A$2:$C$4000,2,FALSE)</f>
        <v>S7711</v>
      </c>
      <c r="L31" s="93" t="str">
        <f>VLOOKUP(T31,'Index Sets'!$A$2:$C$4000,3,FALSE)</f>
        <v>S7511</v>
      </c>
      <c r="M31" s="89" t="e">
        <f>VLOOKUP(A31&amp;B31,CHOOSE({1,2},PCR!$A$1:$A$3000&amp;PCR!$B$1:$B$3000,PCR!$C$1:$C$3000),2,0)</f>
        <v>#N/A</v>
      </c>
      <c r="R31" s="55" t="s">
        <v>6686</v>
      </c>
      <c r="T31" s="45">
        <v>587</v>
      </c>
    </row>
    <row r="32" spans="1:29" ht="15.5" x14ac:dyDescent="0.35">
      <c r="A32" s="59" t="s">
        <v>6480</v>
      </c>
      <c r="B32" s="45">
        <v>12</v>
      </c>
      <c r="C32" s="58" t="s">
        <v>6501</v>
      </c>
      <c r="H32" s="79" t="s">
        <v>4</v>
      </c>
      <c r="I32" s="137">
        <v>44930</v>
      </c>
      <c r="J32" s="80" t="s">
        <v>46</v>
      </c>
      <c r="K32" s="92" t="str">
        <f>VLOOKUP(T32,'Index Sets'!$A$2:$C$4000,2,FALSE)</f>
        <v>S7712</v>
      </c>
      <c r="L32" s="93" t="str">
        <f>VLOOKUP(T32,'Index Sets'!$A$2:$C$4000,3,FALSE)</f>
        <v>S7512</v>
      </c>
      <c r="M32" s="89" t="e">
        <f>VLOOKUP(A32&amp;B32,CHOOSE({1,2},PCR!$A$1:$A$3000&amp;PCR!$B$1:$B$3000,PCR!$C$1:$C$3000),2,0)</f>
        <v>#N/A</v>
      </c>
      <c r="R32" s="55" t="s">
        <v>6686</v>
      </c>
      <c r="T32" s="45">
        <v>588</v>
      </c>
    </row>
    <row r="33" spans="1:20" ht="15.5" x14ac:dyDescent="0.35">
      <c r="A33" s="59" t="s">
        <v>6481</v>
      </c>
      <c r="B33" s="45">
        <v>1</v>
      </c>
      <c r="C33" s="58" t="s">
        <v>6502</v>
      </c>
      <c r="H33" s="79" t="s">
        <v>4</v>
      </c>
      <c r="I33" s="137">
        <v>44930</v>
      </c>
      <c r="J33" s="80" t="s">
        <v>46</v>
      </c>
      <c r="K33" s="92" t="str">
        <f>VLOOKUP(T33,'Index Sets'!$A$2:$C$4000,2,FALSE)</f>
        <v>S7713</v>
      </c>
      <c r="L33" s="93" t="str">
        <f>VLOOKUP(T33,'Index Sets'!$A$2:$C$4000,3,FALSE)</f>
        <v>S7513</v>
      </c>
      <c r="M33" s="89" t="e">
        <f>VLOOKUP(A33&amp;B33,CHOOSE({1,2},PCR!$A$1:$A$3000&amp;PCR!$B$1:$B$3000,PCR!$C$1:$C$3000),2,0)</f>
        <v>#N/A</v>
      </c>
      <c r="R33" s="55" t="s">
        <v>6686</v>
      </c>
      <c r="T33" s="45">
        <v>589</v>
      </c>
    </row>
    <row r="34" spans="1:20" ht="15.5" x14ac:dyDescent="0.35">
      <c r="A34" s="59" t="s">
        <v>6481</v>
      </c>
      <c r="B34" s="45">
        <v>2</v>
      </c>
      <c r="C34" s="58" t="s">
        <v>6503</v>
      </c>
      <c r="H34" s="79" t="s">
        <v>4</v>
      </c>
      <c r="I34" s="137">
        <v>44930</v>
      </c>
      <c r="J34" s="80" t="s">
        <v>46</v>
      </c>
      <c r="K34" s="92" t="str">
        <f>VLOOKUP(T34,'Index Sets'!$A$2:$C$4000,2,FALSE)</f>
        <v>S7714</v>
      </c>
      <c r="L34" s="93" t="str">
        <f>VLOOKUP(T34,'Index Sets'!$A$2:$C$4000,3,FALSE)</f>
        <v>S7514</v>
      </c>
      <c r="M34" s="89" t="e">
        <f>VLOOKUP(A34&amp;B34,CHOOSE({1,2},PCR!$A$1:$A$3000&amp;PCR!$B$1:$B$3000,PCR!$C$1:$C$3000),2,0)</f>
        <v>#N/A</v>
      </c>
      <c r="R34" s="55" t="s">
        <v>6686</v>
      </c>
      <c r="T34" s="45">
        <v>590</v>
      </c>
    </row>
    <row r="35" spans="1:20" ht="15.5" x14ac:dyDescent="0.35">
      <c r="A35" s="59" t="s">
        <v>6481</v>
      </c>
      <c r="B35" s="45">
        <v>3</v>
      </c>
      <c r="C35" s="58" t="s">
        <v>6504</v>
      </c>
      <c r="H35" s="79" t="s">
        <v>4</v>
      </c>
      <c r="I35" s="137">
        <v>44930</v>
      </c>
      <c r="J35" s="80" t="s">
        <v>46</v>
      </c>
      <c r="K35" s="92" t="str">
        <f>VLOOKUP(T35,'Index Sets'!$A$2:$C$4000,2,FALSE)</f>
        <v>S7715</v>
      </c>
      <c r="L35" s="93" t="str">
        <f>VLOOKUP(T35,'Index Sets'!$A$2:$C$4000,3,FALSE)</f>
        <v>S7515</v>
      </c>
      <c r="M35" s="89" t="e">
        <f>VLOOKUP(A35&amp;B35,CHOOSE({1,2},PCR!$A$1:$A$3000&amp;PCR!$B$1:$B$3000,PCR!$C$1:$C$3000),2,0)</f>
        <v>#N/A</v>
      </c>
      <c r="R35" s="55" t="s">
        <v>6686</v>
      </c>
      <c r="T35" s="45">
        <v>591</v>
      </c>
    </row>
    <row r="36" spans="1:20" ht="15.5" x14ac:dyDescent="0.35">
      <c r="A36" s="59" t="s">
        <v>6481</v>
      </c>
      <c r="B36" s="45">
        <v>4</v>
      </c>
      <c r="C36" s="58" t="s">
        <v>6505</v>
      </c>
      <c r="H36" s="79" t="s">
        <v>4</v>
      </c>
      <c r="I36" s="137">
        <v>44930</v>
      </c>
      <c r="J36" s="80" t="s">
        <v>46</v>
      </c>
      <c r="K36" s="92" t="str">
        <f>VLOOKUP(T36,'Index Sets'!$A$2:$C$4000,2,FALSE)</f>
        <v>S7716</v>
      </c>
      <c r="L36" s="93" t="str">
        <f>VLOOKUP(T36,'Index Sets'!$A$2:$C$4000,3,FALSE)</f>
        <v>S7516</v>
      </c>
      <c r="M36" s="89" t="e">
        <f>VLOOKUP(A36&amp;B36,CHOOSE({1,2},PCR!$A$1:$A$3000&amp;PCR!$B$1:$B$3000,PCR!$C$1:$C$3000),2,0)</f>
        <v>#N/A</v>
      </c>
      <c r="R36" s="55" t="s">
        <v>6686</v>
      </c>
      <c r="T36" s="45">
        <v>592</v>
      </c>
    </row>
    <row r="37" spans="1:20" ht="15.5" x14ac:dyDescent="0.35">
      <c r="A37" s="59" t="s">
        <v>6481</v>
      </c>
      <c r="B37" s="45">
        <v>5</v>
      </c>
      <c r="C37" s="58" t="s">
        <v>6506</v>
      </c>
      <c r="H37" s="79" t="s">
        <v>4</v>
      </c>
      <c r="I37" s="137">
        <v>44930</v>
      </c>
      <c r="J37" s="80" t="s">
        <v>46</v>
      </c>
      <c r="K37" s="92" t="str">
        <f>VLOOKUP(T37,'Index Sets'!$A$2:$C$4000,2,FALSE)</f>
        <v>S7717</v>
      </c>
      <c r="L37" s="93" t="str">
        <f>VLOOKUP(T37,'Index Sets'!$A$2:$C$4000,3,FALSE)</f>
        <v>S7517</v>
      </c>
      <c r="M37" s="89" t="e">
        <f>VLOOKUP(A37&amp;B37,CHOOSE({1,2},PCR!$A$1:$A$3000&amp;PCR!$B$1:$B$3000,PCR!$C$1:$C$3000),2,0)</f>
        <v>#N/A</v>
      </c>
      <c r="R37" s="55" t="s">
        <v>6686</v>
      </c>
      <c r="T37" s="45">
        <v>593</v>
      </c>
    </row>
    <row r="38" spans="1:20" ht="15.5" x14ac:dyDescent="0.35">
      <c r="A38" s="59" t="s">
        <v>6481</v>
      </c>
      <c r="B38" s="45">
        <v>6</v>
      </c>
      <c r="C38" s="58" t="s">
        <v>6507</v>
      </c>
      <c r="H38" s="79" t="s">
        <v>4</v>
      </c>
      <c r="I38" s="137">
        <v>44930</v>
      </c>
      <c r="J38" s="80" t="s">
        <v>46</v>
      </c>
      <c r="K38" s="92" t="str">
        <f>VLOOKUP(T38,'Index Sets'!$A$2:$C$4000,2,FALSE)</f>
        <v>S7718</v>
      </c>
      <c r="L38" s="93" t="str">
        <f>VLOOKUP(T38,'Index Sets'!$A$2:$C$4000,3,FALSE)</f>
        <v>S7518</v>
      </c>
      <c r="M38" s="89" t="e">
        <f>VLOOKUP(A38&amp;B38,CHOOSE({1,2},PCR!$A$1:$A$3000&amp;PCR!$B$1:$B$3000,PCR!$C$1:$C$3000),2,0)</f>
        <v>#N/A</v>
      </c>
      <c r="R38" s="55" t="s">
        <v>6686</v>
      </c>
      <c r="T38" s="45">
        <v>594</v>
      </c>
    </row>
    <row r="39" spans="1:20" ht="15.5" x14ac:dyDescent="0.35">
      <c r="A39" s="59" t="s">
        <v>6481</v>
      </c>
      <c r="B39" s="45">
        <v>7</v>
      </c>
      <c r="C39" s="58" t="s">
        <v>6508</v>
      </c>
      <c r="H39" s="79" t="s">
        <v>4</v>
      </c>
      <c r="I39" s="137">
        <v>44930</v>
      </c>
      <c r="J39" s="80" t="s">
        <v>46</v>
      </c>
      <c r="K39" s="92" t="str">
        <f>VLOOKUP(T39,'Index Sets'!$A$2:$C$4000,2,FALSE)</f>
        <v>S7719</v>
      </c>
      <c r="L39" s="93" t="str">
        <f>VLOOKUP(T39,'Index Sets'!$A$2:$C$4000,3,FALSE)</f>
        <v>S7519</v>
      </c>
      <c r="M39" s="89" t="e">
        <f>VLOOKUP(A39&amp;B39,CHOOSE({1,2},PCR!$A$1:$A$3000&amp;PCR!$B$1:$B$3000,PCR!$C$1:$C$3000),2,0)</f>
        <v>#N/A</v>
      </c>
      <c r="R39" s="55" t="s">
        <v>6686</v>
      </c>
      <c r="T39" s="45">
        <v>595</v>
      </c>
    </row>
    <row r="40" spans="1:20" ht="15.5" x14ac:dyDescent="0.35">
      <c r="A40" s="59" t="s">
        <v>6481</v>
      </c>
      <c r="B40" s="45">
        <v>8</v>
      </c>
      <c r="C40" s="58" t="s">
        <v>6509</v>
      </c>
      <c r="H40" s="79" t="s">
        <v>4</v>
      </c>
      <c r="I40" s="137">
        <v>44930</v>
      </c>
      <c r="J40" s="80" t="s">
        <v>46</v>
      </c>
      <c r="K40" s="92" t="str">
        <f>VLOOKUP(T40,'Index Sets'!$A$2:$C$4000,2,FALSE)</f>
        <v>S7720</v>
      </c>
      <c r="L40" s="93" t="str">
        <f>VLOOKUP(T40,'Index Sets'!$A$2:$C$4000,3,FALSE)</f>
        <v>S7520</v>
      </c>
      <c r="M40" s="89" t="e">
        <f>VLOOKUP(A40&amp;B40,CHOOSE({1,2},PCR!$A$1:$A$3000&amp;PCR!$B$1:$B$3000,PCR!$C$1:$C$3000),2,0)</f>
        <v>#N/A</v>
      </c>
      <c r="R40" s="55" t="s">
        <v>6686</v>
      </c>
      <c r="T40" s="45">
        <v>596</v>
      </c>
    </row>
    <row r="41" spans="1:20" ht="15.5" x14ac:dyDescent="0.35">
      <c r="A41" s="59" t="s">
        <v>6481</v>
      </c>
      <c r="B41" s="45">
        <v>9</v>
      </c>
      <c r="C41" s="58" t="s">
        <v>6510</v>
      </c>
      <c r="H41" s="79" t="s">
        <v>4</v>
      </c>
      <c r="I41" s="137">
        <v>44930</v>
      </c>
      <c r="J41" s="80" t="s">
        <v>46</v>
      </c>
      <c r="K41" s="92" t="str">
        <f>VLOOKUP(T41,'Index Sets'!$A$2:$C$4000,2,FALSE)</f>
        <v>S7721</v>
      </c>
      <c r="L41" s="93" t="str">
        <f>VLOOKUP(T41,'Index Sets'!$A$2:$C$4000,3,FALSE)</f>
        <v>S7521</v>
      </c>
      <c r="M41" s="89" t="e">
        <f>VLOOKUP(A41&amp;B41,CHOOSE({1,2},PCR!$A$1:$A$3000&amp;PCR!$B$1:$B$3000,PCR!$C$1:$C$3000),2,0)</f>
        <v>#N/A</v>
      </c>
      <c r="R41" s="55" t="s">
        <v>6686</v>
      </c>
      <c r="T41" s="45">
        <v>597</v>
      </c>
    </row>
    <row r="42" spans="1:20" ht="15.5" x14ac:dyDescent="0.35">
      <c r="A42" s="59" t="s">
        <v>6481</v>
      </c>
      <c r="B42" s="45">
        <v>10</v>
      </c>
      <c r="C42" s="58" t="s">
        <v>6511</v>
      </c>
      <c r="H42" s="79" t="s">
        <v>4</v>
      </c>
      <c r="I42" s="137">
        <v>44930</v>
      </c>
      <c r="J42" s="80" t="s">
        <v>46</v>
      </c>
      <c r="K42" s="92" t="str">
        <f>VLOOKUP(T42,'Index Sets'!$A$2:$C$4000,2,FALSE)</f>
        <v>S7722</v>
      </c>
      <c r="L42" s="93" t="str">
        <f>VLOOKUP(T42,'Index Sets'!$A$2:$C$4000,3,FALSE)</f>
        <v>S7522</v>
      </c>
      <c r="M42" s="89" t="e">
        <f>VLOOKUP(A42&amp;B42,CHOOSE({1,2},PCR!$A$1:$A$3000&amp;PCR!$B$1:$B$3000,PCR!$C$1:$C$3000),2,0)</f>
        <v>#N/A</v>
      </c>
      <c r="R42" s="55" t="s">
        <v>6686</v>
      </c>
      <c r="T42" s="45">
        <v>598</v>
      </c>
    </row>
    <row r="43" spans="1:20" ht="15.5" x14ac:dyDescent="0.35">
      <c r="A43" s="59" t="s">
        <v>6481</v>
      </c>
      <c r="B43" s="45">
        <v>11</v>
      </c>
      <c r="C43" s="58" t="s">
        <v>6512</v>
      </c>
      <c r="H43" s="79" t="s">
        <v>4</v>
      </c>
      <c r="I43" s="137">
        <v>44930</v>
      </c>
      <c r="J43" s="80" t="s">
        <v>46</v>
      </c>
      <c r="K43" s="92" t="str">
        <f>VLOOKUP(T43,'Index Sets'!$A$2:$C$4000,2,FALSE)</f>
        <v>S7723</v>
      </c>
      <c r="L43" s="93" t="str">
        <f>VLOOKUP(T43,'Index Sets'!$A$2:$C$4000,3,FALSE)</f>
        <v>S7523</v>
      </c>
      <c r="M43" s="89" t="e">
        <f>VLOOKUP(A43&amp;B43,CHOOSE({1,2},PCR!$A$1:$A$3000&amp;PCR!$B$1:$B$3000,PCR!$C$1:$C$3000),2,0)</f>
        <v>#N/A</v>
      </c>
      <c r="R43" s="55" t="s">
        <v>6686</v>
      </c>
      <c r="T43" s="45">
        <v>599</v>
      </c>
    </row>
    <row r="44" spans="1:20" ht="15.5" x14ac:dyDescent="0.35">
      <c r="A44" s="59" t="s">
        <v>6481</v>
      </c>
      <c r="B44" s="45">
        <v>12</v>
      </c>
      <c r="C44" s="58" t="s">
        <v>6513</v>
      </c>
      <c r="H44" s="79" t="s">
        <v>4</v>
      </c>
      <c r="I44" s="137">
        <v>44930</v>
      </c>
      <c r="J44" s="80" t="s">
        <v>46</v>
      </c>
      <c r="K44" s="92" t="str">
        <f>VLOOKUP(T44,'Index Sets'!$A$2:$C$4000,2,FALSE)</f>
        <v>S7724</v>
      </c>
      <c r="L44" s="93" t="str">
        <f>VLOOKUP(T44,'Index Sets'!$A$2:$C$4000,3,FALSE)</f>
        <v>S7524</v>
      </c>
      <c r="M44" s="89" t="e">
        <f>VLOOKUP(A44&amp;B44,CHOOSE({1,2},PCR!$A$1:$A$3000&amp;PCR!$B$1:$B$3000,PCR!$C$1:$C$3000),2,0)</f>
        <v>#N/A</v>
      </c>
      <c r="R44" s="55" t="s">
        <v>6686</v>
      </c>
      <c r="T44" s="45">
        <v>600</v>
      </c>
    </row>
    <row r="45" spans="1:20" ht="15.5" x14ac:dyDescent="0.35">
      <c r="A45" s="59" t="s">
        <v>6481</v>
      </c>
      <c r="B45" s="45">
        <v>13</v>
      </c>
      <c r="C45" s="58" t="s">
        <v>6514</v>
      </c>
      <c r="H45" s="79" t="s">
        <v>4</v>
      </c>
      <c r="I45" s="137">
        <v>44930</v>
      </c>
      <c r="J45" s="80" t="s">
        <v>46</v>
      </c>
      <c r="K45" s="92" t="str">
        <f>VLOOKUP(T45,'Index Sets'!$A$2:$C$4000,2,FALSE)</f>
        <v>S7725</v>
      </c>
      <c r="L45" s="93" t="str">
        <f>VLOOKUP(T45,'Index Sets'!$A$2:$C$4000,3,FALSE)</f>
        <v>S7525</v>
      </c>
      <c r="M45" s="89" t="e">
        <f>VLOOKUP(A45&amp;B45,CHOOSE({1,2},PCR!$A$1:$A$3000&amp;PCR!$B$1:$B$3000,PCR!$C$1:$C$3000),2,0)</f>
        <v>#N/A</v>
      </c>
      <c r="R45" s="55" t="s">
        <v>6686</v>
      </c>
      <c r="T45" s="45">
        <v>601</v>
      </c>
    </row>
    <row r="46" spans="1:20" ht="15.5" x14ac:dyDescent="0.35">
      <c r="A46" s="59" t="s">
        <v>6481</v>
      </c>
      <c r="B46" s="45">
        <v>14</v>
      </c>
      <c r="C46" s="58" t="s">
        <v>6515</v>
      </c>
      <c r="H46" s="79" t="s">
        <v>4</v>
      </c>
      <c r="I46" s="137">
        <v>44930</v>
      </c>
      <c r="J46" s="80" t="s">
        <v>46</v>
      </c>
      <c r="K46" s="92" t="str">
        <f>VLOOKUP(T46,'Index Sets'!$A$2:$C$4000,2,FALSE)</f>
        <v>S7726</v>
      </c>
      <c r="L46" s="93" t="str">
        <f>VLOOKUP(T46,'Index Sets'!$A$2:$C$4000,3,FALSE)</f>
        <v>S7526</v>
      </c>
      <c r="M46" s="89" t="e">
        <f>VLOOKUP(A46&amp;B46,CHOOSE({1,2},PCR!$A$1:$A$3000&amp;PCR!$B$1:$B$3000,PCR!$C$1:$C$3000),2,0)</f>
        <v>#N/A</v>
      </c>
      <c r="R46" s="55" t="s">
        <v>6686</v>
      </c>
      <c r="T46" s="45">
        <v>602</v>
      </c>
    </row>
    <row r="47" spans="1:20" ht="15.5" x14ac:dyDescent="0.35">
      <c r="A47" s="59" t="s">
        <v>6481</v>
      </c>
      <c r="B47" s="45">
        <v>15</v>
      </c>
      <c r="C47" s="58" t="s">
        <v>6516</v>
      </c>
      <c r="H47" s="79" t="s">
        <v>4</v>
      </c>
      <c r="I47" s="137">
        <v>44930</v>
      </c>
      <c r="J47" s="80" t="s">
        <v>46</v>
      </c>
      <c r="K47" s="92" t="str">
        <f>VLOOKUP(T47,'Index Sets'!$A$2:$C$4000,2,FALSE)</f>
        <v>S7727</v>
      </c>
      <c r="L47" s="93" t="str">
        <f>VLOOKUP(T47,'Index Sets'!$A$2:$C$4000,3,FALSE)</f>
        <v>S7527</v>
      </c>
      <c r="M47" s="89" t="e">
        <f>VLOOKUP(A47&amp;B47,CHOOSE({1,2},PCR!$A$1:$A$3000&amp;PCR!$B$1:$B$3000,PCR!$C$1:$C$3000),2,0)</f>
        <v>#N/A</v>
      </c>
      <c r="R47" s="55" t="s">
        <v>6686</v>
      </c>
      <c r="T47" s="45">
        <v>603</v>
      </c>
    </row>
    <row r="48" spans="1:20" ht="15.5" x14ac:dyDescent="0.35">
      <c r="A48" s="59" t="s">
        <v>6481</v>
      </c>
      <c r="B48" s="45">
        <v>16</v>
      </c>
      <c r="C48" s="58" t="s">
        <v>6517</v>
      </c>
      <c r="H48" s="79" t="s">
        <v>4</v>
      </c>
      <c r="I48" s="137">
        <v>44930</v>
      </c>
      <c r="J48" s="80" t="s">
        <v>46</v>
      </c>
      <c r="K48" s="92" t="str">
        <f>VLOOKUP(T48,'Index Sets'!$A$2:$C$4000,2,FALSE)</f>
        <v>S7728</v>
      </c>
      <c r="L48" s="93" t="str">
        <f>VLOOKUP(T48,'Index Sets'!$A$2:$C$4000,3,FALSE)</f>
        <v>S7528</v>
      </c>
      <c r="M48" s="89" t="e">
        <f>VLOOKUP(A48&amp;B48,CHOOSE({1,2},PCR!$A$1:$A$3000&amp;PCR!$B$1:$B$3000,PCR!$C$1:$C$3000),2,0)</f>
        <v>#N/A</v>
      </c>
      <c r="R48" s="55" t="s">
        <v>6686</v>
      </c>
      <c r="T48" s="45">
        <v>604</v>
      </c>
    </row>
    <row r="49" spans="1:20" ht="15.5" x14ac:dyDescent="0.35">
      <c r="A49" s="59" t="s">
        <v>6481</v>
      </c>
      <c r="B49" s="45">
        <v>17</v>
      </c>
      <c r="C49" s="58" t="s">
        <v>6518</v>
      </c>
      <c r="H49" s="79" t="s">
        <v>4</v>
      </c>
      <c r="I49" s="137">
        <v>44930</v>
      </c>
      <c r="J49" s="80" t="s">
        <v>46</v>
      </c>
      <c r="K49" s="92" t="str">
        <f>VLOOKUP(T49,'Index Sets'!$A$2:$C$4000,2,FALSE)</f>
        <v>S7729</v>
      </c>
      <c r="L49" s="93" t="str">
        <f>VLOOKUP(T49,'Index Sets'!$A$2:$C$4000,3,FALSE)</f>
        <v>S7529</v>
      </c>
      <c r="M49" s="89" t="e">
        <f>VLOOKUP(A49&amp;B49,CHOOSE({1,2},PCR!$A$1:$A$3000&amp;PCR!$B$1:$B$3000,PCR!$C$1:$C$3000),2,0)</f>
        <v>#N/A</v>
      </c>
      <c r="R49" s="55" t="s">
        <v>6686</v>
      </c>
      <c r="T49" s="45">
        <v>605</v>
      </c>
    </row>
    <row r="50" spans="1:20" ht="15.5" x14ac:dyDescent="0.35">
      <c r="A50" s="59" t="s">
        <v>6481</v>
      </c>
      <c r="B50" s="45">
        <v>18</v>
      </c>
      <c r="C50" s="58" t="s">
        <v>6519</v>
      </c>
      <c r="H50" s="79" t="s">
        <v>4</v>
      </c>
      <c r="I50" s="137">
        <v>44930</v>
      </c>
      <c r="J50" s="80" t="s">
        <v>46</v>
      </c>
      <c r="K50" s="92" t="str">
        <f>VLOOKUP(T50,'Index Sets'!$A$2:$C$4000,2,FALSE)</f>
        <v>S7730</v>
      </c>
      <c r="L50" s="93" t="str">
        <f>VLOOKUP(T50,'Index Sets'!$A$2:$C$4000,3,FALSE)</f>
        <v>S7530</v>
      </c>
      <c r="M50" s="89" t="e">
        <f>VLOOKUP(A50&amp;B50,CHOOSE({1,2},PCR!$A$1:$A$3000&amp;PCR!$B$1:$B$3000,PCR!$C$1:$C$3000),2,0)</f>
        <v>#N/A</v>
      </c>
      <c r="R50" s="55" t="s">
        <v>6686</v>
      </c>
      <c r="T50" s="45">
        <v>606</v>
      </c>
    </row>
    <row r="51" spans="1:20" ht="15.5" x14ac:dyDescent="0.35">
      <c r="A51" s="59" t="s">
        <v>6481</v>
      </c>
      <c r="B51" s="45">
        <v>19</v>
      </c>
      <c r="C51" s="58" t="s">
        <v>6520</v>
      </c>
      <c r="H51" s="79" t="s">
        <v>4</v>
      </c>
      <c r="I51" s="137">
        <v>44930</v>
      </c>
      <c r="J51" s="80" t="s">
        <v>46</v>
      </c>
      <c r="K51" s="92" t="str">
        <f>VLOOKUP(T51,'Index Sets'!$A$2:$C$4000,2,FALSE)</f>
        <v>S7731</v>
      </c>
      <c r="L51" s="93" t="str">
        <f>VLOOKUP(T51,'Index Sets'!$A$2:$C$4000,3,FALSE)</f>
        <v>S7531</v>
      </c>
      <c r="M51" s="89" t="e">
        <f>VLOOKUP(A51&amp;B51,CHOOSE({1,2},PCR!$A$1:$A$3000&amp;PCR!$B$1:$B$3000,PCR!$C$1:$C$3000),2,0)</f>
        <v>#N/A</v>
      </c>
      <c r="R51" s="55" t="s">
        <v>6686</v>
      </c>
      <c r="T51" s="45">
        <v>607</v>
      </c>
    </row>
    <row r="52" spans="1:20" ht="15.5" x14ac:dyDescent="0.35">
      <c r="A52" s="59" t="s">
        <v>6481</v>
      </c>
      <c r="B52" s="45">
        <v>20</v>
      </c>
      <c r="C52" s="58" t="s">
        <v>6521</v>
      </c>
      <c r="H52" s="79" t="s">
        <v>4</v>
      </c>
      <c r="I52" s="137">
        <v>44930</v>
      </c>
      <c r="J52" s="80" t="s">
        <v>46</v>
      </c>
      <c r="K52" s="92" t="str">
        <f>VLOOKUP(T52,'Index Sets'!$A$2:$C$4000,2,FALSE)</f>
        <v>S7732</v>
      </c>
      <c r="L52" s="93" t="str">
        <f>VLOOKUP(T52,'Index Sets'!$A$2:$C$4000,3,FALSE)</f>
        <v>S7532</v>
      </c>
      <c r="M52" s="89" t="e">
        <f>VLOOKUP(A52&amp;B52,CHOOSE({1,2},PCR!$A$1:$A$3000&amp;PCR!$B$1:$B$3000,PCR!$C$1:$C$3000),2,0)</f>
        <v>#N/A</v>
      </c>
      <c r="R52" s="55" t="s">
        <v>6686</v>
      </c>
      <c r="T52" s="45">
        <v>608</v>
      </c>
    </row>
    <row r="53" spans="1:20" ht="15.5" x14ac:dyDescent="0.35">
      <c r="A53" s="59" t="s">
        <v>6481</v>
      </c>
      <c r="B53" s="45">
        <v>21</v>
      </c>
      <c r="C53" s="58" t="s">
        <v>6522</v>
      </c>
      <c r="H53" s="79" t="s">
        <v>4</v>
      </c>
      <c r="I53" s="137">
        <v>44930</v>
      </c>
      <c r="J53" s="80" t="s">
        <v>46</v>
      </c>
      <c r="K53" s="92" t="str">
        <f>VLOOKUP(T53,'Index Sets'!$A$2:$C$4000,2,FALSE)</f>
        <v>S7733</v>
      </c>
      <c r="L53" s="93" t="str">
        <f>VLOOKUP(T53,'Index Sets'!$A$2:$C$4000,3,FALSE)</f>
        <v>S7533</v>
      </c>
      <c r="M53" s="89" t="e">
        <f>VLOOKUP(A53&amp;B53,CHOOSE({1,2},PCR!$A$1:$A$3000&amp;PCR!$B$1:$B$3000,PCR!$C$1:$C$3000),2,0)</f>
        <v>#N/A</v>
      </c>
      <c r="R53" s="55" t="s">
        <v>6686</v>
      </c>
      <c r="T53" s="45">
        <v>609</v>
      </c>
    </row>
    <row r="54" spans="1:20" ht="15.5" x14ac:dyDescent="0.35">
      <c r="A54" s="59" t="s">
        <v>6481</v>
      </c>
      <c r="B54" s="45">
        <v>22</v>
      </c>
      <c r="C54" s="58" t="s">
        <v>6523</v>
      </c>
      <c r="H54" s="79" t="s">
        <v>4</v>
      </c>
      <c r="I54" s="137">
        <v>44930</v>
      </c>
      <c r="J54" s="80" t="s">
        <v>46</v>
      </c>
      <c r="K54" s="92" t="str">
        <f>VLOOKUP(T54,'Index Sets'!$A$2:$C$4000,2,FALSE)</f>
        <v>S7734</v>
      </c>
      <c r="L54" s="93" t="str">
        <f>VLOOKUP(T54,'Index Sets'!$A$2:$C$4000,3,FALSE)</f>
        <v>S7534</v>
      </c>
      <c r="M54" s="89" t="e">
        <f>VLOOKUP(A54&amp;B54,CHOOSE({1,2},PCR!$A$1:$A$3000&amp;PCR!$B$1:$B$3000,PCR!$C$1:$C$3000),2,0)</f>
        <v>#N/A</v>
      </c>
      <c r="R54" s="55" t="s">
        <v>6686</v>
      </c>
      <c r="T54" s="45">
        <v>610</v>
      </c>
    </row>
    <row r="55" spans="1:20" ht="15.5" x14ac:dyDescent="0.35">
      <c r="A55" s="59" t="s">
        <v>6481</v>
      </c>
      <c r="B55" s="45">
        <v>23</v>
      </c>
      <c r="C55" s="58" t="s">
        <v>6524</v>
      </c>
      <c r="H55" s="79" t="s">
        <v>4</v>
      </c>
      <c r="I55" s="137">
        <v>44930</v>
      </c>
      <c r="J55" s="80" t="s">
        <v>46</v>
      </c>
      <c r="K55" s="92" t="str">
        <f>VLOOKUP(T55,'Index Sets'!$A$2:$C$4000,2,FALSE)</f>
        <v>S7735</v>
      </c>
      <c r="L55" s="93" t="str">
        <f>VLOOKUP(T55,'Index Sets'!$A$2:$C$4000,3,FALSE)</f>
        <v>S7535</v>
      </c>
      <c r="M55" s="89" t="e">
        <f>VLOOKUP(A55&amp;B55,CHOOSE({1,2},PCR!$A$1:$A$3000&amp;PCR!$B$1:$B$3000,PCR!$C$1:$C$3000),2,0)</f>
        <v>#N/A</v>
      </c>
      <c r="R55" s="55" t="s">
        <v>6686</v>
      </c>
      <c r="T55" s="45">
        <v>611</v>
      </c>
    </row>
    <row r="56" spans="1:20" ht="15.5" x14ac:dyDescent="0.35">
      <c r="A56" s="59" t="s">
        <v>6481</v>
      </c>
      <c r="B56" s="45">
        <v>24</v>
      </c>
      <c r="C56" s="58" t="s">
        <v>6525</v>
      </c>
      <c r="H56" s="79" t="s">
        <v>4</v>
      </c>
      <c r="I56" s="137">
        <v>44930</v>
      </c>
      <c r="J56" s="80" t="s">
        <v>46</v>
      </c>
      <c r="K56" s="92" t="str">
        <f>VLOOKUP(T56,'Index Sets'!$A$2:$C$4000,2,FALSE)</f>
        <v>S7736</v>
      </c>
      <c r="L56" s="93" t="str">
        <f>VLOOKUP(T56,'Index Sets'!$A$2:$C$4000,3,FALSE)</f>
        <v>S7536</v>
      </c>
      <c r="M56" s="89" t="e">
        <f>VLOOKUP(A56&amp;B56,CHOOSE({1,2},PCR!$A$1:$A$3000&amp;PCR!$B$1:$B$3000,PCR!$C$1:$C$3000),2,0)</f>
        <v>#N/A</v>
      </c>
      <c r="R56" s="55" t="s">
        <v>6686</v>
      </c>
      <c r="T56" s="45">
        <v>612</v>
      </c>
    </row>
    <row r="57" spans="1:20" ht="15.5" x14ac:dyDescent="0.35">
      <c r="A57" s="59" t="s">
        <v>6482</v>
      </c>
      <c r="B57" s="45">
        <v>1</v>
      </c>
      <c r="C57" s="58" t="s">
        <v>6526</v>
      </c>
      <c r="H57" s="79" t="s">
        <v>4</v>
      </c>
      <c r="I57" s="137">
        <v>44930</v>
      </c>
      <c r="J57" s="80" t="s">
        <v>46</v>
      </c>
      <c r="K57" s="92" t="str">
        <f>VLOOKUP(T57,'Index Sets'!$A$2:$C$4000,2,FALSE)</f>
        <v>S7737</v>
      </c>
      <c r="L57" s="93" t="str">
        <f>VLOOKUP(T57,'Index Sets'!$A$2:$C$4000,3,FALSE)</f>
        <v>S7537</v>
      </c>
      <c r="M57" s="89" t="e">
        <f>VLOOKUP(A57&amp;B57,CHOOSE({1,2},PCR!$A$1:$A$3000&amp;PCR!$B$1:$B$3000,PCR!$C$1:$C$3000),2,0)</f>
        <v>#N/A</v>
      </c>
      <c r="R57" s="55" t="s">
        <v>6686</v>
      </c>
      <c r="T57" s="45">
        <v>613</v>
      </c>
    </row>
    <row r="58" spans="1:20" ht="15.5" x14ac:dyDescent="0.35">
      <c r="A58" s="59" t="s">
        <v>6482</v>
      </c>
      <c r="B58" s="45">
        <v>2</v>
      </c>
      <c r="C58" s="58" t="s">
        <v>6527</v>
      </c>
      <c r="H58" s="79" t="s">
        <v>4</v>
      </c>
      <c r="I58" s="137">
        <v>44930</v>
      </c>
      <c r="J58" s="80" t="s">
        <v>46</v>
      </c>
      <c r="K58" s="92" t="str">
        <f>VLOOKUP(T58,'Index Sets'!$A$2:$C$4000,2,FALSE)</f>
        <v>S7738</v>
      </c>
      <c r="L58" s="93" t="str">
        <f>VLOOKUP(T58,'Index Sets'!$A$2:$C$4000,3,FALSE)</f>
        <v>S7538</v>
      </c>
      <c r="M58" s="89" t="e">
        <f>VLOOKUP(A58&amp;B58,CHOOSE({1,2},PCR!$A$1:$A$3000&amp;PCR!$B$1:$B$3000,PCR!$C$1:$C$3000),2,0)</f>
        <v>#N/A</v>
      </c>
      <c r="R58" s="55" t="s">
        <v>6686</v>
      </c>
      <c r="T58" s="45">
        <v>614</v>
      </c>
    </row>
    <row r="59" spans="1:20" ht="15.5" x14ac:dyDescent="0.35">
      <c r="A59" s="59" t="s">
        <v>6482</v>
      </c>
      <c r="B59" s="45">
        <v>3</v>
      </c>
      <c r="C59" s="58" t="s">
        <v>6528</v>
      </c>
      <c r="H59" s="79" t="s">
        <v>4</v>
      </c>
      <c r="I59" s="137">
        <v>44930</v>
      </c>
      <c r="J59" s="80" t="s">
        <v>46</v>
      </c>
      <c r="K59" s="92" t="str">
        <f>VLOOKUP(T59,'Index Sets'!$A$2:$C$4000,2,FALSE)</f>
        <v>S7739</v>
      </c>
      <c r="L59" s="93" t="str">
        <f>VLOOKUP(T59,'Index Sets'!$A$2:$C$4000,3,FALSE)</f>
        <v>S7539</v>
      </c>
      <c r="M59" s="89" t="e">
        <f>VLOOKUP(A59&amp;B59,CHOOSE({1,2},PCR!$A$1:$A$3000&amp;PCR!$B$1:$B$3000,PCR!$C$1:$C$3000),2,0)</f>
        <v>#N/A</v>
      </c>
      <c r="R59" s="55" t="s">
        <v>6686</v>
      </c>
      <c r="T59" s="45">
        <v>615</v>
      </c>
    </row>
    <row r="60" spans="1:20" ht="15.5" x14ac:dyDescent="0.35">
      <c r="A60" s="59" t="s">
        <v>6482</v>
      </c>
      <c r="B60" s="45">
        <v>4</v>
      </c>
      <c r="C60" s="58" t="s">
        <v>6529</v>
      </c>
      <c r="H60" s="79" t="s">
        <v>4</v>
      </c>
      <c r="I60" s="137">
        <v>44930</v>
      </c>
      <c r="J60" s="80" t="s">
        <v>46</v>
      </c>
      <c r="K60" s="92" t="str">
        <f>VLOOKUP(T60,'Index Sets'!$A$2:$C$4000,2,FALSE)</f>
        <v>S7740</v>
      </c>
      <c r="L60" s="93" t="str">
        <f>VLOOKUP(T60,'Index Sets'!$A$2:$C$4000,3,FALSE)</f>
        <v>S7540</v>
      </c>
      <c r="M60" s="89" t="e">
        <f>VLOOKUP(A60&amp;B60,CHOOSE({1,2},PCR!$A$1:$A$3000&amp;PCR!$B$1:$B$3000,PCR!$C$1:$C$3000),2,0)</f>
        <v>#N/A</v>
      </c>
      <c r="R60" s="55" t="s">
        <v>6686</v>
      </c>
      <c r="T60" s="45">
        <v>616</v>
      </c>
    </row>
    <row r="61" spans="1:20" ht="15.5" x14ac:dyDescent="0.35">
      <c r="A61" s="59" t="s">
        <v>6482</v>
      </c>
      <c r="B61" s="45">
        <v>5</v>
      </c>
      <c r="C61" s="58" t="s">
        <v>6530</v>
      </c>
      <c r="H61" s="79" t="s">
        <v>4</v>
      </c>
      <c r="I61" s="137">
        <v>44930</v>
      </c>
      <c r="J61" s="80" t="s">
        <v>46</v>
      </c>
      <c r="K61" s="92" t="str">
        <f>VLOOKUP(T61,'Index Sets'!$A$2:$C$4000,2,FALSE)</f>
        <v>S7741</v>
      </c>
      <c r="L61" s="93" t="str">
        <f>VLOOKUP(T61,'Index Sets'!$A$2:$C$4000,3,FALSE)</f>
        <v>S7541</v>
      </c>
      <c r="M61" s="89" t="e">
        <f>VLOOKUP(A61&amp;B61,CHOOSE({1,2},PCR!$A$1:$A$3000&amp;PCR!$B$1:$B$3000,PCR!$C$1:$C$3000),2,0)</f>
        <v>#N/A</v>
      </c>
      <c r="R61" s="55" t="s">
        <v>6686</v>
      </c>
      <c r="T61" s="45">
        <v>617</v>
      </c>
    </row>
    <row r="62" spans="1:20" ht="15.5" x14ac:dyDescent="0.35">
      <c r="A62" s="59" t="s">
        <v>6482</v>
      </c>
      <c r="B62" s="45">
        <v>6</v>
      </c>
      <c r="C62" s="58" t="s">
        <v>6531</v>
      </c>
      <c r="H62" s="79" t="s">
        <v>4</v>
      </c>
      <c r="I62" s="137">
        <v>44930</v>
      </c>
      <c r="J62" s="80" t="s">
        <v>46</v>
      </c>
      <c r="K62" s="92" t="str">
        <f>VLOOKUP(T62,'Index Sets'!$A$2:$C$4000,2,FALSE)</f>
        <v>S7742</v>
      </c>
      <c r="L62" s="93" t="str">
        <f>VLOOKUP(T62,'Index Sets'!$A$2:$C$4000,3,FALSE)</f>
        <v>S7542</v>
      </c>
      <c r="M62" s="89" t="e">
        <f>VLOOKUP(A62&amp;B62,CHOOSE({1,2},PCR!$A$1:$A$3000&amp;PCR!$B$1:$B$3000,PCR!$C$1:$C$3000),2,0)</f>
        <v>#N/A</v>
      </c>
      <c r="R62" s="55" t="s">
        <v>6686</v>
      </c>
      <c r="T62" s="45">
        <v>618</v>
      </c>
    </row>
    <row r="63" spans="1:20" ht="15.5" x14ac:dyDescent="0.35">
      <c r="A63" s="59" t="s">
        <v>6482</v>
      </c>
      <c r="B63" s="45">
        <v>7</v>
      </c>
      <c r="C63" s="58" t="s">
        <v>6532</v>
      </c>
      <c r="H63" s="79" t="s">
        <v>4</v>
      </c>
      <c r="I63" s="137">
        <v>44930</v>
      </c>
      <c r="J63" s="80" t="s">
        <v>46</v>
      </c>
      <c r="K63" s="92" t="str">
        <f>VLOOKUP(T63,'Index Sets'!$A$2:$C$4000,2,FALSE)</f>
        <v>S7743</v>
      </c>
      <c r="L63" s="93" t="str">
        <f>VLOOKUP(T63,'Index Sets'!$A$2:$C$4000,3,FALSE)</f>
        <v>S7543</v>
      </c>
      <c r="M63" s="89" t="e">
        <f>VLOOKUP(A63&amp;B63,CHOOSE({1,2},PCR!$A$1:$A$3000&amp;PCR!$B$1:$B$3000,PCR!$C$1:$C$3000),2,0)</f>
        <v>#N/A</v>
      </c>
      <c r="R63" s="55" t="s">
        <v>6686</v>
      </c>
      <c r="T63" s="45">
        <v>619</v>
      </c>
    </row>
    <row r="64" spans="1:20" ht="15.5" x14ac:dyDescent="0.35">
      <c r="A64" s="59" t="s">
        <v>6482</v>
      </c>
      <c r="B64" s="45">
        <v>8</v>
      </c>
      <c r="C64" s="58" t="s">
        <v>6533</v>
      </c>
      <c r="H64" s="79" t="s">
        <v>4</v>
      </c>
      <c r="I64" s="137">
        <v>44930</v>
      </c>
      <c r="J64" s="80" t="s">
        <v>46</v>
      </c>
      <c r="K64" s="92" t="str">
        <f>VLOOKUP(T64,'Index Sets'!$A$2:$C$4000,2,FALSE)</f>
        <v>S7744</v>
      </c>
      <c r="L64" s="93" t="str">
        <f>VLOOKUP(T64,'Index Sets'!$A$2:$C$4000,3,FALSE)</f>
        <v>S7544</v>
      </c>
      <c r="M64" s="89" t="e">
        <f>VLOOKUP(A64&amp;B64,CHOOSE({1,2},PCR!$A$1:$A$3000&amp;PCR!$B$1:$B$3000,PCR!$C$1:$C$3000),2,0)</f>
        <v>#N/A</v>
      </c>
      <c r="R64" s="55" t="s">
        <v>6686</v>
      </c>
      <c r="T64" s="45">
        <v>620</v>
      </c>
    </row>
    <row r="65" spans="1:20" ht="15.5" x14ac:dyDescent="0.35">
      <c r="A65" s="59" t="s">
        <v>6482</v>
      </c>
      <c r="B65" s="45">
        <v>9</v>
      </c>
      <c r="C65" s="58" t="s">
        <v>6534</v>
      </c>
      <c r="H65" s="79" t="s">
        <v>4</v>
      </c>
      <c r="I65" s="137">
        <v>44930</v>
      </c>
      <c r="J65" s="80" t="s">
        <v>46</v>
      </c>
      <c r="K65" s="92" t="str">
        <f>VLOOKUP(T65,'Index Sets'!$A$2:$C$4000,2,FALSE)</f>
        <v>S7745</v>
      </c>
      <c r="L65" s="93" t="str">
        <f>VLOOKUP(T65,'Index Sets'!$A$2:$C$4000,3,FALSE)</f>
        <v>S7545</v>
      </c>
      <c r="M65" s="89" t="e">
        <f>VLOOKUP(A65&amp;B65,CHOOSE({1,2},PCR!$A$1:$A$3000&amp;PCR!$B$1:$B$3000,PCR!$C$1:$C$3000),2,0)</f>
        <v>#N/A</v>
      </c>
      <c r="R65" s="55" t="s">
        <v>6686</v>
      </c>
      <c r="T65" s="45">
        <v>621</v>
      </c>
    </row>
    <row r="66" spans="1:20" ht="15.5" x14ac:dyDescent="0.35">
      <c r="A66" s="59" t="s">
        <v>6482</v>
      </c>
      <c r="B66" s="45">
        <v>10</v>
      </c>
      <c r="C66" s="58" t="s">
        <v>6535</v>
      </c>
      <c r="H66" s="79" t="s">
        <v>4</v>
      </c>
      <c r="I66" s="137">
        <v>44930</v>
      </c>
      <c r="J66" s="80" t="s">
        <v>46</v>
      </c>
      <c r="K66" s="92" t="str">
        <f>VLOOKUP(T66,'Index Sets'!$A$2:$C$4000,2,FALSE)</f>
        <v>S7746</v>
      </c>
      <c r="L66" s="93" t="str">
        <f>VLOOKUP(T66,'Index Sets'!$A$2:$C$4000,3,FALSE)</f>
        <v>S7546</v>
      </c>
      <c r="M66" s="89" t="e">
        <f>VLOOKUP(A66&amp;B66,CHOOSE({1,2},PCR!$A$1:$A$3000&amp;PCR!$B$1:$B$3000,PCR!$C$1:$C$3000),2,0)</f>
        <v>#N/A</v>
      </c>
      <c r="R66" s="55" t="s">
        <v>6686</v>
      </c>
      <c r="T66" s="45">
        <v>622</v>
      </c>
    </row>
    <row r="67" spans="1:20" ht="15.5" x14ac:dyDescent="0.35">
      <c r="A67" s="59" t="s">
        <v>6482</v>
      </c>
      <c r="B67" s="45">
        <v>11</v>
      </c>
      <c r="C67" s="58" t="s">
        <v>6536</v>
      </c>
      <c r="H67" s="79" t="s">
        <v>4</v>
      </c>
      <c r="I67" s="137">
        <v>44930</v>
      </c>
      <c r="J67" s="80" t="s">
        <v>46</v>
      </c>
      <c r="K67" s="92" t="str">
        <f>VLOOKUP(T67,'Index Sets'!$A$2:$C$4000,2,FALSE)</f>
        <v>S7747</v>
      </c>
      <c r="L67" s="93" t="str">
        <f>VLOOKUP(T67,'Index Sets'!$A$2:$C$4000,3,FALSE)</f>
        <v>S7547</v>
      </c>
      <c r="M67" s="89" t="e">
        <f>VLOOKUP(A67&amp;B67,CHOOSE({1,2},PCR!$A$1:$A$3000&amp;PCR!$B$1:$B$3000,PCR!$C$1:$C$3000),2,0)</f>
        <v>#N/A</v>
      </c>
      <c r="R67" s="55" t="s">
        <v>6686</v>
      </c>
      <c r="T67" s="45">
        <v>623</v>
      </c>
    </row>
    <row r="68" spans="1:20" ht="15.5" x14ac:dyDescent="0.35">
      <c r="A68" s="59" t="s">
        <v>6482</v>
      </c>
      <c r="B68" s="45">
        <v>12</v>
      </c>
      <c r="C68" s="58" t="s">
        <v>6537</v>
      </c>
      <c r="H68" s="79" t="s">
        <v>4</v>
      </c>
      <c r="I68" s="137">
        <v>44930</v>
      </c>
      <c r="J68" s="80" t="s">
        <v>46</v>
      </c>
      <c r="K68" s="92" t="str">
        <f>VLOOKUP(T68,'Index Sets'!$A$2:$C$4000,2,FALSE)</f>
        <v>S7748</v>
      </c>
      <c r="L68" s="93" t="str">
        <f>VLOOKUP(T68,'Index Sets'!$A$2:$C$4000,3,FALSE)</f>
        <v>S7548</v>
      </c>
      <c r="M68" s="89" t="e">
        <f>VLOOKUP(A68&amp;B68,CHOOSE({1,2},PCR!$A$1:$A$3000&amp;PCR!$B$1:$B$3000,PCR!$C$1:$C$3000),2,0)</f>
        <v>#N/A</v>
      </c>
      <c r="R68" s="55" t="s">
        <v>6686</v>
      </c>
      <c r="T68" s="45">
        <v>624</v>
      </c>
    </row>
    <row r="69" spans="1:20" ht="15.5" x14ac:dyDescent="0.35">
      <c r="A69" s="59" t="s">
        <v>6483</v>
      </c>
      <c r="B69" s="45">
        <v>2</v>
      </c>
      <c r="C69" s="58" t="s">
        <v>6538</v>
      </c>
      <c r="H69" s="79" t="s">
        <v>4</v>
      </c>
      <c r="I69" s="137">
        <v>44930</v>
      </c>
      <c r="J69" s="80" t="s">
        <v>46</v>
      </c>
      <c r="K69" s="92" t="str">
        <f>VLOOKUP(T69,'Index Sets'!$A$2:$C$4000,2,FALSE)</f>
        <v>S7750</v>
      </c>
      <c r="L69" s="93" t="str">
        <f>VLOOKUP(T69,'Index Sets'!$A$2:$C$4000,3,FALSE)</f>
        <v>S7550</v>
      </c>
      <c r="M69" s="89" t="e">
        <f>VLOOKUP(A69&amp;B69,CHOOSE({1,2},PCR!$A$1:$A$3000&amp;PCR!$B$1:$B$3000,PCR!$C$1:$C$3000),2,0)</f>
        <v>#N/A</v>
      </c>
      <c r="R69" s="55" t="s">
        <v>6686</v>
      </c>
      <c r="T69" s="45">
        <v>626</v>
      </c>
    </row>
    <row r="70" spans="1:20" ht="15.5" x14ac:dyDescent="0.35">
      <c r="A70" s="59" t="s">
        <v>6483</v>
      </c>
      <c r="B70" s="45">
        <v>3</v>
      </c>
      <c r="C70" s="58" t="s">
        <v>6539</v>
      </c>
      <c r="H70" s="79" t="s">
        <v>4</v>
      </c>
      <c r="I70" s="137">
        <v>44930</v>
      </c>
      <c r="J70" s="80" t="s">
        <v>46</v>
      </c>
      <c r="K70" s="92" t="str">
        <f>VLOOKUP(T70,'Index Sets'!$A$2:$C$4000,2,FALSE)</f>
        <v>S7751</v>
      </c>
      <c r="L70" s="93" t="str">
        <f>VLOOKUP(T70,'Index Sets'!$A$2:$C$4000,3,FALSE)</f>
        <v>S7551</v>
      </c>
      <c r="M70" s="89" t="e">
        <f>VLOOKUP(A70&amp;B70,CHOOSE({1,2},PCR!$A$1:$A$3000&amp;PCR!$B$1:$B$3000,PCR!$C$1:$C$3000),2,0)</f>
        <v>#N/A</v>
      </c>
      <c r="R70" s="55" t="s">
        <v>6686</v>
      </c>
      <c r="T70" s="45">
        <v>627</v>
      </c>
    </row>
    <row r="71" spans="1:20" ht="15.5" x14ac:dyDescent="0.35">
      <c r="A71" s="59" t="s">
        <v>6483</v>
      </c>
      <c r="B71" s="45">
        <v>4</v>
      </c>
      <c r="C71" s="58" t="s">
        <v>6540</v>
      </c>
      <c r="H71" s="79" t="s">
        <v>4</v>
      </c>
      <c r="I71" s="137">
        <v>44930</v>
      </c>
      <c r="J71" s="80" t="s">
        <v>46</v>
      </c>
      <c r="K71" s="92" t="str">
        <f>VLOOKUP(T71,'Index Sets'!$A$2:$C$4000,2,FALSE)</f>
        <v>S7752</v>
      </c>
      <c r="L71" s="93" t="str">
        <f>VLOOKUP(T71,'Index Sets'!$A$2:$C$4000,3,FALSE)</f>
        <v>S7552</v>
      </c>
      <c r="M71" s="89" t="e">
        <f>VLOOKUP(A71&amp;B71,CHOOSE({1,2},PCR!$A$1:$A$3000&amp;PCR!$B$1:$B$3000,PCR!$C$1:$C$3000),2,0)</f>
        <v>#N/A</v>
      </c>
      <c r="R71" s="55" t="s">
        <v>6686</v>
      </c>
      <c r="T71" s="45">
        <v>628</v>
      </c>
    </row>
    <row r="72" spans="1:20" ht="15.5" x14ac:dyDescent="0.35">
      <c r="A72" s="59" t="s">
        <v>6483</v>
      </c>
      <c r="B72" s="45">
        <v>5</v>
      </c>
      <c r="C72" s="58" t="s">
        <v>6541</v>
      </c>
      <c r="H72" s="79" t="s">
        <v>4</v>
      </c>
      <c r="I72" s="137">
        <v>44930</v>
      </c>
      <c r="J72" s="80" t="s">
        <v>46</v>
      </c>
      <c r="K72" s="92" t="str">
        <f>VLOOKUP(T72,'Index Sets'!$A$2:$C$4000,2,FALSE)</f>
        <v>S7753</v>
      </c>
      <c r="L72" s="93" t="str">
        <f>VLOOKUP(T72,'Index Sets'!$A$2:$C$4000,3,FALSE)</f>
        <v>S7553</v>
      </c>
      <c r="M72" s="89" t="e">
        <f>VLOOKUP(A72&amp;B72,CHOOSE({1,2},PCR!$A$1:$A$3000&amp;PCR!$B$1:$B$3000,PCR!$C$1:$C$3000),2,0)</f>
        <v>#N/A</v>
      </c>
      <c r="R72" s="55" t="s">
        <v>6686</v>
      </c>
      <c r="T72" s="45">
        <v>629</v>
      </c>
    </row>
    <row r="73" spans="1:20" ht="15.5" x14ac:dyDescent="0.35">
      <c r="A73" s="59" t="s">
        <v>6483</v>
      </c>
      <c r="B73" s="45">
        <v>6</v>
      </c>
      <c r="C73" s="58" t="s">
        <v>6542</v>
      </c>
      <c r="H73" s="79" t="s">
        <v>4</v>
      </c>
      <c r="I73" s="137">
        <v>44930</v>
      </c>
      <c r="J73" s="80" t="s">
        <v>46</v>
      </c>
      <c r="K73" s="92" t="str">
        <f>VLOOKUP(T73,'Index Sets'!$A$2:$C$4000,2,FALSE)</f>
        <v>S7754</v>
      </c>
      <c r="L73" s="93" t="str">
        <f>VLOOKUP(T73,'Index Sets'!$A$2:$C$4000,3,FALSE)</f>
        <v>S7554</v>
      </c>
      <c r="M73" s="89" t="e">
        <f>VLOOKUP(A73&amp;B73,CHOOSE({1,2},PCR!$A$1:$A$3000&amp;PCR!$B$1:$B$3000,PCR!$C$1:$C$3000),2,0)</f>
        <v>#N/A</v>
      </c>
      <c r="R73" s="55" t="s">
        <v>6686</v>
      </c>
      <c r="T73" s="45">
        <v>630</v>
      </c>
    </row>
    <row r="74" spans="1:20" ht="15.5" x14ac:dyDescent="0.35">
      <c r="A74" s="59" t="s">
        <v>6483</v>
      </c>
      <c r="B74" s="45">
        <v>7</v>
      </c>
      <c r="C74" s="58" t="s">
        <v>6543</v>
      </c>
      <c r="H74" s="79" t="s">
        <v>4</v>
      </c>
      <c r="I74" s="137">
        <v>44930</v>
      </c>
      <c r="J74" s="80" t="s">
        <v>46</v>
      </c>
      <c r="K74" s="92" t="str">
        <f>VLOOKUP(T74,'Index Sets'!$A$2:$C$4000,2,FALSE)</f>
        <v>S7755</v>
      </c>
      <c r="L74" s="93" t="str">
        <f>VLOOKUP(T74,'Index Sets'!$A$2:$C$4000,3,FALSE)</f>
        <v>S7555</v>
      </c>
      <c r="M74" s="89" t="e">
        <f>VLOOKUP(A74&amp;B74,CHOOSE({1,2},PCR!$A$1:$A$3000&amp;PCR!$B$1:$B$3000,PCR!$C$1:$C$3000),2,0)</f>
        <v>#N/A</v>
      </c>
      <c r="R74" s="55" t="s">
        <v>6686</v>
      </c>
      <c r="T74" s="45">
        <v>631</v>
      </c>
    </row>
    <row r="75" spans="1:20" ht="15.5" x14ac:dyDescent="0.35">
      <c r="A75" s="59" t="s">
        <v>6483</v>
      </c>
      <c r="B75" s="45">
        <v>8</v>
      </c>
      <c r="C75" s="58" t="s">
        <v>6544</v>
      </c>
      <c r="H75" s="79" t="s">
        <v>4</v>
      </c>
      <c r="I75" s="137">
        <v>44930</v>
      </c>
      <c r="J75" s="80" t="s">
        <v>46</v>
      </c>
      <c r="K75" s="92" t="str">
        <f>VLOOKUP(T75,'Index Sets'!$A$2:$C$4000,2,FALSE)</f>
        <v>S7756</v>
      </c>
      <c r="L75" s="93" t="str">
        <f>VLOOKUP(T75,'Index Sets'!$A$2:$C$4000,3,FALSE)</f>
        <v>S7556</v>
      </c>
      <c r="M75" s="89" t="e">
        <f>VLOOKUP(A75&amp;B75,CHOOSE({1,2},PCR!$A$1:$A$3000&amp;PCR!$B$1:$B$3000,PCR!$C$1:$C$3000),2,0)</f>
        <v>#N/A</v>
      </c>
      <c r="R75" s="55" t="s">
        <v>6686</v>
      </c>
      <c r="T75" s="45">
        <v>632</v>
      </c>
    </row>
    <row r="76" spans="1:20" ht="15.5" x14ac:dyDescent="0.35">
      <c r="A76" s="59" t="s">
        <v>6483</v>
      </c>
      <c r="B76" s="45">
        <v>9</v>
      </c>
      <c r="C76" s="58" t="s">
        <v>6545</v>
      </c>
      <c r="H76" s="79" t="s">
        <v>4</v>
      </c>
      <c r="I76" s="137">
        <v>44930</v>
      </c>
      <c r="J76" s="80" t="s">
        <v>46</v>
      </c>
      <c r="K76" s="92" t="str">
        <f>VLOOKUP(T76,'Index Sets'!$A$2:$C$4000,2,FALSE)</f>
        <v>S7757</v>
      </c>
      <c r="L76" s="93" t="str">
        <f>VLOOKUP(T76,'Index Sets'!$A$2:$C$4000,3,FALSE)</f>
        <v>S7557</v>
      </c>
      <c r="M76" s="89" t="e">
        <f>VLOOKUP(A76&amp;B76,CHOOSE({1,2},PCR!$A$1:$A$3000&amp;PCR!$B$1:$B$3000,PCR!$C$1:$C$3000),2,0)</f>
        <v>#N/A</v>
      </c>
      <c r="R76" s="55" t="s">
        <v>6686</v>
      </c>
      <c r="T76" s="45">
        <v>633</v>
      </c>
    </row>
    <row r="77" spans="1:20" ht="15.5" x14ac:dyDescent="0.35">
      <c r="A77" s="59" t="s">
        <v>6483</v>
      </c>
      <c r="B77" s="45">
        <v>10</v>
      </c>
      <c r="C77" s="58" t="s">
        <v>6546</v>
      </c>
      <c r="H77" s="79" t="s">
        <v>4</v>
      </c>
      <c r="I77" s="137">
        <v>44930</v>
      </c>
      <c r="J77" s="80" t="s">
        <v>46</v>
      </c>
      <c r="K77" s="92" t="str">
        <f>VLOOKUP(T77,'Index Sets'!$A$2:$C$4000,2,FALSE)</f>
        <v>S7758</v>
      </c>
      <c r="L77" s="93" t="str">
        <f>VLOOKUP(T77,'Index Sets'!$A$2:$C$4000,3,FALSE)</f>
        <v>S7558</v>
      </c>
      <c r="M77" s="89" t="e">
        <f>VLOOKUP(A77&amp;B77,CHOOSE({1,2},PCR!$A$1:$A$3000&amp;PCR!$B$1:$B$3000,PCR!$C$1:$C$3000),2,0)</f>
        <v>#N/A</v>
      </c>
      <c r="R77" s="55" t="s">
        <v>6686</v>
      </c>
      <c r="T77" s="45">
        <v>634</v>
      </c>
    </row>
    <row r="78" spans="1:20" ht="15.5" x14ac:dyDescent="0.35">
      <c r="A78" s="59" t="s">
        <v>6483</v>
      </c>
      <c r="B78" s="45">
        <v>11</v>
      </c>
      <c r="C78" s="58" t="s">
        <v>6547</v>
      </c>
      <c r="H78" s="79" t="s">
        <v>4</v>
      </c>
      <c r="I78" s="137">
        <v>44930</v>
      </c>
      <c r="J78" s="80" t="s">
        <v>46</v>
      </c>
      <c r="K78" s="92" t="str">
        <f>VLOOKUP(T78,'Index Sets'!$A$2:$C$4000,2,FALSE)</f>
        <v>S7759</v>
      </c>
      <c r="L78" s="93" t="str">
        <f>VLOOKUP(T78,'Index Sets'!$A$2:$C$4000,3,FALSE)</f>
        <v>S7559</v>
      </c>
      <c r="M78" s="89" t="e">
        <f>VLOOKUP(A78&amp;B78,CHOOSE({1,2},PCR!$A$1:$A$3000&amp;PCR!$B$1:$B$3000,PCR!$C$1:$C$3000),2,0)</f>
        <v>#N/A</v>
      </c>
      <c r="R78" s="55" t="s">
        <v>6686</v>
      </c>
      <c r="T78" s="45">
        <v>635</v>
      </c>
    </row>
    <row r="79" spans="1:20" ht="15.5" x14ac:dyDescent="0.35">
      <c r="A79" s="59" t="s">
        <v>6483</v>
      </c>
      <c r="B79" s="45">
        <v>12</v>
      </c>
      <c r="C79" s="58" t="s">
        <v>6548</v>
      </c>
      <c r="H79" s="79" t="s">
        <v>4</v>
      </c>
      <c r="I79" s="137">
        <v>44930</v>
      </c>
      <c r="J79" s="80" t="s">
        <v>46</v>
      </c>
      <c r="K79" s="92" t="str">
        <f>VLOOKUP(T79,'Index Sets'!$A$2:$C$4000,2,FALSE)</f>
        <v>S7760</v>
      </c>
      <c r="L79" s="93" t="str">
        <f>VLOOKUP(T79,'Index Sets'!$A$2:$C$4000,3,FALSE)</f>
        <v>S7560</v>
      </c>
      <c r="M79" s="89" t="e">
        <f>VLOOKUP(A79&amp;B79,CHOOSE({1,2},PCR!$A$1:$A$3000&amp;PCR!$B$1:$B$3000,PCR!$C$1:$C$3000),2,0)</f>
        <v>#N/A</v>
      </c>
      <c r="R79" s="55" t="s">
        <v>6686</v>
      </c>
      <c r="T79" s="45">
        <v>636</v>
      </c>
    </row>
    <row r="80" spans="1:20" ht="15.5" x14ac:dyDescent="0.35">
      <c r="A80" s="59" t="s">
        <v>6483</v>
      </c>
      <c r="B80" s="45">
        <v>13</v>
      </c>
      <c r="C80" s="58" t="s">
        <v>6549</v>
      </c>
      <c r="H80" s="79" t="s">
        <v>4</v>
      </c>
      <c r="I80" s="137">
        <v>44930</v>
      </c>
      <c r="J80" s="80" t="s">
        <v>46</v>
      </c>
      <c r="K80" s="92" t="str">
        <f>VLOOKUP(T80,'Index Sets'!$A$2:$C$4000,2,FALSE)</f>
        <v>S7761</v>
      </c>
      <c r="L80" s="93" t="str">
        <f>VLOOKUP(T80,'Index Sets'!$A$2:$C$4000,3,FALSE)</f>
        <v>S7561</v>
      </c>
      <c r="M80" s="89" t="e">
        <f>VLOOKUP(A80&amp;B80,CHOOSE({1,2},PCR!$A$1:$A$3000&amp;PCR!$B$1:$B$3000,PCR!$C$1:$C$3000),2,0)</f>
        <v>#N/A</v>
      </c>
      <c r="R80" s="55" t="s">
        <v>6686</v>
      </c>
      <c r="T80" s="45">
        <v>637</v>
      </c>
    </row>
    <row r="81" spans="1:20" ht="15.5" x14ac:dyDescent="0.35">
      <c r="A81" s="59" t="s">
        <v>6483</v>
      </c>
      <c r="B81" s="45">
        <v>14</v>
      </c>
      <c r="C81" s="58" t="s">
        <v>6550</v>
      </c>
      <c r="H81" s="79" t="s">
        <v>4</v>
      </c>
      <c r="I81" s="137">
        <v>44930</v>
      </c>
      <c r="J81" s="80" t="s">
        <v>46</v>
      </c>
      <c r="K81" s="92" t="str">
        <f>VLOOKUP(T81,'Index Sets'!$A$2:$C$4000,2,FALSE)</f>
        <v>S7762</v>
      </c>
      <c r="L81" s="93" t="str">
        <f>VLOOKUP(T81,'Index Sets'!$A$2:$C$4000,3,FALSE)</f>
        <v>S7562</v>
      </c>
      <c r="M81" s="89" t="e">
        <f>VLOOKUP(A81&amp;B81,CHOOSE({1,2},PCR!$A$1:$A$3000&amp;PCR!$B$1:$B$3000,PCR!$C$1:$C$3000),2,0)</f>
        <v>#N/A</v>
      </c>
      <c r="R81" s="55" t="s">
        <v>6686</v>
      </c>
      <c r="T81" s="45">
        <v>638</v>
      </c>
    </row>
    <row r="82" spans="1:20" ht="15.5" x14ac:dyDescent="0.35">
      <c r="A82" s="59" t="s">
        <v>6483</v>
      </c>
      <c r="B82" s="45">
        <v>15</v>
      </c>
      <c r="C82" s="58" t="s">
        <v>6551</v>
      </c>
      <c r="H82" s="79" t="s">
        <v>4</v>
      </c>
      <c r="I82" s="137">
        <v>44930</v>
      </c>
      <c r="J82" s="80" t="s">
        <v>46</v>
      </c>
      <c r="K82" s="92" t="str">
        <f>VLOOKUP(T82,'Index Sets'!$A$2:$C$4000,2,FALSE)</f>
        <v>S7763</v>
      </c>
      <c r="L82" s="93" t="str">
        <f>VLOOKUP(T82,'Index Sets'!$A$2:$C$4000,3,FALSE)</f>
        <v>S7563</v>
      </c>
      <c r="M82" s="89" t="e">
        <f>VLOOKUP(A82&amp;B82,CHOOSE({1,2},PCR!$A$1:$A$3000&amp;PCR!$B$1:$B$3000,PCR!$C$1:$C$3000),2,0)</f>
        <v>#N/A</v>
      </c>
      <c r="R82" s="55" t="s">
        <v>6686</v>
      </c>
      <c r="T82" s="45">
        <v>639</v>
      </c>
    </row>
    <row r="83" spans="1:20" ht="15.5" x14ac:dyDescent="0.35">
      <c r="A83" s="59" t="s">
        <v>6483</v>
      </c>
      <c r="B83" s="45">
        <v>16</v>
      </c>
      <c r="C83" s="58" t="s">
        <v>6552</v>
      </c>
      <c r="H83" s="79" t="s">
        <v>4</v>
      </c>
      <c r="I83" s="137">
        <v>44930</v>
      </c>
      <c r="J83" s="80" t="s">
        <v>46</v>
      </c>
      <c r="K83" s="92" t="str">
        <f>VLOOKUP(T83,'Index Sets'!$A$2:$C$4000,2,FALSE)</f>
        <v>S7764</v>
      </c>
      <c r="L83" s="93" t="str">
        <f>VLOOKUP(T83,'Index Sets'!$A$2:$C$4000,3,FALSE)</f>
        <v>S7564</v>
      </c>
      <c r="M83" s="89" t="e">
        <f>VLOOKUP(A83&amp;B83,CHOOSE({1,2},PCR!$A$1:$A$3000&amp;PCR!$B$1:$B$3000,PCR!$C$1:$C$3000),2,0)</f>
        <v>#N/A</v>
      </c>
      <c r="R83" s="55" t="s">
        <v>6686</v>
      </c>
      <c r="T83" s="45">
        <v>640</v>
      </c>
    </row>
    <row r="84" spans="1:20" ht="15.5" x14ac:dyDescent="0.35">
      <c r="A84" s="59" t="s">
        <v>6483</v>
      </c>
      <c r="B84" s="45">
        <v>17</v>
      </c>
      <c r="C84" s="58" t="s">
        <v>6553</v>
      </c>
      <c r="H84" s="79" t="s">
        <v>4</v>
      </c>
      <c r="I84" s="137">
        <v>44930</v>
      </c>
      <c r="J84" s="80" t="s">
        <v>46</v>
      </c>
      <c r="K84" s="92" t="str">
        <f>VLOOKUP(T84,'Index Sets'!$A$2:$C$4000,2,FALSE)</f>
        <v>S7765</v>
      </c>
      <c r="L84" s="93" t="str">
        <f>VLOOKUP(T84,'Index Sets'!$A$2:$C$4000,3,FALSE)</f>
        <v>S7565</v>
      </c>
      <c r="M84" s="89" t="e">
        <f>VLOOKUP(A84&amp;B84,CHOOSE({1,2},PCR!$A$1:$A$3000&amp;PCR!$B$1:$B$3000,PCR!$C$1:$C$3000),2,0)</f>
        <v>#N/A</v>
      </c>
      <c r="R84" s="55" t="s">
        <v>6686</v>
      </c>
      <c r="T84" s="45">
        <v>641</v>
      </c>
    </row>
    <row r="85" spans="1:20" ht="15.5" x14ac:dyDescent="0.35">
      <c r="A85" s="59" t="s">
        <v>6483</v>
      </c>
      <c r="B85" s="45">
        <v>18</v>
      </c>
      <c r="C85" s="58" t="s">
        <v>6554</v>
      </c>
      <c r="H85" s="79" t="s">
        <v>4</v>
      </c>
      <c r="I85" s="137">
        <v>44930</v>
      </c>
      <c r="J85" s="80" t="s">
        <v>46</v>
      </c>
      <c r="K85" s="92" t="str">
        <f>VLOOKUP(T85,'Index Sets'!$A$2:$C$4000,2,FALSE)</f>
        <v>S7766</v>
      </c>
      <c r="L85" s="93" t="str">
        <f>VLOOKUP(T85,'Index Sets'!$A$2:$C$4000,3,FALSE)</f>
        <v>S7566</v>
      </c>
      <c r="M85" s="89" t="e">
        <f>VLOOKUP(A85&amp;B85,CHOOSE({1,2},PCR!$A$1:$A$3000&amp;PCR!$B$1:$B$3000,PCR!$C$1:$C$3000),2,0)</f>
        <v>#N/A</v>
      </c>
      <c r="R85" s="55" t="s">
        <v>6686</v>
      </c>
      <c r="T85" s="45">
        <v>642</v>
      </c>
    </row>
    <row r="86" spans="1:20" ht="15.5" x14ac:dyDescent="0.35">
      <c r="A86" s="59" t="s">
        <v>6483</v>
      </c>
      <c r="B86" s="45">
        <v>19</v>
      </c>
      <c r="C86" s="58" t="s">
        <v>6555</v>
      </c>
      <c r="H86" s="79" t="s">
        <v>4</v>
      </c>
      <c r="I86" s="137">
        <v>44930</v>
      </c>
      <c r="J86" s="80" t="s">
        <v>46</v>
      </c>
      <c r="K86" s="92" t="str">
        <f>VLOOKUP(T86,'Index Sets'!$A$2:$C$4000,2,FALSE)</f>
        <v>S7767</v>
      </c>
      <c r="L86" s="93" t="str">
        <f>VLOOKUP(T86,'Index Sets'!$A$2:$C$4000,3,FALSE)</f>
        <v>S7567</v>
      </c>
      <c r="M86" s="89" t="e">
        <f>VLOOKUP(A86&amp;B86,CHOOSE({1,2},PCR!$A$1:$A$3000&amp;PCR!$B$1:$B$3000,PCR!$C$1:$C$3000),2,0)</f>
        <v>#N/A</v>
      </c>
      <c r="R86" s="55" t="s">
        <v>6686</v>
      </c>
      <c r="T86" s="45">
        <v>643</v>
      </c>
    </row>
    <row r="87" spans="1:20" ht="15.5" x14ac:dyDescent="0.35">
      <c r="A87" s="59" t="s">
        <v>6483</v>
      </c>
      <c r="B87" s="45">
        <v>20</v>
      </c>
      <c r="C87" s="58" t="s">
        <v>6556</v>
      </c>
      <c r="H87" s="79" t="s">
        <v>4</v>
      </c>
      <c r="I87" s="137">
        <v>44930</v>
      </c>
      <c r="J87" s="80" t="s">
        <v>46</v>
      </c>
      <c r="K87" s="92" t="str">
        <f>VLOOKUP(T87,'Index Sets'!$A$2:$C$4000,2,FALSE)</f>
        <v>S7768</v>
      </c>
      <c r="L87" s="93" t="str">
        <f>VLOOKUP(T87,'Index Sets'!$A$2:$C$4000,3,FALSE)</f>
        <v>S7568</v>
      </c>
      <c r="M87" s="89" t="e">
        <f>VLOOKUP(A87&amp;B87,CHOOSE({1,2},PCR!$A$1:$A$3000&amp;PCR!$B$1:$B$3000,PCR!$C$1:$C$3000),2,0)</f>
        <v>#N/A</v>
      </c>
      <c r="R87" s="55" t="s">
        <v>6686</v>
      </c>
      <c r="T87" s="45">
        <v>644</v>
      </c>
    </row>
    <row r="88" spans="1:20" ht="15.5" x14ac:dyDescent="0.35">
      <c r="A88" s="59" t="s">
        <v>6483</v>
      </c>
      <c r="B88" s="45">
        <v>21</v>
      </c>
      <c r="C88" s="58" t="s">
        <v>6557</v>
      </c>
      <c r="H88" s="79" t="s">
        <v>4</v>
      </c>
      <c r="I88" s="137">
        <v>44930</v>
      </c>
      <c r="J88" s="80" t="s">
        <v>46</v>
      </c>
      <c r="K88" s="92" t="str">
        <f>VLOOKUP(T88,'Index Sets'!$A$2:$C$4000,2,FALSE)</f>
        <v>S7769</v>
      </c>
      <c r="L88" s="93" t="str">
        <f>VLOOKUP(T88,'Index Sets'!$A$2:$C$4000,3,FALSE)</f>
        <v>S7569</v>
      </c>
      <c r="M88" s="89" t="e">
        <f>VLOOKUP(A88&amp;B88,CHOOSE({1,2},PCR!$A$1:$A$3000&amp;PCR!$B$1:$B$3000,PCR!$C$1:$C$3000),2,0)</f>
        <v>#N/A</v>
      </c>
      <c r="R88" s="55" t="s">
        <v>6686</v>
      </c>
      <c r="T88" s="45">
        <v>645</v>
      </c>
    </row>
    <row r="89" spans="1:20" ht="15.5" x14ac:dyDescent="0.35">
      <c r="A89" s="59" t="s">
        <v>6483</v>
      </c>
      <c r="B89" s="45">
        <v>22</v>
      </c>
      <c r="C89" s="58" t="s">
        <v>6558</v>
      </c>
      <c r="H89" s="79" t="s">
        <v>4</v>
      </c>
      <c r="I89" s="137">
        <v>44930</v>
      </c>
      <c r="J89" s="80" t="s">
        <v>46</v>
      </c>
      <c r="K89" s="92" t="str">
        <f>VLOOKUP(T89,'Index Sets'!$A$2:$C$4000,2,FALSE)</f>
        <v>S7770</v>
      </c>
      <c r="L89" s="93" t="str">
        <f>VLOOKUP(T89,'Index Sets'!$A$2:$C$4000,3,FALSE)</f>
        <v>S7570</v>
      </c>
      <c r="M89" s="89" t="e">
        <f>VLOOKUP(A89&amp;B89,CHOOSE({1,2},PCR!$A$1:$A$3000&amp;PCR!$B$1:$B$3000,PCR!$C$1:$C$3000),2,0)</f>
        <v>#N/A</v>
      </c>
      <c r="R89" s="55" t="s">
        <v>6686</v>
      </c>
      <c r="T89" s="45">
        <v>646</v>
      </c>
    </row>
    <row r="90" spans="1:20" ht="15.5" x14ac:dyDescent="0.35">
      <c r="A90" s="59" t="s">
        <v>6483</v>
      </c>
      <c r="B90" s="45">
        <v>23</v>
      </c>
      <c r="C90" s="58" t="s">
        <v>6559</v>
      </c>
      <c r="H90" s="79" t="s">
        <v>4</v>
      </c>
      <c r="I90" s="137">
        <v>44930</v>
      </c>
      <c r="J90" s="80" t="s">
        <v>46</v>
      </c>
      <c r="K90" s="92" t="str">
        <f>VLOOKUP(T90,'Index Sets'!$A$2:$C$4000,2,FALSE)</f>
        <v>S7771</v>
      </c>
      <c r="L90" s="93" t="str">
        <f>VLOOKUP(T90,'Index Sets'!$A$2:$C$4000,3,FALSE)</f>
        <v>S7571</v>
      </c>
      <c r="M90" s="89" t="e">
        <f>VLOOKUP(A90&amp;B90,CHOOSE({1,2},PCR!$A$1:$A$3000&amp;PCR!$B$1:$B$3000,PCR!$C$1:$C$3000),2,0)</f>
        <v>#N/A</v>
      </c>
      <c r="R90" s="55" t="s">
        <v>6686</v>
      </c>
      <c r="T90" s="45">
        <v>647</v>
      </c>
    </row>
    <row r="91" spans="1:20" ht="15.5" x14ac:dyDescent="0.35">
      <c r="A91" s="59" t="s">
        <v>6483</v>
      </c>
      <c r="B91" s="45">
        <v>24</v>
      </c>
      <c r="C91" s="58" t="s">
        <v>6560</v>
      </c>
      <c r="H91" s="79" t="s">
        <v>4</v>
      </c>
      <c r="I91" s="137">
        <v>44930</v>
      </c>
      <c r="J91" s="80" t="s">
        <v>46</v>
      </c>
      <c r="K91" s="92" t="str">
        <f>VLOOKUP(T91,'Index Sets'!$A$2:$C$4000,2,FALSE)</f>
        <v>S7772</v>
      </c>
      <c r="L91" s="93" t="str">
        <f>VLOOKUP(T91,'Index Sets'!$A$2:$C$4000,3,FALSE)</f>
        <v>S7572</v>
      </c>
      <c r="M91" s="89" t="e">
        <f>VLOOKUP(A91&amp;B91,CHOOSE({1,2},PCR!$A$1:$A$3000&amp;PCR!$B$1:$B$3000,PCR!$C$1:$C$3000),2,0)</f>
        <v>#N/A</v>
      </c>
      <c r="R91" s="55" t="s">
        <v>6686</v>
      </c>
      <c r="T91" s="45">
        <v>648</v>
      </c>
    </row>
    <row r="92" spans="1:20" ht="15.5" x14ac:dyDescent="0.35">
      <c r="A92" s="59" t="s">
        <v>6484</v>
      </c>
      <c r="B92" s="45">
        <v>1</v>
      </c>
      <c r="C92" s="58" t="s">
        <v>6561</v>
      </c>
      <c r="H92" s="79" t="s">
        <v>4</v>
      </c>
      <c r="I92" s="137">
        <v>44930</v>
      </c>
      <c r="J92" s="80" t="s">
        <v>46</v>
      </c>
      <c r="K92" s="92" t="str">
        <f>VLOOKUP(T92,'Index Sets'!$A$2:$C$4000,2,FALSE)</f>
        <v>S7773</v>
      </c>
      <c r="L92" s="93" t="str">
        <f>VLOOKUP(T92,'Index Sets'!$A$2:$C$4000,3,FALSE)</f>
        <v>S7573</v>
      </c>
      <c r="M92" s="89" t="e">
        <f>VLOOKUP(A92&amp;B92,CHOOSE({1,2},PCR!$A$1:$A$3000&amp;PCR!$B$1:$B$3000,PCR!$C$1:$C$3000),2,0)</f>
        <v>#N/A</v>
      </c>
      <c r="R92" s="55" t="s">
        <v>6686</v>
      </c>
      <c r="T92" s="45">
        <v>649</v>
      </c>
    </row>
    <row r="93" spans="1:20" ht="15.5" x14ac:dyDescent="0.35">
      <c r="A93" s="59" t="s">
        <v>6484</v>
      </c>
      <c r="B93" s="45">
        <v>2</v>
      </c>
      <c r="C93" s="58" t="s">
        <v>6562</v>
      </c>
      <c r="H93" s="79" t="s">
        <v>4</v>
      </c>
      <c r="I93" s="137">
        <v>44930</v>
      </c>
      <c r="J93" s="80" t="s">
        <v>46</v>
      </c>
      <c r="K93" s="92" t="str">
        <f>VLOOKUP(T93,'Index Sets'!$A$2:$C$4000,2,FALSE)</f>
        <v>S7774</v>
      </c>
      <c r="L93" s="93" t="str">
        <f>VLOOKUP(T93,'Index Sets'!$A$2:$C$4000,3,FALSE)</f>
        <v>S7574</v>
      </c>
      <c r="M93" s="89" t="e">
        <f>VLOOKUP(A93&amp;B93,CHOOSE({1,2},PCR!$A$1:$A$3000&amp;PCR!$B$1:$B$3000,PCR!$C$1:$C$3000),2,0)</f>
        <v>#N/A</v>
      </c>
      <c r="R93" s="55" t="s">
        <v>6686</v>
      </c>
      <c r="T93" s="45">
        <v>650</v>
      </c>
    </row>
    <row r="94" spans="1:20" ht="15.5" x14ac:dyDescent="0.35">
      <c r="A94" s="59" t="s">
        <v>6484</v>
      </c>
      <c r="B94" s="45">
        <v>3</v>
      </c>
      <c r="C94" s="58" t="s">
        <v>6563</v>
      </c>
      <c r="H94" s="79" t="s">
        <v>4</v>
      </c>
      <c r="I94" s="137">
        <v>44930</v>
      </c>
      <c r="J94" s="80" t="s">
        <v>46</v>
      </c>
      <c r="K94" s="92" t="str">
        <f>VLOOKUP(T94,'Index Sets'!$A$2:$C$4000,2,FALSE)</f>
        <v>S7775</v>
      </c>
      <c r="L94" s="93" t="str">
        <f>VLOOKUP(T94,'Index Sets'!$A$2:$C$4000,3,FALSE)</f>
        <v>S7575</v>
      </c>
      <c r="M94" s="89" t="e">
        <f>VLOOKUP(A94&amp;B94,CHOOSE({1,2},PCR!$A$1:$A$3000&amp;PCR!$B$1:$B$3000,PCR!$C$1:$C$3000),2,0)</f>
        <v>#N/A</v>
      </c>
      <c r="R94" s="55" t="s">
        <v>6686</v>
      </c>
      <c r="T94" s="45">
        <v>651</v>
      </c>
    </row>
    <row r="95" spans="1:20" ht="15.5" x14ac:dyDescent="0.35">
      <c r="A95" s="59" t="s">
        <v>6484</v>
      </c>
      <c r="B95" s="45">
        <v>4</v>
      </c>
      <c r="C95" s="58" t="s">
        <v>6564</v>
      </c>
      <c r="H95" s="79" t="s">
        <v>4</v>
      </c>
      <c r="I95" s="137">
        <v>44930</v>
      </c>
      <c r="J95" s="80" t="s">
        <v>46</v>
      </c>
      <c r="K95" s="92" t="str">
        <f>VLOOKUP(T95,'Index Sets'!$A$2:$C$4000,2,FALSE)</f>
        <v>S7776</v>
      </c>
      <c r="L95" s="93" t="str">
        <f>VLOOKUP(T95,'Index Sets'!$A$2:$C$4000,3,FALSE)</f>
        <v>S7576</v>
      </c>
      <c r="M95" s="89" t="e">
        <f>VLOOKUP(A95&amp;B95,CHOOSE({1,2},PCR!$A$1:$A$3000&amp;PCR!$B$1:$B$3000,PCR!$C$1:$C$3000),2,0)</f>
        <v>#N/A</v>
      </c>
      <c r="R95" s="55" t="s">
        <v>6686</v>
      </c>
      <c r="T95" s="45">
        <v>652</v>
      </c>
    </row>
    <row r="96" spans="1:20" ht="15.5" x14ac:dyDescent="0.35">
      <c r="A96" s="59" t="s">
        <v>6484</v>
      </c>
      <c r="B96" s="45">
        <v>5</v>
      </c>
      <c r="C96" s="58" t="s">
        <v>6565</v>
      </c>
      <c r="H96" s="79" t="s">
        <v>4</v>
      </c>
      <c r="I96" s="137">
        <v>44930</v>
      </c>
      <c r="J96" s="80" t="s">
        <v>46</v>
      </c>
      <c r="K96" s="92" t="str">
        <f>VLOOKUP(T96,'Index Sets'!$A$2:$C$4000,2,FALSE)</f>
        <v>S7777</v>
      </c>
      <c r="L96" s="93" t="str">
        <f>VLOOKUP(T96,'Index Sets'!$A$2:$C$4000,3,FALSE)</f>
        <v>S7577</v>
      </c>
      <c r="M96" s="89" t="e">
        <f>VLOOKUP(A96&amp;B96,CHOOSE({1,2},PCR!$A$1:$A$3000&amp;PCR!$B$1:$B$3000,PCR!$C$1:$C$3000),2,0)</f>
        <v>#N/A</v>
      </c>
      <c r="R96" s="55" t="s">
        <v>6686</v>
      </c>
      <c r="T96" s="45">
        <v>653</v>
      </c>
    </row>
    <row r="97" spans="1:20" ht="15.5" x14ac:dyDescent="0.35">
      <c r="A97" s="59" t="s">
        <v>6484</v>
      </c>
      <c r="B97" s="45">
        <v>6</v>
      </c>
      <c r="C97" s="58" t="s">
        <v>6566</v>
      </c>
      <c r="H97" s="79" t="s">
        <v>4</v>
      </c>
      <c r="I97" s="137">
        <v>44930</v>
      </c>
      <c r="J97" s="80" t="s">
        <v>46</v>
      </c>
      <c r="K97" s="92" t="str">
        <f>VLOOKUP(T97,'Index Sets'!$A$2:$C$4000,2,FALSE)</f>
        <v>S7778</v>
      </c>
      <c r="L97" s="93" t="str">
        <f>VLOOKUP(T97,'Index Sets'!$A$2:$C$4000,3,FALSE)</f>
        <v>S7578</v>
      </c>
      <c r="M97" s="89" t="e">
        <f>VLOOKUP(A97&amp;B97,CHOOSE({1,2},PCR!$A$1:$A$3000&amp;PCR!$B$1:$B$3000,PCR!$C$1:$C$3000),2,0)</f>
        <v>#N/A</v>
      </c>
      <c r="R97" s="55" t="s">
        <v>6686</v>
      </c>
      <c r="T97" s="45">
        <v>654</v>
      </c>
    </row>
    <row r="98" spans="1:20" ht="15.5" x14ac:dyDescent="0.35">
      <c r="A98" s="59" t="s">
        <v>6484</v>
      </c>
      <c r="B98" s="45">
        <v>7</v>
      </c>
      <c r="C98" s="58" t="s">
        <v>6567</v>
      </c>
      <c r="H98" s="79" t="s">
        <v>4</v>
      </c>
      <c r="I98" s="137">
        <v>44930</v>
      </c>
      <c r="J98" s="80" t="s">
        <v>46</v>
      </c>
      <c r="K98" s="92" t="str">
        <f>VLOOKUP(T98,'Index Sets'!$A$2:$C$4000,2,FALSE)</f>
        <v>S7779</v>
      </c>
      <c r="L98" s="93" t="str">
        <f>VLOOKUP(T98,'Index Sets'!$A$2:$C$4000,3,FALSE)</f>
        <v>S7579</v>
      </c>
      <c r="M98" s="89" t="e">
        <f>VLOOKUP(A98&amp;B98,CHOOSE({1,2},PCR!$A$1:$A$3000&amp;PCR!$B$1:$B$3000,PCR!$C$1:$C$3000),2,0)</f>
        <v>#N/A</v>
      </c>
      <c r="R98" s="55" t="s">
        <v>6686</v>
      </c>
      <c r="T98" s="45">
        <v>655</v>
      </c>
    </row>
    <row r="99" spans="1:20" ht="15.5" x14ac:dyDescent="0.35">
      <c r="A99" s="59" t="s">
        <v>6484</v>
      </c>
      <c r="B99" s="45">
        <v>8</v>
      </c>
      <c r="C99" s="58" t="s">
        <v>6568</v>
      </c>
      <c r="H99" s="79" t="s">
        <v>4</v>
      </c>
      <c r="I99" s="137">
        <v>44930</v>
      </c>
      <c r="J99" s="80" t="s">
        <v>46</v>
      </c>
      <c r="K99" s="92" t="str">
        <f>VLOOKUP(T99,'Index Sets'!$A$2:$C$4000,2,FALSE)</f>
        <v>S7780</v>
      </c>
      <c r="L99" s="93" t="str">
        <f>VLOOKUP(T99,'Index Sets'!$A$2:$C$4000,3,FALSE)</f>
        <v>S7580</v>
      </c>
      <c r="M99" s="89" t="e">
        <f>VLOOKUP(A99&amp;B99,CHOOSE({1,2},PCR!$A$1:$A$3000&amp;PCR!$B$1:$B$3000,PCR!$C$1:$C$3000),2,0)</f>
        <v>#N/A</v>
      </c>
      <c r="R99" s="55" t="s">
        <v>6686</v>
      </c>
      <c r="T99" s="45">
        <v>656</v>
      </c>
    </row>
    <row r="100" spans="1:20" ht="15.5" x14ac:dyDescent="0.35">
      <c r="A100" s="59" t="s">
        <v>6484</v>
      </c>
      <c r="B100" s="45">
        <v>9</v>
      </c>
      <c r="C100" s="58" t="s">
        <v>6569</v>
      </c>
      <c r="H100" s="79" t="s">
        <v>4</v>
      </c>
      <c r="I100" s="137">
        <v>44930</v>
      </c>
      <c r="J100" s="80" t="s">
        <v>46</v>
      </c>
      <c r="K100" s="92" t="str">
        <f>VLOOKUP(T100,'Index Sets'!$A$2:$C$4000,2,FALSE)</f>
        <v>S7781</v>
      </c>
      <c r="L100" s="93" t="str">
        <f>VLOOKUP(T100,'Index Sets'!$A$2:$C$4000,3,FALSE)</f>
        <v>S7581</v>
      </c>
      <c r="M100" s="89" t="e">
        <f>VLOOKUP(A100&amp;B100,CHOOSE({1,2},PCR!$A$1:$A$3000&amp;PCR!$B$1:$B$3000,PCR!$C$1:$C$3000),2,0)</f>
        <v>#N/A</v>
      </c>
      <c r="R100" s="55" t="s">
        <v>6686</v>
      </c>
      <c r="T100" s="45">
        <v>657</v>
      </c>
    </row>
    <row r="101" spans="1:20" ht="15.5" x14ac:dyDescent="0.35">
      <c r="A101" s="59" t="s">
        <v>6484</v>
      </c>
      <c r="B101" s="45">
        <v>10</v>
      </c>
      <c r="C101" s="58" t="s">
        <v>6570</v>
      </c>
      <c r="H101" s="79" t="s">
        <v>4</v>
      </c>
      <c r="I101" s="137">
        <v>44930</v>
      </c>
      <c r="J101" s="80" t="s">
        <v>46</v>
      </c>
      <c r="K101" s="92" t="str">
        <f>VLOOKUP(T101,'Index Sets'!$A$2:$C$4000,2,FALSE)</f>
        <v>S7782</v>
      </c>
      <c r="L101" s="93" t="str">
        <f>VLOOKUP(T101,'Index Sets'!$A$2:$C$4000,3,FALSE)</f>
        <v>S7582</v>
      </c>
      <c r="M101" s="89" t="e">
        <f>VLOOKUP(A101&amp;B101,CHOOSE({1,2},PCR!$A$1:$A$3000&amp;PCR!$B$1:$B$3000,PCR!$C$1:$C$3000),2,0)</f>
        <v>#N/A</v>
      </c>
      <c r="R101" s="55" t="s">
        <v>6686</v>
      </c>
      <c r="T101" s="45">
        <v>658</v>
      </c>
    </row>
    <row r="102" spans="1:20" ht="15.5" x14ac:dyDescent="0.35">
      <c r="A102" s="59" t="s">
        <v>6484</v>
      </c>
      <c r="B102" s="45">
        <v>11</v>
      </c>
      <c r="C102" s="58" t="s">
        <v>6571</v>
      </c>
      <c r="H102" s="79" t="s">
        <v>4</v>
      </c>
      <c r="I102" s="137">
        <v>44930</v>
      </c>
      <c r="J102" s="80" t="s">
        <v>46</v>
      </c>
      <c r="K102" s="92" t="str">
        <f>VLOOKUP(T102,'Index Sets'!$A$2:$C$4000,2,FALSE)</f>
        <v>S7783</v>
      </c>
      <c r="L102" s="93" t="str">
        <f>VLOOKUP(T102,'Index Sets'!$A$2:$C$4000,3,FALSE)</f>
        <v>S7583</v>
      </c>
      <c r="M102" s="89" t="e">
        <f>VLOOKUP(A102&amp;B102,CHOOSE({1,2},PCR!$A$1:$A$3000&amp;PCR!$B$1:$B$3000,PCR!$C$1:$C$3000),2,0)</f>
        <v>#N/A</v>
      </c>
      <c r="R102" s="55" t="s">
        <v>6686</v>
      </c>
      <c r="T102" s="45">
        <v>659</v>
      </c>
    </row>
    <row r="103" spans="1:20" ht="15.5" x14ac:dyDescent="0.35">
      <c r="A103" s="59" t="s">
        <v>6484</v>
      </c>
      <c r="B103" s="45">
        <v>12</v>
      </c>
      <c r="C103" s="58" t="s">
        <v>6572</v>
      </c>
      <c r="H103" s="79" t="s">
        <v>4</v>
      </c>
      <c r="I103" s="137">
        <v>44930</v>
      </c>
      <c r="J103" s="80" t="s">
        <v>46</v>
      </c>
      <c r="K103" s="92" t="str">
        <f>VLOOKUP(T103,'Index Sets'!$A$2:$C$4000,2,FALSE)</f>
        <v>S7784</v>
      </c>
      <c r="L103" s="93" t="str">
        <f>VLOOKUP(T103,'Index Sets'!$A$2:$C$4000,3,FALSE)</f>
        <v>S7584</v>
      </c>
      <c r="M103" s="89" t="e">
        <f>VLOOKUP(A103&amp;B103,CHOOSE({1,2},PCR!$A$1:$A$3000&amp;PCR!$B$1:$B$3000,PCR!$C$1:$C$3000),2,0)</f>
        <v>#N/A</v>
      </c>
      <c r="R103" s="55" t="s">
        <v>6686</v>
      </c>
      <c r="T103" s="45">
        <v>660</v>
      </c>
    </row>
    <row r="104" spans="1:20" ht="15.5" x14ac:dyDescent="0.35">
      <c r="A104" s="59" t="s">
        <v>6484</v>
      </c>
      <c r="B104" s="45">
        <v>13</v>
      </c>
      <c r="C104" s="58" t="s">
        <v>6573</v>
      </c>
      <c r="H104" s="79" t="s">
        <v>4</v>
      </c>
      <c r="I104" s="137">
        <v>44930</v>
      </c>
      <c r="J104" s="80" t="s">
        <v>46</v>
      </c>
      <c r="K104" s="92" t="str">
        <f>VLOOKUP(T104,'Index Sets'!$A$2:$C$4000,2,FALSE)</f>
        <v>S7785</v>
      </c>
      <c r="L104" s="93" t="str">
        <f>VLOOKUP(T104,'Index Sets'!$A$2:$C$4000,3,FALSE)</f>
        <v>S7585</v>
      </c>
      <c r="M104" s="89" t="e">
        <f>VLOOKUP(A104&amp;B104,CHOOSE({1,2},PCR!$A$1:$A$3000&amp;PCR!$B$1:$B$3000,PCR!$C$1:$C$3000),2,0)</f>
        <v>#N/A</v>
      </c>
      <c r="R104" s="55" t="s">
        <v>6686</v>
      </c>
      <c r="T104" s="45">
        <v>661</v>
      </c>
    </row>
    <row r="105" spans="1:20" ht="15.5" x14ac:dyDescent="0.35">
      <c r="A105" s="59" t="s">
        <v>6484</v>
      </c>
      <c r="B105" s="45">
        <v>14</v>
      </c>
      <c r="C105" s="58" t="s">
        <v>6574</v>
      </c>
      <c r="H105" s="79" t="s">
        <v>4</v>
      </c>
      <c r="I105" s="137">
        <v>44930</v>
      </c>
      <c r="J105" s="80" t="s">
        <v>46</v>
      </c>
      <c r="K105" s="92" t="str">
        <f>VLOOKUP(T105,'Index Sets'!$A$2:$C$4000,2,FALSE)</f>
        <v>S7786</v>
      </c>
      <c r="L105" s="93" t="str">
        <f>VLOOKUP(T105,'Index Sets'!$A$2:$C$4000,3,FALSE)</f>
        <v>S7586</v>
      </c>
      <c r="M105" s="89" t="e">
        <f>VLOOKUP(A105&amp;B105,CHOOSE({1,2},PCR!$A$1:$A$3000&amp;PCR!$B$1:$B$3000,PCR!$C$1:$C$3000),2,0)</f>
        <v>#N/A</v>
      </c>
      <c r="R105" s="55" t="s">
        <v>6686</v>
      </c>
      <c r="T105" s="45">
        <v>662</v>
      </c>
    </row>
    <row r="106" spans="1:20" ht="15.5" x14ac:dyDescent="0.35">
      <c r="A106" s="59" t="s">
        <v>6484</v>
      </c>
      <c r="B106" s="45">
        <v>15</v>
      </c>
      <c r="C106" s="58" t="s">
        <v>6575</v>
      </c>
      <c r="H106" s="79" t="s">
        <v>4</v>
      </c>
      <c r="I106" s="137">
        <v>44930</v>
      </c>
      <c r="J106" s="80" t="s">
        <v>46</v>
      </c>
      <c r="K106" s="92" t="str">
        <f>VLOOKUP(T106,'Index Sets'!$A$2:$C$4000,2,FALSE)</f>
        <v>S7787</v>
      </c>
      <c r="L106" s="93" t="str">
        <f>VLOOKUP(T106,'Index Sets'!$A$2:$C$4000,3,FALSE)</f>
        <v>S7587</v>
      </c>
      <c r="M106" s="89" t="e">
        <f>VLOOKUP(A106&amp;B106,CHOOSE({1,2},PCR!$A$1:$A$3000&amp;PCR!$B$1:$B$3000,PCR!$C$1:$C$3000),2,0)</f>
        <v>#N/A</v>
      </c>
      <c r="R106" s="55" t="s">
        <v>6686</v>
      </c>
      <c r="T106" s="45">
        <v>663</v>
      </c>
    </row>
    <row r="107" spans="1:20" ht="15.5" x14ac:dyDescent="0.35">
      <c r="A107" s="59" t="s">
        <v>6484</v>
      </c>
      <c r="B107" s="45">
        <v>16</v>
      </c>
      <c r="C107" s="58" t="s">
        <v>6576</v>
      </c>
      <c r="H107" s="79" t="s">
        <v>4</v>
      </c>
      <c r="I107" s="137">
        <v>44930</v>
      </c>
      <c r="J107" s="80" t="s">
        <v>46</v>
      </c>
      <c r="K107" s="92" t="str">
        <f>VLOOKUP(T107,'Index Sets'!$A$2:$C$4000,2,FALSE)</f>
        <v>S7788</v>
      </c>
      <c r="L107" s="93" t="str">
        <f>VLOOKUP(T107,'Index Sets'!$A$2:$C$4000,3,FALSE)</f>
        <v>S7588</v>
      </c>
      <c r="M107" s="89" t="e">
        <f>VLOOKUP(A107&amp;B107,CHOOSE({1,2},PCR!$A$1:$A$3000&amp;PCR!$B$1:$B$3000,PCR!$C$1:$C$3000),2,0)</f>
        <v>#N/A</v>
      </c>
      <c r="R107" s="55" t="s">
        <v>6686</v>
      </c>
      <c r="T107" s="45">
        <v>664</v>
      </c>
    </row>
    <row r="108" spans="1:20" ht="15.5" x14ac:dyDescent="0.35">
      <c r="A108" s="59" t="s">
        <v>6484</v>
      </c>
      <c r="B108" s="45">
        <v>17</v>
      </c>
      <c r="C108" s="58" t="s">
        <v>6577</v>
      </c>
      <c r="H108" s="79" t="s">
        <v>4</v>
      </c>
      <c r="I108" s="137">
        <v>44930</v>
      </c>
      <c r="J108" s="80" t="s">
        <v>46</v>
      </c>
      <c r="K108" s="92" t="str">
        <f>VLOOKUP(T108,'Index Sets'!$A$2:$C$4000,2,FALSE)</f>
        <v>S7789</v>
      </c>
      <c r="L108" s="93" t="str">
        <f>VLOOKUP(T108,'Index Sets'!$A$2:$C$4000,3,FALSE)</f>
        <v>S7589</v>
      </c>
      <c r="M108" s="89" t="e">
        <f>VLOOKUP(A108&amp;B108,CHOOSE({1,2},PCR!$A$1:$A$3000&amp;PCR!$B$1:$B$3000,PCR!$C$1:$C$3000),2,0)</f>
        <v>#N/A</v>
      </c>
      <c r="R108" s="55" t="s">
        <v>6686</v>
      </c>
      <c r="T108" s="45">
        <v>665</v>
      </c>
    </row>
    <row r="109" spans="1:20" ht="15.5" x14ac:dyDescent="0.35">
      <c r="A109" s="59" t="s">
        <v>6484</v>
      </c>
      <c r="B109" s="45">
        <v>18</v>
      </c>
      <c r="C109" s="58" t="s">
        <v>6578</v>
      </c>
      <c r="H109" s="79" t="s">
        <v>4</v>
      </c>
      <c r="I109" s="137">
        <v>44930</v>
      </c>
      <c r="J109" s="80" t="s">
        <v>46</v>
      </c>
      <c r="K109" s="92" t="str">
        <f>VLOOKUP(T109,'Index Sets'!$A$2:$C$4000,2,FALSE)</f>
        <v>S7790</v>
      </c>
      <c r="L109" s="93" t="str">
        <f>VLOOKUP(T109,'Index Sets'!$A$2:$C$4000,3,FALSE)</f>
        <v>S7590</v>
      </c>
      <c r="M109" s="89" t="e">
        <f>VLOOKUP(A109&amp;B109,CHOOSE({1,2},PCR!$A$1:$A$3000&amp;PCR!$B$1:$B$3000,PCR!$C$1:$C$3000),2,0)</f>
        <v>#N/A</v>
      </c>
      <c r="R109" s="55" t="s">
        <v>6686</v>
      </c>
      <c r="T109" s="45">
        <v>666</v>
      </c>
    </row>
    <row r="110" spans="1:20" ht="15.5" x14ac:dyDescent="0.35">
      <c r="A110" s="59" t="s">
        <v>6484</v>
      </c>
      <c r="B110" s="45">
        <v>19</v>
      </c>
      <c r="C110" s="58" t="s">
        <v>6579</v>
      </c>
      <c r="H110" s="79" t="s">
        <v>4</v>
      </c>
      <c r="I110" s="137">
        <v>44930</v>
      </c>
      <c r="J110" s="80" t="s">
        <v>46</v>
      </c>
      <c r="K110" s="92" t="str">
        <f>VLOOKUP(T110,'Index Sets'!$A$2:$C$4000,2,FALSE)</f>
        <v>S7791</v>
      </c>
      <c r="L110" s="93" t="str">
        <f>VLOOKUP(T110,'Index Sets'!$A$2:$C$4000,3,FALSE)</f>
        <v>S7591</v>
      </c>
      <c r="M110" s="89" t="e">
        <f>VLOOKUP(A110&amp;B110,CHOOSE({1,2},PCR!$A$1:$A$3000&amp;PCR!$B$1:$B$3000,PCR!$C$1:$C$3000),2,0)</f>
        <v>#N/A</v>
      </c>
      <c r="R110" s="55" t="s">
        <v>6686</v>
      </c>
      <c r="T110" s="45">
        <v>667</v>
      </c>
    </row>
    <row r="111" spans="1:20" ht="15.5" x14ac:dyDescent="0.35">
      <c r="A111" s="59" t="s">
        <v>6484</v>
      </c>
      <c r="B111" s="45">
        <v>20</v>
      </c>
      <c r="C111" s="58" t="s">
        <v>6580</v>
      </c>
      <c r="H111" s="79" t="s">
        <v>4</v>
      </c>
      <c r="I111" s="137">
        <v>44930</v>
      </c>
      <c r="J111" s="80" t="s">
        <v>46</v>
      </c>
      <c r="K111" s="92" t="str">
        <f>VLOOKUP(T111,'Index Sets'!$A$2:$C$4000,2,FALSE)</f>
        <v>S7792</v>
      </c>
      <c r="L111" s="93" t="str">
        <f>VLOOKUP(T111,'Index Sets'!$A$2:$C$4000,3,FALSE)</f>
        <v>S7592</v>
      </c>
      <c r="M111" s="89" t="e">
        <f>VLOOKUP(A111&amp;B111,CHOOSE({1,2},PCR!$A$1:$A$3000&amp;PCR!$B$1:$B$3000,PCR!$C$1:$C$3000),2,0)</f>
        <v>#N/A</v>
      </c>
      <c r="R111" s="55" t="s">
        <v>6686</v>
      </c>
      <c r="T111" s="45">
        <v>668</v>
      </c>
    </row>
    <row r="112" spans="1:20" ht="15.5" x14ac:dyDescent="0.35">
      <c r="A112" s="59" t="s">
        <v>6484</v>
      </c>
      <c r="B112" s="45">
        <v>21</v>
      </c>
      <c r="C112" s="58" t="s">
        <v>6581</v>
      </c>
      <c r="H112" s="79" t="s">
        <v>4</v>
      </c>
      <c r="I112" s="137">
        <v>44930</v>
      </c>
      <c r="J112" s="80" t="s">
        <v>46</v>
      </c>
      <c r="K112" s="92" t="str">
        <f>VLOOKUP(T112,'Index Sets'!$A$2:$C$4000,2,FALSE)</f>
        <v>S7793</v>
      </c>
      <c r="L112" s="93" t="str">
        <f>VLOOKUP(T112,'Index Sets'!$A$2:$C$4000,3,FALSE)</f>
        <v>S7593</v>
      </c>
      <c r="M112" s="89" t="e">
        <f>VLOOKUP(A112&amp;B112,CHOOSE({1,2},PCR!$A$1:$A$3000&amp;PCR!$B$1:$B$3000,PCR!$C$1:$C$3000),2,0)</f>
        <v>#N/A</v>
      </c>
      <c r="R112" s="55" t="s">
        <v>6686</v>
      </c>
      <c r="T112" s="45">
        <v>669</v>
      </c>
    </row>
    <row r="113" spans="1:20" ht="15.5" x14ac:dyDescent="0.35">
      <c r="A113" s="59" t="s">
        <v>6484</v>
      </c>
      <c r="B113" s="45">
        <v>22</v>
      </c>
      <c r="C113" s="58" t="s">
        <v>6582</v>
      </c>
      <c r="H113" s="79" t="s">
        <v>4</v>
      </c>
      <c r="I113" s="137">
        <v>44930</v>
      </c>
      <c r="J113" s="80" t="s">
        <v>46</v>
      </c>
      <c r="K113" s="92" t="str">
        <f>VLOOKUP(T113,'Index Sets'!$A$2:$C$4000,2,FALSE)</f>
        <v>S7794</v>
      </c>
      <c r="L113" s="93" t="str">
        <f>VLOOKUP(T113,'Index Sets'!$A$2:$C$4000,3,FALSE)</f>
        <v>S7594</v>
      </c>
      <c r="M113" s="89" t="e">
        <f>VLOOKUP(A113&amp;B113,CHOOSE({1,2},PCR!$A$1:$A$3000&amp;PCR!$B$1:$B$3000,PCR!$C$1:$C$3000),2,0)</f>
        <v>#N/A</v>
      </c>
      <c r="R113" s="55" t="s">
        <v>6686</v>
      </c>
      <c r="T113" s="45">
        <v>670</v>
      </c>
    </row>
    <row r="114" spans="1:20" ht="15.5" x14ac:dyDescent="0.35">
      <c r="A114" s="59" t="s">
        <v>6484</v>
      </c>
      <c r="B114" s="45">
        <v>23</v>
      </c>
      <c r="C114" s="58" t="s">
        <v>6583</v>
      </c>
      <c r="H114" s="79" t="s">
        <v>4</v>
      </c>
      <c r="I114" s="137">
        <v>44930</v>
      </c>
      <c r="J114" s="80" t="s">
        <v>46</v>
      </c>
      <c r="K114" s="92" t="str">
        <f>VLOOKUP(T114,'Index Sets'!$A$2:$C$4000,2,FALSE)</f>
        <v>S7795</v>
      </c>
      <c r="L114" s="93" t="str">
        <f>VLOOKUP(T114,'Index Sets'!$A$2:$C$4000,3,FALSE)</f>
        <v>S7595</v>
      </c>
      <c r="M114" s="89" t="e">
        <f>VLOOKUP(A114&amp;B114,CHOOSE({1,2},PCR!$A$1:$A$3000&amp;PCR!$B$1:$B$3000,PCR!$C$1:$C$3000),2,0)</f>
        <v>#N/A</v>
      </c>
      <c r="R114" s="55" t="s">
        <v>6686</v>
      </c>
      <c r="T114" s="45">
        <v>671</v>
      </c>
    </row>
    <row r="115" spans="1:20" ht="15.5" x14ac:dyDescent="0.35">
      <c r="A115" s="59" t="s">
        <v>6484</v>
      </c>
      <c r="B115" s="45">
        <v>24</v>
      </c>
      <c r="C115" s="58" t="s">
        <v>6584</v>
      </c>
      <c r="H115" s="79" t="s">
        <v>4</v>
      </c>
      <c r="I115" s="137">
        <v>44930</v>
      </c>
      <c r="J115" s="80" t="s">
        <v>46</v>
      </c>
      <c r="K115" s="92" t="str">
        <f>VLOOKUP(T115,'Index Sets'!$A$2:$C$4000,2,FALSE)</f>
        <v>S7796</v>
      </c>
      <c r="L115" s="93" t="str">
        <f>VLOOKUP(T115,'Index Sets'!$A$2:$C$4000,3,FALSE)</f>
        <v>S7596</v>
      </c>
      <c r="M115" s="89" t="e">
        <f>VLOOKUP(A115&amp;B115,CHOOSE({1,2},PCR!$A$1:$A$3000&amp;PCR!$B$1:$B$3000,PCR!$C$1:$C$3000),2,0)</f>
        <v>#N/A</v>
      </c>
      <c r="R115" s="55" t="s">
        <v>6686</v>
      </c>
      <c r="T115" s="45">
        <v>672</v>
      </c>
    </row>
    <row r="116" spans="1:20" ht="15.5" x14ac:dyDescent="0.35">
      <c r="A116" s="59" t="s">
        <v>6484</v>
      </c>
      <c r="B116" s="45">
        <v>25</v>
      </c>
      <c r="C116" s="58" t="s">
        <v>6585</v>
      </c>
      <c r="H116" s="79" t="s">
        <v>4</v>
      </c>
      <c r="I116" s="137">
        <v>44930</v>
      </c>
      <c r="J116" s="80" t="s">
        <v>46</v>
      </c>
      <c r="K116" s="92" t="str">
        <f>VLOOKUP(T116,'Index Sets'!$A$2:$C$4000,2,FALSE)</f>
        <v>S97145</v>
      </c>
      <c r="L116" s="93" t="str">
        <f>VLOOKUP(T116,'Index Sets'!$A$2:$C$4000,3,FALSE)</f>
        <v>S95145</v>
      </c>
      <c r="M116" s="89" t="e">
        <f>VLOOKUP(A116&amp;B116,CHOOSE({1,2},PCR!$A$1:$A$3000&amp;PCR!$B$1:$B$3000,PCR!$C$1:$C$3000),2,0)</f>
        <v>#N/A</v>
      </c>
      <c r="R116" s="55" t="s">
        <v>6686</v>
      </c>
      <c r="T116" s="45">
        <v>913</v>
      </c>
    </row>
    <row r="117" spans="1:20" ht="15.5" x14ac:dyDescent="0.35">
      <c r="A117" s="59" t="s">
        <v>6484</v>
      </c>
      <c r="B117" s="45">
        <v>26</v>
      </c>
      <c r="C117" s="58" t="s">
        <v>6586</v>
      </c>
      <c r="H117" s="79" t="s">
        <v>4</v>
      </c>
      <c r="I117" s="137">
        <v>44930</v>
      </c>
      <c r="J117" s="80" t="s">
        <v>46</v>
      </c>
      <c r="K117" s="92" t="str">
        <f>VLOOKUP(T117,'Index Sets'!$A$2:$C$4000,2,FALSE)</f>
        <v>S97146</v>
      </c>
      <c r="L117" s="93" t="str">
        <f>VLOOKUP(T117,'Index Sets'!$A$2:$C$4000,3,FALSE)</f>
        <v>S95146</v>
      </c>
      <c r="M117" s="89" t="e">
        <f>VLOOKUP(A117&amp;B117,CHOOSE({1,2},PCR!$A$1:$A$3000&amp;PCR!$B$1:$B$3000,PCR!$C$1:$C$3000),2,0)</f>
        <v>#N/A</v>
      </c>
      <c r="R117" s="55" t="s">
        <v>6686</v>
      </c>
      <c r="T117" s="45">
        <v>914</v>
      </c>
    </row>
    <row r="118" spans="1:20" ht="15.5" x14ac:dyDescent="0.35">
      <c r="A118" s="59" t="s">
        <v>6484</v>
      </c>
      <c r="B118" s="45">
        <v>27</v>
      </c>
      <c r="C118" s="58" t="s">
        <v>6587</v>
      </c>
      <c r="H118" s="79" t="s">
        <v>4</v>
      </c>
      <c r="I118" s="137">
        <v>44930</v>
      </c>
      <c r="J118" s="80" t="s">
        <v>46</v>
      </c>
      <c r="K118" s="92" t="str">
        <f>VLOOKUP(T118,'Index Sets'!$A$2:$C$4000,2,FALSE)</f>
        <v>S97147</v>
      </c>
      <c r="L118" s="93" t="str">
        <f>VLOOKUP(T118,'Index Sets'!$A$2:$C$4000,3,FALSE)</f>
        <v>S95147</v>
      </c>
      <c r="M118" s="89" t="e">
        <f>VLOOKUP(A118&amp;B118,CHOOSE({1,2},PCR!$A$1:$A$3000&amp;PCR!$B$1:$B$3000,PCR!$C$1:$C$3000),2,0)</f>
        <v>#N/A</v>
      </c>
      <c r="R118" s="55" t="s">
        <v>6686</v>
      </c>
      <c r="T118" s="45">
        <v>915</v>
      </c>
    </row>
    <row r="119" spans="1:20" ht="15.5" x14ac:dyDescent="0.35">
      <c r="A119" s="59" t="s">
        <v>6485</v>
      </c>
      <c r="B119" s="45">
        <v>1</v>
      </c>
      <c r="C119" s="58" t="s">
        <v>6588</v>
      </c>
      <c r="H119" s="79" t="s">
        <v>4</v>
      </c>
      <c r="I119" s="137">
        <v>44930</v>
      </c>
      <c r="J119" s="80" t="s">
        <v>46</v>
      </c>
      <c r="K119" s="92" t="str">
        <f>VLOOKUP(T119,'Index Sets'!$A$2:$C$4000,2,FALSE)</f>
        <v>S97129</v>
      </c>
      <c r="L119" s="93" t="str">
        <f>VLOOKUP(T119,'Index Sets'!$A$2:$C$4000,3,FALSE)</f>
        <v>S95129</v>
      </c>
      <c r="M119" s="89" t="e">
        <f>VLOOKUP(A119&amp;B119,CHOOSE({1,2},PCR!$A$1:$A$3000&amp;PCR!$B$1:$B$3000,PCR!$C$1:$C$3000),2,0)</f>
        <v>#N/A</v>
      </c>
      <c r="R119" s="55" t="s">
        <v>6686</v>
      </c>
      <c r="T119" s="45">
        <v>897</v>
      </c>
    </row>
    <row r="120" spans="1:20" ht="15.5" x14ac:dyDescent="0.35">
      <c r="A120" s="59" t="s">
        <v>6485</v>
      </c>
      <c r="B120" s="45">
        <v>2</v>
      </c>
      <c r="C120" s="58" t="s">
        <v>6589</v>
      </c>
      <c r="H120" s="79" t="s">
        <v>4</v>
      </c>
      <c r="I120" s="137">
        <v>44930</v>
      </c>
      <c r="J120" s="80" t="s">
        <v>46</v>
      </c>
      <c r="K120" s="92" t="str">
        <f>VLOOKUP(T120,'Index Sets'!$A$2:$C$4000,2,FALSE)</f>
        <v>S97130</v>
      </c>
      <c r="L120" s="93" t="str">
        <f>VLOOKUP(T120,'Index Sets'!$A$2:$C$4000,3,FALSE)</f>
        <v>S95130</v>
      </c>
      <c r="M120" s="89" t="e">
        <f>VLOOKUP(A120&amp;B120,CHOOSE({1,2},PCR!$A$1:$A$3000&amp;PCR!$B$1:$B$3000,PCR!$C$1:$C$3000),2,0)</f>
        <v>#N/A</v>
      </c>
      <c r="R120" s="55" t="s">
        <v>6686</v>
      </c>
      <c r="T120" s="45">
        <v>898</v>
      </c>
    </row>
    <row r="121" spans="1:20" ht="15.5" x14ac:dyDescent="0.35">
      <c r="A121" s="59" t="s">
        <v>6485</v>
      </c>
      <c r="B121" s="45">
        <v>3</v>
      </c>
      <c r="C121" s="58" t="s">
        <v>6590</v>
      </c>
      <c r="H121" s="79" t="s">
        <v>4</v>
      </c>
      <c r="I121" s="137">
        <v>44930</v>
      </c>
      <c r="J121" s="80" t="s">
        <v>46</v>
      </c>
      <c r="K121" s="92" t="str">
        <f>VLOOKUP(T121,'Index Sets'!$A$2:$C$4000,2,FALSE)</f>
        <v>S97131</v>
      </c>
      <c r="L121" s="93" t="str">
        <f>VLOOKUP(T121,'Index Sets'!$A$2:$C$4000,3,FALSE)</f>
        <v>S95131</v>
      </c>
      <c r="M121" s="89" t="e">
        <f>VLOOKUP(A121&amp;B121,CHOOSE({1,2},PCR!$A$1:$A$3000&amp;PCR!$B$1:$B$3000,PCR!$C$1:$C$3000),2,0)</f>
        <v>#N/A</v>
      </c>
      <c r="R121" s="55" t="s">
        <v>6686</v>
      </c>
      <c r="T121" s="45">
        <v>899</v>
      </c>
    </row>
    <row r="122" spans="1:20" ht="15.5" x14ac:dyDescent="0.35">
      <c r="A122" s="59" t="s">
        <v>6485</v>
      </c>
      <c r="B122" s="45">
        <v>4</v>
      </c>
      <c r="C122" s="58" t="s">
        <v>6591</v>
      </c>
      <c r="H122" s="79" t="s">
        <v>4</v>
      </c>
      <c r="I122" s="137">
        <v>44930</v>
      </c>
      <c r="J122" s="80" t="s">
        <v>46</v>
      </c>
      <c r="K122" s="92" t="str">
        <f>VLOOKUP(T122,'Index Sets'!$A$2:$C$4000,2,FALSE)</f>
        <v>S97132</v>
      </c>
      <c r="L122" s="93" t="str">
        <f>VLOOKUP(T122,'Index Sets'!$A$2:$C$4000,3,FALSE)</f>
        <v>S95132</v>
      </c>
      <c r="M122" s="89" t="e">
        <f>VLOOKUP(A122&amp;B122,CHOOSE({1,2},PCR!$A$1:$A$3000&amp;PCR!$B$1:$B$3000,PCR!$C$1:$C$3000),2,0)</f>
        <v>#N/A</v>
      </c>
      <c r="R122" s="55" t="s">
        <v>6686</v>
      </c>
      <c r="T122" s="45">
        <v>900</v>
      </c>
    </row>
    <row r="123" spans="1:20" ht="15.5" x14ac:dyDescent="0.35">
      <c r="A123" s="59" t="s">
        <v>6485</v>
      </c>
      <c r="B123" s="45">
        <v>5</v>
      </c>
      <c r="C123" s="58" t="s">
        <v>6592</v>
      </c>
      <c r="H123" s="79" t="s">
        <v>4</v>
      </c>
      <c r="I123" s="137">
        <v>44930</v>
      </c>
      <c r="J123" s="80" t="s">
        <v>46</v>
      </c>
      <c r="K123" s="92" t="str">
        <f>VLOOKUP(T123,'Index Sets'!$A$2:$C$4000,2,FALSE)</f>
        <v>S97133</v>
      </c>
      <c r="L123" s="93" t="str">
        <f>VLOOKUP(T123,'Index Sets'!$A$2:$C$4000,3,FALSE)</f>
        <v>S95133</v>
      </c>
      <c r="M123" s="89" t="e">
        <f>VLOOKUP(A123&amp;B123,CHOOSE({1,2},PCR!$A$1:$A$3000&amp;PCR!$B$1:$B$3000,PCR!$C$1:$C$3000),2,0)</f>
        <v>#N/A</v>
      </c>
      <c r="R123" s="55" t="s">
        <v>6686</v>
      </c>
      <c r="T123" s="45">
        <v>901</v>
      </c>
    </row>
    <row r="124" spans="1:20" ht="15.5" x14ac:dyDescent="0.35">
      <c r="A124" s="59" t="s">
        <v>6485</v>
      </c>
      <c r="B124" s="45">
        <v>6</v>
      </c>
      <c r="C124" s="58" t="s">
        <v>6593</v>
      </c>
      <c r="H124" s="79" t="s">
        <v>4</v>
      </c>
      <c r="I124" s="137">
        <v>44930</v>
      </c>
      <c r="J124" s="80" t="s">
        <v>46</v>
      </c>
      <c r="K124" s="92" t="str">
        <f>VLOOKUP(T124,'Index Sets'!$A$2:$C$4000,2,FALSE)</f>
        <v>S97134</v>
      </c>
      <c r="L124" s="93" t="str">
        <f>VLOOKUP(T124,'Index Sets'!$A$2:$C$4000,3,FALSE)</f>
        <v>S95134</v>
      </c>
      <c r="M124" s="89" t="e">
        <f>VLOOKUP(A124&amp;B124,CHOOSE({1,2},PCR!$A$1:$A$3000&amp;PCR!$B$1:$B$3000,PCR!$C$1:$C$3000),2,0)</f>
        <v>#N/A</v>
      </c>
      <c r="R124" s="55" t="s">
        <v>6686</v>
      </c>
      <c r="T124" s="45">
        <v>902</v>
      </c>
    </row>
    <row r="125" spans="1:20" ht="15.5" x14ac:dyDescent="0.35">
      <c r="A125" s="59" t="s">
        <v>6485</v>
      </c>
      <c r="B125" s="45">
        <v>7</v>
      </c>
      <c r="C125" s="58" t="s">
        <v>6594</v>
      </c>
      <c r="H125" s="79" t="s">
        <v>4</v>
      </c>
      <c r="I125" s="137">
        <v>44930</v>
      </c>
      <c r="J125" s="80" t="s">
        <v>46</v>
      </c>
      <c r="K125" s="92" t="str">
        <f>VLOOKUP(T125,'Index Sets'!$A$2:$C$4000,2,FALSE)</f>
        <v>S97135</v>
      </c>
      <c r="L125" s="93" t="str">
        <f>VLOOKUP(T125,'Index Sets'!$A$2:$C$4000,3,FALSE)</f>
        <v>S95135</v>
      </c>
      <c r="M125" s="89" t="e">
        <f>VLOOKUP(A125&amp;B125,CHOOSE({1,2},PCR!$A$1:$A$3000&amp;PCR!$B$1:$B$3000,PCR!$C$1:$C$3000),2,0)</f>
        <v>#N/A</v>
      </c>
      <c r="R125" s="55" t="s">
        <v>6686</v>
      </c>
      <c r="T125" s="45">
        <v>903</v>
      </c>
    </row>
    <row r="126" spans="1:20" ht="15.5" x14ac:dyDescent="0.35">
      <c r="A126" s="59" t="s">
        <v>6485</v>
      </c>
      <c r="B126" s="45">
        <v>8</v>
      </c>
      <c r="C126" s="58" t="s">
        <v>6595</v>
      </c>
      <c r="H126" s="79" t="s">
        <v>4</v>
      </c>
      <c r="I126" s="137">
        <v>44930</v>
      </c>
      <c r="J126" s="80" t="s">
        <v>46</v>
      </c>
      <c r="K126" s="92" t="str">
        <f>VLOOKUP(T126,'Index Sets'!$A$2:$C$4000,2,FALSE)</f>
        <v>S97136</v>
      </c>
      <c r="L126" s="93" t="str">
        <f>VLOOKUP(T126,'Index Sets'!$A$2:$C$4000,3,FALSE)</f>
        <v>S95136</v>
      </c>
      <c r="M126" s="89" t="e">
        <f>VLOOKUP(A126&amp;B126,CHOOSE({1,2},PCR!$A$1:$A$3000&amp;PCR!$B$1:$B$3000,PCR!$C$1:$C$3000),2,0)</f>
        <v>#N/A</v>
      </c>
      <c r="R126" s="55" t="s">
        <v>6686</v>
      </c>
      <c r="T126" s="45">
        <v>904</v>
      </c>
    </row>
    <row r="127" spans="1:20" ht="15.5" x14ac:dyDescent="0.35">
      <c r="A127" s="59" t="s">
        <v>6485</v>
      </c>
      <c r="B127" s="45">
        <v>9</v>
      </c>
      <c r="C127" s="58" t="s">
        <v>6596</v>
      </c>
      <c r="H127" s="79" t="s">
        <v>4</v>
      </c>
      <c r="I127" s="137">
        <v>44930</v>
      </c>
      <c r="J127" s="80" t="s">
        <v>46</v>
      </c>
      <c r="K127" s="92" t="str">
        <f>VLOOKUP(T127,'Index Sets'!$A$2:$C$4000,2,FALSE)</f>
        <v>S97137</v>
      </c>
      <c r="L127" s="93" t="str">
        <f>VLOOKUP(T127,'Index Sets'!$A$2:$C$4000,3,FALSE)</f>
        <v>S95137</v>
      </c>
      <c r="M127" s="89" t="e">
        <f>VLOOKUP(A127&amp;B127,CHOOSE({1,2},PCR!$A$1:$A$3000&amp;PCR!$B$1:$B$3000,PCR!$C$1:$C$3000),2,0)</f>
        <v>#N/A</v>
      </c>
      <c r="R127" s="55" t="s">
        <v>6686</v>
      </c>
      <c r="T127" s="45">
        <v>905</v>
      </c>
    </row>
    <row r="128" spans="1:20" ht="15.5" x14ac:dyDescent="0.35">
      <c r="A128" s="59" t="s">
        <v>6485</v>
      </c>
      <c r="B128" s="45">
        <v>10</v>
      </c>
      <c r="C128" s="58" t="s">
        <v>6597</v>
      </c>
      <c r="H128" s="79" t="s">
        <v>4</v>
      </c>
      <c r="I128" s="137">
        <v>44930</v>
      </c>
      <c r="J128" s="80" t="s">
        <v>46</v>
      </c>
      <c r="K128" s="92" t="str">
        <f>VLOOKUP(T128,'Index Sets'!$A$2:$C$4000,2,FALSE)</f>
        <v>S97138</v>
      </c>
      <c r="L128" s="93" t="str">
        <f>VLOOKUP(T128,'Index Sets'!$A$2:$C$4000,3,FALSE)</f>
        <v>S95138</v>
      </c>
      <c r="M128" s="89" t="e">
        <f>VLOOKUP(A128&amp;B128,CHOOSE({1,2},PCR!$A$1:$A$3000&amp;PCR!$B$1:$B$3000,PCR!$C$1:$C$3000),2,0)</f>
        <v>#N/A</v>
      </c>
      <c r="R128" s="55" t="s">
        <v>6686</v>
      </c>
      <c r="T128" s="45">
        <v>906</v>
      </c>
    </row>
    <row r="129" spans="1:20" ht="15.5" x14ac:dyDescent="0.35">
      <c r="A129" s="59" t="s">
        <v>6485</v>
      </c>
      <c r="B129" s="45">
        <v>11</v>
      </c>
      <c r="C129" s="58" t="s">
        <v>6598</v>
      </c>
      <c r="H129" s="79" t="s">
        <v>4</v>
      </c>
      <c r="I129" s="137">
        <v>44930</v>
      </c>
      <c r="J129" s="80" t="s">
        <v>46</v>
      </c>
      <c r="K129" s="92" t="str">
        <f>VLOOKUP(T129,'Index Sets'!$A$2:$C$4000,2,FALSE)</f>
        <v>S97139</v>
      </c>
      <c r="L129" s="93" t="str">
        <f>VLOOKUP(T129,'Index Sets'!$A$2:$C$4000,3,FALSE)</f>
        <v>S95139</v>
      </c>
      <c r="M129" s="89" t="e">
        <f>VLOOKUP(A129&amp;B129,CHOOSE({1,2},PCR!$A$1:$A$3000&amp;PCR!$B$1:$B$3000,PCR!$C$1:$C$3000),2,0)</f>
        <v>#N/A</v>
      </c>
      <c r="R129" s="55" t="s">
        <v>6686</v>
      </c>
      <c r="T129" s="45">
        <v>907</v>
      </c>
    </row>
    <row r="130" spans="1:20" ht="15.5" x14ac:dyDescent="0.35">
      <c r="A130" s="59" t="s">
        <v>6485</v>
      </c>
      <c r="B130" s="45">
        <v>12</v>
      </c>
      <c r="C130" s="58" t="s">
        <v>6599</v>
      </c>
      <c r="H130" s="79" t="s">
        <v>4</v>
      </c>
      <c r="I130" s="137">
        <v>44930</v>
      </c>
      <c r="J130" s="80" t="s">
        <v>46</v>
      </c>
      <c r="K130" s="92" t="str">
        <f>VLOOKUP(T130,'Index Sets'!$A$2:$C$4000,2,FALSE)</f>
        <v>S97140</v>
      </c>
      <c r="L130" s="93" t="str">
        <f>VLOOKUP(T130,'Index Sets'!$A$2:$C$4000,3,FALSE)</f>
        <v>S95140</v>
      </c>
      <c r="M130" s="89" t="e">
        <f>VLOOKUP(A130&amp;B130,CHOOSE({1,2},PCR!$A$1:$A$3000&amp;PCR!$B$1:$B$3000,PCR!$C$1:$C$3000),2,0)</f>
        <v>#N/A</v>
      </c>
      <c r="R130" s="55" t="s">
        <v>6686</v>
      </c>
      <c r="T130" s="45">
        <v>908</v>
      </c>
    </row>
    <row r="131" spans="1:20" ht="15.5" x14ac:dyDescent="0.35">
      <c r="A131" s="59" t="s">
        <v>6485</v>
      </c>
      <c r="B131" s="45">
        <v>13</v>
      </c>
      <c r="C131" s="58" t="s">
        <v>6600</v>
      </c>
      <c r="H131" s="79" t="s">
        <v>4</v>
      </c>
      <c r="I131" s="137">
        <v>44930</v>
      </c>
      <c r="J131" s="80" t="s">
        <v>46</v>
      </c>
      <c r="K131" s="92" t="str">
        <f>VLOOKUP(T131,'Index Sets'!$A$2:$C$4000,2,FALSE)</f>
        <v>S97141</v>
      </c>
      <c r="L131" s="93" t="str">
        <f>VLOOKUP(T131,'Index Sets'!$A$2:$C$4000,3,FALSE)</f>
        <v>S95141</v>
      </c>
      <c r="M131" s="89" t="e">
        <f>VLOOKUP(A131&amp;B131,CHOOSE({1,2},PCR!$A$1:$A$3000&amp;PCR!$B$1:$B$3000,PCR!$C$1:$C$3000),2,0)</f>
        <v>#N/A</v>
      </c>
      <c r="R131" s="55" t="s">
        <v>6686</v>
      </c>
      <c r="T131" s="45">
        <v>909</v>
      </c>
    </row>
    <row r="132" spans="1:20" ht="15.5" x14ac:dyDescent="0.35">
      <c r="A132" s="59" t="s">
        <v>6485</v>
      </c>
      <c r="B132" s="45">
        <v>14</v>
      </c>
      <c r="C132" s="58" t="s">
        <v>6601</v>
      </c>
      <c r="H132" s="79" t="s">
        <v>4</v>
      </c>
      <c r="I132" s="137">
        <v>44930</v>
      </c>
      <c r="J132" s="80" t="s">
        <v>46</v>
      </c>
      <c r="K132" s="92" t="str">
        <f>VLOOKUP(T132,'Index Sets'!$A$2:$C$4000,2,FALSE)</f>
        <v>S97142</v>
      </c>
      <c r="L132" s="93" t="str">
        <f>VLOOKUP(T132,'Index Sets'!$A$2:$C$4000,3,FALSE)</f>
        <v>S95142</v>
      </c>
      <c r="M132" s="89" t="e">
        <f>VLOOKUP(A132&amp;B132,CHOOSE({1,2},PCR!$A$1:$A$3000&amp;PCR!$B$1:$B$3000,PCR!$C$1:$C$3000),2,0)</f>
        <v>#N/A</v>
      </c>
      <c r="R132" s="55" t="s">
        <v>6686</v>
      </c>
      <c r="T132" s="45">
        <v>910</v>
      </c>
    </row>
    <row r="133" spans="1:20" ht="15.5" x14ac:dyDescent="0.35">
      <c r="A133" s="59" t="s">
        <v>6485</v>
      </c>
      <c r="B133" s="45">
        <v>15</v>
      </c>
      <c r="C133" s="58" t="s">
        <v>6602</v>
      </c>
      <c r="H133" s="79" t="s">
        <v>4</v>
      </c>
      <c r="I133" s="137">
        <v>44930</v>
      </c>
      <c r="J133" s="80" t="s">
        <v>46</v>
      </c>
      <c r="K133" s="92" t="str">
        <f>VLOOKUP(T133,'Index Sets'!$A$2:$C$4000,2,FALSE)</f>
        <v>S97143</v>
      </c>
      <c r="L133" s="93" t="str">
        <f>VLOOKUP(T133,'Index Sets'!$A$2:$C$4000,3,FALSE)</f>
        <v>S95143</v>
      </c>
      <c r="M133" s="89" t="e">
        <f>VLOOKUP(A133&amp;B133,CHOOSE({1,2},PCR!$A$1:$A$3000&amp;PCR!$B$1:$B$3000,PCR!$C$1:$C$3000),2,0)</f>
        <v>#N/A</v>
      </c>
      <c r="R133" s="55" t="s">
        <v>6686</v>
      </c>
      <c r="T133" s="45">
        <v>911</v>
      </c>
    </row>
    <row r="134" spans="1:20" ht="15.5" x14ac:dyDescent="0.35">
      <c r="A134" s="59" t="s">
        <v>6485</v>
      </c>
      <c r="B134" s="45">
        <v>16</v>
      </c>
      <c r="C134" s="58" t="s">
        <v>6603</v>
      </c>
      <c r="H134" s="79" t="s">
        <v>4</v>
      </c>
      <c r="I134" s="137">
        <v>44930</v>
      </c>
      <c r="J134" s="80" t="s">
        <v>46</v>
      </c>
      <c r="K134" s="92" t="str">
        <f>VLOOKUP(T134,'Index Sets'!$A$2:$C$4000,2,FALSE)</f>
        <v>S97144</v>
      </c>
      <c r="L134" s="93" t="str">
        <f>VLOOKUP(T134,'Index Sets'!$A$2:$C$4000,3,FALSE)</f>
        <v>S95144</v>
      </c>
      <c r="M134" s="89" t="e">
        <f>VLOOKUP(A134&amp;B134,CHOOSE({1,2},PCR!$A$1:$A$3000&amp;PCR!$B$1:$B$3000,PCR!$C$1:$C$3000),2,0)</f>
        <v>#N/A</v>
      </c>
      <c r="R134" s="55" t="s">
        <v>6686</v>
      </c>
      <c r="T134" s="45">
        <v>912</v>
      </c>
    </row>
    <row r="135" spans="1:20" ht="15.5" x14ac:dyDescent="0.35">
      <c r="A135" s="59" t="s">
        <v>6485</v>
      </c>
      <c r="B135" s="45">
        <v>17</v>
      </c>
      <c r="C135" s="58" t="s">
        <v>6604</v>
      </c>
      <c r="H135" s="79" t="s">
        <v>4</v>
      </c>
      <c r="I135" s="137">
        <v>44930</v>
      </c>
      <c r="J135" s="80" t="s">
        <v>46</v>
      </c>
      <c r="K135" s="92" t="str">
        <f>VLOOKUP(T135,'Index Sets'!$A$2:$C$4000,2,FALSE)</f>
        <v>S97151</v>
      </c>
      <c r="L135" s="93" t="str">
        <f>VLOOKUP(T135,'Index Sets'!$A$2:$C$4000,3,FALSE)</f>
        <v>S95151</v>
      </c>
      <c r="M135" s="89" t="e">
        <f>VLOOKUP(A135&amp;B135,CHOOSE({1,2},PCR!$A$1:$A$3000&amp;PCR!$B$1:$B$3000,PCR!$C$1:$C$3000),2,0)</f>
        <v>#N/A</v>
      </c>
      <c r="R135" s="55" t="s">
        <v>6686</v>
      </c>
      <c r="T135" s="45">
        <v>919</v>
      </c>
    </row>
    <row r="136" spans="1:20" ht="15.5" x14ac:dyDescent="0.35">
      <c r="A136" s="59" t="s">
        <v>6485</v>
      </c>
      <c r="B136" s="45">
        <v>18</v>
      </c>
      <c r="C136" s="58" t="s">
        <v>6605</v>
      </c>
      <c r="H136" s="79" t="s">
        <v>4</v>
      </c>
      <c r="I136" s="137">
        <v>44930</v>
      </c>
      <c r="J136" s="80" t="s">
        <v>46</v>
      </c>
      <c r="K136" s="92" t="str">
        <f>VLOOKUP(T136,'Index Sets'!$A$2:$C$4000,2,FALSE)</f>
        <v>S97152</v>
      </c>
      <c r="L136" s="93" t="str">
        <f>VLOOKUP(T136,'Index Sets'!$A$2:$C$4000,3,FALSE)</f>
        <v>S95152</v>
      </c>
      <c r="M136" s="89" t="e">
        <f>VLOOKUP(A136&amp;B136,CHOOSE({1,2},PCR!$A$1:$A$3000&amp;PCR!$B$1:$B$3000,PCR!$C$1:$C$3000),2,0)</f>
        <v>#N/A</v>
      </c>
      <c r="R136" s="55" t="s">
        <v>6686</v>
      </c>
      <c r="T136" s="45">
        <v>920</v>
      </c>
    </row>
    <row r="137" spans="1:20" ht="15.5" x14ac:dyDescent="0.35">
      <c r="A137" s="130" t="s">
        <v>6485</v>
      </c>
      <c r="B137" s="132">
        <v>19</v>
      </c>
      <c r="C137" s="133" t="s">
        <v>6606</v>
      </c>
      <c r="H137" s="79" t="s">
        <v>4</v>
      </c>
      <c r="I137" s="137">
        <v>44930</v>
      </c>
      <c r="J137" s="80" t="s">
        <v>46</v>
      </c>
      <c r="K137" s="92" t="str">
        <f>VLOOKUP(T137,'Index Sets'!$A$2:$C$4000,2,FALSE)</f>
        <v>S97272</v>
      </c>
      <c r="L137" s="93" t="str">
        <f>VLOOKUP(T137,'Index Sets'!$A$2:$C$4000,3,FALSE)</f>
        <v>S95272</v>
      </c>
      <c r="M137" s="89" t="e">
        <f>VLOOKUP(A137&amp;B137,CHOOSE({1,2},PCR!$A$1:$A$3000&amp;PCR!$B$1:$B$3000,PCR!$C$1:$C$3000),2,0)</f>
        <v>#N/A</v>
      </c>
      <c r="R137" s="55" t="s">
        <v>6686</v>
      </c>
      <c r="T137" s="132">
        <v>1040</v>
      </c>
    </row>
    <row r="138" spans="1:20" ht="15.5" x14ac:dyDescent="0.35">
      <c r="A138" s="59" t="s">
        <v>6486</v>
      </c>
      <c r="B138" s="45">
        <v>1</v>
      </c>
      <c r="C138" s="58" t="s">
        <v>6607</v>
      </c>
      <c r="H138" s="79" t="s">
        <v>4</v>
      </c>
      <c r="I138" s="137">
        <v>44930</v>
      </c>
      <c r="J138" s="80" t="s">
        <v>46</v>
      </c>
      <c r="K138" s="92" t="str">
        <f>VLOOKUP(T138,'Index Sets'!$A$2:$C$4000,2,FALSE)</f>
        <v>S97097</v>
      </c>
      <c r="L138" s="93" t="str">
        <f>VLOOKUP(T138,'Index Sets'!$A$2:$C$4000,3,FALSE)</f>
        <v>S95097</v>
      </c>
      <c r="M138" s="89" t="e">
        <f>VLOOKUP(A138&amp;B138,CHOOSE({1,2},PCR!$A$1:$A$3000&amp;PCR!$B$1:$B$3000,PCR!$C$1:$C$3000),2,0)</f>
        <v>#N/A</v>
      </c>
      <c r="R138" s="55" t="s">
        <v>6686</v>
      </c>
      <c r="T138" s="45">
        <v>865</v>
      </c>
    </row>
    <row r="139" spans="1:20" ht="15.5" x14ac:dyDescent="0.35">
      <c r="A139" s="59" t="s">
        <v>6486</v>
      </c>
      <c r="B139" s="45">
        <v>2</v>
      </c>
      <c r="C139" s="58" t="s">
        <v>6608</v>
      </c>
      <c r="H139" s="79" t="s">
        <v>4</v>
      </c>
      <c r="I139" s="137">
        <v>44930</v>
      </c>
      <c r="J139" s="80" t="s">
        <v>46</v>
      </c>
      <c r="K139" s="92" t="str">
        <f>VLOOKUP(T139,'Index Sets'!$A$2:$C$4000,2,FALSE)</f>
        <v>S97098</v>
      </c>
      <c r="L139" s="93" t="str">
        <f>VLOOKUP(T139,'Index Sets'!$A$2:$C$4000,3,FALSE)</f>
        <v>S95098</v>
      </c>
      <c r="M139" s="89" t="e">
        <f>VLOOKUP(A139&amp;B139,CHOOSE({1,2},PCR!$A$1:$A$3000&amp;PCR!$B$1:$B$3000,PCR!$C$1:$C$3000),2,0)</f>
        <v>#N/A</v>
      </c>
      <c r="R139" s="55" t="s">
        <v>6686</v>
      </c>
      <c r="T139" s="45">
        <v>866</v>
      </c>
    </row>
    <row r="140" spans="1:20" ht="15.5" x14ac:dyDescent="0.35">
      <c r="A140" s="59" t="s">
        <v>6486</v>
      </c>
      <c r="B140" s="45">
        <v>3</v>
      </c>
      <c r="C140" s="58" t="s">
        <v>6609</v>
      </c>
      <c r="H140" s="79" t="s">
        <v>4</v>
      </c>
      <c r="I140" s="137">
        <v>44930</v>
      </c>
      <c r="J140" s="80" t="s">
        <v>46</v>
      </c>
      <c r="K140" s="92" t="str">
        <f>VLOOKUP(T140,'Index Sets'!$A$2:$C$4000,2,FALSE)</f>
        <v>S97099</v>
      </c>
      <c r="L140" s="93" t="str">
        <f>VLOOKUP(T140,'Index Sets'!$A$2:$C$4000,3,FALSE)</f>
        <v>S95099</v>
      </c>
      <c r="M140" s="89" t="e">
        <f>VLOOKUP(A140&amp;B140,CHOOSE({1,2},PCR!$A$1:$A$3000&amp;PCR!$B$1:$B$3000,PCR!$C$1:$C$3000),2,0)</f>
        <v>#N/A</v>
      </c>
      <c r="R140" s="55" t="s">
        <v>6686</v>
      </c>
      <c r="T140" s="45">
        <v>867</v>
      </c>
    </row>
    <row r="141" spans="1:20" ht="15.5" x14ac:dyDescent="0.35">
      <c r="A141" s="59" t="s">
        <v>6486</v>
      </c>
      <c r="B141" s="45">
        <v>4</v>
      </c>
      <c r="C141" s="58" t="s">
        <v>6610</v>
      </c>
      <c r="H141" s="59" t="s">
        <v>4</v>
      </c>
      <c r="I141" s="137">
        <v>44930</v>
      </c>
      <c r="J141" s="59" t="s">
        <v>46</v>
      </c>
      <c r="K141" s="59" t="str">
        <f>VLOOKUP(T141,'Index Sets'!$A$2:$C$4000,2,FALSE)</f>
        <v>S97100</v>
      </c>
      <c r="L141" s="59" t="str">
        <f>VLOOKUP(T141,'Index Sets'!$A$2:$C$4000,3,FALSE)</f>
        <v>S95100</v>
      </c>
      <c r="M141" s="60" t="e">
        <f>VLOOKUP(A141&amp;B141,CHOOSE({1,2},PCR!$A$1:$A$3000&amp;PCR!$B$1:$B$3000,PCR!$C$1:$C$3000),2,0)</f>
        <v>#N/A</v>
      </c>
      <c r="R141" s="55" t="s">
        <v>6686</v>
      </c>
      <c r="T141" s="45">
        <v>868</v>
      </c>
    </row>
    <row r="142" spans="1:20" ht="15.5" x14ac:dyDescent="0.35">
      <c r="A142" s="59" t="s">
        <v>6486</v>
      </c>
      <c r="B142" s="45">
        <v>5</v>
      </c>
      <c r="C142" s="58" t="s">
        <v>6611</v>
      </c>
      <c r="H142" s="59" t="s">
        <v>4</v>
      </c>
      <c r="I142" s="137">
        <v>44930</v>
      </c>
      <c r="J142" s="59" t="s">
        <v>46</v>
      </c>
      <c r="K142" s="59" t="str">
        <f>VLOOKUP(T142,'Index Sets'!$A$2:$C$4000,2,FALSE)</f>
        <v>S97101</v>
      </c>
      <c r="L142" s="59" t="str">
        <f>VLOOKUP(T142,'Index Sets'!$A$2:$C$4000,3,FALSE)</f>
        <v>S95101</v>
      </c>
      <c r="M142" s="60" t="e">
        <f>VLOOKUP(A142&amp;B142,CHOOSE({1,2},PCR!$A$1:$A$3000&amp;PCR!$B$1:$B$3000,PCR!$C$1:$C$3000),2,0)</f>
        <v>#N/A</v>
      </c>
      <c r="R142" s="55" t="s">
        <v>6686</v>
      </c>
      <c r="T142" s="45">
        <v>869</v>
      </c>
    </row>
    <row r="143" spans="1:20" ht="15.5" x14ac:dyDescent="0.35">
      <c r="A143" s="59" t="s">
        <v>6486</v>
      </c>
      <c r="B143" s="45">
        <v>6</v>
      </c>
      <c r="C143" s="58" t="s">
        <v>6612</v>
      </c>
      <c r="H143" s="59" t="s">
        <v>4</v>
      </c>
      <c r="I143" s="137">
        <v>44930</v>
      </c>
      <c r="J143" s="59" t="s">
        <v>46</v>
      </c>
      <c r="K143" s="59" t="str">
        <f>VLOOKUP(T143,'Index Sets'!$A$2:$C$4000,2,FALSE)</f>
        <v>S97102</v>
      </c>
      <c r="L143" s="59" t="str">
        <f>VLOOKUP(T143,'Index Sets'!$A$2:$C$4000,3,FALSE)</f>
        <v>S95102</v>
      </c>
      <c r="M143" s="60" t="e">
        <f>VLOOKUP(A143&amp;B143,CHOOSE({1,2},PCR!$A$1:$A$3000&amp;PCR!$B$1:$B$3000,PCR!$C$1:$C$3000),2,0)</f>
        <v>#N/A</v>
      </c>
      <c r="R143" s="55" t="s">
        <v>6686</v>
      </c>
      <c r="T143" s="45">
        <v>870</v>
      </c>
    </row>
    <row r="144" spans="1:20" ht="15.5" x14ac:dyDescent="0.35">
      <c r="A144" s="59" t="s">
        <v>6486</v>
      </c>
      <c r="B144" s="45">
        <v>7</v>
      </c>
      <c r="C144" s="58" t="s">
        <v>6613</v>
      </c>
      <c r="H144" s="59" t="s">
        <v>4</v>
      </c>
      <c r="I144" s="137">
        <v>44930</v>
      </c>
      <c r="J144" s="59" t="s">
        <v>46</v>
      </c>
      <c r="K144" s="59" t="str">
        <f>VLOOKUP(T144,'Index Sets'!$A$2:$C$4000,2,FALSE)</f>
        <v>S97103</v>
      </c>
      <c r="L144" s="59" t="str">
        <f>VLOOKUP(T144,'Index Sets'!$A$2:$C$4000,3,FALSE)</f>
        <v>S95103</v>
      </c>
      <c r="M144" s="60" t="e">
        <f>VLOOKUP(A144&amp;B144,CHOOSE({1,2},PCR!$A$1:$A$3000&amp;PCR!$B$1:$B$3000,PCR!$C$1:$C$3000),2,0)</f>
        <v>#N/A</v>
      </c>
      <c r="R144" s="55" t="s">
        <v>6686</v>
      </c>
      <c r="T144" s="45">
        <v>871</v>
      </c>
    </row>
    <row r="145" spans="1:20" ht="15.5" x14ac:dyDescent="0.35">
      <c r="A145" s="59" t="s">
        <v>6486</v>
      </c>
      <c r="B145" s="45">
        <v>8</v>
      </c>
      <c r="C145" s="58" t="s">
        <v>6614</v>
      </c>
      <c r="H145" s="59" t="s">
        <v>4</v>
      </c>
      <c r="I145" s="137">
        <v>44930</v>
      </c>
      <c r="J145" s="59" t="s">
        <v>46</v>
      </c>
      <c r="K145" s="59" t="str">
        <f>VLOOKUP(T145,'Index Sets'!$A$2:$C$4000,2,FALSE)</f>
        <v>S97104</v>
      </c>
      <c r="L145" s="59" t="str">
        <f>VLOOKUP(T145,'Index Sets'!$A$2:$C$4000,3,FALSE)</f>
        <v>S95104</v>
      </c>
      <c r="M145" s="60" t="e">
        <f>VLOOKUP(A145&amp;B145,CHOOSE({1,2},PCR!$A$1:$A$3000&amp;PCR!$B$1:$B$3000,PCR!$C$1:$C$3000),2,0)</f>
        <v>#N/A</v>
      </c>
      <c r="R145" s="55" t="s">
        <v>6686</v>
      </c>
      <c r="T145" s="45">
        <v>872</v>
      </c>
    </row>
    <row r="146" spans="1:20" ht="15.5" x14ac:dyDescent="0.35">
      <c r="A146" s="59" t="s">
        <v>6486</v>
      </c>
      <c r="B146" s="45">
        <v>9</v>
      </c>
      <c r="C146" s="58" t="s">
        <v>6615</v>
      </c>
      <c r="H146" s="59" t="s">
        <v>4</v>
      </c>
      <c r="I146" s="137">
        <v>44930</v>
      </c>
      <c r="J146" s="59" t="s">
        <v>46</v>
      </c>
      <c r="K146" s="59" t="str">
        <f>VLOOKUP(T146,'Index Sets'!$A$2:$C$4000,2,FALSE)</f>
        <v>S97109</v>
      </c>
      <c r="L146" s="59" t="str">
        <f>VLOOKUP(T146,'Index Sets'!$A$2:$C$4000,3,FALSE)</f>
        <v>S95109</v>
      </c>
      <c r="M146" s="60" t="e">
        <f>VLOOKUP(A146&amp;B146,CHOOSE({1,2},PCR!$A$1:$A$3000&amp;PCR!$B$1:$B$3000,PCR!$C$1:$C$3000),2,0)</f>
        <v>#N/A</v>
      </c>
      <c r="R146" s="55" t="s">
        <v>6686</v>
      </c>
      <c r="T146" s="45">
        <v>877</v>
      </c>
    </row>
    <row r="147" spans="1:20" ht="15.5" x14ac:dyDescent="0.35">
      <c r="A147" s="59" t="s">
        <v>6486</v>
      </c>
      <c r="B147" s="45">
        <v>10</v>
      </c>
      <c r="C147" s="58" t="s">
        <v>6616</v>
      </c>
      <c r="H147" s="59" t="s">
        <v>4</v>
      </c>
      <c r="I147" s="137">
        <v>44930</v>
      </c>
      <c r="J147" s="59" t="s">
        <v>46</v>
      </c>
      <c r="K147" s="59" t="str">
        <f>VLOOKUP(T147,'Index Sets'!$A$2:$C$4000,2,FALSE)</f>
        <v>S97110</v>
      </c>
      <c r="L147" s="59" t="str">
        <f>VLOOKUP(T147,'Index Sets'!$A$2:$C$4000,3,FALSE)</f>
        <v>S95110</v>
      </c>
      <c r="M147" s="60" t="e">
        <f>VLOOKUP(A147&amp;B147,CHOOSE({1,2},PCR!$A$1:$A$3000&amp;PCR!$B$1:$B$3000,PCR!$C$1:$C$3000),2,0)</f>
        <v>#N/A</v>
      </c>
      <c r="R147" s="55" t="s">
        <v>6686</v>
      </c>
      <c r="T147" s="45">
        <v>878</v>
      </c>
    </row>
    <row r="148" spans="1:20" ht="15.5" x14ac:dyDescent="0.35">
      <c r="A148" s="59" t="s">
        <v>6486</v>
      </c>
      <c r="B148" s="45">
        <v>11</v>
      </c>
      <c r="C148" s="58" t="s">
        <v>6617</v>
      </c>
      <c r="H148" s="59" t="s">
        <v>4</v>
      </c>
      <c r="I148" s="137">
        <v>44930</v>
      </c>
      <c r="J148" s="59" t="s">
        <v>46</v>
      </c>
      <c r="K148" s="59" t="str">
        <f>VLOOKUP(T148,'Index Sets'!$A$2:$C$4000,2,FALSE)</f>
        <v>S97111</v>
      </c>
      <c r="L148" s="59" t="str">
        <f>VLOOKUP(T148,'Index Sets'!$A$2:$C$4000,3,FALSE)</f>
        <v>S95111</v>
      </c>
      <c r="M148" s="60" t="e">
        <f>VLOOKUP(A148&amp;B148,CHOOSE({1,2},PCR!$A$1:$A$3000&amp;PCR!$B$1:$B$3000,PCR!$C$1:$C$3000),2,0)</f>
        <v>#N/A</v>
      </c>
      <c r="R148" s="55" t="s">
        <v>6686</v>
      </c>
      <c r="T148" s="45">
        <v>879</v>
      </c>
    </row>
    <row r="149" spans="1:20" ht="15.5" x14ac:dyDescent="0.35">
      <c r="A149" s="59" t="s">
        <v>6486</v>
      </c>
      <c r="B149" s="45">
        <v>12</v>
      </c>
      <c r="C149" s="58" t="s">
        <v>6618</v>
      </c>
      <c r="H149" s="59" t="s">
        <v>4</v>
      </c>
      <c r="I149" s="137">
        <v>44930</v>
      </c>
      <c r="J149" s="59" t="s">
        <v>46</v>
      </c>
      <c r="K149" s="59" t="str">
        <f>VLOOKUP(T149,'Index Sets'!$A$2:$C$4000,2,FALSE)</f>
        <v>S97112</v>
      </c>
      <c r="L149" s="59" t="str">
        <f>VLOOKUP(T149,'Index Sets'!$A$2:$C$4000,3,FALSE)</f>
        <v>S95112</v>
      </c>
      <c r="M149" s="60" t="e">
        <f>VLOOKUP(A149&amp;B149,CHOOSE({1,2},PCR!$A$1:$A$3000&amp;PCR!$B$1:$B$3000,PCR!$C$1:$C$3000),2,0)</f>
        <v>#N/A</v>
      </c>
      <c r="R149" s="55" t="s">
        <v>6686</v>
      </c>
      <c r="T149" s="45">
        <v>880</v>
      </c>
    </row>
    <row r="150" spans="1:20" ht="15.5" x14ac:dyDescent="0.35">
      <c r="A150" s="59" t="s">
        <v>6486</v>
      </c>
      <c r="B150" s="45">
        <v>13</v>
      </c>
      <c r="C150" s="58" t="s">
        <v>6619</v>
      </c>
      <c r="H150" s="59" t="s">
        <v>4</v>
      </c>
      <c r="I150" s="137">
        <v>44930</v>
      </c>
      <c r="J150" s="59" t="s">
        <v>46</v>
      </c>
      <c r="K150" s="59" t="str">
        <f>VLOOKUP(T150,'Index Sets'!$A$2:$C$4000,2,FALSE)</f>
        <v>S97117</v>
      </c>
      <c r="L150" s="59" t="str">
        <f>VLOOKUP(T150,'Index Sets'!$A$2:$C$4000,3,FALSE)</f>
        <v>S95117</v>
      </c>
      <c r="M150" s="60" t="e">
        <f>VLOOKUP(A150&amp;B150,CHOOSE({1,2},PCR!$A$1:$A$3000&amp;PCR!$B$1:$B$3000,PCR!$C$1:$C$3000),2,0)</f>
        <v>#N/A</v>
      </c>
      <c r="R150" s="55" t="s">
        <v>6686</v>
      </c>
      <c r="T150" s="45">
        <v>885</v>
      </c>
    </row>
    <row r="151" spans="1:20" ht="15.5" x14ac:dyDescent="0.35">
      <c r="A151" s="59" t="s">
        <v>6486</v>
      </c>
      <c r="B151" s="45">
        <v>14</v>
      </c>
      <c r="C151" s="58" t="s">
        <v>6620</v>
      </c>
      <c r="H151" s="59" t="s">
        <v>4</v>
      </c>
      <c r="I151" s="137">
        <v>44930</v>
      </c>
      <c r="J151" s="59" t="s">
        <v>46</v>
      </c>
      <c r="K151" s="59" t="str">
        <f>VLOOKUP(T151,'Index Sets'!$A$2:$C$4000,2,FALSE)</f>
        <v>S97118</v>
      </c>
      <c r="L151" s="59" t="str">
        <f>VLOOKUP(T151,'Index Sets'!$A$2:$C$4000,3,FALSE)</f>
        <v>S95118</v>
      </c>
      <c r="M151" s="60" t="e">
        <f>VLOOKUP(A151&amp;B151,CHOOSE({1,2},PCR!$A$1:$A$3000&amp;PCR!$B$1:$B$3000,PCR!$C$1:$C$3000),2,0)</f>
        <v>#N/A</v>
      </c>
      <c r="R151" s="55" t="s">
        <v>6686</v>
      </c>
      <c r="T151" s="45">
        <v>886</v>
      </c>
    </row>
    <row r="152" spans="1:20" ht="15.5" x14ac:dyDescent="0.35">
      <c r="A152" s="59" t="s">
        <v>6486</v>
      </c>
      <c r="B152" s="45">
        <v>15</v>
      </c>
      <c r="C152" s="58" t="s">
        <v>6621</v>
      </c>
      <c r="H152" s="59" t="s">
        <v>4</v>
      </c>
      <c r="I152" s="137">
        <v>44930</v>
      </c>
      <c r="J152" s="59" t="s">
        <v>46</v>
      </c>
      <c r="K152" s="59" t="str">
        <f>VLOOKUP(T152,'Index Sets'!$A$2:$C$4000,2,FALSE)</f>
        <v>S97119</v>
      </c>
      <c r="L152" s="59" t="str">
        <f>VLOOKUP(T152,'Index Sets'!$A$2:$C$4000,3,FALSE)</f>
        <v>S95119</v>
      </c>
      <c r="M152" s="60" t="e">
        <f>VLOOKUP(A152&amp;B152,CHOOSE({1,2},PCR!$A$1:$A$3000&amp;PCR!$B$1:$B$3000,PCR!$C$1:$C$3000),2,0)</f>
        <v>#N/A</v>
      </c>
      <c r="R152" s="55" t="s">
        <v>6686</v>
      </c>
      <c r="T152" s="45">
        <v>887</v>
      </c>
    </row>
    <row r="153" spans="1:20" ht="15.5" x14ac:dyDescent="0.35">
      <c r="A153" s="59" t="s">
        <v>6486</v>
      </c>
      <c r="B153" s="45">
        <v>16</v>
      </c>
      <c r="C153" s="58" t="s">
        <v>6622</v>
      </c>
      <c r="H153" s="59" t="s">
        <v>4</v>
      </c>
      <c r="I153" s="137">
        <v>44930</v>
      </c>
      <c r="J153" s="59" t="s">
        <v>46</v>
      </c>
      <c r="K153" s="59" t="str">
        <f>VLOOKUP(T153,'Index Sets'!$A$2:$C$4000,2,FALSE)</f>
        <v>S97120</v>
      </c>
      <c r="L153" s="59" t="str">
        <f>VLOOKUP(T153,'Index Sets'!$A$2:$C$4000,3,FALSE)</f>
        <v>S95120</v>
      </c>
      <c r="M153" s="60" t="e">
        <f>VLOOKUP(A153&amp;B153,CHOOSE({1,2},PCR!$A$1:$A$3000&amp;PCR!$B$1:$B$3000,PCR!$C$1:$C$3000),2,0)</f>
        <v>#N/A</v>
      </c>
      <c r="R153" s="55" t="s">
        <v>6686</v>
      </c>
      <c r="T153" s="45">
        <v>888</v>
      </c>
    </row>
    <row r="154" spans="1:20" ht="15.5" x14ac:dyDescent="0.35">
      <c r="A154" s="59" t="s">
        <v>6486</v>
      </c>
      <c r="B154" s="45">
        <v>17</v>
      </c>
      <c r="C154" s="58" t="s">
        <v>6623</v>
      </c>
      <c r="H154" s="59" t="s">
        <v>4</v>
      </c>
      <c r="I154" s="137">
        <v>44930</v>
      </c>
      <c r="J154" s="59" t="s">
        <v>46</v>
      </c>
      <c r="K154" s="59" t="str">
        <f>VLOOKUP(T154,'Index Sets'!$A$2:$C$4000,2,FALSE)</f>
        <v>S97121</v>
      </c>
      <c r="L154" s="59" t="str">
        <f>VLOOKUP(T154,'Index Sets'!$A$2:$C$4000,3,FALSE)</f>
        <v>S95121</v>
      </c>
      <c r="M154" s="60" t="e">
        <f>VLOOKUP(A154&amp;B154,CHOOSE({1,2},PCR!$A$1:$A$3000&amp;PCR!$B$1:$B$3000,PCR!$C$1:$C$3000),2,0)</f>
        <v>#N/A</v>
      </c>
      <c r="R154" s="55" t="s">
        <v>6686</v>
      </c>
      <c r="T154" s="45">
        <v>889</v>
      </c>
    </row>
    <row r="155" spans="1:20" ht="15.5" x14ac:dyDescent="0.35">
      <c r="A155" s="59" t="s">
        <v>6486</v>
      </c>
      <c r="B155" s="45">
        <v>18</v>
      </c>
      <c r="C155" s="58" t="s">
        <v>6624</v>
      </c>
      <c r="H155" s="59" t="s">
        <v>4</v>
      </c>
      <c r="I155" s="137">
        <v>44930</v>
      </c>
      <c r="J155" s="59" t="s">
        <v>46</v>
      </c>
      <c r="K155" s="59" t="str">
        <f>VLOOKUP(T155,'Index Sets'!$A$2:$C$4000,2,FALSE)</f>
        <v>S97122</v>
      </c>
      <c r="L155" s="59" t="str">
        <f>VLOOKUP(T155,'Index Sets'!$A$2:$C$4000,3,FALSE)</f>
        <v>S95122</v>
      </c>
      <c r="M155" s="60" t="e">
        <f>VLOOKUP(A155&amp;B155,CHOOSE({1,2},PCR!$A$1:$A$3000&amp;PCR!$B$1:$B$3000,PCR!$C$1:$C$3000),2,0)</f>
        <v>#N/A</v>
      </c>
      <c r="R155" s="55" t="s">
        <v>6686</v>
      </c>
      <c r="T155" s="45">
        <v>890</v>
      </c>
    </row>
    <row r="156" spans="1:20" ht="15.5" x14ac:dyDescent="0.35">
      <c r="A156" s="59" t="s">
        <v>6486</v>
      </c>
      <c r="B156" s="45">
        <v>19</v>
      </c>
      <c r="C156" s="58" t="s">
        <v>6625</v>
      </c>
      <c r="H156" s="59" t="s">
        <v>4</v>
      </c>
      <c r="I156" s="137">
        <v>44930</v>
      </c>
      <c r="J156" s="59" t="s">
        <v>46</v>
      </c>
      <c r="K156" s="59" t="str">
        <f>VLOOKUP(T156,'Index Sets'!$A$2:$C$4000,2,FALSE)</f>
        <v>S97123</v>
      </c>
      <c r="L156" s="59" t="str">
        <f>VLOOKUP(T156,'Index Sets'!$A$2:$C$4000,3,FALSE)</f>
        <v>S95123</v>
      </c>
      <c r="M156" s="60" t="e">
        <f>VLOOKUP(A156&amp;B156,CHOOSE({1,2},PCR!$A$1:$A$3000&amp;PCR!$B$1:$B$3000,PCR!$C$1:$C$3000),2,0)</f>
        <v>#N/A</v>
      </c>
      <c r="R156" s="55" t="s">
        <v>6686</v>
      </c>
      <c r="T156" s="45">
        <v>891</v>
      </c>
    </row>
    <row r="157" spans="1:20" ht="15.5" x14ac:dyDescent="0.35">
      <c r="A157" s="59" t="s">
        <v>6486</v>
      </c>
      <c r="B157" s="45">
        <v>20</v>
      </c>
      <c r="C157" s="58" t="s">
        <v>6626</v>
      </c>
      <c r="H157" s="59" t="s">
        <v>4</v>
      </c>
      <c r="I157" s="137">
        <v>44930</v>
      </c>
      <c r="J157" s="59" t="s">
        <v>46</v>
      </c>
      <c r="K157" s="59" t="str">
        <f>VLOOKUP(T157,'Index Sets'!$A$2:$C$4000,2,FALSE)</f>
        <v>S97124</v>
      </c>
      <c r="L157" s="59" t="str">
        <f>VLOOKUP(T157,'Index Sets'!$A$2:$C$4000,3,FALSE)</f>
        <v>S95124</v>
      </c>
      <c r="M157" s="60" t="e">
        <f>VLOOKUP(A157&amp;B157,CHOOSE({1,2},PCR!$A$1:$A$3000&amp;PCR!$B$1:$B$3000,PCR!$C$1:$C$3000),2,0)</f>
        <v>#N/A</v>
      </c>
      <c r="R157" s="55" t="s">
        <v>6686</v>
      </c>
      <c r="T157" s="45">
        <v>892</v>
      </c>
    </row>
    <row r="158" spans="1:20" ht="15.5" x14ac:dyDescent="0.35">
      <c r="A158" s="59" t="s">
        <v>6486</v>
      </c>
      <c r="B158" s="45">
        <v>21</v>
      </c>
      <c r="C158" s="58" t="s">
        <v>6627</v>
      </c>
      <c r="H158" s="59" t="s">
        <v>4</v>
      </c>
      <c r="I158" s="137">
        <v>44930</v>
      </c>
      <c r="J158" s="59" t="s">
        <v>46</v>
      </c>
      <c r="K158" s="59" t="str">
        <f>VLOOKUP(T158,'Index Sets'!$A$2:$C$4000,2,FALSE)</f>
        <v>S97125</v>
      </c>
      <c r="L158" s="59" t="str">
        <f>VLOOKUP(T158,'Index Sets'!$A$2:$C$4000,3,FALSE)</f>
        <v>S95125</v>
      </c>
      <c r="M158" s="60" t="e">
        <f>VLOOKUP(A158&amp;B158,CHOOSE({1,2},PCR!$A$1:$A$3000&amp;PCR!$B$1:$B$3000,PCR!$C$1:$C$3000),2,0)</f>
        <v>#N/A</v>
      </c>
      <c r="R158" s="55" t="s">
        <v>6686</v>
      </c>
      <c r="T158" s="45">
        <v>893</v>
      </c>
    </row>
    <row r="159" spans="1:20" ht="15.5" x14ac:dyDescent="0.35">
      <c r="A159" s="59" t="s">
        <v>6486</v>
      </c>
      <c r="B159" s="45">
        <v>22</v>
      </c>
      <c r="C159" s="58" t="s">
        <v>6628</v>
      </c>
      <c r="H159" s="59" t="s">
        <v>4</v>
      </c>
      <c r="I159" s="137">
        <v>44930</v>
      </c>
      <c r="J159" s="59" t="s">
        <v>46</v>
      </c>
      <c r="K159" s="59" t="str">
        <f>VLOOKUP(T159,'Index Sets'!$A$2:$C$4000,2,FALSE)</f>
        <v>S97126</v>
      </c>
      <c r="L159" s="59" t="str">
        <f>VLOOKUP(T159,'Index Sets'!$A$2:$C$4000,3,FALSE)</f>
        <v>S95126</v>
      </c>
      <c r="M159" s="60" t="e">
        <f>VLOOKUP(A159&amp;B159,CHOOSE({1,2},PCR!$A$1:$A$3000&amp;PCR!$B$1:$B$3000,PCR!$C$1:$C$3000),2,0)</f>
        <v>#N/A</v>
      </c>
      <c r="R159" s="55" t="s">
        <v>6686</v>
      </c>
      <c r="T159" s="45">
        <v>894</v>
      </c>
    </row>
    <row r="160" spans="1:20" ht="15.5" x14ac:dyDescent="0.35">
      <c r="A160" s="59" t="s">
        <v>6486</v>
      </c>
      <c r="B160" s="45">
        <v>23</v>
      </c>
      <c r="C160" s="58" t="s">
        <v>6629</v>
      </c>
      <c r="H160" s="59" t="s">
        <v>4</v>
      </c>
      <c r="I160" s="137">
        <v>44930</v>
      </c>
      <c r="J160" s="59" t="s">
        <v>46</v>
      </c>
      <c r="K160" s="59" t="str">
        <f>VLOOKUP(T160,'Index Sets'!$A$2:$C$4000,2,FALSE)</f>
        <v>S97127</v>
      </c>
      <c r="L160" s="59" t="str">
        <f>VLOOKUP(T160,'Index Sets'!$A$2:$C$4000,3,FALSE)</f>
        <v>S95127</v>
      </c>
      <c r="M160" s="60" t="e">
        <f>VLOOKUP(A160&amp;B160,CHOOSE({1,2},PCR!$A$1:$A$3000&amp;PCR!$B$1:$B$3000,PCR!$C$1:$C$3000),2,0)</f>
        <v>#N/A</v>
      </c>
      <c r="R160" s="55" t="s">
        <v>6686</v>
      </c>
      <c r="T160" s="45">
        <v>895</v>
      </c>
    </row>
    <row r="161" spans="1:20" ht="15.5" x14ac:dyDescent="0.35">
      <c r="A161" s="130" t="s">
        <v>6486</v>
      </c>
      <c r="B161" s="132">
        <v>24</v>
      </c>
      <c r="C161" s="133" t="s">
        <v>6630</v>
      </c>
      <c r="H161" s="59" t="s">
        <v>4</v>
      </c>
      <c r="I161" s="137">
        <v>44930</v>
      </c>
      <c r="J161" s="59" t="s">
        <v>46</v>
      </c>
      <c r="K161" s="59" t="str">
        <f>VLOOKUP(T161,'Index Sets'!$A$2:$C$4000,2,FALSE)</f>
        <v>S97128</v>
      </c>
      <c r="L161" s="59" t="str">
        <f>VLOOKUP(T161,'Index Sets'!$A$2:$C$4000,3,FALSE)</f>
        <v>S95128</v>
      </c>
      <c r="M161" s="60" t="e">
        <f>VLOOKUP(A161&amp;B161,CHOOSE({1,2},PCR!$A$1:$A$3000&amp;PCR!$B$1:$B$3000,PCR!$C$1:$C$3000),2,0)</f>
        <v>#N/A</v>
      </c>
      <c r="R161" s="55" t="s">
        <v>6686</v>
      </c>
      <c r="T161" s="132">
        <v>896</v>
      </c>
    </row>
    <row r="162" spans="1:20" ht="15.5" x14ac:dyDescent="0.35">
      <c r="A162" s="59" t="s">
        <v>6487</v>
      </c>
      <c r="B162" s="45">
        <v>1</v>
      </c>
      <c r="C162" s="58" t="s">
        <v>6631</v>
      </c>
      <c r="H162" s="59" t="s">
        <v>4</v>
      </c>
      <c r="I162" s="137">
        <v>44930</v>
      </c>
      <c r="J162" s="59" t="s">
        <v>46</v>
      </c>
      <c r="K162" s="59" t="str">
        <f>VLOOKUP(T162,'Index Sets'!$A$2:$C$4000,2,FALSE)</f>
        <v>S5701</v>
      </c>
      <c r="L162" s="59" t="str">
        <f>VLOOKUP(T162,'Index Sets'!$A$2:$C$4000,3,FALSE)</f>
        <v>S5501</v>
      </c>
      <c r="M162" s="60" t="e">
        <f>VLOOKUP(A162&amp;B162,CHOOSE({1,2},PCR!$A$1:$A$3000&amp;PCR!$B$1:$B$3000,PCR!$C$1:$C$3000),2,0)</f>
        <v>#N/A</v>
      </c>
      <c r="R162" s="55" t="s">
        <v>6686</v>
      </c>
      <c r="T162" s="45">
        <v>385</v>
      </c>
    </row>
    <row r="163" spans="1:20" ht="15.5" x14ac:dyDescent="0.35">
      <c r="A163" s="59" t="s">
        <v>6487</v>
      </c>
      <c r="B163" s="45">
        <v>2</v>
      </c>
      <c r="C163" s="58" t="s">
        <v>6632</v>
      </c>
      <c r="H163" s="59" t="s">
        <v>4</v>
      </c>
      <c r="I163" s="137">
        <v>44930</v>
      </c>
      <c r="J163" s="59" t="s">
        <v>46</v>
      </c>
      <c r="K163" s="59" t="str">
        <f>VLOOKUP(T163,'Index Sets'!$A$2:$C$4000,2,FALSE)</f>
        <v>S5702</v>
      </c>
      <c r="L163" s="59" t="str">
        <f>VLOOKUP(T163,'Index Sets'!$A$2:$C$4000,3,FALSE)</f>
        <v>S5502</v>
      </c>
      <c r="M163" s="60" t="e">
        <f>VLOOKUP(A163&amp;B163,CHOOSE({1,2},PCR!$A$1:$A$3000&amp;PCR!$B$1:$B$3000,PCR!$C$1:$C$3000),2,0)</f>
        <v>#N/A</v>
      </c>
      <c r="R163" s="55" t="s">
        <v>6686</v>
      </c>
      <c r="T163" s="45">
        <v>386</v>
      </c>
    </row>
    <row r="164" spans="1:20" ht="15.5" x14ac:dyDescent="0.35">
      <c r="A164" s="59" t="s">
        <v>6487</v>
      </c>
      <c r="B164" s="45">
        <v>3</v>
      </c>
      <c r="C164" s="58" t="s">
        <v>6633</v>
      </c>
      <c r="H164" s="59" t="s">
        <v>4</v>
      </c>
      <c r="I164" s="137">
        <v>44930</v>
      </c>
      <c r="J164" s="59" t="s">
        <v>46</v>
      </c>
      <c r="K164" s="59" t="str">
        <f>VLOOKUP(T164,'Index Sets'!$A$2:$C$4000,2,FALSE)</f>
        <v>S5703</v>
      </c>
      <c r="L164" s="59" t="str">
        <f>VLOOKUP(T164,'Index Sets'!$A$2:$C$4000,3,FALSE)</f>
        <v>S5503</v>
      </c>
      <c r="M164" s="60" t="e">
        <f>VLOOKUP(A164&amp;B164,CHOOSE({1,2},PCR!$A$1:$A$3000&amp;PCR!$B$1:$B$3000,PCR!$C$1:$C$3000),2,0)</f>
        <v>#N/A</v>
      </c>
      <c r="R164" s="55" t="s">
        <v>6686</v>
      </c>
      <c r="T164" s="45">
        <v>387</v>
      </c>
    </row>
    <row r="165" spans="1:20" ht="15.5" x14ac:dyDescent="0.35">
      <c r="A165" s="59" t="s">
        <v>6487</v>
      </c>
      <c r="B165" s="45">
        <v>4</v>
      </c>
      <c r="C165" s="58" t="s">
        <v>6634</v>
      </c>
      <c r="H165" s="59" t="s">
        <v>4</v>
      </c>
      <c r="I165" s="137">
        <v>44930</v>
      </c>
      <c r="J165" s="59" t="s">
        <v>46</v>
      </c>
      <c r="K165" s="59" t="str">
        <f>VLOOKUP(T165,'Index Sets'!$A$2:$C$4000,2,FALSE)</f>
        <v>S5704</v>
      </c>
      <c r="L165" s="59" t="str">
        <f>VLOOKUP(T165,'Index Sets'!$A$2:$C$4000,3,FALSE)</f>
        <v>S5504</v>
      </c>
      <c r="M165" s="60" t="e">
        <f>VLOOKUP(A165&amp;B165,CHOOSE({1,2},PCR!$A$1:$A$3000&amp;PCR!$B$1:$B$3000,PCR!$C$1:$C$3000),2,0)</f>
        <v>#N/A</v>
      </c>
      <c r="R165" s="55" t="s">
        <v>6686</v>
      </c>
      <c r="T165" s="45">
        <v>388</v>
      </c>
    </row>
    <row r="166" spans="1:20" ht="15.5" x14ac:dyDescent="0.35">
      <c r="A166" s="59" t="s">
        <v>6487</v>
      </c>
      <c r="B166" s="45">
        <v>5</v>
      </c>
      <c r="C166" s="58" t="s">
        <v>6635</v>
      </c>
      <c r="H166" s="59" t="s">
        <v>4</v>
      </c>
      <c r="I166" s="137">
        <v>44930</v>
      </c>
      <c r="J166" s="59" t="s">
        <v>46</v>
      </c>
      <c r="K166" s="59" t="str">
        <f>VLOOKUP(T166,'Index Sets'!$A$2:$C$4000,2,FALSE)</f>
        <v>S5705</v>
      </c>
      <c r="L166" s="59" t="str">
        <f>VLOOKUP(T166,'Index Sets'!$A$2:$C$4000,3,FALSE)</f>
        <v>S5505</v>
      </c>
      <c r="M166" s="60" t="e">
        <f>VLOOKUP(A166&amp;B166,CHOOSE({1,2},PCR!$A$1:$A$3000&amp;PCR!$B$1:$B$3000,PCR!$C$1:$C$3000),2,0)</f>
        <v>#N/A</v>
      </c>
      <c r="R166" s="55" t="s">
        <v>6686</v>
      </c>
      <c r="T166" s="45">
        <v>389</v>
      </c>
    </row>
    <row r="167" spans="1:20" ht="15.5" x14ac:dyDescent="0.35">
      <c r="A167" s="59" t="s">
        <v>6487</v>
      </c>
      <c r="B167" s="45">
        <v>6</v>
      </c>
      <c r="C167" s="58" t="s">
        <v>6636</v>
      </c>
      <c r="H167" s="59" t="s">
        <v>4</v>
      </c>
      <c r="I167" s="137">
        <v>44930</v>
      </c>
      <c r="J167" s="59" t="s">
        <v>46</v>
      </c>
      <c r="K167" s="59" t="str">
        <f>VLOOKUP(T167,'Index Sets'!$A$2:$C$4000,2,FALSE)</f>
        <v>S5706</v>
      </c>
      <c r="L167" s="59" t="str">
        <f>VLOOKUP(T167,'Index Sets'!$A$2:$C$4000,3,FALSE)</f>
        <v>S5506</v>
      </c>
      <c r="M167" s="60" t="e">
        <f>VLOOKUP(A167&amp;B167,CHOOSE({1,2},PCR!$A$1:$A$3000&amp;PCR!$B$1:$B$3000,PCR!$C$1:$C$3000),2,0)</f>
        <v>#N/A</v>
      </c>
      <c r="R167" s="55" t="s">
        <v>6686</v>
      </c>
      <c r="T167" s="45">
        <v>390</v>
      </c>
    </row>
    <row r="168" spans="1:20" ht="15.5" x14ac:dyDescent="0.35">
      <c r="A168" s="59" t="s">
        <v>6487</v>
      </c>
      <c r="B168" s="45">
        <v>7</v>
      </c>
      <c r="C168" s="58" t="s">
        <v>6637</v>
      </c>
      <c r="H168" s="59" t="s">
        <v>4</v>
      </c>
      <c r="I168" s="137">
        <v>44930</v>
      </c>
      <c r="J168" s="59" t="s">
        <v>46</v>
      </c>
      <c r="K168" s="59" t="str">
        <f>VLOOKUP(T168,'Index Sets'!$A$2:$C$4000,2,FALSE)</f>
        <v>S5707</v>
      </c>
      <c r="L168" s="59" t="str">
        <f>VLOOKUP(T168,'Index Sets'!$A$2:$C$4000,3,FALSE)</f>
        <v>S5507</v>
      </c>
      <c r="M168" s="60" t="e">
        <f>VLOOKUP(A168&amp;B168,CHOOSE({1,2},PCR!$A$1:$A$3000&amp;PCR!$B$1:$B$3000,PCR!$C$1:$C$3000),2,0)</f>
        <v>#N/A</v>
      </c>
      <c r="R168" s="55" t="s">
        <v>6686</v>
      </c>
      <c r="T168" s="45">
        <v>391</v>
      </c>
    </row>
    <row r="169" spans="1:20" ht="15.5" x14ac:dyDescent="0.35">
      <c r="A169" s="59" t="s">
        <v>6487</v>
      </c>
      <c r="B169" s="45">
        <v>8</v>
      </c>
      <c r="C169" s="58" t="s">
        <v>6638</v>
      </c>
      <c r="H169" s="59" t="s">
        <v>4</v>
      </c>
      <c r="I169" s="137">
        <v>44930</v>
      </c>
      <c r="J169" s="59" t="s">
        <v>46</v>
      </c>
      <c r="K169" s="59" t="str">
        <f>VLOOKUP(T169,'Index Sets'!$A$2:$C$4000,2,FALSE)</f>
        <v>S5708</v>
      </c>
      <c r="L169" s="59" t="str">
        <f>VLOOKUP(T169,'Index Sets'!$A$2:$C$4000,3,FALSE)</f>
        <v>S5508</v>
      </c>
      <c r="M169" s="60" t="e">
        <f>VLOOKUP(A169&amp;B169,CHOOSE({1,2},PCR!$A$1:$A$3000&amp;PCR!$B$1:$B$3000,PCR!$C$1:$C$3000),2,0)</f>
        <v>#N/A</v>
      </c>
      <c r="R169" s="55" t="s">
        <v>6686</v>
      </c>
      <c r="T169" s="45">
        <v>392</v>
      </c>
    </row>
    <row r="170" spans="1:20" ht="15.5" x14ac:dyDescent="0.35">
      <c r="A170" s="59" t="s">
        <v>6487</v>
      </c>
      <c r="B170" s="45">
        <v>9</v>
      </c>
      <c r="C170" s="58" t="s">
        <v>6639</v>
      </c>
      <c r="H170" s="59" t="s">
        <v>4</v>
      </c>
      <c r="I170" s="137">
        <v>44930</v>
      </c>
      <c r="J170" s="59" t="s">
        <v>46</v>
      </c>
      <c r="K170" s="59" t="str">
        <f>VLOOKUP(T170,'Index Sets'!$A$2:$C$4000,2,FALSE)</f>
        <v>S5709</v>
      </c>
      <c r="L170" s="59" t="str">
        <f>VLOOKUP(T170,'Index Sets'!$A$2:$C$4000,3,FALSE)</f>
        <v>S5509</v>
      </c>
      <c r="M170" s="60" t="e">
        <f>VLOOKUP(A170&amp;B170,CHOOSE({1,2},PCR!$A$1:$A$3000&amp;PCR!$B$1:$B$3000,PCR!$C$1:$C$3000),2,0)</f>
        <v>#N/A</v>
      </c>
      <c r="R170" s="55" t="s">
        <v>6686</v>
      </c>
      <c r="T170" s="45">
        <v>393</v>
      </c>
    </row>
    <row r="171" spans="1:20" ht="15.5" x14ac:dyDescent="0.35">
      <c r="A171" s="59" t="s">
        <v>6487</v>
      </c>
      <c r="B171" s="45">
        <v>10</v>
      </c>
      <c r="C171" s="58" t="s">
        <v>6640</v>
      </c>
      <c r="H171" s="59" t="s">
        <v>4</v>
      </c>
      <c r="I171" s="137">
        <v>44930</v>
      </c>
      <c r="J171" s="59" t="s">
        <v>46</v>
      </c>
      <c r="K171" s="59" t="str">
        <f>VLOOKUP(T171,'Index Sets'!$A$2:$C$4000,2,FALSE)</f>
        <v>S5710</v>
      </c>
      <c r="L171" s="59" t="str">
        <f>VLOOKUP(T171,'Index Sets'!$A$2:$C$4000,3,FALSE)</f>
        <v>S5510</v>
      </c>
      <c r="M171" s="60" t="e">
        <f>VLOOKUP(A171&amp;B171,CHOOSE({1,2},PCR!$A$1:$A$3000&amp;PCR!$B$1:$B$3000,PCR!$C$1:$C$3000),2,0)</f>
        <v>#N/A</v>
      </c>
      <c r="R171" s="55" t="s">
        <v>6686</v>
      </c>
      <c r="T171" s="45">
        <v>394</v>
      </c>
    </row>
    <row r="172" spans="1:20" ht="15.5" x14ac:dyDescent="0.35">
      <c r="A172" s="59" t="s">
        <v>6487</v>
      </c>
      <c r="B172" s="45">
        <v>11</v>
      </c>
      <c r="C172" s="58" t="s">
        <v>6641</v>
      </c>
      <c r="H172" s="59" t="s">
        <v>4</v>
      </c>
      <c r="I172" s="137">
        <v>44930</v>
      </c>
      <c r="J172" s="59" t="s">
        <v>46</v>
      </c>
      <c r="K172" s="59" t="str">
        <f>VLOOKUP(T172,'Index Sets'!$A$2:$C$4000,2,FALSE)</f>
        <v>S5711</v>
      </c>
      <c r="L172" s="59" t="str">
        <f>VLOOKUP(T172,'Index Sets'!$A$2:$C$4000,3,FALSE)</f>
        <v>S5511</v>
      </c>
      <c r="M172" s="60" t="e">
        <f>VLOOKUP(A172&amp;B172,CHOOSE({1,2},PCR!$A$1:$A$3000&amp;PCR!$B$1:$B$3000,PCR!$C$1:$C$3000),2,0)</f>
        <v>#N/A</v>
      </c>
      <c r="R172" s="55" t="s">
        <v>6686</v>
      </c>
      <c r="T172" s="45">
        <v>395</v>
      </c>
    </row>
    <row r="173" spans="1:20" ht="15.5" x14ac:dyDescent="0.35">
      <c r="A173" s="59" t="s">
        <v>6487</v>
      </c>
      <c r="B173" s="45">
        <v>12</v>
      </c>
      <c r="C173" s="58" t="s">
        <v>6642</v>
      </c>
      <c r="H173" s="59" t="s">
        <v>4</v>
      </c>
      <c r="I173" s="137">
        <v>44930</v>
      </c>
      <c r="J173" s="59" t="s">
        <v>46</v>
      </c>
      <c r="K173" s="59" t="str">
        <f>VLOOKUP(T173,'Index Sets'!$A$2:$C$4000,2,FALSE)</f>
        <v>S5712</v>
      </c>
      <c r="L173" s="59" t="str">
        <f>VLOOKUP(T173,'Index Sets'!$A$2:$C$4000,3,FALSE)</f>
        <v>S5512</v>
      </c>
      <c r="M173" s="60" t="e">
        <f>VLOOKUP(A173&amp;B173,CHOOSE({1,2},PCR!$A$1:$A$3000&amp;PCR!$B$1:$B$3000,PCR!$C$1:$C$3000),2,0)</f>
        <v>#N/A</v>
      </c>
      <c r="R173" s="55" t="s">
        <v>6686</v>
      </c>
      <c r="T173" s="45">
        <v>396</v>
      </c>
    </row>
    <row r="174" spans="1:20" ht="15.5" x14ac:dyDescent="0.35">
      <c r="A174" s="59" t="s">
        <v>6487</v>
      </c>
      <c r="B174" s="45">
        <v>13</v>
      </c>
      <c r="C174" s="58" t="s">
        <v>6643</v>
      </c>
      <c r="H174" s="59" t="s">
        <v>4</v>
      </c>
      <c r="I174" s="137">
        <v>44930</v>
      </c>
      <c r="J174" s="59" t="s">
        <v>46</v>
      </c>
      <c r="K174" s="59" t="str">
        <f>VLOOKUP(T174,'Index Sets'!$A$2:$C$4000,2,FALSE)</f>
        <v>S6705</v>
      </c>
      <c r="L174" s="59" t="str">
        <f>VLOOKUP(T174,'Index Sets'!$A$2:$C$4000,3,FALSE)</f>
        <v>S6505</v>
      </c>
      <c r="M174" s="60" t="e">
        <f>VLOOKUP(A174&amp;B174,CHOOSE({1,2},PCR!$A$1:$A$3000&amp;PCR!$B$1:$B$3000,PCR!$C$1:$C$3000),2,0)</f>
        <v>#N/A</v>
      </c>
      <c r="R174" s="55" t="s">
        <v>6686</v>
      </c>
      <c r="T174" s="45">
        <v>485</v>
      </c>
    </row>
    <row r="175" spans="1:20" ht="15.5" x14ac:dyDescent="0.35">
      <c r="A175" s="59" t="s">
        <v>6487</v>
      </c>
      <c r="B175" s="45">
        <v>14</v>
      </c>
      <c r="C175" s="58" t="s">
        <v>6644</v>
      </c>
      <c r="H175" s="59" t="s">
        <v>4</v>
      </c>
      <c r="I175" s="137">
        <v>44930</v>
      </c>
      <c r="J175" s="59" t="s">
        <v>46</v>
      </c>
      <c r="K175" s="59" t="str">
        <f>VLOOKUP(T175,'Index Sets'!$A$2:$C$4000,2,FALSE)</f>
        <v>S6706</v>
      </c>
      <c r="L175" s="59" t="str">
        <f>VLOOKUP(T175,'Index Sets'!$A$2:$C$4000,3,FALSE)</f>
        <v>S6506</v>
      </c>
      <c r="M175" s="60" t="e">
        <f>VLOOKUP(A175&amp;B175,CHOOSE({1,2},PCR!$A$1:$A$3000&amp;PCR!$B$1:$B$3000,PCR!$C$1:$C$3000),2,0)</f>
        <v>#N/A</v>
      </c>
      <c r="R175" s="55" t="s">
        <v>6686</v>
      </c>
      <c r="T175" s="45">
        <v>486</v>
      </c>
    </row>
    <row r="176" spans="1:20" ht="15.5" x14ac:dyDescent="0.35">
      <c r="A176" s="59" t="s">
        <v>6487</v>
      </c>
      <c r="B176" s="45">
        <v>15</v>
      </c>
      <c r="C176" s="58" t="s">
        <v>6645</v>
      </c>
      <c r="H176" s="59" t="s">
        <v>4</v>
      </c>
      <c r="I176" s="137">
        <v>44930</v>
      </c>
      <c r="J176" s="59" t="s">
        <v>46</v>
      </c>
      <c r="K176" s="59" t="str">
        <f>VLOOKUP(T176,'Index Sets'!$A$2:$C$4000,2,FALSE)</f>
        <v>S6707</v>
      </c>
      <c r="L176" s="59" t="str">
        <f>VLOOKUP(T176,'Index Sets'!$A$2:$C$4000,3,FALSE)</f>
        <v>S6507</v>
      </c>
      <c r="M176" s="60" t="e">
        <f>VLOOKUP(A176&amp;B176,CHOOSE({1,2},PCR!$A$1:$A$3000&amp;PCR!$B$1:$B$3000,PCR!$C$1:$C$3000),2,0)</f>
        <v>#N/A</v>
      </c>
      <c r="R176" s="55" t="s">
        <v>6686</v>
      </c>
      <c r="T176" s="45">
        <v>487</v>
      </c>
    </row>
    <row r="177" spans="1:20" ht="15.5" x14ac:dyDescent="0.35">
      <c r="A177" s="59" t="s">
        <v>6487</v>
      </c>
      <c r="B177" s="45">
        <v>16</v>
      </c>
      <c r="C177" s="58" t="s">
        <v>6646</v>
      </c>
      <c r="H177" s="59" t="s">
        <v>4</v>
      </c>
      <c r="I177" s="137">
        <v>44930</v>
      </c>
      <c r="J177" s="59" t="s">
        <v>46</v>
      </c>
      <c r="K177" s="59" t="str">
        <f>VLOOKUP(T177,'Index Sets'!$A$2:$C$4000,2,FALSE)</f>
        <v>S6708</v>
      </c>
      <c r="L177" s="59" t="str">
        <f>VLOOKUP(T177,'Index Sets'!$A$2:$C$4000,3,FALSE)</f>
        <v>S6508</v>
      </c>
      <c r="M177" s="60" t="e">
        <f>VLOOKUP(A177&amp;B177,CHOOSE({1,2},PCR!$A$1:$A$3000&amp;PCR!$B$1:$B$3000,PCR!$C$1:$C$3000),2,0)</f>
        <v>#N/A</v>
      </c>
      <c r="R177" s="55" t="s">
        <v>6686</v>
      </c>
      <c r="T177" s="45">
        <v>488</v>
      </c>
    </row>
    <row r="178" spans="1:20" ht="15.5" x14ac:dyDescent="0.35">
      <c r="A178" s="59" t="s">
        <v>6487</v>
      </c>
      <c r="B178" s="45">
        <v>17</v>
      </c>
      <c r="C178" s="58" t="s">
        <v>6647</v>
      </c>
      <c r="H178" s="59" t="s">
        <v>4</v>
      </c>
      <c r="I178" s="137">
        <v>44930</v>
      </c>
      <c r="J178" s="59" t="s">
        <v>46</v>
      </c>
      <c r="K178" s="59" t="str">
        <f>VLOOKUP(T178,'Index Sets'!$A$2:$C$4000,2,FALSE)</f>
        <v>S6709</v>
      </c>
      <c r="L178" s="59" t="str">
        <f>VLOOKUP(T178,'Index Sets'!$A$2:$C$4000,3,FALSE)</f>
        <v>S6509</v>
      </c>
      <c r="M178" s="60" t="e">
        <f>VLOOKUP(A178&amp;B178,CHOOSE({1,2},PCR!$A$1:$A$3000&amp;PCR!$B$1:$B$3000,PCR!$C$1:$C$3000),2,0)</f>
        <v>#N/A</v>
      </c>
      <c r="R178" s="55" t="s">
        <v>6686</v>
      </c>
      <c r="T178" s="45">
        <v>489</v>
      </c>
    </row>
    <row r="179" spans="1:20" ht="15.5" x14ac:dyDescent="0.35">
      <c r="A179" s="59" t="s">
        <v>6487</v>
      </c>
      <c r="B179" s="45">
        <v>18</v>
      </c>
      <c r="C179" s="58" t="s">
        <v>6648</v>
      </c>
      <c r="H179" s="59" t="s">
        <v>4</v>
      </c>
      <c r="I179" s="137">
        <v>44930</v>
      </c>
      <c r="J179" s="59" t="s">
        <v>46</v>
      </c>
      <c r="K179" s="59" t="str">
        <f>VLOOKUP(T179,'Index Sets'!$A$2:$C$4000,2,FALSE)</f>
        <v>S6710</v>
      </c>
      <c r="L179" s="59" t="str">
        <f>VLOOKUP(T179,'Index Sets'!$A$2:$C$4000,3,FALSE)</f>
        <v>S6510</v>
      </c>
      <c r="M179" s="60" t="e">
        <f>VLOOKUP(A179&amp;B179,CHOOSE({1,2},PCR!$A$1:$A$3000&amp;PCR!$B$1:$B$3000,PCR!$C$1:$C$3000),2,0)</f>
        <v>#N/A</v>
      </c>
      <c r="R179" s="55" t="s">
        <v>6686</v>
      </c>
      <c r="T179" s="45">
        <v>490</v>
      </c>
    </row>
    <row r="180" spans="1:20" ht="15.5" x14ac:dyDescent="0.35">
      <c r="A180" s="59" t="s">
        <v>6487</v>
      </c>
      <c r="B180" s="45">
        <v>19</v>
      </c>
      <c r="C180" s="58" t="s">
        <v>6649</v>
      </c>
      <c r="H180" s="59" t="s">
        <v>4</v>
      </c>
      <c r="I180" s="137">
        <v>44930</v>
      </c>
      <c r="J180" s="59" t="s">
        <v>46</v>
      </c>
      <c r="K180" s="59" t="str">
        <f>VLOOKUP(T180,'Index Sets'!$A$2:$C$4000,2,FALSE)</f>
        <v>S6711</v>
      </c>
      <c r="L180" s="59" t="str">
        <f>VLOOKUP(T180,'Index Sets'!$A$2:$C$4000,3,FALSE)</f>
        <v>S6511</v>
      </c>
      <c r="M180" s="60" t="e">
        <f>VLOOKUP(A180&amp;B180,CHOOSE({1,2},PCR!$A$1:$A$3000&amp;PCR!$B$1:$B$3000,PCR!$C$1:$C$3000),2,0)</f>
        <v>#N/A</v>
      </c>
      <c r="R180" s="55" t="s">
        <v>6686</v>
      </c>
      <c r="T180" s="45">
        <v>491</v>
      </c>
    </row>
    <row r="181" spans="1:20" ht="15.5" x14ac:dyDescent="0.35">
      <c r="A181" s="59" t="s">
        <v>6487</v>
      </c>
      <c r="B181" s="45">
        <v>20</v>
      </c>
      <c r="C181" s="58" t="s">
        <v>6650</v>
      </c>
      <c r="H181" s="59" t="s">
        <v>4</v>
      </c>
      <c r="I181" s="137">
        <v>44930</v>
      </c>
      <c r="J181" s="59" t="s">
        <v>46</v>
      </c>
      <c r="K181" s="59" t="str">
        <f>VLOOKUP(T181,'Index Sets'!$A$2:$C$4000,2,FALSE)</f>
        <v>S6712</v>
      </c>
      <c r="L181" s="59" t="str">
        <f>VLOOKUP(T181,'Index Sets'!$A$2:$C$4000,3,FALSE)</f>
        <v>S6512</v>
      </c>
      <c r="M181" s="60" t="e">
        <f>VLOOKUP(A181&amp;B181,CHOOSE({1,2},PCR!$A$1:$A$3000&amp;PCR!$B$1:$B$3000,PCR!$C$1:$C$3000),2,0)</f>
        <v>#N/A</v>
      </c>
      <c r="R181" s="55" t="s">
        <v>6686</v>
      </c>
      <c r="T181" s="45">
        <v>492</v>
      </c>
    </row>
    <row r="182" spans="1:20" ht="15.5" x14ac:dyDescent="0.35">
      <c r="A182" s="59" t="s">
        <v>6487</v>
      </c>
      <c r="B182" s="45">
        <v>21</v>
      </c>
      <c r="C182" s="58" t="s">
        <v>6651</v>
      </c>
      <c r="H182" s="59" t="s">
        <v>4</v>
      </c>
      <c r="I182" s="137">
        <v>44930</v>
      </c>
      <c r="J182" s="59" t="s">
        <v>46</v>
      </c>
      <c r="K182" s="59" t="str">
        <f>VLOOKUP(T182,'Index Sets'!$A$2:$C$4000,2,FALSE)</f>
        <v>S6713</v>
      </c>
      <c r="L182" s="59" t="str">
        <f>VLOOKUP(T182,'Index Sets'!$A$2:$C$4000,3,FALSE)</f>
        <v>S6513</v>
      </c>
      <c r="M182" s="60" t="e">
        <f>VLOOKUP(A182&amp;B182,CHOOSE({1,2},PCR!$A$1:$A$3000&amp;PCR!$B$1:$B$3000,PCR!$C$1:$C$3000),2,0)</f>
        <v>#N/A</v>
      </c>
      <c r="R182" s="55" t="s">
        <v>6686</v>
      </c>
      <c r="T182" s="45">
        <v>493</v>
      </c>
    </row>
    <row r="183" spans="1:20" ht="15.5" x14ac:dyDescent="0.35">
      <c r="A183" s="59" t="s">
        <v>6487</v>
      </c>
      <c r="B183" s="45">
        <v>22</v>
      </c>
      <c r="C183" s="58" t="s">
        <v>6652</v>
      </c>
      <c r="H183" s="59" t="s">
        <v>4</v>
      </c>
      <c r="I183" s="137">
        <v>44930</v>
      </c>
      <c r="J183" s="59" t="s">
        <v>46</v>
      </c>
      <c r="K183" s="59" t="str">
        <f>VLOOKUP(T183,'Index Sets'!$A$2:$C$4000,2,FALSE)</f>
        <v>S6714</v>
      </c>
      <c r="L183" s="59" t="str">
        <f>VLOOKUP(T183,'Index Sets'!$A$2:$C$4000,3,FALSE)</f>
        <v>S6514</v>
      </c>
      <c r="M183" s="60" t="e">
        <f>VLOOKUP(A183&amp;B183,CHOOSE({1,2},PCR!$A$1:$A$3000&amp;PCR!$B$1:$B$3000,PCR!$C$1:$C$3000),2,0)</f>
        <v>#N/A</v>
      </c>
      <c r="R183" s="55" t="s">
        <v>6686</v>
      </c>
      <c r="T183" s="45">
        <v>494</v>
      </c>
    </row>
    <row r="184" spans="1:20" ht="15.5" x14ac:dyDescent="0.35">
      <c r="A184" s="59" t="s">
        <v>6487</v>
      </c>
      <c r="B184" s="45">
        <v>23</v>
      </c>
      <c r="C184" s="58" t="s">
        <v>6653</v>
      </c>
      <c r="H184" s="59" t="s">
        <v>4</v>
      </c>
      <c r="I184" s="137">
        <v>44930</v>
      </c>
      <c r="J184" s="59" t="s">
        <v>46</v>
      </c>
      <c r="K184" s="59" t="str">
        <f>VLOOKUP(T184,'Index Sets'!$A$2:$C$4000,2,FALSE)</f>
        <v>S6715</v>
      </c>
      <c r="L184" s="59" t="str">
        <f>VLOOKUP(T184,'Index Sets'!$A$2:$C$4000,3,FALSE)</f>
        <v>S6515</v>
      </c>
      <c r="M184" s="60" t="e">
        <f>VLOOKUP(A184&amp;B184,CHOOSE({1,2},PCR!$A$1:$A$3000&amp;PCR!$B$1:$B$3000,PCR!$C$1:$C$3000),2,0)</f>
        <v>#N/A</v>
      </c>
      <c r="R184" s="55" t="s">
        <v>6686</v>
      </c>
      <c r="T184" s="45">
        <v>495</v>
      </c>
    </row>
    <row r="185" spans="1:20" ht="15.5" x14ac:dyDescent="0.35">
      <c r="A185" s="59" t="s">
        <v>6487</v>
      </c>
      <c r="B185" s="45">
        <v>24</v>
      </c>
      <c r="C185" s="58" t="s">
        <v>6654</v>
      </c>
      <c r="H185" s="59" t="s">
        <v>4</v>
      </c>
      <c r="I185" s="137">
        <v>44930</v>
      </c>
      <c r="J185" s="59" t="s">
        <v>46</v>
      </c>
      <c r="K185" s="59" t="str">
        <f>VLOOKUP(T185,'Index Sets'!$A$2:$C$4000,2,FALSE)</f>
        <v>S6716</v>
      </c>
      <c r="L185" s="59" t="str">
        <f>VLOOKUP(T185,'Index Sets'!$A$2:$C$4000,3,FALSE)</f>
        <v>S6516</v>
      </c>
      <c r="M185" s="60" t="e">
        <f>VLOOKUP(A185&amp;B185,CHOOSE({1,2},PCR!$A$1:$A$3000&amp;PCR!$B$1:$B$3000,PCR!$C$1:$C$3000),2,0)</f>
        <v>#N/A</v>
      </c>
      <c r="R185" s="55" t="s">
        <v>6686</v>
      </c>
      <c r="T185" s="45">
        <v>496</v>
      </c>
    </row>
    <row r="186" spans="1:20" ht="15.5" x14ac:dyDescent="0.35">
      <c r="A186" s="59" t="s">
        <v>6488</v>
      </c>
      <c r="B186" s="45">
        <v>1</v>
      </c>
      <c r="C186" s="58" t="s">
        <v>6655</v>
      </c>
      <c r="H186" s="59" t="s">
        <v>4</v>
      </c>
      <c r="I186" s="137">
        <v>44930</v>
      </c>
      <c r="J186" s="59" t="s">
        <v>46</v>
      </c>
      <c r="K186" s="59" t="str">
        <f>VLOOKUP(T186,'Index Sets'!$A$2:$C$4000,2,FALSE)</f>
        <v>S6717</v>
      </c>
      <c r="L186" s="59" t="str">
        <f>VLOOKUP(T186,'Index Sets'!$A$2:$C$4000,3,FALSE)</f>
        <v>S6517</v>
      </c>
      <c r="M186" s="60" t="e">
        <f>VLOOKUP(A186&amp;B186,CHOOSE({1,2},PCR!$A$1:$A$3000&amp;PCR!$B$1:$B$3000,PCR!$C$1:$C$3000),2,0)</f>
        <v>#N/A</v>
      </c>
      <c r="R186" s="55" t="s">
        <v>6686</v>
      </c>
      <c r="T186" s="45">
        <v>497</v>
      </c>
    </row>
    <row r="187" spans="1:20" ht="15.5" x14ac:dyDescent="0.35">
      <c r="A187" s="59" t="s">
        <v>6488</v>
      </c>
      <c r="B187" s="45">
        <v>2</v>
      </c>
      <c r="C187" s="58" t="s">
        <v>6656</v>
      </c>
      <c r="H187" s="59" t="s">
        <v>4</v>
      </c>
      <c r="I187" s="137">
        <v>44930</v>
      </c>
      <c r="J187" s="59" t="s">
        <v>46</v>
      </c>
      <c r="K187" s="59" t="str">
        <f>VLOOKUP(T187,'Index Sets'!$A$2:$C$4000,2,FALSE)</f>
        <v>S6718</v>
      </c>
      <c r="L187" s="59" t="str">
        <f>VLOOKUP(T187,'Index Sets'!$A$2:$C$4000,3,FALSE)</f>
        <v>S6518</v>
      </c>
      <c r="M187" s="60" t="e">
        <f>VLOOKUP(A187&amp;B187,CHOOSE({1,2},PCR!$A$1:$A$3000&amp;PCR!$B$1:$B$3000,PCR!$C$1:$C$3000),2,0)</f>
        <v>#N/A</v>
      </c>
      <c r="R187" s="55" t="s">
        <v>6686</v>
      </c>
      <c r="T187" s="45">
        <v>498</v>
      </c>
    </row>
    <row r="188" spans="1:20" ht="15.5" x14ac:dyDescent="0.35">
      <c r="A188" s="59" t="s">
        <v>6488</v>
      </c>
      <c r="B188" s="45">
        <v>3</v>
      </c>
      <c r="C188" s="58" t="s">
        <v>6657</v>
      </c>
      <c r="H188" s="59" t="s">
        <v>4</v>
      </c>
      <c r="I188" s="137">
        <v>44930</v>
      </c>
      <c r="J188" s="59" t="s">
        <v>46</v>
      </c>
      <c r="K188" s="59" t="str">
        <f>VLOOKUP(T188,'Index Sets'!$A$2:$C$4000,2,FALSE)</f>
        <v>S6719</v>
      </c>
      <c r="L188" s="59" t="str">
        <f>VLOOKUP(T188,'Index Sets'!$A$2:$C$4000,3,FALSE)</f>
        <v>S6519</v>
      </c>
      <c r="M188" s="60" t="e">
        <f>VLOOKUP(A188&amp;B188,CHOOSE({1,2},PCR!$A$1:$A$3000&amp;PCR!$B$1:$B$3000,PCR!$C$1:$C$3000),2,0)</f>
        <v>#N/A</v>
      </c>
      <c r="R188" s="55" t="s">
        <v>6686</v>
      </c>
      <c r="T188" s="45">
        <v>499</v>
      </c>
    </row>
    <row r="189" spans="1:20" ht="15.5" x14ac:dyDescent="0.35">
      <c r="A189" s="59" t="s">
        <v>6488</v>
      </c>
      <c r="B189" s="45">
        <v>4</v>
      </c>
      <c r="C189" s="58" t="s">
        <v>6658</v>
      </c>
      <c r="H189" s="59" t="s">
        <v>4</v>
      </c>
      <c r="I189" s="137">
        <v>44930</v>
      </c>
      <c r="J189" s="59" t="s">
        <v>46</v>
      </c>
      <c r="K189" s="59" t="str">
        <f>VLOOKUP(T189,'Index Sets'!$A$2:$C$4000,2,FALSE)</f>
        <v>S6720</v>
      </c>
      <c r="L189" s="59" t="str">
        <f>VLOOKUP(T189,'Index Sets'!$A$2:$C$4000,3,FALSE)</f>
        <v>S6520</v>
      </c>
      <c r="M189" s="60" t="e">
        <f>VLOOKUP(A189&amp;B189,CHOOSE({1,2},PCR!$A$1:$A$3000&amp;PCR!$B$1:$B$3000,PCR!$C$1:$C$3000),2,0)</f>
        <v>#N/A</v>
      </c>
      <c r="R189" s="55" t="s">
        <v>6686</v>
      </c>
      <c r="T189" s="45">
        <v>500</v>
      </c>
    </row>
    <row r="190" spans="1:20" ht="15.5" x14ac:dyDescent="0.35">
      <c r="A190" s="59" t="s">
        <v>6488</v>
      </c>
      <c r="B190" s="45">
        <v>5</v>
      </c>
      <c r="C190" s="58" t="s">
        <v>6659</v>
      </c>
      <c r="H190" s="59" t="s">
        <v>4</v>
      </c>
      <c r="I190" s="137">
        <v>44930</v>
      </c>
      <c r="J190" s="59" t="s">
        <v>46</v>
      </c>
      <c r="K190" s="59" t="str">
        <f>VLOOKUP(T190,'Index Sets'!$A$2:$C$4000,2,FALSE)</f>
        <v>S6721</v>
      </c>
      <c r="L190" s="59" t="str">
        <f>VLOOKUP(T190,'Index Sets'!$A$2:$C$4000,3,FALSE)</f>
        <v>S6521</v>
      </c>
      <c r="M190" s="60" t="e">
        <f>VLOOKUP(A190&amp;B190,CHOOSE({1,2},PCR!$A$1:$A$3000&amp;PCR!$B$1:$B$3000,PCR!$C$1:$C$3000),2,0)</f>
        <v>#N/A</v>
      </c>
      <c r="R190" s="55" t="s">
        <v>6686</v>
      </c>
      <c r="T190" s="45">
        <v>501</v>
      </c>
    </row>
    <row r="191" spans="1:20" ht="15.5" x14ac:dyDescent="0.35">
      <c r="A191" s="59" t="s">
        <v>6488</v>
      </c>
      <c r="B191" s="45">
        <v>6</v>
      </c>
      <c r="C191" s="58" t="s">
        <v>6660</v>
      </c>
      <c r="H191" s="59" t="s">
        <v>4</v>
      </c>
      <c r="I191" s="137">
        <v>44930</v>
      </c>
      <c r="J191" s="59" t="s">
        <v>46</v>
      </c>
      <c r="K191" s="59" t="str">
        <f>VLOOKUP(T191,'Index Sets'!$A$2:$C$4000,2,FALSE)</f>
        <v>S6722</v>
      </c>
      <c r="L191" s="59" t="str">
        <f>VLOOKUP(T191,'Index Sets'!$A$2:$C$4000,3,FALSE)</f>
        <v>S6522</v>
      </c>
      <c r="M191" s="60" t="e">
        <f>VLOOKUP(A191&amp;B191,CHOOSE({1,2},PCR!$A$1:$A$3000&amp;PCR!$B$1:$B$3000,PCR!$C$1:$C$3000),2,0)</f>
        <v>#N/A</v>
      </c>
      <c r="R191" s="55" t="s">
        <v>6686</v>
      </c>
      <c r="T191" s="45">
        <v>502</v>
      </c>
    </row>
    <row r="192" spans="1:20" ht="15.5" x14ac:dyDescent="0.35">
      <c r="A192" s="59" t="s">
        <v>6488</v>
      </c>
      <c r="B192" s="45">
        <v>7</v>
      </c>
      <c r="C192" s="58" t="s">
        <v>6661</v>
      </c>
      <c r="H192" s="59" t="s">
        <v>4</v>
      </c>
      <c r="I192" s="137">
        <v>44930</v>
      </c>
      <c r="J192" s="59" t="s">
        <v>46</v>
      </c>
      <c r="K192" s="59" t="str">
        <f>VLOOKUP(T192,'Index Sets'!$A$2:$C$4000,2,FALSE)</f>
        <v>S6723</v>
      </c>
      <c r="L192" s="59" t="str">
        <f>VLOOKUP(T192,'Index Sets'!$A$2:$C$4000,3,FALSE)</f>
        <v>S6523</v>
      </c>
      <c r="M192" s="60" t="e">
        <f>VLOOKUP(A192&amp;B192,CHOOSE({1,2},PCR!$A$1:$A$3000&amp;PCR!$B$1:$B$3000,PCR!$C$1:$C$3000),2,0)</f>
        <v>#N/A</v>
      </c>
      <c r="R192" s="55" t="s">
        <v>6686</v>
      </c>
      <c r="T192" s="45">
        <v>503</v>
      </c>
    </row>
    <row r="193" spans="1:20" ht="15.5" x14ac:dyDescent="0.35">
      <c r="A193" s="59" t="s">
        <v>6488</v>
      </c>
      <c r="B193" s="45">
        <v>8</v>
      </c>
      <c r="C193" s="58" t="s">
        <v>6662</v>
      </c>
      <c r="H193" s="59" t="s">
        <v>4</v>
      </c>
      <c r="I193" s="137">
        <v>44930</v>
      </c>
      <c r="J193" s="59" t="s">
        <v>46</v>
      </c>
      <c r="K193" s="59" t="str">
        <f>VLOOKUP(T193,'Index Sets'!$A$2:$C$4000,2,FALSE)</f>
        <v>S6724</v>
      </c>
      <c r="L193" s="59" t="str">
        <f>VLOOKUP(T193,'Index Sets'!$A$2:$C$4000,3,FALSE)</f>
        <v>S6524</v>
      </c>
      <c r="M193" s="60" t="e">
        <f>VLOOKUP(A193&amp;B193,CHOOSE({1,2},PCR!$A$1:$A$3000&amp;PCR!$B$1:$B$3000,PCR!$C$1:$C$3000),2,0)</f>
        <v>#N/A</v>
      </c>
      <c r="R193" s="55" t="s">
        <v>6686</v>
      </c>
      <c r="T193" s="45">
        <v>504</v>
      </c>
    </row>
    <row r="194" spans="1:20" ht="15.5" x14ac:dyDescent="0.35">
      <c r="A194" s="59" t="s">
        <v>6488</v>
      </c>
      <c r="B194" s="45">
        <v>9</v>
      </c>
      <c r="C194" s="58" t="s">
        <v>6663</v>
      </c>
      <c r="H194" s="59" t="s">
        <v>4</v>
      </c>
      <c r="I194" s="137">
        <v>44930</v>
      </c>
      <c r="J194" s="59" t="s">
        <v>46</v>
      </c>
      <c r="K194" s="59" t="str">
        <f>VLOOKUP(T194,'Index Sets'!$A$2:$C$4000,2,FALSE)</f>
        <v>S6725</v>
      </c>
      <c r="L194" s="59" t="str">
        <f>VLOOKUP(T194,'Index Sets'!$A$2:$C$4000,3,FALSE)</f>
        <v>S6525</v>
      </c>
      <c r="M194" s="60" t="e">
        <f>VLOOKUP(A194&amp;B194,CHOOSE({1,2},PCR!$A$1:$A$3000&amp;PCR!$B$1:$B$3000,PCR!$C$1:$C$3000),2,0)</f>
        <v>#N/A</v>
      </c>
      <c r="R194" s="55" t="s">
        <v>6686</v>
      </c>
      <c r="T194" s="45">
        <v>505</v>
      </c>
    </row>
    <row r="195" spans="1:20" ht="15.5" x14ac:dyDescent="0.35">
      <c r="A195" s="59" t="s">
        <v>6488</v>
      </c>
      <c r="B195" s="45">
        <v>10</v>
      </c>
      <c r="C195" s="58" t="s">
        <v>6664</v>
      </c>
      <c r="H195" s="59" t="s">
        <v>4</v>
      </c>
      <c r="I195" s="137">
        <v>44930</v>
      </c>
      <c r="J195" s="59" t="s">
        <v>46</v>
      </c>
      <c r="K195" s="59" t="str">
        <f>VLOOKUP(T195,'Index Sets'!$A$2:$C$4000,2,FALSE)</f>
        <v>S6726</v>
      </c>
      <c r="L195" s="59" t="str">
        <f>VLOOKUP(T195,'Index Sets'!$A$2:$C$4000,3,FALSE)</f>
        <v>S6526</v>
      </c>
      <c r="M195" s="60" t="e">
        <f>VLOOKUP(A195&amp;B195,CHOOSE({1,2},PCR!$A$1:$A$3000&amp;PCR!$B$1:$B$3000,PCR!$C$1:$C$3000),2,0)</f>
        <v>#N/A</v>
      </c>
      <c r="R195" s="55" t="s">
        <v>6686</v>
      </c>
      <c r="T195" s="45">
        <v>506</v>
      </c>
    </row>
    <row r="196" spans="1:20" ht="15.5" x14ac:dyDescent="0.35">
      <c r="A196" s="59" t="s">
        <v>6488</v>
      </c>
      <c r="B196" s="45">
        <v>11</v>
      </c>
      <c r="C196" s="58" t="s">
        <v>6665</v>
      </c>
      <c r="H196" s="59" t="s">
        <v>4</v>
      </c>
      <c r="I196" s="137">
        <v>44930</v>
      </c>
      <c r="J196" s="59" t="s">
        <v>46</v>
      </c>
      <c r="K196" s="59" t="str">
        <f>VLOOKUP(T196,'Index Sets'!$A$2:$C$4000,2,FALSE)</f>
        <v>S6727</v>
      </c>
      <c r="L196" s="59" t="str">
        <f>VLOOKUP(T196,'Index Sets'!$A$2:$C$4000,3,FALSE)</f>
        <v>S6527</v>
      </c>
      <c r="M196" s="60" t="e">
        <f>VLOOKUP(A196&amp;B196,CHOOSE({1,2},PCR!$A$1:$A$3000&amp;PCR!$B$1:$B$3000,PCR!$C$1:$C$3000),2,0)</f>
        <v>#N/A</v>
      </c>
      <c r="R196" s="55" t="s">
        <v>6686</v>
      </c>
      <c r="T196" s="45">
        <v>507</v>
      </c>
    </row>
    <row r="197" spans="1:20" ht="15.5" x14ac:dyDescent="0.35">
      <c r="A197" s="59" t="s">
        <v>6488</v>
      </c>
      <c r="B197" s="45">
        <v>12</v>
      </c>
      <c r="C197" s="58" t="s">
        <v>6666</v>
      </c>
      <c r="H197" s="59" t="s">
        <v>4</v>
      </c>
      <c r="I197" s="137">
        <v>44930</v>
      </c>
      <c r="J197" s="59" t="s">
        <v>46</v>
      </c>
      <c r="K197" s="59" t="str">
        <f>VLOOKUP(T197,'Index Sets'!$A$2:$C$4000,2,FALSE)</f>
        <v>S6728</v>
      </c>
      <c r="L197" s="59" t="str">
        <f>VLOOKUP(T197,'Index Sets'!$A$2:$C$4000,3,FALSE)</f>
        <v>S6528</v>
      </c>
      <c r="M197" s="60" t="e">
        <f>VLOOKUP(A197&amp;B197,CHOOSE({1,2},PCR!$A$1:$A$3000&amp;PCR!$B$1:$B$3000,PCR!$C$1:$C$3000),2,0)</f>
        <v>#N/A</v>
      </c>
      <c r="R197" s="55" t="s">
        <v>6686</v>
      </c>
      <c r="T197" s="45">
        <v>508</v>
      </c>
    </row>
    <row r="198" spans="1:20" ht="15.5" x14ac:dyDescent="0.35">
      <c r="A198" s="59" t="s">
        <v>6488</v>
      </c>
      <c r="B198" s="45">
        <v>13</v>
      </c>
      <c r="C198" s="58" t="s">
        <v>6667</v>
      </c>
      <c r="H198" s="59" t="s">
        <v>4</v>
      </c>
      <c r="I198" s="137">
        <v>44930</v>
      </c>
      <c r="J198" s="59" t="s">
        <v>46</v>
      </c>
      <c r="K198" s="59" t="str">
        <f>VLOOKUP(T198,'Index Sets'!$A$2:$C$4000,2,FALSE)</f>
        <v>S6729</v>
      </c>
      <c r="L198" s="59" t="str">
        <f>VLOOKUP(T198,'Index Sets'!$A$2:$C$4000,3,FALSE)</f>
        <v>S6529</v>
      </c>
      <c r="M198" s="60" t="e">
        <f>VLOOKUP(A198&amp;B198,CHOOSE({1,2},PCR!$A$1:$A$3000&amp;PCR!$B$1:$B$3000,PCR!$C$1:$C$3000),2,0)</f>
        <v>#N/A</v>
      </c>
      <c r="R198" s="55" t="s">
        <v>6686</v>
      </c>
      <c r="T198" s="45">
        <v>509</v>
      </c>
    </row>
    <row r="199" spans="1:20" ht="15.5" x14ac:dyDescent="0.35">
      <c r="A199" s="59" t="s">
        <v>6488</v>
      </c>
      <c r="B199" s="45">
        <v>14</v>
      </c>
      <c r="C199" s="58" t="s">
        <v>6668</v>
      </c>
      <c r="H199" s="59" t="s">
        <v>4</v>
      </c>
      <c r="I199" s="137">
        <v>44930</v>
      </c>
      <c r="J199" s="59" t="s">
        <v>46</v>
      </c>
      <c r="K199" s="59" t="str">
        <f>VLOOKUP(T199,'Index Sets'!$A$2:$C$4000,2,FALSE)</f>
        <v>S6730</v>
      </c>
      <c r="L199" s="59" t="str">
        <f>VLOOKUP(T199,'Index Sets'!$A$2:$C$4000,3,FALSE)</f>
        <v>S6530</v>
      </c>
      <c r="M199" s="60" t="e">
        <f>VLOOKUP(A199&amp;B199,CHOOSE({1,2},PCR!$A$1:$A$3000&amp;PCR!$B$1:$B$3000,PCR!$C$1:$C$3000),2,0)</f>
        <v>#N/A</v>
      </c>
      <c r="R199" s="55" t="s">
        <v>6686</v>
      </c>
      <c r="T199" s="45">
        <v>510</v>
      </c>
    </row>
    <row r="200" spans="1:20" ht="15.5" x14ac:dyDescent="0.35">
      <c r="A200" s="59" t="s">
        <v>6488</v>
      </c>
      <c r="B200" s="45">
        <v>15</v>
      </c>
      <c r="C200" s="58" t="s">
        <v>6669</v>
      </c>
      <c r="H200" s="59" t="s">
        <v>4</v>
      </c>
      <c r="I200" s="137">
        <v>44930</v>
      </c>
      <c r="J200" s="59" t="s">
        <v>46</v>
      </c>
      <c r="K200" s="59" t="str">
        <f>VLOOKUP(T200,'Index Sets'!$A$2:$C$4000,2,FALSE)</f>
        <v>S6731</v>
      </c>
      <c r="L200" s="59" t="str">
        <f>VLOOKUP(T200,'Index Sets'!$A$2:$C$4000,3,FALSE)</f>
        <v>S6531</v>
      </c>
      <c r="M200" s="60" t="e">
        <f>VLOOKUP(A200&amp;B200,CHOOSE({1,2},PCR!$A$1:$A$3000&amp;PCR!$B$1:$B$3000,PCR!$C$1:$C$3000),2,0)</f>
        <v>#N/A</v>
      </c>
      <c r="R200" s="55" t="s">
        <v>6686</v>
      </c>
      <c r="T200" s="45">
        <v>511</v>
      </c>
    </row>
    <row r="201" spans="1:20" ht="15.5" x14ac:dyDescent="0.35">
      <c r="A201" s="59" t="s">
        <v>6488</v>
      </c>
      <c r="B201" s="45">
        <v>16</v>
      </c>
      <c r="C201" s="58" t="s">
        <v>6670</v>
      </c>
      <c r="H201" s="59" t="s">
        <v>4</v>
      </c>
      <c r="I201" s="137">
        <v>44930</v>
      </c>
      <c r="J201" s="59" t="s">
        <v>46</v>
      </c>
      <c r="K201" s="59" t="str">
        <f>VLOOKUP(T201,'Index Sets'!$A$2:$C$4000,2,FALSE)</f>
        <v>S6732</v>
      </c>
      <c r="L201" s="59" t="str">
        <f>VLOOKUP(T201,'Index Sets'!$A$2:$C$4000,3,FALSE)</f>
        <v>S6532</v>
      </c>
      <c r="M201" s="60" t="e">
        <f>VLOOKUP(A201&amp;B201,CHOOSE({1,2},PCR!$A$1:$A$3000&amp;PCR!$B$1:$B$3000,PCR!$C$1:$C$3000),2,0)</f>
        <v>#N/A</v>
      </c>
      <c r="R201" s="55" t="s">
        <v>6686</v>
      </c>
      <c r="T201" s="45">
        <v>512</v>
      </c>
    </row>
    <row r="202" spans="1:20" ht="15.5" x14ac:dyDescent="0.35">
      <c r="A202" s="59" t="s">
        <v>6488</v>
      </c>
      <c r="B202" s="45">
        <v>17</v>
      </c>
      <c r="C202" s="58" t="s">
        <v>6671</v>
      </c>
      <c r="H202" s="59" t="s">
        <v>4</v>
      </c>
      <c r="I202" s="137">
        <v>44930</v>
      </c>
      <c r="J202" s="59" t="s">
        <v>46</v>
      </c>
      <c r="K202" s="59" t="str">
        <f>VLOOKUP(T202,'Index Sets'!$A$2:$C$4000,2,FALSE)</f>
        <v>S6733</v>
      </c>
      <c r="L202" s="59" t="str">
        <f>VLOOKUP(T202,'Index Sets'!$A$2:$C$4000,3,FALSE)</f>
        <v>S6533</v>
      </c>
      <c r="M202" s="60" t="e">
        <f>VLOOKUP(A202&amp;B202,CHOOSE({1,2},PCR!$A$1:$A$3000&amp;PCR!$B$1:$B$3000,PCR!$C$1:$C$3000),2,0)</f>
        <v>#N/A</v>
      </c>
      <c r="R202" s="55" t="s">
        <v>6686</v>
      </c>
      <c r="T202" s="45">
        <v>513</v>
      </c>
    </row>
    <row r="203" spans="1:20" ht="15.5" x14ac:dyDescent="0.35">
      <c r="A203" s="59" t="s">
        <v>6488</v>
      </c>
      <c r="B203" s="45">
        <v>18</v>
      </c>
      <c r="C203" s="58" t="s">
        <v>6672</v>
      </c>
      <c r="H203" s="59" t="s">
        <v>4</v>
      </c>
      <c r="I203" s="137">
        <v>44930</v>
      </c>
      <c r="J203" s="59" t="s">
        <v>46</v>
      </c>
      <c r="K203" s="59" t="str">
        <f>VLOOKUP(T203,'Index Sets'!$A$2:$C$4000,2,FALSE)</f>
        <v>S6734</v>
      </c>
      <c r="L203" s="59" t="str">
        <f>VLOOKUP(T203,'Index Sets'!$A$2:$C$4000,3,FALSE)</f>
        <v>S6534</v>
      </c>
      <c r="M203" s="60" t="e">
        <f>VLOOKUP(A203&amp;B203,CHOOSE({1,2},PCR!$A$1:$A$3000&amp;PCR!$B$1:$B$3000,PCR!$C$1:$C$3000),2,0)</f>
        <v>#N/A</v>
      </c>
      <c r="R203" s="55" t="s">
        <v>6686</v>
      </c>
      <c r="T203" s="45">
        <v>514</v>
      </c>
    </row>
    <row r="204" spans="1:20" ht="15.5" x14ac:dyDescent="0.35">
      <c r="A204" s="59" t="s">
        <v>6488</v>
      </c>
      <c r="B204" s="45">
        <v>19</v>
      </c>
      <c r="C204" s="58" t="s">
        <v>6673</v>
      </c>
      <c r="H204" s="59" t="s">
        <v>4</v>
      </c>
      <c r="I204" s="137">
        <v>44930</v>
      </c>
      <c r="J204" s="59" t="s">
        <v>46</v>
      </c>
      <c r="K204" s="59" t="str">
        <f>VLOOKUP(T204,'Index Sets'!$A$2:$C$4000,2,FALSE)</f>
        <v>S6735</v>
      </c>
      <c r="L204" s="59" t="str">
        <f>VLOOKUP(T204,'Index Sets'!$A$2:$C$4000,3,FALSE)</f>
        <v>S6535</v>
      </c>
      <c r="M204" s="60" t="e">
        <f>VLOOKUP(A204&amp;B204,CHOOSE({1,2},PCR!$A$1:$A$3000&amp;PCR!$B$1:$B$3000,PCR!$C$1:$C$3000),2,0)</f>
        <v>#N/A</v>
      </c>
      <c r="R204" s="55" t="s">
        <v>6686</v>
      </c>
      <c r="T204" s="45">
        <v>515</v>
      </c>
    </row>
    <row r="205" spans="1:20" ht="15.5" x14ac:dyDescent="0.35">
      <c r="A205" s="59" t="s">
        <v>6488</v>
      </c>
      <c r="B205" s="45">
        <v>20</v>
      </c>
      <c r="C205" s="58" t="s">
        <v>6674</v>
      </c>
      <c r="H205" s="59" t="s">
        <v>4</v>
      </c>
      <c r="I205" s="137">
        <v>44930</v>
      </c>
      <c r="J205" s="59" t="s">
        <v>46</v>
      </c>
      <c r="K205" s="59" t="str">
        <f>VLOOKUP(T205,'Index Sets'!$A$2:$C$4000,2,FALSE)</f>
        <v>S6736</v>
      </c>
      <c r="L205" s="59" t="str">
        <f>VLOOKUP(T205,'Index Sets'!$A$2:$C$4000,3,FALSE)</f>
        <v>S6536</v>
      </c>
      <c r="M205" s="60" t="e">
        <f>VLOOKUP(A205&amp;B205,CHOOSE({1,2},PCR!$A$1:$A$3000&amp;PCR!$B$1:$B$3000,PCR!$C$1:$C$3000),2,0)</f>
        <v>#N/A</v>
      </c>
      <c r="R205" s="55" t="s">
        <v>6686</v>
      </c>
      <c r="T205" s="45">
        <v>516</v>
      </c>
    </row>
    <row r="206" spans="1:20" ht="15.5" x14ac:dyDescent="0.35">
      <c r="A206" s="59" t="s">
        <v>6488</v>
      </c>
      <c r="B206" s="45">
        <v>21</v>
      </c>
      <c r="C206" s="58" t="s">
        <v>6675</v>
      </c>
      <c r="H206" s="59" t="s">
        <v>4</v>
      </c>
      <c r="I206" s="137">
        <v>44930</v>
      </c>
      <c r="J206" s="59" t="s">
        <v>46</v>
      </c>
      <c r="K206" s="59" t="str">
        <f>VLOOKUP(T206,'Index Sets'!$A$2:$C$4000,2,FALSE)</f>
        <v>S6737</v>
      </c>
      <c r="L206" s="59" t="str">
        <f>VLOOKUP(T206,'Index Sets'!$A$2:$C$4000,3,FALSE)</f>
        <v>S6537</v>
      </c>
      <c r="M206" s="60" t="e">
        <f>VLOOKUP(A206&amp;B206,CHOOSE({1,2},PCR!$A$1:$A$3000&amp;PCR!$B$1:$B$3000,PCR!$C$1:$C$3000),2,0)</f>
        <v>#N/A</v>
      </c>
      <c r="R206" s="55" t="s">
        <v>6686</v>
      </c>
      <c r="T206" s="45">
        <v>517</v>
      </c>
    </row>
    <row r="207" spans="1:20" ht="15.5" x14ac:dyDescent="0.35">
      <c r="A207" s="59" t="s">
        <v>6488</v>
      </c>
      <c r="B207" s="45">
        <v>22</v>
      </c>
      <c r="C207" s="58" t="s">
        <v>6676</v>
      </c>
      <c r="H207" s="59" t="s">
        <v>4</v>
      </c>
      <c r="I207" s="137">
        <v>44930</v>
      </c>
      <c r="J207" s="59" t="s">
        <v>46</v>
      </c>
      <c r="K207" s="59" t="str">
        <f>VLOOKUP(T207,'Index Sets'!$A$2:$C$4000,2,FALSE)</f>
        <v>S6738</v>
      </c>
      <c r="L207" s="59" t="str">
        <f>VLOOKUP(T207,'Index Sets'!$A$2:$C$4000,3,FALSE)</f>
        <v>S6538</v>
      </c>
      <c r="M207" s="60" t="e">
        <f>VLOOKUP(A207&amp;B207,CHOOSE({1,2},PCR!$A$1:$A$3000&amp;PCR!$B$1:$B$3000,PCR!$C$1:$C$3000),2,0)</f>
        <v>#N/A</v>
      </c>
      <c r="R207" s="55" t="s">
        <v>6686</v>
      </c>
      <c r="T207" s="45">
        <v>518</v>
      </c>
    </row>
    <row r="208" spans="1:20" ht="15.5" x14ac:dyDescent="0.35">
      <c r="A208" s="59" t="s">
        <v>6488</v>
      </c>
      <c r="B208" s="45">
        <v>23</v>
      </c>
      <c r="C208" s="58" t="s">
        <v>6677</v>
      </c>
      <c r="H208" s="59" t="s">
        <v>4</v>
      </c>
      <c r="I208" s="137">
        <v>44930</v>
      </c>
      <c r="J208" s="59" t="s">
        <v>46</v>
      </c>
      <c r="K208" s="59" t="str">
        <f>VLOOKUP(T208,'Index Sets'!$A$2:$C$4000,2,FALSE)</f>
        <v>S6739</v>
      </c>
      <c r="L208" s="59" t="str">
        <f>VLOOKUP(T208,'Index Sets'!$A$2:$C$4000,3,FALSE)</f>
        <v>S6539</v>
      </c>
      <c r="M208" s="60" t="e">
        <f>VLOOKUP(A208&amp;B208,CHOOSE({1,2},PCR!$A$1:$A$3000&amp;PCR!$B$1:$B$3000,PCR!$C$1:$C$3000),2,0)</f>
        <v>#N/A</v>
      </c>
      <c r="R208" s="55" t="s">
        <v>6686</v>
      </c>
      <c r="T208" s="45">
        <v>519</v>
      </c>
    </row>
    <row r="209" spans="1:23" ht="15.5" x14ac:dyDescent="0.35">
      <c r="A209" s="59" t="s">
        <v>6488</v>
      </c>
      <c r="B209" s="45">
        <v>24</v>
      </c>
      <c r="C209" s="58" t="s">
        <v>6678</v>
      </c>
      <c r="H209" s="59" t="s">
        <v>4</v>
      </c>
      <c r="I209" s="137">
        <v>44930</v>
      </c>
      <c r="J209" s="59" t="s">
        <v>46</v>
      </c>
      <c r="K209" s="59" t="str">
        <f>VLOOKUP(T209,'Index Sets'!$A$2:$C$4000,2,FALSE)</f>
        <v>S6740</v>
      </c>
      <c r="L209" s="59" t="str">
        <f>VLOOKUP(T209,'Index Sets'!$A$2:$C$4000,3,FALSE)</f>
        <v>S6540</v>
      </c>
      <c r="M209" s="60" t="e">
        <f>VLOOKUP(A209&amp;B209,CHOOSE({1,2},PCR!$A$1:$A$3000&amp;PCR!$B$1:$B$3000,PCR!$C$1:$C$3000),2,0)</f>
        <v>#N/A</v>
      </c>
      <c r="R209" s="55" t="s">
        <v>6686</v>
      </c>
      <c r="T209" s="45">
        <v>520</v>
      </c>
    </row>
    <row r="210" spans="1:23" ht="15.5" x14ac:dyDescent="0.35">
      <c r="A210" s="130" t="s">
        <v>6489</v>
      </c>
      <c r="B210" s="132">
        <v>8</v>
      </c>
      <c r="C210" s="133" t="s">
        <v>6679</v>
      </c>
      <c r="H210" s="59" t="s">
        <v>4</v>
      </c>
      <c r="I210" s="137">
        <v>44930</v>
      </c>
      <c r="J210" s="59" t="s">
        <v>46</v>
      </c>
      <c r="K210" s="59" t="str">
        <f>VLOOKUP(T210,'Index Sets'!$A$2:$C$4000,2,FALSE)</f>
        <v>S97373</v>
      </c>
      <c r="L210" s="59" t="str">
        <f>VLOOKUP(T210,'Index Sets'!$A$2:$C$4000,3,FALSE)</f>
        <v>S95373</v>
      </c>
      <c r="M210" s="60" t="e">
        <f>VLOOKUP(A210&amp;B210,CHOOSE({1,2},PCR!$A$1:$A$3000&amp;PCR!$B$1:$B$3000,PCR!$C$1:$C$3000),2,0)</f>
        <v>#N/A</v>
      </c>
      <c r="R210" s="55" t="s">
        <v>6686</v>
      </c>
      <c r="T210" s="132">
        <v>1141</v>
      </c>
    </row>
    <row r="211" spans="1:23" ht="15.5" x14ac:dyDescent="0.35">
      <c r="A211" s="130" t="s">
        <v>6489</v>
      </c>
      <c r="B211" s="132">
        <v>9</v>
      </c>
      <c r="C211" s="133" t="s">
        <v>6680</v>
      </c>
      <c r="H211" s="59" t="s">
        <v>4</v>
      </c>
      <c r="I211" s="137">
        <v>44930</v>
      </c>
      <c r="J211" s="59" t="s">
        <v>46</v>
      </c>
      <c r="K211" s="59" t="str">
        <f>VLOOKUP(T211,'Index Sets'!$A$2:$C$4000,2,FALSE)</f>
        <v>S97374</v>
      </c>
      <c r="L211" s="59" t="str">
        <f>VLOOKUP(T211,'Index Sets'!$A$2:$C$4000,3,FALSE)</f>
        <v>S95374</v>
      </c>
      <c r="M211" s="60" t="e">
        <f>VLOOKUP(A211&amp;B211,CHOOSE({1,2},PCR!$A$1:$A$3000&amp;PCR!$B$1:$B$3000,PCR!$C$1:$C$3000),2,0)</f>
        <v>#N/A</v>
      </c>
      <c r="R211" s="55" t="s">
        <v>6686</v>
      </c>
      <c r="T211" s="132">
        <v>1142</v>
      </c>
    </row>
    <row r="212" spans="1:23" ht="15.5" x14ac:dyDescent="0.35">
      <c r="A212" s="130" t="s">
        <v>6489</v>
      </c>
      <c r="B212" s="132">
        <v>10</v>
      </c>
      <c r="C212" s="133" t="s">
        <v>6681</v>
      </c>
      <c r="H212" s="59" t="s">
        <v>4</v>
      </c>
      <c r="I212" s="137">
        <v>44930</v>
      </c>
      <c r="J212" s="59" t="s">
        <v>46</v>
      </c>
      <c r="K212" s="59" t="str">
        <f>VLOOKUP(T212,'Index Sets'!$A$2:$C$4000,2,FALSE)</f>
        <v>S97376</v>
      </c>
      <c r="L212" s="59" t="str">
        <f>VLOOKUP(T212,'Index Sets'!$A$2:$C$4000,3,FALSE)</f>
        <v>S95376</v>
      </c>
      <c r="M212" s="60" t="e">
        <f>VLOOKUP(A212&amp;B212,CHOOSE({1,2},PCR!$A$1:$A$3000&amp;PCR!$B$1:$B$3000,PCR!$C$1:$C$3000),2,0)</f>
        <v>#N/A</v>
      </c>
      <c r="R212" s="55" t="s">
        <v>6686</v>
      </c>
      <c r="T212" s="132">
        <v>1144</v>
      </c>
    </row>
    <row r="213" spans="1:23" x14ac:dyDescent="0.35">
      <c r="A213" s="131" t="s">
        <v>6490</v>
      </c>
      <c r="B213" s="131">
        <v>1</v>
      </c>
      <c r="C213" s="131" t="s">
        <v>6682</v>
      </c>
      <c r="H213" s="59" t="s">
        <v>4</v>
      </c>
      <c r="I213" s="138">
        <v>46031</v>
      </c>
      <c r="J213" s="59" t="s">
        <v>46</v>
      </c>
      <c r="K213" s="59" t="str">
        <f>VLOOKUP(T213,'Index Sets'!$A$2:$C$4000,2,FALSE)</f>
        <v>S8705</v>
      </c>
      <c r="L213" s="59" t="str">
        <f>VLOOKUP(T213,'Index Sets'!$A$2:$C$4000,3,FALSE)</f>
        <v>S8505</v>
      </c>
      <c r="M213" s="60" t="e">
        <f>VLOOKUP(A213&amp;B213,CHOOSE({1,2},PCR!$A$1:$A$3000&amp;PCR!$B$1:$B$3000,PCR!$C$1:$C$3000),2,0)</f>
        <v>#N/A</v>
      </c>
      <c r="R213" s="55" t="s">
        <v>6686</v>
      </c>
      <c r="T213" s="131">
        <v>677</v>
      </c>
      <c r="U213" s="131"/>
      <c r="V213" s="131" t="s">
        <v>6684</v>
      </c>
      <c r="W213" s="134"/>
    </row>
    <row r="214" spans="1:23" x14ac:dyDescent="0.35">
      <c r="A214" s="131" t="s">
        <v>6490</v>
      </c>
      <c r="B214" s="131">
        <v>2</v>
      </c>
      <c r="C214" s="131" t="s">
        <v>6683</v>
      </c>
      <c r="H214" s="59" t="s">
        <v>4</v>
      </c>
      <c r="I214" s="138">
        <v>46031</v>
      </c>
      <c r="J214" s="59" t="s">
        <v>46</v>
      </c>
      <c r="K214" s="59" t="str">
        <f>VLOOKUP(T214,'Index Sets'!$A$2:$C$4000,2,FALSE)</f>
        <v>S8706</v>
      </c>
      <c r="L214" s="59" t="str">
        <f>VLOOKUP(T214,'Index Sets'!$A$2:$C$4000,3,FALSE)</f>
        <v>S8506</v>
      </c>
      <c r="M214" s="60" t="e">
        <f>VLOOKUP(A214&amp;B214,CHOOSE({1,2},PCR!$A$1:$A$3000&amp;PCR!$B$1:$B$3000,PCR!$C$1:$C$3000),2,0)</f>
        <v>#N/A</v>
      </c>
      <c r="R214" s="55" t="s">
        <v>6686</v>
      </c>
      <c r="T214" s="131">
        <v>678</v>
      </c>
      <c r="U214" s="131"/>
      <c r="V214" s="131" t="s">
        <v>6685</v>
      </c>
      <c r="W214" s="134"/>
    </row>
    <row r="215" spans="1:23" x14ac:dyDescent="0.35">
      <c r="A215" s="131"/>
      <c r="C215" s="45"/>
      <c r="V215" s="131"/>
      <c r="W215" s="134"/>
    </row>
    <row r="216" spans="1:23" x14ac:dyDescent="0.35">
      <c r="A216" s="131"/>
      <c r="C216" s="45"/>
      <c r="V216" s="131"/>
      <c r="W216" s="134"/>
    </row>
    <row r="217" spans="1:23" x14ac:dyDescent="0.35">
      <c r="A217" s="131"/>
      <c r="C217" s="45"/>
      <c r="V217" s="131"/>
      <c r="W217" s="134"/>
    </row>
    <row r="218" spans="1:23" x14ac:dyDescent="0.35">
      <c r="A218" s="131"/>
      <c r="C218" s="45"/>
      <c r="V218" s="131"/>
      <c r="W218" s="134"/>
    </row>
    <row r="219" spans="1:23" x14ac:dyDescent="0.35">
      <c r="A219" s="131"/>
      <c r="C219" s="45"/>
      <c r="V219" s="131"/>
      <c r="W219" s="134"/>
    </row>
    <row r="220" spans="1:23" x14ac:dyDescent="0.35">
      <c r="A220" s="131"/>
      <c r="C220" s="45"/>
      <c r="V220" s="131"/>
      <c r="W220" s="134"/>
    </row>
    <row r="221" spans="1:23" x14ac:dyDescent="0.35">
      <c r="A221" s="131"/>
      <c r="C221" s="45"/>
      <c r="V221" s="131"/>
      <c r="W221" s="134"/>
    </row>
    <row r="222" spans="1:23" x14ac:dyDescent="0.35">
      <c r="A222" s="131"/>
      <c r="C222" s="45"/>
      <c r="V222" s="131"/>
      <c r="W222" s="134"/>
    </row>
    <row r="223" spans="1:23" x14ac:dyDescent="0.35">
      <c r="A223" s="131"/>
      <c r="C223" s="45"/>
      <c r="V223" s="131"/>
      <c r="W223" s="134"/>
    </row>
    <row r="224" spans="1:23" x14ac:dyDescent="0.35">
      <c r="A224" s="131"/>
      <c r="C224" s="45"/>
      <c r="V224" s="131"/>
      <c r="W224" s="134"/>
    </row>
    <row r="225" spans="1:23" x14ac:dyDescent="0.35">
      <c r="A225" s="131"/>
      <c r="C225" s="45"/>
      <c r="V225" s="131"/>
      <c r="W225" s="134"/>
    </row>
    <row r="226" spans="1:23" x14ac:dyDescent="0.35">
      <c r="A226" s="131"/>
      <c r="C226" s="45"/>
      <c r="V226" s="131"/>
      <c r="W226" s="134"/>
    </row>
    <row r="227" spans="1:23" x14ac:dyDescent="0.35">
      <c r="A227" s="131"/>
      <c r="C227" s="45"/>
      <c r="V227" s="131"/>
      <c r="W227" s="134"/>
    </row>
    <row r="228" spans="1:23" x14ac:dyDescent="0.35">
      <c r="A228" s="131"/>
      <c r="C228" s="45"/>
      <c r="V228" s="131"/>
      <c r="W228" s="134"/>
    </row>
    <row r="229" spans="1:23" x14ac:dyDescent="0.35">
      <c r="A229" s="131"/>
      <c r="C229" s="45"/>
      <c r="V229" s="131"/>
      <c r="W229" s="134"/>
    </row>
    <row r="230" spans="1:23" x14ac:dyDescent="0.35">
      <c r="A230" s="131"/>
      <c r="C230" s="45"/>
      <c r="V230" s="131"/>
      <c r="W230" s="134"/>
    </row>
    <row r="231" spans="1:23" x14ac:dyDescent="0.35">
      <c r="A231" s="131"/>
      <c r="C231" s="45"/>
      <c r="V231" s="131"/>
      <c r="W231" s="134"/>
    </row>
    <row r="232" spans="1:23" x14ac:dyDescent="0.35">
      <c r="A232" s="131"/>
      <c r="C232" s="45"/>
      <c r="V232" s="131"/>
      <c r="W232" s="134"/>
    </row>
    <row r="233" spans="1:23" x14ac:dyDescent="0.35">
      <c r="A233" s="131"/>
      <c r="C233" s="45"/>
      <c r="V233" s="131"/>
      <c r="W233" s="134"/>
    </row>
    <row r="234" spans="1:23" x14ac:dyDescent="0.35">
      <c r="A234" s="131"/>
      <c r="C234" s="45"/>
      <c r="V234" s="131"/>
      <c r="W234" s="134"/>
    </row>
    <row r="235" spans="1:23" x14ac:dyDescent="0.35">
      <c r="A235" s="131"/>
      <c r="C235" s="45"/>
      <c r="V235" s="131"/>
      <c r="W235" s="134"/>
    </row>
    <row r="236" spans="1:23" x14ac:dyDescent="0.35">
      <c r="A236" s="131"/>
      <c r="C236" s="45"/>
      <c r="V236" s="131"/>
      <c r="W236" s="134"/>
    </row>
    <row r="237" spans="1:23" x14ac:dyDescent="0.35">
      <c r="A237" s="131"/>
      <c r="C237" s="45"/>
      <c r="V237" s="131"/>
      <c r="W237" s="134"/>
    </row>
    <row r="238" spans="1:23" x14ac:dyDescent="0.35">
      <c r="A238" s="131"/>
      <c r="C238" s="45"/>
      <c r="V238" s="131"/>
      <c r="W238" s="134"/>
    </row>
    <row r="239" spans="1:23" x14ac:dyDescent="0.35">
      <c r="A239" s="131"/>
      <c r="C239" s="45"/>
      <c r="V239" s="131"/>
      <c r="W239" s="134"/>
    </row>
    <row r="240" spans="1:23" x14ac:dyDescent="0.35">
      <c r="A240" s="131"/>
      <c r="C240" s="45"/>
      <c r="V240" s="131"/>
      <c r="W240" s="134"/>
    </row>
    <row r="241" spans="1:23" x14ac:dyDescent="0.35">
      <c r="A241" s="131"/>
      <c r="C241" s="45"/>
      <c r="V241" s="131"/>
      <c r="W241" s="134"/>
    </row>
    <row r="242" spans="1:23" x14ac:dyDescent="0.35">
      <c r="A242" s="131"/>
      <c r="C242" s="45"/>
      <c r="V242" s="131"/>
      <c r="W242" s="134"/>
    </row>
    <row r="243" spans="1:23" x14ac:dyDescent="0.35">
      <c r="A243" s="131"/>
      <c r="C243" s="45"/>
      <c r="V243" s="131"/>
      <c r="W243" s="134"/>
    </row>
    <row r="244" spans="1:23" x14ac:dyDescent="0.35">
      <c r="A244" s="131"/>
      <c r="C244" s="45"/>
      <c r="V244" s="131"/>
      <c r="W244" s="134"/>
    </row>
    <row r="245" spans="1:23" x14ac:dyDescent="0.35">
      <c r="A245" s="131"/>
      <c r="C245" s="45"/>
      <c r="V245" s="131"/>
      <c r="W245" s="134"/>
    </row>
    <row r="246" spans="1:23" x14ac:dyDescent="0.35">
      <c r="A246" s="131"/>
      <c r="C246" s="45"/>
      <c r="V246" s="131"/>
      <c r="W246" s="134"/>
    </row>
    <row r="247" spans="1:23" x14ac:dyDescent="0.35">
      <c r="A247" s="131"/>
      <c r="C247" s="45"/>
      <c r="V247" s="131"/>
      <c r="W247" s="134"/>
    </row>
    <row r="248" spans="1:23" x14ac:dyDescent="0.35">
      <c r="A248" s="131"/>
      <c r="C248" s="45"/>
      <c r="V248" s="131"/>
      <c r="W248" s="134"/>
    </row>
    <row r="249" spans="1:23" x14ac:dyDescent="0.35">
      <c r="A249" s="131"/>
      <c r="C249" s="45"/>
      <c r="V249" s="131"/>
      <c r="W249" s="134"/>
    </row>
    <row r="250" spans="1:23" x14ac:dyDescent="0.35">
      <c r="A250" s="131"/>
      <c r="C250" s="45"/>
      <c r="V250" s="131"/>
      <c r="W250" s="134"/>
    </row>
    <row r="251" spans="1:23" x14ac:dyDescent="0.35">
      <c r="A251" s="131"/>
      <c r="C251" s="45"/>
      <c r="V251" s="131"/>
      <c r="W251" s="134"/>
    </row>
    <row r="252" spans="1:23" x14ac:dyDescent="0.35">
      <c r="A252" s="131"/>
      <c r="C252" s="45"/>
      <c r="V252" s="131"/>
      <c r="W252" s="134"/>
    </row>
    <row r="253" spans="1:23" x14ac:dyDescent="0.35">
      <c r="A253" s="131"/>
      <c r="C253" s="45"/>
      <c r="V253" s="131"/>
      <c r="W253" s="134"/>
    </row>
    <row r="254" spans="1:23" x14ac:dyDescent="0.35">
      <c r="A254" s="131"/>
      <c r="C254" s="45"/>
      <c r="V254" s="131"/>
      <c r="W254" s="134"/>
    </row>
    <row r="255" spans="1:23" x14ac:dyDescent="0.35">
      <c r="A255" s="131"/>
      <c r="C255" s="45"/>
      <c r="V255" s="131"/>
      <c r="W255" s="134"/>
    </row>
    <row r="256" spans="1:23" x14ac:dyDescent="0.35">
      <c r="A256" s="131"/>
      <c r="C256" s="45"/>
      <c r="V256" s="131"/>
      <c r="W256" s="134"/>
    </row>
    <row r="257" spans="1:23" x14ac:dyDescent="0.35">
      <c r="A257" s="131"/>
      <c r="C257" s="45"/>
      <c r="V257" s="131"/>
      <c r="W257" s="134"/>
    </row>
    <row r="258" spans="1:23" x14ac:dyDescent="0.35">
      <c r="A258" s="131"/>
      <c r="C258" s="45"/>
      <c r="V258" s="131"/>
      <c r="W258" s="134"/>
    </row>
    <row r="259" spans="1:23" x14ac:dyDescent="0.35">
      <c r="A259" s="131"/>
      <c r="C259" s="45"/>
      <c r="V259" s="131"/>
      <c r="W259" s="134"/>
    </row>
    <row r="260" spans="1:23" x14ac:dyDescent="0.35">
      <c r="A260" s="131"/>
      <c r="C260" s="45"/>
      <c r="V260" s="131"/>
      <c r="W260" s="134"/>
    </row>
    <row r="261" spans="1:23" x14ac:dyDescent="0.35">
      <c r="A261" s="131"/>
      <c r="C261" s="45"/>
      <c r="V261" s="131"/>
      <c r="W261" s="134"/>
    </row>
    <row r="262" spans="1:23" x14ac:dyDescent="0.35">
      <c r="A262" s="131"/>
      <c r="C262" s="45"/>
      <c r="V262" s="131"/>
      <c r="W262" s="134"/>
    </row>
    <row r="263" spans="1:23" x14ac:dyDescent="0.35">
      <c r="A263" s="131"/>
      <c r="C263" s="45"/>
      <c r="V263" s="131"/>
      <c r="W263" s="134"/>
    </row>
    <row r="264" spans="1:23" x14ac:dyDescent="0.35">
      <c r="A264" s="131"/>
      <c r="C264" s="45"/>
      <c r="V264" s="131"/>
      <c r="W264" s="134"/>
    </row>
    <row r="265" spans="1:23" x14ac:dyDescent="0.35">
      <c r="A265" s="131"/>
      <c r="C265" s="45"/>
      <c r="V265" s="131"/>
      <c r="W265" s="134"/>
    </row>
    <row r="266" spans="1:23" x14ac:dyDescent="0.35">
      <c r="A266" s="131"/>
      <c r="C266" s="45"/>
      <c r="V266" s="131"/>
      <c r="W266" s="134"/>
    </row>
    <row r="267" spans="1:23" x14ac:dyDescent="0.35">
      <c r="A267" s="131"/>
      <c r="C267" s="45"/>
      <c r="V267" s="131"/>
      <c r="W267" s="134"/>
    </row>
    <row r="268" spans="1:23" x14ac:dyDescent="0.35">
      <c r="A268" s="131"/>
      <c r="C268" s="45"/>
      <c r="V268" s="131"/>
      <c r="W268" s="134"/>
    </row>
    <row r="269" spans="1:23" x14ac:dyDescent="0.35">
      <c r="A269" s="131"/>
      <c r="C269" s="45"/>
      <c r="V269" s="131"/>
      <c r="W269" s="134"/>
    </row>
    <row r="270" spans="1:23" x14ac:dyDescent="0.35">
      <c r="A270" s="131"/>
      <c r="C270" s="45"/>
      <c r="V270" s="131"/>
      <c r="W270" s="134"/>
    </row>
    <row r="271" spans="1:23" x14ac:dyDescent="0.35">
      <c r="A271" s="131"/>
      <c r="C271" s="45"/>
      <c r="V271" s="131"/>
      <c r="W271" s="134"/>
    </row>
    <row r="272" spans="1:23" x14ac:dyDescent="0.35">
      <c r="A272" s="131"/>
      <c r="C272" s="45"/>
      <c r="V272" s="131"/>
      <c r="W272" s="134"/>
    </row>
    <row r="273" spans="1:23" x14ac:dyDescent="0.35">
      <c r="A273" s="131"/>
      <c r="C273" s="45"/>
      <c r="V273" s="131"/>
      <c r="W273" s="134"/>
    </row>
    <row r="274" spans="1:23" x14ac:dyDescent="0.35">
      <c r="A274" s="131"/>
      <c r="C274" s="45"/>
      <c r="V274" s="131"/>
      <c r="W274" s="134"/>
    </row>
    <row r="275" spans="1:23" x14ac:dyDescent="0.35">
      <c r="A275" s="131"/>
      <c r="C275" s="45"/>
      <c r="V275" s="131"/>
      <c r="W275" s="134"/>
    </row>
    <row r="276" spans="1:23" x14ac:dyDescent="0.35">
      <c r="A276" s="131"/>
      <c r="C276" s="45"/>
      <c r="V276" s="131"/>
      <c r="W276" s="134"/>
    </row>
    <row r="277" spans="1:23" x14ac:dyDescent="0.35">
      <c r="A277" s="131"/>
      <c r="C277" s="45"/>
      <c r="V277" s="131"/>
      <c r="W277" s="134"/>
    </row>
    <row r="278" spans="1:23" x14ac:dyDescent="0.35">
      <c r="A278" s="131"/>
      <c r="C278" s="45"/>
      <c r="V278" s="131"/>
      <c r="W278" s="134"/>
    </row>
    <row r="279" spans="1:23" x14ac:dyDescent="0.35">
      <c r="A279" s="131"/>
      <c r="C279" s="45"/>
      <c r="W279" s="134"/>
    </row>
    <row r="280" spans="1:23" x14ac:dyDescent="0.35">
      <c r="A280" s="131"/>
      <c r="C280" s="45"/>
      <c r="V280" s="131"/>
      <c r="W280" s="134"/>
    </row>
    <row r="281" spans="1:23" x14ac:dyDescent="0.35">
      <c r="A281" s="131"/>
      <c r="C281" s="45"/>
      <c r="V281" s="131"/>
      <c r="W281" s="134"/>
    </row>
    <row r="282" spans="1:23" x14ac:dyDescent="0.35">
      <c r="A282" s="131"/>
      <c r="C282" s="45"/>
      <c r="W282" s="134"/>
    </row>
    <row r="283" spans="1:23" x14ac:dyDescent="0.35">
      <c r="A283" s="131"/>
      <c r="C283" s="45"/>
      <c r="V283" s="131"/>
      <c r="W283" s="134"/>
    </row>
    <row r="284" spans="1:23" x14ac:dyDescent="0.35">
      <c r="A284" s="131"/>
      <c r="C284" s="45"/>
      <c r="V284" s="131"/>
      <c r="W284" s="134"/>
    </row>
    <row r="285" spans="1:23" x14ac:dyDescent="0.35">
      <c r="A285" s="131"/>
      <c r="C285" s="45"/>
      <c r="V285" s="131"/>
      <c r="W285" s="134"/>
    </row>
    <row r="286" spans="1:23" x14ac:dyDescent="0.35">
      <c r="A286" s="131"/>
      <c r="C286" s="45"/>
      <c r="V286" s="131"/>
      <c r="W286" s="134"/>
    </row>
    <row r="287" spans="1:23" x14ac:dyDescent="0.35">
      <c r="A287" s="131"/>
      <c r="C287" s="45"/>
      <c r="V287" s="131"/>
      <c r="W287" s="134"/>
    </row>
    <row r="288" spans="1:23" x14ac:dyDescent="0.35">
      <c r="A288" s="131"/>
      <c r="C288" s="45"/>
      <c r="V288" s="131"/>
      <c r="W288" s="134"/>
    </row>
    <row r="289" spans="1:23" x14ac:dyDescent="0.35">
      <c r="A289" s="131"/>
      <c r="C289" s="45"/>
      <c r="V289" s="131"/>
      <c r="W289" s="134"/>
    </row>
    <row r="290" spans="1:23" x14ac:dyDescent="0.35">
      <c r="A290" s="131"/>
      <c r="C290" s="45"/>
      <c r="V290" s="131"/>
      <c r="W290" s="134"/>
    </row>
    <row r="291" spans="1:23" x14ac:dyDescent="0.35">
      <c r="A291" s="131"/>
      <c r="C291" s="45"/>
      <c r="V291" s="131"/>
      <c r="W291" s="134"/>
    </row>
    <row r="292" spans="1:23" x14ac:dyDescent="0.35">
      <c r="A292" s="131"/>
      <c r="C292" s="45"/>
      <c r="V292" s="131"/>
      <c r="W292" s="134"/>
    </row>
    <row r="293" spans="1:23" x14ac:dyDescent="0.35">
      <c r="A293" s="131"/>
      <c r="C293" s="45"/>
      <c r="W293" s="134"/>
    </row>
    <row r="294" spans="1:23" x14ac:dyDescent="0.35">
      <c r="A294" s="131"/>
      <c r="C294" s="45"/>
      <c r="V294" s="131"/>
      <c r="W294" s="134"/>
    </row>
    <row r="295" spans="1:23" x14ac:dyDescent="0.35">
      <c r="A295" s="131"/>
      <c r="C295" s="45"/>
      <c r="V295" s="131"/>
      <c r="W295" s="134"/>
    </row>
    <row r="296" spans="1:23" x14ac:dyDescent="0.35">
      <c r="A296" s="131"/>
      <c r="C296" s="45"/>
      <c r="V296" s="131"/>
      <c r="W296" s="134"/>
    </row>
    <row r="297" spans="1:23" x14ac:dyDescent="0.35">
      <c r="A297" s="131"/>
      <c r="C297" s="45"/>
      <c r="V297" s="131"/>
      <c r="W297" s="134"/>
    </row>
    <row r="298" spans="1:23" x14ac:dyDescent="0.35">
      <c r="A298" s="131"/>
      <c r="C298" s="45"/>
      <c r="V298" s="131"/>
      <c r="W298" s="134"/>
    </row>
    <row r="299" spans="1:23" x14ac:dyDescent="0.35">
      <c r="A299" s="131"/>
      <c r="C299" s="45"/>
      <c r="V299" s="131"/>
      <c r="W299" s="134"/>
    </row>
    <row r="300" spans="1:23" x14ac:dyDescent="0.35">
      <c r="A300" s="131"/>
      <c r="C300" s="45"/>
      <c r="V300" s="131"/>
      <c r="W300" s="134"/>
    </row>
    <row r="301" spans="1:23" x14ac:dyDescent="0.35">
      <c r="A301" s="131"/>
      <c r="C301" s="45"/>
      <c r="V301" s="131"/>
      <c r="W301" s="134"/>
    </row>
    <row r="302" spans="1:23" x14ac:dyDescent="0.35">
      <c r="A302" s="131"/>
      <c r="C302" s="45"/>
      <c r="V302" s="131"/>
      <c r="W302" s="134"/>
    </row>
    <row r="303" spans="1:23" x14ac:dyDescent="0.35">
      <c r="A303" s="131"/>
      <c r="C303" s="131"/>
      <c r="V303" s="131"/>
      <c r="W303" s="134"/>
    </row>
    <row r="304" spans="1:23" x14ac:dyDescent="0.35">
      <c r="A304" s="131"/>
      <c r="C304" s="45"/>
      <c r="W304" s="134"/>
    </row>
    <row r="305" spans="1:23" x14ac:dyDescent="0.35">
      <c r="A305" s="131"/>
      <c r="C305" s="45"/>
      <c r="V305" s="131"/>
      <c r="W305" s="134"/>
    </row>
    <row r="306" spans="1:23" x14ac:dyDescent="0.35">
      <c r="A306" s="131"/>
      <c r="C306" s="45"/>
      <c r="V306" s="131"/>
      <c r="W306" s="134"/>
    </row>
    <row r="307" spans="1:23" x14ac:dyDescent="0.35">
      <c r="A307" s="131"/>
      <c r="C307" s="45"/>
      <c r="V307" s="131"/>
      <c r="W307" s="134"/>
    </row>
    <row r="308" spans="1:23" x14ac:dyDescent="0.35">
      <c r="A308" s="131"/>
      <c r="C308" s="45"/>
      <c r="V308" s="131"/>
      <c r="W308" s="134"/>
    </row>
    <row r="309" spans="1:23" x14ac:dyDescent="0.35">
      <c r="A309" s="131"/>
      <c r="C309" s="45"/>
      <c r="V309" s="131"/>
      <c r="W309" s="134"/>
    </row>
    <row r="310" spans="1:23" x14ac:dyDescent="0.35">
      <c r="A310" s="131"/>
      <c r="C310" s="45"/>
      <c r="V310" s="131"/>
      <c r="W310" s="134"/>
    </row>
    <row r="311" spans="1:23" x14ac:dyDescent="0.35">
      <c r="A311" s="131"/>
      <c r="C311" s="45"/>
      <c r="V311" s="131"/>
      <c r="W311" s="134"/>
    </row>
    <row r="312" spans="1:23" x14ac:dyDescent="0.35">
      <c r="A312" s="131"/>
      <c r="C312" s="45"/>
      <c r="V312" s="131"/>
      <c r="W312" s="134"/>
    </row>
    <row r="313" spans="1:23" x14ac:dyDescent="0.35">
      <c r="A313" s="131"/>
      <c r="C313" s="45"/>
      <c r="V313" s="131"/>
      <c r="W313" s="134"/>
    </row>
    <row r="314" spans="1:23" x14ac:dyDescent="0.35">
      <c r="A314" s="131"/>
      <c r="C314" s="45"/>
      <c r="V314" s="131"/>
      <c r="W314" s="134"/>
    </row>
    <row r="315" spans="1:23" x14ac:dyDescent="0.35">
      <c r="A315" s="131"/>
      <c r="C315" s="45"/>
      <c r="W315" s="134"/>
    </row>
    <row r="316" spans="1:23" x14ac:dyDescent="0.35">
      <c r="A316" s="131"/>
      <c r="C316" s="45"/>
      <c r="V316" s="131"/>
      <c r="W316" s="134"/>
    </row>
    <row r="317" spans="1:23" x14ac:dyDescent="0.35">
      <c r="A317" s="131"/>
      <c r="C317" s="45"/>
      <c r="V317" s="131"/>
      <c r="W317" s="134"/>
    </row>
    <row r="318" spans="1:23" x14ac:dyDescent="0.35">
      <c r="A318" s="131"/>
      <c r="C318" s="45"/>
      <c r="V318" s="131"/>
      <c r="W318" s="134"/>
    </row>
    <row r="319" spans="1:23" x14ac:dyDescent="0.35">
      <c r="A319" s="131"/>
      <c r="C319" s="45"/>
      <c r="V319" s="131"/>
      <c r="W319" s="134"/>
    </row>
    <row r="320" spans="1:23" x14ac:dyDescent="0.35">
      <c r="A320" s="131"/>
      <c r="C320" s="131"/>
      <c r="V320" s="131"/>
      <c r="W320" s="134"/>
    </row>
    <row r="321" spans="1:23" x14ac:dyDescent="0.35">
      <c r="A321" s="131"/>
      <c r="C321" s="45"/>
      <c r="V321" s="131"/>
      <c r="W321" s="134"/>
    </row>
    <row r="322" spans="1:23" x14ac:dyDescent="0.35">
      <c r="A322" s="45"/>
      <c r="C322" s="45"/>
      <c r="W322" s="134"/>
    </row>
    <row r="323" spans="1:23" x14ac:dyDescent="0.35">
      <c r="A323" s="131"/>
      <c r="C323" s="45"/>
      <c r="V323" s="131"/>
      <c r="W323" s="134"/>
    </row>
    <row r="324" spans="1:23" x14ac:dyDescent="0.35">
      <c r="A324" s="131"/>
      <c r="C324" s="45"/>
      <c r="V324" s="131"/>
      <c r="W324" s="134"/>
    </row>
    <row r="325" spans="1:23" x14ac:dyDescent="0.35">
      <c r="A325" s="131"/>
      <c r="C325" s="45"/>
      <c r="V325" s="131"/>
      <c r="W325" s="134"/>
    </row>
    <row r="326" spans="1:23" x14ac:dyDescent="0.35">
      <c r="A326" s="131"/>
      <c r="C326" s="45"/>
      <c r="V326" s="131"/>
      <c r="W326" s="134"/>
    </row>
    <row r="327" spans="1:23" x14ac:dyDescent="0.35">
      <c r="A327" s="131"/>
      <c r="C327" s="45"/>
      <c r="V327" s="131"/>
      <c r="W327" s="134"/>
    </row>
    <row r="328" spans="1:23" x14ac:dyDescent="0.35">
      <c r="A328" s="131"/>
      <c r="C328" s="45"/>
      <c r="V328" s="131"/>
      <c r="W328" s="134"/>
    </row>
    <row r="329" spans="1:23" x14ac:dyDescent="0.35">
      <c r="A329" s="131"/>
      <c r="C329" s="45"/>
      <c r="V329" s="131"/>
      <c r="W329" s="134"/>
    </row>
    <row r="330" spans="1:23" x14ac:dyDescent="0.35">
      <c r="A330" s="131"/>
      <c r="C330" s="45"/>
      <c r="V330" s="131"/>
      <c r="W330" s="134"/>
    </row>
    <row r="331" spans="1:23" x14ac:dyDescent="0.35">
      <c r="A331" s="131"/>
      <c r="C331" s="45"/>
      <c r="V331" s="131"/>
      <c r="W331" s="134"/>
    </row>
    <row r="332" spans="1:23" x14ac:dyDescent="0.35">
      <c r="A332" s="131"/>
      <c r="C332" s="45"/>
      <c r="V332" s="131"/>
      <c r="W332" s="134"/>
    </row>
    <row r="333" spans="1:23" x14ac:dyDescent="0.35">
      <c r="A333" s="131"/>
      <c r="C333" s="45"/>
      <c r="V333" s="131"/>
      <c r="W333" s="134"/>
    </row>
    <row r="334" spans="1:23" x14ac:dyDescent="0.35">
      <c r="A334" s="131"/>
      <c r="C334" s="45"/>
      <c r="V334" s="131"/>
      <c r="W334" s="134"/>
    </row>
    <row r="335" spans="1:23" x14ac:dyDescent="0.35">
      <c r="A335" s="131"/>
      <c r="C335" s="45"/>
      <c r="V335" s="131"/>
      <c r="W335" s="134"/>
    </row>
    <row r="336" spans="1:23" x14ac:dyDescent="0.35">
      <c r="A336" s="131"/>
      <c r="C336" s="45"/>
      <c r="V336" s="131"/>
      <c r="W336" s="134"/>
    </row>
    <row r="337" spans="1:23" x14ac:dyDescent="0.35">
      <c r="A337" s="131"/>
      <c r="C337" s="45"/>
      <c r="V337" s="131"/>
      <c r="W337" s="134"/>
    </row>
    <row r="338" spans="1:23" x14ac:dyDescent="0.35">
      <c r="A338" s="131"/>
      <c r="C338" s="45"/>
      <c r="V338" s="131"/>
      <c r="W338" s="134"/>
    </row>
    <row r="339" spans="1:23" x14ac:dyDescent="0.35">
      <c r="A339" s="131"/>
      <c r="C339" s="45"/>
      <c r="V339" s="131"/>
      <c r="W339" s="134"/>
    </row>
    <row r="340" spans="1:23" x14ac:dyDescent="0.35">
      <c r="A340" s="131"/>
      <c r="C340" s="45"/>
      <c r="V340" s="131"/>
      <c r="W340" s="134"/>
    </row>
    <row r="341" spans="1:23" x14ac:dyDescent="0.35">
      <c r="A341" s="131"/>
      <c r="C341" s="45"/>
      <c r="V341" s="131"/>
      <c r="W341" s="134"/>
    </row>
    <row r="342" spans="1:23" x14ac:dyDescent="0.35">
      <c r="A342" s="131"/>
      <c r="C342" s="45"/>
      <c r="V342" s="131"/>
      <c r="W342" s="134"/>
    </row>
    <row r="343" spans="1:23" x14ac:dyDescent="0.35">
      <c r="A343" s="131"/>
      <c r="C343" s="45"/>
      <c r="V343" s="131"/>
      <c r="W343" s="134"/>
    </row>
    <row r="344" spans="1:23" x14ac:dyDescent="0.35">
      <c r="A344" s="131"/>
      <c r="C344" s="45"/>
      <c r="V344" s="131"/>
      <c r="W344" s="134"/>
    </row>
    <row r="345" spans="1:23" x14ac:dyDescent="0.35">
      <c r="A345" s="131"/>
      <c r="C345" s="45"/>
      <c r="V345" s="131"/>
      <c r="W345" s="134"/>
    </row>
    <row r="346" spans="1:23" x14ac:dyDescent="0.35">
      <c r="A346" s="131"/>
      <c r="C346" s="45"/>
      <c r="V346" s="131"/>
      <c r="W346" s="134"/>
    </row>
    <row r="347" spans="1:23" x14ac:dyDescent="0.35">
      <c r="A347" s="131"/>
      <c r="C347" s="45"/>
      <c r="V347" s="131"/>
      <c r="W347" s="134"/>
    </row>
    <row r="348" spans="1:23" x14ac:dyDescent="0.35">
      <c r="A348" s="131"/>
      <c r="C348" s="45"/>
      <c r="V348" s="131"/>
      <c r="W348" s="134"/>
    </row>
    <row r="349" spans="1:23" x14ac:dyDescent="0.35">
      <c r="A349" s="131"/>
      <c r="C349" s="45"/>
      <c r="V349" s="131"/>
      <c r="W349" s="134"/>
    </row>
    <row r="350" spans="1:23" x14ac:dyDescent="0.35">
      <c r="A350" s="131"/>
      <c r="C350" s="45"/>
      <c r="V350" s="131"/>
      <c r="W350" s="134"/>
    </row>
    <row r="351" spans="1:23" x14ac:dyDescent="0.35">
      <c r="A351" s="131"/>
      <c r="C351" s="45"/>
      <c r="V351" s="131"/>
      <c r="W351" s="134"/>
    </row>
    <row r="352" spans="1:23" x14ac:dyDescent="0.35">
      <c r="A352" s="131"/>
      <c r="C352" s="45"/>
      <c r="V352" s="131"/>
      <c r="W352" s="134"/>
    </row>
    <row r="353" spans="1:23" x14ac:dyDescent="0.35">
      <c r="A353" s="131"/>
      <c r="C353" s="45"/>
      <c r="V353" s="131"/>
      <c r="W353" s="134"/>
    </row>
    <row r="354" spans="1:23" x14ac:dyDescent="0.35">
      <c r="A354" s="131"/>
      <c r="C354" s="45"/>
      <c r="V354" s="131"/>
      <c r="W354" s="134"/>
    </row>
    <row r="355" spans="1:23" x14ac:dyDescent="0.35">
      <c r="A355" s="131"/>
      <c r="C355" s="45"/>
      <c r="V355" s="131"/>
      <c r="W355" s="134"/>
    </row>
    <row r="356" spans="1:23" x14ac:dyDescent="0.35">
      <c r="A356" s="131"/>
      <c r="C356" s="45"/>
      <c r="V356" s="131"/>
      <c r="W356" s="134"/>
    </row>
    <row r="357" spans="1:23" x14ac:dyDescent="0.35">
      <c r="A357" s="131"/>
      <c r="C357" s="45"/>
      <c r="V357" s="131"/>
      <c r="W357" s="134"/>
    </row>
    <row r="358" spans="1:23" x14ac:dyDescent="0.35">
      <c r="A358" s="131"/>
      <c r="C358" s="45"/>
      <c r="V358" s="131"/>
      <c r="W358" s="134"/>
    </row>
  </sheetData>
  <autoFilter ref="A21:T214" xr:uid="{00000000-0009-0000-0000-000000000000}"/>
  <sortState xmlns:xlrd2="http://schemas.microsoft.com/office/spreadsheetml/2017/richdata2" ref="A22:U22">
    <sortCondition ref="R22"/>
  </sortState>
  <phoneticPr fontId="41" type="noConversion"/>
  <conditionalFormatting sqref="C1:C1048576">
    <cfRule type="duplicateValues" dxfId="9" priority="4"/>
  </conditionalFormatting>
  <conditionalFormatting sqref="T1:T13 T15:T1048576">
    <cfRule type="duplicateValues" dxfId="8" priority="1"/>
  </conditionalFormatting>
  <conditionalFormatting sqref="W213:W214">
    <cfRule type="cellIs" dxfId="7" priority="6" operator="equal">
      <formula>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301"/>
  <sheetViews>
    <sheetView zoomScaleNormal="100" workbookViewId="0">
      <selection sqref="A1:A1048576"/>
    </sheetView>
  </sheetViews>
  <sheetFormatPr defaultColWidth="14.26953125" defaultRowHeight="14.5" x14ac:dyDescent="0.35"/>
  <cols>
    <col min="1" max="9" width="14.26953125" style="1"/>
    <col min="11" max="16384" width="14.26953125" style="1"/>
  </cols>
  <sheetData>
    <row r="1" spans="1:2" ht="12.75" customHeight="1" x14ac:dyDescent="0.35">
      <c r="A1" s="2" t="s">
        <v>47</v>
      </c>
    </row>
    <row r="2" spans="1:2" ht="12.75" customHeight="1" x14ac:dyDescent="0.35">
      <c r="A2" s="2" t="s">
        <v>48</v>
      </c>
      <c r="B2" s="2">
        <v>5</v>
      </c>
    </row>
    <row r="3" spans="1:2" ht="12.75" customHeight="1" x14ac:dyDescent="0.35">
      <c r="A3" s="2" t="s">
        <v>49</v>
      </c>
      <c r="B3" s="2">
        <v>1</v>
      </c>
    </row>
    <row r="4" spans="1:2" ht="12.75" customHeight="1" x14ac:dyDescent="0.35">
      <c r="A4" s="2" t="s">
        <v>50</v>
      </c>
      <c r="B4" s="2">
        <v>1</v>
      </c>
    </row>
    <row r="5" spans="1:2" ht="12.75" customHeight="1" x14ac:dyDescent="0.35">
      <c r="A5" s="2" t="s">
        <v>51</v>
      </c>
      <c r="B5" s="42" t="e">
        <f>#REF!</f>
        <v>#REF!</v>
      </c>
    </row>
    <row r="6" spans="1:2" ht="12.75" customHeight="1" x14ac:dyDescent="0.35">
      <c r="A6" s="2" t="s">
        <v>52</v>
      </c>
      <c r="B6" s="2" t="s">
        <v>53</v>
      </c>
    </row>
    <row r="7" spans="1:2" ht="12.75" customHeight="1" x14ac:dyDescent="0.35">
      <c r="A7" s="2" t="s">
        <v>54</v>
      </c>
      <c r="B7" s="2" t="s">
        <v>55</v>
      </c>
    </row>
    <row r="8" spans="1:2" ht="12.75" customHeight="1" x14ac:dyDescent="0.35">
      <c r="A8" s="2" t="s">
        <v>56</v>
      </c>
      <c r="B8" s="2" t="s">
        <v>57</v>
      </c>
    </row>
    <row r="9" spans="1:2" ht="12.75" customHeight="1" x14ac:dyDescent="0.35">
      <c r="A9" s="2" t="s">
        <v>58</v>
      </c>
      <c r="B9" s="2" t="s">
        <v>59</v>
      </c>
    </row>
    <row r="10" spans="1:2" ht="12.75" customHeight="1" x14ac:dyDescent="0.35">
      <c r="A10" s="2" t="s">
        <v>60</v>
      </c>
      <c r="B10" s="2" t="s">
        <v>61</v>
      </c>
    </row>
    <row r="11" spans="1:2" ht="12.75" customHeight="1" x14ac:dyDescent="0.35">
      <c r="A11" s="2" t="s">
        <v>62</v>
      </c>
      <c r="B11" s="2">
        <v>1</v>
      </c>
    </row>
    <row r="12" spans="1:2" ht="12.75" customHeight="1" x14ac:dyDescent="0.35">
      <c r="A12" s="2" t="s">
        <v>63</v>
      </c>
      <c r="B12" s="2" t="s">
        <v>64</v>
      </c>
    </row>
    <row r="13" spans="1:2" ht="12.75" customHeight="1" x14ac:dyDescent="0.35"/>
    <row r="14" spans="1:2" ht="12.75" customHeight="1" x14ac:dyDescent="0.35">
      <c r="A14" s="2" t="s">
        <v>65</v>
      </c>
    </row>
    <row r="15" spans="1:2" ht="12.75" customHeight="1" x14ac:dyDescent="0.35">
      <c r="A15" s="2">
        <v>76</v>
      </c>
    </row>
    <row r="16" spans="1:2" ht="12.75" customHeight="1" x14ac:dyDescent="0.35">
      <c r="A16" s="2">
        <v>76</v>
      </c>
    </row>
    <row r="17" spans="1:11" ht="12.75" customHeight="1" x14ac:dyDescent="0.35">
      <c r="A17" s="1" t="s">
        <v>66</v>
      </c>
      <c r="B17" t="str">
        <f>Sample!C15</f>
        <v>i5+i7</v>
      </c>
    </row>
    <row r="18" spans="1:11" ht="12.75" customHeight="1" x14ac:dyDescent="0.35">
      <c r="A18" s="2" t="s">
        <v>67</v>
      </c>
    </row>
    <row r="19" spans="1:11" ht="12.75" customHeight="1" x14ac:dyDescent="0.35">
      <c r="A19" s="2" t="s">
        <v>68</v>
      </c>
      <c r="B19" s="2" t="s">
        <v>69</v>
      </c>
    </row>
    <row r="20" spans="1:11" ht="12.75" customHeight="1" x14ac:dyDescent="0.35">
      <c r="A20" s="2" t="s">
        <v>70</v>
      </c>
      <c r="B20" s="2" t="s">
        <v>71</v>
      </c>
    </row>
    <row r="21" spans="1:11" ht="12.75" customHeight="1" x14ac:dyDescent="0.35"/>
    <row r="22" spans="1:11" ht="19.5" customHeight="1" x14ac:dyDescent="0.35">
      <c r="A22" s="2" t="s">
        <v>72</v>
      </c>
      <c r="B22">
        <f>Sample!C14</f>
        <v>0</v>
      </c>
    </row>
    <row r="23" spans="1:11" ht="12.75" customHeight="1" x14ac:dyDescent="0.35">
      <c r="A23" s="2" t="s">
        <v>73</v>
      </c>
      <c r="B23" s="2" t="s">
        <v>74</v>
      </c>
      <c r="C23" s="2" t="s">
        <v>75</v>
      </c>
      <c r="D23" s="2" t="s">
        <v>76</v>
      </c>
      <c r="E23" s="2" t="s">
        <v>77</v>
      </c>
      <c r="F23" s="2" t="s">
        <v>78</v>
      </c>
      <c r="G23" s="2" t="s">
        <v>79</v>
      </c>
      <c r="H23" s="2" t="s">
        <v>80</v>
      </c>
      <c r="I23" s="2" t="s">
        <v>81</v>
      </c>
      <c r="J23" s="2" t="s">
        <v>82</v>
      </c>
      <c r="K23" s="2" t="s">
        <v>62</v>
      </c>
    </row>
    <row r="24" spans="1:11" ht="12.75" customHeight="1" x14ac:dyDescent="0.35">
      <c r="A24" s="46" t="str">
        <f>Sample!B22&amp;"-"&amp;Sample!C22</f>
        <v>1-AAABLA63</v>
      </c>
      <c r="B24" s="46" t="str">
        <f>Sample!B22&amp;"-"&amp;Sample!C22</f>
        <v>1-AAABLA63</v>
      </c>
      <c r="C24" s="48" t="str">
        <f>Sample!A22</f>
        <v>T2927A</v>
      </c>
      <c r="D24" s="3"/>
      <c r="E24" s="3"/>
      <c r="F24" s="46" t="str">
        <f>Sample!K22</f>
        <v>S7701</v>
      </c>
      <c r="G24" s="47" t="str">
        <f>VLOOKUP(F24,'Index Sequence'!$A$2:$B$10000,2,FALSE)</f>
        <v>TGTCGTAG</v>
      </c>
      <c r="H24" s="47" t="str">
        <f>Sample!L22</f>
        <v>S7501</v>
      </c>
      <c r="I24" s="47" t="str">
        <f>VLOOKUP(H24,'Index Sequence'!$A$2:$B$10000,2,FALSE)</f>
        <v>TTAGCTTT</v>
      </c>
      <c r="J24" s="2" t="str">
        <f>Sample!R22</f>
        <v>L01</v>
      </c>
      <c r="K24" s="48" t="str" cm="1">
        <f t="array" ref="K24">IF(AND(OR(LEFT(Sample!A22,1)={"E","H","T","B","V","L"},LEFT(Sample!A22,2)="ID"),OR(LEFT(Sample!C22,2)="JI",LEFT(Sample!C22,1)="I")),"TS1",IF(AND(OR(LEFT(Sample!A22,1)={"E","H","T","B","V","L"},LEFT(Sample!A22,2)="ID"),OR(LEFT(Sample!C22,2)={"JX","JW"},LEFT(Sample!C22,1)="X")),"TS95",IF(AND(OR(LEFT(Sample!A22,1)={"E","H","T","B","V","L"},LEFT(Sample!A22,2)="ID"),OR(LEFT(Sample!C22,2)="JN",LEFT(Sample!C22,1)="N")),"TS3",IF(AND(OR(LEFT(Sample!A22,1)={"E","H","T","B","V","L"},LEFT(Sample!A22,2)="ID"),OR(LEFT(Sample!C22,2)={"JA","AN","AG","AD"})),"TS24",IF(AND(OR(LEFT(Sample!A22,1)={"T","B","E","H","V","L"},LEFT(Sample!A22,2)="ID"),OR(LEFT(Sample!C22,2)={"SA","JS","AS","AA"},LEFT(Sample!C22,4)="SERA")),"TSPRO",IF(AND(LEFT(Sample!A22,2)="CR",OR(MID(Sample!C22,3,1)="D",MID(Sample!C22,3,1)="B")),"CARRIER9",IF(LEFT(Sample!A22,2)="CR","CARRIER18",Sample!A22)))))))</f>
        <v>TSPRO</v>
      </c>
    </row>
    <row r="25" spans="1:11" x14ac:dyDescent="0.35">
      <c r="A25" s="46" t="str">
        <f>Sample!B23&amp;"-"&amp;Sample!C23</f>
        <v>2-SAAAFU90</v>
      </c>
      <c r="B25" s="46" t="str">
        <f>Sample!B23&amp;"-"&amp;Sample!C23</f>
        <v>2-SAAAFU90</v>
      </c>
      <c r="C25" s="48" t="str">
        <f>Sample!A23</f>
        <v>T2927A</v>
      </c>
      <c r="D25" s="3"/>
      <c r="E25" s="3"/>
      <c r="F25" s="46" t="str">
        <f>Sample!K23</f>
        <v>S7702</v>
      </c>
      <c r="G25" s="47" t="str">
        <f>VLOOKUP(F25,'Index Sequence'!$A$2:$B$10000,2,FALSE)</f>
        <v>CAATCATA</v>
      </c>
      <c r="H25" s="47" t="str">
        <f>Sample!L23</f>
        <v>S7502</v>
      </c>
      <c r="I25" s="47" t="str">
        <f>VLOOKUP(H25,'Index Sequence'!$A$2:$B$10000,2,FALSE)</f>
        <v>AATCTCCA</v>
      </c>
      <c r="J25" s="2" t="str">
        <f>Sample!R23</f>
        <v>L01</v>
      </c>
      <c r="K25" s="48" t="str">
        <f>IF(AND(OR(LEFT(Sample!A23,1)={"E","H","T","B","V","L"},LEFT(Sample!A23,2)="ID"),OR(LEFT(Sample!C23,2)="JI",LEFT(Sample!C23,1)="I")),"TS1",IF(AND(OR(LEFT(Sample!A23,1)={"E","H","T","B","V","L"},LEFT(Sample!A23,2)="ID"),OR(LEFT(Sample!C23,2)={"JX","JW"},LEFT(Sample!C23,1)="X")),"TS95",IF(AND(OR(LEFT(Sample!A23,1)={"E","H","T","B","V","L"},LEFT(Sample!A23,2)="ID"),OR(LEFT(Sample!C23,2)="JN",LEFT(Sample!C23,1)="N")),"TS3",IF(AND(OR(LEFT(Sample!A23,1)={"E","H","T","B","V","L"},LEFT(Sample!A23,2)="ID"),OR(LEFT(Sample!C23,2)={"JA","AN","AG","AD"})),"TS24",IF(AND(OR(LEFT(Sample!A23,1)={"T","B","E","H","V","L"},LEFT(Sample!A23,2)="ID"),OR(LEFT(Sample!C23,2)={"SA","JS","AS","AA"},LEFT(Sample!C23,4)="SERA")),"TSPRO",IF(AND(LEFT(Sample!A23,2)="CR",OR(MID(Sample!C23,3,1)="D",MID(Sample!C23,3,1)="B")),"CARRIER9",IF(LEFT(Sample!A23,2)="CR","CARRIER18",Sample!A23)))))))</f>
        <v>TSPRO</v>
      </c>
    </row>
    <row r="26" spans="1:11" x14ac:dyDescent="0.35">
      <c r="A26" s="46" t="str">
        <f>Sample!B24&amp;"-"&amp;Sample!C24</f>
        <v>4-AAABLB18</v>
      </c>
      <c r="B26" s="46" t="str">
        <f>Sample!B24&amp;"-"&amp;Sample!C24</f>
        <v>4-AAABLB18</v>
      </c>
      <c r="C26" s="48" t="str">
        <f>Sample!A24</f>
        <v>T2927A</v>
      </c>
      <c r="D26" s="3"/>
      <c r="E26" s="3"/>
      <c r="F26" s="46" t="str">
        <f>Sample!K24</f>
        <v>S7704</v>
      </c>
      <c r="G26" s="47" t="str">
        <f>VLOOKUP(F26,'Index Sequence'!$A$2:$B$10000,2,FALSE)</f>
        <v>GATGCGAC</v>
      </c>
      <c r="H26" s="47" t="str">
        <f>Sample!L24</f>
        <v>S7504</v>
      </c>
      <c r="I26" s="47" t="str">
        <f>VLOOKUP(H26,'Index Sequence'!$A$2:$B$10000,2,FALSE)</f>
        <v>CCCAAAGT</v>
      </c>
      <c r="J26" s="2" t="str">
        <f>Sample!R24</f>
        <v>L01</v>
      </c>
      <c r="K26" s="48" t="str">
        <f>IF(AND(OR(LEFT(Sample!A24,1)={"E","H","T","B","V","L"},LEFT(Sample!A24,2)="ID"),OR(LEFT(Sample!C24,2)="JI",LEFT(Sample!C24,1)="I")),"TS1",IF(AND(OR(LEFT(Sample!A24,1)={"E","H","T","B","V","L"},LEFT(Sample!A24,2)="ID"),OR(LEFT(Sample!C24,2)={"JX","JW"},LEFT(Sample!C24,1)="X")),"TS95",IF(AND(OR(LEFT(Sample!A24,1)={"E","H","T","B","V","L"},LEFT(Sample!A24,2)="ID"),OR(LEFT(Sample!C24,2)="JN",LEFT(Sample!C24,1)="N")),"TS3",IF(AND(OR(LEFT(Sample!A24,1)={"E","H","T","B","V","L"},LEFT(Sample!A24,2)="ID"),OR(LEFT(Sample!C24,2)={"JA","AN","AG","AD"})),"TS24",IF(AND(OR(LEFT(Sample!A24,1)={"T","B","E","H","V","L"},LEFT(Sample!A24,2)="ID"),OR(LEFT(Sample!C24,2)={"SA","JS","AS","AA"},LEFT(Sample!C24,4)="SERA")),"TSPRO",IF(AND(LEFT(Sample!A24,2)="CR",OR(MID(Sample!C24,3,1)="D",MID(Sample!C24,3,1)="B")),"CARRIER9",IF(LEFT(Sample!A24,2)="CR","CARRIER18",Sample!A24)))))))</f>
        <v>TSPRO</v>
      </c>
    </row>
    <row r="27" spans="1:11" x14ac:dyDescent="0.35">
      <c r="A27" s="46" t="str">
        <f>Sample!B25&amp;"-"&amp;Sample!C25</f>
        <v>5-SAGAEV40</v>
      </c>
      <c r="B27" s="46" t="str">
        <f>Sample!B25&amp;"-"&amp;Sample!C25</f>
        <v>5-SAGAEV40</v>
      </c>
      <c r="C27" s="48" t="str">
        <f>Sample!A25</f>
        <v>T2927A</v>
      </c>
      <c r="D27" s="3"/>
      <c r="E27" s="3"/>
      <c r="F27" s="46" t="str">
        <f>Sample!K25</f>
        <v>S7705</v>
      </c>
      <c r="G27" s="47" t="str">
        <f>VLOOKUP(F27,'Index Sequence'!$A$2:$B$10000,2,FALSE)</f>
        <v>GAAGAGGG</v>
      </c>
      <c r="H27" s="47" t="str">
        <f>Sample!L25</f>
        <v>S7505</v>
      </c>
      <c r="I27" s="47" t="str">
        <f>VLOOKUP(H27,'Index Sequence'!$A$2:$B$10000,2,FALSE)</f>
        <v>TCCGTCCG</v>
      </c>
      <c r="J27" s="2" t="str">
        <f>Sample!R25</f>
        <v>L01</v>
      </c>
      <c r="K27" s="48" t="str">
        <f>IF(AND(OR(LEFT(Sample!A25,1)={"E","H","T","B","V","L"},LEFT(Sample!A25,2)="ID"),OR(LEFT(Sample!C25,2)="JI",LEFT(Sample!C25,1)="I")),"TS1",IF(AND(OR(LEFT(Sample!A25,1)={"E","H","T","B","V","L"},LEFT(Sample!A25,2)="ID"),OR(LEFT(Sample!C25,2)={"JX","JW"},LEFT(Sample!C25,1)="X")),"TS95",IF(AND(OR(LEFT(Sample!A25,1)={"E","H","T","B","V","L"},LEFT(Sample!A25,2)="ID"),OR(LEFT(Sample!C25,2)="JN",LEFT(Sample!C25,1)="N")),"TS3",IF(AND(OR(LEFT(Sample!A25,1)={"E","H","T","B","V","L"},LEFT(Sample!A25,2)="ID"),OR(LEFT(Sample!C25,2)={"JA","AN","AG","AD"})),"TS24",IF(AND(OR(LEFT(Sample!A25,1)={"T","B","E","H","V","L"},LEFT(Sample!A25,2)="ID"),OR(LEFT(Sample!C25,2)={"SA","JS","AS","AA"},LEFT(Sample!C25,4)="SERA")),"TSPRO",IF(AND(LEFT(Sample!A25,2)="CR",OR(MID(Sample!C25,3,1)="D",MID(Sample!C25,3,1)="B")),"CARRIER9",IF(LEFT(Sample!A25,2)="CR","CARRIER18",Sample!A25)))))))</f>
        <v>TSPRO</v>
      </c>
    </row>
    <row r="28" spans="1:11" x14ac:dyDescent="0.35">
      <c r="A28" s="46" t="str">
        <f>Sample!B26&amp;"-"&amp;Sample!C26</f>
        <v>6-AAABLD80</v>
      </c>
      <c r="B28" s="46" t="str">
        <f>Sample!B26&amp;"-"&amp;Sample!C26</f>
        <v>6-AAABLD80</v>
      </c>
      <c r="C28" s="48" t="str">
        <f>Sample!A26</f>
        <v>T2927A</v>
      </c>
      <c r="D28" s="3"/>
      <c r="E28" s="3"/>
      <c r="F28" s="46" t="str">
        <f>Sample!K26</f>
        <v>S7706</v>
      </c>
      <c r="G28" s="47" t="str">
        <f>VLOOKUP(F28,'Index Sequence'!$A$2:$B$10000,2,FALSE)</f>
        <v>TAGTAATC</v>
      </c>
      <c r="H28" s="47" t="str">
        <f>Sample!L26</f>
        <v>S7506</v>
      </c>
      <c r="I28" s="47" t="str">
        <f>VLOOKUP(H28,'Index Sequence'!$A$2:$B$10000,2,FALSE)</f>
        <v>GGCTCTGC</v>
      </c>
      <c r="J28" s="2" t="str">
        <f>Sample!R26</f>
        <v>L01</v>
      </c>
      <c r="K28" s="48" t="str">
        <f>IF(AND(OR(LEFT(Sample!A26,1)={"E","H","T","B","V","L"},LEFT(Sample!A26,2)="ID"),OR(LEFT(Sample!C26,2)="JI",LEFT(Sample!C26,1)="I")),"TS1",IF(AND(OR(LEFT(Sample!A26,1)={"E","H","T","B","V","L"},LEFT(Sample!A26,2)="ID"),OR(LEFT(Sample!C26,2)={"JX","JW"},LEFT(Sample!C26,1)="X")),"TS95",IF(AND(OR(LEFT(Sample!A26,1)={"E","H","T","B","V","L"},LEFT(Sample!A26,2)="ID"),OR(LEFT(Sample!C26,2)="JN",LEFT(Sample!C26,1)="N")),"TS3",IF(AND(OR(LEFT(Sample!A26,1)={"E","H","T","B","V","L"},LEFT(Sample!A26,2)="ID"),OR(LEFT(Sample!C26,2)={"JA","AN","AG","AD"})),"TS24",IF(AND(OR(LEFT(Sample!A26,1)={"T","B","E","H","V","L"},LEFT(Sample!A26,2)="ID"),OR(LEFT(Sample!C26,2)={"SA","JS","AS","AA"},LEFT(Sample!C26,4)="SERA")),"TSPRO",IF(AND(LEFT(Sample!A26,2)="CR",OR(MID(Sample!C26,3,1)="D",MID(Sample!C26,3,1)="B")),"CARRIER9",IF(LEFT(Sample!A26,2)="CR","CARRIER18",Sample!A26)))))))</f>
        <v>TSPRO</v>
      </c>
    </row>
    <row r="29" spans="1:11" x14ac:dyDescent="0.35">
      <c r="A29" s="46" t="str">
        <f>Sample!B27&amp;"-"&amp;Sample!C27</f>
        <v>7-AAABLD81</v>
      </c>
      <c r="B29" s="46" t="str">
        <f>Sample!B27&amp;"-"&amp;Sample!C27</f>
        <v>7-AAABLD81</v>
      </c>
      <c r="C29" s="48" t="str">
        <f>Sample!A27</f>
        <v>T2927A</v>
      </c>
      <c r="D29" s="3"/>
      <c r="E29" s="3"/>
      <c r="F29" s="46" t="str">
        <f>Sample!K27</f>
        <v>S7707</v>
      </c>
      <c r="G29" s="47" t="str">
        <f>VLOOKUP(F29,'Index Sequence'!$A$2:$B$10000,2,FALSE)</f>
        <v>GTGTGGAG</v>
      </c>
      <c r="H29" s="47" t="str">
        <f>Sample!L27</f>
        <v>S7507</v>
      </c>
      <c r="I29" s="47" t="str">
        <f>VLOOKUP(H29,'Index Sequence'!$A$2:$B$10000,2,FALSE)</f>
        <v>GATCATGC</v>
      </c>
      <c r="J29" s="2" t="str">
        <f>Sample!R27</f>
        <v>L01</v>
      </c>
      <c r="K29" s="48" t="str">
        <f>IF(AND(OR(LEFT(Sample!A27,1)={"E","H","T","B","V","L"},LEFT(Sample!A27,2)="ID"),OR(LEFT(Sample!C27,2)="JI",LEFT(Sample!C27,1)="I")),"TS1",IF(AND(OR(LEFT(Sample!A27,1)={"E","H","T","B","V","L"},LEFT(Sample!A27,2)="ID"),OR(LEFT(Sample!C27,2)={"JX","JW"},LEFT(Sample!C27,1)="X")),"TS95",IF(AND(OR(LEFT(Sample!A27,1)={"E","H","T","B","V","L"},LEFT(Sample!A27,2)="ID"),OR(LEFT(Sample!C27,2)="JN",LEFT(Sample!C27,1)="N")),"TS3",IF(AND(OR(LEFT(Sample!A27,1)={"E","H","T","B","V","L"},LEFT(Sample!A27,2)="ID"),OR(LEFT(Sample!C27,2)={"JA","AN","AG","AD"})),"TS24",IF(AND(OR(LEFT(Sample!A27,1)={"T","B","E","H","V","L"},LEFT(Sample!A27,2)="ID"),OR(LEFT(Sample!C27,2)={"SA","JS","AS","AA"},LEFT(Sample!C27,4)="SERA")),"TSPRO",IF(AND(LEFT(Sample!A27,2)="CR",OR(MID(Sample!C27,3,1)="D",MID(Sample!C27,3,1)="B")),"CARRIER9",IF(LEFT(Sample!A27,2)="CR","CARRIER18",Sample!A27)))))))</f>
        <v>TSPRO</v>
      </c>
    </row>
    <row r="30" spans="1:11" x14ac:dyDescent="0.35">
      <c r="A30" s="46" t="str">
        <f>Sample!B28&amp;"-"&amp;Sample!C28</f>
        <v>8-AAABLD82</v>
      </c>
      <c r="B30" s="46" t="str">
        <f>Sample!B28&amp;"-"&amp;Sample!C28</f>
        <v>8-AAABLD82</v>
      </c>
      <c r="C30" s="48" t="str">
        <f>Sample!A28</f>
        <v>T2927A</v>
      </c>
      <c r="D30" s="3"/>
      <c r="E30" s="3"/>
      <c r="F30" s="46" t="str">
        <f>Sample!K28</f>
        <v>S7708</v>
      </c>
      <c r="G30" s="47" t="str">
        <f>VLOOKUP(F30,'Index Sequence'!$A$2:$B$10000,2,FALSE)</f>
        <v>ACGTTGTA</v>
      </c>
      <c r="H30" s="47" t="str">
        <f>Sample!L28</f>
        <v>S7508</v>
      </c>
      <c r="I30" s="47" t="str">
        <f>VLOOKUP(H30,'Index Sequence'!$A$2:$B$10000,2,FALSE)</f>
        <v>TAGGTCGA</v>
      </c>
      <c r="J30" s="2" t="str">
        <f>Sample!R28</f>
        <v>L01</v>
      </c>
      <c r="K30" s="48" t="str">
        <f>IF(AND(OR(LEFT(Sample!A28,1)={"E","H","T","B","V","L"},LEFT(Sample!A28,2)="ID"),OR(LEFT(Sample!C28,2)="JI",LEFT(Sample!C28,1)="I")),"TS1",IF(AND(OR(LEFT(Sample!A28,1)={"E","H","T","B","V","L"},LEFT(Sample!A28,2)="ID"),OR(LEFT(Sample!C28,2)={"JX","JW"},LEFT(Sample!C28,1)="X")),"TS95",IF(AND(OR(LEFT(Sample!A28,1)={"E","H","T","B","V","L"},LEFT(Sample!A28,2)="ID"),OR(LEFT(Sample!C28,2)="JN",LEFT(Sample!C28,1)="N")),"TS3",IF(AND(OR(LEFT(Sample!A28,1)={"E","H","T","B","V","L"},LEFT(Sample!A28,2)="ID"),OR(LEFT(Sample!C28,2)={"JA","AN","AG","AD"})),"TS24",IF(AND(OR(LEFT(Sample!A28,1)={"T","B","E","H","V","L"},LEFT(Sample!A28,2)="ID"),OR(LEFT(Sample!C28,2)={"SA","JS","AS","AA"},LEFT(Sample!C28,4)="SERA")),"TSPRO",IF(AND(LEFT(Sample!A28,2)="CR",OR(MID(Sample!C28,3,1)="D",MID(Sample!C28,3,1)="B")),"CARRIER9",IF(LEFT(Sample!A28,2)="CR","CARRIER18",Sample!A28)))))))</f>
        <v>TSPRO</v>
      </c>
    </row>
    <row r="31" spans="1:11" x14ac:dyDescent="0.35">
      <c r="A31" s="46" t="str">
        <f>Sample!B29&amp;"-"&amp;Sample!C29</f>
        <v>9-AAABLD83</v>
      </c>
      <c r="B31" s="46" t="str">
        <f>Sample!B29&amp;"-"&amp;Sample!C29</f>
        <v>9-AAABLD83</v>
      </c>
      <c r="C31" s="48" t="str">
        <f>Sample!A29</f>
        <v>T2927A</v>
      </c>
      <c r="D31" s="3"/>
      <c r="E31" s="3"/>
      <c r="F31" s="46" t="str">
        <f>Sample!K29</f>
        <v>S7709</v>
      </c>
      <c r="G31" s="47" t="str">
        <f>VLOOKUP(F31,'Index Sequence'!$A$2:$B$10000,2,FALSE)</f>
        <v>GCGCTAAT</v>
      </c>
      <c r="H31" s="47" t="str">
        <f>Sample!L29</f>
        <v>S7509</v>
      </c>
      <c r="I31" s="47" t="str">
        <f>VLOOKUP(H31,'Index Sequence'!$A$2:$B$10000,2,FALSE)</f>
        <v>GTCAGGGT</v>
      </c>
      <c r="J31" s="2" t="str">
        <f>Sample!R29</f>
        <v>L01</v>
      </c>
      <c r="K31" s="48" t="str">
        <f>IF(AND(OR(LEFT(Sample!A29,1)={"E","H","T","B","V","L"},LEFT(Sample!A29,2)="ID"),OR(LEFT(Sample!C29,2)="JI",LEFT(Sample!C29,1)="I")),"TS1",IF(AND(OR(LEFT(Sample!A29,1)={"E","H","T","B","V","L"},LEFT(Sample!A29,2)="ID"),OR(LEFT(Sample!C29,2)={"JX","JW"},LEFT(Sample!C29,1)="X")),"TS95",IF(AND(OR(LEFT(Sample!A29,1)={"E","H","T","B","V","L"},LEFT(Sample!A29,2)="ID"),OR(LEFT(Sample!C29,2)="JN",LEFT(Sample!C29,1)="N")),"TS3",IF(AND(OR(LEFT(Sample!A29,1)={"E","H","T","B","V","L"},LEFT(Sample!A29,2)="ID"),OR(LEFT(Sample!C29,2)={"JA","AN","AG","AD"})),"TS24",IF(AND(OR(LEFT(Sample!A29,1)={"T","B","E","H","V","L"},LEFT(Sample!A29,2)="ID"),OR(LEFT(Sample!C29,2)={"SA","JS","AS","AA"},LEFT(Sample!C29,4)="SERA")),"TSPRO",IF(AND(LEFT(Sample!A29,2)="CR",OR(MID(Sample!C29,3,1)="D",MID(Sample!C29,3,1)="B")),"CARRIER9",IF(LEFT(Sample!A29,2)="CR","CARRIER18",Sample!A29)))))))</f>
        <v>TSPRO</v>
      </c>
    </row>
    <row r="32" spans="1:11" x14ac:dyDescent="0.35">
      <c r="A32" s="46" t="str">
        <f>Sample!B30&amp;"-"&amp;Sample!C30</f>
        <v>10-AAABLD84</v>
      </c>
      <c r="B32" s="46" t="str">
        <f>Sample!B30&amp;"-"&amp;Sample!C30</f>
        <v>10-AAABLD84</v>
      </c>
      <c r="C32" s="48" t="str">
        <f>Sample!A30</f>
        <v>T2927A</v>
      </c>
      <c r="D32" s="3"/>
      <c r="E32" s="3"/>
      <c r="F32" s="46" t="str">
        <f>Sample!K30</f>
        <v>S7710</v>
      </c>
      <c r="G32" s="47" t="str">
        <f>VLOOKUP(F32,'Index Sequence'!$A$2:$B$10000,2,FALSE)</f>
        <v>AGAGCTGC</v>
      </c>
      <c r="H32" s="47" t="str">
        <f>Sample!L30</f>
        <v>S7510</v>
      </c>
      <c r="I32" s="47" t="str">
        <f>VLOOKUP(H32,'Index Sequence'!$A$2:$B$10000,2,FALSE)</f>
        <v>CCTTCAAC</v>
      </c>
      <c r="J32" s="2" t="str">
        <f>Sample!R30</f>
        <v>L01</v>
      </c>
      <c r="K32" s="48" t="str">
        <f>IF(AND(OR(LEFT(Sample!A30,1)={"E","H","T","B","V","L"},LEFT(Sample!A30,2)="ID"),OR(LEFT(Sample!C30,2)="JI",LEFT(Sample!C30,1)="I")),"TS1",IF(AND(OR(LEFT(Sample!A30,1)={"E","H","T","B","V","L"},LEFT(Sample!A30,2)="ID"),OR(LEFT(Sample!C30,2)={"JX","JW"},LEFT(Sample!C30,1)="X")),"TS95",IF(AND(OR(LEFT(Sample!A30,1)={"E","H","T","B","V","L"},LEFT(Sample!A30,2)="ID"),OR(LEFT(Sample!C30,2)="JN",LEFT(Sample!C30,1)="N")),"TS3",IF(AND(OR(LEFT(Sample!A30,1)={"E","H","T","B","V","L"},LEFT(Sample!A30,2)="ID"),OR(LEFT(Sample!C30,2)={"JA","AN","AG","AD"})),"TS24",IF(AND(OR(LEFT(Sample!A30,1)={"T","B","E","H","V","L"},LEFT(Sample!A30,2)="ID"),OR(LEFT(Sample!C30,2)={"SA","JS","AS","AA"},LEFT(Sample!C30,4)="SERA")),"TSPRO",IF(AND(LEFT(Sample!A30,2)="CR",OR(MID(Sample!C30,3,1)="D",MID(Sample!C30,3,1)="B")),"CARRIER9",IF(LEFT(Sample!A30,2)="CR","CARRIER18",Sample!A30)))))))</f>
        <v>TSPRO</v>
      </c>
    </row>
    <row r="33" spans="1:11" x14ac:dyDescent="0.35">
      <c r="A33" s="46" t="str">
        <f>Sample!B31&amp;"-"&amp;Sample!C31</f>
        <v>11-AAABLD85</v>
      </c>
      <c r="B33" s="46" t="str">
        <f>Sample!B31&amp;"-"&amp;Sample!C31</f>
        <v>11-AAABLD85</v>
      </c>
      <c r="C33" s="48" t="str">
        <f>Sample!A31</f>
        <v>T2927A</v>
      </c>
      <c r="D33" s="3"/>
      <c r="E33" s="3"/>
      <c r="F33" s="46" t="str">
        <f>Sample!K31</f>
        <v>S7711</v>
      </c>
      <c r="G33" s="47" t="str">
        <f>VLOOKUP(F33,'Index Sequence'!$A$2:$B$10000,2,FALSE)</f>
        <v>CATACTTA</v>
      </c>
      <c r="H33" s="47" t="str">
        <f>Sample!L31</f>
        <v>S7511</v>
      </c>
      <c r="I33" s="47" t="str">
        <f>VLOOKUP(H33,'Index Sequence'!$A$2:$B$10000,2,FALSE)</f>
        <v>TCCCGTGC</v>
      </c>
      <c r="J33" s="2" t="str">
        <f>Sample!R31</f>
        <v>L01</v>
      </c>
      <c r="K33" s="48" t="str">
        <f>IF(AND(OR(LEFT(Sample!A31,1)={"E","H","T","B","V","L"},LEFT(Sample!A31,2)="ID"),OR(LEFT(Sample!C31,2)="JI",LEFT(Sample!C31,1)="I")),"TS1",IF(AND(OR(LEFT(Sample!A31,1)={"E","H","T","B","V","L"},LEFT(Sample!A31,2)="ID"),OR(LEFT(Sample!C31,2)={"JX","JW"},LEFT(Sample!C31,1)="X")),"TS95",IF(AND(OR(LEFT(Sample!A31,1)={"E","H","T","B","V","L"},LEFT(Sample!A31,2)="ID"),OR(LEFT(Sample!C31,2)="JN",LEFT(Sample!C31,1)="N")),"TS3",IF(AND(OR(LEFT(Sample!A31,1)={"E","H","T","B","V","L"},LEFT(Sample!A31,2)="ID"),OR(LEFT(Sample!C31,2)={"JA","AN","AG","AD"})),"TS24",IF(AND(OR(LEFT(Sample!A31,1)={"T","B","E","H","V","L"},LEFT(Sample!A31,2)="ID"),OR(LEFT(Sample!C31,2)={"SA","JS","AS","AA"},LEFT(Sample!C31,4)="SERA")),"TSPRO",IF(AND(LEFT(Sample!A31,2)="CR",OR(MID(Sample!C31,3,1)="D",MID(Sample!C31,3,1)="B")),"CARRIER9",IF(LEFT(Sample!A31,2)="CR","CARRIER18",Sample!A31)))))))</f>
        <v>TSPRO</v>
      </c>
    </row>
    <row r="34" spans="1:11" x14ac:dyDescent="0.35">
      <c r="A34" s="46" t="str">
        <f>Sample!B32&amp;"-"&amp;Sample!C32</f>
        <v>12-AAABLD86</v>
      </c>
      <c r="B34" s="46" t="str">
        <f>Sample!B32&amp;"-"&amp;Sample!C32</f>
        <v>12-AAABLD86</v>
      </c>
      <c r="C34" s="48" t="str">
        <f>Sample!A32</f>
        <v>T2927A</v>
      </c>
      <c r="D34" s="3"/>
      <c r="E34" s="3"/>
      <c r="F34" s="46" t="str">
        <f>Sample!K32</f>
        <v>S7712</v>
      </c>
      <c r="G34" s="47" t="str">
        <f>VLOOKUP(F34,'Index Sequence'!$A$2:$B$10000,2,FALSE)</f>
        <v>TTGCACCG</v>
      </c>
      <c r="H34" s="47" t="str">
        <f>Sample!L32</f>
        <v>S7512</v>
      </c>
      <c r="I34" s="47" t="str">
        <f>VLOOKUP(H34,'Index Sequence'!$A$2:$B$10000,2,FALSE)</f>
        <v>TTTATACG</v>
      </c>
      <c r="J34" s="2" t="str">
        <f>Sample!R32</f>
        <v>L01</v>
      </c>
      <c r="K34" s="48" t="str">
        <f>IF(AND(OR(LEFT(Sample!A32,1)={"E","H","T","B","V","L"},LEFT(Sample!A32,2)="ID"),OR(LEFT(Sample!C32,2)="JI",LEFT(Sample!C32,1)="I")),"TS1",IF(AND(OR(LEFT(Sample!A32,1)={"E","H","T","B","V","L"},LEFT(Sample!A32,2)="ID"),OR(LEFT(Sample!C32,2)={"JX","JW"},LEFT(Sample!C32,1)="X")),"TS95",IF(AND(OR(LEFT(Sample!A32,1)={"E","H","T","B","V","L"},LEFT(Sample!A32,2)="ID"),OR(LEFT(Sample!C32,2)="JN",LEFT(Sample!C32,1)="N")),"TS3",IF(AND(OR(LEFT(Sample!A32,1)={"E","H","T","B","V","L"},LEFT(Sample!A32,2)="ID"),OR(LEFT(Sample!C32,2)={"JA","AN","AG","AD"})),"TS24",IF(AND(OR(LEFT(Sample!A32,1)={"T","B","E","H","V","L"},LEFT(Sample!A32,2)="ID"),OR(LEFT(Sample!C32,2)={"SA","JS","AS","AA"},LEFT(Sample!C32,4)="SERA")),"TSPRO",IF(AND(LEFT(Sample!A32,2)="CR",OR(MID(Sample!C32,3,1)="D",MID(Sample!C32,3,1)="B")),"CARRIER9",IF(LEFT(Sample!A32,2)="CR","CARRIER18",Sample!A32)))))))</f>
        <v>TSPRO</v>
      </c>
    </row>
    <row r="35" spans="1:11" x14ac:dyDescent="0.35">
      <c r="A35" s="46" t="str">
        <f>Sample!B33&amp;"-"&amp;Sample!C33</f>
        <v>1-SAAAFX48</v>
      </c>
      <c r="B35" s="46" t="str">
        <f>Sample!B33&amp;"-"&amp;Sample!C33</f>
        <v>1-SAAAFX48</v>
      </c>
      <c r="C35" s="48" t="str">
        <f>Sample!A33</f>
        <v>T2928A</v>
      </c>
      <c r="D35" s="3"/>
      <c r="E35" s="3"/>
      <c r="F35" s="46" t="str">
        <f>Sample!K33</f>
        <v>S7713</v>
      </c>
      <c r="G35" s="47" t="str">
        <f>VLOOKUP(F35,'Index Sequence'!$A$2:$B$10000,2,FALSE)</f>
        <v>GCGGGATA</v>
      </c>
      <c r="H35" s="47" t="str">
        <f>Sample!L33</f>
        <v>S7513</v>
      </c>
      <c r="I35" s="47" t="str">
        <f>VLOOKUP(H35,'Index Sequence'!$A$2:$B$10000,2,FALSE)</f>
        <v>CCGTCTCT</v>
      </c>
      <c r="J35" s="2" t="str">
        <f>Sample!R33</f>
        <v>L01</v>
      </c>
      <c r="K35" s="48" t="str">
        <f>IF(AND(OR(LEFT(Sample!A33,1)={"E","H","T","B","V","L"},LEFT(Sample!A33,2)="ID"),OR(LEFT(Sample!C33,2)="JI",LEFT(Sample!C33,1)="I")),"TS1",IF(AND(OR(LEFT(Sample!A33,1)={"E","H","T","B","V","L"},LEFT(Sample!A33,2)="ID"),OR(LEFT(Sample!C33,2)={"JX","JW"},LEFT(Sample!C33,1)="X")),"TS95",IF(AND(OR(LEFT(Sample!A33,1)={"E","H","T","B","V","L"},LEFT(Sample!A33,2)="ID"),OR(LEFT(Sample!C33,2)="JN",LEFT(Sample!C33,1)="N")),"TS3",IF(AND(OR(LEFT(Sample!A33,1)={"E","H","T","B","V","L"},LEFT(Sample!A33,2)="ID"),OR(LEFT(Sample!C33,2)={"JA","AN","AG","AD"})),"TS24",IF(AND(OR(LEFT(Sample!A33,1)={"T","B","E","H","V","L"},LEFT(Sample!A33,2)="ID"),OR(LEFT(Sample!C33,2)={"SA","JS","AS","AA"},LEFT(Sample!C33,4)="SERA")),"TSPRO",IF(AND(LEFT(Sample!A33,2)="CR",OR(MID(Sample!C33,3,1)="D",MID(Sample!C33,3,1)="B")),"CARRIER9",IF(LEFT(Sample!A33,2)="CR","CARRIER18",Sample!A33)))))))</f>
        <v>TSPRO</v>
      </c>
    </row>
    <row r="36" spans="1:11" x14ac:dyDescent="0.35">
      <c r="A36" s="46" t="str">
        <f>Sample!B34&amp;"-"&amp;Sample!C34</f>
        <v>2-SAAAFX49</v>
      </c>
      <c r="B36" s="46" t="str">
        <f>Sample!B34&amp;"-"&amp;Sample!C34</f>
        <v>2-SAAAFX49</v>
      </c>
      <c r="C36" s="48" t="str">
        <f>Sample!A34</f>
        <v>T2928A</v>
      </c>
      <c r="D36" s="3"/>
      <c r="E36" s="3"/>
      <c r="F36" s="46" t="str">
        <f>Sample!K34</f>
        <v>S7714</v>
      </c>
      <c r="G36" s="47" t="str">
        <f>VLOOKUP(F36,'Index Sequence'!$A$2:$B$10000,2,FALSE)</f>
        <v>GAAGTGAA</v>
      </c>
      <c r="H36" s="47" t="str">
        <f>Sample!L34</f>
        <v>S7514</v>
      </c>
      <c r="I36" s="47" t="str">
        <f>VLOOKUP(H36,'Index Sequence'!$A$2:$B$10000,2,FALSE)</f>
        <v>GACTTGTA</v>
      </c>
      <c r="J36" s="2" t="str">
        <f>Sample!R34</f>
        <v>L01</v>
      </c>
      <c r="K36" s="48" t="str">
        <f>IF(AND(OR(LEFT(Sample!A34,1)={"E","H","T","B","V","L"},LEFT(Sample!A34,2)="ID"),OR(LEFT(Sample!C34,2)="JI",LEFT(Sample!C34,1)="I")),"TS1",IF(AND(OR(LEFT(Sample!A34,1)={"E","H","T","B","V","L"},LEFT(Sample!A34,2)="ID"),OR(LEFT(Sample!C34,2)={"JX","JW"},LEFT(Sample!C34,1)="X")),"TS95",IF(AND(OR(LEFT(Sample!A34,1)={"E","H","T","B","V","L"},LEFT(Sample!A34,2)="ID"),OR(LEFT(Sample!C34,2)="JN",LEFT(Sample!C34,1)="N")),"TS3",IF(AND(OR(LEFT(Sample!A34,1)={"E","H","T","B","V","L"},LEFT(Sample!A34,2)="ID"),OR(LEFT(Sample!C34,2)={"JA","AN","AG","AD"})),"TS24",IF(AND(OR(LEFT(Sample!A34,1)={"T","B","E","H","V","L"},LEFT(Sample!A34,2)="ID"),OR(LEFT(Sample!C34,2)={"SA","JS","AS","AA"},LEFT(Sample!C34,4)="SERA")),"TSPRO",IF(AND(LEFT(Sample!A34,2)="CR",OR(MID(Sample!C34,3,1)="D",MID(Sample!C34,3,1)="B")),"CARRIER9",IF(LEFT(Sample!A34,2)="CR","CARRIER18",Sample!A34)))))))</f>
        <v>TSPRO</v>
      </c>
    </row>
    <row r="37" spans="1:11" x14ac:dyDescent="0.35">
      <c r="A37" s="46" t="str">
        <f>Sample!B35&amp;"-"&amp;Sample!C35</f>
        <v>3-SAAAFX50</v>
      </c>
      <c r="B37" s="46" t="str">
        <f>Sample!B35&amp;"-"&amp;Sample!C35</f>
        <v>3-SAAAFX50</v>
      </c>
      <c r="C37" s="48" t="str">
        <f>Sample!A35</f>
        <v>T2928A</v>
      </c>
      <c r="D37" s="3"/>
      <c r="E37" s="3"/>
      <c r="F37" s="46" t="str">
        <f>Sample!K35</f>
        <v>S7715</v>
      </c>
      <c r="G37" s="47" t="str">
        <f>VLOOKUP(F37,'Index Sequence'!$A$2:$B$10000,2,FALSE)</f>
        <v>CTGTTTAC</v>
      </c>
      <c r="H37" s="47" t="str">
        <f>Sample!L35</f>
        <v>S7515</v>
      </c>
      <c r="I37" s="47" t="str">
        <f>VLOOKUP(H37,'Index Sequence'!$A$2:$B$10000,2,FALSE)</f>
        <v>AAGATTCA</v>
      </c>
      <c r="J37" s="2" t="str">
        <f>Sample!R35</f>
        <v>L01</v>
      </c>
      <c r="K37" s="48" t="str">
        <f>IF(AND(OR(LEFT(Sample!A35,1)={"E","H","T","B","V","L"},LEFT(Sample!A35,2)="ID"),OR(LEFT(Sample!C35,2)="JI",LEFT(Sample!C35,1)="I")),"TS1",IF(AND(OR(LEFT(Sample!A35,1)={"E","H","T","B","V","L"},LEFT(Sample!A35,2)="ID"),OR(LEFT(Sample!C35,2)={"JX","JW"},LEFT(Sample!C35,1)="X")),"TS95",IF(AND(OR(LEFT(Sample!A35,1)={"E","H","T","B","V","L"},LEFT(Sample!A35,2)="ID"),OR(LEFT(Sample!C35,2)="JN",LEFT(Sample!C35,1)="N")),"TS3",IF(AND(OR(LEFT(Sample!A35,1)={"E","H","T","B","V","L"},LEFT(Sample!A35,2)="ID"),OR(LEFT(Sample!C35,2)={"JA","AN","AG","AD"})),"TS24",IF(AND(OR(LEFT(Sample!A35,1)={"T","B","E","H","V","L"},LEFT(Sample!A35,2)="ID"),OR(LEFT(Sample!C35,2)={"SA","JS","AS","AA"},LEFT(Sample!C35,4)="SERA")),"TSPRO",IF(AND(LEFT(Sample!A35,2)="CR",OR(MID(Sample!C35,3,1)="D",MID(Sample!C35,3,1)="B")),"CARRIER9",IF(LEFT(Sample!A35,2)="CR","CARRIER18",Sample!A35)))))))</f>
        <v>TSPRO</v>
      </c>
    </row>
    <row r="38" spans="1:11" x14ac:dyDescent="0.35">
      <c r="A38" s="46" t="str">
        <f>Sample!B36&amp;"-"&amp;Sample!C36</f>
        <v>4-SAAAFX51</v>
      </c>
      <c r="B38" s="46" t="str">
        <f>Sample!B36&amp;"-"&amp;Sample!C36</f>
        <v>4-SAAAFX51</v>
      </c>
      <c r="C38" s="48" t="str">
        <f>Sample!A36</f>
        <v>T2928A</v>
      </c>
      <c r="D38" s="3"/>
      <c r="E38" s="3"/>
      <c r="F38" s="46" t="str">
        <f>Sample!K36</f>
        <v>S7716</v>
      </c>
      <c r="G38" s="47" t="str">
        <f>VLOOKUP(F38,'Index Sequence'!$A$2:$B$10000,2,FALSE)</f>
        <v>GAGCACTC</v>
      </c>
      <c r="H38" s="47" t="str">
        <f>Sample!L36</f>
        <v>S7516</v>
      </c>
      <c r="I38" s="47" t="str">
        <f>VLOOKUP(H38,'Index Sequence'!$A$2:$B$10000,2,FALSE)</f>
        <v>CAAGTTGC</v>
      </c>
      <c r="J38" s="2" t="str">
        <f>Sample!R36</f>
        <v>L01</v>
      </c>
      <c r="K38" s="48" t="str">
        <f>IF(AND(OR(LEFT(Sample!A36,1)={"E","H","T","B","V","L"},LEFT(Sample!A36,2)="ID"),OR(LEFT(Sample!C36,2)="JI",LEFT(Sample!C36,1)="I")),"TS1",IF(AND(OR(LEFT(Sample!A36,1)={"E","H","T","B","V","L"},LEFT(Sample!A36,2)="ID"),OR(LEFT(Sample!C36,2)={"JX","JW"},LEFT(Sample!C36,1)="X")),"TS95",IF(AND(OR(LEFT(Sample!A36,1)={"E","H","T","B","V","L"},LEFT(Sample!A36,2)="ID"),OR(LEFT(Sample!C36,2)="JN",LEFT(Sample!C36,1)="N")),"TS3",IF(AND(OR(LEFT(Sample!A36,1)={"E","H","T","B","V","L"},LEFT(Sample!A36,2)="ID"),OR(LEFT(Sample!C36,2)={"JA","AN","AG","AD"})),"TS24",IF(AND(OR(LEFT(Sample!A36,1)={"T","B","E","H","V","L"},LEFT(Sample!A36,2)="ID"),OR(LEFT(Sample!C36,2)={"SA","JS","AS","AA"},LEFT(Sample!C36,4)="SERA")),"TSPRO",IF(AND(LEFT(Sample!A36,2)="CR",OR(MID(Sample!C36,3,1)="D",MID(Sample!C36,3,1)="B")),"CARRIER9",IF(LEFT(Sample!A36,2)="CR","CARRIER18",Sample!A36)))))))</f>
        <v>TSPRO</v>
      </c>
    </row>
    <row r="39" spans="1:11" x14ac:dyDescent="0.35">
      <c r="A39" s="46" t="str">
        <f>Sample!B37&amp;"-"&amp;Sample!C37</f>
        <v>5-SAAAFX52</v>
      </c>
      <c r="B39" s="46" t="str">
        <f>Sample!B37&amp;"-"&amp;Sample!C37</f>
        <v>5-SAAAFX52</v>
      </c>
      <c r="C39" s="48" t="str">
        <f>Sample!A37</f>
        <v>T2928A</v>
      </c>
      <c r="D39" s="3"/>
      <c r="E39" s="3"/>
      <c r="F39" s="46" t="str">
        <f>Sample!K37</f>
        <v>S7717</v>
      </c>
      <c r="G39" s="47" t="str">
        <f>VLOOKUP(F39,'Index Sequence'!$A$2:$B$10000,2,FALSE)</f>
        <v>TTGTTGCA</v>
      </c>
      <c r="H39" s="47" t="str">
        <f>Sample!L37</f>
        <v>S7517</v>
      </c>
      <c r="I39" s="47" t="str">
        <f>VLOOKUP(H39,'Index Sequence'!$A$2:$B$10000,2,FALSE)</f>
        <v>GACGTCGT</v>
      </c>
      <c r="J39" s="2" t="str">
        <f>Sample!R37</f>
        <v>L01</v>
      </c>
      <c r="K39" s="48" t="str">
        <f>IF(AND(OR(LEFT(Sample!A37,1)={"E","H","T","B","V","L"},LEFT(Sample!A37,2)="ID"),OR(LEFT(Sample!C37,2)="JI",LEFT(Sample!C37,1)="I")),"TS1",IF(AND(OR(LEFT(Sample!A37,1)={"E","H","T","B","V","L"},LEFT(Sample!A37,2)="ID"),OR(LEFT(Sample!C37,2)={"JX","JW"},LEFT(Sample!C37,1)="X")),"TS95",IF(AND(OR(LEFT(Sample!A37,1)={"E","H","T","B","V","L"},LEFT(Sample!A37,2)="ID"),OR(LEFT(Sample!C37,2)="JN",LEFT(Sample!C37,1)="N")),"TS3",IF(AND(OR(LEFT(Sample!A37,1)={"E","H","T","B","V","L"},LEFT(Sample!A37,2)="ID"),OR(LEFT(Sample!C37,2)={"JA","AN","AG","AD"})),"TS24",IF(AND(OR(LEFT(Sample!A37,1)={"T","B","E","H","V","L"},LEFT(Sample!A37,2)="ID"),OR(LEFT(Sample!C37,2)={"SA","JS","AS","AA"},LEFT(Sample!C37,4)="SERA")),"TSPRO",IF(AND(LEFT(Sample!A37,2)="CR",OR(MID(Sample!C37,3,1)="D",MID(Sample!C37,3,1)="B")),"CARRIER9",IF(LEFT(Sample!A37,2)="CR","CARRIER18",Sample!A37)))))))</f>
        <v>TSPRO</v>
      </c>
    </row>
    <row r="40" spans="1:11" x14ac:dyDescent="0.35">
      <c r="A40" s="46" t="str">
        <f>Sample!B38&amp;"-"&amp;Sample!C38</f>
        <v>6-SAAAFX53</v>
      </c>
      <c r="B40" s="46" t="str">
        <f>Sample!B38&amp;"-"&amp;Sample!C38</f>
        <v>6-SAAAFX53</v>
      </c>
      <c r="C40" s="48" t="str">
        <f>Sample!A38</f>
        <v>T2928A</v>
      </c>
      <c r="D40" s="3"/>
      <c r="E40" s="3"/>
      <c r="F40" s="46" t="str">
        <f>Sample!K38</f>
        <v>S7718</v>
      </c>
      <c r="G40" s="47" t="str">
        <f>VLOOKUP(F40,'Index Sequence'!$A$2:$B$10000,2,FALSE)</f>
        <v>CCACACTT</v>
      </c>
      <c r="H40" s="47" t="str">
        <f>Sample!L38</f>
        <v>S7518</v>
      </c>
      <c r="I40" s="47" t="str">
        <f>VLOOKUP(H40,'Index Sequence'!$A$2:$B$10000,2,FALSE)</f>
        <v>CGTCATAC</v>
      </c>
      <c r="J40" s="2" t="str">
        <f>Sample!R38</f>
        <v>L01</v>
      </c>
      <c r="K40" s="48" t="str">
        <f>IF(AND(OR(LEFT(Sample!A38,1)={"E","H","T","B","V","L"},LEFT(Sample!A38,2)="ID"),OR(LEFT(Sample!C38,2)="JI",LEFT(Sample!C38,1)="I")),"TS1",IF(AND(OR(LEFT(Sample!A38,1)={"E","H","T","B","V","L"},LEFT(Sample!A38,2)="ID"),OR(LEFT(Sample!C38,2)={"JX","JW"},LEFT(Sample!C38,1)="X")),"TS95",IF(AND(OR(LEFT(Sample!A38,1)={"E","H","T","B","V","L"},LEFT(Sample!A38,2)="ID"),OR(LEFT(Sample!C38,2)="JN",LEFT(Sample!C38,1)="N")),"TS3",IF(AND(OR(LEFT(Sample!A38,1)={"E","H","T","B","V","L"},LEFT(Sample!A38,2)="ID"),OR(LEFT(Sample!C38,2)={"JA","AN","AG","AD"})),"TS24",IF(AND(OR(LEFT(Sample!A38,1)={"T","B","E","H","V","L"},LEFT(Sample!A38,2)="ID"),OR(LEFT(Sample!C38,2)={"SA","JS","AS","AA"},LEFT(Sample!C38,4)="SERA")),"TSPRO",IF(AND(LEFT(Sample!A38,2)="CR",OR(MID(Sample!C38,3,1)="D",MID(Sample!C38,3,1)="B")),"CARRIER9",IF(LEFT(Sample!A38,2)="CR","CARRIER18",Sample!A38)))))))</f>
        <v>TSPRO</v>
      </c>
    </row>
    <row r="41" spans="1:11" x14ac:dyDescent="0.35">
      <c r="A41" s="46" t="str">
        <f>Sample!B39&amp;"-"&amp;Sample!C39</f>
        <v>7-SAAAFX54</v>
      </c>
      <c r="B41" s="46" t="str">
        <f>Sample!B39&amp;"-"&amp;Sample!C39</f>
        <v>7-SAAAFX54</v>
      </c>
      <c r="C41" s="48" t="str">
        <f>Sample!A39</f>
        <v>T2928A</v>
      </c>
      <c r="D41" s="3"/>
      <c r="E41" s="3"/>
      <c r="F41" s="46" t="str">
        <f>Sample!K39</f>
        <v>S7719</v>
      </c>
      <c r="G41" s="47" t="str">
        <f>VLOOKUP(F41,'Index Sequence'!$A$2:$B$10000,2,FALSE)</f>
        <v>CCCGTTTG</v>
      </c>
      <c r="H41" s="47" t="str">
        <f>Sample!L39</f>
        <v>S7519</v>
      </c>
      <c r="I41" s="47" t="str">
        <f>VLOOKUP(H41,'Index Sequence'!$A$2:$B$10000,2,FALSE)</f>
        <v>TTGCTGTA</v>
      </c>
      <c r="J41" s="2" t="str">
        <f>Sample!R39</f>
        <v>L01</v>
      </c>
      <c r="K41" s="48" t="str">
        <f>IF(AND(OR(LEFT(Sample!A39,1)={"E","H","T","B","V","L"},LEFT(Sample!A39,2)="ID"),OR(LEFT(Sample!C39,2)="JI",LEFT(Sample!C39,1)="I")),"TS1",IF(AND(OR(LEFT(Sample!A39,1)={"E","H","T","B","V","L"},LEFT(Sample!A39,2)="ID"),OR(LEFT(Sample!C39,2)={"JX","JW"},LEFT(Sample!C39,1)="X")),"TS95",IF(AND(OR(LEFT(Sample!A39,1)={"E","H","T","B","V","L"},LEFT(Sample!A39,2)="ID"),OR(LEFT(Sample!C39,2)="JN",LEFT(Sample!C39,1)="N")),"TS3",IF(AND(OR(LEFT(Sample!A39,1)={"E","H","T","B","V","L"},LEFT(Sample!A39,2)="ID"),OR(LEFT(Sample!C39,2)={"JA","AN","AG","AD"})),"TS24",IF(AND(OR(LEFT(Sample!A39,1)={"T","B","E","H","V","L"},LEFT(Sample!A39,2)="ID"),OR(LEFT(Sample!C39,2)={"SA","JS","AS","AA"},LEFT(Sample!C39,4)="SERA")),"TSPRO",IF(AND(LEFT(Sample!A39,2)="CR",OR(MID(Sample!C39,3,1)="D",MID(Sample!C39,3,1)="B")),"CARRIER9",IF(LEFT(Sample!A39,2)="CR","CARRIER18",Sample!A39)))))))</f>
        <v>TSPRO</v>
      </c>
    </row>
    <row r="42" spans="1:11" x14ac:dyDescent="0.35">
      <c r="A42" s="46" t="str">
        <f>Sample!B40&amp;"-"&amp;Sample!C40</f>
        <v>8-SAAAFX55</v>
      </c>
      <c r="B42" s="46" t="str">
        <f>Sample!B40&amp;"-"&amp;Sample!C40</f>
        <v>8-SAAAFX55</v>
      </c>
      <c r="C42" s="48" t="str">
        <f>Sample!A40</f>
        <v>T2928A</v>
      </c>
      <c r="D42" s="3"/>
      <c r="E42" s="3"/>
      <c r="F42" s="46" t="str">
        <f>Sample!K40</f>
        <v>S7720</v>
      </c>
      <c r="G42" s="47" t="str">
        <f>VLOOKUP(F42,'Index Sequence'!$A$2:$B$10000,2,FALSE)</f>
        <v>ATGCTCCC</v>
      </c>
      <c r="H42" s="47" t="str">
        <f>Sample!L40</f>
        <v>S7520</v>
      </c>
      <c r="I42" s="47" t="str">
        <f>VLOOKUP(H42,'Index Sequence'!$A$2:$B$10000,2,FALSE)</f>
        <v>CCCTGCTG</v>
      </c>
      <c r="J42" s="2" t="str">
        <f>Sample!R40</f>
        <v>L01</v>
      </c>
      <c r="K42" s="48" t="str">
        <f>IF(AND(OR(LEFT(Sample!A40,1)={"E","H","T","B","V","L"},LEFT(Sample!A40,2)="ID"),OR(LEFT(Sample!C40,2)="JI",LEFT(Sample!C40,1)="I")),"TS1",IF(AND(OR(LEFT(Sample!A40,1)={"E","H","T","B","V","L"},LEFT(Sample!A40,2)="ID"),OR(LEFT(Sample!C40,2)={"JX","JW"},LEFT(Sample!C40,1)="X")),"TS95",IF(AND(OR(LEFT(Sample!A40,1)={"E","H","T","B","V","L"},LEFT(Sample!A40,2)="ID"),OR(LEFT(Sample!C40,2)="JN",LEFT(Sample!C40,1)="N")),"TS3",IF(AND(OR(LEFT(Sample!A40,1)={"E","H","T","B","V","L"},LEFT(Sample!A40,2)="ID"),OR(LEFT(Sample!C40,2)={"JA","AN","AG","AD"})),"TS24",IF(AND(OR(LEFT(Sample!A40,1)={"T","B","E","H","V","L"},LEFT(Sample!A40,2)="ID"),OR(LEFT(Sample!C40,2)={"SA","JS","AS","AA"},LEFT(Sample!C40,4)="SERA")),"TSPRO",IF(AND(LEFT(Sample!A40,2)="CR",OR(MID(Sample!C40,3,1)="D",MID(Sample!C40,3,1)="B")),"CARRIER9",IF(LEFT(Sample!A40,2)="CR","CARRIER18",Sample!A40)))))))</f>
        <v>TSPRO</v>
      </c>
    </row>
    <row r="43" spans="1:11" x14ac:dyDescent="0.35">
      <c r="A43" s="46" t="str">
        <f>Sample!B41&amp;"-"&amp;Sample!C41</f>
        <v>9-SAAAFX56</v>
      </c>
      <c r="B43" s="46" t="str">
        <f>Sample!B41&amp;"-"&amp;Sample!C41</f>
        <v>9-SAAAFX56</v>
      </c>
      <c r="C43" s="48" t="str">
        <f>Sample!A41</f>
        <v>T2928A</v>
      </c>
      <c r="D43" s="3"/>
      <c r="E43" s="3"/>
      <c r="F43" s="46" t="str">
        <f>Sample!K41</f>
        <v>S7721</v>
      </c>
      <c r="G43" s="47" t="str">
        <f>VLOOKUP(F43,'Index Sequence'!$A$2:$B$10000,2,FALSE)</f>
        <v>GCTCAATA</v>
      </c>
      <c r="H43" s="47" t="str">
        <f>Sample!L41</f>
        <v>S7521</v>
      </c>
      <c r="I43" s="47" t="str">
        <f>VLOOKUP(H43,'Index Sequence'!$A$2:$B$10000,2,FALSE)</f>
        <v>CATTTATC</v>
      </c>
      <c r="J43" s="2" t="str">
        <f>Sample!R41</f>
        <v>L01</v>
      </c>
      <c r="K43" s="48" t="str">
        <f>IF(AND(OR(LEFT(Sample!A41,1)={"E","H","T","B","V","L"},LEFT(Sample!A41,2)="ID"),OR(LEFT(Sample!C41,2)="JI",LEFT(Sample!C41,1)="I")),"TS1",IF(AND(OR(LEFT(Sample!A41,1)={"E","H","T","B","V","L"},LEFT(Sample!A41,2)="ID"),OR(LEFT(Sample!C41,2)={"JX","JW"},LEFT(Sample!C41,1)="X")),"TS95",IF(AND(OR(LEFT(Sample!A41,1)={"E","H","T","B","V","L"},LEFT(Sample!A41,2)="ID"),OR(LEFT(Sample!C41,2)="JN",LEFT(Sample!C41,1)="N")),"TS3",IF(AND(OR(LEFT(Sample!A41,1)={"E","H","T","B","V","L"},LEFT(Sample!A41,2)="ID"),OR(LEFT(Sample!C41,2)={"JA","AN","AG","AD"})),"TS24",IF(AND(OR(LEFT(Sample!A41,1)={"T","B","E","H","V","L"},LEFT(Sample!A41,2)="ID"),OR(LEFT(Sample!C41,2)={"SA","JS","AS","AA"},LEFT(Sample!C41,4)="SERA")),"TSPRO",IF(AND(LEFT(Sample!A41,2)="CR",OR(MID(Sample!C41,3,1)="D",MID(Sample!C41,3,1)="B")),"CARRIER9",IF(LEFT(Sample!A41,2)="CR","CARRIER18",Sample!A41)))))))</f>
        <v>TSPRO</v>
      </c>
    </row>
    <row r="44" spans="1:11" x14ac:dyDescent="0.35">
      <c r="A44" s="46" t="str">
        <f>Sample!B42&amp;"-"&amp;Sample!C42</f>
        <v>10-SAAAFX57</v>
      </c>
      <c r="B44" s="46" t="str">
        <f>Sample!B42&amp;"-"&amp;Sample!C42</f>
        <v>10-SAAAFX57</v>
      </c>
      <c r="C44" s="48" t="str">
        <f>Sample!A42</f>
        <v>T2928A</v>
      </c>
      <c r="D44" s="3"/>
      <c r="E44" s="3"/>
      <c r="F44" s="46" t="str">
        <f>Sample!K42</f>
        <v>S7722</v>
      </c>
      <c r="G44" s="47" t="str">
        <f>VLOOKUP(F44,'Index Sequence'!$A$2:$B$10000,2,FALSE)</f>
        <v>GTAGTTCG</v>
      </c>
      <c r="H44" s="47" t="str">
        <f>Sample!L42</f>
        <v>S7522</v>
      </c>
      <c r="I44" s="47" t="str">
        <f>VLOOKUP(H44,'Index Sequence'!$A$2:$B$10000,2,FALSE)</f>
        <v>CTTGATGC</v>
      </c>
      <c r="J44" s="2" t="str">
        <f>Sample!R42</f>
        <v>L01</v>
      </c>
      <c r="K44" s="48" t="str">
        <f>IF(AND(OR(LEFT(Sample!A42,1)={"E","H","T","B","V","L"},LEFT(Sample!A42,2)="ID"),OR(LEFT(Sample!C42,2)="JI",LEFT(Sample!C42,1)="I")),"TS1",IF(AND(OR(LEFT(Sample!A42,1)={"E","H","T","B","V","L"},LEFT(Sample!A42,2)="ID"),OR(LEFT(Sample!C42,2)={"JX","JW"},LEFT(Sample!C42,1)="X")),"TS95",IF(AND(OR(LEFT(Sample!A42,1)={"E","H","T","B","V","L"},LEFT(Sample!A42,2)="ID"),OR(LEFT(Sample!C42,2)="JN",LEFT(Sample!C42,1)="N")),"TS3",IF(AND(OR(LEFT(Sample!A42,1)={"E","H","T","B","V","L"},LEFT(Sample!A42,2)="ID"),OR(LEFT(Sample!C42,2)={"JA","AN","AG","AD"})),"TS24",IF(AND(OR(LEFT(Sample!A42,1)={"T","B","E","H","V","L"},LEFT(Sample!A42,2)="ID"),OR(LEFT(Sample!C42,2)={"SA","JS","AS","AA"},LEFT(Sample!C42,4)="SERA")),"TSPRO",IF(AND(LEFT(Sample!A42,2)="CR",OR(MID(Sample!C42,3,1)="D",MID(Sample!C42,3,1)="B")),"CARRIER9",IF(LEFT(Sample!A42,2)="CR","CARRIER18",Sample!A42)))))))</f>
        <v>TSPRO</v>
      </c>
    </row>
    <row r="45" spans="1:11" x14ac:dyDescent="0.35">
      <c r="A45" s="46" t="str">
        <f>Sample!B43&amp;"-"&amp;Sample!C43</f>
        <v>11-SAAAFX58</v>
      </c>
      <c r="B45" s="46" t="str">
        <f>Sample!B43&amp;"-"&amp;Sample!C43</f>
        <v>11-SAAAFX58</v>
      </c>
      <c r="C45" s="48" t="str">
        <f>Sample!A43</f>
        <v>T2928A</v>
      </c>
      <c r="D45" s="3"/>
      <c r="E45" s="3"/>
      <c r="F45" s="46" t="str">
        <f>Sample!K43</f>
        <v>S7723</v>
      </c>
      <c r="G45" s="47" t="str">
        <f>VLOOKUP(F45,'Index Sequence'!$A$2:$B$10000,2,FALSE)</f>
        <v>CGAGAACC</v>
      </c>
      <c r="H45" s="47" t="str">
        <f>Sample!L43</f>
        <v>S7523</v>
      </c>
      <c r="I45" s="47" t="str">
        <f>VLOOKUP(H45,'Index Sequence'!$A$2:$B$10000,2,FALSE)</f>
        <v>ATGTATCG</v>
      </c>
      <c r="J45" s="2" t="str">
        <f>Sample!R43</f>
        <v>L01</v>
      </c>
      <c r="K45" s="48" t="str">
        <f>IF(AND(OR(LEFT(Sample!A43,1)={"E","H","T","B","V","L"},LEFT(Sample!A43,2)="ID"),OR(LEFT(Sample!C43,2)="JI",LEFT(Sample!C43,1)="I")),"TS1",IF(AND(OR(LEFT(Sample!A43,1)={"E","H","T","B","V","L"},LEFT(Sample!A43,2)="ID"),OR(LEFT(Sample!C43,2)={"JX","JW"},LEFT(Sample!C43,1)="X")),"TS95",IF(AND(OR(LEFT(Sample!A43,1)={"E","H","T","B","V","L"},LEFT(Sample!A43,2)="ID"),OR(LEFT(Sample!C43,2)="JN",LEFT(Sample!C43,1)="N")),"TS3",IF(AND(OR(LEFT(Sample!A43,1)={"E","H","T","B","V","L"},LEFT(Sample!A43,2)="ID"),OR(LEFT(Sample!C43,2)={"JA","AN","AG","AD"})),"TS24",IF(AND(OR(LEFT(Sample!A43,1)={"T","B","E","H","V","L"},LEFT(Sample!A43,2)="ID"),OR(LEFT(Sample!C43,2)={"SA","JS","AS","AA"},LEFT(Sample!C43,4)="SERA")),"TSPRO",IF(AND(LEFT(Sample!A43,2)="CR",OR(MID(Sample!C43,3,1)="D",MID(Sample!C43,3,1)="B")),"CARRIER9",IF(LEFT(Sample!A43,2)="CR","CARRIER18",Sample!A43)))))))</f>
        <v>TSPRO</v>
      </c>
    </row>
    <row r="46" spans="1:11" x14ac:dyDescent="0.35">
      <c r="A46" s="46" t="str">
        <f>Sample!B44&amp;"-"&amp;Sample!C44</f>
        <v>12-AAABLD87</v>
      </c>
      <c r="B46" s="46" t="str">
        <f>Sample!B44&amp;"-"&amp;Sample!C44</f>
        <v>12-AAABLD87</v>
      </c>
      <c r="C46" s="48" t="str">
        <f>Sample!A44</f>
        <v>T2928A</v>
      </c>
      <c r="D46" s="3"/>
      <c r="E46" s="3"/>
      <c r="F46" s="46" t="str">
        <f>Sample!K44</f>
        <v>S7724</v>
      </c>
      <c r="G46" s="47" t="str">
        <f>VLOOKUP(F46,'Index Sequence'!$A$2:$B$10000,2,FALSE)</f>
        <v>GCCATGTA</v>
      </c>
      <c r="H46" s="47" t="str">
        <f>Sample!L44</f>
        <v>S7524</v>
      </c>
      <c r="I46" s="47" t="str">
        <f>VLOOKUP(H46,'Index Sequence'!$A$2:$B$10000,2,FALSE)</f>
        <v>ATAGGGTT</v>
      </c>
      <c r="J46" s="2" t="str">
        <f>Sample!R44</f>
        <v>L01</v>
      </c>
      <c r="K46" s="48" t="str">
        <f>IF(AND(OR(LEFT(Sample!A44,1)={"E","H","T","B","V","L"},LEFT(Sample!A44,2)="ID"),OR(LEFT(Sample!C44,2)="JI",LEFT(Sample!C44,1)="I")),"TS1",IF(AND(OR(LEFT(Sample!A44,1)={"E","H","T","B","V","L"},LEFT(Sample!A44,2)="ID"),OR(LEFT(Sample!C44,2)={"JX","JW"},LEFT(Sample!C44,1)="X")),"TS95",IF(AND(OR(LEFT(Sample!A44,1)={"E","H","T","B","V","L"},LEFT(Sample!A44,2)="ID"),OR(LEFT(Sample!C44,2)="JN",LEFT(Sample!C44,1)="N")),"TS3",IF(AND(OR(LEFT(Sample!A44,1)={"E","H","T","B","V","L"},LEFT(Sample!A44,2)="ID"),OR(LEFT(Sample!C44,2)={"JA","AN","AG","AD"})),"TS24",IF(AND(OR(LEFT(Sample!A44,1)={"T","B","E","H","V","L"},LEFT(Sample!A44,2)="ID"),OR(LEFT(Sample!C44,2)={"SA","JS","AS","AA"},LEFT(Sample!C44,4)="SERA")),"TSPRO",IF(AND(LEFT(Sample!A44,2)="CR",OR(MID(Sample!C44,3,1)="D",MID(Sample!C44,3,1)="B")),"CARRIER9",IF(LEFT(Sample!A44,2)="CR","CARRIER18",Sample!A44)))))))</f>
        <v>TSPRO</v>
      </c>
    </row>
    <row r="47" spans="1:11" x14ac:dyDescent="0.35">
      <c r="A47" s="46" t="str">
        <f>Sample!B45&amp;"-"&amp;Sample!C45</f>
        <v>13-AAABLD88</v>
      </c>
      <c r="B47" s="46" t="str">
        <f>Sample!B45&amp;"-"&amp;Sample!C45</f>
        <v>13-AAABLD88</v>
      </c>
      <c r="C47" s="48" t="str">
        <f>Sample!A45</f>
        <v>T2928A</v>
      </c>
      <c r="D47" s="3"/>
      <c r="E47" s="3"/>
      <c r="F47" s="46" t="str">
        <f>Sample!K45</f>
        <v>S7725</v>
      </c>
      <c r="G47" s="47" t="str">
        <f>VLOOKUP(F47,'Index Sequence'!$A$2:$B$10000,2,FALSE)</f>
        <v>TTTCTCTA</v>
      </c>
      <c r="H47" s="47" t="str">
        <f>Sample!L45</f>
        <v>S7525</v>
      </c>
      <c r="I47" s="47" t="str">
        <f>VLOOKUP(H47,'Index Sequence'!$A$2:$B$10000,2,FALSE)</f>
        <v>CTCGACGT</v>
      </c>
      <c r="J47" s="2" t="str">
        <f>Sample!R45</f>
        <v>L01</v>
      </c>
      <c r="K47" s="48" t="str">
        <f>IF(AND(OR(LEFT(Sample!A45,1)={"E","H","T","B","V","L"},LEFT(Sample!A45,2)="ID"),OR(LEFT(Sample!C45,2)="JI",LEFT(Sample!C45,1)="I")),"TS1",IF(AND(OR(LEFT(Sample!A45,1)={"E","H","T","B","V","L"},LEFT(Sample!A45,2)="ID"),OR(LEFT(Sample!C45,2)={"JX","JW"},LEFT(Sample!C45,1)="X")),"TS95",IF(AND(OR(LEFT(Sample!A45,1)={"E","H","T","B","V","L"},LEFT(Sample!A45,2)="ID"),OR(LEFT(Sample!C45,2)="JN",LEFT(Sample!C45,1)="N")),"TS3",IF(AND(OR(LEFT(Sample!A45,1)={"E","H","T","B","V","L"},LEFT(Sample!A45,2)="ID"),OR(LEFT(Sample!C45,2)={"JA","AN","AG","AD"})),"TS24",IF(AND(OR(LEFT(Sample!A45,1)={"T","B","E","H","V","L"},LEFT(Sample!A45,2)="ID"),OR(LEFT(Sample!C45,2)={"SA","JS","AS","AA"},LEFT(Sample!C45,4)="SERA")),"TSPRO",IF(AND(LEFT(Sample!A45,2)="CR",OR(MID(Sample!C45,3,1)="D",MID(Sample!C45,3,1)="B")),"CARRIER9",IF(LEFT(Sample!A45,2)="CR","CARRIER18",Sample!A45)))))))</f>
        <v>TSPRO</v>
      </c>
    </row>
    <row r="48" spans="1:11" x14ac:dyDescent="0.35">
      <c r="A48" s="46" t="str">
        <f>Sample!B46&amp;"-"&amp;Sample!C46</f>
        <v>14-AAABLD89</v>
      </c>
      <c r="B48" s="46" t="str">
        <f>Sample!B46&amp;"-"&amp;Sample!C46</f>
        <v>14-AAABLD89</v>
      </c>
      <c r="C48" s="48" t="str">
        <f>Sample!A46</f>
        <v>T2928A</v>
      </c>
      <c r="D48" s="3"/>
      <c r="E48" s="3"/>
      <c r="F48" s="46" t="str">
        <f>Sample!K46</f>
        <v>S7726</v>
      </c>
      <c r="G48" s="47" t="str">
        <f>VLOOKUP(F48,'Index Sequence'!$A$2:$B$10000,2,FALSE)</f>
        <v>CCAGCGAT</v>
      </c>
      <c r="H48" s="47" t="str">
        <f>Sample!L46</f>
        <v>S7526</v>
      </c>
      <c r="I48" s="47" t="str">
        <f>VLOOKUP(H48,'Index Sequence'!$A$2:$B$10000,2,FALSE)</f>
        <v>TCTAGTCA</v>
      </c>
      <c r="J48" s="2" t="str">
        <f>Sample!R46</f>
        <v>L01</v>
      </c>
      <c r="K48" s="48" t="str">
        <f>IF(AND(OR(LEFT(Sample!A46,1)={"E","H","T","B","V","L"},LEFT(Sample!A46,2)="ID"),OR(LEFT(Sample!C46,2)="JI",LEFT(Sample!C46,1)="I")),"TS1",IF(AND(OR(LEFT(Sample!A46,1)={"E","H","T","B","V","L"},LEFT(Sample!A46,2)="ID"),OR(LEFT(Sample!C46,2)={"JX","JW"},LEFT(Sample!C46,1)="X")),"TS95",IF(AND(OR(LEFT(Sample!A46,1)={"E","H","T","B","V","L"},LEFT(Sample!A46,2)="ID"),OR(LEFT(Sample!C46,2)="JN",LEFT(Sample!C46,1)="N")),"TS3",IF(AND(OR(LEFT(Sample!A46,1)={"E","H","T","B","V","L"},LEFT(Sample!A46,2)="ID"),OR(LEFT(Sample!C46,2)={"JA","AN","AG","AD"})),"TS24",IF(AND(OR(LEFT(Sample!A46,1)={"T","B","E","H","V","L"},LEFT(Sample!A46,2)="ID"),OR(LEFT(Sample!C46,2)={"SA","JS","AS","AA"},LEFT(Sample!C46,4)="SERA")),"TSPRO",IF(AND(LEFT(Sample!A46,2)="CR",OR(MID(Sample!C46,3,1)="D",MID(Sample!C46,3,1)="B")),"CARRIER9",IF(LEFT(Sample!A46,2)="CR","CARRIER18",Sample!A46)))))))</f>
        <v>TSPRO</v>
      </c>
    </row>
    <row r="49" spans="1:11" x14ac:dyDescent="0.35">
      <c r="A49" s="46" t="str">
        <f>Sample!B47&amp;"-"&amp;Sample!C47</f>
        <v>15-AAABLD90</v>
      </c>
      <c r="B49" s="46" t="str">
        <f>Sample!B47&amp;"-"&amp;Sample!C47</f>
        <v>15-AAABLD90</v>
      </c>
      <c r="C49" s="48" t="str">
        <f>Sample!A47</f>
        <v>T2928A</v>
      </c>
      <c r="D49" s="3"/>
      <c r="E49" s="3"/>
      <c r="F49" s="46" t="str">
        <f>Sample!K47</f>
        <v>S7727</v>
      </c>
      <c r="G49" s="47" t="str">
        <f>VLOOKUP(F49,'Index Sequence'!$A$2:$B$10000,2,FALSE)</f>
        <v>TGGGAGTG</v>
      </c>
      <c r="H49" s="47" t="str">
        <f>Sample!L47</f>
        <v>S7527</v>
      </c>
      <c r="I49" s="47" t="str">
        <f>VLOOKUP(H49,'Index Sequence'!$A$2:$B$10000,2,FALSE)</f>
        <v>CCCGTCTA</v>
      </c>
      <c r="J49" s="2" t="str">
        <f>Sample!R47</f>
        <v>L01</v>
      </c>
      <c r="K49" s="48" t="str">
        <f>IF(AND(OR(LEFT(Sample!A47,1)={"E","H","T","B","V","L"},LEFT(Sample!A47,2)="ID"),OR(LEFT(Sample!C47,2)="JI",LEFT(Sample!C47,1)="I")),"TS1",IF(AND(OR(LEFT(Sample!A47,1)={"E","H","T","B","V","L"},LEFT(Sample!A47,2)="ID"),OR(LEFT(Sample!C47,2)={"JX","JW"},LEFT(Sample!C47,1)="X")),"TS95",IF(AND(OR(LEFT(Sample!A47,1)={"E","H","T","B","V","L"},LEFT(Sample!A47,2)="ID"),OR(LEFT(Sample!C47,2)="JN",LEFT(Sample!C47,1)="N")),"TS3",IF(AND(OR(LEFT(Sample!A47,1)={"E","H","T","B","V","L"},LEFT(Sample!A47,2)="ID"),OR(LEFT(Sample!C47,2)={"JA","AN","AG","AD"})),"TS24",IF(AND(OR(LEFT(Sample!A47,1)={"T","B","E","H","V","L"},LEFT(Sample!A47,2)="ID"),OR(LEFT(Sample!C47,2)={"SA","JS","AS","AA"},LEFT(Sample!C47,4)="SERA")),"TSPRO",IF(AND(LEFT(Sample!A47,2)="CR",OR(MID(Sample!C47,3,1)="D",MID(Sample!C47,3,1)="B")),"CARRIER9",IF(LEFT(Sample!A47,2)="CR","CARRIER18",Sample!A47)))))))</f>
        <v>TSPRO</v>
      </c>
    </row>
    <row r="50" spans="1:11" x14ac:dyDescent="0.35">
      <c r="A50" s="46" t="str">
        <f>Sample!B48&amp;"-"&amp;Sample!C48</f>
        <v>16-AAABLD91</v>
      </c>
      <c r="B50" s="46" t="str">
        <f>Sample!B48&amp;"-"&amp;Sample!C48</f>
        <v>16-AAABLD91</v>
      </c>
      <c r="C50" s="48" t="str">
        <f>Sample!A48</f>
        <v>T2928A</v>
      </c>
      <c r="D50" s="3"/>
      <c r="E50" s="3"/>
      <c r="F50" s="46" t="str">
        <f>Sample!K48</f>
        <v>S7728</v>
      </c>
      <c r="G50" s="47" t="str">
        <f>VLOOKUP(F50,'Index Sequence'!$A$2:$B$10000,2,FALSE)</f>
        <v>CCCTCGTA</v>
      </c>
      <c r="H50" s="47" t="str">
        <f>Sample!L48</f>
        <v>S7528</v>
      </c>
      <c r="I50" s="47" t="str">
        <f>VLOOKUP(H50,'Index Sequence'!$A$2:$B$10000,2,FALSE)</f>
        <v>TAGAAGAG</v>
      </c>
      <c r="J50" s="2" t="str">
        <f>Sample!R48</f>
        <v>L01</v>
      </c>
      <c r="K50" s="48" t="str">
        <f>IF(AND(OR(LEFT(Sample!A48,1)={"E","H","T","B","V","L"},LEFT(Sample!A48,2)="ID"),OR(LEFT(Sample!C48,2)="JI",LEFT(Sample!C48,1)="I")),"TS1",IF(AND(OR(LEFT(Sample!A48,1)={"E","H","T","B","V","L"},LEFT(Sample!A48,2)="ID"),OR(LEFT(Sample!C48,2)={"JX","JW"},LEFT(Sample!C48,1)="X")),"TS95",IF(AND(OR(LEFT(Sample!A48,1)={"E","H","T","B","V","L"},LEFT(Sample!A48,2)="ID"),OR(LEFT(Sample!C48,2)="JN",LEFT(Sample!C48,1)="N")),"TS3",IF(AND(OR(LEFT(Sample!A48,1)={"E","H","T","B","V","L"},LEFT(Sample!A48,2)="ID"),OR(LEFT(Sample!C48,2)={"JA","AN","AG","AD"})),"TS24",IF(AND(OR(LEFT(Sample!A48,1)={"T","B","E","H","V","L"},LEFT(Sample!A48,2)="ID"),OR(LEFT(Sample!C48,2)={"SA","JS","AS","AA"},LEFT(Sample!C48,4)="SERA")),"TSPRO",IF(AND(LEFT(Sample!A48,2)="CR",OR(MID(Sample!C48,3,1)="D",MID(Sample!C48,3,1)="B")),"CARRIER9",IF(LEFT(Sample!A48,2)="CR","CARRIER18",Sample!A48)))))))</f>
        <v>TSPRO</v>
      </c>
    </row>
    <row r="51" spans="1:11" x14ac:dyDescent="0.35">
      <c r="A51" s="46" t="str">
        <f>Sample!B49&amp;"-"&amp;Sample!C49</f>
        <v>17-AAABLD92</v>
      </c>
      <c r="B51" s="46" t="str">
        <f>Sample!B49&amp;"-"&amp;Sample!C49</f>
        <v>17-AAABLD92</v>
      </c>
      <c r="C51" s="48" t="str">
        <f>Sample!A49</f>
        <v>T2928A</v>
      </c>
      <c r="D51" s="3"/>
      <c r="E51" s="3"/>
      <c r="F51" s="46" t="str">
        <f>Sample!K49</f>
        <v>S7729</v>
      </c>
      <c r="G51" s="47" t="str">
        <f>VLOOKUP(F51,'Index Sequence'!$A$2:$B$10000,2,FALSE)</f>
        <v>CGATATGG</v>
      </c>
      <c r="H51" s="47" t="str">
        <f>Sample!L49</f>
        <v>S7529</v>
      </c>
      <c r="I51" s="47" t="str">
        <f>VLOOKUP(H51,'Index Sequence'!$A$2:$B$10000,2,FALSE)</f>
        <v>GGGACGTA</v>
      </c>
      <c r="J51" s="2" t="str">
        <f>Sample!R49</f>
        <v>L01</v>
      </c>
      <c r="K51" s="48" t="str">
        <f>IF(AND(OR(LEFT(Sample!A49,1)={"E","H","T","B","V","L"},LEFT(Sample!A49,2)="ID"),OR(LEFT(Sample!C49,2)="JI",LEFT(Sample!C49,1)="I")),"TS1",IF(AND(OR(LEFT(Sample!A49,1)={"E","H","T","B","V","L"},LEFT(Sample!A49,2)="ID"),OR(LEFT(Sample!C49,2)={"JX","JW"},LEFT(Sample!C49,1)="X")),"TS95",IF(AND(OR(LEFT(Sample!A49,1)={"E","H","T","B","V","L"},LEFT(Sample!A49,2)="ID"),OR(LEFT(Sample!C49,2)="JN",LEFT(Sample!C49,1)="N")),"TS3",IF(AND(OR(LEFT(Sample!A49,1)={"E","H","T","B","V","L"},LEFT(Sample!A49,2)="ID"),OR(LEFT(Sample!C49,2)={"JA","AN","AG","AD"})),"TS24",IF(AND(OR(LEFT(Sample!A49,1)={"T","B","E","H","V","L"},LEFT(Sample!A49,2)="ID"),OR(LEFT(Sample!C49,2)={"SA","JS","AS","AA"},LEFT(Sample!C49,4)="SERA")),"TSPRO",IF(AND(LEFT(Sample!A49,2)="CR",OR(MID(Sample!C49,3,1)="D",MID(Sample!C49,3,1)="B")),"CARRIER9",IF(LEFT(Sample!A49,2)="CR","CARRIER18",Sample!A49)))))))</f>
        <v>TSPRO</v>
      </c>
    </row>
    <row r="52" spans="1:11" x14ac:dyDescent="0.35">
      <c r="A52" s="46" t="str">
        <f>Sample!B50&amp;"-"&amp;Sample!C50</f>
        <v>18-AAABLD93</v>
      </c>
      <c r="B52" s="46" t="str">
        <f>Sample!B50&amp;"-"&amp;Sample!C50</f>
        <v>18-AAABLD93</v>
      </c>
      <c r="C52" s="48" t="str">
        <f>Sample!A50</f>
        <v>T2928A</v>
      </c>
      <c r="D52" s="3"/>
      <c r="E52" s="3"/>
      <c r="F52" s="46" t="str">
        <f>Sample!K50</f>
        <v>S7730</v>
      </c>
      <c r="G52" s="47" t="str">
        <f>VLOOKUP(F52,'Index Sequence'!$A$2:$B$10000,2,FALSE)</f>
        <v>TTGTGCCC</v>
      </c>
      <c r="H52" s="47" t="str">
        <f>Sample!L50</f>
        <v>S7530</v>
      </c>
      <c r="I52" s="47" t="str">
        <f>VLOOKUP(H52,'Index Sequence'!$A$2:$B$10000,2,FALSE)</f>
        <v>TTTCCATC</v>
      </c>
      <c r="J52" s="2" t="str">
        <f>Sample!R50</f>
        <v>L01</v>
      </c>
      <c r="K52" s="48" t="str">
        <f>IF(AND(OR(LEFT(Sample!A50,1)={"E","H","T","B","V","L"},LEFT(Sample!A50,2)="ID"),OR(LEFT(Sample!C50,2)="JI",LEFT(Sample!C50,1)="I")),"TS1",IF(AND(OR(LEFT(Sample!A50,1)={"E","H","T","B","V","L"},LEFT(Sample!A50,2)="ID"),OR(LEFT(Sample!C50,2)={"JX","JW"},LEFT(Sample!C50,1)="X")),"TS95",IF(AND(OR(LEFT(Sample!A50,1)={"E","H","T","B","V","L"},LEFT(Sample!A50,2)="ID"),OR(LEFT(Sample!C50,2)="JN",LEFT(Sample!C50,1)="N")),"TS3",IF(AND(OR(LEFT(Sample!A50,1)={"E","H","T","B","V","L"},LEFT(Sample!A50,2)="ID"),OR(LEFT(Sample!C50,2)={"JA","AN","AG","AD"})),"TS24",IF(AND(OR(LEFT(Sample!A50,1)={"T","B","E","H","V","L"},LEFT(Sample!A50,2)="ID"),OR(LEFT(Sample!C50,2)={"SA","JS","AS","AA"},LEFT(Sample!C50,4)="SERA")),"TSPRO",IF(AND(LEFT(Sample!A50,2)="CR",OR(MID(Sample!C50,3,1)="D",MID(Sample!C50,3,1)="B")),"CARRIER9",IF(LEFT(Sample!A50,2)="CR","CARRIER18",Sample!A50)))))))</f>
        <v>TSPRO</v>
      </c>
    </row>
    <row r="53" spans="1:11" x14ac:dyDescent="0.35">
      <c r="A53" s="46" t="str">
        <f>Sample!B51&amp;"-"&amp;Sample!C51</f>
        <v>19-AAABLD94</v>
      </c>
      <c r="B53" s="46" t="str">
        <f>Sample!B51&amp;"-"&amp;Sample!C51</f>
        <v>19-AAABLD94</v>
      </c>
      <c r="C53" s="48" t="str">
        <f>Sample!A51</f>
        <v>T2928A</v>
      </c>
      <c r="D53" s="3"/>
      <c r="E53" s="3"/>
      <c r="F53" s="46" t="str">
        <f>Sample!K51</f>
        <v>S7731</v>
      </c>
      <c r="G53" s="47" t="str">
        <f>VLOOKUP(F53,'Index Sequence'!$A$2:$B$10000,2,FALSE)</f>
        <v>TGTCCTCT</v>
      </c>
      <c r="H53" s="47" t="str">
        <f>Sample!L51</f>
        <v>S7531</v>
      </c>
      <c r="I53" s="47" t="str">
        <f>VLOOKUP(H53,'Index Sequence'!$A$2:$B$10000,2,FALSE)</f>
        <v>CGACGAAC</v>
      </c>
      <c r="J53" s="2" t="str">
        <f>Sample!R51</f>
        <v>L01</v>
      </c>
      <c r="K53" s="48" t="str">
        <f>IF(AND(OR(LEFT(Sample!A51,1)={"E","H","T","B","V","L"},LEFT(Sample!A51,2)="ID"),OR(LEFT(Sample!C51,2)="JI",LEFT(Sample!C51,1)="I")),"TS1",IF(AND(OR(LEFT(Sample!A51,1)={"E","H","T","B","V","L"},LEFT(Sample!A51,2)="ID"),OR(LEFT(Sample!C51,2)={"JX","JW"},LEFT(Sample!C51,1)="X")),"TS95",IF(AND(OR(LEFT(Sample!A51,1)={"E","H","T","B","V","L"},LEFT(Sample!A51,2)="ID"),OR(LEFT(Sample!C51,2)="JN",LEFT(Sample!C51,1)="N")),"TS3",IF(AND(OR(LEFT(Sample!A51,1)={"E","H","T","B","V","L"},LEFT(Sample!A51,2)="ID"),OR(LEFT(Sample!C51,2)={"JA","AN","AG","AD"})),"TS24",IF(AND(OR(LEFT(Sample!A51,1)={"T","B","E","H","V","L"},LEFT(Sample!A51,2)="ID"),OR(LEFT(Sample!C51,2)={"SA","JS","AS","AA"},LEFT(Sample!C51,4)="SERA")),"TSPRO",IF(AND(LEFT(Sample!A51,2)="CR",OR(MID(Sample!C51,3,1)="D",MID(Sample!C51,3,1)="B")),"CARRIER9",IF(LEFT(Sample!A51,2)="CR","CARRIER18",Sample!A51)))))))</f>
        <v>TSPRO</v>
      </c>
    </row>
    <row r="54" spans="1:11" x14ac:dyDescent="0.35">
      <c r="A54" s="46" t="str">
        <f>Sample!B52&amp;"-"&amp;Sample!C52</f>
        <v>20-AAABLD95</v>
      </c>
      <c r="B54" s="46" t="str">
        <f>Sample!B52&amp;"-"&amp;Sample!C52</f>
        <v>20-AAABLD95</v>
      </c>
      <c r="C54" s="48" t="str">
        <f>Sample!A52</f>
        <v>T2928A</v>
      </c>
      <c r="D54" s="3"/>
      <c r="E54" s="3"/>
      <c r="F54" s="46" t="str">
        <f>Sample!K52</f>
        <v>S7732</v>
      </c>
      <c r="G54" s="47" t="str">
        <f>VLOOKUP(F54,'Index Sequence'!$A$2:$B$10000,2,FALSE)</f>
        <v>GTATAGTC</v>
      </c>
      <c r="H54" s="47" t="str">
        <f>Sample!L52</f>
        <v>S7532</v>
      </c>
      <c r="I54" s="47" t="str">
        <f>VLOOKUP(H54,'Index Sequence'!$A$2:$B$10000,2,FALSE)</f>
        <v>TTGGTCTC</v>
      </c>
      <c r="J54" s="2" t="str">
        <f>Sample!R52</f>
        <v>L01</v>
      </c>
      <c r="K54" s="48" t="str">
        <f>IF(AND(OR(LEFT(Sample!A52,1)={"E","H","T","B","V","L"},LEFT(Sample!A52,2)="ID"),OR(LEFT(Sample!C52,2)="JI",LEFT(Sample!C52,1)="I")),"TS1",IF(AND(OR(LEFT(Sample!A52,1)={"E","H","T","B","V","L"},LEFT(Sample!A52,2)="ID"),OR(LEFT(Sample!C52,2)={"JX","JW"},LEFT(Sample!C52,1)="X")),"TS95",IF(AND(OR(LEFT(Sample!A52,1)={"E","H","T","B","V","L"},LEFT(Sample!A52,2)="ID"),OR(LEFT(Sample!C52,2)="JN",LEFT(Sample!C52,1)="N")),"TS3",IF(AND(OR(LEFT(Sample!A52,1)={"E","H","T","B","V","L"},LEFT(Sample!A52,2)="ID"),OR(LEFT(Sample!C52,2)={"JA","AN","AG","AD"})),"TS24",IF(AND(OR(LEFT(Sample!A52,1)={"T","B","E","H","V","L"},LEFT(Sample!A52,2)="ID"),OR(LEFT(Sample!C52,2)={"SA","JS","AS","AA"},LEFT(Sample!C52,4)="SERA")),"TSPRO",IF(AND(LEFT(Sample!A52,2)="CR",OR(MID(Sample!C52,3,1)="D",MID(Sample!C52,3,1)="B")),"CARRIER9",IF(LEFT(Sample!A52,2)="CR","CARRIER18",Sample!A52)))))))</f>
        <v>TSPRO</v>
      </c>
    </row>
    <row r="55" spans="1:11" x14ac:dyDescent="0.35">
      <c r="A55" s="46" t="str">
        <f>Sample!B53&amp;"-"&amp;Sample!C53</f>
        <v>21-AAABLD96</v>
      </c>
      <c r="B55" s="46" t="str">
        <f>Sample!B53&amp;"-"&amp;Sample!C53</f>
        <v>21-AAABLD96</v>
      </c>
      <c r="C55" s="48" t="str">
        <f>Sample!A53</f>
        <v>T2928A</v>
      </c>
      <c r="D55" s="3"/>
      <c r="E55" s="3"/>
      <c r="F55" s="46" t="str">
        <f>Sample!K53</f>
        <v>S7733</v>
      </c>
      <c r="G55" s="47" t="str">
        <f>VLOOKUP(F55,'Index Sequence'!$A$2:$B$10000,2,FALSE)</f>
        <v>TTTGGGAT</v>
      </c>
      <c r="H55" s="47" t="str">
        <f>Sample!L53</f>
        <v>S7533</v>
      </c>
      <c r="I55" s="47" t="str">
        <f>VLOOKUP(H55,'Index Sequence'!$A$2:$B$10000,2,FALSE)</f>
        <v>GTTCACGT</v>
      </c>
      <c r="J55" s="2" t="str">
        <f>Sample!R53</f>
        <v>L01</v>
      </c>
      <c r="K55" s="48" t="str">
        <f>IF(AND(OR(LEFT(Sample!A53,1)={"E","H","T","B","V","L"},LEFT(Sample!A53,2)="ID"),OR(LEFT(Sample!C53,2)="JI",LEFT(Sample!C53,1)="I")),"TS1",IF(AND(OR(LEFT(Sample!A53,1)={"E","H","T","B","V","L"},LEFT(Sample!A53,2)="ID"),OR(LEFT(Sample!C53,2)={"JX","JW"},LEFT(Sample!C53,1)="X")),"TS95",IF(AND(OR(LEFT(Sample!A53,1)={"E","H","T","B","V","L"},LEFT(Sample!A53,2)="ID"),OR(LEFT(Sample!C53,2)="JN",LEFT(Sample!C53,1)="N")),"TS3",IF(AND(OR(LEFT(Sample!A53,1)={"E","H","T","B","V","L"},LEFT(Sample!A53,2)="ID"),OR(LEFT(Sample!C53,2)={"JA","AN","AG","AD"})),"TS24",IF(AND(OR(LEFT(Sample!A53,1)={"T","B","E","H","V","L"},LEFT(Sample!A53,2)="ID"),OR(LEFT(Sample!C53,2)={"SA","JS","AS","AA"},LEFT(Sample!C53,4)="SERA")),"TSPRO",IF(AND(LEFT(Sample!A53,2)="CR",OR(MID(Sample!C53,3,1)="D",MID(Sample!C53,3,1)="B")),"CARRIER9",IF(LEFT(Sample!A53,2)="CR","CARRIER18",Sample!A53)))))))</f>
        <v>TSPRO</v>
      </c>
    </row>
    <row r="56" spans="1:11" x14ac:dyDescent="0.35">
      <c r="A56" s="46" t="str">
        <f>Sample!B54&amp;"-"&amp;Sample!C54</f>
        <v>22-AAABLD97</v>
      </c>
      <c r="B56" s="46" t="str">
        <f>Sample!B54&amp;"-"&amp;Sample!C54</f>
        <v>22-AAABLD97</v>
      </c>
      <c r="C56" s="48" t="str">
        <f>Sample!A54</f>
        <v>T2928A</v>
      </c>
      <c r="D56" s="3"/>
      <c r="E56" s="3"/>
      <c r="F56" s="46" t="str">
        <f>Sample!K54</f>
        <v>S7734</v>
      </c>
      <c r="G56" s="47" t="str">
        <f>VLOOKUP(F56,'Index Sequence'!$A$2:$B$10000,2,FALSE)</f>
        <v>CACCAAGC</v>
      </c>
      <c r="H56" s="47" t="str">
        <f>Sample!L54</f>
        <v>S7534</v>
      </c>
      <c r="I56" s="47" t="str">
        <f>VLOOKUP(H56,'Index Sequence'!$A$2:$B$10000,2,FALSE)</f>
        <v>AAAGGGAA</v>
      </c>
      <c r="J56" s="2" t="str">
        <f>Sample!R54</f>
        <v>L01</v>
      </c>
      <c r="K56" s="48" t="str">
        <f>IF(AND(OR(LEFT(Sample!A54,1)={"E","H","T","B","V","L"},LEFT(Sample!A54,2)="ID"),OR(LEFT(Sample!C54,2)="JI",LEFT(Sample!C54,1)="I")),"TS1",IF(AND(OR(LEFT(Sample!A54,1)={"E","H","T","B","V","L"},LEFT(Sample!A54,2)="ID"),OR(LEFT(Sample!C54,2)={"JX","JW"},LEFT(Sample!C54,1)="X")),"TS95",IF(AND(OR(LEFT(Sample!A54,1)={"E","H","T","B","V","L"},LEFT(Sample!A54,2)="ID"),OR(LEFT(Sample!C54,2)="JN",LEFT(Sample!C54,1)="N")),"TS3",IF(AND(OR(LEFT(Sample!A54,1)={"E","H","T","B","V","L"},LEFT(Sample!A54,2)="ID"),OR(LEFT(Sample!C54,2)={"JA","AN","AG","AD"})),"TS24",IF(AND(OR(LEFT(Sample!A54,1)={"T","B","E","H","V","L"},LEFT(Sample!A54,2)="ID"),OR(LEFT(Sample!C54,2)={"SA","JS","AS","AA"},LEFT(Sample!C54,4)="SERA")),"TSPRO",IF(AND(LEFT(Sample!A54,2)="CR",OR(MID(Sample!C54,3,1)="D",MID(Sample!C54,3,1)="B")),"CARRIER9",IF(LEFT(Sample!A54,2)="CR","CARRIER18",Sample!A54)))))))</f>
        <v>TSPRO</v>
      </c>
    </row>
    <row r="57" spans="1:11" x14ac:dyDescent="0.35">
      <c r="A57" s="46" t="str">
        <f>Sample!B55&amp;"-"&amp;Sample!C55</f>
        <v>23-AAABLD98</v>
      </c>
      <c r="B57" s="46" t="str">
        <f>Sample!B55&amp;"-"&amp;Sample!C55</f>
        <v>23-AAABLD98</v>
      </c>
      <c r="C57" s="48" t="str">
        <f>Sample!A55</f>
        <v>T2928A</v>
      </c>
      <c r="D57" s="3"/>
      <c r="E57" s="3"/>
      <c r="F57" s="46" t="str">
        <f>Sample!K55</f>
        <v>S7735</v>
      </c>
      <c r="G57" s="47" t="str">
        <f>VLOOKUP(F57,'Index Sequence'!$A$2:$B$10000,2,FALSE)</f>
        <v>CGGAGAGG</v>
      </c>
      <c r="H57" s="47" t="str">
        <f>Sample!L55</f>
        <v>S7535</v>
      </c>
      <c r="I57" s="47" t="str">
        <f>VLOOKUP(H57,'Index Sequence'!$A$2:$B$10000,2,FALSE)</f>
        <v>CGAGCGTC</v>
      </c>
      <c r="J57" s="2" t="str">
        <f>Sample!R55</f>
        <v>L01</v>
      </c>
      <c r="K57" s="48" t="str">
        <f>IF(AND(OR(LEFT(Sample!A55,1)={"E","H","T","B","V","L"},LEFT(Sample!A55,2)="ID"),OR(LEFT(Sample!C55,2)="JI",LEFT(Sample!C55,1)="I")),"TS1",IF(AND(OR(LEFT(Sample!A55,1)={"E","H","T","B","V","L"},LEFT(Sample!A55,2)="ID"),OR(LEFT(Sample!C55,2)={"JX","JW"},LEFT(Sample!C55,1)="X")),"TS95",IF(AND(OR(LEFT(Sample!A55,1)={"E","H","T","B","V","L"},LEFT(Sample!A55,2)="ID"),OR(LEFT(Sample!C55,2)="JN",LEFT(Sample!C55,1)="N")),"TS3",IF(AND(OR(LEFT(Sample!A55,1)={"E","H","T","B","V","L"},LEFT(Sample!A55,2)="ID"),OR(LEFT(Sample!C55,2)={"JA","AN","AG","AD"})),"TS24",IF(AND(OR(LEFT(Sample!A55,1)={"T","B","E","H","V","L"},LEFT(Sample!A55,2)="ID"),OR(LEFT(Sample!C55,2)={"SA","JS","AS","AA"},LEFT(Sample!C55,4)="SERA")),"TSPRO",IF(AND(LEFT(Sample!A55,2)="CR",OR(MID(Sample!C55,3,1)="D",MID(Sample!C55,3,1)="B")),"CARRIER9",IF(LEFT(Sample!A55,2)="CR","CARRIER18",Sample!A55)))))))</f>
        <v>TSPRO</v>
      </c>
    </row>
    <row r="58" spans="1:11" x14ac:dyDescent="0.35">
      <c r="A58" s="46" t="str">
        <f>Sample!B56&amp;"-"&amp;Sample!C56</f>
        <v>24-AAABLD99</v>
      </c>
      <c r="B58" s="46" t="str">
        <f>Sample!B56&amp;"-"&amp;Sample!C56</f>
        <v>24-AAABLD99</v>
      </c>
      <c r="C58" s="48" t="str">
        <f>Sample!A56</f>
        <v>T2928A</v>
      </c>
      <c r="D58" s="3"/>
      <c r="E58" s="3"/>
      <c r="F58" s="46" t="str">
        <f>Sample!K56</f>
        <v>S7736</v>
      </c>
      <c r="G58" s="47" t="str">
        <f>VLOOKUP(F58,'Index Sequence'!$A$2:$B$10000,2,FALSE)</f>
        <v>TATTTACC</v>
      </c>
      <c r="H58" s="47" t="str">
        <f>Sample!L56</f>
        <v>S7536</v>
      </c>
      <c r="I58" s="47" t="str">
        <f>VLOOKUP(H58,'Index Sequence'!$A$2:$B$10000,2,FALSE)</f>
        <v>GACGTGAG</v>
      </c>
      <c r="J58" s="2" t="str">
        <f>Sample!R56</f>
        <v>L01</v>
      </c>
      <c r="K58" s="48" t="str">
        <f>IF(AND(OR(LEFT(Sample!A56,1)={"E","H","T","B","V","L"},LEFT(Sample!A56,2)="ID"),OR(LEFT(Sample!C56,2)="JI",LEFT(Sample!C56,1)="I")),"TS1",IF(AND(OR(LEFT(Sample!A56,1)={"E","H","T","B","V","L"},LEFT(Sample!A56,2)="ID"),OR(LEFT(Sample!C56,2)={"JX","JW"},LEFT(Sample!C56,1)="X")),"TS95",IF(AND(OR(LEFT(Sample!A56,1)={"E","H","T","B","V","L"},LEFT(Sample!A56,2)="ID"),OR(LEFT(Sample!C56,2)="JN",LEFT(Sample!C56,1)="N")),"TS3",IF(AND(OR(LEFT(Sample!A56,1)={"E","H","T","B","V","L"},LEFT(Sample!A56,2)="ID"),OR(LEFT(Sample!C56,2)={"JA","AN","AG","AD"})),"TS24",IF(AND(OR(LEFT(Sample!A56,1)={"T","B","E","H","V","L"},LEFT(Sample!A56,2)="ID"),OR(LEFT(Sample!C56,2)={"SA","JS","AS","AA"},LEFT(Sample!C56,4)="SERA")),"TSPRO",IF(AND(LEFT(Sample!A56,2)="CR",OR(MID(Sample!C56,3,1)="D",MID(Sample!C56,3,1)="B")),"CARRIER9",IF(LEFT(Sample!A56,2)="CR","CARRIER18",Sample!A56)))))))</f>
        <v>TSPRO</v>
      </c>
    </row>
    <row r="59" spans="1:11" x14ac:dyDescent="0.35">
      <c r="A59" s="46" t="str">
        <f>Sample!B57&amp;"-"&amp;Sample!C57</f>
        <v>1-ASAAAB87</v>
      </c>
      <c r="B59" s="46" t="str">
        <f>Sample!B57&amp;"-"&amp;Sample!C57</f>
        <v>1-ASAAAB87</v>
      </c>
      <c r="C59" s="48" t="str">
        <f>Sample!A57</f>
        <v>T2929A</v>
      </c>
      <c r="D59" s="3"/>
      <c r="E59" s="3"/>
      <c r="F59" s="46" t="str">
        <f>Sample!K57</f>
        <v>S7737</v>
      </c>
      <c r="G59" s="47" t="str">
        <f>VLOOKUP(F59,'Index Sequence'!$A$2:$B$10000,2,FALSE)</f>
        <v>TATATGGA</v>
      </c>
      <c r="H59" s="47" t="str">
        <f>Sample!L57</f>
        <v>S7537</v>
      </c>
      <c r="I59" s="47" t="str">
        <f>VLOOKUP(H59,'Index Sequence'!$A$2:$B$10000,2,FALSE)</f>
        <v>CTTGGCAG</v>
      </c>
      <c r="J59" s="2" t="str">
        <f>Sample!R57</f>
        <v>L01</v>
      </c>
      <c r="K59" s="48" t="str">
        <f>IF(AND(OR(LEFT(Sample!A57,1)={"E","H","T","B","V","L"},LEFT(Sample!A57,2)="ID"),OR(LEFT(Sample!C57,2)="JI",LEFT(Sample!C57,1)="I")),"TS1",IF(AND(OR(LEFT(Sample!A57,1)={"E","H","T","B","V","L"},LEFT(Sample!A57,2)="ID"),OR(LEFT(Sample!C57,2)={"JX","JW"},LEFT(Sample!C57,1)="X")),"TS95",IF(AND(OR(LEFT(Sample!A57,1)={"E","H","T","B","V","L"},LEFT(Sample!A57,2)="ID"),OR(LEFT(Sample!C57,2)="JN",LEFT(Sample!C57,1)="N")),"TS3",IF(AND(OR(LEFT(Sample!A57,1)={"E","H","T","B","V","L"},LEFT(Sample!A57,2)="ID"),OR(LEFT(Sample!C57,2)={"JA","AN","AG","AD"})),"TS24",IF(AND(OR(LEFT(Sample!A57,1)={"T","B","E","H","V","L"},LEFT(Sample!A57,2)="ID"),OR(LEFT(Sample!C57,2)={"SA","JS","AS","AA"},LEFT(Sample!C57,4)="SERA")),"TSPRO",IF(AND(LEFT(Sample!A57,2)="CR",OR(MID(Sample!C57,3,1)="D",MID(Sample!C57,3,1)="B")),"CARRIER9",IF(LEFT(Sample!A57,2)="CR","CARRIER18",Sample!A57)))))))</f>
        <v>TSPRO</v>
      </c>
    </row>
    <row r="60" spans="1:11" x14ac:dyDescent="0.35">
      <c r="A60" s="46" t="str">
        <f>Sample!B58&amp;"-"&amp;Sample!C58</f>
        <v>2-SAAAFX59</v>
      </c>
      <c r="B60" s="46" t="str">
        <f>Sample!B58&amp;"-"&amp;Sample!C58</f>
        <v>2-SAAAFX59</v>
      </c>
      <c r="C60" s="48" t="str">
        <f>Sample!A58</f>
        <v>T2929A</v>
      </c>
      <c r="D60" s="3"/>
      <c r="E60" s="3"/>
      <c r="F60" s="46" t="str">
        <f>Sample!K58</f>
        <v>S7738</v>
      </c>
      <c r="G60" s="47" t="str">
        <f>VLOOKUP(F60,'Index Sequence'!$A$2:$B$10000,2,FALSE)</f>
        <v>GTTAACAT</v>
      </c>
      <c r="H60" s="47" t="str">
        <f>Sample!L58</f>
        <v>S7538</v>
      </c>
      <c r="I60" s="47" t="str">
        <f>VLOOKUP(H60,'Index Sequence'!$A$2:$B$10000,2,FALSE)</f>
        <v>TGCGGCGT</v>
      </c>
      <c r="J60" s="2" t="str">
        <f>Sample!R58</f>
        <v>L01</v>
      </c>
      <c r="K60" s="48" t="str">
        <f>IF(AND(OR(LEFT(Sample!A58,1)={"E","H","T","B","V","L"},LEFT(Sample!A58,2)="ID"),OR(LEFT(Sample!C58,2)="JI",LEFT(Sample!C58,1)="I")),"TS1",IF(AND(OR(LEFT(Sample!A58,1)={"E","H","T","B","V","L"},LEFT(Sample!A58,2)="ID"),OR(LEFT(Sample!C58,2)={"JX","JW"},LEFT(Sample!C58,1)="X")),"TS95",IF(AND(OR(LEFT(Sample!A58,1)={"E","H","T","B","V","L"},LEFT(Sample!A58,2)="ID"),OR(LEFT(Sample!C58,2)="JN",LEFT(Sample!C58,1)="N")),"TS3",IF(AND(OR(LEFT(Sample!A58,1)={"E","H","T","B","V","L"},LEFT(Sample!A58,2)="ID"),OR(LEFT(Sample!C58,2)={"JA","AN","AG","AD"})),"TS24",IF(AND(OR(LEFT(Sample!A58,1)={"T","B","E","H","V","L"},LEFT(Sample!A58,2)="ID"),OR(LEFT(Sample!C58,2)={"SA","JS","AS","AA"},LEFT(Sample!C58,4)="SERA")),"TSPRO",IF(AND(LEFT(Sample!A58,2)="CR",OR(MID(Sample!C58,3,1)="D",MID(Sample!C58,3,1)="B")),"CARRIER9",IF(LEFT(Sample!A58,2)="CR","CARRIER18",Sample!A58)))))))</f>
        <v>TSPRO</v>
      </c>
    </row>
    <row r="61" spans="1:11" x14ac:dyDescent="0.35">
      <c r="A61" s="46" t="str">
        <f>Sample!B59&amp;"-"&amp;Sample!C59</f>
        <v>3-SAAAFX60</v>
      </c>
      <c r="B61" s="46" t="str">
        <f>Sample!B59&amp;"-"&amp;Sample!C59</f>
        <v>3-SAAAFX60</v>
      </c>
      <c r="C61" s="48" t="str">
        <f>Sample!A59</f>
        <v>T2929A</v>
      </c>
      <c r="D61" s="3"/>
      <c r="E61" s="3"/>
      <c r="F61" s="46" t="str">
        <f>Sample!K59</f>
        <v>S7739</v>
      </c>
      <c r="G61" s="47" t="str">
        <f>VLOOKUP(F61,'Index Sequence'!$A$2:$B$10000,2,FALSE)</f>
        <v>CGTCTTGG</v>
      </c>
      <c r="H61" s="47" t="str">
        <f>Sample!L59</f>
        <v>S7539</v>
      </c>
      <c r="I61" s="47" t="str">
        <f>VLOOKUP(H61,'Index Sequence'!$A$2:$B$10000,2,FALSE)</f>
        <v>GACTGGCG</v>
      </c>
      <c r="J61" s="2" t="str">
        <f>Sample!R59</f>
        <v>L01</v>
      </c>
      <c r="K61" s="48" t="str">
        <f>IF(AND(OR(LEFT(Sample!A59,1)={"E","H","T","B","V","L"},LEFT(Sample!A59,2)="ID"),OR(LEFT(Sample!C59,2)="JI",LEFT(Sample!C59,1)="I")),"TS1",IF(AND(OR(LEFT(Sample!A59,1)={"E","H","T","B","V","L"},LEFT(Sample!A59,2)="ID"),OR(LEFT(Sample!C59,2)={"JX","JW"},LEFT(Sample!C59,1)="X")),"TS95",IF(AND(OR(LEFT(Sample!A59,1)={"E","H","T","B","V","L"},LEFT(Sample!A59,2)="ID"),OR(LEFT(Sample!C59,2)="JN",LEFT(Sample!C59,1)="N")),"TS3",IF(AND(OR(LEFT(Sample!A59,1)={"E","H","T","B","V","L"},LEFT(Sample!A59,2)="ID"),OR(LEFT(Sample!C59,2)={"JA","AN","AG","AD"})),"TS24",IF(AND(OR(LEFT(Sample!A59,1)={"T","B","E","H","V","L"},LEFT(Sample!A59,2)="ID"),OR(LEFT(Sample!C59,2)={"SA","JS","AS","AA"},LEFT(Sample!C59,4)="SERA")),"TSPRO",IF(AND(LEFT(Sample!A59,2)="CR",OR(MID(Sample!C59,3,1)="D",MID(Sample!C59,3,1)="B")),"CARRIER9",IF(LEFT(Sample!A59,2)="CR","CARRIER18",Sample!A59)))))))</f>
        <v>TSPRO</v>
      </c>
    </row>
    <row r="62" spans="1:11" x14ac:dyDescent="0.35">
      <c r="A62" s="46" t="str">
        <f>Sample!B60&amp;"-"&amp;Sample!C60</f>
        <v>4-SAAAFX61</v>
      </c>
      <c r="B62" s="46" t="str">
        <f>Sample!B60&amp;"-"&amp;Sample!C60</f>
        <v>4-SAAAFX61</v>
      </c>
      <c r="C62" s="48" t="str">
        <f>Sample!A60</f>
        <v>T2929A</v>
      </c>
      <c r="D62" s="3"/>
      <c r="E62" s="3"/>
      <c r="F62" s="46" t="str">
        <f>Sample!K60</f>
        <v>S7740</v>
      </c>
      <c r="G62" s="47" t="str">
        <f>VLOOKUP(F62,'Index Sequence'!$A$2:$B$10000,2,FALSE)</f>
        <v>CGTAGCGA</v>
      </c>
      <c r="H62" s="47" t="str">
        <f>Sample!L60</f>
        <v>S7540</v>
      </c>
      <c r="I62" s="47" t="str">
        <f>VLOOKUP(H62,'Index Sequence'!$A$2:$B$10000,2,FALSE)</f>
        <v>TTGTTTAG</v>
      </c>
      <c r="J62" s="2" t="str">
        <f>Sample!R60</f>
        <v>L01</v>
      </c>
      <c r="K62" s="48" t="str">
        <f>IF(AND(OR(LEFT(Sample!A60,1)={"E","H","T","B","V","L"},LEFT(Sample!A60,2)="ID"),OR(LEFT(Sample!C60,2)="JI",LEFT(Sample!C60,1)="I")),"TS1",IF(AND(OR(LEFT(Sample!A60,1)={"E","H","T","B","V","L"},LEFT(Sample!A60,2)="ID"),OR(LEFT(Sample!C60,2)={"JX","JW"},LEFT(Sample!C60,1)="X")),"TS95",IF(AND(OR(LEFT(Sample!A60,1)={"E","H","T","B","V","L"},LEFT(Sample!A60,2)="ID"),OR(LEFT(Sample!C60,2)="JN",LEFT(Sample!C60,1)="N")),"TS3",IF(AND(OR(LEFT(Sample!A60,1)={"E","H","T","B","V","L"},LEFT(Sample!A60,2)="ID"),OR(LEFT(Sample!C60,2)={"JA","AN","AG","AD"})),"TS24",IF(AND(OR(LEFT(Sample!A60,1)={"T","B","E","H","V","L"},LEFT(Sample!A60,2)="ID"),OR(LEFT(Sample!C60,2)={"SA","JS","AS","AA"},LEFT(Sample!C60,4)="SERA")),"TSPRO",IF(AND(LEFT(Sample!A60,2)="CR",OR(MID(Sample!C60,3,1)="D",MID(Sample!C60,3,1)="B")),"CARRIER9",IF(LEFT(Sample!A60,2)="CR","CARRIER18",Sample!A60)))))))</f>
        <v>TSPRO</v>
      </c>
    </row>
    <row r="63" spans="1:11" x14ac:dyDescent="0.35">
      <c r="A63" s="46" t="str">
        <f>Sample!B61&amp;"-"&amp;Sample!C61</f>
        <v>5-SAAAFX62</v>
      </c>
      <c r="B63" s="46" t="str">
        <f>Sample!B61&amp;"-"&amp;Sample!C61</f>
        <v>5-SAAAFX62</v>
      </c>
      <c r="C63" s="48" t="str">
        <f>Sample!A61</f>
        <v>T2929A</v>
      </c>
      <c r="D63" s="3"/>
      <c r="E63" s="3"/>
      <c r="F63" s="46" t="str">
        <f>Sample!K61</f>
        <v>S7741</v>
      </c>
      <c r="G63" s="47" t="str">
        <f>VLOOKUP(F63,'Index Sequence'!$A$2:$B$10000,2,FALSE)</f>
        <v>TAGTCACA</v>
      </c>
      <c r="H63" s="47" t="str">
        <f>Sample!L61</f>
        <v>S7541</v>
      </c>
      <c r="I63" s="47" t="str">
        <f>VLOOKUP(H63,'Index Sequence'!$A$2:$B$10000,2,FALSE)</f>
        <v>GAGGTATA</v>
      </c>
      <c r="J63" s="2" t="str">
        <f>Sample!R61</f>
        <v>L01</v>
      </c>
      <c r="K63" s="48" t="str">
        <f>IF(AND(OR(LEFT(Sample!A61,1)={"E","H","T","B","V","L"},LEFT(Sample!A61,2)="ID"),OR(LEFT(Sample!C61,2)="JI",LEFT(Sample!C61,1)="I")),"TS1",IF(AND(OR(LEFT(Sample!A61,1)={"E","H","T","B","V","L"},LEFT(Sample!A61,2)="ID"),OR(LEFT(Sample!C61,2)={"JX","JW"},LEFT(Sample!C61,1)="X")),"TS95",IF(AND(OR(LEFT(Sample!A61,1)={"E","H","T","B","V","L"},LEFT(Sample!A61,2)="ID"),OR(LEFT(Sample!C61,2)="JN",LEFT(Sample!C61,1)="N")),"TS3",IF(AND(OR(LEFT(Sample!A61,1)={"E","H","T","B","V","L"},LEFT(Sample!A61,2)="ID"),OR(LEFT(Sample!C61,2)={"JA","AN","AG","AD"})),"TS24",IF(AND(OR(LEFT(Sample!A61,1)={"T","B","E","H","V","L"},LEFT(Sample!A61,2)="ID"),OR(LEFT(Sample!C61,2)={"SA","JS","AS","AA"},LEFT(Sample!C61,4)="SERA")),"TSPRO",IF(AND(LEFT(Sample!A61,2)="CR",OR(MID(Sample!C61,3,1)="D",MID(Sample!C61,3,1)="B")),"CARRIER9",IF(LEFT(Sample!A61,2)="CR","CARRIER18",Sample!A61)))))))</f>
        <v>TSPRO</v>
      </c>
    </row>
    <row r="64" spans="1:11" x14ac:dyDescent="0.35">
      <c r="A64" s="46" t="str">
        <f>Sample!B62&amp;"-"&amp;Sample!C62</f>
        <v>6-SAAAFX63</v>
      </c>
      <c r="B64" s="46" t="str">
        <f>Sample!B62&amp;"-"&amp;Sample!C62</f>
        <v>6-SAAAFX63</v>
      </c>
      <c r="C64" s="48" t="str">
        <f>Sample!A62</f>
        <v>T2929A</v>
      </c>
      <c r="D64" s="3"/>
      <c r="E64" s="3"/>
      <c r="F64" s="46" t="str">
        <f>Sample!K62</f>
        <v>S7742</v>
      </c>
      <c r="G64" s="47" t="str">
        <f>VLOOKUP(F64,'Index Sequence'!$A$2:$B$10000,2,FALSE)</f>
        <v>AGAAGTGG</v>
      </c>
      <c r="H64" s="47" t="str">
        <f>Sample!L62</f>
        <v>S7542</v>
      </c>
      <c r="I64" s="47" t="str">
        <f>VLOOKUP(H64,'Index Sequence'!$A$2:$B$10000,2,FALSE)</f>
        <v>ATCAAGAG</v>
      </c>
      <c r="J64" s="2" t="str">
        <f>Sample!R62</f>
        <v>L01</v>
      </c>
      <c r="K64" s="48" t="str">
        <f>IF(AND(OR(LEFT(Sample!A62,1)={"E","H","T","B","V","L"},LEFT(Sample!A62,2)="ID"),OR(LEFT(Sample!C62,2)="JI",LEFT(Sample!C62,1)="I")),"TS1",IF(AND(OR(LEFT(Sample!A62,1)={"E","H","T","B","V","L"},LEFT(Sample!A62,2)="ID"),OR(LEFT(Sample!C62,2)={"JX","JW"},LEFT(Sample!C62,1)="X")),"TS95",IF(AND(OR(LEFT(Sample!A62,1)={"E","H","T","B","V","L"},LEFT(Sample!A62,2)="ID"),OR(LEFT(Sample!C62,2)="JN",LEFT(Sample!C62,1)="N")),"TS3",IF(AND(OR(LEFT(Sample!A62,1)={"E","H","T","B","V","L"},LEFT(Sample!A62,2)="ID"),OR(LEFT(Sample!C62,2)={"JA","AN","AG","AD"})),"TS24",IF(AND(OR(LEFT(Sample!A62,1)={"T","B","E","H","V","L"},LEFT(Sample!A62,2)="ID"),OR(LEFT(Sample!C62,2)={"SA","JS","AS","AA"},LEFT(Sample!C62,4)="SERA")),"TSPRO",IF(AND(LEFT(Sample!A62,2)="CR",OR(MID(Sample!C62,3,1)="D",MID(Sample!C62,3,1)="B")),"CARRIER9",IF(LEFT(Sample!A62,2)="CR","CARRIER18",Sample!A62)))))))</f>
        <v>TSPRO</v>
      </c>
    </row>
    <row r="65" spans="1:11" x14ac:dyDescent="0.35">
      <c r="A65" s="46" t="str">
        <f>Sample!B63&amp;"-"&amp;Sample!C63</f>
        <v>7-SAAAFX64</v>
      </c>
      <c r="B65" s="46" t="str">
        <f>Sample!B63&amp;"-"&amp;Sample!C63</f>
        <v>7-SAAAFX64</v>
      </c>
      <c r="C65" s="48" t="str">
        <f>Sample!A63</f>
        <v>T2929A</v>
      </c>
      <c r="D65" s="3"/>
      <c r="E65" s="3"/>
      <c r="F65" s="46" t="str">
        <f>Sample!K63</f>
        <v>S7743</v>
      </c>
      <c r="G65" s="47" t="str">
        <f>VLOOKUP(F65,'Index Sequence'!$A$2:$B$10000,2,FALSE)</f>
        <v>CGTGGATT</v>
      </c>
      <c r="H65" s="47" t="str">
        <f>Sample!L63</f>
        <v>S7543</v>
      </c>
      <c r="I65" s="47" t="str">
        <f>VLOOKUP(H65,'Index Sequence'!$A$2:$B$10000,2,FALSE)</f>
        <v>CTAAGAGT</v>
      </c>
      <c r="J65" s="2" t="str">
        <f>Sample!R63</f>
        <v>L01</v>
      </c>
      <c r="K65" s="48" t="str">
        <f>IF(AND(OR(LEFT(Sample!A63,1)={"E","H","T","B","V","L"},LEFT(Sample!A63,2)="ID"),OR(LEFT(Sample!C63,2)="JI",LEFT(Sample!C63,1)="I")),"TS1",IF(AND(OR(LEFT(Sample!A63,1)={"E","H","T","B","V","L"},LEFT(Sample!A63,2)="ID"),OR(LEFT(Sample!C63,2)={"JX","JW"},LEFT(Sample!C63,1)="X")),"TS95",IF(AND(OR(LEFT(Sample!A63,1)={"E","H","T","B","V","L"},LEFT(Sample!A63,2)="ID"),OR(LEFT(Sample!C63,2)="JN",LEFT(Sample!C63,1)="N")),"TS3",IF(AND(OR(LEFT(Sample!A63,1)={"E","H","T","B","V","L"},LEFT(Sample!A63,2)="ID"),OR(LEFT(Sample!C63,2)={"JA","AN","AG","AD"})),"TS24",IF(AND(OR(LEFT(Sample!A63,1)={"T","B","E","H","V","L"},LEFT(Sample!A63,2)="ID"),OR(LEFT(Sample!C63,2)={"SA","JS","AS","AA"},LEFT(Sample!C63,4)="SERA")),"TSPRO",IF(AND(LEFT(Sample!A63,2)="CR",OR(MID(Sample!C63,3,1)="D",MID(Sample!C63,3,1)="B")),"CARRIER9",IF(LEFT(Sample!A63,2)="CR","CARRIER18",Sample!A63)))))))</f>
        <v>TSPRO</v>
      </c>
    </row>
    <row r="66" spans="1:11" x14ac:dyDescent="0.35">
      <c r="A66" s="46" t="str">
        <f>Sample!B64&amp;"-"&amp;Sample!C64</f>
        <v>8-SAAAFX65</v>
      </c>
      <c r="B66" s="46" t="str">
        <f>Sample!B64&amp;"-"&amp;Sample!C64</f>
        <v>8-SAAAFX65</v>
      </c>
      <c r="C66" s="48" t="str">
        <f>Sample!A64</f>
        <v>T2929A</v>
      </c>
      <c r="D66" s="3"/>
      <c r="E66" s="3"/>
      <c r="F66" s="46" t="str">
        <f>Sample!K64</f>
        <v>S7744</v>
      </c>
      <c r="G66" s="47" t="str">
        <f>VLOOKUP(F66,'Index Sequence'!$A$2:$B$10000,2,FALSE)</f>
        <v>GTAGATGC</v>
      </c>
      <c r="H66" s="47" t="str">
        <f>Sample!L64</f>
        <v>S7544</v>
      </c>
      <c r="I66" s="47" t="str">
        <f>VLOOKUP(H66,'Index Sequence'!$A$2:$B$10000,2,FALSE)</f>
        <v>TGTTGCTC</v>
      </c>
      <c r="J66" s="2" t="str">
        <f>Sample!R64</f>
        <v>L01</v>
      </c>
      <c r="K66" s="48" t="str">
        <f>IF(AND(OR(LEFT(Sample!A64,1)={"E","H","T","B","V","L"},LEFT(Sample!A64,2)="ID"),OR(LEFT(Sample!C64,2)="JI",LEFT(Sample!C64,1)="I")),"TS1",IF(AND(OR(LEFT(Sample!A64,1)={"E","H","T","B","V","L"},LEFT(Sample!A64,2)="ID"),OR(LEFT(Sample!C64,2)={"JX","JW"},LEFT(Sample!C64,1)="X")),"TS95",IF(AND(OR(LEFT(Sample!A64,1)={"E","H","T","B","V","L"},LEFT(Sample!A64,2)="ID"),OR(LEFT(Sample!C64,2)="JN",LEFT(Sample!C64,1)="N")),"TS3",IF(AND(OR(LEFT(Sample!A64,1)={"E","H","T","B","V","L"},LEFT(Sample!A64,2)="ID"),OR(LEFT(Sample!C64,2)={"JA","AN","AG","AD"})),"TS24",IF(AND(OR(LEFT(Sample!A64,1)={"T","B","E","H","V","L"},LEFT(Sample!A64,2)="ID"),OR(LEFT(Sample!C64,2)={"SA","JS","AS","AA"},LEFT(Sample!C64,4)="SERA")),"TSPRO",IF(AND(LEFT(Sample!A64,2)="CR",OR(MID(Sample!C64,3,1)="D",MID(Sample!C64,3,1)="B")),"CARRIER9",IF(LEFT(Sample!A64,2)="CR","CARRIER18",Sample!A64)))))))</f>
        <v>TSPRO</v>
      </c>
    </row>
    <row r="67" spans="1:11" x14ac:dyDescent="0.35">
      <c r="A67" s="46" t="str">
        <f>Sample!B65&amp;"-"&amp;Sample!C65</f>
        <v>9-SAAAFX66</v>
      </c>
      <c r="B67" s="46" t="str">
        <f>Sample!B65&amp;"-"&amp;Sample!C65</f>
        <v>9-SAAAFX66</v>
      </c>
      <c r="C67" s="48" t="str">
        <f>Sample!A65</f>
        <v>T2929A</v>
      </c>
      <c r="D67" s="3"/>
      <c r="E67" s="3"/>
      <c r="F67" s="46" t="str">
        <f>Sample!K65</f>
        <v>S7745</v>
      </c>
      <c r="G67" s="47" t="str">
        <f>VLOOKUP(F67,'Index Sequence'!$A$2:$B$10000,2,FALSE)</f>
        <v>TACCGCTC</v>
      </c>
      <c r="H67" s="47" t="str">
        <f>Sample!L65</f>
        <v>S7545</v>
      </c>
      <c r="I67" s="47" t="str">
        <f>VLOOKUP(H67,'Index Sequence'!$A$2:$B$10000,2,FALSE)</f>
        <v>CGTCACTG</v>
      </c>
      <c r="J67" s="2" t="str">
        <f>Sample!R65</f>
        <v>L01</v>
      </c>
      <c r="K67" s="48" t="str">
        <f>IF(AND(OR(LEFT(Sample!A65,1)={"E","H","T","B","V","L"},LEFT(Sample!A65,2)="ID"),OR(LEFT(Sample!C65,2)="JI",LEFT(Sample!C65,1)="I")),"TS1",IF(AND(OR(LEFT(Sample!A65,1)={"E","H","T","B","V","L"},LEFT(Sample!A65,2)="ID"),OR(LEFT(Sample!C65,2)={"JX","JW"},LEFT(Sample!C65,1)="X")),"TS95",IF(AND(OR(LEFT(Sample!A65,1)={"E","H","T","B","V","L"},LEFT(Sample!A65,2)="ID"),OR(LEFT(Sample!C65,2)="JN",LEFT(Sample!C65,1)="N")),"TS3",IF(AND(OR(LEFT(Sample!A65,1)={"E","H","T","B","V","L"},LEFT(Sample!A65,2)="ID"),OR(LEFT(Sample!C65,2)={"JA","AN","AG","AD"})),"TS24",IF(AND(OR(LEFT(Sample!A65,1)={"T","B","E","H","V","L"},LEFT(Sample!A65,2)="ID"),OR(LEFT(Sample!C65,2)={"SA","JS","AS","AA"},LEFT(Sample!C65,4)="SERA")),"TSPRO",IF(AND(LEFT(Sample!A65,2)="CR",OR(MID(Sample!C65,3,1)="D",MID(Sample!C65,3,1)="B")),"CARRIER9",IF(LEFT(Sample!A65,2)="CR","CARRIER18",Sample!A65)))))))</f>
        <v>TSPRO</v>
      </c>
    </row>
    <row r="68" spans="1:11" x14ac:dyDescent="0.35">
      <c r="A68" s="46" t="str">
        <f>Sample!B66&amp;"-"&amp;Sample!C66</f>
        <v>10-SAAAFX67</v>
      </c>
      <c r="B68" s="46" t="str">
        <f>Sample!B66&amp;"-"&amp;Sample!C66</f>
        <v>10-SAAAFX67</v>
      </c>
      <c r="C68" s="48" t="str">
        <f>Sample!A66</f>
        <v>T2929A</v>
      </c>
      <c r="D68" s="3"/>
      <c r="E68" s="3"/>
      <c r="F68" s="46" t="str">
        <f>Sample!K66</f>
        <v>S7746</v>
      </c>
      <c r="G68" s="47" t="str">
        <f>VLOOKUP(F68,'Index Sequence'!$A$2:$B$10000,2,FALSE)</f>
        <v>CGAACCAC</v>
      </c>
      <c r="H68" s="47" t="str">
        <f>Sample!L66</f>
        <v>S7546</v>
      </c>
      <c r="I68" s="47" t="str">
        <f>VLOOKUP(H68,'Index Sequence'!$A$2:$B$10000,2,FALSE)</f>
        <v>TCAATCTT</v>
      </c>
      <c r="J68" s="2" t="str">
        <f>Sample!R66</f>
        <v>L01</v>
      </c>
      <c r="K68" s="48" t="str">
        <f>IF(AND(OR(LEFT(Sample!A66,1)={"E","H","T","B","V","L"},LEFT(Sample!A66,2)="ID"),OR(LEFT(Sample!C66,2)="JI",LEFT(Sample!C66,1)="I")),"TS1",IF(AND(OR(LEFT(Sample!A66,1)={"E","H","T","B","V","L"},LEFT(Sample!A66,2)="ID"),OR(LEFT(Sample!C66,2)={"JX","JW"},LEFT(Sample!C66,1)="X")),"TS95",IF(AND(OR(LEFT(Sample!A66,1)={"E","H","T","B","V","L"},LEFT(Sample!A66,2)="ID"),OR(LEFT(Sample!C66,2)="JN",LEFT(Sample!C66,1)="N")),"TS3",IF(AND(OR(LEFT(Sample!A66,1)={"E","H","T","B","V","L"},LEFT(Sample!A66,2)="ID"),OR(LEFT(Sample!C66,2)={"JA","AN","AG","AD"})),"TS24",IF(AND(OR(LEFT(Sample!A66,1)={"T","B","E","H","V","L"},LEFT(Sample!A66,2)="ID"),OR(LEFT(Sample!C66,2)={"SA","JS","AS","AA"},LEFT(Sample!C66,4)="SERA")),"TSPRO",IF(AND(LEFT(Sample!A66,2)="CR",OR(MID(Sample!C66,3,1)="D",MID(Sample!C66,3,1)="B")),"CARRIER9",IF(LEFT(Sample!A66,2)="CR","CARRIER18",Sample!A66)))))))</f>
        <v>TSPRO</v>
      </c>
    </row>
    <row r="69" spans="1:11" x14ac:dyDescent="0.35">
      <c r="A69" s="46" t="str">
        <f>Sample!B67&amp;"-"&amp;Sample!C67</f>
        <v>11-SAAAFX68</v>
      </c>
      <c r="B69" s="46" t="str">
        <f>Sample!B67&amp;"-"&amp;Sample!C67</f>
        <v>11-SAAAFX68</v>
      </c>
      <c r="C69" s="48" t="str">
        <f>Sample!A67</f>
        <v>T2929A</v>
      </c>
      <c r="D69" s="3"/>
      <c r="E69" s="3"/>
      <c r="F69" s="46" t="str">
        <f>Sample!K67</f>
        <v>S7747</v>
      </c>
      <c r="G69" s="47" t="str">
        <f>VLOOKUP(F69,'Index Sequence'!$A$2:$B$10000,2,FALSE)</f>
        <v>TATTGTTC</v>
      </c>
      <c r="H69" s="47" t="str">
        <f>Sample!L67</f>
        <v>S7547</v>
      </c>
      <c r="I69" s="47" t="str">
        <f>VLOOKUP(H69,'Index Sequence'!$A$2:$B$10000,2,FALSE)</f>
        <v>AAACACAC</v>
      </c>
      <c r="J69" s="2" t="str">
        <f>Sample!R67</f>
        <v>L01</v>
      </c>
      <c r="K69" s="48" t="str">
        <f>IF(AND(OR(LEFT(Sample!A67,1)={"E","H","T","B","V","L"},LEFT(Sample!A67,2)="ID"),OR(LEFT(Sample!C67,2)="JI",LEFT(Sample!C67,1)="I")),"TS1",IF(AND(OR(LEFT(Sample!A67,1)={"E","H","T","B","V","L"},LEFT(Sample!A67,2)="ID"),OR(LEFT(Sample!C67,2)={"JX","JW"},LEFT(Sample!C67,1)="X")),"TS95",IF(AND(OR(LEFT(Sample!A67,1)={"E","H","T","B","V","L"},LEFT(Sample!A67,2)="ID"),OR(LEFT(Sample!C67,2)="JN",LEFT(Sample!C67,1)="N")),"TS3",IF(AND(OR(LEFT(Sample!A67,1)={"E","H","T","B","V","L"},LEFT(Sample!A67,2)="ID"),OR(LEFT(Sample!C67,2)={"JA","AN","AG","AD"})),"TS24",IF(AND(OR(LEFT(Sample!A67,1)={"T","B","E","H","V","L"},LEFT(Sample!A67,2)="ID"),OR(LEFT(Sample!C67,2)={"SA","JS","AS","AA"},LEFT(Sample!C67,4)="SERA")),"TSPRO",IF(AND(LEFT(Sample!A67,2)="CR",OR(MID(Sample!C67,3,1)="D",MID(Sample!C67,3,1)="B")),"CARRIER9",IF(LEFT(Sample!A67,2)="CR","CARRIER18",Sample!A67)))))))</f>
        <v>TSPRO</v>
      </c>
    </row>
    <row r="70" spans="1:11" x14ac:dyDescent="0.35">
      <c r="A70" s="46" t="str">
        <f>Sample!B68&amp;"-"&amp;Sample!C68</f>
        <v>12-SAAAFX69</v>
      </c>
      <c r="B70" s="46" t="str">
        <f>Sample!B68&amp;"-"&amp;Sample!C68</f>
        <v>12-SAAAFX69</v>
      </c>
      <c r="C70" s="48" t="str">
        <f>Sample!A68</f>
        <v>T2929A</v>
      </c>
      <c r="D70" s="3"/>
      <c r="E70" s="3"/>
      <c r="F70" s="46" t="str">
        <f>Sample!K68</f>
        <v>S7748</v>
      </c>
      <c r="G70" s="47" t="str">
        <f>VLOOKUP(F70,'Index Sequence'!$A$2:$B$10000,2,FALSE)</f>
        <v>GTTGTGTG</v>
      </c>
      <c r="H70" s="47" t="str">
        <f>Sample!L68</f>
        <v>S7548</v>
      </c>
      <c r="I70" s="47" t="str">
        <f>VLOOKUP(H70,'Index Sequence'!$A$2:$B$10000,2,FALSE)</f>
        <v>GTCGGACG</v>
      </c>
      <c r="J70" s="2" t="str">
        <f>Sample!R68</f>
        <v>L01</v>
      </c>
      <c r="K70" s="48" t="str">
        <f>IF(AND(OR(LEFT(Sample!A68,1)={"E","H","T","B","V","L"},LEFT(Sample!A68,2)="ID"),OR(LEFT(Sample!C68,2)="JI",LEFT(Sample!C68,1)="I")),"TS1",IF(AND(OR(LEFT(Sample!A68,1)={"E","H","T","B","V","L"},LEFT(Sample!A68,2)="ID"),OR(LEFT(Sample!C68,2)={"JX","JW"},LEFT(Sample!C68,1)="X")),"TS95",IF(AND(OR(LEFT(Sample!A68,1)={"E","H","T","B","V","L"},LEFT(Sample!A68,2)="ID"),OR(LEFT(Sample!C68,2)="JN",LEFT(Sample!C68,1)="N")),"TS3",IF(AND(OR(LEFT(Sample!A68,1)={"E","H","T","B","V","L"},LEFT(Sample!A68,2)="ID"),OR(LEFT(Sample!C68,2)={"JA","AN","AG","AD"})),"TS24",IF(AND(OR(LEFT(Sample!A68,1)={"T","B","E","H","V","L"},LEFT(Sample!A68,2)="ID"),OR(LEFT(Sample!C68,2)={"SA","JS","AS","AA"},LEFT(Sample!C68,4)="SERA")),"TSPRO",IF(AND(LEFT(Sample!A68,2)="CR",OR(MID(Sample!C68,3,1)="D",MID(Sample!C68,3,1)="B")),"CARRIER9",IF(LEFT(Sample!A68,2)="CR","CARRIER18",Sample!A68)))))))</f>
        <v>TSPRO</v>
      </c>
    </row>
    <row r="71" spans="1:11" x14ac:dyDescent="0.35">
      <c r="A71" s="46" t="str">
        <f>Sample!B69&amp;"-"&amp;Sample!C69</f>
        <v>2-SAAAFX70</v>
      </c>
      <c r="B71" s="46" t="str">
        <f>Sample!B69&amp;"-"&amp;Sample!C69</f>
        <v>2-SAAAFX70</v>
      </c>
      <c r="C71" s="48" t="str">
        <f>Sample!A69</f>
        <v>T2930A</v>
      </c>
      <c r="D71" s="3"/>
      <c r="E71" s="3"/>
      <c r="F71" s="46" t="str">
        <f>Sample!K69</f>
        <v>S7750</v>
      </c>
      <c r="G71" s="47" t="str">
        <f>VLOOKUP(F71,'Index Sequence'!$A$2:$B$10000,2,FALSE)</f>
        <v>TGGAGATT</v>
      </c>
      <c r="H71" s="47" t="str">
        <f>Sample!L69</f>
        <v>S7550</v>
      </c>
      <c r="I71" s="47" t="str">
        <f>VLOOKUP(H71,'Index Sequence'!$A$2:$B$10000,2,FALSE)</f>
        <v>TATGATTG</v>
      </c>
      <c r="J71" s="2" t="str">
        <f>Sample!R69</f>
        <v>L01</v>
      </c>
      <c r="K71" s="48" t="str">
        <f>IF(AND(OR(LEFT(Sample!A69,1)={"E","H","T","B","V","L"},LEFT(Sample!A69,2)="ID"),OR(LEFT(Sample!C69,2)="JI",LEFT(Sample!C69,1)="I")),"TS1",IF(AND(OR(LEFT(Sample!A69,1)={"E","H","T","B","V","L"},LEFT(Sample!A69,2)="ID"),OR(LEFT(Sample!C69,2)={"JX","JW"},LEFT(Sample!C69,1)="X")),"TS95",IF(AND(OR(LEFT(Sample!A69,1)={"E","H","T","B","V","L"},LEFT(Sample!A69,2)="ID"),OR(LEFT(Sample!C69,2)="JN",LEFT(Sample!C69,1)="N")),"TS3",IF(AND(OR(LEFT(Sample!A69,1)={"E","H","T","B","V","L"},LEFT(Sample!A69,2)="ID"),OR(LEFT(Sample!C69,2)={"JA","AN","AG","AD"})),"TS24",IF(AND(OR(LEFT(Sample!A69,1)={"T","B","E","H","V","L"},LEFT(Sample!A69,2)="ID"),OR(LEFT(Sample!C69,2)={"SA","JS","AS","AA"},LEFT(Sample!C69,4)="SERA")),"TSPRO",IF(AND(LEFT(Sample!A69,2)="CR",OR(MID(Sample!C69,3,1)="D",MID(Sample!C69,3,1)="B")),"CARRIER9",IF(LEFT(Sample!A69,2)="CR","CARRIER18",Sample!A69)))))))</f>
        <v>TSPRO</v>
      </c>
    </row>
    <row r="72" spans="1:11" x14ac:dyDescent="0.35">
      <c r="A72" s="46" t="str">
        <f>Sample!B70&amp;"-"&amp;Sample!C70</f>
        <v>3-SAAAFX71</v>
      </c>
      <c r="B72" s="46" t="str">
        <f>Sample!B70&amp;"-"&amp;Sample!C70</f>
        <v>3-SAAAFX71</v>
      </c>
      <c r="C72" s="48" t="str">
        <f>Sample!A70</f>
        <v>T2930A</v>
      </c>
      <c r="D72" s="3"/>
      <c r="E72" s="3"/>
      <c r="F72" s="46" t="str">
        <f>Sample!K70</f>
        <v>S7751</v>
      </c>
      <c r="G72" s="47" t="str">
        <f>VLOOKUP(F72,'Index Sequence'!$A$2:$B$10000,2,FALSE)</f>
        <v>AATTAGAC</v>
      </c>
      <c r="H72" s="47" t="str">
        <f>Sample!L70</f>
        <v>S7551</v>
      </c>
      <c r="I72" s="47" t="str">
        <f>VLOOKUP(H72,'Index Sequence'!$A$2:$B$10000,2,FALSE)</f>
        <v>ATAAGAAC</v>
      </c>
      <c r="J72" s="2" t="str">
        <f>Sample!R70</f>
        <v>L01</v>
      </c>
      <c r="K72" s="48" t="str">
        <f>IF(AND(OR(LEFT(Sample!A70,1)={"E","H","T","B","V","L"},LEFT(Sample!A70,2)="ID"),OR(LEFT(Sample!C70,2)="JI",LEFT(Sample!C70,1)="I")),"TS1",IF(AND(OR(LEFT(Sample!A70,1)={"E","H","T","B","V","L"},LEFT(Sample!A70,2)="ID"),OR(LEFT(Sample!C70,2)={"JX","JW"},LEFT(Sample!C70,1)="X")),"TS95",IF(AND(OR(LEFT(Sample!A70,1)={"E","H","T","B","V","L"},LEFT(Sample!A70,2)="ID"),OR(LEFT(Sample!C70,2)="JN",LEFT(Sample!C70,1)="N")),"TS3",IF(AND(OR(LEFT(Sample!A70,1)={"E","H","T","B","V","L"},LEFT(Sample!A70,2)="ID"),OR(LEFT(Sample!C70,2)={"JA","AN","AG","AD"})),"TS24",IF(AND(OR(LEFT(Sample!A70,1)={"T","B","E","H","V","L"},LEFT(Sample!A70,2)="ID"),OR(LEFT(Sample!C70,2)={"SA","JS","AS","AA"},LEFT(Sample!C70,4)="SERA")),"TSPRO",IF(AND(LEFT(Sample!A70,2)="CR",OR(MID(Sample!C70,3,1)="D",MID(Sample!C70,3,1)="B")),"CARRIER9",IF(LEFT(Sample!A70,2)="CR","CARRIER18",Sample!A70)))))))</f>
        <v>TSPRO</v>
      </c>
    </row>
    <row r="73" spans="1:11" x14ac:dyDescent="0.35">
      <c r="A73" s="46" t="str">
        <f>Sample!B71&amp;"-"&amp;Sample!C71</f>
        <v>4-SAAAFX72</v>
      </c>
      <c r="B73" s="46" t="str">
        <f>Sample!B71&amp;"-"&amp;Sample!C71</f>
        <v>4-SAAAFX72</v>
      </c>
      <c r="C73" s="48" t="str">
        <f>Sample!A71</f>
        <v>T2930A</v>
      </c>
      <c r="D73" s="3"/>
      <c r="E73" s="3"/>
      <c r="F73" s="46" t="str">
        <f>Sample!K71</f>
        <v>S7752</v>
      </c>
      <c r="G73" s="47" t="str">
        <f>VLOOKUP(F73,'Index Sequence'!$A$2:$B$10000,2,FALSE)</f>
        <v>ACTTTGGG</v>
      </c>
      <c r="H73" s="47" t="str">
        <f>Sample!L71</f>
        <v>S7552</v>
      </c>
      <c r="I73" s="47" t="str">
        <f>VLOOKUP(H73,'Index Sequence'!$A$2:$B$10000,2,FALSE)</f>
        <v>GTCGCATC</v>
      </c>
      <c r="J73" s="2" t="str">
        <f>Sample!R71</f>
        <v>L01</v>
      </c>
      <c r="K73" s="48" t="str">
        <f>IF(AND(OR(LEFT(Sample!A71,1)={"E","H","T","B","V","L"},LEFT(Sample!A71,2)="ID"),OR(LEFT(Sample!C71,2)="JI",LEFT(Sample!C71,1)="I")),"TS1",IF(AND(OR(LEFT(Sample!A71,1)={"E","H","T","B","V","L"},LEFT(Sample!A71,2)="ID"),OR(LEFT(Sample!C71,2)={"JX","JW"},LEFT(Sample!C71,1)="X")),"TS95",IF(AND(OR(LEFT(Sample!A71,1)={"E","H","T","B","V","L"},LEFT(Sample!A71,2)="ID"),OR(LEFT(Sample!C71,2)="JN",LEFT(Sample!C71,1)="N")),"TS3",IF(AND(OR(LEFT(Sample!A71,1)={"E","H","T","B","V","L"},LEFT(Sample!A71,2)="ID"),OR(LEFT(Sample!C71,2)={"JA","AN","AG","AD"})),"TS24",IF(AND(OR(LEFT(Sample!A71,1)={"T","B","E","H","V","L"},LEFT(Sample!A71,2)="ID"),OR(LEFT(Sample!C71,2)={"SA","JS","AS","AA"},LEFT(Sample!C71,4)="SERA")),"TSPRO",IF(AND(LEFT(Sample!A71,2)="CR",OR(MID(Sample!C71,3,1)="D",MID(Sample!C71,3,1)="B")),"CARRIER9",IF(LEFT(Sample!A71,2)="CR","CARRIER18",Sample!A71)))))))</f>
        <v>TSPRO</v>
      </c>
    </row>
    <row r="74" spans="1:11" x14ac:dyDescent="0.35">
      <c r="A74" s="46" t="str">
        <f>Sample!B72&amp;"-"&amp;Sample!C72</f>
        <v>5-SAAAFX73</v>
      </c>
      <c r="B74" s="46" t="str">
        <f>Sample!B72&amp;"-"&amp;Sample!C72</f>
        <v>5-SAAAFX73</v>
      </c>
      <c r="C74" s="48" t="str">
        <f>Sample!A72</f>
        <v>T2930A</v>
      </c>
      <c r="D74" s="3"/>
      <c r="E74" s="3"/>
      <c r="F74" s="46" t="str">
        <f>Sample!K72</f>
        <v>S7753</v>
      </c>
      <c r="G74" s="47" t="str">
        <f>VLOOKUP(F74,'Index Sequence'!$A$2:$B$10000,2,FALSE)</f>
        <v>CGGACGGA</v>
      </c>
      <c r="H74" s="47" t="str">
        <f>Sample!L72</f>
        <v>S7553</v>
      </c>
      <c r="I74" s="47" t="str">
        <f>VLOOKUP(H74,'Index Sequence'!$A$2:$B$10000,2,FALSE)</f>
        <v>CCCTCTTC</v>
      </c>
      <c r="J74" s="2" t="str">
        <f>Sample!R72</f>
        <v>L01</v>
      </c>
      <c r="K74" s="48" t="str">
        <f>IF(AND(OR(LEFT(Sample!A72,1)={"E","H","T","B","V","L"},LEFT(Sample!A72,2)="ID"),OR(LEFT(Sample!C72,2)="JI",LEFT(Sample!C72,1)="I")),"TS1",IF(AND(OR(LEFT(Sample!A72,1)={"E","H","T","B","V","L"},LEFT(Sample!A72,2)="ID"),OR(LEFT(Sample!C72,2)={"JX","JW"},LEFT(Sample!C72,1)="X")),"TS95",IF(AND(OR(LEFT(Sample!A72,1)={"E","H","T","B","V","L"},LEFT(Sample!A72,2)="ID"),OR(LEFT(Sample!C72,2)="JN",LEFT(Sample!C72,1)="N")),"TS3",IF(AND(OR(LEFT(Sample!A72,1)={"E","H","T","B","V","L"},LEFT(Sample!A72,2)="ID"),OR(LEFT(Sample!C72,2)={"JA","AN","AG","AD"})),"TS24",IF(AND(OR(LEFT(Sample!A72,1)={"T","B","E","H","V","L"},LEFT(Sample!A72,2)="ID"),OR(LEFT(Sample!C72,2)={"SA","JS","AS","AA"},LEFT(Sample!C72,4)="SERA")),"TSPRO",IF(AND(LEFT(Sample!A72,2)="CR",OR(MID(Sample!C72,3,1)="D",MID(Sample!C72,3,1)="B")),"CARRIER9",IF(LEFT(Sample!A72,2)="CR","CARRIER18",Sample!A72)))))))</f>
        <v>TSPRO</v>
      </c>
    </row>
    <row r="75" spans="1:11" x14ac:dyDescent="0.35">
      <c r="A75" s="46" t="str">
        <f>Sample!B73&amp;"-"&amp;Sample!C73</f>
        <v>6-AAABLE01</v>
      </c>
      <c r="B75" s="46" t="str">
        <f>Sample!B73&amp;"-"&amp;Sample!C73</f>
        <v>6-AAABLE01</v>
      </c>
      <c r="C75" s="48" t="str">
        <f>Sample!A73</f>
        <v>T2930A</v>
      </c>
      <c r="D75" s="3"/>
      <c r="E75" s="3"/>
      <c r="F75" s="46" t="str">
        <f>Sample!K73</f>
        <v>S7754</v>
      </c>
      <c r="G75" s="47" t="str">
        <f>VLOOKUP(F75,'Index Sequence'!$A$2:$B$10000,2,FALSE)</f>
        <v>GCAGAGCC</v>
      </c>
      <c r="H75" s="47" t="str">
        <f>Sample!L73</f>
        <v>S7554</v>
      </c>
      <c r="I75" s="47" t="str">
        <f>VLOOKUP(H75,'Index Sequence'!$A$2:$B$10000,2,FALSE)</f>
        <v>GATTACTA</v>
      </c>
      <c r="J75" s="2" t="str">
        <f>Sample!R73</f>
        <v>L01</v>
      </c>
      <c r="K75" s="48" t="str">
        <f>IF(AND(OR(LEFT(Sample!A73,1)={"E","H","T","B","V","L"},LEFT(Sample!A73,2)="ID"),OR(LEFT(Sample!C73,2)="JI",LEFT(Sample!C73,1)="I")),"TS1",IF(AND(OR(LEFT(Sample!A73,1)={"E","H","T","B","V","L"},LEFT(Sample!A73,2)="ID"),OR(LEFT(Sample!C73,2)={"JX","JW"},LEFT(Sample!C73,1)="X")),"TS95",IF(AND(OR(LEFT(Sample!A73,1)={"E","H","T","B","V","L"},LEFT(Sample!A73,2)="ID"),OR(LEFT(Sample!C73,2)="JN",LEFT(Sample!C73,1)="N")),"TS3",IF(AND(OR(LEFT(Sample!A73,1)={"E","H","T","B","V","L"},LEFT(Sample!A73,2)="ID"),OR(LEFT(Sample!C73,2)={"JA","AN","AG","AD"})),"TS24",IF(AND(OR(LEFT(Sample!A73,1)={"T","B","E","H","V","L"},LEFT(Sample!A73,2)="ID"),OR(LEFT(Sample!C73,2)={"SA","JS","AS","AA"},LEFT(Sample!C73,4)="SERA")),"TSPRO",IF(AND(LEFT(Sample!A73,2)="CR",OR(MID(Sample!C73,3,1)="D",MID(Sample!C73,3,1)="B")),"CARRIER9",IF(LEFT(Sample!A73,2)="CR","CARRIER18",Sample!A73)))))))</f>
        <v>TSPRO</v>
      </c>
    </row>
    <row r="76" spans="1:11" x14ac:dyDescent="0.35">
      <c r="A76" s="46" t="str">
        <f>Sample!B74&amp;"-"&amp;Sample!C74</f>
        <v>7-AAABLE02</v>
      </c>
      <c r="B76" s="46" t="str">
        <f>Sample!B74&amp;"-"&amp;Sample!C74</f>
        <v>7-AAABLE02</v>
      </c>
      <c r="C76" s="48" t="str">
        <f>Sample!A74</f>
        <v>T2930A</v>
      </c>
      <c r="D76" s="3"/>
      <c r="E76" s="3"/>
      <c r="F76" s="46" t="str">
        <f>Sample!K74</f>
        <v>S7755</v>
      </c>
      <c r="G76" s="47" t="str">
        <f>VLOOKUP(F76,'Index Sequence'!$A$2:$B$10000,2,FALSE)</f>
        <v>GCATGATC</v>
      </c>
      <c r="H76" s="47" t="str">
        <f>Sample!L74</f>
        <v>S7555</v>
      </c>
      <c r="I76" s="47" t="str">
        <f>VLOOKUP(H76,'Index Sequence'!$A$2:$B$10000,2,FALSE)</f>
        <v>CTCCACAC</v>
      </c>
      <c r="J76" s="2" t="str">
        <f>Sample!R74</f>
        <v>L01</v>
      </c>
      <c r="K76" s="48" t="str">
        <f>IF(AND(OR(LEFT(Sample!A74,1)={"E","H","T","B","V","L"},LEFT(Sample!A74,2)="ID"),OR(LEFT(Sample!C74,2)="JI",LEFT(Sample!C74,1)="I")),"TS1",IF(AND(OR(LEFT(Sample!A74,1)={"E","H","T","B","V","L"},LEFT(Sample!A74,2)="ID"),OR(LEFT(Sample!C74,2)={"JX","JW"},LEFT(Sample!C74,1)="X")),"TS95",IF(AND(OR(LEFT(Sample!A74,1)={"E","H","T","B","V","L"},LEFT(Sample!A74,2)="ID"),OR(LEFT(Sample!C74,2)="JN",LEFT(Sample!C74,1)="N")),"TS3",IF(AND(OR(LEFT(Sample!A74,1)={"E","H","T","B","V","L"},LEFT(Sample!A74,2)="ID"),OR(LEFT(Sample!C74,2)={"JA","AN","AG","AD"})),"TS24",IF(AND(OR(LEFT(Sample!A74,1)={"T","B","E","H","V","L"},LEFT(Sample!A74,2)="ID"),OR(LEFT(Sample!C74,2)={"SA","JS","AS","AA"},LEFT(Sample!C74,4)="SERA")),"TSPRO",IF(AND(LEFT(Sample!A74,2)="CR",OR(MID(Sample!C74,3,1)="D",MID(Sample!C74,3,1)="B")),"CARRIER9",IF(LEFT(Sample!A74,2)="CR","CARRIER18",Sample!A74)))))))</f>
        <v>TSPRO</v>
      </c>
    </row>
    <row r="77" spans="1:11" x14ac:dyDescent="0.35">
      <c r="A77" s="46" t="str">
        <f>Sample!B75&amp;"-"&amp;Sample!C75</f>
        <v>8-AAABLE03</v>
      </c>
      <c r="B77" s="46" t="str">
        <f>Sample!B75&amp;"-"&amp;Sample!C75</f>
        <v>8-AAABLE03</v>
      </c>
      <c r="C77" s="48" t="str">
        <f>Sample!A75</f>
        <v>T2930A</v>
      </c>
      <c r="D77" s="3"/>
      <c r="E77" s="3"/>
      <c r="F77" s="46" t="str">
        <f>Sample!K75</f>
        <v>S7756</v>
      </c>
      <c r="G77" s="47" t="str">
        <f>VLOOKUP(F77,'Index Sequence'!$A$2:$B$10000,2,FALSE)</f>
        <v>TCGACCTA</v>
      </c>
      <c r="H77" s="47" t="str">
        <f>Sample!L75</f>
        <v>S7556</v>
      </c>
      <c r="I77" s="47" t="str">
        <f>VLOOKUP(H77,'Index Sequence'!$A$2:$B$10000,2,FALSE)</f>
        <v>TACAACGT</v>
      </c>
      <c r="J77" s="2" t="str">
        <f>Sample!R75</f>
        <v>L01</v>
      </c>
      <c r="K77" s="48" t="str">
        <f>IF(AND(OR(LEFT(Sample!A75,1)={"E","H","T","B","V","L"},LEFT(Sample!A75,2)="ID"),OR(LEFT(Sample!C75,2)="JI",LEFT(Sample!C75,1)="I")),"TS1",IF(AND(OR(LEFT(Sample!A75,1)={"E","H","T","B","V","L"},LEFT(Sample!A75,2)="ID"),OR(LEFT(Sample!C75,2)={"JX","JW"},LEFT(Sample!C75,1)="X")),"TS95",IF(AND(OR(LEFT(Sample!A75,1)={"E","H","T","B","V","L"},LEFT(Sample!A75,2)="ID"),OR(LEFT(Sample!C75,2)="JN",LEFT(Sample!C75,1)="N")),"TS3",IF(AND(OR(LEFT(Sample!A75,1)={"E","H","T","B","V","L"},LEFT(Sample!A75,2)="ID"),OR(LEFT(Sample!C75,2)={"JA","AN","AG","AD"})),"TS24",IF(AND(OR(LEFT(Sample!A75,1)={"T","B","E","H","V","L"},LEFT(Sample!A75,2)="ID"),OR(LEFT(Sample!C75,2)={"SA","JS","AS","AA"},LEFT(Sample!C75,4)="SERA")),"TSPRO",IF(AND(LEFT(Sample!A75,2)="CR",OR(MID(Sample!C75,3,1)="D",MID(Sample!C75,3,1)="B")),"CARRIER9",IF(LEFT(Sample!A75,2)="CR","CARRIER18",Sample!A75)))))))</f>
        <v>TSPRO</v>
      </c>
    </row>
    <row r="78" spans="1:11" x14ac:dyDescent="0.35">
      <c r="A78" s="46" t="str">
        <f>Sample!B76&amp;"-"&amp;Sample!C76</f>
        <v>9-AAABLE04</v>
      </c>
      <c r="B78" s="46" t="str">
        <f>Sample!B76&amp;"-"&amp;Sample!C76</f>
        <v>9-AAABLE04</v>
      </c>
      <c r="C78" s="48" t="str">
        <f>Sample!A76</f>
        <v>T2930A</v>
      </c>
      <c r="D78" s="3"/>
      <c r="E78" s="3"/>
      <c r="F78" s="46" t="str">
        <f>Sample!K76</f>
        <v>S7757</v>
      </c>
      <c r="G78" s="47" t="str">
        <f>VLOOKUP(F78,'Index Sequence'!$A$2:$B$10000,2,FALSE)</f>
        <v>ACCCTGAC</v>
      </c>
      <c r="H78" s="47" t="str">
        <f>Sample!L76</f>
        <v>S7557</v>
      </c>
      <c r="I78" s="47" t="str">
        <f>VLOOKUP(H78,'Index Sequence'!$A$2:$B$10000,2,FALSE)</f>
        <v>ATTAGCGC</v>
      </c>
      <c r="J78" s="2" t="str">
        <f>Sample!R76</f>
        <v>L01</v>
      </c>
      <c r="K78" s="48" t="str">
        <f>IF(AND(OR(LEFT(Sample!A76,1)={"E","H","T","B","V","L"},LEFT(Sample!A76,2)="ID"),OR(LEFT(Sample!C76,2)="JI",LEFT(Sample!C76,1)="I")),"TS1",IF(AND(OR(LEFT(Sample!A76,1)={"E","H","T","B","V","L"},LEFT(Sample!A76,2)="ID"),OR(LEFT(Sample!C76,2)={"JX","JW"},LEFT(Sample!C76,1)="X")),"TS95",IF(AND(OR(LEFT(Sample!A76,1)={"E","H","T","B","V","L"},LEFT(Sample!A76,2)="ID"),OR(LEFT(Sample!C76,2)="JN",LEFT(Sample!C76,1)="N")),"TS3",IF(AND(OR(LEFT(Sample!A76,1)={"E","H","T","B","V","L"},LEFT(Sample!A76,2)="ID"),OR(LEFT(Sample!C76,2)={"JA","AN","AG","AD"})),"TS24",IF(AND(OR(LEFT(Sample!A76,1)={"T","B","E","H","V","L"},LEFT(Sample!A76,2)="ID"),OR(LEFT(Sample!C76,2)={"SA","JS","AS","AA"},LEFT(Sample!C76,4)="SERA")),"TSPRO",IF(AND(LEFT(Sample!A76,2)="CR",OR(MID(Sample!C76,3,1)="D",MID(Sample!C76,3,1)="B")),"CARRIER9",IF(LEFT(Sample!A76,2)="CR","CARRIER18",Sample!A76)))))))</f>
        <v>TSPRO</v>
      </c>
    </row>
    <row r="79" spans="1:11" x14ac:dyDescent="0.35">
      <c r="A79" s="46" t="str">
        <f>Sample!B77&amp;"-"&amp;Sample!C77</f>
        <v>10-AAABLE05</v>
      </c>
      <c r="B79" s="46" t="str">
        <f>Sample!B77&amp;"-"&amp;Sample!C77</f>
        <v>10-AAABLE05</v>
      </c>
      <c r="C79" s="48" t="str">
        <f>Sample!A77</f>
        <v>T2930A</v>
      </c>
      <c r="D79" s="3"/>
      <c r="E79" s="3"/>
      <c r="F79" s="46" t="str">
        <f>Sample!K77</f>
        <v>S7758</v>
      </c>
      <c r="G79" s="47" t="str">
        <f>VLOOKUP(F79,'Index Sequence'!$A$2:$B$10000,2,FALSE)</f>
        <v>GTTGAAGG</v>
      </c>
      <c r="H79" s="47" t="str">
        <f>Sample!L77</f>
        <v>S7558</v>
      </c>
      <c r="I79" s="47" t="str">
        <f>VLOOKUP(H79,'Index Sequence'!$A$2:$B$10000,2,FALSE)</f>
        <v>GCAGCTCT</v>
      </c>
      <c r="J79" s="2" t="str">
        <f>Sample!R77</f>
        <v>L01</v>
      </c>
      <c r="K79" s="48" t="str">
        <f>IF(AND(OR(LEFT(Sample!A77,1)={"E","H","T","B","V","L"},LEFT(Sample!A77,2)="ID"),OR(LEFT(Sample!C77,2)="JI",LEFT(Sample!C77,1)="I")),"TS1",IF(AND(OR(LEFT(Sample!A77,1)={"E","H","T","B","V","L"},LEFT(Sample!A77,2)="ID"),OR(LEFT(Sample!C77,2)={"JX","JW"},LEFT(Sample!C77,1)="X")),"TS95",IF(AND(OR(LEFT(Sample!A77,1)={"E","H","T","B","V","L"},LEFT(Sample!A77,2)="ID"),OR(LEFT(Sample!C77,2)="JN",LEFT(Sample!C77,1)="N")),"TS3",IF(AND(OR(LEFT(Sample!A77,1)={"E","H","T","B","V","L"},LEFT(Sample!A77,2)="ID"),OR(LEFT(Sample!C77,2)={"JA","AN","AG","AD"})),"TS24",IF(AND(OR(LEFT(Sample!A77,1)={"T","B","E","H","V","L"},LEFT(Sample!A77,2)="ID"),OR(LEFT(Sample!C77,2)={"SA","JS","AS","AA"},LEFT(Sample!C77,4)="SERA")),"TSPRO",IF(AND(LEFT(Sample!A77,2)="CR",OR(MID(Sample!C77,3,1)="D",MID(Sample!C77,3,1)="B")),"CARRIER9",IF(LEFT(Sample!A77,2)="CR","CARRIER18",Sample!A77)))))))</f>
        <v>TSPRO</v>
      </c>
    </row>
    <row r="80" spans="1:11" x14ac:dyDescent="0.35">
      <c r="A80" s="46" t="str">
        <f>Sample!B78&amp;"-"&amp;Sample!C78</f>
        <v>11-AAABLE06</v>
      </c>
      <c r="B80" s="46" t="str">
        <f>Sample!B78&amp;"-"&amp;Sample!C78</f>
        <v>11-AAABLE06</v>
      </c>
      <c r="C80" s="48" t="str">
        <f>Sample!A78</f>
        <v>T2930A</v>
      </c>
      <c r="D80" s="3"/>
      <c r="E80" s="3"/>
      <c r="F80" s="46" t="str">
        <f>Sample!K78</f>
        <v>S7759</v>
      </c>
      <c r="G80" s="47" t="str">
        <f>VLOOKUP(F80,'Index Sequence'!$A$2:$B$10000,2,FALSE)</f>
        <v>GCACGGGA</v>
      </c>
      <c r="H80" s="47" t="str">
        <f>Sample!L78</f>
        <v>S7559</v>
      </c>
      <c r="I80" s="47" t="str">
        <f>VLOOKUP(H80,'Index Sequence'!$A$2:$B$10000,2,FALSE)</f>
        <v>TAAGTATG</v>
      </c>
      <c r="J80" s="2" t="str">
        <f>Sample!R78</f>
        <v>L01</v>
      </c>
      <c r="K80" s="48" t="str">
        <f>IF(AND(OR(LEFT(Sample!A78,1)={"E","H","T","B","V","L"},LEFT(Sample!A78,2)="ID"),OR(LEFT(Sample!C78,2)="JI",LEFT(Sample!C78,1)="I")),"TS1",IF(AND(OR(LEFT(Sample!A78,1)={"E","H","T","B","V","L"},LEFT(Sample!A78,2)="ID"),OR(LEFT(Sample!C78,2)={"JX","JW"},LEFT(Sample!C78,1)="X")),"TS95",IF(AND(OR(LEFT(Sample!A78,1)={"E","H","T","B","V","L"},LEFT(Sample!A78,2)="ID"),OR(LEFT(Sample!C78,2)="JN",LEFT(Sample!C78,1)="N")),"TS3",IF(AND(OR(LEFT(Sample!A78,1)={"E","H","T","B","V","L"},LEFT(Sample!A78,2)="ID"),OR(LEFT(Sample!C78,2)={"JA","AN","AG","AD"})),"TS24",IF(AND(OR(LEFT(Sample!A78,1)={"T","B","E","H","V","L"},LEFT(Sample!A78,2)="ID"),OR(LEFT(Sample!C78,2)={"SA","JS","AS","AA"},LEFT(Sample!C78,4)="SERA")),"TSPRO",IF(AND(LEFT(Sample!A78,2)="CR",OR(MID(Sample!C78,3,1)="D",MID(Sample!C78,3,1)="B")),"CARRIER9",IF(LEFT(Sample!A78,2)="CR","CARRIER18",Sample!A78)))))))</f>
        <v>TSPRO</v>
      </c>
    </row>
    <row r="81" spans="1:11" x14ac:dyDescent="0.35">
      <c r="A81" s="46" t="str">
        <f>Sample!B79&amp;"-"&amp;Sample!C79</f>
        <v>12-AAABLE07</v>
      </c>
      <c r="B81" s="46" t="str">
        <f>Sample!B79&amp;"-"&amp;Sample!C79</f>
        <v>12-AAABLE07</v>
      </c>
      <c r="C81" s="48" t="str">
        <f>Sample!A79</f>
        <v>T2930A</v>
      </c>
      <c r="D81" s="3"/>
      <c r="E81" s="3"/>
      <c r="F81" s="46" t="str">
        <f>Sample!K79</f>
        <v>S7760</v>
      </c>
      <c r="G81" s="47" t="str">
        <f>VLOOKUP(F81,'Index Sequence'!$A$2:$B$10000,2,FALSE)</f>
        <v>CGTATAAA</v>
      </c>
      <c r="H81" s="47" t="str">
        <f>Sample!L79</f>
        <v>S7560</v>
      </c>
      <c r="I81" s="47" t="str">
        <f>VLOOKUP(H81,'Index Sequence'!$A$2:$B$10000,2,FALSE)</f>
        <v>CGGTGCAA</v>
      </c>
      <c r="J81" s="2" t="str">
        <f>Sample!R79</f>
        <v>L01</v>
      </c>
      <c r="K81" s="48" t="str">
        <f>IF(AND(OR(LEFT(Sample!A79,1)={"E","H","T","B","V","L"},LEFT(Sample!A79,2)="ID"),OR(LEFT(Sample!C79,2)="JI",LEFT(Sample!C79,1)="I")),"TS1",IF(AND(OR(LEFT(Sample!A79,1)={"E","H","T","B","V","L"},LEFT(Sample!A79,2)="ID"),OR(LEFT(Sample!C79,2)={"JX","JW"},LEFT(Sample!C79,1)="X")),"TS95",IF(AND(OR(LEFT(Sample!A79,1)={"E","H","T","B","V","L"},LEFT(Sample!A79,2)="ID"),OR(LEFT(Sample!C79,2)="JN",LEFT(Sample!C79,1)="N")),"TS3",IF(AND(OR(LEFT(Sample!A79,1)={"E","H","T","B","V","L"},LEFT(Sample!A79,2)="ID"),OR(LEFT(Sample!C79,2)={"JA","AN","AG","AD"})),"TS24",IF(AND(OR(LEFT(Sample!A79,1)={"T","B","E","H","V","L"},LEFT(Sample!A79,2)="ID"),OR(LEFT(Sample!C79,2)={"SA","JS","AS","AA"},LEFT(Sample!C79,4)="SERA")),"TSPRO",IF(AND(LEFT(Sample!A79,2)="CR",OR(MID(Sample!C79,3,1)="D",MID(Sample!C79,3,1)="B")),"CARRIER9",IF(LEFT(Sample!A79,2)="CR","CARRIER18",Sample!A79)))))))</f>
        <v>TSPRO</v>
      </c>
    </row>
    <row r="82" spans="1:11" x14ac:dyDescent="0.35">
      <c r="A82" s="46" t="str">
        <f>Sample!B80&amp;"-"&amp;Sample!C80</f>
        <v>13-AAABLE08</v>
      </c>
      <c r="B82" s="46" t="str">
        <f>Sample!B80&amp;"-"&amp;Sample!C80</f>
        <v>13-AAABLE08</v>
      </c>
      <c r="C82" s="48" t="str">
        <f>Sample!A80</f>
        <v>T2930A</v>
      </c>
      <c r="D82" s="3"/>
      <c r="E82" s="3"/>
      <c r="F82" s="46" t="str">
        <f>Sample!K80</f>
        <v>S7761</v>
      </c>
      <c r="G82" s="47" t="str">
        <f>VLOOKUP(F82,'Index Sequence'!$A$2:$B$10000,2,FALSE)</f>
        <v>AGAGACGG</v>
      </c>
      <c r="H82" s="47" t="str">
        <f>Sample!L80</f>
        <v>S7561</v>
      </c>
      <c r="I82" s="47" t="str">
        <f>VLOOKUP(H82,'Index Sequence'!$A$2:$B$10000,2,FALSE)</f>
        <v>TATCCCGC</v>
      </c>
      <c r="J82" s="2" t="str">
        <f>Sample!R80</f>
        <v>L01</v>
      </c>
      <c r="K82" s="48" t="str">
        <f>IF(AND(OR(LEFT(Sample!A80,1)={"E","H","T","B","V","L"},LEFT(Sample!A80,2)="ID"),OR(LEFT(Sample!C80,2)="JI",LEFT(Sample!C80,1)="I")),"TS1",IF(AND(OR(LEFT(Sample!A80,1)={"E","H","T","B","V","L"},LEFT(Sample!A80,2)="ID"),OR(LEFT(Sample!C80,2)={"JX","JW"},LEFT(Sample!C80,1)="X")),"TS95",IF(AND(OR(LEFT(Sample!A80,1)={"E","H","T","B","V","L"},LEFT(Sample!A80,2)="ID"),OR(LEFT(Sample!C80,2)="JN",LEFT(Sample!C80,1)="N")),"TS3",IF(AND(OR(LEFT(Sample!A80,1)={"E","H","T","B","V","L"},LEFT(Sample!A80,2)="ID"),OR(LEFT(Sample!C80,2)={"JA","AN","AG","AD"})),"TS24",IF(AND(OR(LEFT(Sample!A80,1)={"T","B","E","H","V","L"},LEFT(Sample!A80,2)="ID"),OR(LEFT(Sample!C80,2)={"SA","JS","AS","AA"},LEFT(Sample!C80,4)="SERA")),"TSPRO",IF(AND(LEFT(Sample!A80,2)="CR",OR(MID(Sample!C80,3,1)="D",MID(Sample!C80,3,1)="B")),"CARRIER9",IF(LEFT(Sample!A80,2)="CR","CARRIER18",Sample!A80)))))))</f>
        <v>TSPRO</v>
      </c>
    </row>
    <row r="83" spans="1:11" x14ac:dyDescent="0.35">
      <c r="A83" s="46" t="str">
        <f>Sample!B81&amp;"-"&amp;Sample!C81</f>
        <v>14-ASAAAB88</v>
      </c>
      <c r="B83" s="46" t="str">
        <f>Sample!B81&amp;"-"&amp;Sample!C81</f>
        <v>14-ASAAAB88</v>
      </c>
      <c r="C83" s="48" t="str">
        <f>Sample!A81</f>
        <v>T2930A</v>
      </c>
      <c r="D83" s="3"/>
      <c r="E83" s="3"/>
      <c r="F83" s="46" t="str">
        <f>Sample!K81</f>
        <v>S7762</v>
      </c>
      <c r="G83" s="47" t="str">
        <f>VLOOKUP(F83,'Index Sequence'!$A$2:$B$10000,2,FALSE)</f>
        <v>TACAAGTC</v>
      </c>
      <c r="H83" s="47" t="str">
        <f>Sample!L81</f>
        <v>S7562</v>
      </c>
      <c r="I83" s="47" t="str">
        <f>VLOOKUP(H83,'Index Sequence'!$A$2:$B$10000,2,FALSE)</f>
        <v>TTCACTTC</v>
      </c>
      <c r="J83" s="2" t="str">
        <f>Sample!R81</f>
        <v>L01</v>
      </c>
      <c r="K83" s="48" t="str">
        <f>IF(AND(OR(LEFT(Sample!A81,1)={"E","H","T","B","V","L"},LEFT(Sample!A81,2)="ID"),OR(LEFT(Sample!C81,2)="JI",LEFT(Sample!C81,1)="I")),"TS1",IF(AND(OR(LEFT(Sample!A81,1)={"E","H","T","B","V","L"},LEFT(Sample!A81,2)="ID"),OR(LEFT(Sample!C81,2)={"JX","JW"},LEFT(Sample!C81,1)="X")),"TS95",IF(AND(OR(LEFT(Sample!A81,1)={"E","H","T","B","V","L"},LEFT(Sample!A81,2)="ID"),OR(LEFT(Sample!C81,2)="JN",LEFT(Sample!C81,1)="N")),"TS3",IF(AND(OR(LEFT(Sample!A81,1)={"E","H","T","B","V","L"},LEFT(Sample!A81,2)="ID"),OR(LEFT(Sample!C81,2)={"JA","AN","AG","AD"})),"TS24",IF(AND(OR(LEFT(Sample!A81,1)={"T","B","E","H","V","L"},LEFT(Sample!A81,2)="ID"),OR(LEFT(Sample!C81,2)={"SA","JS","AS","AA"},LEFT(Sample!C81,4)="SERA")),"TSPRO",IF(AND(LEFT(Sample!A81,2)="CR",OR(MID(Sample!C81,3,1)="D",MID(Sample!C81,3,1)="B")),"CARRIER9",IF(LEFT(Sample!A81,2)="CR","CARRIER18",Sample!A81)))))))</f>
        <v>TSPRO</v>
      </c>
    </row>
    <row r="84" spans="1:11" x14ac:dyDescent="0.35">
      <c r="A84" s="46" t="str">
        <f>Sample!B82&amp;"-"&amp;Sample!C82</f>
        <v>15-SAAAFX74</v>
      </c>
      <c r="B84" s="46" t="str">
        <f>Sample!B82&amp;"-"&amp;Sample!C82</f>
        <v>15-SAAAFX74</v>
      </c>
      <c r="C84" s="48" t="str">
        <f>Sample!A82</f>
        <v>T2930A</v>
      </c>
      <c r="D84" s="3"/>
      <c r="E84" s="3"/>
      <c r="F84" s="46" t="str">
        <f>Sample!K82</f>
        <v>S7763</v>
      </c>
      <c r="G84" s="47" t="str">
        <f>VLOOKUP(F84,'Index Sequence'!$A$2:$B$10000,2,FALSE)</f>
        <v>TGAATCTT</v>
      </c>
      <c r="H84" s="47" t="str">
        <f>Sample!L82</f>
        <v>S7563</v>
      </c>
      <c r="I84" s="47" t="str">
        <f>VLOOKUP(H84,'Index Sequence'!$A$2:$B$10000,2,FALSE)</f>
        <v>GTAAACAG</v>
      </c>
      <c r="J84" s="2" t="str">
        <f>Sample!R82</f>
        <v>L01</v>
      </c>
      <c r="K84" s="48" t="str">
        <f>IF(AND(OR(LEFT(Sample!A82,1)={"E","H","T","B","V","L"},LEFT(Sample!A82,2)="ID"),OR(LEFT(Sample!C82,2)="JI",LEFT(Sample!C82,1)="I")),"TS1",IF(AND(OR(LEFT(Sample!A82,1)={"E","H","T","B","V","L"},LEFT(Sample!A82,2)="ID"),OR(LEFT(Sample!C82,2)={"JX","JW"},LEFT(Sample!C82,1)="X")),"TS95",IF(AND(OR(LEFT(Sample!A82,1)={"E","H","T","B","V","L"},LEFT(Sample!A82,2)="ID"),OR(LEFT(Sample!C82,2)="JN",LEFT(Sample!C82,1)="N")),"TS3",IF(AND(OR(LEFT(Sample!A82,1)={"E","H","T","B","V","L"},LEFT(Sample!A82,2)="ID"),OR(LEFT(Sample!C82,2)={"JA","AN","AG","AD"})),"TS24",IF(AND(OR(LEFT(Sample!A82,1)={"T","B","E","H","V","L"},LEFT(Sample!A82,2)="ID"),OR(LEFT(Sample!C82,2)={"SA","JS","AS","AA"},LEFT(Sample!C82,4)="SERA")),"TSPRO",IF(AND(LEFT(Sample!A82,2)="CR",OR(MID(Sample!C82,3,1)="D",MID(Sample!C82,3,1)="B")),"CARRIER9",IF(LEFT(Sample!A82,2)="CR","CARRIER18",Sample!A82)))))))</f>
        <v>TSPRO</v>
      </c>
    </row>
    <row r="85" spans="1:11" x14ac:dyDescent="0.35">
      <c r="A85" s="46" t="str">
        <f>Sample!B83&amp;"-"&amp;Sample!C83</f>
        <v>16-SAAAFX75</v>
      </c>
      <c r="B85" s="46" t="str">
        <f>Sample!B83&amp;"-"&amp;Sample!C83</f>
        <v>16-SAAAFX75</v>
      </c>
      <c r="C85" s="48" t="str">
        <f>Sample!A83</f>
        <v>T2930A</v>
      </c>
      <c r="D85" s="3"/>
      <c r="E85" s="3"/>
      <c r="F85" s="46" t="str">
        <f>Sample!K83</f>
        <v>S7764</v>
      </c>
      <c r="G85" s="47" t="str">
        <f>VLOOKUP(F85,'Index Sequence'!$A$2:$B$10000,2,FALSE)</f>
        <v>GCAACTTG</v>
      </c>
      <c r="H85" s="47" t="str">
        <f>Sample!L83</f>
        <v>S7564</v>
      </c>
      <c r="I85" s="47" t="str">
        <f>VLOOKUP(H85,'Index Sequence'!$A$2:$B$10000,2,FALSE)</f>
        <v>GAGTGCTC</v>
      </c>
      <c r="J85" s="2" t="str">
        <f>Sample!R83</f>
        <v>L01</v>
      </c>
      <c r="K85" s="48" t="str">
        <f>IF(AND(OR(LEFT(Sample!A83,1)={"E","H","T","B","V","L"},LEFT(Sample!A83,2)="ID"),OR(LEFT(Sample!C83,2)="JI",LEFT(Sample!C83,1)="I")),"TS1",IF(AND(OR(LEFT(Sample!A83,1)={"E","H","T","B","V","L"},LEFT(Sample!A83,2)="ID"),OR(LEFT(Sample!C83,2)={"JX","JW"},LEFT(Sample!C83,1)="X")),"TS95",IF(AND(OR(LEFT(Sample!A83,1)={"E","H","T","B","V","L"},LEFT(Sample!A83,2)="ID"),OR(LEFT(Sample!C83,2)="JN",LEFT(Sample!C83,1)="N")),"TS3",IF(AND(OR(LEFT(Sample!A83,1)={"E","H","T","B","V","L"},LEFT(Sample!A83,2)="ID"),OR(LEFT(Sample!C83,2)={"JA","AN","AG","AD"})),"TS24",IF(AND(OR(LEFT(Sample!A83,1)={"T","B","E","H","V","L"},LEFT(Sample!A83,2)="ID"),OR(LEFT(Sample!C83,2)={"SA","JS","AS","AA"},LEFT(Sample!C83,4)="SERA")),"TSPRO",IF(AND(LEFT(Sample!A83,2)="CR",OR(MID(Sample!C83,3,1)="D",MID(Sample!C83,3,1)="B")),"CARRIER9",IF(LEFT(Sample!A83,2)="CR","CARRIER18",Sample!A83)))))))</f>
        <v>TSPRO</v>
      </c>
    </row>
    <row r="86" spans="1:11" x14ac:dyDescent="0.35">
      <c r="A86" s="46" t="str">
        <f>Sample!B84&amp;"-"&amp;Sample!C84</f>
        <v>17-SAAAFX76</v>
      </c>
      <c r="B86" s="46" t="str">
        <f>Sample!B84&amp;"-"&amp;Sample!C84</f>
        <v>17-SAAAFX76</v>
      </c>
      <c r="C86" s="48" t="str">
        <f>Sample!A84</f>
        <v>T2930A</v>
      </c>
      <c r="D86" s="3"/>
      <c r="E86" s="3"/>
      <c r="F86" s="46" t="str">
        <f>Sample!K84</f>
        <v>S7765</v>
      </c>
      <c r="G86" s="47" t="str">
        <f>VLOOKUP(F86,'Index Sequence'!$A$2:$B$10000,2,FALSE)</f>
        <v>ACGACGTC</v>
      </c>
      <c r="H86" s="47" t="str">
        <f>Sample!L84</f>
        <v>S7565</v>
      </c>
      <c r="I86" s="47" t="str">
        <f>VLOOKUP(H86,'Index Sequence'!$A$2:$B$10000,2,FALSE)</f>
        <v>TGCAACAA</v>
      </c>
      <c r="J86" s="2" t="str">
        <f>Sample!R84</f>
        <v>L01</v>
      </c>
      <c r="K86" s="48" t="str">
        <f>IF(AND(OR(LEFT(Sample!A84,1)={"E","H","T","B","V","L"},LEFT(Sample!A84,2)="ID"),OR(LEFT(Sample!C84,2)="JI",LEFT(Sample!C84,1)="I")),"TS1",IF(AND(OR(LEFT(Sample!A84,1)={"E","H","T","B","V","L"},LEFT(Sample!A84,2)="ID"),OR(LEFT(Sample!C84,2)={"JX","JW"},LEFT(Sample!C84,1)="X")),"TS95",IF(AND(OR(LEFT(Sample!A84,1)={"E","H","T","B","V","L"},LEFT(Sample!A84,2)="ID"),OR(LEFT(Sample!C84,2)="JN",LEFT(Sample!C84,1)="N")),"TS3",IF(AND(OR(LEFT(Sample!A84,1)={"E","H","T","B","V","L"},LEFT(Sample!A84,2)="ID"),OR(LEFT(Sample!C84,2)={"JA","AN","AG","AD"})),"TS24",IF(AND(OR(LEFT(Sample!A84,1)={"T","B","E","H","V","L"},LEFT(Sample!A84,2)="ID"),OR(LEFT(Sample!C84,2)={"SA","JS","AS","AA"},LEFT(Sample!C84,4)="SERA")),"TSPRO",IF(AND(LEFT(Sample!A84,2)="CR",OR(MID(Sample!C84,3,1)="D",MID(Sample!C84,3,1)="B")),"CARRIER9",IF(LEFT(Sample!A84,2)="CR","CARRIER18",Sample!A84)))))))</f>
        <v>TSPRO</v>
      </c>
    </row>
    <row r="87" spans="1:11" x14ac:dyDescent="0.35">
      <c r="A87" s="46" t="str">
        <f>Sample!B85&amp;"-"&amp;Sample!C85</f>
        <v>18-SAAAFX77</v>
      </c>
      <c r="B87" s="46" t="str">
        <f>Sample!B85&amp;"-"&amp;Sample!C85</f>
        <v>18-SAAAFX77</v>
      </c>
      <c r="C87" s="48" t="str">
        <f>Sample!A85</f>
        <v>T2930A</v>
      </c>
      <c r="D87" s="3"/>
      <c r="E87" s="3"/>
      <c r="F87" s="46" t="str">
        <f>Sample!K85</f>
        <v>S7766</v>
      </c>
      <c r="G87" s="47" t="str">
        <f>VLOOKUP(F87,'Index Sequence'!$A$2:$B$10000,2,FALSE)</f>
        <v>GTATGACG</v>
      </c>
      <c r="H87" s="47" t="str">
        <f>Sample!L85</f>
        <v>S7566</v>
      </c>
      <c r="I87" s="47" t="str">
        <f>VLOOKUP(H87,'Index Sequence'!$A$2:$B$10000,2,FALSE)</f>
        <v>AAGTGTGG</v>
      </c>
      <c r="J87" s="2" t="str">
        <f>Sample!R85</f>
        <v>L01</v>
      </c>
      <c r="K87" s="48" t="str">
        <f>IF(AND(OR(LEFT(Sample!A85,1)={"E","H","T","B","V","L"},LEFT(Sample!A85,2)="ID"),OR(LEFT(Sample!C85,2)="JI",LEFT(Sample!C85,1)="I")),"TS1",IF(AND(OR(LEFT(Sample!A85,1)={"E","H","T","B","V","L"},LEFT(Sample!A85,2)="ID"),OR(LEFT(Sample!C85,2)={"JX","JW"},LEFT(Sample!C85,1)="X")),"TS95",IF(AND(OR(LEFT(Sample!A85,1)={"E","H","T","B","V","L"},LEFT(Sample!A85,2)="ID"),OR(LEFT(Sample!C85,2)="JN",LEFT(Sample!C85,1)="N")),"TS3",IF(AND(OR(LEFT(Sample!A85,1)={"E","H","T","B","V","L"},LEFT(Sample!A85,2)="ID"),OR(LEFT(Sample!C85,2)={"JA","AN","AG","AD"})),"TS24",IF(AND(OR(LEFT(Sample!A85,1)={"T","B","E","H","V","L"},LEFT(Sample!A85,2)="ID"),OR(LEFT(Sample!C85,2)={"SA","JS","AS","AA"},LEFT(Sample!C85,4)="SERA")),"TSPRO",IF(AND(LEFT(Sample!A85,2)="CR",OR(MID(Sample!C85,3,1)="D",MID(Sample!C85,3,1)="B")),"CARRIER9",IF(LEFT(Sample!A85,2)="CR","CARRIER18",Sample!A85)))))))</f>
        <v>TSPRO</v>
      </c>
    </row>
    <row r="88" spans="1:11" x14ac:dyDescent="0.35">
      <c r="A88" s="46" t="str">
        <f>Sample!B86&amp;"-"&amp;Sample!C86</f>
        <v>19-SAAAFX78</v>
      </c>
      <c r="B88" s="46" t="str">
        <f>Sample!B86&amp;"-"&amp;Sample!C86</f>
        <v>19-SAAAFX78</v>
      </c>
      <c r="C88" s="48" t="str">
        <f>Sample!A86</f>
        <v>T2930A</v>
      </c>
      <c r="D88" s="3"/>
      <c r="E88" s="3"/>
      <c r="F88" s="46" t="str">
        <f>Sample!K86</f>
        <v>S7767</v>
      </c>
      <c r="G88" s="47" t="str">
        <f>VLOOKUP(F88,'Index Sequence'!$A$2:$B$10000,2,FALSE)</f>
        <v>TACAGCAA</v>
      </c>
      <c r="H88" s="47" t="str">
        <f>Sample!L86</f>
        <v>S7567</v>
      </c>
      <c r="I88" s="47" t="str">
        <f>VLOOKUP(H88,'Index Sequence'!$A$2:$B$10000,2,FALSE)</f>
        <v>CAAACGGG</v>
      </c>
      <c r="J88" s="2" t="str">
        <f>Sample!R86</f>
        <v>L01</v>
      </c>
      <c r="K88" s="48" t="str">
        <f>IF(AND(OR(LEFT(Sample!A86,1)={"E","H","T","B","V","L"},LEFT(Sample!A86,2)="ID"),OR(LEFT(Sample!C86,2)="JI",LEFT(Sample!C86,1)="I")),"TS1",IF(AND(OR(LEFT(Sample!A86,1)={"E","H","T","B","V","L"},LEFT(Sample!A86,2)="ID"),OR(LEFT(Sample!C86,2)={"JX","JW"},LEFT(Sample!C86,1)="X")),"TS95",IF(AND(OR(LEFT(Sample!A86,1)={"E","H","T","B","V","L"},LEFT(Sample!A86,2)="ID"),OR(LEFT(Sample!C86,2)="JN",LEFT(Sample!C86,1)="N")),"TS3",IF(AND(OR(LEFT(Sample!A86,1)={"E","H","T","B","V","L"},LEFT(Sample!A86,2)="ID"),OR(LEFT(Sample!C86,2)={"JA","AN","AG","AD"})),"TS24",IF(AND(OR(LEFT(Sample!A86,1)={"T","B","E","H","V","L"},LEFT(Sample!A86,2)="ID"),OR(LEFT(Sample!C86,2)={"SA","JS","AS","AA"},LEFT(Sample!C86,4)="SERA")),"TSPRO",IF(AND(LEFT(Sample!A86,2)="CR",OR(MID(Sample!C86,3,1)="D",MID(Sample!C86,3,1)="B")),"CARRIER9",IF(LEFT(Sample!A86,2)="CR","CARRIER18",Sample!A86)))))))</f>
        <v>TSPRO</v>
      </c>
    </row>
    <row r="89" spans="1:11" x14ac:dyDescent="0.35">
      <c r="A89" s="46" t="str">
        <f>Sample!B87&amp;"-"&amp;Sample!C87</f>
        <v>20-SAAAFX79</v>
      </c>
      <c r="B89" s="46" t="str">
        <f>Sample!B87&amp;"-"&amp;Sample!C87</f>
        <v>20-SAAAFX79</v>
      </c>
      <c r="C89" s="48" t="str">
        <f>Sample!A87</f>
        <v>T2930A</v>
      </c>
      <c r="D89" s="3"/>
      <c r="E89" s="3"/>
      <c r="F89" s="46" t="str">
        <f>Sample!K87</f>
        <v>S7768</v>
      </c>
      <c r="G89" s="47" t="str">
        <f>VLOOKUP(F89,'Index Sequence'!$A$2:$B$10000,2,FALSE)</f>
        <v>CAGCAGGG</v>
      </c>
      <c r="H89" s="47" t="str">
        <f>Sample!L87</f>
        <v>S7568</v>
      </c>
      <c r="I89" s="47" t="str">
        <f>VLOOKUP(H89,'Index Sequence'!$A$2:$B$10000,2,FALSE)</f>
        <v>GGGAGCAT</v>
      </c>
      <c r="J89" s="2" t="str">
        <f>Sample!R87</f>
        <v>L01</v>
      </c>
      <c r="K89" s="48" t="str">
        <f>IF(AND(OR(LEFT(Sample!A87,1)={"E","H","T","B","V","L"},LEFT(Sample!A87,2)="ID"),OR(LEFT(Sample!C87,2)="JI",LEFT(Sample!C87,1)="I")),"TS1",IF(AND(OR(LEFT(Sample!A87,1)={"E","H","T","B","V","L"},LEFT(Sample!A87,2)="ID"),OR(LEFT(Sample!C87,2)={"JX","JW"},LEFT(Sample!C87,1)="X")),"TS95",IF(AND(OR(LEFT(Sample!A87,1)={"E","H","T","B","V","L"},LEFT(Sample!A87,2)="ID"),OR(LEFT(Sample!C87,2)="JN",LEFT(Sample!C87,1)="N")),"TS3",IF(AND(OR(LEFT(Sample!A87,1)={"E","H","T","B","V","L"},LEFT(Sample!A87,2)="ID"),OR(LEFT(Sample!C87,2)={"JA","AN","AG","AD"})),"TS24",IF(AND(OR(LEFT(Sample!A87,1)={"T","B","E","H","V","L"},LEFT(Sample!A87,2)="ID"),OR(LEFT(Sample!C87,2)={"SA","JS","AS","AA"},LEFT(Sample!C87,4)="SERA")),"TSPRO",IF(AND(LEFT(Sample!A87,2)="CR",OR(MID(Sample!C87,3,1)="D",MID(Sample!C87,3,1)="B")),"CARRIER9",IF(LEFT(Sample!A87,2)="CR","CARRIER18",Sample!A87)))))))</f>
        <v>TSPRO</v>
      </c>
    </row>
    <row r="90" spans="1:11" x14ac:dyDescent="0.35">
      <c r="A90" s="46" t="str">
        <f>Sample!B88&amp;"-"&amp;Sample!C88</f>
        <v>21-SAAAFX80</v>
      </c>
      <c r="B90" s="46" t="str">
        <f>Sample!B88&amp;"-"&amp;Sample!C88</f>
        <v>21-SAAAFX80</v>
      </c>
      <c r="C90" s="48" t="str">
        <f>Sample!A88</f>
        <v>T2930A</v>
      </c>
      <c r="D90" s="3"/>
      <c r="E90" s="3"/>
      <c r="F90" s="46" t="str">
        <f>Sample!K88</f>
        <v>S7769</v>
      </c>
      <c r="G90" s="47" t="str">
        <f>VLOOKUP(F90,'Index Sequence'!$A$2:$B$10000,2,FALSE)</f>
        <v>GATAAATG</v>
      </c>
      <c r="H90" s="47" t="str">
        <f>Sample!L88</f>
        <v>S7569</v>
      </c>
      <c r="I90" s="47" t="str">
        <f>VLOOKUP(H90,'Index Sequence'!$A$2:$B$10000,2,FALSE)</f>
        <v>TATTGAGC</v>
      </c>
      <c r="J90" s="2" t="str">
        <f>Sample!R88</f>
        <v>L01</v>
      </c>
      <c r="K90" s="48" t="str">
        <f>IF(AND(OR(LEFT(Sample!A88,1)={"E","H","T","B","V","L"},LEFT(Sample!A88,2)="ID"),OR(LEFT(Sample!C88,2)="JI",LEFT(Sample!C88,1)="I")),"TS1",IF(AND(OR(LEFT(Sample!A88,1)={"E","H","T","B","V","L"},LEFT(Sample!A88,2)="ID"),OR(LEFT(Sample!C88,2)={"JX","JW"},LEFT(Sample!C88,1)="X")),"TS95",IF(AND(OR(LEFT(Sample!A88,1)={"E","H","T","B","V","L"},LEFT(Sample!A88,2)="ID"),OR(LEFT(Sample!C88,2)="JN",LEFT(Sample!C88,1)="N")),"TS3",IF(AND(OR(LEFT(Sample!A88,1)={"E","H","T","B","V","L"},LEFT(Sample!A88,2)="ID"),OR(LEFT(Sample!C88,2)={"JA","AN","AG","AD"})),"TS24",IF(AND(OR(LEFT(Sample!A88,1)={"T","B","E","H","V","L"},LEFT(Sample!A88,2)="ID"),OR(LEFT(Sample!C88,2)={"SA","JS","AS","AA"},LEFT(Sample!C88,4)="SERA")),"TSPRO",IF(AND(LEFT(Sample!A88,2)="CR",OR(MID(Sample!C88,3,1)="D",MID(Sample!C88,3,1)="B")),"CARRIER9",IF(LEFT(Sample!A88,2)="CR","CARRIER18",Sample!A88)))))))</f>
        <v>TSPRO</v>
      </c>
    </row>
    <row r="91" spans="1:11" x14ac:dyDescent="0.35">
      <c r="A91" s="46" t="str">
        <f>Sample!B89&amp;"-"&amp;Sample!C89</f>
        <v>22-SAAAFX81</v>
      </c>
      <c r="B91" s="46" t="str">
        <f>Sample!B89&amp;"-"&amp;Sample!C89</f>
        <v>22-SAAAFX81</v>
      </c>
      <c r="C91" s="48" t="str">
        <f>Sample!A89</f>
        <v>T2930A</v>
      </c>
      <c r="D91" s="3"/>
      <c r="E91" s="3"/>
      <c r="F91" s="46" t="str">
        <f>Sample!K89</f>
        <v>S7770</v>
      </c>
      <c r="G91" s="47" t="str">
        <f>VLOOKUP(F91,'Index Sequence'!$A$2:$B$10000,2,FALSE)</f>
        <v>GCATCAAG</v>
      </c>
      <c r="H91" s="47" t="str">
        <f>Sample!L89</f>
        <v>S7570</v>
      </c>
      <c r="I91" s="47" t="str">
        <f>VLOOKUP(H91,'Index Sequence'!$A$2:$B$10000,2,FALSE)</f>
        <v>CGAACTAC</v>
      </c>
      <c r="J91" s="2" t="str">
        <f>Sample!R89</f>
        <v>L01</v>
      </c>
      <c r="K91" s="48" t="str">
        <f>IF(AND(OR(LEFT(Sample!A89,1)={"E","H","T","B","V","L"},LEFT(Sample!A89,2)="ID"),OR(LEFT(Sample!C89,2)="JI",LEFT(Sample!C89,1)="I")),"TS1",IF(AND(OR(LEFT(Sample!A89,1)={"E","H","T","B","V","L"},LEFT(Sample!A89,2)="ID"),OR(LEFT(Sample!C89,2)={"JX","JW"},LEFT(Sample!C89,1)="X")),"TS95",IF(AND(OR(LEFT(Sample!A89,1)={"E","H","T","B","V","L"},LEFT(Sample!A89,2)="ID"),OR(LEFT(Sample!C89,2)="JN",LEFT(Sample!C89,1)="N")),"TS3",IF(AND(OR(LEFT(Sample!A89,1)={"E","H","T","B","V","L"},LEFT(Sample!A89,2)="ID"),OR(LEFT(Sample!C89,2)={"JA","AN","AG","AD"})),"TS24",IF(AND(OR(LEFT(Sample!A89,1)={"T","B","E","H","V","L"},LEFT(Sample!A89,2)="ID"),OR(LEFT(Sample!C89,2)={"SA","JS","AS","AA"},LEFT(Sample!C89,4)="SERA")),"TSPRO",IF(AND(LEFT(Sample!A89,2)="CR",OR(MID(Sample!C89,3,1)="D",MID(Sample!C89,3,1)="B")),"CARRIER9",IF(LEFT(Sample!A89,2)="CR","CARRIER18",Sample!A89)))))))</f>
        <v>TSPRO</v>
      </c>
    </row>
    <row r="92" spans="1:11" x14ac:dyDescent="0.35">
      <c r="A92" s="46" t="str">
        <f>Sample!B90&amp;"-"&amp;Sample!C90</f>
        <v>23-SAAAFX82</v>
      </c>
      <c r="B92" s="46" t="str">
        <f>Sample!B90&amp;"-"&amp;Sample!C90</f>
        <v>23-SAAAFX82</v>
      </c>
      <c r="C92" s="48" t="str">
        <f>Sample!A90</f>
        <v>T2930A</v>
      </c>
      <c r="D92" s="3"/>
      <c r="E92" s="3"/>
      <c r="F92" s="46" t="str">
        <f>Sample!K90</f>
        <v>S7771</v>
      </c>
      <c r="G92" s="47" t="str">
        <f>VLOOKUP(F92,'Index Sequence'!$A$2:$B$10000,2,FALSE)</f>
        <v>CGATACAT</v>
      </c>
      <c r="H92" s="47" t="str">
        <f>Sample!L90</f>
        <v>S7571</v>
      </c>
      <c r="I92" s="47" t="str">
        <f>VLOOKUP(H92,'Index Sequence'!$A$2:$B$10000,2,FALSE)</f>
        <v>GGTTCTCG</v>
      </c>
      <c r="J92" s="2" t="str">
        <f>Sample!R90</f>
        <v>L01</v>
      </c>
      <c r="K92" s="48" t="str">
        <f>IF(AND(OR(LEFT(Sample!A90,1)={"E","H","T","B","V","L"},LEFT(Sample!A90,2)="ID"),OR(LEFT(Sample!C90,2)="JI",LEFT(Sample!C90,1)="I")),"TS1",IF(AND(OR(LEFT(Sample!A90,1)={"E","H","T","B","V","L"},LEFT(Sample!A90,2)="ID"),OR(LEFT(Sample!C90,2)={"JX","JW"},LEFT(Sample!C90,1)="X")),"TS95",IF(AND(OR(LEFT(Sample!A90,1)={"E","H","T","B","V","L"},LEFT(Sample!A90,2)="ID"),OR(LEFT(Sample!C90,2)="JN",LEFT(Sample!C90,1)="N")),"TS3",IF(AND(OR(LEFT(Sample!A90,1)={"E","H","T","B","V","L"},LEFT(Sample!A90,2)="ID"),OR(LEFT(Sample!C90,2)={"JA","AN","AG","AD"})),"TS24",IF(AND(OR(LEFT(Sample!A90,1)={"T","B","E","H","V","L"},LEFT(Sample!A90,2)="ID"),OR(LEFT(Sample!C90,2)={"SA","JS","AS","AA"},LEFT(Sample!C90,4)="SERA")),"TSPRO",IF(AND(LEFT(Sample!A90,2)="CR",OR(MID(Sample!C90,3,1)="D",MID(Sample!C90,3,1)="B")),"CARRIER9",IF(LEFT(Sample!A90,2)="CR","CARRIER18",Sample!A90)))))))</f>
        <v>TSPRO</v>
      </c>
    </row>
    <row r="93" spans="1:11" x14ac:dyDescent="0.35">
      <c r="A93" s="46" t="str">
        <f>Sample!B91&amp;"-"&amp;Sample!C91</f>
        <v>24-SAAAFX83</v>
      </c>
      <c r="B93" s="46" t="str">
        <f>Sample!B91&amp;"-"&amp;Sample!C91</f>
        <v>24-SAAAFX83</v>
      </c>
      <c r="C93" s="48" t="str">
        <f>Sample!A91</f>
        <v>T2930A</v>
      </c>
      <c r="D93" s="3"/>
      <c r="E93" s="3"/>
      <c r="F93" s="46" t="str">
        <f>Sample!K91</f>
        <v>S7772</v>
      </c>
      <c r="G93" s="47" t="str">
        <f>VLOOKUP(F93,'Index Sequence'!$A$2:$B$10000,2,FALSE)</f>
        <v>AACCCTAT</v>
      </c>
      <c r="H93" s="47" t="str">
        <f>Sample!L91</f>
        <v>S7572</v>
      </c>
      <c r="I93" s="47" t="str">
        <f>VLOOKUP(H93,'Index Sequence'!$A$2:$B$10000,2,FALSE)</f>
        <v>TACATGGC</v>
      </c>
      <c r="J93" s="2" t="str">
        <f>Sample!R91</f>
        <v>L01</v>
      </c>
      <c r="K93" s="48" t="str">
        <f>IF(AND(OR(LEFT(Sample!A91,1)={"E","H","T","B","V","L"},LEFT(Sample!A91,2)="ID"),OR(LEFT(Sample!C91,2)="JI",LEFT(Sample!C91,1)="I")),"TS1",IF(AND(OR(LEFT(Sample!A91,1)={"E","H","T","B","V","L"},LEFT(Sample!A91,2)="ID"),OR(LEFT(Sample!C91,2)={"JX","JW"},LEFT(Sample!C91,1)="X")),"TS95",IF(AND(OR(LEFT(Sample!A91,1)={"E","H","T","B","V","L"},LEFT(Sample!A91,2)="ID"),OR(LEFT(Sample!C91,2)="JN",LEFT(Sample!C91,1)="N")),"TS3",IF(AND(OR(LEFT(Sample!A91,1)={"E","H","T","B","V","L"},LEFT(Sample!A91,2)="ID"),OR(LEFT(Sample!C91,2)={"JA","AN","AG","AD"})),"TS24",IF(AND(OR(LEFT(Sample!A91,1)={"T","B","E","H","V","L"},LEFT(Sample!A91,2)="ID"),OR(LEFT(Sample!C91,2)={"SA","JS","AS","AA"},LEFT(Sample!C91,4)="SERA")),"TSPRO",IF(AND(LEFT(Sample!A91,2)="CR",OR(MID(Sample!C91,3,1)="D",MID(Sample!C91,3,1)="B")),"CARRIER9",IF(LEFT(Sample!A91,2)="CR","CARRIER18",Sample!A91)))))))</f>
        <v>TSPRO</v>
      </c>
    </row>
    <row r="94" spans="1:11" x14ac:dyDescent="0.35">
      <c r="A94" s="46" t="str">
        <f>Sample!B92&amp;"-"&amp;Sample!C92</f>
        <v>1-SAAAFX84</v>
      </c>
      <c r="B94" s="46" t="str">
        <f>Sample!B92&amp;"-"&amp;Sample!C92</f>
        <v>1-SAAAFX84</v>
      </c>
      <c r="C94" s="48" t="str">
        <f>Sample!A92</f>
        <v>T2931A</v>
      </c>
      <c r="D94" s="3"/>
      <c r="E94" s="3"/>
      <c r="F94" s="46" t="str">
        <f>Sample!K92</f>
        <v>S7773</v>
      </c>
      <c r="G94" s="47" t="str">
        <f>VLOOKUP(F94,'Index Sequence'!$A$2:$B$10000,2,FALSE)</f>
        <v>ACGTCGAG</v>
      </c>
      <c r="H94" s="47" t="str">
        <f>Sample!L92</f>
        <v>S7573</v>
      </c>
      <c r="I94" s="47" t="str">
        <f>VLOOKUP(H94,'Index Sequence'!$A$2:$B$10000,2,FALSE)</f>
        <v>TAGAGAAA</v>
      </c>
      <c r="J94" s="2" t="str">
        <f>Sample!R92</f>
        <v>L01</v>
      </c>
      <c r="K94" s="48" t="str">
        <f>IF(AND(OR(LEFT(Sample!A92,1)={"E","H","T","B","V","L"},LEFT(Sample!A92,2)="ID"),OR(LEFT(Sample!C92,2)="JI",LEFT(Sample!C92,1)="I")),"TS1",IF(AND(OR(LEFT(Sample!A92,1)={"E","H","T","B","V","L"},LEFT(Sample!A92,2)="ID"),OR(LEFT(Sample!C92,2)={"JX","JW"},LEFT(Sample!C92,1)="X")),"TS95",IF(AND(OR(LEFT(Sample!A92,1)={"E","H","T","B","V","L"},LEFT(Sample!A92,2)="ID"),OR(LEFT(Sample!C92,2)="JN",LEFT(Sample!C92,1)="N")),"TS3",IF(AND(OR(LEFT(Sample!A92,1)={"E","H","T","B","V","L"},LEFT(Sample!A92,2)="ID"),OR(LEFT(Sample!C92,2)={"JA","AN","AG","AD"})),"TS24",IF(AND(OR(LEFT(Sample!A92,1)={"T","B","E","H","V","L"},LEFT(Sample!A92,2)="ID"),OR(LEFT(Sample!C92,2)={"SA","JS","AS","AA"},LEFT(Sample!C92,4)="SERA")),"TSPRO",IF(AND(LEFT(Sample!A92,2)="CR",OR(MID(Sample!C92,3,1)="D",MID(Sample!C92,3,1)="B")),"CARRIER9",IF(LEFT(Sample!A92,2)="CR","CARRIER18",Sample!A92)))))))</f>
        <v>TSPRO</v>
      </c>
    </row>
    <row r="95" spans="1:11" x14ac:dyDescent="0.35">
      <c r="A95" s="46" t="str">
        <f>Sample!B93&amp;"-"&amp;Sample!C93</f>
        <v>2-SAAAFX85</v>
      </c>
      <c r="B95" s="46" t="str">
        <f>Sample!B93&amp;"-"&amp;Sample!C93</f>
        <v>2-SAAAFX85</v>
      </c>
      <c r="C95" s="48" t="str">
        <f>Sample!A93</f>
        <v>T2931A</v>
      </c>
      <c r="D95" s="3"/>
      <c r="E95" s="3"/>
      <c r="F95" s="46" t="str">
        <f>Sample!K93</f>
        <v>S7774</v>
      </c>
      <c r="G95" s="47" t="str">
        <f>VLOOKUP(F95,'Index Sequence'!$A$2:$B$10000,2,FALSE)</f>
        <v>TGACTAGA</v>
      </c>
      <c r="H95" s="47" t="str">
        <f>Sample!L93</f>
        <v>S7574</v>
      </c>
      <c r="I95" s="47" t="str">
        <f>VLOOKUP(H95,'Index Sequence'!$A$2:$B$10000,2,FALSE)</f>
        <v>ATCGCTGG</v>
      </c>
      <c r="J95" s="2" t="str">
        <f>Sample!R93</f>
        <v>L01</v>
      </c>
      <c r="K95" s="48" t="str">
        <f>IF(AND(OR(LEFT(Sample!A93,1)={"E","H","T","B","V","L"},LEFT(Sample!A93,2)="ID"),OR(LEFT(Sample!C93,2)="JI",LEFT(Sample!C93,1)="I")),"TS1",IF(AND(OR(LEFT(Sample!A93,1)={"E","H","T","B","V","L"},LEFT(Sample!A93,2)="ID"),OR(LEFT(Sample!C93,2)={"JX","JW"},LEFT(Sample!C93,1)="X")),"TS95",IF(AND(OR(LEFT(Sample!A93,1)={"E","H","T","B","V","L"},LEFT(Sample!A93,2)="ID"),OR(LEFT(Sample!C93,2)="JN",LEFT(Sample!C93,1)="N")),"TS3",IF(AND(OR(LEFT(Sample!A93,1)={"E","H","T","B","V","L"},LEFT(Sample!A93,2)="ID"),OR(LEFT(Sample!C93,2)={"JA","AN","AG","AD"})),"TS24",IF(AND(OR(LEFT(Sample!A93,1)={"T","B","E","H","V","L"},LEFT(Sample!A93,2)="ID"),OR(LEFT(Sample!C93,2)={"SA","JS","AS","AA"},LEFT(Sample!C93,4)="SERA")),"TSPRO",IF(AND(LEFT(Sample!A93,2)="CR",OR(MID(Sample!C93,3,1)="D",MID(Sample!C93,3,1)="B")),"CARRIER9",IF(LEFT(Sample!A93,2)="CR","CARRIER18",Sample!A93)))))))</f>
        <v>TSPRO</v>
      </c>
    </row>
    <row r="96" spans="1:11" x14ac:dyDescent="0.35">
      <c r="A96" s="46" t="str">
        <f>Sample!B94&amp;"-"&amp;Sample!C94</f>
        <v>3-AAABLE09</v>
      </c>
      <c r="B96" s="46" t="str">
        <f>Sample!B94&amp;"-"&amp;Sample!C94</f>
        <v>3-AAABLE09</v>
      </c>
      <c r="C96" s="48" t="str">
        <f>Sample!A94</f>
        <v>T2931A</v>
      </c>
      <c r="D96" s="3"/>
      <c r="E96" s="3"/>
      <c r="F96" s="46" t="str">
        <f>Sample!K94</f>
        <v>S7775</v>
      </c>
      <c r="G96" s="47" t="str">
        <f>VLOOKUP(F96,'Index Sequence'!$A$2:$B$10000,2,FALSE)</f>
        <v>TAGACGGG</v>
      </c>
      <c r="H96" s="47" t="str">
        <f>Sample!L94</f>
        <v>S7575</v>
      </c>
      <c r="I96" s="47" t="str">
        <f>VLOOKUP(H96,'Index Sequence'!$A$2:$B$10000,2,FALSE)</f>
        <v>CACTCCCA</v>
      </c>
      <c r="J96" s="2" t="str">
        <f>Sample!R94</f>
        <v>L01</v>
      </c>
      <c r="K96" s="48" t="str">
        <f>IF(AND(OR(LEFT(Sample!A94,1)={"E","H","T","B","V","L"},LEFT(Sample!A94,2)="ID"),OR(LEFT(Sample!C94,2)="JI",LEFT(Sample!C94,1)="I")),"TS1",IF(AND(OR(LEFT(Sample!A94,1)={"E","H","T","B","V","L"},LEFT(Sample!A94,2)="ID"),OR(LEFT(Sample!C94,2)={"JX","JW"},LEFT(Sample!C94,1)="X")),"TS95",IF(AND(OR(LEFT(Sample!A94,1)={"E","H","T","B","V","L"},LEFT(Sample!A94,2)="ID"),OR(LEFT(Sample!C94,2)="JN",LEFT(Sample!C94,1)="N")),"TS3",IF(AND(OR(LEFT(Sample!A94,1)={"E","H","T","B","V","L"},LEFT(Sample!A94,2)="ID"),OR(LEFT(Sample!C94,2)={"JA","AN","AG","AD"})),"TS24",IF(AND(OR(LEFT(Sample!A94,1)={"T","B","E","H","V","L"},LEFT(Sample!A94,2)="ID"),OR(LEFT(Sample!C94,2)={"SA","JS","AS","AA"},LEFT(Sample!C94,4)="SERA")),"TSPRO",IF(AND(LEFT(Sample!A94,2)="CR",OR(MID(Sample!C94,3,1)="D",MID(Sample!C94,3,1)="B")),"CARRIER9",IF(LEFT(Sample!A94,2)="CR","CARRIER18",Sample!A94)))))))</f>
        <v>TSPRO</v>
      </c>
    </row>
    <row r="97" spans="1:11" x14ac:dyDescent="0.35">
      <c r="A97" s="46" t="str">
        <f>Sample!B95&amp;"-"&amp;Sample!C95</f>
        <v>4-AAABLE10</v>
      </c>
      <c r="B97" s="46" t="str">
        <f>Sample!B95&amp;"-"&amp;Sample!C95</f>
        <v>4-AAABLE10</v>
      </c>
      <c r="C97" s="48" t="str">
        <f>Sample!A95</f>
        <v>T2931A</v>
      </c>
      <c r="D97" s="3"/>
      <c r="E97" s="3"/>
      <c r="F97" s="46" t="str">
        <f>Sample!K95</f>
        <v>S7776</v>
      </c>
      <c r="G97" s="47" t="str">
        <f>VLOOKUP(F97,'Index Sequence'!$A$2:$B$10000,2,FALSE)</f>
        <v>CTCTTCTA</v>
      </c>
      <c r="H97" s="47" t="str">
        <f>Sample!L95</f>
        <v>S7576</v>
      </c>
      <c r="I97" s="47" t="str">
        <f>VLOOKUP(H97,'Index Sequence'!$A$2:$B$10000,2,FALSE)</f>
        <v>TACGAGGG</v>
      </c>
      <c r="J97" s="2" t="str">
        <f>Sample!R95</f>
        <v>L01</v>
      </c>
      <c r="K97" s="48" t="str">
        <f>IF(AND(OR(LEFT(Sample!A95,1)={"E","H","T","B","V","L"},LEFT(Sample!A95,2)="ID"),OR(LEFT(Sample!C95,2)="JI",LEFT(Sample!C95,1)="I")),"TS1",IF(AND(OR(LEFT(Sample!A95,1)={"E","H","T","B","V","L"},LEFT(Sample!A95,2)="ID"),OR(LEFT(Sample!C95,2)={"JX","JW"},LEFT(Sample!C95,1)="X")),"TS95",IF(AND(OR(LEFT(Sample!A95,1)={"E","H","T","B","V","L"},LEFT(Sample!A95,2)="ID"),OR(LEFT(Sample!C95,2)="JN",LEFT(Sample!C95,1)="N")),"TS3",IF(AND(OR(LEFT(Sample!A95,1)={"E","H","T","B","V","L"},LEFT(Sample!A95,2)="ID"),OR(LEFT(Sample!C95,2)={"JA","AN","AG","AD"})),"TS24",IF(AND(OR(LEFT(Sample!A95,1)={"T","B","E","H","V","L"},LEFT(Sample!A95,2)="ID"),OR(LEFT(Sample!C95,2)={"SA","JS","AS","AA"},LEFT(Sample!C95,4)="SERA")),"TSPRO",IF(AND(LEFT(Sample!A95,2)="CR",OR(MID(Sample!C95,3,1)="D",MID(Sample!C95,3,1)="B")),"CARRIER9",IF(LEFT(Sample!A95,2)="CR","CARRIER18",Sample!A95)))))))</f>
        <v>TSPRO</v>
      </c>
    </row>
    <row r="98" spans="1:11" x14ac:dyDescent="0.35">
      <c r="A98" s="46" t="str">
        <f>Sample!B96&amp;"-"&amp;Sample!C96</f>
        <v>5-AAABLE11</v>
      </c>
      <c r="B98" s="46" t="str">
        <f>Sample!B96&amp;"-"&amp;Sample!C96</f>
        <v>5-AAABLE11</v>
      </c>
      <c r="C98" s="48" t="str">
        <f>Sample!A96</f>
        <v>T2931A</v>
      </c>
      <c r="D98" s="3"/>
      <c r="E98" s="3"/>
      <c r="F98" s="46" t="str">
        <f>Sample!K96</f>
        <v>S7777</v>
      </c>
      <c r="G98" s="47" t="str">
        <f>VLOOKUP(F98,'Index Sequence'!$A$2:$B$10000,2,FALSE)</f>
        <v>TACGTCCC</v>
      </c>
      <c r="H98" s="47" t="str">
        <f>Sample!L96</f>
        <v>S7577</v>
      </c>
      <c r="I98" s="47" t="str">
        <f>VLOOKUP(H98,'Index Sequence'!$A$2:$B$10000,2,FALSE)</f>
        <v>CCATATCG</v>
      </c>
      <c r="J98" s="2" t="str">
        <f>Sample!R96</f>
        <v>L01</v>
      </c>
      <c r="K98" s="48" t="str">
        <f>IF(AND(OR(LEFT(Sample!A96,1)={"E","H","T","B","V","L"},LEFT(Sample!A96,2)="ID"),OR(LEFT(Sample!C96,2)="JI",LEFT(Sample!C96,1)="I")),"TS1",IF(AND(OR(LEFT(Sample!A96,1)={"E","H","T","B","V","L"},LEFT(Sample!A96,2)="ID"),OR(LEFT(Sample!C96,2)={"JX","JW"},LEFT(Sample!C96,1)="X")),"TS95",IF(AND(OR(LEFT(Sample!A96,1)={"E","H","T","B","V","L"},LEFT(Sample!A96,2)="ID"),OR(LEFT(Sample!C96,2)="JN",LEFT(Sample!C96,1)="N")),"TS3",IF(AND(OR(LEFT(Sample!A96,1)={"E","H","T","B","V","L"},LEFT(Sample!A96,2)="ID"),OR(LEFT(Sample!C96,2)={"JA","AN","AG","AD"})),"TS24",IF(AND(OR(LEFT(Sample!A96,1)={"T","B","E","H","V","L"},LEFT(Sample!A96,2)="ID"),OR(LEFT(Sample!C96,2)={"SA","JS","AS","AA"},LEFT(Sample!C96,4)="SERA")),"TSPRO",IF(AND(LEFT(Sample!A96,2)="CR",OR(MID(Sample!C96,3,1)="D",MID(Sample!C96,3,1)="B")),"CARRIER9",IF(LEFT(Sample!A96,2)="CR","CARRIER18",Sample!A96)))))))</f>
        <v>TSPRO</v>
      </c>
    </row>
    <row r="99" spans="1:11" x14ac:dyDescent="0.35">
      <c r="A99" s="46" t="str">
        <f>Sample!B97&amp;"-"&amp;Sample!C97</f>
        <v>6-AAABLE12</v>
      </c>
      <c r="B99" s="46" t="str">
        <f>Sample!B97&amp;"-"&amp;Sample!C97</f>
        <v>6-AAABLE12</v>
      </c>
      <c r="C99" s="48" t="str">
        <f>Sample!A97</f>
        <v>T2931A</v>
      </c>
      <c r="D99" s="3"/>
      <c r="E99" s="3"/>
      <c r="F99" s="46" t="str">
        <f>Sample!K97</f>
        <v>S7778</v>
      </c>
      <c r="G99" s="47" t="str">
        <f>VLOOKUP(F99,'Index Sequence'!$A$2:$B$10000,2,FALSE)</f>
        <v>GATGGAAA</v>
      </c>
      <c r="H99" s="47" t="str">
        <f>Sample!L97</f>
        <v>S7578</v>
      </c>
      <c r="I99" s="47" t="str">
        <f>VLOOKUP(H99,'Index Sequence'!$A$2:$B$10000,2,FALSE)</f>
        <v>GGGCACAA</v>
      </c>
      <c r="J99" s="2" t="str">
        <f>Sample!R97</f>
        <v>L01</v>
      </c>
      <c r="K99" s="48" t="str">
        <f>IF(AND(OR(LEFT(Sample!A97,1)={"E","H","T","B","V","L"},LEFT(Sample!A97,2)="ID"),OR(LEFT(Sample!C97,2)="JI",LEFT(Sample!C97,1)="I")),"TS1",IF(AND(OR(LEFT(Sample!A97,1)={"E","H","T","B","V","L"},LEFT(Sample!A97,2)="ID"),OR(LEFT(Sample!C97,2)={"JX","JW"},LEFT(Sample!C97,1)="X")),"TS95",IF(AND(OR(LEFT(Sample!A97,1)={"E","H","T","B","V","L"},LEFT(Sample!A97,2)="ID"),OR(LEFT(Sample!C97,2)="JN",LEFT(Sample!C97,1)="N")),"TS3",IF(AND(OR(LEFT(Sample!A97,1)={"E","H","T","B","V","L"},LEFT(Sample!A97,2)="ID"),OR(LEFT(Sample!C97,2)={"JA","AN","AG","AD"})),"TS24",IF(AND(OR(LEFT(Sample!A97,1)={"T","B","E","H","V","L"},LEFT(Sample!A97,2)="ID"),OR(LEFT(Sample!C97,2)={"SA","JS","AS","AA"},LEFT(Sample!C97,4)="SERA")),"TSPRO",IF(AND(LEFT(Sample!A97,2)="CR",OR(MID(Sample!C97,3,1)="D",MID(Sample!C97,3,1)="B")),"CARRIER9",IF(LEFT(Sample!A97,2)="CR","CARRIER18",Sample!A97)))))))</f>
        <v>TSPRO</v>
      </c>
    </row>
    <row r="100" spans="1:11" x14ac:dyDescent="0.35">
      <c r="A100" s="46" t="str">
        <f>Sample!B98&amp;"-"&amp;Sample!C98</f>
        <v>7-AAABLE13</v>
      </c>
      <c r="B100" s="46" t="str">
        <f>Sample!B98&amp;"-"&amp;Sample!C98</f>
        <v>7-AAABLE13</v>
      </c>
      <c r="C100" s="48" t="str">
        <f>Sample!A98</f>
        <v>T2931A</v>
      </c>
      <c r="D100" s="3"/>
      <c r="E100" s="3"/>
      <c r="F100" s="46" t="str">
        <f>Sample!K98</f>
        <v>S7779</v>
      </c>
      <c r="G100" s="47" t="str">
        <f>VLOOKUP(F100,'Index Sequence'!$A$2:$B$10000,2,FALSE)</f>
        <v>GTTCGTCG</v>
      </c>
      <c r="H100" s="47" t="str">
        <f>Sample!L98</f>
        <v>S7579</v>
      </c>
      <c r="I100" s="47" t="str">
        <f>VLOOKUP(H100,'Index Sequence'!$A$2:$B$10000,2,FALSE)</f>
        <v>AGAGGACA</v>
      </c>
      <c r="J100" s="2" t="str">
        <f>Sample!R98</f>
        <v>L01</v>
      </c>
      <c r="K100" s="48" t="str">
        <f>IF(AND(OR(LEFT(Sample!A98,1)={"E","H","T","B","V","L"},LEFT(Sample!A98,2)="ID"),OR(LEFT(Sample!C98,2)="JI",LEFT(Sample!C98,1)="I")),"TS1",IF(AND(OR(LEFT(Sample!A98,1)={"E","H","T","B","V","L"},LEFT(Sample!A98,2)="ID"),OR(LEFT(Sample!C98,2)={"JX","JW"},LEFT(Sample!C98,1)="X")),"TS95",IF(AND(OR(LEFT(Sample!A98,1)={"E","H","T","B","V","L"},LEFT(Sample!A98,2)="ID"),OR(LEFT(Sample!C98,2)="JN",LEFT(Sample!C98,1)="N")),"TS3",IF(AND(OR(LEFT(Sample!A98,1)={"E","H","T","B","V","L"},LEFT(Sample!A98,2)="ID"),OR(LEFT(Sample!C98,2)={"JA","AN","AG","AD"})),"TS24",IF(AND(OR(LEFT(Sample!A98,1)={"T","B","E","H","V","L"},LEFT(Sample!A98,2)="ID"),OR(LEFT(Sample!C98,2)={"SA","JS","AS","AA"},LEFT(Sample!C98,4)="SERA")),"TSPRO",IF(AND(LEFT(Sample!A98,2)="CR",OR(MID(Sample!C98,3,1)="D",MID(Sample!C98,3,1)="B")),"CARRIER9",IF(LEFT(Sample!A98,2)="CR","CARRIER18",Sample!A98)))))))</f>
        <v>TSPRO</v>
      </c>
    </row>
    <row r="101" spans="1:11" x14ac:dyDescent="0.35">
      <c r="A101" s="46" t="str">
        <f>Sample!B99&amp;"-"&amp;Sample!C99</f>
        <v>8-AAABLE14</v>
      </c>
      <c r="B101" s="46" t="str">
        <f>Sample!B99&amp;"-"&amp;Sample!C99</f>
        <v>8-AAABLE14</v>
      </c>
      <c r="C101" s="48" t="str">
        <f>Sample!A99</f>
        <v>T2931A</v>
      </c>
      <c r="D101" s="3"/>
      <c r="E101" s="3"/>
      <c r="F101" s="46" t="str">
        <f>Sample!K99</f>
        <v>S7780</v>
      </c>
      <c r="G101" s="47" t="str">
        <f>VLOOKUP(F101,'Index Sequence'!$A$2:$B$10000,2,FALSE)</f>
        <v>GAGACCAA</v>
      </c>
      <c r="H101" s="47" t="str">
        <f>Sample!L99</f>
        <v>S7580</v>
      </c>
      <c r="I101" s="47" t="str">
        <f>VLOOKUP(H101,'Index Sequence'!$A$2:$B$10000,2,FALSE)</f>
        <v>GACTATAC</v>
      </c>
      <c r="J101" s="2" t="str">
        <f>Sample!R99</f>
        <v>L01</v>
      </c>
      <c r="K101" s="48" t="str">
        <f>IF(AND(OR(LEFT(Sample!A99,1)={"E","H","T","B","V","L"},LEFT(Sample!A99,2)="ID"),OR(LEFT(Sample!C99,2)="JI",LEFT(Sample!C99,1)="I")),"TS1",IF(AND(OR(LEFT(Sample!A99,1)={"E","H","T","B","V","L"},LEFT(Sample!A99,2)="ID"),OR(LEFT(Sample!C99,2)={"JX","JW"},LEFT(Sample!C99,1)="X")),"TS95",IF(AND(OR(LEFT(Sample!A99,1)={"E","H","T","B","V","L"},LEFT(Sample!A99,2)="ID"),OR(LEFT(Sample!C99,2)="JN",LEFT(Sample!C99,1)="N")),"TS3",IF(AND(OR(LEFT(Sample!A99,1)={"E","H","T","B","V","L"},LEFT(Sample!A99,2)="ID"),OR(LEFT(Sample!C99,2)={"JA","AN","AG","AD"})),"TS24",IF(AND(OR(LEFT(Sample!A99,1)={"T","B","E","H","V","L"},LEFT(Sample!A99,2)="ID"),OR(LEFT(Sample!C99,2)={"SA","JS","AS","AA"},LEFT(Sample!C99,4)="SERA")),"TSPRO",IF(AND(LEFT(Sample!A99,2)="CR",OR(MID(Sample!C99,3,1)="D",MID(Sample!C99,3,1)="B")),"CARRIER9",IF(LEFT(Sample!A99,2)="CR","CARRIER18",Sample!A99)))))))</f>
        <v>TSPRO</v>
      </c>
    </row>
    <row r="102" spans="1:11" x14ac:dyDescent="0.35">
      <c r="A102" s="46" t="str">
        <f>Sample!B100&amp;"-"&amp;Sample!C100</f>
        <v>9-AAABLE15</v>
      </c>
      <c r="B102" s="46" t="str">
        <f>Sample!B100&amp;"-"&amp;Sample!C100</f>
        <v>9-AAABLE15</v>
      </c>
      <c r="C102" s="48" t="str">
        <f>Sample!A100</f>
        <v>T2931A</v>
      </c>
      <c r="D102" s="3"/>
      <c r="E102" s="3"/>
      <c r="F102" s="46" t="str">
        <f>Sample!K100</f>
        <v>S7781</v>
      </c>
      <c r="G102" s="47" t="str">
        <f>VLOOKUP(F102,'Index Sequence'!$A$2:$B$10000,2,FALSE)</f>
        <v>ACGTGAAC</v>
      </c>
      <c r="H102" s="47" t="str">
        <f>Sample!L100</f>
        <v>S7581</v>
      </c>
      <c r="I102" s="47" t="str">
        <f>VLOOKUP(H102,'Index Sequence'!$A$2:$B$10000,2,FALSE)</f>
        <v>ATCCCAAA</v>
      </c>
      <c r="J102" s="2" t="str">
        <f>Sample!R100</f>
        <v>L01</v>
      </c>
      <c r="K102" s="48" t="str">
        <f>IF(AND(OR(LEFT(Sample!A100,1)={"E","H","T","B","V","L"},LEFT(Sample!A100,2)="ID"),OR(LEFT(Sample!C100,2)="JI",LEFT(Sample!C100,1)="I")),"TS1",IF(AND(OR(LEFT(Sample!A100,1)={"E","H","T","B","V","L"},LEFT(Sample!A100,2)="ID"),OR(LEFT(Sample!C100,2)={"JX","JW"},LEFT(Sample!C100,1)="X")),"TS95",IF(AND(OR(LEFT(Sample!A100,1)={"E","H","T","B","V","L"},LEFT(Sample!A100,2)="ID"),OR(LEFT(Sample!C100,2)="JN",LEFT(Sample!C100,1)="N")),"TS3",IF(AND(OR(LEFT(Sample!A100,1)={"E","H","T","B","V","L"},LEFT(Sample!A100,2)="ID"),OR(LEFT(Sample!C100,2)={"JA","AN","AG","AD"})),"TS24",IF(AND(OR(LEFT(Sample!A100,1)={"T","B","E","H","V","L"},LEFT(Sample!A100,2)="ID"),OR(LEFT(Sample!C100,2)={"SA","JS","AS","AA"},LEFT(Sample!C100,4)="SERA")),"TSPRO",IF(AND(LEFT(Sample!A100,2)="CR",OR(MID(Sample!C100,3,1)="D",MID(Sample!C100,3,1)="B")),"CARRIER9",IF(LEFT(Sample!A100,2)="CR","CARRIER18",Sample!A100)))))))</f>
        <v>TSPRO</v>
      </c>
    </row>
    <row r="103" spans="1:11" x14ac:dyDescent="0.35">
      <c r="A103" s="46" t="str">
        <f>Sample!B101&amp;"-"&amp;Sample!C101</f>
        <v>10-AAABLE16</v>
      </c>
      <c r="B103" s="46" t="str">
        <f>Sample!B101&amp;"-"&amp;Sample!C101</f>
        <v>10-AAABLE16</v>
      </c>
      <c r="C103" s="48" t="str">
        <f>Sample!A101</f>
        <v>T2931A</v>
      </c>
      <c r="D103" s="3"/>
      <c r="E103" s="3"/>
      <c r="F103" s="46" t="str">
        <f>Sample!K101</f>
        <v>S7782</v>
      </c>
      <c r="G103" s="47" t="str">
        <f>VLOOKUP(F103,'Index Sequence'!$A$2:$B$10000,2,FALSE)</f>
        <v>TTCCCTTT</v>
      </c>
      <c r="H103" s="47" t="str">
        <f>Sample!L101</f>
        <v>S7582</v>
      </c>
      <c r="I103" s="47" t="str">
        <f>VLOOKUP(H103,'Index Sequence'!$A$2:$B$10000,2,FALSE)</f>
        <v>GCTTGGTG</v>
      </c>
      <c r="J103" s="2" t="str">
        <f>Sample!R101</f>
        <v>L01</v>
      </c>
      <c r="K103" s="48" t="str">
        <f>IF(AND(OR(LEFT(Sample!A101,1)={"E","H","T","B","V","L"},LEFT(Sample!A101,2)="ID"),OR(LEFT(Sample!C101,2)="JI",LEFT(Sample!C101,1)="I")),"TS1",IF(AND(OR(LEFT(Sample!A101,1)={"E","H","T","B","V","L"},LEFT(Sample!A101,2)="ID"),OR(LEFT(Sample!C101,2)={"JX","JW"},LEFT(Sample!C101,1)="X")),"TS95",IF(AND(OR(LEFT(Sample!A101,1)={"E","H","T","B","V","L"},LEFT(Sample!A101,2)="ID"),OR(LEFT(Sample!C101,2)="JN",LEFT(Sample!C101,1)="N")),"TS3",IF(AND(OR(LEFT(Sample!A101,1)={"E","H","T","B","V","L"},LEFT(Sample!A101,2)="ID"),OR(LEFT(Sample!C101,2)={"JA","AN","AG","AD"})),"TS24",IF(AND(OR(LEFT(Sample!A101,1)={"T","B","E","H","V","L"},LEFT(Sample!A101,2)="ID"),OR(LEFT(Sample!C101,2)={"SA","JS","AS","AA"},LEFT(Sample!C101,4)="SERA")),"TSPRO",IF(AND(LEFT(Sample!A101,2)="CR",OR(MID(Sample!C101,3,1)="D",MID(Sample!C101,3,1)="B")),"CARRIER9",IF(LEFT(Sample!A101,2)="CR","CARRIER18",Sample!A101)))))))</f>
        <v>TSPRO</v>
      </c>
    </row>
    <row r="104" spans="1:11" x14ac:dyDescent="0.35">
      <c r="A104" s="46" t="str">
        <f>Sample!B102&amp;"-"&amp;Sample!C102</f>
        <v>11-AAABLE17</v>
      </c>
      <c r="B104" s="46" t="str">
        <f>Sample!B102&amp;"-"&amp;Sample!C102</f>
        <v>11-AAABLE17</v>
      </c>
      <c r="C104" s="48" t="str">
        <f>Sample!A102</f>
        <v>T2931A</v>
      </c>
      <c r="D104" s="3"/>
      <c r="E104" s="3"/>
      <c r="F104" s="46" t="str">
        <f>Sample!K102</f>
        <v>S7783</v>
      </c>
      <c r="G104" s="47" t="str">
        <f>VLOOKUP(F104,'Index Sequence'!$A$2:$B$10000,2,FALSE)</f>
        <v>GACGCTCG</v>
      </c>
      <c r="H104" s="47" t="str">
        <f>Sample!L102</f>
        <v>S7583</v>
      </c>
      <c r="I104" s="47" t="str">
        <f>VLOOKUP(H104,'Index Sequence'!$A$2:$B$10000,2,FALSE)</f>
        <v>CCTCTCCG</v>
      </c>
      <c r="J104" s="2" t="str">
        <f>Sample!R102</f>
        <v>L01</v>
      </c>
      <c r="K104" s="48" t="str">
        <f>IF(AND(OR(LEFT(Sample!A102,1)={"E","H","T","B","V","L"},LEFT(Sample!A102,2)="ID"),OR(LEFT(Sample!C102,2)="JI",LEFT(Sample!C102,1)="I")),"TS1",IF(AND(OR(LEFT(Sample!A102,1)={"E","H","T","B","V","L"},LEFT(Sample!A102,2)="ID"),OR(LEFT(Sample!C102,2)={"JX","JW"},LEFT(Sample!C102,1)="X")),"TS95",IF(AND(OR(LEFT(Sample!A102,1)={"E","H","T","B","V","L"},LEFT(Sample!A102,2)="ID"),OR(LEFT(Sample!C102,2)="JN",LEFT(Sample!C102,1)="N")),"TS3",IF(AND(OR(LEFT(Sample!A102,1)={"E","H","T","B","V","L"},LEFT(Sample!A102,2)="ID"),OR(LEFT(Sample!C102,2)={"JA","AN","AG","AD"})),"TS24",IF(AND(OR(LEFT(Sample!A102,1)={"T","B","E","H","V","L"},LEFT(Sample!A102,2)="ID"),OR(LEFT(Sample!C102,2)={"SA","JS","AS","AA"},LEFT(Sample!C102,4)="SERA")),"TSPRO",IF(AND(LEFT(Sample!A102,2)="CR",OR(MID(Sample!C102,3,1)="D",MID(Sample!C102,3,1)="B")),"CARRIER9",IF(LEFT(Sample!A102,2)="CR","CARRIER18",Sample!A102)))))))</f>
        <v>TSPRO</v>
      </c>
    </row>
    <row r="105" spans="1:11" x14ac:dyDescent="0.35">
      <c r="A105" s="46" t="str">
        <f>Sample!B103&amp;"-"&amp;Sample!C103</f>
        <v>12-AAABLE18</v>
      </c>
      <c r="B105" s="46" t="str">
        <f>Sample!B103&amp;"-"&amp;Sample!C103</f>
        <v>12-AAABLE18</v>
      </c>
      <c r="C105" s="48" t="str">
        <f>Sample!A103</f>
        <v>T2931A</v>
      </c>
      <c r="D105" s="3"/>
      <c r="E105" s="3"/>
      <c r="F105" s="46" t="str">
        <f>Sample!K103</f>
        <v>S7784</v>
      </c>
      <c r="G105" s="47" t="str">
        <f>VLOOKUP(F105,'Index Sequence'!$A$2:$B$10000,2,FALSE)</f>
        <v>CTCACGTC</v>
      </c>
      <c r="H105" s="47" t="str">
        <f>Sample!L103</f>
        <v>S7584</v>
      </c>
      <c r="I105" s="47" t="str">
        <f>VLOOKUP(H105,'Index Sequence'!$A$2:$B$10000,2,FALSE)</f>
        <v>GGTAAATA</v>
      </c>
      <c r="J105" s="2" t="str">
        <f>Sample!R103</f>
        <v>L01</v>
      </c>
      <c r="K105" s="48" t="str">
        <f>IF(AND(OR(LEFT(Sample!A103,1)={"E","H","T","B","V","L"},LEFT(Sample!A103,2)="ID"),OR(LEFT(Sample!C103,2)="JI",LEFT(Sample!C103,1)="I")),"TS1",IF(AND(OR(LEFT(Sample!A103,1)={"E","H","T","B","V","L"},LEFT(Sample!A103,2)="ID"),OR(LEFT(Sample!C103,2)={"JX","JW"},LEFT(Sample!C103,1)="X")),"TS95",IF(AND(OR(LEFT(Sample!A103,1)={"E","H","T","B","V","L"},LEFT(Sample!A103,2)="ID"),OR(LEFT(Sample!C103,2)="JN",LEFT(Sample!C103,1)="N")),"TS3",IF(AND(OR(LEFT(Sample!A103,1)={"E","H","T","B","V","L"},LEFT(Sample!A103,2)="ID"),OR(LEFT(Sample!C103,2)={"JA","AN","AG","AD"})),"TS24",IF(AND(OR(LEFT(Sample!A103,1)={"T","B","E","H","V","L"},LEFT(Sample!A103,2)="ID"),OR(LEFT(Sample!C103,2)={"SA","JS","AS","AA"},LEFT(Sample!C103,4)="SERA")),"TSPRO",IF(AND(LEFT(Sample!A103,2)="CR",OR(MID(Sample!C103,3,1)="D",MID(Sample!C103,3,1)="B")),"CARRIER9",IF(LEFT(Sample!A103,2)="CR","CARRIER18",Sample!A103)))))))</f>
        <v>TSPRO</v>
      </c>
    </row>
    <row r="106" spans="1:11" x14ac:dyDescent="0.35">
      <c r="A106" s="46" t="str">
        <f>Sample!B104&amp;"-"&amp;Sample!C104</f>
        <v>13-AAABLE19</v>
      </c>
      <c r="B106" s="46" t="str">
        <f>Sample!B104&amp;"-"&amp;Sample!C104</f>
        <v>13-AAABLE19</v>
      </c>
      <c r="C106" s="48" t="str">
        <f>Sample!A104</f>
        <v>T2931A</v>
      </c>
      <c r="D106" s="3"/>
      <c r="E106" s="3"/>
      <c r="F106" s="46" t="str">
        <f>Sample!K104</f>
        <v>S7785</v>
      </c>
      <c r="G106" s="47" t="str">
        <f>VLOOKUP(F106,'Index Sequence'!$A$2:$B$10000,2,FALSE)</f>
        <v>CTGCCAAG</v>
      </c>
      <c r="H106" s="47" t="str">
        <f>Sample!L104</f>
        <v>S7585</v>
      </c>
      <c r="I106" s="47" t="str">
        <f>VLOOKUP(H106,'Index Sequence'!$A$2:$B$10000,2,FALSE)</f>
        <v>TCCATATA</v>
      </c>
      <c r="J106" s="2" t="str">
        <f>Sample!R104</f>
        <v>L01</v>
      </c>
      <c r="K106" s="48" t="str">
        <f>IF(AND(OR(LEFT(Sample!A104,1)={"E","H","T","B","V","L"},LEFT(Sample!A104,2)="ID"),OR(LEFT(Sample!C104,2)="JI",LEFT(Sample!C104,1)="I")),"TS1",IF(AND(OR(LEFT(Sample!A104,1)={"E","H","T","B","V","L"},LEFT(Sample!A104,2)="ID"),OR(LEFT(Sample!C104,2)={"JX","JW"},LEFT(Sample!C104,1)="X")),"TS95",IF(AND(OR(LEFT(Sample!A104,1)={"E","H","T","B","V","L"},LEFT(Sample!A104,2)="ID"),OR(LEFT(Sample!C104,2)="JN",LEFT(Sample!C104,1)="N")),"TS3",IF(AND(OR(LEFT(Sample!A104,1)={"E","H","T","B","V","L"},LEFT(Sample!A104,2)="ID"),OR(LEFT(Sample!C104,2)={"JA","AN","AG","AD"})),"TS24",IF(AND(OR(LEFT(Sample!A104,1)={"T","B","E","H","V","L"},LEFT(Sample!A104,2)="ID"),OR(LEFT(Sample!C104,2)={"SA","JS","AS","AA"},LEFT(Sample!C104,4)="SERA")),"TSPRO",IF(AND(LEFT(Sample!A104,2)="CR",OR(MID(Sample!C104,3,1)="D",MID(Sample!C104,3,1)="B")),"CARRIER9",IF(LEFT(Sample!A104,2)="CR","CARRIER18",Sample!A104)))))))</f>
        <v>TSPRO</v>
      </c>
    </row>
    <row r="107" spans="1:11" x14ac:dyDescent="0.35">
      <c r="A107" s="46" t="str">
        <f>Sample!B105&amp;"-"&amp;Sample!C105</f>
        <v>14-AAABLE20</v>
      </c>
      <c r="B107" s="46" t="str">
        <f>Sample!B105&amp;"-"&amp;Sample!C105</f>
        <v>14-AAABLE20</v>
      </c>
      <c r="C107" s="48" t="str">
        <f>Sample!A105</f>
        <v>T2931A</v>
      </c>
      <c r="D107" s="3"/>
      <c r="E107" s="3"/>
      <c r="F107" s="46" t="str">
        <f>Sample!K105</f>
        <v>S7786</v>
      </c>
      <c r="G107" s="47" t="str">
        <f>VLOOKUP(F107,'Index Sequence'!$A$2:$B$10000,2,FALSE)</f>
        <v>ACGCCGCA</v>
      </c>
      <c r="H107" s="47" t="str">
        <f>Sample!L105</f>
        <v>S7586</v>
      </c>
      <c r="I107" s="47" t="str">
        <f>VLOOKUP(H107,'Index Sequence'!$A$2:$B$10000,2,FALSE)</f>
        <v>ATGTTAAC</v>
      </c>
      <c r="J107" s="2" t="str">
        <f>Sample!R105</f>
        <v>L01</v>
      </c>
      <c r="K107" s="48" t="str">
        <f>IF(AND(OR(LEFT(Sample!A105,1)={"E","H","T","B","V","L"},LEFT(Sample!A105,2)="ID"),OR(LEFT(Sample!C105,2)="JI",LEFT(Sample!C105,1)="I")),"TS1",IF(AND(OR(LEFT(Sample!A105,1)={"E","H","T","B","V","L"},LEFT(Sample!A105,2)="ID"),OR(LEFT(Sample!C105,2)={"JX","JW"},LEFT(Sample!C105,1)="X")),"TS95",IF(AND(OR(LEFT(Sample!A105,1)={"E","H","T","B","V","L"},LEFT(Sample!A105,2)="ID"),OR(LEFT(Sample!C105,2)="JN",LEFT(Sample!C105,1)="N")),"TS3",IF(AND(OR(LEFT(Sample!A105,1)={"E","H","T","B","V","L"},LEFT(Sample!A105,2)="ID"),OR(LEFT(Sample!C105,2)={"JA","AN","AG","AD"})),"TS24",IF(AND(OR(LEFT(Sample!A105,1)={"T","B","E","H","V","L"},LEFT(Sample!A105,2)="ID"),OR(LEFT(Sample!C105,2)={"SA","JS","AS","AA"},LEFT(Sample!C105,4)="SERA")),"TSPRO",IF(AND(LEFT(Sample!A105,2)="CR",OR(MID(Sample!C105,3,1)="D",MID(Sample!C105,3,1)="B")),"CARRIER9",IF(LEFT(Sample!A105,2)="CR","CARRIER18",Sample!A105)))))))</f>
        <v>TSPRO</v>
      </c>
    </row>
    <row r="108" spans="1:11" x14ac:dyDescent="0.35">
      <c r="A108" s="46" t="str">
        <f>Sample!B106&amp;"-"&amp;Sample!C106</f>
        <v>15-AAABLE21</v>
      </c>
      <c r="B108" s="46" t="str">
        <f>Sample!B106&amp;"-"&amp;Sample!C106</f>
        <v>15-AAABLE21</v>
      </c>
      <c r="C108" s="48" t="str">
        <f>Sample!A106</f>
        <v>T2931A</v>
      </c>
      <c r="D108" s="3"/>
      <c r="E108" s="3"/>
      <c r="F108" s="46" t="str">
        <f>Sample!K106</f>
        <v>S7787</v>
      </c>
      <c r="G108" s="47" t="str">
        <f>VLOOKUP(F108,'Index Sequence'!$A$2:$B$10000,2,FALSE)</f>
        <v>CGCCAGTC</v>
      </c>
      <c r="H108" s="47" t="str">
        <f>Sample!L106</f>
        <v>S7587</v>
      </c>
      <c r="I108" s="47" t="str">
        <f>VLOOKUP(H108,'Index Sequence'!$A$2:$B$10000,2,FALSE)</f>
        <v>CCAAGACG</v>
      </c>
      <c r="J108" s="2" t="str">
        <f>Sample!R106</f>
        <v>L01</v>
      </c>
      <c r="K108" s="48" t="str">
        <f>IF(AND(OR(LEFT(Sample!A106,1)={"E","H","T","B","V","L"},LEFT(Sample!A106,2)="ID"),OR(LEFT(Sample!C106,2)="JI",LEFT(Sample!C106,1)="I")),"TS1",IF(AND(OR(LEFT(Sample!A106,1)={"E","H","T","B","V","L"},LEFT(Sample!A106,2)="ID"),OR(LEFT(Sample!C106,2)={"JX","JW"},LEFT(Sample!C106,1)="X")),"TS95",IF(AND(OR(LEFT(Sample!A106,1)={"E","H","T","B","V","L"},LEFT(Sample!A106,2)="ID"),OR(LEFT(Sample!C106,2)="JN",LEFT(Sample!C106,1)="N")),"TS3",IF(AND(OR(LEFT(Sample!A106,1)={"E","H","T","B","V","L"},LEFT(Sample!A106,2)="ID"),OR(LEFT(Sample!C106,2)={"JA","AN","AG","AD"})),"TS24",IF(AND(OR(LEFT(Sample!A106,1)={"T","B","E","H","V","L"},LEFT(Sample!A106,2)="ID"),OR(LEFT(Sample!C106,2)={"SA","JS","AS","AA"},LEFT(Sample!C106,4)="SERA")),"TSPRO",IF(AND(LEFT(Sample!A106,2)="CR",OR(MID(Sample!C106,3,1)="D",MID(Sample!C106,3,1)="B")),"CARRIER9",IF(LEFT(Sample!A106,2)="CR","CARRIER18",Sample!A106)))))))</f>
        <v>TSPRO</v>
      </c>
    </row>
    <row r="109" spans="1:11" x14ac:dyDescent="0.35">
      <c r="A109" s="46" t="str">
        <f>Sample!B107&amp;"-"&amp;Sample!C107</f>
        <v>16-AAABLE22</v>
      </c>
      <c r="B109" s="46" t="str">
        <f>Sample!B107&amp;"-"&amp;Sample!C107</f>
        <v>16-AAABLE22</v>
      </c>
      <c r="C109" s="48" t="str">
        <f>Sample!A107</f>
        <v>T2931A</v>
      </c>
      <c r="D109" s="3"/>
      <c r="E109" s="3"/>
      <c r="F109" s="46" t="str">
        <f>Sample!K107</f>
        <v>S7788</v>
      </c>
      <c r="G109" s="47" t="str">
        <f>VLOOKUP(F109,'Index Sequence'!$A$2:$B$10000,2,FALSE)</f>
        <v>CTAAACAA</v>
      </c>
      <c r="H109" s="47" t="str">
        <f>Sample!L107</f>
        <v>S7588</v>
      </c>
      <c r="I109" s="47" t="str">
        <f>VLOOKUP(H109,'Index Sequence'!$A$2:$B$10000,2,FALSE)</f>
        <v>TCGCTACG</v>
      </c>
      <c r="J109" s="2" t="str">
        <f>Sample!R107</f>
        <v>L01</v>
      </c>
      <c r="K109" s="48" t="str">
        <f>IF(AND(OR(LEFT(Sample!A107,1)={"E","H","T","B","V","L"},LEFT(Sample!A107,2)="ID"),OR(LEFT(Sample!C107,2)="JI",LEFT(Sample!C107,1)="I")),"TS1",IF(AND(OR(LEFT(Sample!A107,1)={"E","H","T","B","V","L"},LEFT(Sample!A107,2)="ID"),OR(LEFT(Sample!C107,2)={"JX","JW"},LEFT(Sample!C107,1)="X")),"TS95",IF(AND(OR(LEFT(Sample!A107,1)={"E","H","T","B","V","L"},LEFT(Sample!A107,2)="ID"),OR(LEFT(Sample!C107,2)="JN",LEFT(Sample!C107,1)="N")),"TS3",IF(AND(OR(LEFT(Sample!A107,1)={"E","H","T","B","V","L"},LEFT(Sample!A107,2)="ID"),OR(LEFT(Sample!C107,2)={"JA","AN","AG","AD"})),"TS24",IF(AND(OR(LEFT(Sample!A107,1)={"T","B","E","H","V","L"},LEFT(Sample!A107,2)="ID"),OR(LEFT(Sample!C107,2)={"SA","JS","AS","AA"},LEFT(Sample!C107,4)="SERA")),"TSPRO",IF(AND(LEFT(Sample!A107,2)="CR",OR(MID(Sample!C107,3,1)="D",MID(Sample!C107,3,1)="B")),"CARRIER9",IF(LEFT(Sample!A107,2)="CR","CARRIER18",Sample!A107)))))))</f>
        <v>TSPRO</v>
      </c>
    </row>
    <row r="110" spans="1:11" x14ac:dyDescent="0.35">
      <c r="A110" s="46" t="str">
        <f>Sample!B108&amp;"-"&amp;Sample!C108</f>
        <v>17-AAABLE23</v>
      </c>
      <c r="B110" s="46" t="str">
        <f>Sample!B108&amp;"-"&amp;Sample!C108</f>
        <v>17-AAABLE23</v>
      </c>
      <c r="C110" s="48" t="str">
        <f>Sample!A108</f>
        <v>T2931A</v>
      </c>
      <c r="D110" s="3"/>
      <c r="E110" s="3"/>
      <c r="F110" s="46" t="str">
        <f>Sample!K108</f>
        <v>S7789</v>
      </c>
      <c r="G110" s="47" t="str">
        <f>VLOOKUP(F110,'Index Sequence'!$A$2:$B$10000,2,FALSE)</f>
        <v>TATACCTC</v>
      </c>
      <c r="H110" s="47" t="str">
        <f>Sample!L108</f>
        <v>S7589</v>
      </c>
      <c r="I110" s="47" t="str">
        <f>VLOOKUP(H110,'Index Sequence'!$A$2:$B$10000,2,FALSE)</f>
        <v>TGTGACTA</v>
      </c>
      <c r="J110" s="2" t="str">
        <f>Sample!R108</f>
        <v>L01</v>
      </c>
      <c r="K110" s="48" t="str">
        <f>IF(AND(OR(LEFT(Sample!A108,1)={"E","H","T","B","V","L"},LEFT(Sample!A108,2)="ID"),OR(LEFT(Sample!C108,2)="JI",LEFT(Sample!C108,1)="I")),"TS1",IF(AND(OR(LEFT(Sample!A108,1)={"E","H","T","B","V","L"},LEFT(Sample!A108,2)="ID"),OR(LEFT(Sample!C108,2)={"JX","JW"},LEFT(Sample!C108,1)="X")),"TS95",IF(AND(OR(LEFT(Sample!A108,1)={"E","H","T","B","V","L"},LEFT(Sample!A108,2)="ID"),OR(LEFT(Sample!C108,2)="JN",LEFT(Sample!C108,1)="N")),"TS3",IF(AND(OR(LEFT(Sample!A108,1)={"E","H","T","B","V","L"},LEFT(Sample!A108,2)="ID"),OR(LEFT(Sample!C108,2)={"JA","AN","AG","AD"})),"TS24",IF(AND(OR(LEFT(Sample!A108,1)={"T","B","E","H","V","L"},LEFT(Sample!A108,2)="ID"),OR(LEFT(Sample!C108,2)={"SA","JS","AS","AA"},LEFT(Sample!C108,4)="SERA")),"TSPRO",IF(AND(LEFT(Sample!A108,2)="CR",OR(MID(Sample!C108,3,1)="D",MID(Sample!C108,3,1)="B")),"CARRIER9",IF(LEFT(Sample!A108,2)="CR","CARRIER18",Sample!A108)))))))</f>
        <v>TSPRO</v>
      </c>
    </row>
    <row r="111" spans="1:11" x14ac:dyDescent="0.35">
      <c r="A111" s="46" t="str">
        <f>Sample!B109&amp;"-"&amp;Sample!C109</f>
        <v>18-AAABLE24</v>
      </c>
      <c r="B111" s="46" t="str">
        <f>Sample!B109&amp;"-"&amp;Sample!C109</f>
        <v>18-AAABLE24</v>
      </c>
      <c r="C111" s="48" t="str">
        <f>Sample!A109</f>
        <v>T2931A</v>
      </c>
      <c r="D111" s="3"/>
      <c r="E111" s="3"/>
      <c r="F111" s="46" t="str">
        <f>Sample!K109</f>
        <v>S7790</v>
      </c>
      <c r="G111" s="47" t="str">
        <f>VLOOKUP(F111,'Index Sequence'!$A$2:$B$10000,2,FALSE)</f>
        <v>CTCTTGAT</v>
      </c>
      <c r="H111" s="47" t="str">
        <f>Sample!L109</f>
        <v>S7590</v>
      </c>
      <c r="I111" s="47" t="str">
        <f>VLOOKUP(H111,'Index Sequence'!$A$2:$B$10000,2,FALSE)</f>
        <v>CCACTTCT</v>
      </c>
      <c r="J111" s="2" t="str">
        <f>Sample!R109</f>
        <v>L01</v>
      </c>
      <c r="K111" s="48" t="str">
        <f>IF(AND(OR(LEFT(Sample!A109,1)={"E","H","T","B","V","L"},LEFT(Sample!A109,2)="ID"),OR(LEFT(Sample!C109,2)="JI",LEFT(Sample!C109,1)="I")),"TS1",IF(AND(OR(LEFT(Sample!A109,1)={"E","H","T","B","V","L"},LEFT(Sample!A109,2)="ID"),OR(LEFT(Sample!C109,2)={"JX","JW"},LEFT(Sample!C109,1)="X")),"TS95",IF(AND(OR(LEFT(Sample!A109,1)={"E","H","T","B","V","L"},LEFT(Sample!A109,2)="ID"),OR(LEFT(Sample!C109,2)="JN",LEFT(Sample!C109,1)="N")),"TS3",IF(AND(OR(LEFT(Sample!A109,1)={"E","H","T","B","V","L"},LEFT(Sample!A109,2)="ID"),OR(LEFT(Sample!C109,2)={"JA","AN","AG","AD"})),"TS24",IF(AND(OR(LEFT(Sample!A109,1)={"T","B","E","H","V","L"},LEFT(Sample!A109,2)="ID"),OR(LEFT(Sample!C109,2)={"SA","JS","AS","AA"},LEFT(Sample!C109,4)="SERA")),"TSPRO",IF(AND(LEFT(Sample!A109,2)="CR",OR(MID(Sample!C109,3,1)="D",MID(Sample!C109,3,1)="B")),"CARRIER9",IF(LEFT(Sample!A109,2)="CR","CARRIER18",Sample!A109)))))))</f>
        <v>TSPRO</v>
      </c>
    </row>
    <row r="112" spans="1:11" x14ac:dyDescent="0.35">
      <c r="A112" s="46" t="str">
        <f>Sample!B110&amp;"-"&amp;Sample!C110</f>
        <v>19-AAABLE25</v>
      </c>
      <c r="B112" s="46" t="str">
        <f>Sample!B110&amp;"-"&amp;Sample!C110</f>
        <v>19-AAABLE25</v>
      </c>
      <c r="C112" s="48" t="str">
        <f>Sample!A110</f>
        <v>T2931A</v>
      </c>
      <c r="D112" s="3"/>
      <c r="E112" s="3"/>
      <c r="F112" s="46" t="str">
        <f>Sample!K110</f>
        <v>S7791</v>
      </c>
      <c r="G112" s="47" t="str">
        <f>VLOOKUP(F112,'Index Sequence'!$A$2:$B$10000,2,FALSE)</f>
        <v>ACTCTTAG</v>
      </c>
      <c r="H112" s="47" t="str">
        <f>Sample!L110</f>
        <v>S7591</v>
      </c>
      <c r="I112" s="47" t="str">
        <f>VLOOKUP(H112,'Index Sequence'!$A$2:$B$10000,2,FALSE)</f>
        <v>AATCCACG</v>
      </c>
      <c r="J112" s="2" t="str">
        <f>Sample!R110</f>
        <v>L01</v>
      </c>
      <c r="K112" s="48" t="str">
        <f>IF(AND(OR(LEFT(Sample!A110,1)={"E","H","T","B","V","L"},LEFT(Sample!A110,2)="ID"),OR(LEFT(Sample!C110,2)="JI",LEFT(Sample!C110,1)="I")),"TS1",IF(AND(OR(LEFT(Sample!A110,1)={"E","H","T","B","V","L"},LEFT(Sample!A110,2)="ID"),OR(LEFT(Sample!C110,2)={"JX","JW"},LEFT(Sample!C110,1)="X")),"TS95",IF(AND(OR(LEFT(Sample!A110,1)={"E","H","T","B","V","L"},LEFT(Sample!A110,2)="ID"),OR(LEFT(Sample!C110,2)="JN",LEFT(Sample!C110,1)="N")),"TS3",IF(AND(OR(LEFT(Sample!A110,1)={"E","H","T","B","V","L"},LEFT(Sample!A110,2)="ID"),OR(LEFT(Sample!C110,2)={"JA","AN","AG","AD"})),"TS24",IF(AND(OR(LEFT(Sample!A110,1)={"T","B","E","H","V","L"},LEFT(Sample!A110,2)="ID"),OR(LEFT(Sample!C110,2)={"SA","JS","AS","AA"},LEFT(Sample!C110,4)="SERA")),"TSPRO",IF(AND(LEFT(Sample!A110,2)="CR",OR(MID(Sample!C110,3,1)="D",MID(Sample!C110,3,1)="B")),"CARRIER9",IF(LEFT(Sample!A110,2)="CR","CARRIER18",Sample!A110)))))))</f>
        <v>TSPRO</v>
      </c>
    </row>
    <row r="113" spans="1:11" x14ac:dyDescent="0.35">
      <c r="A113" s="46" t="str">
        <f>Sample!B111&amp;"-"&amp;Sample!C111</f>
        <v>20-AAABLE26</v>
      </c>
      <c r="B113" s="46" t="str">
        <f>Sample!B111&amp;"-"&amp;Sample!C111</f>
        <v>20-AAABLE26</v>
      </c>
      <c r="C113" s="48" t="str">
        <f>Sample!A111</f>
        <v>T2931A</v>
      </c>
      <c r="D113" s="3"/>
      <c r="E113" s="3"/>
      <c r="F113" s="46" t="str">
        <f>Sample!K111</f>
        <v>S7792</v>
      </c>
      <c r="G113" s="47" t="str">
        <f>VLOOKUP(F113,'Index Sequence'!$A$2:$B$10000,2,FALSE)</f>
        <v>GAGCAACA</v>
      </c>
      <c r="H113" s="47" t="str">
        <f>Sample!L111</f>
        <v>S7592</v>
      </c>
      <c r="I113" s="47" t="str">
        <f>VLOOKUP(H113,'Index Sequence'!$A$2:$B$10000,2,FALSE)</f>
        <v>GCATCTAC</v>
      </c>
      <c r="J113" s="2" t="str">
        <f>Sample!R111</f>
        <v>L01</v>
      </c>
      <c r="K113" s="48" t="str">
        <f>IF(AND(OR(LEFT(Sample!A111,1)={"E","H","T","B","V","L"},LEFT(Sample!A111,2)="ID"),OR(LEFT(Sample!C111,2)="JI",LEFT(Sample!C111,1)="I")),"TS1",IF(AND(OR(LEFT(Sample!A111,1)={"E","H","T","B","V","L"},LEFT(Sample!A111,2)="ID"),OR(LEFT(Sample!C111,2)={"JX","JW"},LEFT(Sample!C111,1)="X")),"TS95",IF(AND(OR(LEFT(Sample!A111,1)={"E","H","T","B","V","L"},LEFT(Sample!A111,2)="ID"),OR(LEFT(Sample!C111,2)="JN",LEFT(Sample!C111,1)="N")),"TS3",IF(AND(OR(LEFT(Sample!A111,1)={"E","H","T","B","V","L"},LEFT(Sample!A111,2)="ID"),OR(LEFT(Sample!C111,2)={"JA","AN","AG","AD"})),"TS24",IF(AND(OR(LEFT(Sample!A111,1)={"T","B","E","H","V","L"},LEFT(Sample!A111,2)="ID"),OR(LEFT(Sample!C111,2)={"SA","JS","AS","AA"},LEFT(Sample!C111,4)="SERA")),"TSPRO",IF(AND(LEFT(Sample!A111,2)="CR",OR(MID(Sample!C111,3,1)="D",MID(Sample!C111,3,1)="B")),"CARRIER9",IF(LEFT(Sample!A111,2)="CR","CARRIER18",Sample!A111)))))))</f>
        <v>TSPRO</v>
      </c>
    </row>
    <row r="114" spans="1:11" x14ac:dyDescent="0.35">
      <c r="A114" s="46" t="str">
        <f>Sample!B112&amp;"-"&amp;Sample!C112</f>
        <v>21-AAABLE27</v>
      </c>
      <c r="B114" s="46" t="str">
        <f>Sample!B112&amp;"-"&amp;Sample!C112</f>
        <v>21-AAABLE27</v>
      </c>
      <c r="C114" s="48" t="str">
        <f>Sample!A112</f>
        <v>T2931A</v>
      </c>
      <c r="D114" s="3"/>
      <c r="E114" s="3"/>
      <c r="F114" s="46" t="str">
        <f>Sample!K112</f>
        <v>S7793</v>
      </c>
      <c r="G114" s="47" t="str">
        <f>VLOOKUP(F114,'Index Sequence'!$A$2:$B$10000,2,FALSE)</f>
        <v>CAGTGACG</v>
      </c>
      <c r="H114" s="47" t="str">
        <f>Sample!L112</f>
        <v>S7593</v>
      </c>
      <c r="I114" s="47" t="str">
        <f>VLOOKUP(H114,'Index Sequence'!$A$2:$B$10000,2,FALSE)</f>
        <v>GAGCGGTA</v>
      </c>
      <c r="J114" s="2" t="str">
        <f>Sample!R112</f>
        <v>L01</v>
      </c>
      <c r="K114" s="48" t="str">
        <f>IF(AND(OR(LEFT(Sample!A112,1)={"E","H","T","B","V","L"},LEFT(Sample!A112,2)="ID"),OR(LEFT(Sample!C112,2)="JI",LEFT(Sample!C112,1)="I")),"TS1",IF(AND(OR(LEFT(Sample!A112,1)={"E","H","T","B","V","L"},LEFT(Sample!A112,2)="ID"),OR(LEFT(Sample!C112,2)={"JX","JW"},LEFT(Sample!C112,1)="X")),"TS95",IF(AND(OR(LEFT(Sample!A112,1)={"E","H","T","B","V","L"},LEFT(Sample!A112,2)="ID"),OR(LEFT(Sample!C112,2)="JN",LEFT(Sample!C112,1)="N")),"TS3",IF(AND(OR(LEFT(Sample!A112,1)={"E","H","T","B","V","L"},LEFT(Sample!A112,2)="ID"),OR(LEFT(Sample!C112,2)={"JA","AN","AG","AD"})),"TS24",IF(AND(OR(LEFT(Sample!A112,1)={"T","B","E","H","V","L"},LEFT(Sample!A112,2)="ID"),OR(LEFT(Sample!C112,2)={"SA","JS","AS","AA"},LEFT(Sample!C112,4)="SERA")),"TSPRO",IF(AND(LEFT(Sample!A112,2)="CR",OR(MID(Sample!C112,3,1)="D",MID(Sample!C112,3,1)="B")),"CARRIER9",IF(LEFT(Sample!A112,2)="CR","CARRIER18",Sample!A112)))))))</f>
        <v>TSPRO</v>
      </c>
    </row>
    <row r="115" spans="1:11" x14ac:dyDescent="0.35">
      <c r="A115" s="46" t="str">
        <f>Sample!B113&amp;"-"&amp;Sample!C113</f>
        <v>22-AAABLE28</v>
      </c>
      <c r="B115" s="46" t="str">
        <f>Sample!B113&amp;"-"&amp;Sample!C113</f>
        <v>22-AAABLE28</v>
      </c>
      <c r="C115" s="48" t="str">
        <f>Sample!A113</f>
        <v>T2931A</v>
      </c>
      <c r="D115" s="3"/>
      <c r="E115" s="3"/>
      <c r="F115" s="46" t="str">
        <f>Sample!K113</f>
        <v>S7794</v>
      </c>
      <c r="G115" s="47" t="str">
        <f>VLOOKUP(F115,'Index Sequence'!$A$2:$B$10000,2,FALSE)</f>
        <v>AAGATTGA</v>
      </c>
      <c r="H115" s="47" t="str">
        <f>Sample!L113</f>
        <v>S7594</v>
      </c>
      <c r="I115" s="47" t="str">
        <f>VLOOKUP(H115,'Index Sequence'!$A$2:$B$10000,2,FALSE)</f>
        <v>GTGGTTCG</v>
      </c>
      <c r="J115" s="2" t="str">
        <f>Sample!R113</f>
        <v>L01</v>
      </c>
      <c r="K115" s="48" t="str">
        <f>IF(AND(OR(LEFT(Sample!A113,1)={"E","H","T","B","V","L"},LEFT(Sample!A113,2)="ID"),OR(LEFT(Sample!C113,2)="JI",LEFT(Sample!C113,1)="I")),"TS1",IF(AND(OR(LEFT(Sample!A113,1)={"E","H","T","B","V","L"},LEFT(Sample!A113,2)="ID"),OR(LEFT(Sample!C113,2)={"JX","JW"},LEFT(Sample!C113,1)="X")),"TS95",IF(AND(OR(LEFT(Sample!A113,1)={"E","H","T","B","V","L"},LEFT(Sample!A113,2)="ID"),OR(LEFT(Sample!C113,2)="JN",LEFT(Sample!C113,1)="N")),"TS3",IF(AND(OR(LEFT(Sample!A113,1)={"E","H","T","B","V","L"},LEFT(Sample!A113,2)="ID"),OR(LEFT(Sample!C113,2)={"JA","AN","AG","AD"})),"TS24",IF(AND(OR(LEFT(Sample!A113,1)={"T","B","E","H","V","L"},LEFT(Sample!A113,2)="ID"),OR(LEFT(Sample!C113,2)={"SA","JS","AS","AA"},LEFT(Sample!C113,4)="SERA")),"TSPRO",IF(AND(LEFT(Sample!A113,2)="CR",OR(MID(Sample!C113,3,1)="D",MID(Sample!C113,3,1)="B")),"CARRIER9",IF(LEFT(Sample!A113,2)="CR","CARRIER18",Sample!A113)))))))</f>
        <v>TSPRO</v>
      </c>
    </row>
    <row r="116" spans="1:11" x14ac:dyDescent="0.35">
      <c r="A116" s="46" t="str">
        <f>Sample!B114&amp;"-"&amp;Sample!C114</f>
        <v>23-AAABLE29</v>
      </c>
      <c r="B116" s="46" t="str">
        <f>Sample!B114&amp;"-"&amp;Sample!C114</f>
        <v>23-AAABLE29</v>
      </c>
      <c r="C116" s="48" t="str">
        <f>Sample!A114</f>
        <v>T2931A</v>
      </c>
      <c r="D116" s="3"/>
      <c r="E116" s="3"/>
      <c r="F116" s="46" t="str">
        <f>Sample!K114</f>
        <v>S7795</v>
      </c>
      <c r="G116" s="47" t="str">
        <f>VLOOKUP(F116,'Index Sequence'!$A$2:$B$10000,2,FALSE)</f>
        <v>GTGTGTTT</v>
      </c>
      <c r="H116" s="47" t="str">
        <f>Sample!L114</f>
        <v>S7595</v>
      </c>
      <c r="I116" s="47" t="str">
        <f>VLOOKUP(H116,'Index Sequence'!$A$2:$B$10000,2,FALSE)</f>
        <v>GAACAATA</v>
      </c>
      <c r="J116" s="2" t="str">
        <f>Sample!R114</f>
        <v>L01</v>
      </c>
      <c r="K116" s="48" t="str">
        <f>IF(AND(OR(LEFT(Sample!A114,1)={"E","H","T","B","V","L"},LEFT(Sample!A114,2)="ID"),OR(LEFT(Sample!C114,2)="JI",LEFT(Sample!C114,1)="I")),"TS1",IF(AND(OR(LEFT(Sample!A114,1)={"E","H","T","B","V","L"},LEFT(Sample!A114,2)="ID"),OR(LEFT(Sample!C114,2)={"JX","JW"},LEFT(Sample!C114,1)="X")),"TS95",IF(AND(OR(LEFT(Sample!A114,1)={"E","H","T","B","V","L"},LEFT(Sample!A114,2)="ID"),OR(LEFT(Sample!C114,2)="JN",LEFT(Sample!C114,1)="N")),"TS3",IF(AND(OR(LEFT(Sample!A114,1)={"E","H","T","B","V","L"},LEFT(Sample!A114,2)="ID"),OR(LEFT(Sample!C114,2)={"JA","AN","AG","AD"})),"TS24",IF(AND(OR(LEFT(Sample!A114,1)={"T","B","E","H","V","L"},LEFT(Sample!A114,2)="ID"),OR(LEFT(Sample!C114,2)={"SA","JS","AS","AA"},LEFT(Sample!C114,4)="SERA")),"TSPRO",IF(AND(LEFT(Sample!A114,2)="CR",OR(MID(Sample!C114,3,1)="D",MID(Sample!C114,3,1)="B")),"CARRIER9",IF(LEFT(Sample!A114,2)="CR","CARRIER18",Sample!A114)))))))</f>
        <v>TSPRO</v>
      </c>
    </row>
    <row r="117" spans="1:11" x14ac:dyDescent="0.35">
      <c r="A117" s="46" t="str">
        <f>Sample!B115&amp;"-"&amp;Sample!C115</f>
        <v>24-AAABLE30</v>
      </c>
      <c r="B117" s="46" t="str">
        <f>Sample!B115&amp;"-"&amp;Sample!C115</f>
        <v>24-AAABLE30</v>
      </c>
      <c r="C117" s="48" t="str">
        <f>Sample!A115</f>
        <v>T2931A</v>
      </c>
      <c r="D117" s="3"/>
      <c r="E117" s="3"/>
      <c r="F117" s="46" t="str">
        <f>Sample!K115</f>
        <v>S7796</v>
      </c>
      <c r="G117" s="47" t="str">
        <f>VLOOKUP(F117,'Index Sequence'!$A$2:$B$10000,2,FALSE)</f>
        <v>CGTCCGAC</v>
      </c>
      <c r="H117" s="47" t="str">
        <f>Sample!L115</f>
        <v>S7596</v>
      </c>
      <c r="I117" s="47" t="str">
        <f>VLOOKUP(H117,'Index Sequence'!$A$2:$B$10000,2,FALSE)</f>
        <v>CACACAAC</v>
      </c>
      <c r="J117" s="2" t="str">
        <f>Sample!R115</f>
        <v>L01</v>
      </c>
      <c r="K117" s="48" t="str">
        <f>IF(AND(OR(LEFT(Sample!A115,1)={"E","H","T","B","V","L"},LEFT(Sample!A115,2)="ID"),OR(LEFT(Sample!C115,2)="JI",LEFT(Sample!C115,1)="I")),"TS1",IF(AND(OR(LEFT(Sample!A115,1)={"E","H","T","B","V","L"},LEFT(Sample!A115,2)="ID"),OR(LEFT(Sample!C115,2)={"JX","JW"},LEFT(Sample!C115,1)="X")),"TS95",IF(AND(OR(LEFT(Sample!A115,1)={"E","H","T","B","V","L"},LEFT(Sample!A115,2)="ID"),OR(LEFT(Sample!C115,2)="JN",LEFT(Sample!C115,1)="N")),"TS3",IF(AND(OR(LEFT(Sample!A115,1)={"E","H","T","B","V","L"},LEFT(Sample!A115,2)="ID"),OR(LEFT(Sample!C115,2)={"JA","AN","AG","AD"})),"TS24",IF(AND(OR(LEFT(Sample!A115,1)={"T","B","E","H","V","L"},LEFT(Sample!A115,2)="ID"),OR(LEFT(Sample!C115,2)={"SA","JS","AS","AA"},LEFT(Sample!C115,4)="SERA")),"TSPRO",IF(AND(LEFT(Sample!A115,2)="CR",OR(MID(Sample!C115,3,1)="D",MID(Sample!C115,3,1)="B")),"CARRIER9",IF(LEFT(Sample!A115,2)="CR","CARRIER18",Sample!A115)))))))</f>
        <v>TSPRO</v>
      </c>
    </row>
    <row r="118" spans="1:11" x14ac:dyDescent="0.35">
      <c r="A118" s="46" t="str">
        <f>Sample!B116&amp;"-"&amp;Sample!C116</f>
        <v>25-AAABLE31</v>
      </c>
      <c r="B118" s="46" t="str">
        <f>Sample!B116&amp;"-"&amp;Sample!C116</f>
        <v>25-AAABLE31</v>
      </c>
      <c r="C118" s="48" t="str">
        <f>Sample!A116</f>
        <v>T2931A</v>
      </c>
      <c r="D118" s="3"/>
      <c r="E118" s="3"/>
      <c r="F118" s="46" t="str">
        <f>Sample!K116</f>
        <v>S97145</v>
      </c>
      <c r="G118" s="47" t="str">
        <f>VLOOKUP(F118,'Index Sequence'!$A$2:$B$10000,2,FALSE)</f>
        <v>AGCGGAAT</v>
      </c>
      <c r="H118" s="47" t="str">
        <f>Sample!L116</f>
        <v>S95145</v>
      </c>
      <c r="I118" s="47" t="str">
        <f>VLOOKUP(H118,'Index Sequence'!$A$2:$B$10000,2,FALSE)</f>
        <v>ACTGCACT</v>
      </c>
      <c r="J118" s="2" t="str">
        <f>Sample!R116</f>
        <v>L01</v>
      </c>
      <c r="K118" s="48" t="str">
        <f>IF(AND(OR(LEFT(Sample!A116,1)={"E","H","T","B","V","L"},LEFT(Sample!A116,2)="ID"),OR(LEFT(Sample!C116,2)="JI",LEFT(Sample!C116,1)="I")),"TS1",IF(AND(OR(LEFT(Sample!A116,1)={"E","H","T","B","V","L"},LEFT(Sample!A116,2)="ID"),OR(LEFT(Sample!C116,2)={"JX","JW"},LEFT(Sample!C116,1)="X")),"TS95",IF(AND(OR(LEFT(Sample!A116,1)={"E","H","T","B","V","L"},LEFT(Sample!A116,2)="ID"),OR(LEFT(Sample!C116,2)="JN",LEFT(Sample!C116,1)="N")),"TS3",IF(AND(OR(LEFT(Sample!A116,1)={"E","H","T","B","V","L"},LEFT(Sample!A116,2)="ID"),OR(LEFT(Sample!C116,2)={"JA","AN","AG","AD"})),"TS24",IF(AND(OR(LEFT(Sample!A116,1)={"T","B","E","H","V","L"},LEFT(Sample!A116,2)="ID"),OR(LEFT(Sample!C116,2)={"SA","JS","AS","AA"},LEFT(Sample!C116,4)="SERA")),"TSPRO",IF(AND(LEFT(Sample!A116,2)="CR",OR(MID(Sample!C116,3,1)="D",MID(Sample!C116,3,1)="B")),"CARRIER9",IF(LEFT(Sample!A116,2)="CR","CARRIER18",Sample!A116)))))))</f>
        <v>TSPRO</v>
      </c>
    </row>
    <row r="119" spans="1:11" x14ac:dyDescent="0.35">
      <c r="A119" s="46" t="str">
        <f>Sample!B117&amp;"-"&amp;Sample!C117</f>
        <v>26-AAABLE32</v>
      </c>
      <c r="B119" s="46" t="str">
        <f>Sample!B117&amp;"-"&amp;Sample!C117</f>
        <v>26-AAABLE32</v>
      </c>
      <c r="C119" s="48" t="str">
        <f>Sample!A117</f>
        <v>T2931A</v>
      </c>
      <c r="D119" s="3"/>
      <c r="E119" s="3"/>
      <c r="F119" s="46" t="str">
        <f>Sample!K117</f>
        <v>S97146</v>
      </c>
      <c r="G119" s="47" t="str">
        <f>VLOOKUP(F119,'Index Sequence'!$A$2:$B$10000,2,FALSE)</f>
        <v>GTGAGCTT</v>
      </c>
      <c r="H119" s="47" t="str">
        <f>Sample!L117</f>
        <v>S95146</v>
      </c>
      <c r="I119" s="47" t="str">
        <f>VLOOKUP(H119,'Index Sequence'!$A$2:$B$10000,2,FALSE)</f>
        <v>CGGATCAA</v>
      </c>
      <c r="J119" s="2" t="str">
        <f>Sample!R117</f>
        <v>L01</v>
      </c>
      <c r="K119" s="48" t="str">
        <f>IF(AND(OR(LEFT(Sample!A117,1)={"E","H","T","B","V","L"},LEFT(Sample!A117,2)="ID"),OR(LEFT(Sample!C117,2)="JI",LEFT(Sample!C117,1)="I")),"TS1",IF(AND(OR(LEFT(Sample!A117,1)={"E","H","T","B","V","L"},LEFT(Sample!A117,2)="ID"),OR(LEFT(Sample!C117,2)={"JX","JW"},LEFT(Sample!C117,1)="X")),"TS95",IF(AND(OR(LEFT(Sample!A117,1)={"E","H","T","B","V","L"},LEFT(Sample!A117,2)="ID"),OR(LEFT(Sample!C117,2)="JN",LEFT(Sample!C117,1)="N")),"TS3",IF(AND(OR(LEFT(Sample!A117,1)={"E","H","T","B","V","L"},LEFT(Sample!A117,2)="ID"),OR(LEFT(Sample!C117,2)={"JA","AN","AG","AD"})),"TS24",IF(AND(OR(LEFT(Sample!A117,1)={"T","B","E","H","V","L"},LEFT(Sample!A117,2)="ID"),OR(LEFT(Sample!C117,2)={"SA","JS","AS","AA"},LEFT(Sample!C117,4)="SERA")),"TSPRO",IF(AND(LEFT(Sample!A117,2)="CR",OR(MID(Sample!C117,3,1)="D",MID(Sample!C117,3,1)="B")),"CARRIER9",IF(LEFT(Sample!A117,2)="CR","CARRIER18",Sample!A117)))))))</f>
        <v>TSPRO</v>
      </c>
    </row>
    <row r="120" spans="1:11" x14ac:dyDescent="0.35">
      <c r="A120" s="46" t="str">
        <f>Sample!B118&amp;"-"&amp;Sample!C118</f>
        <v>27-AAABLE33</v>
      </c>
      <c r="B120" s="46" t="str">
        <f>Sample!B118&amp;"-"&amp;Sample!C118</f>
        <v>27-AAABLE33</v>
      </c>
      <c r="C120" s="48" t="str">
        <f>Sample!A118</f>
        <v>T2931A</v>
      </c>
      <c r="D120" s="3"/>
      <c r="E120" s="3"/>
      <c r="F120" s="46" t="str">
        <f>Sample!K118</f>
        <v>S97147</v>
      </c>
      <c r="G120" s="47" t="str">
        <f>VLOOKUP(F120,'Index Sequence'!$A$2:$B$10000,2,FALSE)</f>
        <v>CGTGATCA</v>
      </c>
      <c r="H120" s="47" t="str">
        <f>Sample!L118</f>
        <v>S95147</v>
      </c>
      <c r="I120" s="47" t="str">
        <f>VLOOKUP(H120,'Index Sequence'!$A$2:$B$10000,2,FALSE)</f>
        <v>GAATGGCA</v>
      </c>
      <c r="J120" s="2" t="str">
        <f>Sample!R118</f>
        <v>L01</v>
      </c>
      <c r="K120" s="48" t="str">
        <f>IF(AND(OR(LEFT(Sample!A118,1)={"E","H","T","B","V","L"},LEFT(Sample!A118,2)="ID"),OR(LEFT(Sample!C118,2)="JI",LEFT(Sample!C118,1)="I")),"TS1",IF(AND(OR(LEFT(Sample!A118,1)={"E","H","T","B","V","L"},LEFT(Sample!A118,2)="ID"),OR(LEFT(Sample!C118,2)={"JX","JW"},LEFT(Sample!C118,1)="X")),"TS95",IF(AND(OR(LEFT(Sample!A118,1)={"E","H","T","B","V","L"},LEFT(Sample!A118,2)="ID"),OR(LEFT(Sample!C118,2)="JN",LEFT(Sample!C118,1)="N")),"TS3",IF(AND(OR(LEFT(Sample!A118,1)={"E","H","T","B","V","L"},LEFT(Sample!A118,2)="ID"),OR(LEFT(Sample!C118,2)={"JA","AN","AG","AD"})),"TS24",IF(AND(OR(LEFT(Sample!A118,1)={"T","B","E","H","V","L"},LEFT(Sample!A118,2)="ID"),OR(LEFT(Sample!C118,2)={"SA","JS","AS","AA"},LEFT(Sample!C118,4)="SERA")),"TSPRO",IF(AND(LEFT(Sample!A118,2)="CR",OR(MID(Sample!C118,3,1)="D",MID(Sample!C118,3,1)="B")),"CARRIER9",IF(LEFT(Sample!A118,2)="CR","CARRIER18",Sample!A118)))))))</f>
        <v>TSPRO</v>
      </c>
    </row>
    <row r="121" spans="1:11" x14ac:dyDescent="0.35">
      <c r="A121" s="46" t="str">
        <f>Sample!B119&amp;"-"&amp;Sample!C119</f>
        <v>1-ASAAAB89</v>
      </c>
      <c r="B121" s="46" t="str">
        <f>Sample!B119&amp;"-"&amp;Sample!C119</f>
        <v>1-ASAAAB89</v>
      </c>
      <c r="C121" s="48" t="str">
        <f>Sample!A119</f>
        <v>T2934A</v>
      </c>
      <c r="D121" s="3"/>
      <c r="E121" s="3"/>
      <c r="F121" s="46" t="str">
        <f>Sample!K119</f>
        <v>S97129</v>
      </c>
      <c r="G121" s="47" t="str">
        <f>VLOOKUP(F121,'Index Sequence'!$A$2:$B$10000,2,FALSE)</f>
        <v>CAGGTTAG</v>
      </c>
      <c r="H121" s="47" t="str">
        <f>Sample!L119</f>
        <v>S95129</v>
      </c>
      <c r="I121" s="47" t="str">
        <f>VLOOKUP(H121,'Index Sequence'!$A$2:$B$10000,2,FALSE)</f>
        <v>AATCCAGC</v>
      </c>
      <c r="J121" s="2" t="str">
        <f>Sample!R119</f>
        <v>L01</v>
      </c>
      <c r="K121" s="48" t="str">
        <f>IF(AND(OR(LEFT(Sample!A119,1)={"E","H","T","B","V","L"},LEFT(Sample!A119,2)="ID"),OR(LEFT(Sample!C119,2)="JI",LEFT(Sample!C119,1)="I")),"TS1",IF(AND(OR(LEFT(Sample!A119,1)={"E","H","T","B","V","L"},LEFT(Sample!A119,2)="ID"),OR(LEFT(Sample!C119,2)={"JX","JW"},LEFT(Sample!C119,1)="X")),"TS95",IF(AND(OR(LEFT(Sample!A119,1)={"E","H","T","B","V","L"},LEFT(Sample!A119,2)="ID"),OR(LEFT(Sample!C119,2)="JN",LEFT(Sample!C119,1)="N")),"TS3",IF(AND(OR(LEFT(Sample!A119,1)={"E","H","T","B","V","L"},LEFT(Sample!A119,2)="ID"),OR(LEFT(Sample!C119,2)={"JA","AN","AG","AD"})),"TS24",IF(AND(OR(LEFT(Sample!A119,1)={"T","B","E","H","V","L"},LEFT(Sample!A119,2)="ID"),OR(LEFT(Sample!C119,2)={"SA","JS","AS","AA"},LEFT(Sample!C119,4)="SERA")),"TSPRO",IF(AND(LEFT(Sample!A119,2)="CR",OR(MID(Sample!C119,3,1)="D",MID(Sample!C119,3,1)="B")),"CARRIER9",IF(LEFT(Sample!A119,2)="CR","CARRIER18",Sample!A119)))))))</f>
        <v>TSPRO</v>
      </c>
    </row>
    <row r="122" spans="1:11" x14ac:dyDescent="0.35">
      <c r="A122" s="46" t="str">
        <f>Sample!B120&amp;"-"&amp;Sample!C120</f>
        <v>2-SAAAFY10</v>
      </c>
      <c r="B122" s="46" t="str">
        <f>Sample!B120&amp;"-"&amp;Sample!C120</f>
        <v>2-SAAAFY10</v>
      </c>
      <c r="C122" s="48" t="str">
        <f>Sample!A120</f>
        <v>T2934A</v>
      </c>
      <c r="D122" s="3"/>
      <c r="E122" s="3"/>
      <c r="F122" s="46" t="str">
        <f>Sample!K120</f>
        <v>S97130</v>
      </c>
      <c r="G122" s="47" t="str">
        <f>VLOOKUP(F122,'Index Sequence'!$A$2:$B$10000,2,FALSE)</f>
        <v>AGTTGGCT</v>
      </c>
      <c r="H122" s="47" t="str">
        <f>Sample!L120</f>
        <v>S95130</v>
      </c>
      <c r="I122" s="47" t="str">
        <f>VLOOKUP(H122,'Index Sequence'!$A$2:$B$10000,2,FALSE)</f>
        <v>GCAACCAT</v>
      </c>
      <c r="J122" s="2" t="str">
        <f>Sample!R120</f>
        <v>L01</v>
      </c>
      <c r="K122" s="48" t="str">
        <f>IF(AND(OR(LEFT(Sample!A120,1)={"E","H","T","B","V","L"},LEFT(Sample!A120,2)="ID"),OR(LEFT(Sample!C120,2)="JI",LEFT(Sample!C120,1)="I")),"TS1",IF(AND(OR(LEFT(Sample!A120,1)={"E","H","T","B","V","L"},LEFT(Sample!A120,2)="ID"),OR(LEFT(Sample!C120,2)={"JX","JW"},LEFT(Sample!C120,1)="X")),"TS95",IF(AND(OR(LEFT(Sample!A120,1)={"E","H","T","B","V","L"},LEFT(Sample!A120,2)="ID"),OR(LEFT(Sample!C120,2)="JN",LEFT(Sample!C120,1)="N")),"TS3",IF(AND(OR(LEFT(Sample!A120,1)={"E","H","T","B","V","L"},LEFT(Sample!A120,2)="ID"),OR(LEFT(Sample!C120,2)={"JA","AN","AG","AD"})),"TS24",IF(AND(OR(LEFT(Sample!A120,1)={"T","B","E","H","V","L"},LEFT(Sample!A120,2)="ID"),OR(LEFT(Sample!C120,2)={"SA","JS","AS","AA"},LEFT(Sample!C120,4)="SERA")),"TSPRO",IF(AND(LEFT(Sample!A120,2)="CR",OR(MID(Sample!C120,3,1)="D",MID(Sample!C120,3,1)="B")),"CARRIER9",IF(LEFT(Sample!A120,2)="CR","CARRIER18",Sample!A120)))))))</f>
        <v>TSPRO</v>
      </c>
    </row>
    <row r="123" spans="1:11" x14ac:dyDescent="0.35">
      <c r="A123" s="46" t="str">
        <f>Sample!B121&amp;"-"&amp;Sample!C121</f>
        <v>3-SAAAFY11</v>
      </c>
      <c r="B123" s="46" t="str">
        <f>Sample!B121&amp;"-"&amp;Sample!C121</f>
        <v>3-SAAAFY11</v>
      </c>
      <c r="C123" s="48" t="str">
        <f>Sample!A121</f>
        <v>T2934A</v>
      </c>
      <c r="D123" s="3"/>
      <c r="E123" s="3"/>
      <c r="F123" s="46" t="str">
        <f>Sample!K121</f>
        <v>S97131</v>
      </c>
      <c r="G123" s="47" t="str">
        <f>VLOOKUP(F123,'Index Sequence'!$A$2:$B$10000,2,FALSE)</f>
        <v>TCAACTGG</v>
      </c>
      <c r="H123" s="47" t="str">
        <f>Sample!L121</f>
        <v>S95131</v>
      </c>
      <c r="I123" s="47" t="str">
        <f>VLOOKUP(H123,'Index Sequence'!$A$2:$B$10000,2,FALSE)</f>
        <v>CGATTCTG</v>
      </c>
      <c r="J123" s="2" t="str">
        <f>Sample!R121</f>
        <v>L01</v>
      </c>
      <c r="K123" s="48" t="str">
        <f>IF(AND(OR(LEFT(Sample!A121,1)={"E","H","T","B","V","L"},LEFT(Sample!A121,2)="ID"),OR(LEFT(Sample!C121,2)="JI",LEFT(Sample!C121,1)="I")),"TS1",IF(AND(OR(LEFT(Sample!A121,1)={"E","H","T","B","V","L"},LEFT(Sample!A121,2)="ID"),OR(LEFT(Sample!C121,2)={"JX","JW"},LEFT(Sample!C121,1)="X")),"TS95",IF(AND(OR(LEFT(Sample!A121,1)={"E","H","T","B","V","L"},LEFT(Sample!A121,2)="ID"),OR(LEFT(Sample!C121,2)="JN",LEFT(Sample!C121,1)="N")),"TS3",IF(AND(OR(LEFT(Sample!A121,1)={"E","H","T","B","V","L"},LEFT(Sample!A121,2)="ID"),OR(LEFT(Sample!C121,2)={"JA","AN","AG","AD"})),"TS24",IF(AND(OR(LEFT(Sample!A121,1)={"T","B","E","H","V","L"},LEFT(Sample!A121,2)="ID"),OR(LEFT(Sample!C121,2)={"SA","JS","AS","AA"},LEFT(Sample!C121,4)="SERA")),"TSPRO",IF(AND(LEFT(Sample!A121,2)="CR",OR(MID(Sample!C121,3,1)="D",MID(Sample!C121,3,1)="B")),"CARRIER9",IF(LEFT(Sample!A121,2)="CR","CARRIER18",Sample!A121)))))))</f>
        <v>TSPRO</v>
      </c>
    </row>
    <row r="124" spans="1:11" x14ac:dyDescent="0.35">
      <c r="A124" s="46" t="str">
        <f>Sample!B122&amp;"-"&amp;Sample!C122</f>
        <v>4-SAAAFY12</v>
      </c>
      <c r="B124" s="46" t="str">
        <f>Sample!B122&amp;"-"&amp;Sample!C122</f>
        <v>4-SAAAFY12</v>
      </c>
      <c r="C124" s="48" t="str">
        <f>Sample!A122</f>
        <v>T2934A</v>
      </c>
      <c r="D124" s="3"/>
      <c r="E124" s="3"/>
      <c r="F124" s="46" t="str">
        <f>Sample!K122</f>
        <v>S97132</v>
      </c>
      <c r="G124" s="47" t="str">
        <f>VLOOKUP(F124,'Index Sequence'!$A$2:$B$10000,2,FALSE)</f>
        <v>CTGCACTT</v>
      </c>
      <c r="H124" s="47" t="str">
        <f>Sample!L122</f>
        <v>S95132</v>
      </c>
      <c r="I124" s="47" t="str">
        <f>VLOOKUP(H124,'Index Sequence'!$A$2:$B$10000,2,FALSE)</f>
        <v>AAGCGTTC</v>
      </c>
      <c r="J124" s="2" t="str">
        <f>Sample!R122</f>
        <v>L01</v>
      </c>
      <c r="K124" s="48" t="str">
        <f>IF(AND(OR(LEFT(Sample!A122,1)={"E","H","T","B","V","L"},LEFT(Sample!A122,2)="ID"),OR(LEFT(Sample!C122,2)="JI",LEFT(Sample!C122,1)="I")),"TS1",IF(AND(OR(LEFT(Sample!A122,1)={"E","H","T","B","V","L"},LEFT(Sample!A122,2)="ID"),OR(LEFT(Sample!C122,2)={"JX","JW"},LEFT(Sample!C122,1)="X")),"TS95",IF(AND(OR(LEFT(Sample!A122,1)={"E","H","T","B","V","L"},LEFT(Sample!A122,2)="ID"),OR(LEFT(Sample!C122,2)="JN",LEFT(Sample!C122,1)="N")),"TS3",IF(AND(OR(LEFT(Sample!A122,1)={"E","H","T","B","V","L"},LEFT(Sample!A122,2)="ID"),OR(LEFT(Sample!C122,2)={"JA","AN","AG","AD"})),"TS24",IF(AND(OR(LEFT(Sample!A122,1)={"T","B","E","H","V","L"},LEFT(Sample!A122,2)="ID"),OR(LEFT(Sample!C122,2)={"SA","JS","AS","AA"},LEFT(Sample!C122,4)="SERA")),"TSPRO",IF(AND(LEFT(Sample!A122,2)="CR",OR(MID(Sample!C122,3,1)="D",MID(Sample!C122,3,1)="B")),"CARRIER9",IF(LEFT(Sample!A122,2)="CR","CARRIER18",Sample!A122)))))))</f>
        <v>TSPRO</v>
      </c>
    </row>
    <row r="125" spans="1:11" x14ac:dyDescent="0.35">
      <c r="A125" s="46" t="str">
        <f>Sample!B123&amp;"-"&amp;Sample!C123</f>
        <v>5-SAAAFY13</v>
      </c>
      <c r="B125" s="46" t="str">
        <f>Sample!B123&amp;"-"&amp;Sample!C123</f>
        <v>5-SAAAFY13</v>
      </c>
      <c r="C125" s="48" t="str">
        <f>Sample!A123</f>
        <v>T2934A</v>
      </c>
      <c r="D125" s="3"/>
      <c r="E125" s="3"/>
      <c r="F125" s="46" t="str">
        <f>Sample!K123</f>
        <v>S97133</v>
      </c>
      <c r="G125" s="47" t="str">
        <f>VLOOKUP(F125,'Index Sequence'!$A$2:$B$10000,2,FALSE)</f>
        <v>ACACGGTT</v>
      </c>
      <c r="H125" s="47" t="str">
        <f>Sample!L123</f>
        <v>S95133</v>
      </c>
      <c r="I125" s="47" t="str">
        <f>VLOOKUP(H125,'Index Sequence'!$A$2:$B$10000,2,FALSE)</f>
        <v>TGGTTCGA</v>
      </c>
      <c r="J125" s="2" t="str">
        <f>Sample!R123</f>
        <v>L01</v>
      </c>
      <c r="K125" s="48" t="str">
        <f>IF(AND(OR(LEFT(Sample!A123,1)={"E","H","T","B","V","L"},LEFT(Sample!A123,2)="ID"),OR(LEFT(Sample!C123,2)="JI",LEFT(Sample!C123,1)="I")),"TS1",IF(AND(OR(LEFT(Sample!A123,1)={"E","H","T","B","V","L"},LEFT(Sample!A123,2)="ID"),OR(LEFT(Sample!C123,2)={"JX","JW"},LEFT(Sample!C123,1)="X")),"TS95",IF(AND(OR(LEFT(Sample!A123,1)={"E","H","T","B","V","L"},LEFT(Sample!A123,2)="ID"),OR(LEFT(Sample!C123,2)="JN",LEFT(Sample!C123,1)="N")),"TS3",IF(AND(OR(LEFT(Sample!A123,1)={"E","H","T","B","V","L"},LEFT(Sample!A123,2)="ID"),OR(LEFT(Sample!C123,2)={"JA","AN","AG","AD"})),"TS24",IF(AND(OR(LEFT(Sample!A123,1)={"T","B","E","H","V","L"},LEFT(Sample!A123,2)="ID"),OR(LEFT(Sample!C123,2)={"SA","JS","AS","AA"},LEFT(Sample!C123,4)="SERA")),"TSPRO",IF(AND(LEFT(Sample!A123,2)="CR",OR(MID(Sample!C123,3,1)="D",MID(Sample!C123,3,1)="B")),"CARRIER9",IF(LEFT(Sample!A123,2)="CR","CARRIER18",Sample!A123)))))))</f>
        <v>TSPRO</v>
      </c>
    </row>
    <row r="126" spans="1:11" x14ac:dyDescent="0.35">
      <c r="A126" s="46" t="str">
        <f>Sample!B124&amp;"-"&amp;Sample!C124</f>
        <v>6-SAAAFY14</v>
      </c>
      <c r="B126" s="46" t="str">
        <f>Sample!B124&amp;"-"&amp;Sample!C124</f>
        <v>6-SAAAFY14</v>
      </c>
      <c r="C126" s="48" t="str">
        <f>Sample!A124</f>
        <v>T2934A</v>
      </c>
      <c r="D126" s="3"/>
      <c r="E126" s="3"/>
      <c r="F126" s="46" t="str">
        <f>Sample!K124</f>
        <v>S97134</v>
      </c>
      <c r="G126" s="47" t="str">
        <f>VLOOKUP(F126,'Index Sequence'!$A$2:$B$10000,2,FALSE)</f>
        <v>AATACGCG</v>
      </c>
      <c r="H126" s="47" t="str">
        <f>Sample!L124</f>
        <v>S95134</v>
      </c>
      <c r="I126" s="47" t="str">
        <f>VLOOKUP(H126,'Index Sequence'!$A$2:$B$10000,2,FALSE)</f>
        <v>TGCGATAG</v>
      </c>
      <c r="J126" s="2" t="str">
        <f>Sample!R124</f>
        <v>L01</v>
      </c>
      <c r="K126" s="48" t="str">
        <f>IF(AND(OR(LEFT(Sample!A124,1)={"E","H","T","B","V","L"},LEFT(Sample!A124,2)="ID"),OR(LEFT(Sample!C124,2)="JI",LEFT(Sample!C124,1)="I")),"TS1",IF(AND(OR(LEFT(Sample!A124,1)={"E","H","T","B","V","L"},LEFT(Sample!A124,2)="ID"),OR(LEFT(Sample!C124,2)={"JX","JW"},LEFT(Sample!C124,1)="X")),"TS95",IF(AND(OR(LEFT(Sample!A124,1)={"E","H","T","B","V","L"},LEFT(Sample!A124,2)="ID"),OR(LEFT(Sample!C124,2)="JN",LEFT(Sample!C124,1)="N")),"TS3",IF(AND(OR(LEFT(Sample!A124,1)={"E","H","T","B","V","L"},LEFT(Sample!A124,2)="ID"),OR(LEFT(Sample!C124,2)={"JA","AN","AG","AD"})),"TS24",IF(AND(OR(LEFT(Sample!A124,1)={"T","B","E","H","V","L"},LEFT(Sample!A124,2)="ID"),OR(LEFT(Sample!C124,2)={"SA","JS","AS","AA"},LEFT(Sample!C124,4)="SERA")),"TSPRO",IF(AND(LEFT(Sample!A124,2)="CR",OR(MID(Sample!C124,3,1)="D",MID(Sample!C124,3,1)="B")),"CARRIER9",IF(LEFT(Sample!A124,2)="CR","CARRIER18",Sample!A124)))))))</f>
        <v>TSPRO</v>
      </c>
    </row>
    <row r="127" spans="1:11" x14ac:dyDescent="0.35">
      <c r="A127" s="46" t="str">
        <f>Sample!B125&amp;"-"&amp;Sample!C125</f>
        <v>7-SAAAFY15</v>
      </c>
      <c r="B127" s="46" t="str">
        <f>Sample!B125&amp;"-"&amp;Sample!C125</f>
        <v>7-SAAAFY15</v>
      </c>
      <c r="C127" s="48" t="str">
        <f>Sample!A125</f>
        <v>T2934A</v>
      </c>
      <c r="D127" s="3"/>
      <c r="E127" s="3"/>
      <c r="F127" s="46" t="str">
        <f>Sample!K125</f>
        <v>S97135</v>
      </c>
      <c r="G127" s="47" t="str">
        <f>VLOOKUP(F127,'Index Sequence'!$A$2:$B$10000,2,FALSE)</f>
        <v>TGCGAACT</v>
      </c>
      <c r="H127" s="47" t="str">
        <f>Sample!L125</f>
        <v>S95135</v>
      </c>
      <c r="I127" s="47" t="str">
        <f>VLOOKUP(H127,'Index Sequence'!$A$2:$B$10000,2,FALSE)</f>
        <v>CAACCGTA</v>
      </c>
      <c r="J127" s="2" t="str">
        <f>Sample!R125</f>
        <v>L01</v>
      </c>
      <c r="K127" s="48" t="str">
        <f>IF(AND(OR(LEFT(Sample!A125,1)={"E","H","T","B","V","L"},LEFT(Sample!A125,2)="ID"),OR(LEFT(Sample!C125,2)="JI",LEFT(Sample!C125,1)="I")),"TS1",IF(AND(OR(LEFT(Sample!A125,1)={"E","H","T","B","V","L"},LEFT(Sample!A125,2)="ID"),OR(LEFT(Sample!C125,2)={"JX","JW"},LEFT(Sample!C125,1)="X")),"TS95",IF(AND(OR(LEFT(Sample!A125,1)={"E","H","T","B","V","L"},LEFT(Sample!A125,2)="ID"),OR(LEFT(Sample!C125,2)="JN",LEFT(Sample!C125,1)="N")),"TS3",IF(AND(OR(LEFT(Sample!A125,1)={"E","H","T","B","V","L"},LEFT(Sample!A125,2)="ID"),OR(LEFT(Sample!C125,2)={"JA","AN","AG","AD"})),"TS24",IF(AND(OR(LEFT(Sample!A125,1)={"T","B","E","H","V","L"},LEFT(Sample!A125,2)="ID"),OR(LEFT(Sample!C125,2)={"SA","JS","AS","AA"},LEFT(Sample!C125,4)="SERA")),"TSPRO",IF(AND(LEFT(Sample!A125,2)="CR",OR(MID(Sample!C125,3,1)="D",MID(Sample!C125,3,1)="B")),"CARRIER9",IF(LEFT(Sample!A125,2)="CR","CARRIER18",Sample!A125)))))))</f>
        <v>TSPRO</v>
      </c>
    </row>
    <row r="128" spans="1:11" x14ac:dyDescent="0.35">
      <c r="A128" s="46" t="str">
        <f>Sample!B126&amp;"-"&amp;Sample!C126</f>
        <v>8-SAAAFY16</v>
      </c>
      <c r="B128" s="46" t="str">
        <f>Sample!B126&amp;"-"&amp;Sample!C126</f>
        <v>8-SAAAFY16</v>
      </c>
      <c r="C128" s="48" t="str">
        <f>Sample!A126</f>
        <v>T2934A</v>
      </c>
      <c r="D128" s="3"/>
      <c r="E128" s="3"/>
      <c r="F128" s="46" t="str">
        <f>Sample!K126</f>
        <v>S97136</v>
      </c>
      <c r="G128" s="47" t="str">
        <f>VLOOKUP(F128,'Index Sequence'!$A$2:$B$10000,2,FALSE)</f>
        <v>GCTGACTA</v>
      </c>
      <c r="H128" s="47" t="str">
        <f>Sample!L126</f>
        <v>S95136</v>
      </c>
      <c r="I128" s="47" t="str">
        <f>VLOOKUP(H128,'Index Sequence'!$A$2:$B$10000,2,FALSE)</f>
        <v>GACATCTC</v>
      </c>
      <c r="J128" s="2" t="str">
        <f>Sample!R126</f>
        <v>L01</v>
      </c>
      <c r="K128" s="48" t="str">
        <f>IF(AND(OR(LEFT(Sample!A126,1)={"E","H","T","B","V","L"},LEFT(Sample!A126,2)="ID"),OR(LEFT(Sample!C126,2)="JI",LEFT(Sample!C126,1)="I")),"TS1",IF(AND(OR(LEFT(Sample!A126,1)={"E","H","T","B","V","L"},LEFT(Sample!A126,2)="ID"),OR(LEFT(Sample!C126,2)={"JX","JW"},LEFT(Sample!C126,1)="X")),"TS95",IF(AND(OR(LEFT(Sample!A126,1)={"E","H","T","B","V","L"},LEFT(Sample!A126,2)="ID"),OR(LEFT(Sample!C126,2)="JN",LEFT(Sample!C126,1)="N")),"TS3",IF(AND(OR(LEFT(Sample!A126,1)={"E","H","T","B","V","L"},LEFT(Sample!A126,2)="ID"),OR(LEFT(Sample!C126,2)={"JA","AN","AG","AD"})),"TS24",IF(AND(OR(LEFT(Sample!A126,1)={"T","B","E","H","V","L"},LEFT(Sample!A126,2)="ID"),OR(LEFT(Sample!C126,2)={"SA","JS","AS","AA"},LEFT(Sample!C126,4)="SERA")),"TSPRO",IF(AND(LEFT(Sample!A126,2)="CR",OR(MID(Sample!C126,3,1)="D",MID(Sample!C126,3,1)="B")),"CARRIER9",IF(LEFT(Sample!A126,2)="CR","CARRIER18",Sample!A126)))))))</f>
        <v>TSPRO</v>
      </c>
    </row>
    <row r="129" spans="1:11" x14ac:dyDescent="0.35">
      <c r="A129" s="46" t="str">
        <f>Sample!B127&amp;"-"&amp;Sample!C127</f>
        <v>9-SAAAFY17</v>
      </c>
      <c r="B129" s="46" t="str">
        <f>Sample!B127&amp;"-"&amp;Sample!C127</f>
        <v>9-SAAAFY17</v>
      </c>
      <c r="C129" s="48" t="str">
        <f>Sample!A127</f>
        <v>T2934A</v>
      </c>
      <c r="D129" s="3"/>
      <c r="E129" s="3"/>
      <c r="F129" s="46" t="str">
        <f>Sample!K127</f>
        <v>S97137</v>
      </c>
      <c r="G129" s="47" t="str">
        <f>VLOOKUP(F129,'Index Sequence'!$A$2:$B$10000,2,FALSE)</f>
        <v>GTGGTGTT</v>
      </c>
      <c r="H129" s="47" t="str">
        <f>Sample!L127</f>
        <v>S95137</v>
      </c>
      <c r="I129" s="47" t="str">
        <f>VLOOKUP(H129,'Index Sequence'!$A$2:$B$10000,2,FALSE)</f>
        <v>GCTGTAAG</v>
      </c>
      <c r="J129" s="2" t="str">
        <f>Sample!R127</f>
        <v>L01</v>
      </c>
      <c r="K129" s="48" t="str">
        <f>IF(AND(OR(LEFT(Sample!A127,1)={"E","H","T","B","V","L"},LEFT(Sample!A127,2)="ID"),OR(LEFT(Sample!C127,2)="JI",LEFT(Sample!C127,1)="I")),"TS1",IF(AND(OR(LEFT(Sample!A127,1)={"E","H","T","B","V","L"},LEFT(Sample!A127,2)="ID"),OR(LEFT(Sample!C127,2)={"JX","JW"},LEFT(Sample!C127,1)="X")),"TS95",IF(AND(OR(LEFT(Sample!A127,1)={"E","H","T","B","V","L"},LEFT(Sample!A127,2)="ID"),OR(LEFT(Sample!C127,2)="JN",LEFT(Sample!C127,1)="N")),"TS3",IF(AND(OR(LEFT(Sample!A127,1)={"E","H","T","B","V","L"},LEFT(Sample!A127,2)="ID"),OR(LEFT(Sample!C127,2)={"JA","AN","AG","AD"})),"TS24",IF(AND(OR(LEFT(Sample!A127,1)={"T","B","E","H","V","L"},LEFT(Sample!A127,2)="ID"),OR(LEFT(Sample!C127,2)={"SA","JS","AS","AA"},LEFT(Sample!C127,4)="SERA")),"TSPRO",IF(AND(LEFT(Sample!A127,2)="CR",OR(MID(Sample!C127,3,1)="D",MID(Sample!C127,3,1)="B")),"CARRIER9",IF(LEFT(Sample!A127,2)="CR","CARRIER18",Sample!A127)))))))</f>
        <v>TSPRO</v>
      </c>
    </row>
    <row r="130" spans="1:11" x14ac:dyDescent="0.35">
      <c r="A130" s="46" t="str">
        <f>Sample!B128&amp;"-"&amp;Sample!C128</f>
        <v>10-AAABLE34</v>
      </c>
      <c r="B130" s="46" t="str">
        <f>Sample!B128&amp;"-"&amp;Sample!C128</f>
        <v>10-AAABLE34</v>
      </c>
      <c r="C130" s="48" t="str">
        <f>Sample!A128</f>
        <v>T2934A</v>
      </c>
      <c r="D130" s="3"/>
      <c r="E130" s="3"/>
      <c r="F130" s="46" t="str">
        <f>Sample!K128</f>
        <v>S97138</v>
      </c>
      <c r="G130" s="47" t="str">
        <f>VLOOKUP(F130,'Index Sequence'!$A$2:$B$10000,2,FALSE)</f>
        <v>GTGCTTAC</v>
      </c>
      <c r="H130" s="47" t="str">
        <f>Sample!L128</f>
        <v>S95138</v>
      </c>
      <c r="I130" s="47" t="str">
        <f>VLOOKUP(H130,'Index Sequence'!$A$2:$B$10000,2,FALSE)</f>
        <v>TTCCTCCT</v>
      </c>
      <c r="J130" s="2" t="str">
        <f>Sample!R128</f>
        <v>L01</v>
      </c>
      <c r="K130" s="48" t="str">
        <f>IF(AND(OR(LEFT(Sample!A128,1)={"E","H","T","B","V","L"},LEFT(Sample!A128,2)="ID"),OR(LEFT(Sample!C128,2)="JI",LEFT(Sample!C128,1)="I")),"TS1",IF(AND(OR(LEFT(Sample!A128,1)={"E","H","T","B","V","L"},LEFT(Sample!A128,2)="ID"),OR(LEFT(Sample!C128,2)={"JX","JW"},LEFT(Sample!C128,1)="X")),"TS95",IF(AND(OR(LEFT(Sample!A128,1)={"E","H","T","B","V","L"},LEFT(Sample!A128,2)="ID"),OR(LEFT(Sample!C128,2)="JN",LEFT(Sample!C128,1)="N")),"TS3",IF(AND(OR(LEFT(Sample!A128,1)={"E","H","T","B","V","L"},LEFT(Sample!A128,2)="ID"),OR(LEFT(Sample!C128,2)={"JA","AN","AG","AD"})),"TS24",IF(AND(OR(LEFT(Sample!A128,1)={"T","B","E","H","V","L"},LEFT(Sample!A128,2)="ID"),OR(LEFT(Sample!C128,2)={"SA","JS","AS","AA"},LEFT(Sample!C128,4)="SERA")),"TSPRO",IF(AND(LEFT(Sample!A128,2)="CR",OR(MID(Sample!C128,3,1)="D",MID(Sample!C128,3,1)="B")),"CARRIER9",IF(LEFT(Sample!A128,2)="CR","CARRIER18",Sample!A128)))))))</f>
        <v>TSPRO</v>
      </c>
    </row>
    <row r="131" spans="1:11" x14ac:dyDescent="0.35">
      <c r="A131" s="46" t="str">
        <f>Sample!B129&amp;"-"&amp;Sample!C129</f>
        <v>11-AAABLE35</v>
      </c>
      <c r="B131" s="46" t="str">
        <f>Sample!B129&amp;"-"&amp;Sample!C129</f>
        <v>11-AAABLE35</v>
      </c>
      <c r="C131" s="48" t="str">
        <f>Sample!A129</f>
        <v>T2934A</v>
      </c>
      <c r="D131" s="3"/>
      <c r="E131" s="3"/>
      <c r="F131" s="46" t="str">
        <f>Sample!K129</f>
        <v>S97139</v>
      </c>
      <c r="G131" s="47" t="str">
        <f>VLOOKUP(F131,'Index Sequence'!$A$2:$B$10000,2,FALSE)</f>
        <v>TCAAGGAC</v>
      </c>
      <c r="H131" s="47" t="str">
        <f>Sample!L129</f>
        <v>S95139</v>
      </c>
      <c r="I131" s="47" t="str">
        <f>VLOOKUP(H131,'Index Sequence'!$A$2:$B$10000,2,FALSE)</f>
        <v>CATTCGTC</v>
      </c>
      <c r="J131" s="2" t="str">
        <f>Sample!R129</f>
        <v>L01</v>
      </c>
      <c r="K131" s="48" t="str">
        <f>IF(AND(OR(LEFT(Sample!A129,1)={"E","H","T","B","V","L"},LEFT(Sample!A129,2)="ID"),OR(LEFT(Sample!C129,2)="JI",LEFT(Sample!C129,1)="I")),"TS1",IF(AND(OR(LEFT(Sample!A129,1)={"E","H","T","B","V","L"},LEFT(Sample!A129,2)="ID"),OR(LEFT(Sample!C129,2)={"JX","JW"},LEFT(Sample!C129,1)="X")),"TS95",IF(AND(OR(LEFT(Sample!A129,1)={"E","H","T","B","V","L"},LEFT(Sample!A129,2)="ID"),OR(LEFT(Sample!C129,2)="JN",LEFT(Sample!C129,1)="N")),"TS3",IF(AND(OR(LEFT(Sample!A129,1)={"E","H","T","B","V","L"},LEFT(Sample!A129,2)="ID"),OR(LEFT(Sample!C129,2)={"JA","AN","AG","AD"})),"TS24",IF(AND(OR(LEFT(Sample!A129,1)={"T","B","E","H","V","L"},LEFT(Sample!A129,2)="ID"),OR(LEFT(Sample!C129,2)={"SA","JS","AS","AA"},LEFT(Sample!C129,4)="SERA")),"TSPRO",IF(AND(LEFT(Sample!A129,2)="CR",OR(MID(Sample!C129,3,1)="D",MID(Sample!C129,3,1)="B")),"CARRIER9",IF(LEFT(Sample!A129,2)="CR","CARRIER18",Sample!A129)))))))</f>
        <v>TSPRO</v>
      </c>
    </row>
    <row r="132" spans="1:11" x14ac:dyDescent="0.35">
      <c r="A132" s="46" t="str">
        <f>Sample!B130&amp;"-"&amp;Sample!C130</f>
        <v>12-AAABLE36</v>
      </c>
      <c r="B132" s="46" t="str">
        <f>Sample!B130&amp;"-"&amp;Sample!C130</f>
        <v>12-AAABLE36</v>
      </c>
      <c r="C132" s="48" t="str">
        <f>Sample!A130</f>
        <v>T2934A</v>
      </c>
      <c r="D132" s="3"/>
      <c r="E132" s="3"/>
      <c r="F132" s="46" t="str">
        <f>Sample!K130</f>
        <v>S97140</v>
      </c>
      <c r="G132" s="47" t="str">
        <f>VLOOKUP(F132,'Index Sequence'!$A$2:$B$10000,2,FALSE)</f>
        <v>TGAACCTG</v>
      </c>
      <c r="H132" s="47" t="str">
        <f>Sample!L130</f>
        <v>S95140</v>
      </c>
      <c r="I132" s="47" t="str">
        <f>VLOOKUP(H132,'Index Sequence'!$A$2:$B$10000,2,FALSE)</f>
        <v>ACCTCTTC</v>
      </c>
      <c r="J132" s="2" t="str">
        <f>Sample!R130</f>
        <v>L01</v>
      </c>
      <c r="K132" s="48" t="str">
        <f>IF(AND(OR(LEFT(Sample!A130,1)={"E","H","T","B","V","L"},LEFT(Sample!A130,2)="ID"),OR(LEFT(Sample!C130,2)="JI",LEFT(Sample!C130,1)="I")),"TS1",IF(AND(OR(LEFT(Sample!A130,1)={"E","H","T","B","V","L"},LEFT(Sample!A130,2)="ID"),OR(LEFT(Sample!C130,2)={"JX","JW"},LEFT(Sample!C130,1)="X")),"TS95",IF(AND(OR(LEFT(Sample!A130,1)={"E","H","T","B","V","L"},LEFT(Sample!A130,2)="ID"),OR(LEFT(Sample!C130,2)="JN",LEFT(Sample!C130,1)="N")),"TS3",IF(AND(OR(LEFT(Sample!A130,1)={"E","H","T","B","V","L"},LEFT(Sample!A130,2)="ID"),OR(LEFT(Sample!C130,2)={"JA","AN","AG","AD"})),"TS24",IF(AND(OR(LEFT(Sample!A130,1)={"T","B","E","H","V","L"},LEFT(Sample!A130,2)="ID"),OR(LEFT(Sample!C130,2)={"SA","JS","AS","AA"},LEFT(Sample!C130,4)="SERA")),"TSPRO",IF(AND(LEFT(Sample!A130,2)="CR",OR(MID(Sample!C130,3,1)="D",MID(Sample!C130,3,1)="B")),"CARRIER9",IF(LEFT(Sample!A130,2)="CR","CARRIER18",Sample!A130)))))))</f>
        <v>TSPRO</v>
      </c>
    </row>
    <row r="133" spans="1:11" x14ac:dyDescent="0.35">
      <c r="A133" s="46" t="str">
        <f>Sample!B131&amp;"-"&amp;Sample!C131</f>
        <v>13-AAABLE37</v>
      </c>
      <c r="B133" s="46" t="str">
        <f>Sample!B131&amp;"-"&amp;Sample!C131</f>
        <v>13-AAABLE37</v>
      </c>
      <c r="C133" s="48" t="str">
        <f>Sample!A131</f>
        <v>T2934A</v>
      </c>
      <c r="D133" s="3"/>
      <c r="E133" s="3"/>
      <c r="F133" s="46" t="str">
        <f>Sample!K131</f>
        <v>S97141</v>
      </c>
      <c r="G133" s="47" t="str">
        <f>VLOOKUP(F133,'Index Sequence'!$A$2:$B$10000,2,FALSE)</f>
        <v>AGTGTTGG</v>
      </c>
      <c r="H133" s="47" t="str">
        <f>Sample!L131</f>
        <v>S95141</v>
      </c>
      <c r="I133" s="47" t="str">
        <f>VLOOKUP(H133,'Index Sequence'!$A$2:$B$10000,2,FALSE)</f>
        <v>CATTGACG</v>
      </c>
      <c r="J133" s="2" t="str">
        <f>Sample!R131</f>
        <v>L01</v>
      </c>
      <c r="K133" s="48" t="str">
        <f>IF(AND(OR(LEFT(Sample!A131,1)={"E","H","T","B","V","L"},LEFT(Sample!A131,2)="ID"),OR(LEFT(Sample!C131,2)="JI",LEFT(Sample!C131,1)="I")),"TS1",IF(AND(OR(LEFT(Sample!A131,1)={"E","H","T","B","V","L"},LEFT(Sample!A131,2)="ID"),OR(LEFT(Sample!C131,2)={"JX","JW"},LEFT(Sample!C131,1)="X")),"TS95",IF(AND(OR(LEFT(Sample!A131,1)={"E","H","T","B","V","L"},LEFT(Sample!A131,2)="ID"),OR(LEFT(Sample!C131,2)="JN",LEFT(Sample!C131,1)="N")),"TS3",IF(AND(OR(LEFT(Sample!A131,1)={"E","H","T","B","V","L"},LEFT(Sample!A131,2)="ID"),OR(LEFT(Sample!C131,2)={"JA","AN","AG","AD"})),"TS24",IF(AND(OR(LEFT(Sample!A131,1)={"T","B","E","H","V","L"},LEFT(Sample!A131,2)="ID"),OR(LEFT(Sample!C131,2)={"SA","JS","AS","AA"},LEFT(Sample!C131,4)="SERA")),"TSPRO",IF(AND(LEFT(Sample!A131,2)="CR",OR(MID(Sample!C131,3,1)="D",MID(Sample!C131,3,1)="B")),"CARRIER9",IF(LEFT(Sample!A131,2)="CR","CARRIER18",Sample!A131)))))))</f>
        <v>TSPRO</v>
      </c>
    </row>
    <row r="134" spans="1:11" x14ac:dyDescent="0.35">
      <c r="A134" s="46" t="str">
        <f>Sample!B132&amp;"-"&amp;Sample!C132</f>
        <v>14-AAABLE38</v>
      </c>
      <c r="B134" s="46" t="str">
        <f>Sample!B132&amp;"-"&amp;Sample!C132</f>
        <v>14-AAABLE38</v>
      </c>
      <c r="C134" s="48" t="str">
        <f>Sample!A132</f>
        <v>T2934A</v>
      </c>
      <c r="D134" s="3"/>
      <c r="E134" s="3"/>
      <c r="F134" s="46" t="str">
        <f>Sample!K132</f>
        <v>S97142</v>
      </c>
      <c r="G134" s="47" t="str">
        <f>VLOOKUP(F134,'Index Sequence'!$A$2:$B$10000,2,FALSE)</f>
        <v>GTACTCTC</v>
      </c>
      <c r="H134" s="47" t="str">
        <f>Sample!L132</f>
        <v>S95142</v>
      </c>
      <c r="I134" s="47" t="str">
        <f>VLOOKUP(H134,'Index Sequence'!$A$2:$B$10000,2,FALSE)</f>
        <v>TCCTGGTA</v>
      </c>
      <c r="J134" s="2" t="str">
        <f>Sample!R132</f>
        <v>L01</v>
      </c>
      <c r="K134" s="48" t="str">
        <f>IF(AND(OR(LEFT(Sample!A132,1)={"E","H","T","B","V","L"},LEFT(Sample!A132,2)="ID"),OR(LEFT(Sample!C132,2)="JI",LEFT(Sample!C132,1)="I")),"TS1",IF(AND(OR(LEFT(Sample!A132,1)={"E","H","T","B","V","L"},LEFT(Sample!A132,2)="ID"),OR(LEFT(Sample!C132,2)={"JX","JW"},LEFT(Sample!C132,1)="X")),"TS95",IF(AND(OR(LEFT(Sample!A132,1)={"E","H","T","B","V","L"},LEFT(Sample!A132,2)="ID"),OR(LEFT(Sample!C132,2)="JN",LEFT(Sample!C132,1)="N")),"TS3",IF(AND(OR(LEFT(Sample!A132,1)={"E","H","T","B","V","L"},LEFT(Sample!A132,2)="ID"),OR(LEFT(Sample!C132,2)={"JA","AN","AG","AD"})),"TS24",IF(AND(OR(LEFT(Sample!A132,1)={"T","B","E","H","V","L"},LEFT(Sample!A132,2)="ID"),OR(LEFT(Sample!C132,2)={"SA","JS","AS","AA"},LEFT(Sample!C132,4)="SERA")),"TSPRO",IF(AND(LEFT(Sample!A132,2)="CR",OR(MID(Sample!C132,3,1)="D",MID(Sample!C132,3,1)="B")),"CARRIER9",IF(LEFT(Sample!A132,2)="CR","CARRIER18",Sample!A132)))))))</f>
        <v>TSPRO</v>
      </c>
    </row>
    <row r="135" spans="1:11" x14ac:dyDescent="0.35">
      <c r="A135" s="46" t="str">
        <f>Sample!B133&amp;"-"&amp;Sample!C133</f>
        <v>15-AAABLE39</v>
      </c>
      <c r="B135" s="46" t="str">
        <f>Sample!B133&amp;"-"&amp;Sample!C133</f>
        <v>15-AAABLE39</v>
      </c>
      <c r="C135" s="48" t="str">
        <f>Sample!A133</f>
        <v>T2934A</v>
      </c>
      <c r="D135" s="3"/>
      <c r="E135" s="3"/>
      <c r="F135" s="46" t="str">
        <f>Sample!K133</f>
        <v>S97143</v>
      </c>
      <c r="G135" s="47" t="str">
        <f>VLOOKUP(F135,'Index Sequence'!$A$2:$B$10000,2,FALSE)</f>
        <v>CCGTATCT</v>
      </c>
      <c r="H135" s="47" t="str">
        <f>Sample!L133</f>
        <v>S95143</v>
      </c>
      <c r="I135" s="47" t="str">
        <f>VLOOKUP(H135,'Index Sequence'!$A$2:$B$10000,2,FALSE)</f>
        <v>TTCGTACG</v>
      </c>
      <c r="J135" s="2" t="str">
        <f>Sample!R133</f>
        <v>L01</v>
      </c>
      <c r="K135" s="48" t="str">
        <f>IF(AND(OR(LEFT(Sample!A133,1)={"E","H","T","B","V","L"},LEFT(Sample!A133,2)="ID"),OR(LEFT(Sample!C133,2)="JI",LEFT(Sample!C133,1)="I")),"TS1",IF(AND(OR(LEFT(Sample!A133,1)={"E","H","T","B","V","L"},LEFT(Sample!A133,2)="ID"),OR(LEFT(Sample!C133,2)={"JX","JW"},LEFT(Sample!C133,1)="X")),"TS95",IF(AND(OR(LEFT(Sample!A133,1)={"E","H","T","B","V","L"},LEFT(Sample!A133,2)="ID"),OR(LEFT(Sample!C133,2)="JN",LEFT(Sample!C133,1)="N")),"TS3",IF(AND(OR(LEFT(Sample!A133,1)={"E","H","T","B","V","L"},LEFT(Sample!A133,2)="ID"),OR(LEFT(Sample!C133,2)={"JA","AN","AG","AD"})),"TS24",IF(AND(OR(LEFT(Sample!A133,1)={"T","B","E","H","V","L"},LEFT(Sample!A133,2)="ID"),OR(LEFT(Sample!C133,2)={"SA","JS","AS","AA"},LEFT(Sample!C133,4)="SERA")),"TSPRO",IF(AND(LEFT(Sample!A133,2)="CR",OR(MID(Sample!C133,3,1)="D",MID(Sample!C133,3,1)="B")),"CARRIER9",IF(LEFT(Sample!A133,2)="CR","CARRIER18",Sample!A133)))))))</f>
        <v>TSPRO</v>
      </c>
    </row>
    <row r="136" spans="1:11" x14ac:dyDescent="0.35">
      <c r="A136" s="46" t="str">
        <f>Sample!B134&amp;"-"&amp;Sample!C134</f>
        <v>16-AAABLE40</v>
      </c>
      <c r="B136" s="46" t="str">
        <f>Sample!B134&amp;"-"&amp;Sample!C134</f>
        <v>16-AAABLE40</v>
      </c>
      <c r="C136" s="48" t="str">
        <f>Sample!A134</f>
        <v>T2934A</v>
      </c>
      <c r="D136" s="3"/>
      <c r="E136" s="3"/>
      <c r="F136" s="46" t="str">
        <f>Sample!K134</f>
        <v>S97144</v>
      </c>
      <c r="G136" s="47" t="str">
        <f>VLOOKUP(F136,'Index Sequence'!$A$2:$B$10000,2,FALSE)</f>
        <v>CGAAGAAC</v>
      </c>
      <c r="H136" s="47" t="str">
        <f>Sample!L134</f>
        <v>S95144</v>
      </c>
      <c r="I136" s="47" t="str">
        <f>VLOOKUP(H136,'Index Sequence'!$A$2:$B$10000,2,FALSE)</f>
        <v>CCTAAGTC</v>
      </c>
      <c r="J136" s="2" t="str">
        <f>Sample!R134</f>
        <v>L01</v>
      </c>
      <c r="K136" s="48" t="str">
        <f>IF(AND(OR(LEFT(Sample!A134,1)={"E","H","T","B","V","L"},LEFT(Sample!A134,2)="ID"),OR(LEFT(Sample!C134,2)="JI",LEFT(Sample!C134,1)="I")),"TS1",IF(AND(OR(LEFT(Sample!A134,1)={"E","H","T","B","V","L"},LEFT(Sample!A134,2)="ID"),OR(LEFT(Sample!C134,2)={"JX","JW"},LEFT(Sample!C134,1)="X")),"TS95",IF(AND(OR(LEFT(Sample!A134,1)={"E","H","T","B","V","L"},LEFT(Sample!A134,2)="ID"),OR(LEFT(Sample!C134,2)="JN",LEFT(Sample!C134,1)="N")),"TS3",IF(AND(OR(LEFT(Sample!A134,1)={"E","H","T","B","V","L"},LEFT(Sample!A134,2)="ID"),OR(LEFT(Sample!C134,2)={"JA","AN","AG","AD"})),"TS24",IF(AND(OR(LEFT(Sample!A134,1)={"T","B","E","H","V","L"},LEFT(Sample!A134,2)="ID"),OR(LEFT(Sample!C134,2)={"SA","JS","AS","AA"},LEFT(Sample!C134,4)="SERA")),"TSPRO",IF(AND(LEFT(Sample!A134,2)="CR",OR(MID(Sample!C134,3,1)="D",MID(Sample!C134,3,1)="B")),"CARRIER9",IF(LEFT(Sample!A134,2)="CR","CARRIER18",Sample!A134)))))))</f>
        <v>TSPRO</v>
      </c>
    </row>
    <row r="137" spans="1:11" x14ac:dyDescent="0.35">
      <c r="A137" s="46" t="str">
        <f>Sample!B135&amp;"-"&amp;Sample!C135</f>
        <v>17-AAABLE41</v>
      </c>
      <c r="B137" s="46" t="str">
        <f>Sample!B135&amp;"-"&amp;Sample!C135</f>
        <v>17-AAABLE41</v>
      </c>
      <c r="C137" s="48" t="str">
        <f>Sample!A135</f>
        <v>T2934A</v>
      </c>
      <c r="D137" s="3"/>
      <c r="E137" s="3"/>
      <c r="F137" s="46" t="str">
        <f>Sample!K135</f>
        <v>S97151</v>
      </c>
      <c r="G137" s="47" t="str">
        <f>VLOOKUP(F137,'Index Sequence'!$A$2:$B$10000,2,FALSE)</f>
        <v>TTCGCAGT</v>
      </c>
      <c r="H137" s="47" t="str">
        <f>Sample!L135</f>
        <v>S95151</v>
      </c>
      <c r="I137" s="47" t="str">
        <f>VLOOKUP(H137,'Index Sequence'!$A$2:$B$10000,2,FALSE)</f>
        <v>TCCGATCA</v>
      </c>
      <c r="J137" s="2" t="str">
        <f>Sample!R135</f>
        <v>L01</v>
      </c>
      <c r="K137" s="48" t="str">
        <f>IF(AND(OR(LEFT(Sample!A135,1)={"E","H","T","B","V","L"},LEFT(Sample!A135,2)="ID"),OR(LEFT(Sample!C135,2)="JI",LEFT(Sample!C135,1)="I")),"TS1",IF(AND(OR(LEFT(Sample!A135,1)={"E","H","T","B","V","L"},LEFT(Sample!A135,2)="ID"),OR(LEFT(Sample!C135,2)={"JX","JW"},LEFT(Sample!C135,1)="X")),"TS95",IF(AND(OR(LEFT(Sample!A135,1)={"E","H","T","B","V","L"},LEFT(Sample!A135,2)="ID"),OR(LEFT(Sample!C135,2)="JN",LEFT(Sample!C135,1)="N")),"TS3",IF(AND(OR(LEFT(Sample!A135,1)={"E","H","T","B","V","L"},LEFT(Sample!A135,2)="ID"),OR(LEFT(Sample!C135,2)={"JA","AN","AG","AD"})),"TS24",IF(AND(OR(LEFT(Sample!A135,1)={"T","B","E","H","V","L"},LEFT(Sample!A135,2)="ID"),OR(LEFT(Sample!C135,2)={"SA","JS","AS","AA"},LEFT(Sample!C135,4)="SERA")),"TSPRO",IF(AND(LEFT(Sample!A135,2)="CR",OR(MID(Sample!C135,3,1)="D",MID(Sample!C135,3,1)="B")),"CARRIER9",IF(LEFT(Sample!A135,2)="CR","CARRIER18",Sample!A135)))))))</f>
        <v>TSPRO</v>
      </c>
    </row>
    <row r="138" spans="1:11" x14ac:dyDescent="0.35">
      <c r="A138" s="46" t="str">
        <f>Sample!B136&amp;"-"&amp;Sample!C136</f>
        <v>18-AAABLE42</v>
      </c>
      <c r="B138" s="46" t="str">
        <f>Sample!B136&amp;"-"&amp;Sample!C136</f>
        <v>18-AAABLE42</v>
      </c>
      <c r="C138" s="48" t="str">
        <f>Sample!A136</f>
        <v>T2934A</v>
      </c>
      <c r="D138" s="3"/>
      <c r="E138" s="3"/>
      <c r="F138" s="46" t="str">
        <f>Sample!K136</f>
        <v>S97152</v>
      </c>
      <c r="G138" s="47" t="str">
        <f>VLOOKUP(F138,'Index Sequence'!$A$2:$B$10000,2,FALSE)</f>
        <v>ACGACAGA</v>
      </c>
      <c r="H138" s="47" t="str">
        <f>Sample!L136</f>
        <v>S95152</v>
      </c>
      <c r="I138" s="47" t="str">
        <f>VLOOKUP(H138,'Index Sequence'!$A$2:$B$10000,2,FALSE)</f>
        <v>CGCAACTA</v>
      </c>
      <c r="J138" s="2" t="str">
        <f>Sample!R136</f>
        <v>L01</v>
      </c>
      <c r="K138" s="48" t="str">
        <f>IF(AND(OR(LEFT(Sample!A136,1)={"E","H","T","B","V","L"},LEFT(Sample!A136,2)="ID"),OR(LEFT(Sample!C136,2)="JI",LEFT(Sample!C136,1)="I")),"TS1",IF(AND(OR(LEFT(Sample!A136,1)={"E","H","T","B","V","L"},LEFT(Sample!A136,2)="ID"),OR(LEFT(Sample!C136,2)={"JX","JW"},LEFT(Sample!C136,1)="X")),"TS95",IF(AND(OR(LEFT(Sample!A136,1)={"E","H","T","B","V","L"},LEFT(Sample!A136,2)="ID"),OR(LEFT(Sample!C136,2)="JN",LEFT(Sample!C136,1)="N")),"TS3",IF(AND(OR(LEFT(Sample!A136,1)={"E","H","T","B","V","L"},LEFT(Sample!A136,2)="ID"),OR(LEFT(Sample!C136,2)={"JA","AN","AG","AD"})),"TS24",IF(AND(OR(LEFT(Sample!A136,1)={"T","B","E","H","V","L"},LEFT(Sample!A136,2)="ID"),OR(LEFT(Sample!C136,2)={"SA","JS","AS","AA"},LEFT(Sample!C136,4)="SERA")),"TSPRO",IF(AND(LEFT(Sample!A136,2)="CR",OR(MID(Sample!C136,3,1)="D",MID(Sample!C136,3,1)="B")),"CARRIER9",IF(LEFT(Sample!A136,2)="CR","CARRIER18",Sample!A136)))))))</f>
        <v>TSPRO</v>
      </c>
    </row>
    <row r="139" spans="1:11" x14ac:dyDescent="0.35">
      <c r="A139" s="46" t="str">
        <f>Sample!B137&amp;"-"&amp;Sample!C137</f>
        <v>19-XAACLF30xxy</v>
      </c>
      <c r="B139" s="46" t="str">
        <f>Sample!B137&amp;"-"&amp;Sample!C137</f>
        <v>19-XAACLF30xxy</v>
      </c>
      <c r="C139" s="48" t="str">
        <f>Sample!A137</f>
        <v>T2934A</v>
      </c>
      <c r="D139" s="3"/>
      <c r="E139" s="3"/>
      <c r="F139" s="46" t="str">
        <f>Sample!K137</f>
        <v>S97272</v>
      </c>
      <c r="G139" s="47" t="str">
        <f>VLOOKUP(F139,'Index Sequence'!$A$2:$B$10000,2,FALSE)</f>
        <v>ACTGCTAG</v>
      </c>
      <c r="H139" s="47" t="str">
        <f>Sample!L137</f>
        <v>S95272</v>
      </c>
      <c r="I139" s="47" t="str">
        <f>VLOOKUP(H139,'Index Sequence'!$A$2:$B$10000,2,FALSE)</f>
        <v>AACACTGG</v>
      </c>
      <c r="J139" s="2" t="str">
        <f>Sample!R137</f>
        <v>L01</v>
      </c>
      <c r="K139" s="48" t="str">
        <f>IF(AND(OR(LEFT(Sample!A137,1)={"E","H","T","B","V","L"},LEFT(Sample!A137,2)="ID"),OR(LEFT(Sample!C137,2)="JI",LEFT(Sample!C137,1)="I")),"TS1",IF(AND(OR(LEFT(Sample!A137,1)={"E","H","T","B","V","L"},LEFT(Sample!A137,2)="ID"),OR(LEFT(Sample!C137,2)={"JX","JW"},LEFT(Sample!C137,1)="X")),"TS95",IF(AND(OR(LEFT(Sample!A137,1)={"E","H","T","B","V","L"},LEFT(Sample!A137,2)="ID"),OR(LEFT(Sample!C137,2)="JN",LEFT(Sample!C137,1)="N")),"TS3",IF(AND(OR(LEFT(Sample!A137,1)={"E","H","T","B","V","L"},LEFT(Sample!A137,2)="ID"),OR(LEFT(Sample!C137,2)={"JA","AN","AG","AD"})),"TS24",IF(AND(OR(LEFT(Sample!A137,1)={"T","B","E","H","V","L"},LEFT(Sample!A137,2)="ID"),OR(LEFT(Sample!C137,2)={"SA","JS","AS","AA"},LEFT(Sample!C137,4)="SERA")),"TSPRO",IF(AND(LEFT(Sample!A137,2)="CR",OR(MID(Sample!C137,3,1)="D",MID(Sample!C137,3,1)="B")),"CARRIER9",IF(LEFT(Sample!A137,2)="CR","CARRIER18",Sample!A137)))))))</f>
        <v>TS95</v>
      </c>
    </row>
    <row r="140" spans="1:11" x14ac:dyDescent="0.35">
      <c r="A140" s="46" t="str">
        <f>Sample!B138&amp;"-"&amp;Sample!C138</f>
        <v>1-SAAAFX86</v>
      </c>
      <c r="B140" s="46" t="str">
        <f>Sample!B138&amp;"-"&amp;Sample!C138</f>
        <v>1-SAAAFX86</v>
      </c>
      <c r="C140" s="48" t="str">
        <f>Sample!A138</f>
        <v>T2935A</v>
      </c>
      <c r="D140" s="3"/>
      <c r="E140" s="3"/>
      <c r="F140" s="46" t="str">
        <f>Sample!K138</f>
        <v>S97097</v>
      </c>
      <c r="G140" s="47" t="str">
        <f>VLOOKUP(F140,'Index Sequence'!$A$2:$B$10000,2,FALSE)</f>
        <v>GCCTATCA</v>
      </c>
      <c r="H140" s="47" t="str">
        <f>Sample!L138</f>
        <v>S95097</v>
      </c>
      <c r="I140" s="47" t="str">
        <f>VLOOKUP(H140,'Index Sequence'!$A$2:$B$10000,2,FALSE)</f>
        <v>AATGGTCG</v>
      </c>
      <c r="J140" s="2" t="str">
        <f>Sample!R138</f>
        <v>L01</v>
      </c>
      <c r="K140" s="48" t="str">
        <f>IF(AND(OR(LEFT(Sample!A138,1)={"E","H","T","B","V","L"},LEFT(Sample!A138,2)="ID"),OR(LEFT(Sample!C138,2)="JI",LEFT(Sample!C138,1)="I")),"TS1",IF(AND(OR(LEFT(Sample!A138,1)={"E","H","T","B","V","L"},LEFT(Sample!A138,2)="ID"),OR(LEFT(Sample!C138,2)={"JX","JW"},LEFT(Sample!C138,1)="X")),"TS95",IF(AND(OR(LEFT(Sample!A138,1)={"E","H","T","B","V","L"},LEFT(Sample!A138,2)="ID"),OR(LEFT(Sample!C138,2)="JN",LEFT(Sample!C138,1)="N")),"TS3",IF(AND(OR(LEFT(Sample!A138,1)={"E","H","T","B","V","L"},LEFT(Sample!A138,2)="ID"),OR(LEFT(Sample!C138,2)={"JA","AN","AG","AD"})),"TS24",IF(AND(OR(LEFT(Sample!A138,1)={"T","B","E","H","V","L"},LEFT(Sample!A138,2)="ID"),OR(LEFT(Sample!C138,2)={"SA","JS","AS","AA"},LEFT(Sample!C138,4)="SERA")),"TSPRO",IF(AND(LEFT(Sample!A138,2)="CR",OR(MID(Sample!C138,3,1)="D",MID(Sample!C138,3,1)="B")),"CARRIER9",IF(LEFT(Sample!A138,2)="CR","CARRIER18",Sample!A138)))))))</f>
        <v>TSPRO</v>
      </c>
    </row>
    <row r="141" spans="1:11" x14ac:dyDescent="0.35">
      <c r="A141" s="46" t="str">
        <f>Sample!B139&amp;"-"&amp;Sample!C139</f>
        <v>2-SAAAFX87</v>
      </c>
      <c r="B141" s="46" t="str">
        <f>Sample!B139&amp;"-"&amp;Sample!C139</f>
        <v>2-SAAAFX87</v>
      </c>
      <c r="C141" s="48" t="str">
        <f>Sample!A139</f>
        <v>T2935A</v>
      </c>
      <c r="D141" s="3"/>
      <c r="E141" s="3"/>
      <c r="F141" s="46" t="str">
        <f>Sample!K139</f>
        <v>S97098</v>
      </c>
      <c r="G141" s="47" t="str">
        <f>VLOOKUP(F141,'Index Sequence'!$A$2:$B$10000,2,FALSE)</f>
        <v>CTTGGATG</v>
      </c>
      <c r="H141" s="47" t="str">
        <f>Sample!L139</f>
        <v>S95098</v>
      </c>
      <c r="I141" s="47" t="str">
        <f>VLOOKUP(H141,'Index Sequence'!$A$2:$B$10000,2,FALSE)</f>
        <v>TCGCTATC</v>
      </c>
      <c r="J141" s="2" t="str">
        <f>Sample!R139</f>
        <v>L01</v>
      </c>
      <c r="K141" s="48" t="str">
        <f>IF(AND(OR(LEFT(Sample!A139,1)={"E","H","T","B","V","L"},LEFT(Sample!A139,2)="ID"),OR(LEFT(Sample!C139,2)="JI",LEFT(Sample!C139,1)="I")),"TS1",IF(AND(OR(LEFT(Sample!A139,1)={"E","H","T","B","V","L"},LEFT(Sample!A139,2)="ID"),OR(LEFT(Sample!C139,2)={"JX","JW"},LEFT(Sample!C139,1)="X")),"TS95",IF(AND(OR(LEFT(Sample!A139,1)={"E","H","T","B","V","L"},LEFT(Sample!A139,2)="ID"),OR(LEFT(Sample!C139,2)="JN",LEFT(Sample!C139,1)="N")),"TS3",IF(AND(OR(LEFT(Sample!A139,1)={"E","H","T","B","V","L"},LEFT(Sample!A139,2)="ID"),OR(LEFT(Sample!C139,2)={"JA","AN","AG","AD"})),"TS24",IF(AND(OR(LEFT(Sample!A139,1)={"T","B","E","H","V","L"},LEFT(Sample!A139,2)="ID"),OR(LEFT(Sample!C139,2)={"SA","JS","AS","AA"},LEFT(Sample!C139,4)="SERA")),"TSPRO",IF(AND(LEFT(Sample!A139,2)="CR",OR(MID(Sample!C139,3,1)="D",MID(Sample!C139,3,1)="B")),"CARRIER9",IF(LEFT(Sample!A139,2)="CR","CARRIER18",Sample!A139)))))))</f>
        <v>TSPRO</v>
      </c>
    </row>
    <row r="142" spans="1:11" x14ac:dyDescent="0.35">
      <c r="A142" s="46" t="str">
        <f>Sample!B140&amp;"-"&amp;Sample!C140</f>
        <v>3-SAAAFX88</v>
      </c>
      <c r="B142" s="46" t="str">
        <f>Sample!B140&amp;"-"&amp;Sample!C140</f>
        <v>3-SAAAFX88</v>
      </c>
      <c r="C142" s="48" t="str">
        <f>Sample!A140</f>
        <v>T2935A</v>
      </c>
      <c r="D142" s="3"/>
      <c r="E142" s="3"/>
      <c r="F142" s="46" t="str">
        <f>Sample!K140</f>
        <v>S97099</v>
      </c>
      <c r="G142" s="47" t="str">
        <f>VLOOKUP(F142,'Index Sequence'!$A$2:$B$10000,2,FALSE)</f>
        <v>AGTCTCAC</v>
      </c>
      <c r="H142" s="47" t="str">
        <f>Sample!L140</f>
        <v>S95099</v>
      </c>
      <c r="I142" s="47" t="str">
        <f>VLOOKUP(H142,'Index Sequence'!$A$2:$B$10000,2,FALSE)</f>
        <v>CGTCCATT</v>
      </c>
      <c r="J142" s="2" t="str">
        <f>Sample!R140</f>
        <v>L01</v>
      </c>
      <c r="K142" s="48" t="str">
        <f>IF(AND(OR(LEFT(Sample!A140,1)={"E","H","T","B","V","L"},LEFT(Sample!A140,2)="ID"),OR(LEFT(Sample!C140,2)="JI",LEFT(Sample!C140,1)="I")),"TS1",IF(AND(OR(LEFT(Sample!A140,1)={"E","H","T","B","V","L"},LEFT(Sample!A140,2)="ID"),OR(LEFT(Sample!C140,2)={"JX","JW"},LEFT(Sample!C140,1)="X")),"TS95",IF(AND(OR(LEFT(Sample!A140,1)={"E","H","T","B","V","L"},LEFT(Sample!A140,2)="ID"),OR(LEFT(Sample!C140,2)="JN",LEFT(Sample!C140,1)="N")),"TS3",IF(AND(OR(LEFT(Sample!A140,1)={"E","H","T","B","V","L"},LEFT(Sample!A140,2)="ID"),OR(LEFT(Sample!C140,2)={"JA","AN","AG","AD"})),"TS24",IF(AND(OR(LEFT(Sample!A140,1)={"T","B","E","H","V","L"},LEFT(Sample!A140,2)="ID"),OR(LEFT(Sample!C140,2)={"SA","JS","AS","AA"},LEFT(Sample!C140,4)="SERA")),"TSPRO",IF(AND(LEFT(Sample!A140,2)="CR",OR(MID(Sample!C140,3,1)="D",MID(Sample!C140,3,1)="B")),"CARRIER9",IF(LEFT(Sample!A140,2)="CR","CARRIER18",Sample!A140)))))))</f>
        <v>TSPRO</v>
      </c>
    </row>
    <row r="143" spans="1:11" x14ac:dyDescent="0.35">
      <c r="A143" s="46" t="str">
        <f>Sample!B141&amp;"-"&amp;Sample!C141</f>
        <v>4-SAAAFX89</v>
      </c>
      <c r="B143" s="46" t="str">
        <f>Sample!B141&amp;"-"&amp;Sample!C141</f>
        <v>4-SAAAFX89</v>
      </c>
      <c r="C143" s="48" t="str">
        <f>Sample!A141</f>
        <v>T2935A</v>
      </c>
      <c r="D143" s="3"/>
      <c r="E143" s="3"/>
      <c r="F143" s="46" t="str">
        <f>Sample!K141</f>
        <v>S97100</v>
      </c>
      <c r="G143" s="47" t="str">
        <f>VLOOKUP(F143,'Index Sequence'!$A$2:$B$10000,2,FALSE)</f>
        <v>CTCATCAG</v>
      </c>
      <c r="H143" s="47" t="str">
        <f>Sample!L141</f>
        <v>S95100</v>
      </c>
      <c r="I143" s="47" t="str">
        <f>VLOOKUP(H143,'Index Sequence'!$A$2:$B$10000,2,FALSE)</f>
        <v>TACTAGCG</v>
      </c>
      <c r="J143" s="2" t="str">
        <f>Sample!R141</f>
        <v>L01</v>
      </c>
      <c r="K143" s="48" t="str">
        <f>IF(AND(OR(LEFT(Sample!A141,1)={"E","H","T","B","V","L"},LEFT(Sample!A141,2)="ID"),OR(LEFT(Sample!C141,2)="JI",LEFT(Sample!C141,1)="I")),"TS1",IF(AND(OR(LEFT(Sample!A141,1)={"E","H","T","B","V","L"},LEFT(Sample!A141,2)="ID"),OR(LEFT(Sample!C141,2)={"JX","JW"},LEFT(Sample!C141,1)="X")),"TS95",IF(AND(OR(LEFT(Sample!A141,1)={"E","H","T","B","V","L"},LEFT(Sample!A141,2)="ID"),OR(LEFT(Sample!C141,2)="JN",LEFT(Sample!C141,1)="N")),"TS3",IF(AND(OR(LEFT(Sample!A141,1)={"E","H","T","B","V","L"},LEFT(Sample!A141,2)="ID"),OR(LEFT(Sample!C141,2)={"JA","AN","AG","AD"})),"TS24",IF(AND(OR(LEFT(Sample!A141,1)={"T","B","E","H","V","L"},LEFT(Sample!A141,2)="ID"),OR(LEFT(Sample!C141,2)={"SA","JS","AS","AA"},LEFT(Sample!C141,4)="SERA")),"TSPRO",IF(AND(LEFT(Sample!A141,2)="CR",OR(MID(Sample!C141,3,1)="D",MID(Sample!C141,3,1)="B")),"CARRIER9",IF(LEFT(Sample!A141,2)="CR","CARRIER18",Sample!A141)))))))</f>
        <v>TSPRO</v>
      </c>
    </row>
    <row r="144" spans="1:11" x14ac:dyDescent="0.35">
      <c r="A144" s="46" t="str">
        <f>Sample!B142&amp;"-"&amp;Sample!C142</f>
        <v>5-SAAAFX90</v>
      </c>
      <c r="B144" s="46" t="str">
        <f>Sample!B142&amp;"-"&amp;Sample!C142</f>
        <v>5-SAAAFX90</v>
      </c>
      <c r="C144" s="48" t="str">
        <f>Sample!A142</f>
        <v>T2935A</v>
      </c>
      <c r="D144" s="3"/>
      <c r="E144" s="3"/>
      <c r="F144" s="46" t="str">
        <f>Sample!K142</f>
        <v>S97101</v>
      </c>
      <c r="G144" s="47" t="str">
        <f>VLOOKUP(F144,'Index Sequence'!$A$2:$B$10000,2,FALSE)</f>
        <v>TGTACCGT</v>
      </c>
      <c r="H144" s="47" t="str">
        <f>Sample!L142</f>
        <v>S95101</v>
      </c>
      <c r="I144" s="47" t="str">
        <f>VLOOKUP(H144,'Index Sequence'!$A$2:$B$10000,2,FALSE)</f>
        <v>CCTAGAGA</v>
      </c>
      <c r="J144" s="2" t="str">
        <f>Sample!R142</f>
        <v>L01</v>
      </c>
      <c r="K144" s="48" t="str">
        <f>IF(AND(OR(LEFT(Sample!A142,1)={"E","H","T","B","V","L"},LEFT(Sample!A142,2)="ID"),OR(LEFT(Sample!C142,2)="JI",LEFT(Sample!C142,1)="I")),"TS1",IF(AND(OR(LEFT(Sample!A142,1)={"E","H","T","B","V","L"},LEFT(Sample!A142,2)="ID"),OR(LEFT(Sample!C142,2)={"JX","JW"},LEFT(Sample!C142,1)="X")),"TS95",IF(AND(OR(LEFT(Sample!A142,1)={"E","H","T","B","V","L"},LEFT(Sample!A142,2)="ID"),OR(LEFT(Sample!C142,2)="JN",LEFT(Sample!C142,1)="N")),"TS3",IF(AND(OR(LEFT(Sample!A142,1)={"E","H","T","B","V","L"},LEFT(Sample!A142,2)="ID"),OR(LEFT(Sample!C142,2)={"JA","AN","AG","AD"})),"TS24",IF(AND(OR(LEFT(Sample!A142,1)={"T","B","E","H","V","L"},LEFT(Sample!A142,2)="ID"),OR(LEFT(Sample!C142,2)={"SA","JS","AS","AA"},LEFT(Sample!C142,4)="SERA")),"TSPRO",IF(AND(LEFT(Sample!A142,2)="CR",OR(MID(Sample!C142,3,1)="D",MID(Sample!C142,3,1)="B")),"CARRIER9",IF(LEFT(Sample!A142,2)="CR","CARRIER18",Sample!A142)))))))</f>
        <v>TSPRO</v>
      </c>
    </row>
    <row r="145" spans="1:11" x14ac:dyDescent="0.35">
      <c r="A145" s="46" t="str">
        <f>Sample!B143&amp;"-"&amp;Sample!C143</f>
        <v>6-SAAAFX91</v>
      </c>
      <c r="B145" s="46" t="str">
        <f>Sample!B143&amp;"-"&amp;Sample!C143</f>
        <v>6-SAAAFX91</v>
      </c>
      <c r="C145" s="48" t="str">
        <f>Sample!A143</f>
        <v>T2935A</v>
      </c>
      <c r="D145" s="3"/>
      <c r="E145" s="3"/>
      <c r="F145" s="46" t="str">
        <f>Sample!K143</f>
        <v>S97102</v>
      </c>
      <c r="G145" s="47" t="str">
        <f>VLOOKUP(F145,'Index Sequence'!$A$2:$B$10000,2,FALSE)</f>
        <v>AAGTCGAG</v>
      </c>
      <c r="H145" s="47" t="str">
        <f>Sample!L143</f>
        <v>S95102</v>
      </c>
      <c r="I145" s="47" t="str">
        <f>VLOOKUP(H145,'Index Sequence'!$A$2:$B$10000,2,FALSE)</f>
        <v>CGCAATGT</v>
      </c>
      <c r="J145" s="2" t="str">
        <f>Sample!R143</f>
        <v>L01</v>
      </c>
      <c r="K145" s="48" t="str">
        <f>IF(AND(OR(LEFT(Sample!A143,1)={"E","H","T","B","V","L"},LEFT(Sample!A143,2)="ID"),OR(LEFT(Sample!C143,2)="JI",LEFT(Sample!C143,1)="I")),"TS1",IF(AND(OR(LEFT(Sample!A143,1)={"E","H","T","B","V","L"},LEFT(Sample!A143,2)="ID"),OR(LEFT(Sample!C143,2)={"JX","JW"},LEFT(Sample!C143,1)="X")),"TS95",IF(AND(OR(LEFT(Sample!A143,1)={"E","H","T","B","V","L"},LEFT(Sample!A143,2)="ID"),OR(LEFT(Sample!C143,2)="JN",LEFT(Sample!C143,1)="N")),"TS3",IF(AND(OR(LEFT(Sample!A143,1)={"E","H","T","B","V","L"},LEFT(Sample!A143,2)="ID"),OR(LEFT(Sample!C143,2)={"JA","AN","AG","AD"})),"TS24",IF(AND(OR(LEFT(Sample!A143,1)={"T","B","E","H","V","L"},LEFT(Sample!A143,2)="ID"),OR(LEFT(Sample!C143,2)={"SA","JS","AS","AA"},LEFT(Sample!C143,4)="SERA")),"TSPRO",IF(AND(LEFT(Sample!A143,2)="CR",OR(MID(Sample!C143,3,1)="D",MID(Sample!C143,3,1)="B")),"CARRIER9",IF(LEFT(Sample!A143,2)="CR","CARRIER18",Sample!A143)))))))</f>
        <v>TSPRO</v>
      </c>
    </row>
    <row r="146" spans="1:11" x14ac:dyDescent="0.35">
      <c r="A146" s="46" t="str">
        <f>Sample!B144&amp;"-"&amp;Sample!C144</f>
        <v>7-SAAAFX92</v>
      </c>
      <c r="B146" s="46" t="str">
        <f>Sample!B144&amp;"-"&amp;Sample!C144</f>
        <v>7-SAAAFX92</v>
      </c>
      <c r="C146" s="48" t="str">
        <f>Sample!A144</f>
        <v>T2935A</v>
      </c>
      <c r="D146" s="3"/>
      <c r="E146" s="3"/>
      <c r="F146" s="46" t="str">
        <f>Sample!K144</f>
        <v>S97103</v>
      </c>
      <c r="G146" s="47" t="str">
        <f>VLOOKUP(F146,'Index Sequence'!$A$2:$B$10000,2,FALSE)</f>
        <v>CACGTTGT</v>
      </c>
      <c r="H146" s="47" t="str">
        <f>Sample!L144</f>
        <v>S95103</v>
      </c>
      <c r="I146" s="47" t="str">
        <f>VLOOKUP(H146,'Index Sequence'!$A$2:$B$10000,2,FALSE)</f>
        <v>ACACCTCA</v>
      </c>
      <c r="J146" s="2" t="str">
        <f>Sample!R144</f>
        <v>L01</v>
      </c>
      <c r="K146" s="48" t="str">
        <f>IF(AND(OR(LEFT(Sample!A144,1)={"E","H","T","B","V","L"},LEFT(Sample!A144,2)="ID"),OR(LEFT(Sample!C144,2)="JI",LEFT(Sample!C144,1)="I")),"TS1",IF(AND(OR(LEFT(Sample!A144,1)={"E","H","T","B","V","L"},LEFT(Sample!A144,2)="ID"),OR(LEFT(Sample!C144,2)={"JX","JW"},LEFT(Sample!C144,1)="X")),"TS95",IF(AND(OR(LEFT(Sample!A144,1)={"E","H","T","B","V","L"},LEFT(Sample!A144,2)="ID"),OR(LEFT(Sample!C144,2)="JN",LEFT(Sample!C144,1)="N")),"TS3",IF(AND(OR(LEFT(Sample!A144,1)={"E","H","T","B","V","L"},LEFT(Sample!A144,2)="ID"),OR(LEFT(Sample!C144,2)={"JA","AN","AG","AD"})),"TS24",IF(AND(OR(LEFT(Sample!A144,1)={"T","B","E","H","V","L"},LEFT(Sample!A144,2)="ID"),OR(LEFT(Sample!C144,2)={"SA","JS","AS","AA"},LEFT(Sample!C144,4)="SERA")),"TSPRO",IF(AND(LEFT(Sample!A144,2)="CR",OR(MID(Sample!C144,3,1)="D",MID(Sample!C144,3,1)="B")),"CARRIER9",IF(LEFT(Sample!A144,2)="CR","CARRIER18",Sample!A144)))))))</f>
        <v>TSPRO</v>
      </c>
    </row>
    <row r="147" spans="1:11" x14ac:dyDescent="0.35">
      <c r="A147" s="46" t="str">
        <f>Sample!B145&amp;"-"&amp;Sample!C145</f>
        <v>8-SAAAFX93</v>
      </c>
      <c r="B147" s="46" t="str">
        <f>Sample!B145&amp;"-"&amp;Sample!C145</f>
        <v>8-SAAAFX93</v>
      </c>
      <c r="C147" s="48" t="str">
        <f>Sample!A145</f>
        <v>T2935A</v>
      </c>
      <c r="D147" s="3"/>
      <c r="E147" s="3"/>
      <c r="F147" s="46" t="str">
        <f>Sample!K145</f>
        <v>S97104</v>
      </c>
      <c r="G147" s="47" t="str">
        <f>VLOOKUP(F147,'Index Sequence'!$A$2:$B$10000,2,FALSE)</f>
        <v>TCACAGCA</v>
      </c>
      <c r="H147" s="47" t="str">
        <f>Sample!L145</f>
        <v>S95104</v>
      </c>
      <c r="I147" s="47" t="str">
        <f>VLOOKUP(H147,'Index Sequence'!$A$2:$B$10000,2,FALSE)</f>
        <v>GAGGCATT</v>
      </c>
      <c r="J147" s="2" t="str">
        <f>Sample!R145</f>
        <v>L01</v>
      </c>
      <c r="K147" s="48" t="str">
        <f>IF(AND(OR(LEFT(Sample!A145,1)={"E","H","T","B","V","L"},LEFT(Sample!A145,2)="ID"),OR(LEFT(Sample!C145,2)="JI",LEFT(Sample!C145,1)="I")),"TS1",IF(AND(OR(LEFT(Sample!A145,1)={"E","H","T","B","V","L"},LEFT(Sample!A145,2)="ID"),OR(LEFT(Sample!C145,2)={"JX","JW"},LEFT(Sample!C145,1)="X")),"TS95",IF(AND(OR(LEFT(Sample!A145,1)={"E","H","T","B","V","L"},LEFT(Sample!A145,2)="ID"),OR(LEFT(Sample!C145,2)="JN",LEFT(Sample!C145,1)="N")),"TS3",IF(AND(OR(LEFT(Sample!A145,1)={"E","H","T","B","V","L"},LEFT(Sample!A145,2)="ID"),OR(LEFT(Sample!C145,2)={"JA","AN","AG","AD"})),"TS24",IF(AND(OR(LEFT(Sample!A145,1)={"T","B","E","H","V","L"},LEFT(Sample!A145,2)="ID"),OR(LEFT(Sample!C145,2)={"SA","JS","AS","AA"},LEFT(Sample!C145,4)="SERA")),"TSPRO",IF(AND(LEFT(Sample!A145,2)="CR",OR(MID(Sample!C145,3,1)="D",MID(Sample!C145,3,1)="B")),"CARRIER9",IF(LEFT(Sample!A145,2)="CR","CARRIER18",Sample!A145)))))))</f>
        <v>TSPRO</v>
      </c>
    </row>
    <row r="148" spans="1:11" x14ac:dyDescent="0.35">
      <c r="A148" s="46" t="str">
        <f>Sample!B146&amp;"-"&amp;Sample!C146</f>
        <v>9-SAAAFX94</v>
      </c>
      <c r="B148" s="46" t="str">
        <f>Sample!B146&amp;"-"&amp;Sample!C146</f>
        <v>9-SAAAFX94</v>
      </c>
      <c r="C148" s="48" t="str">
        <f>Sample!A146</f>
        <v>T2935A</v>
      </c>
      <c r="D148" s="3"/>
      <c r="E148" s="3"/>
      <c r="F148" s="46" t="str">
        <f>Sample!K146</f>
        <v>S97109</v>
      </c>
      <c r="G148" s="47" t="str">
        <f>VLOOKUP(F148,'Index Sequence'!$A$2:$B$10000,2,FALSE)</f>
        <v>CTTACCTG</v>
      </c>
      <c r="H148" s="47" t="str">
        <f>Sample!L146</f>
        <v>S95109</v>
      </c>
      <c r="I148" s="47" t="str">
        <f>VLOOKUP(H148,'Index Sequence'!$A$2:$B$10000,2,FALSE)</f>
        <v>GCAATGAG</v>
      </c>
      <c r="J148" s="2" t="str">
        <f>Sample!R146</f>
        <v>L01</v>
      </c>
      <c r="K148" s="48" t="str">
        <f>IF(AND(OR(LEFT(Sample!A146,1)={"E","H","T","B","V","L"},LEFT(Sample!A146,2)="ID"),OR(LEFT(Sample!C146,2)="JI",LEFT(Sample!C146,1)="I")),"TS1",IF(AND(OR(LEFT(Sample!A146,1)={"E","H","T","B","V","L"},LEFT(Sample!A146,2)="ID"),OR(LEFT(Sample!C146,2)={"JX","JW"},LEFT(Sample!C146,1)="X")),"TS95",IF(AND(OR(LEFT(Sample!A146,1)={"E","H","T","B","V","L"},LEFT(Sample!A146,2)="ID"),OR(LEFT(Sample!C146,2)="JN",LEFT(Sample!C146,1)="N")),"TS3",IF(AND(OR(LEFT(Sample!A146,1)={"E","H","T","B","V","L"},LEFT(Sample!A146,2)="ID"),OR(LEFT(Sample!C146,2)={"JA","AN","AG","AD"})),"TS24",IF(AND(OR(LEFT(Sample!A146,1)={"T","B","E","H","V","L"},LEFT(Sample!A146,2)="ID"),OR(LEFT(Sample!C146,2)={"SA","JS","AS","AA"},LEFT(Sample!C146,4)="SERA")),"TSPRO",IF(AND(LEFT(Sample!A146,2)="CR",OR(MID(Sample!C146,3,1)="D",MID(Sample!C146,3,1)="B")),"CARRIER9",IF(LEFT(Sample!A146,2)="CR","CARRIER18",Sample!A146)))))))</f>
        <v>TSPRO</v>
      </c>
    </row>
    <row r="149" spans="1:11" x14ac:dyDescent="0.35">
      <c r="A149" s="46" t="str">
        <f>Sample!B147&amp;"-"&amp;Sample!C147</f>
        <v>10-SAAAFX95</v>
      </c>
      <c r="B149" s="46" t="str">
        <f>Sample!B147&amp;"-"&amp;Sample!C147</f>
        <v>10-SAAAFX95</v>
      </c>
      <c r="C149" s="48" t="str">
        <f>Sample!A147</f>
        <v>T2935A</v>
      </c>
      <c r="D149" s="3"/>
      <c r="E149" s="3"/>
      <c r="F149" s="46" t="str">
        <f>Sample!K147</f>
        <v>S97110</v>
      </c>
      <c r="G149" s="47" t="str">
        <f>VLOOKUP(F149,'Index Sequence'!$A$2:$B$10000,2,FALSE)</f>
        <v>CTCGATAC</v>
      </c>
      <c r="H149" s="47" t="str">
        <f>Sample!L147</f>
        <v>S95110</v>
      </c>
      <c r="I149" s="47" t="str">
        <f>VLOOKUP(H149,'Index Sequence'!$A$2:$B$10000,2,FALSE)</f>
        <v>AAGCTGGT</v>
      </c>
      <c r="J149" s="2" t="str">
        <f>Sample!R147</f>
        <v>L01</v>
      </c>
      <c r="K149" s="48" t="str">
        <f>IF(AND(OR(LEFT(Sample!A147,1)={"E","H","T","B","V","L"},LEFT(Sample!A147,2)="ID"),OR(LEFT(Sample!C147,2)="JI",LEFT(Sample!C147,1)="I")),"TS1",IF(AND(OR(LEFT(Sample!A147,1)={"E","H","T","B","V","L"},LEFT(Sample!A147,2)="ID"),OR(LEFT(Sample!C147,2)={"JX","JW"},LEFT(Sample!C147,1)="X")),"TS95",IF(AND(OR(LEFT(Sample!A147,1)={"E","H","T","B","V","L"},LEFT(Sample!A147,2)="ID"),OR(LEFT(Sample!C147,2)="JN",LEFT(Sample!C147,1)="N")),"TS3",IF(AND(OR(LEFT(Sample!A147,1)={"E","H","T","B","V","L"},LEFT(Sample!A147,2)="ID"),OR(LEFT(Sample!C147,2)={"JA","AN","AG","AD"})),"TS24",IF(AND(OR(LEFT(Sample!A147,1)={"T","B","E","H","V","L"},LEFT(Sample!A147,2)="ID"),OR(LEFT(Sample!C147,2)={"SA","JS","AS","AA"},LEFT(Sample!C147,4)="SERA")),"TSPRO",IF(AND(LEFT(Sample!A147,2)="CR",OR(MID(Sample!C147,3,1)="D",MID(Sample!C147,3,1)="B")),"CARRIER9",IF(LEFT(Sample!A147,2)="CR","CARRIER18",Sample!A147)))))))</f>
        <v>TSPRO</v>
      </c>
    </row>
    <row r="150" spans="1:11" x14ac:dyDescent="0.35">
      <c r="A150" s="46" t="str">
        <f>Sample!B148&amp;"-"&amp;Sample!C148</f>
        <v>11-SAAAFX96</v>
      </c>
      <c r="B150" s="46" t="str">
        <f>Sample!B148&amp;"-"&amp;Sample!C148</f>
        <v>11-SAAAFX96</v>
      </c>
      <c r="C150" s="48" t="str">
        <f>Sample!A148</f>
        <v>T2935A</v>
      </c>
      <c r="D150" s="3"/>
      <c r="E150" s="3"/>
      <c r="F150" s="46" t="str">
        <f>Sample!K148</f>
        <v>S97111</v>
      </c>
      <c r="G150" s="47" t="str">
        <f>VLOOKUP(F150,'Index Sequence'!$A$2:$B$10000,2,FALSE)</f>
        <v>TCCGTGAA</v>
      </c>
      <c r="H150" s="47" t="str">
        <f>Sample!L148</f>
        <v>S95111</v>
      </c>
      <c r="I150" s="47" t="str">
        <f>VLOOKUP(H150,'Index Sequence'!$A$2:$B$10000,2,FALSE)</f>
        <v>CACGATTC</v>
      </c>
      <c r="J150" s="2" t="str">
        <f>Sample!R148</f>
        <v>L01</v>
      </c>
      <c r="K150" s="48" t="str">
        <f>IF(AND(OR(LEFT(Sample!A148,1)={"E","H","T","B","V","L"},LEFT(Sample!A148,2)="ID"),OR(LEFT(Sample!C148,2)="JI",LEFT(Sample!C148,1)="I")),"TS1",IF(AND(OR(LEFT(Sample!A148,1)={"E","H","T","B","V","L"},LEFT(Sample!A148,2)="ID"),OR(LEFT(Sample!C148,2)={"JX","JW"},LEFT(Sample!C148,1)="X")),"TS95",IF(AND(OR(LEFT(Sample!A148,1)={"E","H","T","B","V","L"},LEFT(Sample!A148,2)="ID"),OR(LEFT(Sample!C148,2)="JN",LEFT(Sample!C148,1)="N")),"TS3",IF(AND(OR(LEFT(Sample!A148,1)={"E","H","T","B","V","L"},LEFT(Sample!A148,2)="ID"),OR(LEFT(Sample!C148,2)={"JA","AN","AG","AD"})),"TS24",IF(AND(OR(LEFT(Sample!A148,1)={"T","B","E","H","V","L"},LEFT(Sample!A148,2)="ID"),OR(LEFT(Sample!C148,2)={"SA","JS","AS","AA"},LEFT(Sample!C148,4)="SERA")),"TSPRO",IF(AND(LEFT(Sample!A148,2)="CR",OR(MID(Sample!C148,3,1)="D",MID(Sample!C148,3,1)="B")),"CARRIER9",IF(LEFT(Sample!A148,2)="CR","CARRIER18",Sample!A148)))))))</f>
        <v>TSPRO</v>
      </c>
    </row>
    <row r="151" spans="1:11" x14ac:dyDescent="0.35">
      <c r="A151" s="46" t="str">
        <f>Sample!B149&amp;"-"&amp;Sample!C149</f>
        <v>12-SAAAFX97</v>
      </c>
      <c r="B151" s="46" t="str">
        <f>Sample!B149&amp;"-"&amp;Sample!C149</f>
        <v>12-SAAAFX97</v>
      </c>
      <c r="C151" s="48" t="str">
        <f>Sample!A149</f>
        <v>T2935A</v>
      </c>
      <c r="D151" s="3"/>
      <c r="E151" s="3"/>
      <c r="F151" s="46" t="str">
        <f>Sample!K149</f>
        <v>S97112</v>
      </c>
      <c r="G151" s="47" t="str">
        <f>VLOOKUP(F151,'Index Sequence'!$A$2:$B$10000,2,FALSE)</f>
        <v>TAGAGCTC</v>
      </c>
      <c r="H151" s="47" t="str">
        <f>Sample!L149</f>
        <v>S95112</v>
      </c>
      <c r="I151" s="47" t="str">
        <f>VLOOKUP(H151,'Index Sequence'!$A$2:$B$10000,2,FALSE)</f>
        <v>AGAAGCCT</v>
      </c>
      <c r="J151" s="2" t="str">
        <f>Sample!R149</f>
        <v>L01</v>
      </c>
      <c r="K151" s="48" t="str">
        <f>IF(AND(OR(LEFT(Sample!A149,1)={"E","H","T","B","V","L"},LEFT(Sample!A149,2)="ID"),OR(LEFT(Sample!C149,2)="JI",LEFT(Sample!C149,1)="I")),"TS1",IF(AND(OR(LEFT(Sample!A149,1)={"E","H","T","B","V","L"},LEFT(Sample!A149,2)="ID"),OR(LEFT(Sample!C149,2)={"JX","JW"},LEFT(Sample!C149,1)="X")),"TS95",IF(AND(OR(LEFT(Sample!A149,1)={"E","H","T","B","V","L"},LEFT(Sample!A149,2)="ID"),OR(LEFT(Sample!C149,2)="JN",LEFT(Sample!C149,1)="N")),"TS3",IF(AND(OR(LEFT(Sample!A149,1)={"E","H","T","B","V","L"},LEFT(Sample!A149,2)="ID"),OR(LEFT(Sample!C149,2)={"JA","AN","AG","AD"})),"TS24",IF(AND(OR(LEFT(Sample!A149,1)={"T","B","E","H","V","L"},LEFT(Sample!A149,2)="ID"),OR(LEFT(Sample!C149,2)={"SA","JS","AS","AA"},LEFT(Sample!C149,4)="SERA")),"TSPRO",IF(AND(LEFT(Sample!A149,2)="CR",OR(MID(Sample!C149,3,1)="D",MID(Sample!C149,3,1)="B")),"CARRIER9",IF(LEFT(Sample!A149,2)="CR","CARRIER18",Sample!A149)))))))</f>
        <v>TSPRO</v>
      </c>
    </row>
    <row r="152" spans="1:11" x14ac:dyDescent="0.35">
      <c r="A152" s="46" t="str">
        <f>Sample!B150&amp;"-"&amp;Sample!C150</f>
        <v>13-SAAAFX98</v>
      </c>
      <c r="B152" s="46" t="str">
        <f>Sample!B150&amp;"-"&amp;Sample!C150</f>
        <v>13-SAAAFX98</v>
      </c>
      <c r="C152" s="48" t="str">
        <f>Sample!A150</f>
        <v>T2935A</v>
      </c>
      <c r="D152" s="3"/>
      <c r="E152" s="3"/>
      <c r="F152" s="46" t="str">
        <f>Sample!K150</f>
        <v>S97117</v>
      </c>
      <c r="G152" s="47" t="str">
        <f>VLOOKUP(F152,'Index Sequence'!$A$2:$B$10000,2,FALSE)</f>
        <v>CAACGGAT</v>
      </c>
      <c r="H152" s="47" t="str">
        <f>Sample!L150</f>
        <v>S95117</v>
      </c>
      <c r="I152" s="47" t="str">
        <f>VLOOKUP(H152,'Index Sequence'!$A$2:$B$10000,2,FALSE)</f>
        <v>GCCACTTA</v>
      </c>
      <c r="J152" s="2" t="str">
        <f>Sample!R150</f>
        <v>L01</v>
      </c>
      <c r="K152" s="48" t="str">
        <f>IF(AND(OR(LEFT(Sample!A150,1)={"E","H","T","B","V","L"},LEFT(Sample!A150,2)="ID"),OR(LEFT(Sample!C150,2)="JI",LEFT(Sample!C150,1)="I")),"TS1",IF(AND(OR(LEFT(Sample!A150,1)={"E","H","T","B","V","L"},LEFT(Sample!A150,2)="ID"),OR(LEFT(Sample!C150,2)={"JX","JW"},LEFT(Sample!C150,1)="X")),"TS95",IF(AND(OR(LEFT(Sample!A150,1)={"E","H","T","B","V","L"},LEFT(Sample!A150,2)="ID"),OR(LEFT(Sample!C150,2)="JN",LEFT(Sample!C150,1)="N")),"TS3",IF(AND(OR(LEFT(Sample!A150,1)={"E","H","T","B","V","L"},LEFT(Sample!A150,2)="ID"),OR(LEFT(Sample!C150,2)={"JA","AN","AG","AD"})),"TS24",IF(AND(OR(LEFT(Sample!A150,1)={"T","B","E","H","V","L"},LEFT(Sample!A150,2)="ID"),OR(LEFT(Sample!C150,2)={"SA","JS","AS","AA"},LEFT(Sample!C150,4)="SERA")),"TSPRO",IF(AND(LEFT(Sample!A150,2)="CR",OR(MID(Sample!C150,3,1)="D",MID(Sample!C150,3,1)="B")),"CARRIER9",IF(LEFT(Sample!A150,2)="CR","CARRIER18",Sample!A150)))))))</f>
        <v>TSPRO</v>
      </c>
    </row>
    <row r="153" spans="1:11" x14ac:dyDescent="0.35">
      <c r="A153" s="46" t="str">
        <f>Sample!B151&amp;"-"&amp;Sample!C151</f>
        <v>14-SAAAFX99</v>
      </c>
      <c r="B153" s="46" t="str">
        <f>Sample!B151&amp;"-"&amp;Sample!C151</f>
        <v>14-SAAAFX99</v>
      </c>
      <c r="C153" s="48" t="str">
        <f>Sample!A151</f>
        <v>T2935A</v>
      </c>
      <c r="D153" s="3"/>
      <c r="E153" s="3"/>
      <c r="F153" s="46" t="str">
        <f>Sample!K151</f>
        <v>S97118</v>
      </c>
      <c r="G153" s="47" t="str">
        <f>VLOOKUP(F153,'Index Sequence'!$A$2:$B$10000,2,FALSE)</f>
        <v>TGGCTATC</v>
      </c>
      <c r="H153" s="47" t="str">
        <f>Sample!L151</f>
        <v>S95118</v>
      </c>
      <c r="I153" s="47" t="str">
        <f>VLOOKUP(H153,'Index Sequence'!$A$2:$B$10000,2,FALSE)</f>
        <v>CATCACGT</v>
      </c>
      <c r="J153" s="2" t="str">
        <f>Sample!R151</f>
        <v>L01</v>
      </c>
      <c r="K153" s="48" t="str">
        <f>IF(AND(OR(LEFT(Sample!A151,1)={"E","H","T","B","V","L"},LEFT(Sample!A151,2)="ID"),OR(LEFT(Sample!C151,2)="JI",LEFT(Sample!C151,1)="I")),"TS1",IF(AND(OR(LEFT(Sample!A151,1)={"E","H","T","B","V","L"},LEFT(Sample!A151,2)="ID"),OR(LEFT(Sample!C151,2)={"JX","JW"},LEFT(Sample!C151,1)="X")),"TS95",IF(AND(OR(LEFT(Sample!A151,1)={"E","H","T","B","V","L"},LEFT(Sample!A151,2)="ID"),OR(LEFT(Sample!C151,2)="JN",LEFT(Sample!C151,1)="N")),"TS3",IF(AND(OR(LEFT(Sample!A151,1)={"E","H","T","B","V","L"},LEFT(Sample!A151,2)="ID"),OR(LEFT(Sample!C151,2)={"JA","AN","AG","AD"})),"TS24",IF(AND(OR(LEFT(Sample!A151,1)={"T","B","E","H","V","L"},LEFT(Sample!A151,2)="ID"),OR(LEFT(Sample!C151,2)={"SA","JS","AS","AA"},LEFT(Sample!C151,4)="SERA")),"TSPRO",IF(AND(LEFT(Sample!A151,2)="CR",OR(MID(Sample!C151,3,1)="D",MID(Sample!C151,3,1)="B")),"CARRIER9",IF(LEFT(Sample!A151,2)="CR","CARRIER18",Sample!A151)))))))</f>
        <v>TSPRO</v>
      </c>
    </row>
    <row r="154" spans="1:11" x14ac:dyDescent="0.35">
      <c r="A154" s="46" t="str">
        <f>Sample!B152&amp;"-"&amp;Sample!C152</f>
        <v>15-SAAAFY01</v>
      </c>
      <c r="B154" s="46" t="str">
        <f>Sample!B152&amp;"-"&amp;Sample!C152</f>
        <v>15-SAAAFY01</v>
      </c>
      <c r="C154" s="48" t="str">
        <f>Sample!A152</f>
        <v>T2935A</v>
      </c>
      <c r="D154" s="3"/>
      <c r="E154" s="3"/>
      <c r="F154" s="46" t="str">
        <f>Sample!K152</f>
        <v>S97119</v>
      </c>
      <c r="G154" s="47" t="str">
        <f>VLOOKUP(F154,'Index Sequence'!$A$2:$B$10000,2,FALSE)</f>
        <v>CGGTCATA</v>
      </c>
      <c r="H154" s="47" t="str">
        <f>Sample!L152</f>
        <v>S95119</v>
      </c>
      <c r="I154" s="47" t="str">
        <f>VLOOKUP(H154,'Index Sequence'!$A$2:$B$10000,2,FALSE)</f>
        <v>TGCTCTAC</v>
      </c>
      <c r="J154" s="2" t="str">
        <f>Sample!R152</f>
        <v>L01</v>
      </c>
      <c r="K154" s="48" t="str">
        <f>IF(AND(OR(LEFT(Sample!A152,1)={"E","H","T","B","V","L"},LEFT(Sample!A152,2)="ID"),OR(LEFT(Sample!C152,2)="JI",LEFT(Sample!C152,1)="I")),"TS1",IF(AND(OR(LEFT(Sample!A152,1)={"E","H","T","B","V","L"},LEFT(Sample!A152,2)="ID"),OR(LEFT(Sample!C152,2)={"JX","JW"},LEFT(Sample!C152,1)="X")),"TS95",IF(AND(OR(LEFT(Sample!A152,1)={"E","H","T","B","V","L"},LEFT(Sample!A152,2)="ID"),OR(LEFT(Sample!C152,2)="JN",LEFT(Sample!C152,1)="N")),"TS3",IF(AND(OR(LEFT(Sample!A152,1)={"E","H","T","B","V","L"},LEFT(Sample!A152,2)="ID"),OR(LEFT(Sample!C152,2)={"JA","AN","AG","AD"})),"TS24",IF(AND(OR(LEFT(Sample!A152,1)={"T","B","E","H","V","L"},LEFT(Sample!A152,2)="ID"),OR(LEFT(Sample!C152,2)={"SA","JS","AS","AA"},LEFT(Sample!C152,4)="SERA")),"TSPRO",IF(AND(LEFT(Sample!A152,2)="CR",OR(MID(Sample!C152,3,1)="D",MID(Sample!C152,3,1)="B")),"CARRIER9",IF(LEFT(Sample!A152,2)="CR","CARRIER18",Sample!A152)))))))</f>
        <v>TSPRO</v>
      </c>
    </row>
    <row r="155" spans="1:11" x14ac:dyDescent="0.35">
      <c r="A155" s="46" t="str">
        <f>Sample!B153&amp;"-"&amp;Sample!C153</f>
        <v>16-SAAAFY02</v>
      </c>
      <c r="B155" s="46" t="str">
        <f>Sample!B153&amp;"-"&amp;Sample!C153</f>
        <v>16-SAAAFY02</v>
      </c>
      <c r="C155" s="48" t="str">
        <f>Sample!A153</f>
        <v>T2935A</v>
      </c>
      <c r="D155" s="3"/>
      <c r="E155" s="3"/>
      <c r="F155" s="46" t="str">
        <f>Sample!K153</f>
        <v>S97120</v>
      </c>
      <c r="G155" s="47" t="str">
        <f>VLOOKUP(F155,'Index Sequence'!$A$2:$B$10000,2,FALSE)</f>
        <v>TCCAATCG</v>
      </c>
      <c r="H155" s="47" t="str">
        <f>Sample!L153</f>
        <v>S95120</v>
      </c>
      <c r="I155" s="47" t="str">
        <f>VLOOKUP(H155,'Index Sequence'!$A$2:$B$10000,2,FALSE)</f>
        <v>CAACTGAC</v>
      </c>
      <c r="J155" s="2" t="str">
        <f>Sample!R153</f>
        <v>L01</v>
      </c>
      <c r="K155" s="48" t="str">
        <f>IF(AND(OR(LEFT(Sample!A153,1)={"E","H","T","B","V","L"},LEFT(Sample!A153,2)="ID"),OR(LEFT(Sample!C153,2)="JI",LEFT(Sample!C153,1)="I")),"TS1",IF(AND(OR(LEFT(Sample!A153,1)={"E","H","T","B","V","L"},LEFT(Sample!A153,2)="ID"),OR(LEFT(Sample!C153,2)={"JX","JW"},LEFT(Sample!C153,1)="X")),"TS95",IF(AND(OR(LEFT(Sample!A153,1)={"E","H","T","B","V","L"},LEFT(Sample!A153,2)="ID"),OR(LEFT(Sample!C153,2)="JN",LEFT(Sample!C153,1)="N")),"TS3",IF(AND(OR(LEFT(Sample!A153,1)={"E","H","T","B","V","L"},LEFT(Sample!A153,2)="ID"),OR(LEFT(Sample!C153,2)={"JA","AN","AG","AD"})),"TS24",IF(AND(OR(LEFT(Sample!A153,1)={"T","B","E","H","V","L"},LEFT(Sample!A153,2)="ID"),OR(LEFT(Sample!C153,2)={"SA","JS","AS","AA"},LEFT(Sample!C153,4)="SERA")),"TSPRO",IF(AND(LEFT(Sample!A153,2)="CR",OR(MID(Sample!C153,3,1)="D",MID(Sample!C153,3,1)="B")),"CARRIER9",IF(LEFT(Sample!A153,2)="CR","CARRIER18",Sample!A153)))))))</f>
        <v>TSPRO</v>
      </c>
    </row>
    <row r="156" spans="1:11" x14ac:dyDescent="0.35">
      <c r="A156" s="46" t="str">
        <f>Sample!B154&amp;"-"&amp;Sample!C154</f>
        <v>17-SAAAFY03</v>
      </c>
      <c r="B156" s="46" t="str">
        <f>Sample!B154&amp;"-"&amp;Sample!C154</f>
        <v>17-SAAAFY03</v>
      </c>
      <c r="C156" s="48" t="str">
        <f>Sample!A154</f>
        <v>T2935A</v>
      </c>
      <c r="D156" s="3"/>
      <c r="E156" s="3"/>
      <c r="F156" s="46" t="str">
        <f>Sample!K154</f>
        <v>S97121</v>
      </c>
      <c r="G156" s="47" t="str">
        <f>VLOOKUP(F156,'Index Sequence'!$A$2:$B$10000,2,FALSE)</f>
        <v>GAGCTTGT</v>
      </c>
      <c r="H156" s="47" t="str">
        <f>Sample!L154</f>
        <v>S95121</v>
      </c>
      <c r="I156" s="47" t="str">
        <f>VLOOKUP(H156,'Index Sequence'!$A$2:$B$10000,2,FALSE)</f>
        <v>CCTCGAAT</v>
      </c>
      <c r="J156" s="2" t="str">
        <f>Sample!R154</f>
        <v>L01</v>
      </c>
      <c r="K156" s="48" t="str">
        <f>IF(AND(OR(LEFT(Sample!A154,1)={"E","H","T","B","V","L"},LEFT(Sample!A154,2)="ID"),OR(LEFT(Sample!C154,2)="JI",LEFT(Sample!C154,1)="I")),"TS1",IF(AND(OR(LEFT(Sample!A154,1)={"E","H","T","B","V","L"},LEFT(Sample!A154,2)="ID"),OR(LEFT(Sample!C154,2)={"JX","JW"},LEFT(Sample!C154,1)="X")),"TS95",IF(AND(OR(LEFT(Sample!A154,1)={"E","H","T","B","V","L"},LEFT(Sample!A154,2)="ID"),OR(LEFT(Sample!C154,2)="JN",LEFT(Sample!C154,1)="N")),"TS3",IF(AND(OR(LEFT(Sample!A154,1)={"E","H","T","B","V","L"},LEFT(Sample!A154,2)="ID"),OR(LEFT(Sample!C154,2)={"JA","AN","AG","AD"})),"TS24",IF(AND(OR(LEFT(Sample!A154,1)={"T","B","E","H","V","L"},LEFT(Sample!A154,2)="ID"),OR(LEFT(Sample!C154,2)={"SA","JS","AS","AA"},LEFT(Sample!C154,4)="SERA")),"TSPRO",IF(AND(LEFT(Sample!A154,2)="CR",OR(MID(Sample!C154,3,1)="D",MID(Sample!C154,3,1)="B")),"CARRIER9",IF(LEFT(Sample!A154,2)="CR","CARRIER18",Sample!A154)))))))</f>
        <v>TSPRO</v>
      </c>
    </row>
    <row r="157" spans="1:11" x14ac:dyDescent="0.35">
      <c r="A157" s="46" t="str">
        <f>Sample!B155&amp;"-"&amp;Sample!C155</f>
        <v>18-SAAAFY04</v>
      </c>
      <c r="B157" s="46" t="str">
        <f>Sample!B155&amp;"-"&amp;Sample!C155</f>
        <v>18-SAAAFY04</v>
      </c>
      <c r="C157" s="48" t="str">
        <f>Sample!A155</f>
        <v>T2935A</v>
      </c>
      <c r="D157" s="3"/>
      <c r="E157" s="3"/>
      <c r="F157" s="46" t="str">
        <f>Sample!K155</f>
        <v>S97122</v>
      </c>
      <c r="G157" s="47" t="str">
        <f>VLOOKUP(F157,'Index Sequence'!$A$2:$B$10000,2,FALSE)</f>
        <v>GAAGGTTC</v>
      </c>
      <c r="H157" s="47" t="str">
        <f>Sample!L155</f>
        <v>S95122</v>
      </c>
      <c r="I157" s="47" t="str">
        <f>VLOOKUP(H157,'Index Sequence'!$A$2:$B$10000,2,FALSE)</f>
        <v>CCAGTATC</v>
      </c>
      <c r="J157" s="2" t="str">
        <f>Sample!R155</f>
        <v>L01</v>
      </c>
      <c r="K157" s="48" t="str">
        <f>IF(AND(OR(LEFT(Sample!A155,1)={"E","H","T","B","V","L"},LEFT(Sample!A155,2)="ID"),OR(LEFT(Sample!C155,2)="JI",LEFT(Sample!C155,1)="I")),"TS1",IF(AND(OR(LEFT(Sample!A155,1)={"E","H","T","B","V","L"},LEFT(Sample!A155,2)="ID"),OR(LEFT(Sample!C155,2)={"JX","JW"},LEFT(Sample!C155,1)="X")),"TS95",IF(AND(OR(LEFT(Sample!A155,1)={"E","H","T","B","V","L"},LEFT(Sample!A155,2)="ID"),OR(LEFT(Sample!C155,2)="JN",LEFT(Sample!C155,1)="N")),"TS3",IF(AND(OR(LEFT(Sample!A155,1)={"E","H","T","B","V","L"},LEFT(Sample!A155,2)="ID"),OR(LEFT(Sample!C155,2)={"JA","AN","AG","AD"})),"TS24",IF(AND(OR(LEFT(Sample!A155,1)={"T","B","E","H","V","L"},LEFT(Sample!A155,2)="ID"),OR(LEFT(Sample!C155,2)={"SA","JS","AS","AA"},LEFT(Sample!C155,4)="SERA")),"TSPRO",IF(AND(LEFT(Sample!A155,2)="CR",OR(MID(Sample!C155,3,1)="D",MID(Sample!C155,3,1)="B")),"CARRIER9",IF(LEFT(Sample!A155,2)="CR","CARRIER18",Sample!A155)))))))</f>
        <v>TSPRO</v>
      </c>
    </row>
    <row r="158" spans="1:11" x14ac:dyDescent="0.35">
      <c r="A158" s="46" t="str">
        <f>Sample!B156&amp;"-"&amp;Sample!C156</f>
        <v>19-SAAAFY05</v>
      </c>
      <c r="B158" s="46" t="str">
        <f>Sample!B156&amp;"-"&amp;Sample!C156</f>
        <v>19-SAAAFY05</v>
      </c>
      <c r="C158" s="48" t="str">
        <f>Sample!A156</f>
        <v>T2935A</v>
      </c>
      <c r="D158" s="3"/>
      <c r="E158" s="3"/>
      <c r="F158" s="46" t="str">
        <f>Sample!K156</f>
        <v>S97123</v>
      </c>
      <c r="G158" s="47" t="str">
        <f>VLOOKUP(F158,'Index Sequence'!$A$2:$B$10000,2,FALSE)</f>
        <v>ATCTCGCT</v>
      </c>
      <c r="H158" s="47" t="str">
        <f>Sample!L156</f>
        <v>S95123</v>
      </c>
      <c r="I158" s="47" t="str">
        <f>VLOOKUP(H158,'Index Sequence'!$A$2:$B$10000,2,FALSE)</f>
        <v>AACAAGGC</v>
      </c>
      <c r="J158" s="2" t="str">
        <f>Sample!R156</f>
        <v>L01</v>
      </c>
      <c r="K158" s="48" t="str">
        <f>IF(AND(OR(LEFT(Sample!A156,1)={"E","H","T","B","V","L"},LEFT(Sample!A156,2)="ID"),OR(LEFT(Sample!C156,2)="JI",LEFT(Sample!C156,1)="I")),"TS1",IF(AND(OR(LEFT(Sample!A156,1)={"E","H","T","B","V","L"},LEFT(Sample!A156,2)="ID"),OR(LEFT(Sample!C156,2)={"JX","JW"},LEFT(Sample!C156,1)="X")),"TS95",IF(AND(OR(LEFT(Sample!A156,1)={"E","H","T","B","V","L"},LEFT(Sample!A156,2)="ID"),OR(LEFT(Sample!C156,2)="JN",LEFT(Sample!C156,1)="N")),"TS3",IF(AND(OR(LEFT(Sample!A156,1)={"E","H","T","B","V","L"},LEFT(Sample!A156,2)="ID"),OR(LEFT(Sample!C156,2)={"JA","AN","AG","AD"})),"TS24",IF(AND(OR(LEFT(Sample!A156,1)={"T","B","E","H","V","L"},LEFT(Sample!A156,2)="ID"),OR(LEFT(Sample!C156,2)={"SA","JS","AS","AA"},LEFT(Sample!C156,4)="SERA")),"TSPRO",IF(AND(LEFT(Sample!A156,2)="CR",OR(MID(Sample!C156,3,1)="D",MID(Sample!C156,3,1)="B")),"CARRIER9",IF(LEFT(Sample!A156,2)="CR","CARRIER18",Sample!A156)))))))</f>
        <v>TSPRO</v>
      </c>
    </row>
    <row r="159" spans="1:11" x14ac:dyDescent="0.35">
      <c r="A159" s="46" t="str">
        <f>Sample!B157&amp;"-"&amp;Sample!C157</f>
        <v>20-SAAAFY06</v>
      </c>
      <c r="B159" s="46" t="str">
        <f>Sample!B157&amp;"-"&amp;Sample!C157</f>
        <v>20-SAAAFY06</v>
      </c>
      <c r="C159" s="48" t="str">
        <f>Sample!A157</f>
        <v>T2935A</v>
      </c>
      <c r="D159" s="3"/>
      <c r="E159" s="3"/>
      <c r="F159" s="46" t="str">
        <f>Sample!K157</f>
        <v>S97124</v>
      </c>
      <c r="G159" s="47" t="str">
        <f>VLOOKUP(F159,'Index Sequence'!$A$2:$B$10000,2,FALSE)</f>
        <v>AGTTACGG</v>
      </c>
      <c r="H159" s="47" t="str">
        <f>Sample!L157</f>
        <v>S95124</v>
      </c>
      <c r="I159" s="47" t="str">
        <f>VLOOKUP(H159,'Index Sequence'!$A$2:$B$10000,2,FALSE)</f>
        <v>GAGACCAA</v>
      </c>
      <c r="J159" s="2" t="str">
        <f>Sample!R157</f>
        <v>L01</v>
      </c>
      <c r="K159" s="48" t="str">
        <f>IF(AND(OR(LEFT(Sample!A157,1)={"E","H","T","B","V","L"},LEFT(Sample!A157,2)="ID"),OR(LEFT(Sample!C157,2)="JI",LEFT(Sample!C157,1)="I")),"TS1",IF(AND(OR(LEFT(Sample!A157,1)={"E","H","T","B","V","L"},LEFT(Sample!A157,2)="ID"),OR(LEFT(Sample!C157,2)={"JX","JW"},LEFT(Sample!C157,1)="X")),"TS95",IF(AND(OR(LEFT(Sample!A157,1)={"E","H","T","B","V","L"},LEFT(Sample!A157,2)="ID"),OR(LEFT(Sample!C157,2)="JN",LEFT(Sample!C157,1)="N")),"TS3",IF(AND(OR(LEFT(Sample!A157,1)={"E","H","T","B","V","L"},LEFT(Sample!A157,2)="ID"),OR(LEFT(Sample!C157,2)={"JA","AN","AG","AD"})),"TS24",IF(AND(OR(LEFT(Sample!A157,1)={"T","B","E","H","V","L"},LEFT(Sample!A157,2)="ID"),OR(LEFT(Sample!C157,2)={"SA","JS","AS","AA"},LEFT(Sample!C157,4)="SERA")),"TSPRO",IF(AND(LEFT(Sample!A157,2)="CR",OR(MID(Sample!C157,3,1)="D",MID(Sample!C157,3,1)="B")),"CARRIER9",IF(LEFT(Sample!A157,2)="CR","CARRIER18",Sample!A157)))))))</f>
        <v>TSPRO</v>
      </c>
    </row>
    <row r="160" spans="1:11" x14ac:dyDescent="0.35">
      <c r="A160" s="46" t="str">
        <f>Sample!B158&amp;"-"&amp;Sample!C158</f>
        <v>21-SAAAFY07</v>
      </c>
      <c r="B160" s="46" t="str">
        <f>Sample!B158&amp;"-"&amp;Sample!C158</f>
        <v>21-SAAAFY07</v>
      </c>
      <c r="C160" s="48" t="str">
        <f>Sample!A158</f>
        <v>T2935A</v>
      </c>
      <c r="D160" s="3"/>
      <c r="E160" s="3"/>
      <c r="F160" s="46" t="str">
        <f>Sample!K158</f>
        <v>S97125</v>
      </c>
      <c r="G160" s="47" t="str">
        <f>VLOOKUP(F160,'Index Sequence'!$A$2:$B$10000,2,FALSE)</f>
        <v>GTGTCTGA</v>
      </c>
      <c r="H160" s="47" t="str">
        <f>Sample!L158</f>
        <v>S95125</v>
      </c>
      <c r="I160" s="47" t="str">
        <f>VLOOKUP(H160,'Index Sequence'!$A$2:$B$10000,2,FALSE)</f>
        <v>ATAGTCGG</v>
      </c>
      <c r="J160" s="2" t="str">
        <f>Sample!R158</f>
        <v>L01</v>
      </c>
      <c r="K160" s="48" t="str">
        <f>IF(AND(OR(LEFT(Sample!A158,1)={"E","H","T","B","V","L"},LEFT(Sample!A158,2)="ID"),OR(LEFT(Sample!C158,2)="JI",LEFT(Sample!C158,1)="I")),"TS1",IF(AND(OR(LEFT(Sample!A158,1)={"E","H","T","B","V","L"},LEFT(Sample!A158,2)="ID"),OR(LEFT(Sample!C158,2)={"JX","JW"},LEFT(Sample!C158,1)="X")),"TS95",IF(AND(OR(LEFT(Sample!A158,1)={"E","H","T","B","V","L"},LEFT(Sample!A158,2)="ID"),OR(LEFT(Sample!C158,2)="JN",LEFT(Sample!C158,1)="N")),"TS3",IF(AND(OR(LEFT(Sample!A158,1)={"E","H","T","B","V","L"},LEFT(Sample!A158,2)="ID"),OR(LEFT(Sample!C158,2)={"JA","AN","AG","AD"})),"TS24",IF(AND(OR(LEFT(Sample!A158,1)={"T","B","E","H","V","L"},LEFT(Sample!A158,2)="ID"),OR(LEFT(Sample!C158,2)={"SA","JS","AS","AA"},LEFT(Sample!C158,4)="SERA")),"TSPRO",IF(AND(LEFT(Sample!A158,2)="CR",OR(MID(Sample!C158,3,1)="D",MID(Sample!C158,3,1)="B")),"CARRIER9",IF(LEFT(Sample!A158,2)="CR","CARRIER18",Sample!A158)))))))</f>
        <v>TSPRO</v>
      </c>
    </row>
    <row r="161" spans="1:11" x14ac:dyDescent="0.35">
      <c r="A161" s="46" t="str">
        <f>Sample!B159&amp;"-"&amp;Sample!C159</f>
        <v>22-SAAAFY08</v>
      </c>
      <c r="B161" s="46" t="str">
        <f>Sample!B159&amp;"-"&amp;Sample!C159</f>
        <v>22-SAAAFY08</v>
      </c>
      <c r="C161" s="48" t="str">
        <f>Sample!A159</f>
        <v>T2935A</v>
      </c>
      <c r="D161" s="3"/>
      <c r="E161" s="3"/>
      <c r="F161" s="46" t="str">
        <f>Sample!K159</f>
        <v>S97126</v>
      </c>
      <c r="G161" s="47" t="str">
        <f>VLOOKUP(F161,'Index Sequence'!$A$2:$B$10000,2,FALSE)</f>
        <v>TGACTTCG</v>
      </c>
      <c r="H161" s="47" t="str">
        <f>Sample!L159</f>
        <v>S95126</v>
      </c>
      <c r="I161" s="47" t="str">
        <f>VLOOKUP(H161,'Index Sequence'!$A$2:$B$10000,2,FALSE)</f>
        <v>CTTAGGAC</v>
      </c>
      <c r="J161" s="2" t="str">
        <f>Sample!R159</f>
        <v>L01</v>
      </c>
      <c r="K161" s="48" t="str">
        <f>IF(AND(OR(LEFT(Sample!A159,1)={"E","H","T","B","V","L"},LEFT(Sample!A159,2)="ID"),OR(LEFT(Sample!C159,2)="JI",LEFT(Sample!C159,1)="I")),"TS1",IF(AND(OR(LEFT(Sample!A159,1)={"E","H","T","B","V","L"},LEFT(Sample!A159,2)="ID"),OR(LEFT(Sample!C159,2)={"JX","JW"},LEFT(Sample!C159,1)="X")),"TS95",IF(AND(OR(LEFT(Sample!A159,1)={"E","H","T","B","V","L"},LEFT(Sample!A159,2)="ID"),OR(LEFT(Sample!C159,2)="JN",LEFT(Sample!C159,1)="N")),"TS3",IF(AND(OR(LEFT(Sample!A159,1)={"E","H","T","B","V","L"},LEFT(Sample!A159,2)="ID"),OR(LEFT(Sample!C159,2)={"JA","AN","AG","AD"})),"TS24",IF(AND(OR(LEFT(Sample!A159,1)={"T","B","E","H","V","L"},LEFT(Sample!A159,2)="ID"),OR(LEFT(Sample!C159,2)={"SA","JS","AS","AA"},LEFT(Sample!C159,4)="SERA")),"TSPRO",IF(AND(LEFT(Sample!A159,2)="CR",OR(MID(Sample!C159,3,1)="D",MID(Sample!C159,3,1)="B")),"CARRIER9",IF(LEFT(Sample!A159,2)="CR","CARRIER18",Sample!A159)))))))</f>
        <v>TSPRO</v>
      </c>
    </row>
    <row r="162" spans="1:11" x14ac:dyDescent="0.35">
      <c r="A162" s="46" t="str">
        <f>Sample!B160&amp;"-"&amp;Sample!C160</f>
        <v>23-SAAAFY09</v>
      </c>
      <c r="B162" s="46" t="str">
        <f>Sample!B160&amp;"-"&amp;Sample!C160</f>
        <v>23-SAAAFY09</v>
      </c>
      <c r="C162" s="48" t="str">
        <f>Sample!A160</f>
        <v>T2935A</v>
      </c>
      <c r="D162" s="3"/>
      <c r="E162" s="3"/>
      <c r="F162" s="46" t="str">
        <f>Sample!K160</f>
        <v>S97127</v>
      </c>
      <c r="G162" s="47" t="str">
        <f>VLOOKUP(F162,'Index Sequence'!$A$2:$B$10000,2,FALSE)</f>
        <v>TGGATCAC</v>
      </c>
      <c r="H162" s="47" t="str">
        <f>Sample!L160</f>
        <v>S95127</v>
      </c>
      <c r="I162" s="47" t="str">
        <f>VLOOKUP(H162,'Index Sequence'!$A$2:$B$10000,2,FALSE)</f>
        <v>GCATTGGT</v>
      </c>
      <c r="J162" s="2" t="str">
        <f>Sample!R160</f>
        <v>L01</v>
      </c>
      <c r="K162" s="48" t="str">
        <f>IF(AND(OR(LEFT(Sample!A160,1)={"E","H","T","B","V","L"},LEFT(Sample!A160,2)="ID"),OR(LEFT(Sample!C160,2)="JI",LEFT(Sample!C160,1)="I")),"TS1",IF(AND(OR(LEFT(Sample!A160,1)={"E","H","T","B","V","L"},LEFT(Sample!A160,2)="ID"),OR(LEFT(Sample!C160,2)={"JX","JW"},LEFT(Sample!C160,1)="X")),"TS95",IF(AND(OR(LEFT(Sample!A160,1)={"E","H","T","B","V","L"},LEFT(Sample!A160,2)="ID"),OR(LEFT(Sample!C160,2)="JN",LEFT(Sample!C160,1)="N")),"TS3",IF(AND(OR(LEFT(Sample!A160,1)={"E","H","T","B","V","L"},LEFT(Sample!A160,2)="ID"),OR(LEFT(Sample!C160,2)={"JA","AN","AG","AD"})),"TS24",IF(AND(OR(LEFT(Sample!A160,1)={"T","B","E","H","V","L"},LEFT(Sample!A160,2)="ID"),OR(LEFT(Sample!C160,2)={"SA","JS","AS","AA"},LEFT(Sample!C160,4)="SERA")),"TSPRO",IF(AND(LEFT(Sample!A160,2)="CR",OR(MID(Sample!C160,3,1)="D",MID(Sample!C160,3,1)="B")),"CARRIER9",IF(LEFT(Sample!A160,2)="CR","CARRIER18",Sample!A160)))))))</f>
        <v>TSPRO</v>
      </c>
    </row>
    <row r="163" spans="1:11" x14ac:dyDescent="0.35">
      <c r="A163" s="46" t="str">
        <f>Sample!B161&amp;"-"&amp;Sample!C161</f>
        <v>24-IAABQW98t21</v>
      </c>
      <c r="B163" s="46" t="str">
        <f>Sample!B161&amp;"-"&amp;Sample!C161</f>
        <v>24-IAABQW98t21</v>
      </c>
      <c r="C163" s="48" t="str">
        <f>Sample!A161</f>
        <v>T2935A</v>
      </c>
      <c r="D163" s="3"/>
      <c r="E163" s="3"/>
      <c r="F163" s="46" t="str">
        <f>Sample!K161</f>
        <v>S97128</v>
      </c>
      <c r="G163" s="47" t="str">
        <f>VLOOKUP(F163,'Index Sequence'!$A$2:$B$10000,2,FALSE)</f>
        <v>ACACCAGT</v>
      </c>
      <c r="H163" s="47" t="str">
        <f>Sample!L161</f>
        <v>S95128</v>
      </c>
      <c r="I163" s="47" t="str">
        <f>VLOOKUP(H163,'Index Sequence'!$A$2:$B$10000,2,FALSE)</f>
        <v>AGTGCATC</v>
      </c>
      <c r="J163" s="2" t="str">
        <f>Sample!R161</f>
        <v>L01</v>
      </c>
      <c r="K163" s="48" t="str">
        <f>IF(AND(OR(LEFT(Sample!A161,1)={"E","H","T","B","V","L"},LEFT(Sample!A161,2)="ID"),OR(LEFT(Sample!C161,2)="JI",LEFT(Sample!C161,1)="I")),"TS1",IF(AND(OR(LEFT(Sample!A161,1)={"E","H","T","B","V","L"},LEFT(Sample!A161,2)="ID"),OR(LEFT(Sample!C161,2)={"JX","JW"},LEFT(Sample!C161,1)="X")),"TS95",IF(AND(OR(LEFT(Sample!A161,1)={"E","H","T","B","V","L"},LEFT(Sample!A161,2)="ID"),OR(LEFT(Sample!C161,2)="JN",LEFT(Sample!C161,1)="N")),"TS3",IF(AND(OR(LEFT(Sample!A161,1)={"E","H","T","B","V","L"},LEFT(Sample!A161,2)="ID"),OR(LEFT(Sample!C161,2)={"JA","AN","AG","AD"})),"TS24",IF(AND(OR(LEFT(Sample!A161,1)={"T","B","E","H","V","L"},LEFT(Sample!A161,2)="ID"),OR(LEFT(Sample!C161,2)={"SA","JS","AS","AA"},LEFT(Sample!C161,4)="SERA")),"TSPRO",IF(AND(LEFT(Sample!A161,2)="CR",OR(MID(Sample!C161,3,1)="D",MID(Sample!C161,3,1)="B")),"CARRIER9",IF(LEFT(Sample!A161,2)="CR","CARRIER18",Sample!A161)))))))</f>
        <v>TS1</v>
      </c>
    </row>
    <row r="164" spans="1:11" x14ac:dyDescent="0.35">
      <c r="A164" s="46" t="str">
        <f>Sample!B162&amp;"-"&amp;Sample!C162</f>
        <v>1-IAABRG88</v>
      </c>
      <c r="B164" s="46" t="str">
        <f>Sample!B162&amp;"-"&amp;Sample!C162</f>
        <v>1-IAABRG88</v>
      </c>
      <c r="C164" s="48" t="str">
        <f>Sample!A162</f>
        <v>V2234A</v>
      </c>
      <c r="D164" s="3"/>
      <c r="E164" s="3"/>
      <c r="F164" s="46" t="str">
        <f>Sample!K162</f>
        <v>S5701</v>
      </c>
      <c r="G164" s="47" t="str">
        <f>VLOOKUP(F164,'Index Sequence'!$A$2:$B$10000,2,FALSE)</f>
        <v>TTACCGAC</v>
      </c>
      <c r="H164" s="47" t="str">
        <f>Sample!L162</f>
        <v>S5501</v>
      </c>
      <c r="I164" s="47" t="str">
        <f>VLOOKUP(H164,'Index Sequence'!$A$2:$B$10000,2,FALSE)</f>
        <v>CGTATTCG</v>
      </c>
      <c r="J164" s="2" t="str">
        <f>Sample!R162</f>
        <v>L01</v>
      </c>
      <c r="K164" s="48" t="str">
        <f>IF(AND(OR(LEFT(Sample!A162,1)={"E","H","T","B","V","L"},LEFT(Sample!A162,2)="ID"),OR(LEFT(Sample!C162,2)="JI",LEFT(Sample!C162,1)="I")),"TS1",IF(AND(OR(LEFT(Sample!A162,1)={"E","H","T","B","V","L"},LEFT(Sample!A162,2)="ID"),OR(LEFT(Sample!C162,2)={"JX","JW"},LEFT(Sample!C162,1)="X")),"TS95",IF(AND(OR(LEFT(Sample!A162,1)={"E","H","T","B","V","L"},LEFT(Sample!A162,2)="ID"),OR(LEFT(Sample!C162,2)="JN",LEFT(Sample!C162,1)="N")),"TS3",IF(AND(OR(LEFT(Sample!A162,1)={"E","H","T","B","V","L"},LEFT(Sample!A162,2)="ID"),OR(LEFT(Sample!C162,2)={"JA","AN","AG","AD"})),"TS24",IF(AND(OR(LEFT(Sample!A162,1)={"T","B","E","H","V","L"},LEFT(Sample!A162,2)="ID"),OR(LEFT(Sample!C162,2)={"SA","JS","AS","AA"},LEFT(Sample!C162,4)="SERA")),"TSPRO",IF(AND(LEFT(Sample!A162,2)="CR",OR(MID(Sample!C162,3,1)="D",MID(Sample!C162,3,1)="B")),"CARRIER9",IF(LEFT(Sample!A162,2)="CR","CARRIER18",Sample!A162)))))))</f>
        <v>TS1</v>
      </c>
    </row>
    <row r="165" spans="1:11" x14ac:dyDescent="0.35">
      <c r="A165" s="46" t="str">
        <f>Sample!B163&amp;"-"&amp;Sample!C163</f>
        <v>2-IAABRG89</v>
      </c>
      <c r="B165" s="46" t="str">
        <f>Sample!B163&amp;"-"&amp;Sample!C163</f>
        <v>2-IAABRG89</v>
      </c>
      <c r="C165" s="48" t="str">
        <f>Sample!A163</f>
        <v>V2234A</v>
      </c>
      <c r="D165" s="3"/>
      <c r="E165" s="3"/>
      <c r="F165" s="46" t="str">
        <f>Sample!K163</f>
        <v>S5702</v>
      </c>
      <c r="G165" s="47" t="str">
        <f>VLOOKUP(F165,'Index Sequence'!$A$2:$B$10000,2,FALSE)</f>
        <v>TCGTCTGA</v>
      </c>
      <c r="H165" s="47" t="str">
        <f>Sample!L163</f>
        <v>S5502</v>
      </c>
      <c r="I165" s="47" t="str">
        <f>VLOOKUP(H165,'Index Sequence'!$A$2:$B$10000,2,FALSE)</f>
        <v>TCAAGGAC</v>
      </c>
      <c r="J165" s="2" t="str">
        <f>Sample!R163</f>
        <v>L01</v>
      </c>
      <c r="K165" s="48" t="str">
        <f>IF(AND(OR(LEFT(Sample!A163,1)={"E","H","T","B","V","L"},LEFT(Sample!A163,2)="ID"),OR(LEFT(Sample!C163,2)="JI",LEFT(Sample!C163,1)="I")),"TS1",IF(AND(OR(LEFT(Sample!A163,1)={"E","H","T","B","V","L"},LEFT(Sample!A163,2)="ID"),OR(LEFT(Sample!C163,2)={"JX","JW"},LEFT(Sample!C163,1)="X")),"TS95",IF(AND(OR(LEFT(Sample!A163,1)={"E","H","T","B","V","L"},LEFT(Sample!A163,2)="ID"),OR(LEFT(Sample!C163,2)="JN",LEFT(Sample!C163,1)="N")),"TS3",IF(AND(OR(LEFT(Sample!A163,1)={"E","H","T","B","V","L"},LEFT(Sample!A163,2)="ID"),OR(LEFT(Sample!C163,2)={"JA","AN","AG","AD"})),"TS24",IF(AND(OR(LEFT(Sample!A163,1)={"T","B","E","H","V","L"},LEFT(Sample!A163,2)="ID"),OR(LEFT(Sample!C163,2)={"SA","JS","AS","AA"},LEFT(Sample!C163,4)="SERA")),"TSPRO",IF(AND(LEFT(Sample!A163,2)="CR",OR(MID(Sample!C163,3,1)="D",MID(Sample!C163,3,1)="B")),"CARRIER9",IF(LEFT(Sample!A163,2)="CR","CARRIER18",Sample!A163)))))))</f>
        <v>TS1</v>
      </c>
    </row>
    <row r="166" spans="1:11" x14ac:dyDescent="0.35">
      <c r="A166" s="46" t="str">
        <f>Sample!B164&amp;"-"&amp;Sample!C164</f>
        <v>3-IAABRG90</v>
      </c>
      <c r="B166" s="46" t="str">
        <f>Sample!B164&amp;"-"&amp;Sample!C164</f>
        <v>3-IAABRG90</v>
      </c>
      <c r="C166" s="48" t="str">
        <f>Sample!A164</f>
        <v>V2234A</v>
      </c>
      <c r="D166" s="3"/>
      <c r="E166" s="3"/>
      <c r="F166" s="46" t="str">
        <f>Sample!K164</f>
        <v>S5703</v>
      </c>
      <c r="G166" s="47" t="str">
        <f>VLOOKUP(F166,'Index Sequence'!$A$2:$B$10000,2,FALSE)</f>
        <v>TTCCAGGT</v>
      </c>
      <c r="H166" s="47" t="str">
        <f>Sample!L164</f>
        <v>S5503</v>
      </c>
      <c r="I166" s="47" t="str">
        <f>VLOOKUP(H166,'Index Sequence'!$A$2:$B$10000,2,FALSE)</f>
        <v>AAGCACTG</v>
      </c>
      <c r="J166" s="2" t="str">
        <f>Sample!R164</f>
        <v>L01</v>
      </c>
      <c r="K166" s="48" t="str">
        <f>IF(AND(OR(LEFT(Sample!A164,1)={"E","H","T","B","V","L"},LEFT(Sample!A164,2)="ID"),OR(LEFT(Sample!C164,2)="JI",LEFT(Sample!C164,1)="I")),"TS1",IF(AND(OR(LEFT(Sample!A164,1)={"E","H","T","B","V","L"},LEFT(Sample!A164,2)="ID"),OR(LEFT(Sample!C164,2)={"JX","JW"},LEFT(Sample!C164,1)="X")),"TS95",IF(AND(OR(LEFT(Sample!A164,1)={"E","H","T","B","V","L"},LEFT(Sample!A164,2)="ID"),OR(LEFT(Sample!C164,2)="JN",LEFT(Sample!C164,1)="N")),"TS3",IF(AND(OR(LEFT(Sample!A164,1)={"E","H","T","B","V","L"},LEFT(Sample!A164,2)="ID"),OR(LEFT(Sample!C164,2)={"JA","AN","AG","AD"})),"TS24",IF(AND(OR(LEFT(Sample!A164,1)={"T","B","E","H","V","L"},LEFT(Sample!A164,2)="ID"),OR(LEFT(Sample!C164,2)={"SA","JS","AS","AA"},LEFT(Sample!C164,4)="SERA")),"TSPRO",IF(AND(LEFT(Sample!A164,2)="CR",OR(MID(Sample!C164,3,1)="D",MID(Sample!C164,3,1)="B")),"CARRIER9",IF(LEFT(Sample!A164,2)="CR","CARRIER18",Sample!A164)))))))</f>
        <v>TS1</v>
      </c>
    </row>
    <row r="167" spans="1:11" x14ac:dyDescent="0.35">
      <c r="A167" s="46" t="str">
        <f>Sample!B165&amp;"-"&amp;Sample!C165</f>
        <v>4-IAABRG91</v>
      </c>
      <c r="B167" s="46" t="str">
        <f>Sample!B165&amp;"-"&amp;Sample!C165</f>
        <v>4-IAABRG91</v>
      </c>
      <c r="C167" s="48" t="str">
        <f>Sample!A165</f>
        <v>V2234A</v>
      </c>
      <c r="D167" s="3"/>
      <c r="E167" s="3"/>
      <c r="F167" s="46" t="str">
        <f>Sample!K165</f>
        <v>S5704</v>
      </c>
      <c r="G167" s="47" t="str">
        <f>VLOOKUP(F167,'Index Sequence'!$A$2:$B$10000,2,FALSE)</f>
        <v>TACGGTCT</v>
      </c>
      <c r="H167" s="47" t="str">
        <f>Sample!L165</f>
        <v>S5504</v>
      </c>
      <c r="I167" s="47" t="str">
        <f>VLOOKUP(H167,'Index Sequence'!$A$2:$B$10000,2,FALSE)</f>
        <v>GCAATGGA</v>
      </c>
      <c r="J167" s="2" t="str">
        <f>Sample!R165</f>
        <v>L01</v>
      </c>
      <c r="K167" s="48" t="str">
        <f>IF(AND(OR(LEFT(Sample!A165,1)={"E","H","T","B","V","L"},LEFT(Sample!A165,2)="ID"),OR(LEFT(Sample!C165,2)="JI",LEFT(Sample!C165,1)="I")),"TS1",IF(AND(OR(LEFT(Sample!A165,1)={"E","H","T","B","V","L"},LEFT(Sample!A165,2)="ID"),OR(LEFT(Sample!C165,2)={"JX","JW"},LEFT(Sample!C165,1)="X")),"TS95",IF(AND(OR(LEFT(Sample!A165,1)={"E","H","T","B","V","L"},LEFT(Sample!A165,2)="ID"),OR(LEFT(Sample!C165,2)="JN",LEFT(Sample!C165,1)="N")),"TS3",IF(AND(OR(LEFT(Sample!A165,1)={"E","H","T","B","V","L"},LEFT(Sample!A165,2)="ID"),OR(LEFT(Sample!C165,2)={"JA","AN","AG","AD"})),"TS24",IF(AND(OR(LEFT(Sample!A165,1)={"T","B","E","H","V","L"},LEFT(Sample!A165,2)="ID"),OR(LEFT(Sample!C165,2)={"SA","JS","AS","AA"},LEFT(Sample!C165,4)="SERA")),"TSPRO",IF(AND(LEFT(Sample!A165,2)="CR",OR(MID(Sample!C165,3,1)="D",MID(Sample!C165,3,1)="B")),"CARRIER9",IF(LEFT(Sample!A165,2)="CR","CARRIER18",Sample!A165)))))))</f>
        <v>TS1</v>
      </c>
    </row>
    <row r="168" spans="1:11" x14ac:dyDescent="0.35">
      <c r="A168" s="46" t="str">
        <f>Sample!B166&amp;"-"&amp;Sample!C166</f>
        <v>5-NAABNY59</v>
      </c>
      <c r="B168" s="46" t="str">
        <f>Sample!B166&amp;"-"&amp;Sample!C166</f>
        <v>5-NAABNY59</v>
      </c>
      <c r="C168" s="48" t="str">
        <f>Sample!A166</f>
        <v>V2234A</v>
      </c>
      <c r="D168" s="3"/>
      <c r="E168" s="3"/>
      <c r="F168" s="46" t="str">
        <f>Sample!K166</f>
        <v>S5705</v>
      </c>
      <c r="G168" s="47" t="str">
        <f>VLOOKUP(F168,'Index Sequence'!$A$2:$B$10000,2,FALSE)</f>
        <v>AAGACCGT</v>
      </c>
      <c r="H168" s="47" t="str">
        <f>Sample!L166</f>
        <v>S5505</v>
      </c>
      <c r="I168" s="47" t="str">
        <f>VLOOKUP(H168,'Index Sequence'!$A$2:$B$10000,2,FALSE)</f>
        <v>CAATCGAC</v>
      </c>
      <c r="J168" s="2" t="str">
        <f>Sample!R166</f>
        <v>L01</v>
      </c>
      <c r="K168" s="48" t="str">
        <f>IF(AND(OR(LEFT(Sample!A166,1)={"E","H","T","B","V","L"},LEFT(Sample!A166,2)="ID"),OR(LEFT(Sample!C166,2)="JI",LEFT(Sample!C166,1)="I")),"TS1",IF(AND(OR(LEFT(Sample!A166,1)={"E","H","T","B","V","L"},LEFT(Sample!A166,2)="ID"),OR(LEFT(Sample!C166,2)={"JX","JW"},LEFT(Sample!C166,1)="X")),"TS95",IF(AND(OR(LEFT(Sample!A166,1)={"E","H","T","B","V","L"},LEFT(Sample!A166,2)="ID"),OR(LEFT(Sample!C166,2)="JN",LEFT(Sample!C166,1)="N")),"TS3",IF(AND(OR(LEFT(Sample!A166,1)={"E","H","T","B","V","L"},LEFT(Sample!A166,2)="ID"),OR(LEFT(Sample!C166,2)={"JA","AN","AG","AD"})),"TS24",IF(AND(OR(LEFT(Sample!A166,1)={"T","B","E","H","V","L"},LEFT(Sample!A166,2)="ID"),OR(LEFT(Sample!C166,2)={"SA","JS","AS","AA"},LEFT(Sample!C166,4)="SERA")),"TSPRO",IF(AND(LEFT(Sample!A166,2)="CR",OR(MID(Sample!C166,3,1)="D",MID(Sample!C166,3,1)="B")),"CARRIER9",IF(LEFT(Sample!A166,2)="CR","CARRIER18",Sample!A166)))))))</f>
        <v>TS3</v>
      </c>
    </row>
    <row r="169" spans="1:11" x14ac:dyDescent="0.35">
      <c r="A169" s="46" t="str">
        <f>Sample!B167&amp;"-"&amp;Sample!C167</f>
        <v>6-NAABNY60</v>
      </c>
      <c r="B169" s="46" t="str">
        <f>Sample!B167&amp;"-"&amp;Sample!C167</f>
        <v>6-NAABNY60</v>
      </c>
      <c r="C169" s="48" t="str">
        <f>Sample!A167</f>
        <v>V2234A</v>
      </c>
      <c r="D169" s="3"/>
      <c r="E169" s="3"/>
      <c r="F169" s="46" t="str">
        <f>Sample!K167</f>
        <v>S5706</v>
      </c>
      <c r="G169" s="47" t="str">
        <f>VLOOKUP(F169,'Index Sequence'!$A$2:$B$10000,2,FALSE)</f>
        <v>CAGGTTCA</v>
      </c>
      <c r="H169" s="47" t="str">
        <f>Sample!L167</f>
        <v>S5506</v>
      </c>
      <c r="I169" s="47" t="str">
        <f>VLOOKUP(H169,'Index Sequence'!$A$2:$B$10000,2,FALSE)</f>
        <v>GGCGTTAT</v>
      </c>
      <c r="J169" s="2" t="str">
        <f>Sample!R167</f>
        <v>L01</v>
      </c>
      <c r="K169" s="48" t="str">
        <f>IF(AND(OR(LEFT(Sample!A167,1)={"E","H","T","B","V","L"},LEFT(Sample!A167,2)="ID"),OR(LEFT(Sample!C167,2)="JI",LEFT(Sample!C167,1)="I")),"TS1",IF(AND(OR(LEFT(Sample!A167,1)={"E","H","T","B","V","L"},LEFT(Sample!A167,2)="ID"),OR(LEFT(Sample!C167,2)={"JX","JW"},LEFT(Sample!C167,1)="X")),"TS95",IF(AND(OR(LEFT(Sample!A167,1)={"E","H","T","B","V","L"},LEFT(Sample!A167,2)="ID"),OR(LEFT(Sample!C167,2)="JN",LEFT(Sample!C167,1)="N")),"TS3",IF(AND(OR(LEFT(Sample!A167,1)={"E","H","T","B","V","L"},LEFT(Sample!A167,2)="ID"),OR(LEFT(Sample!C167,2)={"JA","AN","AG","AD"})),"TS24",IF(AND(OR(LEFT(Sample!A167,1)={"T","B","E","H","V","L"},LEFT(Sample!A167,2)="ID"),OR(LEFT(Sample!C167,2)={"SA","JS","AS","AA"},LEFT(Sample!C167,4)="SERA")),"TSPRO",IF(AND(LEFT(Sample!A167,2)="CR",OR(MID(Sample!C167,3,1)="D",MID(Sample!C167,3,1)="B")),"CARRIER9",IF(LEFT(Sample!A167,2)="CR","CARRIER18",Sample!A167)))))))</f>
        <v>TS3</v>
      </c>
    </row>
    <row r="170" spans="1:11" x14ac:dyDescent="0.35">
      <c r="A170" s="46" t="str">
        <f>Sample!B168&amp;"-"&amp;Sample!C168</f>
        <v>7-NAABNY61</v>
      </c>
      <c r="B170" s="46" t="str">
        <f>Sample!B168&amp;"-"&amp;Sample!C168</f>
        <v>7-NAABNY61</v>
      </c>
      <c r="C170" s="48" t="str">
        <f>Sample!A168</f>
        <v>V2234A</v>
      </c>
      <c r="D170" s="3"/>
      <c r="E170" s="3"/>
      <c r="F170" s="46" t="str">
        <f>Sample!K168</f>
        <v>S5707</v>
      </c>
      <c r="G170" s="47" t="str">
        <f>VLOOKUP(F170,'Index Sequence'!$A$2:$B$10000,2,FALSE)</f>
        <v>TAGGAGCT</v>
      </c>
      <c r="H170" s="47" t="str">
        <f>Sample!L168</f>
        <v>S5507</v>
      </c>
      <c r="I170" s="47" t="str">
        <f>VLOOKUP(H170,'Index Sequence'!$A$2:$B$10000,2,FALSE)</f>
        <v>GTTAAGGC</v>
      </c>
      <c r="J170" s="2" t="str">
        <f>Sample!R168</f>
        <v>L01</v>
      </c>
      <c r="K170" s="48" t="str">
        <f>IF(AND(OR(LEFT(Sample!A168,1)={"E","H","T","B","V","L"},LEFT(Sample!A168,2)="ID"),OR(LEFT(Sample!C168,2)="JI",LEFT(Sample!C168,1)="I")),"TS1",IF(AND(OR(LEFT(Sample!A168,1)={"E","H","T","B","V","L"},LEFT(Sample!A168,2)="ID"),OR(LEFT(Sample!C168,2)={"JX","JW"},LEFT(Sample!C168,1)="X")),"TS95",IF(AND(OR(LEFT(Sample!A168,1)={"E","H","T","B","V","L"},LEFT(Sample!A168,2)="ID"),OR(LEFT(Sample!C168,2)="JN",LEFT(Sample!C168,1)="N")),"TS3",IF(AND(OR(LEFT(Sample!A168,1)={"E","H","T","B","V","L"},LEFT(Sample!A168,2)="ID"),OR(LEFT(Sample!C168,2)={"JA","AN","AG","AD"})),"TS24",IF(AND(OR(LEFT(Sample!A168,1)={"T","B","E","H","V","L"},LEFT(Sample!A168,2)="ID"),OR(LEFT(Sample!C168,2)={"SA","JS","AS","AA"},LEFT(Sample!C168,4)="SERA")),"TSPRO",IF(AND(LEFT(Sample!A168,2)="CR",OR(MID(Sample!C168,3,1)="D",MID(Sample!C168,3,1)="B")),"CARRIER9",IF(LEFT(Sample!A168,2)="CR","CARRIER18",Sample!A168)))))))</f>
        <v>TS3</v>
      </c>
    </row>
    <row r="171" spans="1:11" x14ac:dyDescent="0.35">
      <c r="A171" s="46" t="str">
        <f>Sample!B169&amp;"-"&amp;Sample!C169</f>
        <v>8-NAABNY62</v>
      </c>
      <c r="B171" s="46" t="str">
        <f>Sample!B169&amp;"-"&amp;Sample!C169</f>
        <v>8-NAABNY62</v>
      </c>
      <c r="C171" s="48" t="str">
        <f>Sample!A169</f>
        <v>V2234A</v>
      </c>
      <c r="D171" s="3"/>
      <c r="E171" s="3"/>
      <c r="F171" s="46" t="str">
        <f>Sample!K169</f>
        <v>S5708</v>
      </c>
      <c r="G171" s="47" t="str">
        <f>VLOOKUP(F171,'Index Sequence'!$A$2:$B$10000,2,FALSE)</f>
        <v>TACTCCAG</v>
      </c>
      <c r="H171" s="47" t="str">
        <f>Sample!L169</f>
        <v>S5508</v>
      </c>
      <c r="I171" s="47" t="str">
        <f>VLOOKUP(H171,'Index Sequence'!$A$2:$B$10000,2,FALSE)</f>
        <v>CCTATACC</v>
      </c>
      <c r="J171" s="2" t="str">
        <f>Sample!R169</f>
        <v>L01</v>
      </c>
      <c r="K171" s="48" t="str">
        <f>IF(AND(OR(LEFT(Sample!A169,1)={"E","H","T","B","V","L"},LEFT(Sample!A169,2)="ID"),OR(LEFT(Sample!C169,2)="JI",LEFT(Sample!C169,1)="I")),"TS1",IF(AND(OR(LEFT(Sample!A169,1)={"E","H","T","B","V","L"},LEFT(Sample!A169,2)="ID"),OR(LEFT(Sample!C169,2)={"JX","JW"},LEFT(Sample!C169,1)="X")),"TS95",IF(AND(OR(LEFT(Sample!A169,1)={"E","H","T","B","V","L"},LEFT(Sample!A169,2)="ID"),OR(LEFT(Sample!C169,2)="JN",LEFT(Sample!C169,1)="N")),"TS3",IF(AND(OR(LEFT(Sample!A169,1)={"E","H","T","B","V","L"},LEFT(Sample!A169,2)="ID"),OR(LEFT(Sample!C169,2)={"JA","AN","AG","AD"})),"TS24",IF(AND(OR(LEFT(Sample!A169,1)={"T","B","E","H","V","L"},LEFT(Sample!A169,2)="ID"),OR(LEFT(Sample!C169,2)={"SA","JS","AS","AA"},LEFT(Sample!C169,4)="SERA")),"TSPRO",IF(AND(LEFT(Sample!A169,2)="CR",OR(MID(Sample!C169,3,1)="D",MID(Sample!C169,3,1)="B")),"CARRIER9",IF(LEFT(Sample!A169,2)="CR","CARRIER18",Sample!A169)))))))</f>
        <v>TS3</v>
      </c>
    </row>
    <row r="172" spans="1:11" x14ac:dyDescent="0.35">
      <c r="A172" s="46" t="str">
        <f>Sample!B170&amp;"-"&amp;Sample!C170</f>
        <v>9-NAABNY63</v>
      </c>
      <c r="B172" s="46" t="str">
        <f>Sample!B170&amp;"-"&amp;Sample!C170</f>
        <v>9-NAABNY63</v>
      </c>
      <c r="C172" s="48" t="str">
        <f>Sample!A170</f>
        <v>V2234A</v>
      </c>
      <c r="D172" s="3"/>
      <c r="E172" s="3"/>
      <c r="F172" s="46" t="str">
        <f>Sample!K170</f>
        <v>S5709</v>
      </c>
      <c r="G172" s="47" t="str">
        <f>VLOOKUP(F172,'Index Sequence'!$A$2:$B$10000,2,FALSE)</f>
        <v>AGTGACCT</v>
      </c>
      <c r="H172" s="47" t="str">
        <f>Sample!L170</f>
        <v>S5509</v>
      </c>
      <c r="I172" s="47" t="str">
        <f>VLOOKUP(H172,'Index Sequence'!$A$2:$B$10000,2,FALSE)</f>
        <v>CTCCTAGA</v>
      </c>
      <c r="J172" s="2" t="str">
        <f>Sample!R170</f>
        <v>L01</v>
      </c>
      <c r="K172" s="48" t="str">
        <f>IF(AND(OR(LEFT(Sample!A170,1)={"E","H","T","B","V","L"},LEFT(Sample!A170,2)="ID"),OR(LEFT(Sample!C170,2)="JI",LEFT(Sample!C170,1)="I")),"TS1",IF(AND(OR(LEFT(Sample!A170,1)={"E","H","T","B","V","L"},LEFT(Sample!A170,2)="ID"),OR(LEFT(Sample!C170,2)={"JX","JW"},LEFT(Sample!C170,1)="X")),"TS95",IF(AND(OR(LEFT(Sample!A170,1)={"E","H","T","B","V","L"},LEFT(Sample!A170,2)="ID"),OR(LEFT(Sample!C170,2)="JN",LEFT(Sample!C170,1)="N")),"TS3",IF(AND(OR(LEFT(Sample!A170,1)={"E","H","T","B","V","L"},LEFT(Sample!A170,2)="ID"),OR(LEFT(Sample!C170,2)={"JA","AN","AG","AD"})),"TS24",IF(AND(OR(LEFT(Sample!A170,1)={"T","B","E","H","V","L"},LEFT(Sample!A170,2)="ID"),OR(LEFT(Sample!C170,2)={"SA","JS","AS","AA"},LEFT(Sample!C170,4)="SERA")),"TSPRO",IF(AND(LEFT(Sample!A170,2)="CR",OR(MID(Sample!C170,3,1)="D",MID(Sample!C170,3,1)="B")),"CARRIER9",IF(LEFT(Sample!A170,2)="CR","CARRIER18",Sample!A170)))))))</f>
        <v>TS3</v>
      </c>
    </row>
    <row r="173" spans="1:11" x14ac:dyDescent="0.35">
      <c r="A173" s="46" t="str">
        <f>Sample!B171&amp;"-"&amp;Sample!C171</f>
        <v>10-NAABNY64</v>
      </c>
      <c r="B173" s="46" t="str">
        <f>Sample!B171&amp;"-"&amp;Sample!C171</f>
        <v>10-NAABNY64</v>
      </c>
      <c r="C173" s="48" t="str">
        <f>Sample!A171</f>
        <v>V2234A</v>
      </c>
      <c r="D173" s="3"/>
      <c r="E173" s="3"/>
      <c r="F173" s="46" t="str">
        <f>Sample!K171</f>
        <v>S5710</v>
      </c>
      <c r="G173" s="47" t="str">
        <f>VLOOKUP(F173,'Index Sequence'!$A$2:$B$10000,2,FALSE)</f>
        <v>AGCCTATC</v>
      </c>
      <c r="H173" s="47" t="str">
        <f>Sample!L171</f>
        <v>S5510</v>
      </c>
      <c r="I173" s="47" t="str">
        <f>VLOOKUP(H173,'Index Sequence'!$A$2:$B$10000,2,FALSE)</f>
        <v>GTTACGCA</v>
      </c>
      <c r="J173" s="2" t="str">
        <f>Sample!R171</f>
        <v>L01</v>
      </c>
      <c r="K173" s="48" t="str">
        <f>IF(AND(OR(LEFT(Sample!A171,1)={"E","H","T","B","V","L"},LEFT(Sample!A171,2)="ID"),OR(LEFT(Sample!C171,2)="JI",LEFT(Sample!C171,1)="I")),"TS1",IF(AND(OR(LEFT(Sample!A171,1)={"E","H","T","B","V","L"},LEFT(Sample!A171,2)="ID"),OR(LEFT(Sample!C171,2)={"JX","JW"},LEFT(Sample!C171,1)="X")),"TS95",IF(AND(OR(LEFT(Sample!A171,1)={"E","H","T","B","V","L"},LEFT(Sample!A171,2)="ID"),OR(LEFT(Sample!C171,2)="JN",LEFT(Sample!C171,1)="N")),"TS3",IF(AND(OR(LEFT(Sample!A171,1)={"E","H","T","B","V","L"},LEFT(Sample!A171,2)="ID"),OR(LEFT(Sample!C171,2)={"JA","AN","AG","AD"})),"TS24",IF(AND(OR(LEFT(Sample!A171,1)={"T","B","E","H","V","L"},LEFT(Sample!A171,2)="ID"),OR(LEFT(Sample!C171,2)={"SA","JS","AS","AA"},LEFT(Sample!C171,4)="SERA")),"TSPRO",IF(AND(LEFT(Sample!A171,2)="CR",OR(MID(Sample!C171,3,1)="D",MID(Sample!C171,3,1)="B")),"CARRIER9",IF(LEFT(Sample!A171,2)="CR","CARRIER18",Sample!A171)))))))</f>
        <v>TS3</v>
      </c>
    </row>
    <row r="174" spans="1:11" x14ac:dyDescent="0.35">
      <c r="A174" s="46" t="str">
        <f>Sample!B172&amp;"-"&amp;Sample!C172</f>
        <v>11-NAABNY65</v>
      </c>
      <c r="B174" s="46" t="str">
        <f>Sample!B172&amp;"-"&amp;Sample!C172</f>
        <v>11-NAABNY65</v>
      </c>
      <c r="C174" s="48" t="str">
        <f>Sample!A172</f>
        <v>V2234A</v>
      </c>
      <c r="D174" s="3"/>
      <c r="E174" s="3"/>
      <c r="F174" s="46" t="str">
        <f>Sample!K172</f>
        <v>S5711</v>
      </c>
      <c r="G174" s="47" t="str">
        <f>VLOOKUP(F174,'Index Sequence'!$A$2:$B$10000,2,FALSE)</f>
        <v>TCATCTCC</v>
      </c>
      <c r="H174" s="47" t="str">
        <f>Sample!L172</f>
        <v>S5511</v>
      </c>
      <c r="I174" s="47" t="str">
        <f>VLOOKUP(H174,'Index Sequence'!$A$2:$B$10000,2,FALSE)</f>
        <v>CTAGCAAG</v>
      </c>
      <c r="J174" s="2" t="str">
        <f>Sample!R172</f>
        <v>L01</v>
      </c>
      <c r="K174" s="48" t="str">
        <f>IF(AND(OR(LEFT(Sample!A172,1)={"E","H","T","B","V","L"},LEFT(Sample!A172,2)="ID"),OR(LEFT(Sample!C172,2)="JI",LEFT(Sample!C172,1)="I")),"TS1",IF(AND(OR(LEFT(Sample!A172,1)={"E","H","T","B","V","L"},LEFT(Sample!A172,2)="ID"),OR(LEFT(Sample!C172,2)={"JX","JW"},LEFT(Sample!C172,1)="X")),"TS95",IF(AND(OR(LEFT(Sample!A172,1)={"E","H","T","B","V","L"},LEFT(Sample!A172,2)="ID"),OR(LEFT(Sample!C172,2)="JN",LEFT(Sample!C172,1)="N")),"TS3",IF(AND(OR(LEFT(Sample!A172,1)={"E","H","T","B","V","L"},LEFT(Sample!A172,2)="ID"),OR(LEFT(Sample!C172,2)={"JA","AN","AG","AD"})),"TS24",IF(AND(OR(LEFT(Sample!A172,1)={"T","B","E","H","V","L"},LEFT(Sample!A172,2)="ID"),OR(LEFT(Sample!C172,2)={"SA","JS","AS","AA"},LEFT(Sample!C172,4)="SERA")),"TSPRO",IF(AND(LEFT(Sample!A172,2)="CR",OR(MID(Sample!C172,3,1)="D",MID(Sample!C172,3,1)="B")),"CARRIER9",IF(LEFT(Sample!A172,2)="CR","CARRIER18",Sample!A172)))))))</f>
        <v>TS3</v>
      </c>
    </row>
    <row r="175" spans="1:11" x14ac:dyDescent="0.35">
      <c r="A175" s="46" t="str">
        <f>Sample!B173&amp;"-"&amp;Sample!C173</f>
        <v>12-NAABNY66</v>
      </c>
      <c r="B175" s="46" t="str">
        <f>Sample!B173&amp;"-"&amp;Sample!C173</f>
        <v>12-NAABNY66</v>
      </c>
      <c r="C175" s="48" t="str">
        <f>Sample!A173</f>
        <v>V2234A</v>
      </c>
      <c r="D175" s="3"/>
      <c r="E175" s="3"/>
      <c r="F175" s="46" t="str">
        <f>Sample!K173</f>
        <v>S5712</v>
      </c>
      <c r="G175" s="47" t="str">
        <f>VLOOKUP(F175,'Index Sequence'!$A$2:$B$10000,2,FALSE)</f>
        <v>CCAGTATC</v>
      </c>
      <c r="H175" s="47" t="str">
        <f>Sample!L173</f>
        <v>S5512</v>
      </c>
      <c r="I175" s="47" t="str">
        <f>VLOOKUP(H175,'Index Sequence'!$A$2:$B$10000,2,FALSE)</f>
        <v>ATCTCGCT</v>
      </c>
      <c r="J175" s="2" t="str">
        <f>Sample!R173</f>
        <v>L01</v>
      </c>
      <c r="K175" s="48" t="str">
        <f>IF(AND(OR(LEFT(Sample!A173,1)={"E","H","T","B","V","L"},LEFT(Sample!A173,2)="ID"),OR(LEFT(Sample!C173,2)="JI",LEFT(Sample!C173,1)="I")),"TS1",IF(AND(OR(LEFT(Sample!A173,1)={"E","H","T","B","V","L"},LEFT(Sample!A173,2)="ID"),OR(LEFT(Sample!C173,2)={"JX","JW"},LEFT(Sample!C173,1)="X")),"TS95",IF(AND(OR(LEFT(Sample!A173,1)={"E","H","T","B","V","L"},LEFT(Sample!A173,2)="ID"),OR(LEFT(Sample!C173,2)="JN",LEFT(Sample!C173,1)="N")),"TS3",IF(AND(OR(LEFT(Sample!A173,1)={"E","H","T","B","V","L"},LEFT(Sample!A173,2)="ID"),OR(LEFT(Sample!C173,2)={"JA","AN","AG","AD"})),"TS24",IF(AND(OR(LEFT(Sample!A173,1)={"T","B","E","H","V","L"},LEFT(Sample!A173,2)="ID"),OR(LEFT(Sample!C173,2)={"SA","JS","AS","AA"},LEFT(Sample!C173,4)="SERA")),"TSPRO",IF(AND(LEFT(Sample!A173,2)="CR",OR(MID(Sample!C173,3,1)="D",MID(Sample!C173,3,1)="B")),"CARRIER9",IF(LEFT(Sample!A173,2)="CR","CARRIER18",Sample!A173)))))))</f>
        <v>TS3</v>
      </c>
    </row>
    <row r="176" spans="1:11" x14ac:dyDescent="0.35">
      <c r="A176" s="46" t="str">
        <f>Sample!B174&amp;"-"&amp;Sample!C174</f>
        <v>13-NAABNY67</v>
      </c>
      <c r="B176" s="46" t="str">
        <f>Sample!B174&amp;"-"&amp;Sample!C174</f>
        <v>13-NAABNY67</v>
      </c>
      <c r="C176" s="48" t="str">
        <f>Sample!A174</f>
        <v>V2234A</v>
      </c>
      <c r="D176" s="3"/>
      <c r="E176" s="3"/>
      <c r="F176" s="46" t="str">
        <f>Sample!K174</f>
        <v>S6705</v>
      </c>
      <c r="G176" s="47" t="str">
        <f>VLOOKUP(F176,'Index Sequence'!$A$2:$B$10000,2,FALSE)</f>
        <v>TCTTGTTT</v>
      </c>
      <c r="H176" s="47" t="str">
        <f>Sample!L174</f>
        <v>S6505</v>
      </c>
      <c r="I176" s="47" t="str">
        <f>VLOOKUP(H176,'Index Sequence'!$A$2:$B$10000,2,FALSE)</f>
        <v>GTGAAAGG</v>
      </c>
      <c r="J176" s="2" t="str">
        <f>Sample!R174</f>
        <v>L01</v>
      </c>
      <c r="K176" s="48" t="str">
        <f>IF(AND(OR(LEFT(Sample!A174,1)={"E","H","T","B","V","L"},LEFT(Sample!A174,2)="ID"),OR(LEFT(Sample!C174,2)="JI",LEFT(Sample!C174,1)="I")),"TS1",IF(AND(OR(LEFT(Sample!A174,1)={"E","H","T","B","V","L"},LEFT(Sample!A174,2)="ID"),OR(LEFT(Sample!C174,2)={"JX","JW"},LEFT(Sample!C174,1)="X")),"TS95",IF(AND(OR(LEFT(Sample!A174,1)={"E","H","T","B","V","L"},LEFT(Sample!A174,2)="ID"),OR(LEFT(Sample!C174,2)="JN",LEFT(Sample!C174,1)="N")),"TS3",IF(AND(OR(LEFT(Sample!A174,1)={"E","H","T","B","V","L"},LEFT(Sample!A174,2)="ID"),OR(LEFT(Sample!C174,2)={"JA","AN","AG","AD"})),"TS24",IF(AND(OR(LEFT(Sample!A174,1)={"T","B","E","H","V","L"},LEFT(Sample!A174,2)="ID"),OR(LEFT(Sample!C174,2)={"SA","JS","AS","AA"},LEFT(Sample!C174,4)="SERA")),"TSPRO",IF(AND(LEFT(Sample!A174,2)="CR",OR(MID(Sample!C174,3,1)="D",MID(Sample!C174,3,1)="B")),"CARRIER9",IF(LEFT(Sample!A174,2)="CR","CARRIER18",Sample!A174)))))))</f>
        <v>TS3</v>
      </c>
    </row>
    <row r="177" spans="1:11" x14ac:dyDescent="0.35">
      <c r="A177" s="46" t="str">
        <f>Sample!B175&amp;"-"&amp;Sample!C175</f>
        <v>14-NAABNY68</v>
      </c>
      <c r="B177" s="46" t="str">
        <f>Sample!B175&amp;"-"&amp;Sample!C175</f>
        <v>14-NAABNY68</v>
      </c>
      <c r="C177" s="48" t="str">
        <f>Sample!A175</f>
        <v>V2234A</v>
      </c>
      <c r="D177" s="3"/>
      <c r="E177" s="3"/>
      <c r="F177" s="46" t="str">
        <f>Sample!K175</f>
        <v>S6706</v>
      </c>
      <c r="G177" s="47" t="str">
        <f>VLOOKUP(F177,'Index Sequence'!$A$2:$B$10000,2,FALSE)</f>
        <v>GGCTTACT</v>
      </c>
      <c r="H177" s="47" t="str">
        <f>Sample!L175</f>
        <v>S6506</v>
      </c>
      <c r="I177" s="47" t="str">
        <f>VLOOKUP(H177,'Index Sequence'!$A$2:$B$10000,2,FALSE)</f>
        <v>AGGGAAAG</v>
      </c>
      <c r="J177" s="2" t="str">
        <f>Sample!R175</f>
        <v>L01</v>
      </c>
      <c r="K177" s="48" t="str">
        <f>IF(AND(OR(LEFT(Sample!A175,1)={"E","H","T","B","V","L"},LEFT(Sample!A175,2)="ID"),OR(LEFT(Sample!C175,2)="JI",LEFT(Sample!C175,1)="I")),"TS1",IF(AND(OR(LEFT(Sample!A175,1)={"E","H","T","B","V","L"},LEFT(Sample!A175,2)="ID"),OR(LEFT(Sample!C175,2)={"JX","JW"},LEFT(Sample!C175,1)="X")),"TS95",IF(AND(OR(LEFT(Sample!A175,1)={"E","H","T","B","V","L"},LEFT(Sample!A175,2)="ID"),OR(LEFT(Sample!C175,2)="JN",LEFT(Sample!C175,1)="N")),"TS3",IF(AND(OR(LEFT(Sample!A175,1)={"E","H","T","B","V","L"},LEFT(Sample!A175,2)="ID"),OR(LEFT(Sample!C175,2)={"JA","AN","AG","AD"})),"TS24",IF(AND(OR(LEFT(Sample!A175,1)={"T","B","E","H","V","L"},LEFT(Sample!A175,2)="ID"),OR(LEFT(Sample!C175,2)={"SA","JS","AS","AA"},LEFT(Sample!C175,4)="SERA")),"TSPRO",IF(AND(LEFT(Sample!A175,2)="CR",OR(MID(Sample!C175,3,1)="D",MID(Sample!C175,3,1)="B")),"CARRIER9",IF(LEFT(Sample!A175,2)="CR","CARRIER18",Sample!A175)))))))</f>
        <v>TS3</v>
      </c>
    </row>
    <row r="178" spans="1:11" x14ac:dyDescent="0.35">
      <c r="A178" s="46" t="str">
        <f>Sample!B176&amp;"-"&amp;Sample!C176</f>
        <v>15-NAABNY69</v>
      </c>
      <c r="B178" s="46" t="str">
        <f>Sample!B176&amp;"-"&amp;Sample!C176</f>
        <v>15-NAABNY69</v>
      </c>
      <c r="C178" s="48" t="str">
        <f>Sample!A176</f>
        <v>V2234A</v>
      </c>
      <c r="D178" s="3"/>
      <c r="E178" s="3"/>
      <c r="F178" s="46" t="str">
        <f>Sample!K176</f>
        <v>S6707</v>
      </c>
      <c r="G178" s="47" t="str">
        <f>VLOOKUP(F178,'Index Sequence'!$A$2:$B$10000,2,FALSE)</f>
        <v>ACGATATG</v>
      </c>
      <c r="H178" s="47" t="str">
        <f>Sample!L176</f>
        <v>S6507</v>
      </c>
      <c r="I178" s="47" t="str">
        <f>VLOOKUP(H178,'Index Sequence'!$A$2:$B$10000,2,FALSE)</f>
        <v>GAATTGTC</v>
      </c>
      <c r="J178" s="2" t="str">
        <f>Sample!R176</f>
        <v>L01</v>
      </c>
      <c r="K178" s="48" t="str">
        <f>IF(AND(OR(LEFT(Sample!A176,1)={"E","H","T","B","V","L"},LEFT(Sample!A176,2)="ID"),OR(LEFT(Sample!C176,2)="JI",LEFT(Sample!C176,1)="I")),"TS1",IF(AND(OR(LEFT(Sample!A176,1)={"E","H","T","B","V","L"},LEFT(Sample!A176,2)="ID"),OR(LEFT(Sample!C176,2)={"JX","JW"},LEFT(Sample!C176,1)="X")),"TS95",IF(AND(OR(LEFT(Sample!A176,1)={"E","H","T","B","V","L"},LEFT(Sample!A176,2)="ID"),OR(LEFT(Sample!C176,2)="JN",LEFT(Sample!C176,1)="N")),"TS3",IF(AND(OR(LEFT(Sample!A176,1)={"E","H","T","B","V","L"},LEFT(Sample!A176,2)="ID"),OR(LEFT(Sample!C176,2)={"JA","AN","AG","AD"})),"TS24",IF(AND(OR(LEFT(Sample!A176,1)={"T","B","E","H","V","L"},LEFT(Sample!A176,2)="ID"),OR(LEFT(Sample!C176,2)={"SA","JS","AS","AA"},LEFT(Sample!C176,4)="SERA")),"TSPRO",IF(AND(LEFT(Sample!A176,2)="CR",OR(MID(Sample!C176,3,1)="D",MID(Sample!C176,3,1)="B")),"CARRIER9",IF(LEFT(Sample!A176,2)="CR","CARRIER18",Sample!A176)))))))</f>
        <v>TS3</v>
      </c>
    </row>
    <row r="179" spans="1:11" x14ac:dyDescent="0.35">
      <c r="A179" s="46" t="str">
        <f>Sample!B177&amp;"-"&amp;Sample!C177</f>
        <v>16-NAABNY70</v>
      </c>
      <c r="B179" s="46" t="str">
        <f>Sample!B177&amp;"-"&amp;Sample!C177</f>
        <v>16-NAABNY70</v>
      </c>
      <c r="C179" s="48" t="str">
        <f>Sample!A177</f>
        <v>V2234A</v>
      </c>
      <c r="D179" s="3"/>
      <c r="E179" s="3"/>
      <c r="F179" s="46" t="str">
        <f>Sample!K177</f>
        <v>S6708</v>
      </c>
      <c r="G179" s="47" t="str">
        <f>VLOOKUP(F179,'Index Sequence'!$A$2:$B$10000,2,FALSE)</f>
        <v>ATCCGCAG</v>
      </c>
      <c r="H179" s="47" t="str">
        <f>Sample!L177</f>
        <v>S6508</v>
      </c>
      <c r="I179" s="47" t="str">
        <f>VLOOKUP(H179,'Index Sequence'!$A$2:$B$10000,2,FALSE)</f>
        <v>AGTCGTGT</v>
      </c>
      <c r="J179" s="2" t="str">
        <f>Sample!R177</f>
        <v>L01</v>
      </c>
      <c r="K179" s="48" t="str">
        <f>IF(AND(OR(LEFT(Sample!A177,1)={"E","H","T","B","V","L"},LEFT(Sample!A177,2)="ID"),OR(LEFT(Sample!C177,2)="JI",LEFT(Sample!C177,1)="I")),"TS1",IF(AND(OR(LEFT(Sample!A177,1)={"E","H","T","B","V","L"},LEFT(Sample!A177,2)="ID"),OR(LEFT(Sample!C177,2)={"JX","JW"},LEFT(Sample!C177,1)="X")),"TS95",IF(AND(OR(LEFT(Sample!A177,1)={"E","H","T","B","V","L"},LEFT(Sample!A177,2)="ID"),OR(LEFT(Sample!C177,2)="JN",LEFT(Sample!C177,1)="N")),"TS3",IF(AND(OR(LEFT(Sample!A177,1)={"E","H","T","B","V","L"},LEFT(Sample!A177,2)="ID"),OR(LEFT(Sample!C177,2)={"JA","AN","AG","AD"})),"TS24",IF(AND(OR(LEFT(Sample!A177,1)={"T","B","E","H","V","L"},LEFT(Sample!A177,2)="ID"),OR(LEFT(Sample!C177,2)={"SA","JS","AS","AA"},LEFT(Sample!C177,4)="SERA")),"TSPRO",IF(AND(LEFT(Sample!A177,2)="CR",OR(MID(Sample!C177,3,1)="D",MID(Sample!C177,3,1)="B")),"CARRIER9",IF(LEFT(Sample!A177,2)="CR","CARRIER18",Sample!A177)))))))</f>
        <v>TS3</v>
      </c>
    </row>
    <row r="180" spans="1:11" x14ac:dyDescent="0.35">
      <c r="A180" s="46" t="str">
        <f>Sample!B178&amp;"-"&amp;Sample!C178</f>
        <v>17-NAABNY71</v>
      </c>
      <c r="B180" s="46" t="str">
        <f>Sample!B178&amp;"-"&amp;Sample!C178</f>
        <v>17-NAABNY71</v>
      </c>
      <c r="C180" s="48" t="str">
        <f>Sample!A178</f>
        <v>V2234A</v>
      </c>
      <c r="D180" s="3"/>
      <c r="E180" s="3"/>
      <c r="F180" s="46" t="str">
        <f>Sample!K178</f>
        <v>S6709</v>
      </c>
      <c r="G180" s="47" t="str">
        <f>VLOOKUP(F180,'Index Sequence'!$A$2:$B$10000,2,FALSE)</f>
        <v>AAGCGACT</v>
      </c>
      <c r="H180" s="47" t="str">
        <f>Sample!L178</f>
        <v>S6509</v>
      </c>
      <c r="I180" s="47" t="str">
        <f>VLOOKUP(H180,'Index Sequence'!$A$2:$B$10000,2,FALSE)</f>
        <v>GGATTCGT</v>
      </c>
      <c r="J180" s="2" t="str">
        <f>Sample!R178</f>
        <v>L01</v>
      </c>
      <c r="K180" s="48" t="str">
        <f>IF(AND(OR(LEFT(Sample!A178,1)={"E","H","T","B","V","L"},LEFT(Sample!A178,2)="ID"),OR(LEFT(Sample!C178,2)="JI",LEFT(Sample!C178,1)="I")),"TS1",IF(AND(OR(LEFT(Sample!A178,1)={"E","H","T","B","V","L"},LEFT(Sample!A178,2)="ID"),OR(LEFT(Sample!C178,2)={"JX","JW"},LEFT(Sample!C178,1)="X")),"TS95",IF(AND(OR(LEFT(Sample!A178,1)={"E","H","T","B","V","L"},LEFT(Sample!A178,2)="ID"),OR(LEFT(Sample!C178,2)="JN",LEFT(Sample!C178,1)="N")),"TS3",IF(AND(OR(LEFT(Sample!A178,1)={"E","H","T","B","V","L"},LEFT(Sample!A178,2)="ID"),OR(LEFT(Sample!C178,2)={"JA","AN","AG","AD"})),"TS24",IF(AND(OR(LEFT(Sample!A178,1)={"T","B","E","H","V","L"},LEFT(Sample!A178,2)="ID"),OR(LEFT(Sample!C178,2)={"SA","JS","AS","AA"},LEFT(Sample!C178,4)="SERA")),"TSPRO",IF(AND(LEFT(Sample!A178,2)="CR",OR(MID(Sample!C178,3,1)="D",MID(Sample!C178,3,1)="B")),"CARRIER9",IF(LEFT(Sample!A178,2)="CR","CARRIER18",Sample!A178)))))))</f>
        <v>TS3</v>
      </c>
    </row>
    <row r="181" spans="1:11" x14ac:dyDescent="0.35">
      <c r="A181" s="46" t="str">
        <f>Sample!B179&amp;"-"&amp;Sample!C179</f>
        <v>18-NAABNY72</v>
      </c>
      <c r="B181" s="46" t="str">
        <f>Sample!B179&amp;"-"&amp;Sample!C179</f>
        <v>18-NAABNY72</v>
      </c>
      <c r="C181" s="48" t="str">
        <f>Sample!A179</f>
        <v>V2234A</v>
      </c>
      <c r="D181" s="3"/>
      <c r="E181" s="3"/>
      <c r="F181" s="46" t="str">
        <f>Sample!K179</f>
        <v>S6710</v>
      </c>
      <c r="G181" s="47" t="str">
        <f>VLOOKUP(F181,'Index Sequence'!$A$2:$B$10000,2,FALSE)</f>
        <v>TGATAGGC</v>
      </c>
      <c r="H181" s="47" t="str">
        <f>Sample!L179</f>
        <v>S6510</v>
      </c>
      <c r="I181" s="47" t="str">
        <f>VLOOKUP(H181,'Index Sequence'!$A$2:$B$10000,2,FALSE)</f>
        <v>ACTCAGAC</v>
      </c>
      <c r="J181" s="2" t="str">
        <f>Sample!R179</f>
        <v>L01</v>
      </c>
      <c r="K181" s="48" t="str">
        <f>IF(AND(OR(LEFT(Sample!A179,1)={"E","H","T","B","V","L"},LEFT(Sample!A179,2)="ID"),OR(LEFT(Sample!C179,2)="JI",LEFT(Sample!C179,1)="I")),"TS1",IF(AND(OR(LEFT(Sample!A179,1)={"E","H","T","B","V","L"},LEFT(Sample!A179,2)="ID"),OR(LEFT(Sample!C179,2)={"JX","JW"},LEFT(Sample!C179,1)="X")),"TS95",IF(AND(OR(LEFT(Sample!A179,1)={"E","H","T","B","V","L"},LEFT(Sample!A179,2)="ID"),OR(LEFT(Sample!C179,2)="JN",LEFT(Sample!C179,1)="N")),"TS3",IF(AND(OR(LEFT(Sample!A179,1)={"E","H","T","B","V","L"},LEFT(Sample!A179,2)="ID"),OR(LEFT(Sample!C179,2)={"JA","AN","AG","AD"})),"TS24",IF(AND(OR(LEFT(Sample!A179,1)={"T","B","E","H","V","L"},LEFT(Sample!A179,2)="ID"),OR(LEFT(Sample!C179,2)={"SA","JS","AS","AA"},LEFT(Sample!C179,4)="SERA")),"TSPRO",IF(AND(LEFT(Sample!A179,2)="CR",OR(MID(Sample!C179,3,1)="D",MID(Sample!C179,3,1)="B")),"CARRIER9",IF(LEFT(Sample!A179,2)="CR","CARRIER18",Sample!A179)))))))</f>
        <v>TS3</v>
      </c>
    </row>
    <row r="182" spans="1:11" x14ac:dyDescent="0.35">
      <c r="A182" s="46" t="str">
        <f>Sample!B180&amp;"-"&amp;Sample!C180</f>
        <v>19-NAABNY73</v>
      </c>
      <c r="B182" s="46" t="str">
        <f>Sample!B180&amp;"-"&amp;Sample!C180</f>
        <v>19-NAABNY73</v>
      </c>
      <c r="C182" s="48" t="str">
        <f>Sample!A180</f>
        <v>V2234A</v>
      </c>
      <c r="D182" s="3"/>
      <c r="E182" s="3"/>
      <c r="F182" s="46" t="str">
        <f>Sample!K180</f>
        <v>S6711</v>
      </c>
      <c r="G182" s="47" t="str">
        <f>VLOOKUP(F182,'Index Sequence'!$A$2:$B$10000,2,FALSE)</f>
        <v>AACACCAC</v>
      </c>
      <c r="H182" s="47" t="str">
        <f>Sample!L180</f>
        <v>S6511</v>
      </c>
      <c r="I182" s="47" t="str">
        <f>VLOOKUP(H182,'Index Sequence'!$A$2:$B$10000,2,FALSE)</f>
        <v>CTCACACC</v>
      </c>
      <c r="J182" s="2" t="str">
        <f>Sample!R180</f>
        <v>L01</v>
      </c>
      <c r="K182" s="48" t="str">
        <f>IF(AND(OR(LEFT(Sample!A180,1)={"E","H","T","B","V","L"},LEFT(Sample!A180,2)="ID"),OR(LEFT(Sample!C180,2)="JI",LEFT(Sample!C180,1)="I")),"TS1",IF(AND(OR(LEFT(Sample!A180,1)={"E","H","T","B","V","L"},LEFT(Sample!A180,2)="ID"),OR(LEFT(Sample!C180,2)={"JX","JW"},LEFT(Sample!C180,1)="X")),"TS95",IF(AND(OR(LEFT(Sample!A180,1)={"E","H","T","B","V","L"},LEFT(Sample!A180,2)="ID"),OR(LEFT(Sample!C180,2)="JN",LEFT(Sample!C180,1)="N")),"TS3",IF(AND(OR(LEFT(Sample!A180,1)={"E","H","T","B","V","L"},LEFT(Sample!A180,2)="ID"),OR(LEFT(Sample!C180,2)={"JA","AN","AG","AD"})),"TS24",IF(AND(OR(LEFT(Sample!A180,1)={"T","B","E","H","V","L"},LEFT(Sample!A180,2)="ID"),OR(LEFT(Sample!C180,2)={"SA","JS","AS","AA"},LEFT(Sample!C180,4)="SERA")),"TSPRO",IF(AND(LEFT(Sample!A180,2)="CR",OR(MID(Sample!C180,3,1)="D",MID(Sample!C180,3,1)="B")),"CARRIER9",IF(LEFT(Sample!A180,2)="CR","CARRIER18",Sample!A180)))))))</f>
        <v>TS3</v>
      </c>
    </row>
    <row r="183" spans="1:11" x14ac:dyDescent="0.35">
      <c r="A183" s="46" t="str">
        <f>Sample!B181&amp;"-"&amp;Sample!C181</f>
        <v>20-NAABNY74</v>
      </c>
      <c r="B183" s="46" t="str">
        <f>Sample!B181&amp;"-"&amp;Sample!C181</f>
        <v>20-NAABNY74</v>
      </c>
      <c r="C183" s="48" t="str">
        <f>Sample!A181</f>
        <v>V2234A</v>
      </c>
      <c r="D183" s="3"/>
      <c r="E183" s="3"/>
      <c r="F183" s="46" t="str">
        <f>Sample!K181</f>
        <v>S6712</v>
      </c>
      <c r="G183" s="47" t="str">
        <f>VLOOKUP(F183,'Index Sequence'!$A$2:$B$10000,2,FALSE)</f>
        <v>ACCTCTTC</v>
      </c>
      <c r="H183" s="47" t="str">
        <f>Sample!L181</f>
        <v>S6512</v>
      </c>
      <c r="I183" s="47" t="str">
        <f>VLOOKUP(H183,'Index Sequence'!$A$2:$B$10000,2,FALSE)</f>
        <v>TATGCAAG</v>
      </c>
      <c r="J183" s="2" t="str">
        <f>Sample!R181</f>
        <v>L01</v>
      </c>
      <c r="K183" s="48" t="str">
        <f>IF(AND(OR(LEFT(Sample!A181,1)={"E","H","T","B","V","L"},LEFT(Sample!A181,2)="ID"),OR(LEFT(Sample!C181,2)="JI",LEFT(Sample!C181,1)="I")),"TS1",IF(AND(OR(LEFT(Sample!A181,1)={"E","H","T","B","V","L"},LEFT(Sample!A181,2)="ID"),OR(LEFT(Sample!C181,2)={"JX","JW"},LEFT(Sample!C181,1)="X")),"TS95",IF(AND(OR(LEFT(Sample!A181,1)={"E","H","T","B","V","L"},LEFT(Sample!A181,2)="ID"),OR(LEFT(Sample!C181,2)="JN",LEFT(Sample!C181,1)="N")),"TS3",IF(AND(OR(LEFT(Sample!A181,1)={"E","H","T","B","V","L"},LEFT(Sample!A181,2)="ID"),OR(LEFT(Sample!C181,2)={"JA","AN","AG","AD"})),"TS24",IF(AND(OR(LEFT(Sample!A181,1)={"T","B","E","H","V","L"},LEFT(Sample!A181,2)="ID"),OR(LEFT(Sample!C181,2)={"SA","JS","AS","AA"},LEFT(Sample!C181,4)="SERA")),"TSPRO",IF(AND(LEFT(Sample!A181,2)="CR",OR(MID(Sample!C181,3,1)="D",MID(Sample!C181,3,1)="B")),"CARRIER9",IF(LEFT(Sample!A181,2)="CR","CARRIER18",Sample!A181)))))))</f>
        <v>TS3</v>
      </c>
    </row>
    <row r="184" spans="1:11" x14ac:dyDescent="0.35">
      <c r="A184" s="46" t="str">
        <f>Sample!B182&amp;"-"&amp;Sample!C182</f>
        <v>21-NAABNY75</v>
      </c>
      <c r="B184" s="46" t="str">
        <f>Sample!B182&amp;"-"&amp;Sample!C182</f>
        <v>21-NAABNY75</v>
      </c>
      <c r="C184" s="48" t="str">
        <f>Sample!A182</f>
        <v>V2234A</v>
      </c>
      <c r="D184" s="3"/>
      <c r="E184" s="3"/>
      <c r="F184" s="46" t="str">
        <f>Sample!K182</f>
        <v>S6713</v>
      </c>
      <c r="G184" s="47" t="str">
        <f>VLOOKUP(F184,'Index Sequence'!$A$2:$B$10000,2,FALSE)</f>
        <v>GTCCGATC</v>
      </c>
      <c r="H184" s="47" t="str">
        <f>Sample!L182</f>
        <v>S6513</v>
      </c>
      <c r="I184" s="47" t="str">
        <f>VLOOKUP(H184,'Index Sequence'!$A$2:$B$10000,2,FALSE)</f>
        <v>GGATTGGC</v>
      </c>
      <c r="J184" s="2" t="str">
        <f>Sample!R182</f>
        <v>L01</v>
      </c>
      <c r="K184" s="48" t="str">
        <f>IF(AND(OR(LEFT(Sample!A182,1)={"E","H","T","B","V","L"},LEFT(Sample!A182,2)="ID"),OR(LEFT(Sample!C182,2)="JI",LEFT(Sample!C182,1)="I")),"TS1",IF(AND(OR(LEFT(Sample!A182,1)={"E","H","T","B","V","L"},LEFT(Sample!A182,2)="ID"),OR(LEFT(Sample!C182,2)={"JX","JW"},LEFT(Sample!C182,1)="X")),"TS95",IF(AND(OR(LEFT(Sample!A182,1)={"E","H","T","B","V","L"},LEFT(Sample!A182,2)="ID"),OR(LEFT(Sample!C182,2)="JN",LEFT(Sample!C182,1)="N")),"TS3",IF(AND(OR(LEFT(Sample!A182,1)={"E","H","T","B","V","L"},LEFT(Sample!A182,2)="ID"),OR(LEFT(Sample!C182,2)={"JA","AN","AG","AD"})),"TS24",IF(AND(OR(LEFT(Sample!A182,1)={"T","B","E","H","V","L"},LEFT(Sample!A182,2)="ID"),OR(LEFT(Sample!C182,2)={"SA","JS","AS","AA"},LEFT(Sample!C182,4)="SERA")),"TSPRO",IF(AND(LEFT(Sample!A182,2)="CR",OR(MID(Sample!C182,3,1)="D",MID(Sample!C182,3,1)="B")),"CARRIER9",IF(LEFT(Sample!A182,2)="CR","CARRIER18",Sample!A182)))))))</f>
        <v>TS3</v>
      </c>
    </row>
    <row r="185" spans="1:11" x14ac:dyDescent="0.35">
      <c r="A185" s="46" t="str">
        <f>Sample!B183&amp;"-"&amp;Sample!C183</f>
        <v>22-NAABNY76</v>
      </c>
      <c r="B185" s="46" t="str">
        <f>Sample!B183&amp;"-"&amp;Sample!C183</f>
        <v>22-NAABNY76</v>
      </c>
      <c r="C185" s="48" t="str">
        <f>Sample!A183</f>
        <v>V2234A</v>
      </c>
      <c r="D185" s="3"/>
      <c r="E185" s="3"/>
      <c r="F185" s="46" t="str">
        <f>Sample!K183</f>
        <v>S6714</v>
      </c>
      <c r="G185" s="47" t="str">
        <f>VLOOKUP(F185,'Index Sequence'!$A$2:$B$10000,2,FALSE)</f>
        <v>GAGGACCA</v>
      </c>
      <c r="H185" s="47" t="str">
        <f>Sample!L183</f>
        <v>S6514</v>
      </c>
      <c r="I185" s="47" t="str">
        <f>VLOOKUP(H185,'Index Sequence'!$A$2:$B$10000,2,FALSE)</f>
        <v>ACCGGCAT</v>
      </c>
      <c r="J185" s="2" t="str">
        <f>Sample!R183</f>
        <v>L01</v>
      </c>
      <c r="K185" s="48" t="str">
        <f>IF(AND(OR(LEFT(Sample!A183,1)={"E","H","T","B","V","L"},LEFT(Sample!A183,2)="ID"),OR(LEFT(Sample!C183,2)="JI",LEFT(Sample!C183,1)="I")),"TS1",IF(AND(OR(LEFT(Sample!A183,1)={"E","H","T","B","V","L"},LEFT(Sample!A183,2)="ID"),OR(LEFT(Sample!C183,2)={"JX","JW"},LEFT(Sample!C183,1)="X")),"TS95",IF(AND(OR(LEFT(Sample!A183,1)={"E","H","T","B","V","L"},LEFT(Sample!A183,2)="ID"),OR(LEFT(Sample!C183,2)="JN",LEFT(Sample!C183,1)="N")),"TS3",IF(AND(OR(LEFT(Sample!A183,1)={"E","H","T","B","V","L"},LEFT(Sample!A183,2)="ID"),OR(LEFT(Sample!C183,2)={"JA","AN","AG","AD"})),"TS24",IF(AND(OR(LEFT(Sample!A183,1)={"T","B","E","H","V","L"},LEFT(Sample!A183,2)="ID"),OR(LEFT(Sample!C183,2)={"SA","JS","AS","AA"},LEFT(Sample!C183,4)="SERA")),"TSPRO",IF(AND(LEFT(Sample!A183,2)="CR",OR(MID(Sample!C183,3,1)="D",MID(Sample!C183,3,1)="B")),"CARRIER9",IF(LEFT(Sample!A183,2)="CR","CARRIER18",Sample!A183)))))))</f>
        <v>TS3</v>
      </c>
    </row>
    <row r="186" spans="1:11" x14ac:dyDescent="0.35">
      <c r="A186" s="46" t="str">
        <f>Sample!B184&amp;"-"&amp;Sample!C184</f>
        <v>23-NAABNY77</v>
      </c>
      <c r="B186" s="46" t="str">
        <f>Sample!B184&amp;"-"&amp;Sample!C184</f>
        <v>23-NAABNY77</v>
      </c>
      <c r="C186" s="48" t="str">
        <f>Sample!A184</f>
        <v>V2234A</v>
      </c>
      <c r="D186" s="3"/>
      <c r="E186" s="3"/>
      <c r="F186" s="46" t="str">
        <f>Sample!K184</f>
        <v>S6715</v>
      </c>
      <c r="G186" s="47" t="str">
        <f>VLOOKUP(F186,'Index Sequence'!$A$2:$B$10000,2,FALSE)</f>
        <v>CGCTCTTA</v>
      </c>
      <c r="H186" s="47" t="str">
        <f>Sample!L184</f>
        <v>S6515</v>
      </c>
      <c r="I186" s="47" t="str">
        <f>VLOOKUP(H186,'Index Sequence'!$A$2:$B$10000,2,FALSE)</f>
        <v>ACGGTATG</v>
      </c>
      <c r="J186" s="2" t="str">
        <f>Sample!R184</f>
        <v>L01</v>
      </c>
      <c r="K186" s="48" t="str">
        <f>IF(AND(OR(LEFT(Sample!A184,1)={"E","H","T","B","V","L"},LEFT(Sample!A184,2)="ID"),OR(LEFT(Sample!C184,2)="JI",LEFT(Sample!C184,1)="I")),"TS1",IF(AND(OR(LEFT(Sample!A184,1)={"E","H","T","B","V","L"},LEFT(Sample!A184,2)="ID"),OR(LEFT(Sample!C184,2)={"JX","JW"},LEFT(Sample!C184,1)="X")),"TS95",IF(AND(OR(LEFT(Sample!A184,1)={"E","H","T","B","V","L"},LEFT(Sample!A184,2)="ID"),OR(LEFT(Sample!C184,2)="JN",LEFT(Sample!C184,1)="N")),"TS3",IF(AND(OR(LEFT(Sample!A184,1)={"E","H","T","B","V","L"},LEFT(Sample!A184,2)="ID"),OR(LEFT(Sample!C184,2)={"JA","AN","AG","AD"})),"TS24",IF(AND(OR(LEFT(Sample!A184,1)={"T","B","E","H","V","L"},LEFT(Sample!A184,2)="ID"),OR(LEFT(Sample!C184,2)={"SA","JS","AS","AA"},LEFT(Sample!C184,4)="SERA")),"TSPRO",IF(AND(LEFT(Sample!A184,2)="CR",OR(MID(Sample!C184,3,1)="D",MID(Sample!C184,3,1)="B")),"CARRIER9",IF(LEFT(Sample!A184,2)="CR","CARRIER18",Sample!A184)))))))</f>
        <v>TS3</v>
      </c>
    </row>
    <row r="187" spans="1:11" x14ac:dyDescent="0.35">
      <c r="A187" s="46" t="str">
        <f>Sample!B185&amp;"-"&amp;Sample!C185</f>
        <v>24-NAABNY78</v>
      </c>
      <c r="B187" s="46" t="str">
        <f>Sample!B185&amp;"-"&amp;Sample!C185</f>
        <v>24-NAABNY78</v>
      </c>
      <c r="C187" s="48" t="str">
        <f>Sample!A185</f>
        <v>V2234A</v>
      </c>
      <c r="D187" s="3"/>
      <c r="E187" s="3"/>
      <c r="F187" s="46" t="str">
        <f>Sample!K185</f>
        <v>S6716</v>
      </c>
      <c r="G187" s="47" t="str">
        <f>VLOOKUP(F187,'Index Sequence'!$A$2:$B$10000,2,FALSE)</f>
        <v>CTGAGCTC</v>
      </c>
      <c r="H187" s="47" t="str">
        <f>Sample!L185</f>
        <v>S6516</v>
      </c>
      <c r="I187" s="47" t="str">
        <f>VLOOKUP(H187,'Index Sequence'!$A$2:$B$10000,2,FALSE)</f>
        <v>GCTCTGAT</v>
      </c>
      <c r="J187" s="2" t="str">
        <f>Sample!R185</f>
        <v>L01</v>
      </c>
      <c r="K187" s="48" t="str">
        <f>IF(AND(OR(LEFT(Sample!A185,1)={"E","H","T","B","V","L"},LEFT(Sample!A185,2)="ID"),OR(LEFT(Sample!C185,2)="JI",LEFT(Sample!C185,1)="I")),"TS1",IF(AND(OR(LEFT(Sample!A185,1)={"E","H","T","B","V","L"},LEFT(Sample!A185,2)="ID"),OR(LEFT(Sample!C185,2)={"JX","JW"},LEFT(Sample!C185,1)="X")),"TS95",IF(AND(OR(LEFT(Sample!A185,1)={"E","H","T","B","V","L"},LEFT(Sample!A185,2)="ID"),OR(LEFT(Sample!C185,2)="JN",LEFT(Sample!C185,1)="N")),"TS3",IF(AND(OR(LEFT(Sample!A185,1)={"E","H","T","B","V","L"},LEFT(Sample!A185,2)="ID"),OR(LEFT(Sample!C185,2)={"JA","AN","AG","AD"})),"TS24",IF(AND(OR(LEFT(Sample!A185,1)={"T","B","E","H","V","L"},LEFT(Sample!A185,2)="ID"),OR(LEFT(Sample!C185,2)={"SA","JS","AS","AA"},LEFT(Sample!C185,4)="SERA")),"TSPRO",IF(AND(LEFT(Sample!A185,2)="CR",OR(MID(Sample!C185,3,1)="D",MID(Sample!C185,3,1)="B")),"CARRIER9",IF(LEFT(Sample!A185,2)="CR","CARRIER18",Sample!A185)))))))</f>
        <v>TS3</v>
      </c>
    </row>
    <row r="188" spans="1:11" x14ac:dyDescent="0.35">
      <c r="A188" s="46" t="str">
        <f>Sample!B186&amp;"-"&amp;Sample!C186</f>
        <v>1-IAABRG92</v>
      </c>
      <c r="B188" s="46" t="str">
        <f>Sample!B186&amp;"-"&amp;Sample!C186</f>
        <v>1-IAABRG92</v>
      </c>
      <c r="C188" s="48" t="str">
        <f>Sample!A186</f>
        <v>V2235A</v>
      </c>
      <c r="D188" s="3"/>
      <c r="E188" s="3"/>
      <c r="F188" s="46" t="str">
        <f>Sample!K186</f>
        <v>S6717</v>
      </c>
      <c r="G188" s="47" t="str">
        <f>VLOOKUP(F188,'Index Sequence'!$A$2:$B$10000,2,FALSE)</f>
        <v>ACGAATCC</v>
      </c>
      <c r="H188" s="47" t="str">
        <f>Sample!L186</f>
        <v>S6517</v>
      </c>
      <c r="I188" s="47" t="str">
        <f>VLOOKUP(H188,'Index Sequence'!$A$2:$B$10000,2,FALSE)</f>
        <v>TGGGTAAT</v>
      </c>
      <c r="J188" s="2" t="str">
        <f>Sample!R186</f>
        <v>L01</v>
      </c>
      <c r="K188" s="48" t="str">
        <f>IF(AND(OR(LEFT(Sample!A186,1)={"E","H","T","B","V","L"},LEFT(Sample!A186,2)="ID"),OR(LEFT(Sample!C186,2)="JI",LEFT(Sample!C186,1)="I")),"TS1",IF(AND(OR(LEFT(Sample!A186,1)={"E","H","T","B","V","L"},LEFT(Sample!A186,2)="ID"),OR(LEFT(Sample!C186,2)={"JX","JW"},LEFT(Sample!C186,1)="X")),"TS95",IF(AND(OR(LEFT(Sample!A186,1)={"E","H","T","B","V","L"},LEFT(Sample!A186,2)="ID"),OR(LEFT(Sample!C186,2)="JN",LEFT(Sample!C186,1)="N")),"TS3",IF(AND(OR(LEFT(Sample!A186,1)={"E","H","T","B","V","L"},LEFT(Sample!A186,2)="ID"),OR(LEFT(Sample!C186,2)={"JA","AN","AG","AD"})),"TS24",IF(AND(OR(LEFT(Sample!A186,1)={"T","B","E","H","V","L"},LEFT(Sample!A186,2)="ID"),OR(LEFT(Sample!C186,2)={"SA","JS","AS","AA"},LEFT(Sample!C186,4)="SERA")),"TSPRO",IF(AND(LEFT(Sample!A186,2)="CR",OR(MID(Sample!C186,3,1)="D",MID(Sample!C186,3,1)="B")),"CARRIER9",IF(LEFT(Sample!A186,2)="CR","CARRIER18",Sample!A186)))))))</f>
        <v>TS1</v>
      </c>
    </row>
    <row r="189" spans="1:11" x14ac:dyDescent="0.35">
      <c r="A189" s="46" t="str">
        <f>Sample!B187&amp;"-"&amp;Sample!C187</f>
        <v>2-IAABRG93</v>
      </c>
      <c r="B189" s="46" t="str">
        <f>Sample!B187&amp;"-"&amp;Sample!C187</f>
        <v>2-IAABRG93</v>
      </c>
      <c r="C189" s="48" t="str">
        <f>Sample!A187</f>
        <v>V2235A</v>
      </c>
      <c r="D189" s="3"/>
      <c r="E189" s="3"/>
      <c r="F189" s="46" t="str">
        <f>Sample!K187</f>
        <v>S6718</v>
      </c>
      <c r="G189" s="47" t="str">
        <f>VLOOKUP(F189,'Index Sequence'!$A$2:$B$10000,2,FALSE)</f>
        <v>GTCTGAGT</v>
      </c>
      <c r="H189" s="47" t="str">
        <f>Sample!L187</f>
        <v>S6518</v>
      </c>
      <c r="I189" s="47" t="str">
        <f>VLOOKUP(H189,'Index Sequence'!$A$2:$B$10000,2,FALSE)</f>
        <v>CACAAGTC</v>
      </c>
      <c r="J189" s="2" t="str">
        <f>Sample!R187</f>
        <v>L01</v>
      </c>
      <c r="K189" s="48" t="str">
        <f>IF(AND(OR(LEFT(Sample!A187,1)={"E","H","T","B","V","L"},LEFT(Sample!A187,2)="ID"),OR(LEFT(Sample!C187,2)="JI",LEFT(Sample!C187,1)="I")),"TS1",IF(AND(OR(LEFT(Sample!A187,1)={"E","H","T","B","V","L"},LEFT(Sample!A187,2)="ID"),OR(LEFT(Sample!C187,2)={"JX","JW"},LEFT(Sample!C187,1)="X")),"TS95",IF(AND(OR(LEFT(Sample!A187,1)={"E","H","T","B","V","L"},LEFT(Sample!A187,2)="ID"),OR(LEFT(Sample!C187,2)="JN",LEFT(Sample!C187,1)="N")),"TS3",IF(AND(OR(LEFT(Sample!A187,1)={"E","H","T","B","V","L"},LEFT(Sample!A187,2)="ID"),OR(LEFT(Sample!C187,2)={"JA","AN","AG","AD"})),"TS24",IF(AND(OR(LEFT(Sample!A187,1)={"T","B","E","H","V","L"},LEFT(Sample!A187,2)="ID"),OR(LEFT(Sample!C187,2)={"SA","JS","AS","AA"},LEFT(Sample!C187,4)="SERA")),"TSPRO",IF(AND(LEFT(Sample!A187,2)="CR",OR(MID(Sample!C187,3,1)="D",MID(Sample!C187,3,1)="B")),"CARRIER9",IF(LEFT(Sample!A187,2)="CR","CARRIER18",Sample!A187)))))))</f>
        <v>TS1</v>
      </c>
    </row>
    <row r="190" spans="1:11" x14ac:dyDescent="0.35">
      <c r="A190" s="46" t="str">
        <f>Sample!B188&amp;"-"&amp;Sample!C188</f>
        <v>3-IAABRG94</v>
      </c>
      <c r="B190" s="46" t="str">
        <f>Sample!B188&amp;"-"&amp;Sample!C188</f>
        <v>3-IAABRG94</v>
      </c>
      <c r="C190" s="48" t="str">
        <f>Sample!A188</f>
        <v>V2235A</v>
      </c>
      <c r="D190" s="3"/>
      <c r="E190" s="3"/>
      <c r="F190" s="46" t="str">
        <f>Sample!K188</f>
        <v>S6719</v>
      </c>
      <c r="G190" s="47" t="str">
        <f>VLOOKUP(F190,'Index Sequence'!$A$2:$B$10000,2,FALSE)</f>
        <v>CCTAAACT</v>
      </c>
      <c r="H190" s="47" t="str">
        <f>Sample!L188</f>
        <v>S6519</v>
      </c>
      <c r="I190" s="47" t="str">
        <f>VLOOKUP(H190,'Index Sequence'!$A$2:$B$10000,2,FALSE)</f>
        <v>CTCCTCGT</v>
      </c>
      <c r="J190" s="2" t="str">
        <f>Sample!R188</f>
        <v>L01</v>
      </c>
      <c r="K190" s="48" t="str">
        <f>IF(AND(OR(LEFT(Sample!A188,1)={"E","H","T","B","V","L"},LEFT(Sample!A188,2)="ID"),OR(LEFT(Sample!C188,2)="JI",LEFT(Sample!C188,1)="I")),"TS1",IF(AND(OR(LEFT(Sample!A188,1)={"E","H","T","B","V","L"},LEFT(Sample!A188,2)="ID"),OR(LEFT(Sample!C188,2)={"JX","JW"},LEFT(Sample!C188,1)="X")),"TS95",IF(AND(OR(LEFT(Sample!A188,1)={"E","H","T","B","V","L"},LEFT(Sample!A188,2)="ID"),OR(LEFT(Sample!C188,2)="JN",LEFT(Sample!C188,1)="N")),"TS3",IF(AND(OR(LEFT(Sample!A188,1)={"E","H","T","B","V","L"},LEFT(Sample!A188,2)="ID"),OR(LEFT(Sample!C188,2)={"JA","AN","AG","AD"})),"TS24",IF(AND(OR(LEFT(Sample!A188,1)={"T","B","E","H","V","L"},LEFT(Sample!A188,2)="ID"),OR(LEFT(Sample!C188,2)={"SA","JS","AS","AA"},LEFT(Sample!C188,4)="SERA")),"TSPRO",IF(AND(LEFT(Sample!A188,2)="CR",OR(MID(Sample!C188,3,1)="D",MID(Sample!C188,3,1)="B")),"CARRIER9",IF(LEFT(Sample!A188,2)="CR","CARRIER18",Sample!A188)))))))</f>
        <v>TS1</v>
      </c>
    </row>
    <row r="191" spans="1:11" x14ac:dyDescent="0.35">
      <c r="A191" s="46" t="str">
        <f>Sample!B189&amp;"-"&amp;Sample!C189</f>
        <v>4-IAABRG95</v>
      </c>
      <c r="B191" s="46" t="str">
        <f>Sample!B189&amp;"-"&amp;Sample!C189</f>
        <v>4-IAABRG95</v>
      </c>
      <c r="C191" s="48" t="str">
        <f>Sample!A189</f>
        <v>V2235A</v>
      </c>
      <c r="D191" s="3"/>
      <c r="E191" s="3"/>
      <c r="F191" s="46" t="str">
        <f>Sample!K189</f>
        <v>S6720</v>
      </c>
      <c r="G191" s="47" t="str">
        <f>VLOOKUP(F191,'Index Sequence'!$A$2:$B$10000,2,FALSE)</f>
        <v>TGTCACAC</v>
      </c>
      <c r="H191" s="47" t="str">
        <f>Sample!L189</f>
        <v>S6520</v>
      </c>
      <c r="I191" s="47" t="str">
        <f>VLOOKUP(H191,'Index Sequence'!$A$2:$B$10000,2,FALSE)</f>
        <v>CGAGATTA</v>
      </c>
      <c r="J191" s="2" t="str">
        <f>Sample!R189</f>
        <v>L01</v>
      </c>
      <c r="K191" s="48" t="str">
        <f>IF(AND(OR(LEFT(Sample!A189,1)={"E","H","T","B","V","L"},LEFT(Sample!A189,2)="ID"),OR(LEFT(Sample!C189,2)="JI",LEFT(Sample!C189,1)="I")),"TS1",IF(AND(OR(LEFT(Sample!A189,1)={"E","H","T","B","V","L"},LEFT(Sample!A189,2)="ID"),OR(LEFT(Sample!C189,2)={"JX","JW"},LEFT(Sample!C189,1)="X")),"TS95",IF(AND(OR(LEFT(Sample!A189,1)={"E","H","T","B","V","L"},LEFT(Sample!A189,2)="ID"),OR(LEFT(Sample!C189,2)="JN",LEFT(Sample!C189,1)="N")),"TS3",IF(AND(OR(LEFT(Sample!A189,1)={"E","H","T","B","V","L"},LEFT(Sample!A189,2)="ID"),OR(LEFT(Sample!C189,2)={"JA","AN","AG","AD"})),"TS24",IF(AND(OR(LEFT(Sample!A189,1)={"T","B","E","H","V","L"},LEFT(Sample!A189,2)="ID"),OR(LEFT(Sample!C189,2)={"SA","JS","AS","AA"},LEFT(Sample!C189,4)="SERA")),"TSPRO",IF(AND(LEFT(Sample!A189,2)="CR",OR(MID(Sample!C189,3,1)="D",MID(Sample!C189,3,1)="B")),"CARRIER9",IF(LEFT(Sample!A189,2)="CR","CARRIER18",Sample!A189)))))))</f>
        <v>TS1</v>
      </c>
    </row>
    <row r="192" spans="1:11" x14ac:dyDescent="0.35">
      <c r="A192" s="46" t="str">
        <f>Sample!B190&amp;"-"&amp;Sample!C190</f>
        <v>5-IAABRG96</v>
      </c>
      <c r="B192" s="46" t="str">
        <f>Sample!B190&amp;"-"&amp;Sample!C190</f>
        <v>5-IAABRG96</v>
      </c>
      <c r="C192" s="48" t="str">
        <f>Sample!A190</f>
        <v>V2235A</v>
      </c>
      <c r="D192" s="3"/>
      <c r="E192" s="3"/>
      <c r="F192" s="46" t="str">
        <f>Sample!K190</f>
        <v>S6721</v>
      </c>
      <c r="G192" s="47" t="str">
        <f>VLOOKUP(F192,'Index Sequence'!$A$2:$B$10000,2,FALSE)</f>
        <v>GATATGAA</v>
      </c>
      <c r="H192" s="47" t="str">
        <f>Sample!L190</f>
        <v>S6521</v>
      </c>
      <c r="I192" s="47" t="str">
        <f>VLOOKUP(H192,'Index Sequence'!$A$2:$B$10000,2,FALSE)</f>
        <v>CTGCCGTA</v>
      </c>
      <c r="J192" s="2" t="str">
        <f>Sample!R190</f>
        <v>L01</v>
      </c>
      <c r="K192" s="48" t="str">
        <f>IF(AND(OR(LEFT(Sample!A190,1)={"E","H","T","B","V","L"},LEFT(Sample!A190,2)="ID"),OR(LEFT(Sample!C190,2)="JI",LEFT(Sample!C190,1)="I")),"TS1",IF(AND(OR(LEFT(Sample!A190,1)={"E","H","T","B","V","L"},LEFT(Sample!A190,2)="ID"),OR(LEFT(Sample!C190,2)={"JX","JW"},LEFT(Sample!C190,1)="X")),"TS95",IF(AND(OR(LEFT(Sample!A190,1)={"E","H","T","B","V","L"},LEFT(Sample!A190,2)="ID"),OR(LEFT(Sample!C190,2)="JN",LEFT(Sample!C190,1)="N")),"TS3",IF(AND(OR(LEFT(Sample!A190,1)={"E","H","T","B","V","L"},LEFT(Sample!A190,2)="ID"),OR(LEFT(Sample!C190,2)={"JA","AN","AG","AD"})),"TS24",IF(AND(OR(LEFT(Sample!A190,1)={"T","B","E","H","V","L"},LEFT(Sample!A190,2)="ID"),OR(LEFT(Sample!C190,2)={"SA","JS","AS","AA"},LEFT(Sample!C190,4)="SERA")),"TSPRO",IF(AND(LEFT(Sample!A190,2)="CR",OR(MID(Sample!C190,3,1)="D",MID(Sample!C190,3,1)="B")),"CARRIER9",IF(LEFT(Sample!A190,2)="CR","CARRIER18",Sample!A190)))))))</f>
        <v>TS1</v>
      </c>
    </row>
    <row r="193" spans="1:11" x14ac:dyDescent="0.35">
      <c r="A193" s="46" t="str">
        <f>Sample!B191&amp;"-"&amp;Sample!C191</f>
        <v>6-IAABRG97</v>
      </c>
      <c r="B193" s="46" t="str">
        <f>Sample!B191&amp;"-"&amp;Sample!C191</f>
        <v>6-IAABRG97</v>
      </c>
      <c r="C193" s="48" t="str">
        <f>Sample!A191</f>
        <v>V2235A</v>
      </c>
      <c r="D193" s="3"/>
      <c r="E193" s="3"/>
      <c r="F193" s="46" t="str">
        <f>Sample!K191</f>
        <v>S6722</v>
      </c>
      <c r="G193" s="47" t="str">
        <f>VLOOKUP(F193,'Index Sequence'!$A$2:$B$10000,2,FALSE)</f>
        <v>AAGTGTGG</v>
      </c>
      <c r="H193" s="47" t="str">
        <f>Sample!L191</f>
        <v>S6522</v>
      </c>
      <c r="I193" s="47" t="str">
        <f>VLOOKUP(H193,'Index Sequence'!$A$2:$B$10000,2,FALSE)</f>
        <v>GATGGGCA</v>
      </c>
      <c r="J193" s="2" t="str">
        <f>Sample!R191</f>
        <v>L01</v>
      </c>
      <c r="K193" s="48" t="str">
        <f>IF(AND(OR(LEFT(Sample!A191,1)={"E","H","T","B","V","L"},LEFT(Sample!A191,2)="ID"),OR(LEFT(Sample!C191,2)="JI",LEFT(Sample!C191,1)="I")),"TS1",IF(AND(OR(LEFT(Sample!A191,1)={"E","H","T","B","V","L"},LEFT(Sample!A191,2)="ID"),OR(LEFT(Sample!C191,2)={"JX","JW"},LEFT(Sample!C191,1)="X")),"TS95",IF(AND(OR(LEFT(Sample!A191,1)={"E","H","T","B","V","L"},LEFT(Sample!A191,2)="ID"),OR(LEFT(Sample!C191,2)="JN",LEFT(Sample!C191,1)="N")),"TS3",IF(AND(OR(LEFT(Sample!A191,1)={"E","H","T","B","V","L"},LEFT(Sample!A191,2)="ID"),OR(LEFT(Sample!C191,2)={"JA","AN","AG","AD"})),"TS24",IF(AND(OR(LEFT(Sample!A191,1)={"T","B","E","H","V","L"},LEFT(Sample!A191,2)="ID"),OR(LEFT(Sample!C191,2)={"SA","JS","AS","AA"},LEFT(Sample!C191,4)="SERA")),"TSPRO",IF(AND(LEFT(Sample!A191,2)="CR",OR(MID(Sample!C191,3,1)="D",MID(Sample!C191,3,1)="B")),"CARRIER9",IF(LEFT(Sample!A191,2)="CR","CARRIER18",Sample!A191)))))))</f>
        <v>TS1</v>
      </c>
    </row>
    <row r="194" spans="1:11" x14ac:dyDescent="0.35">
      <c r="A194" s="46" t="str">
        <f>Sample!B192&amp;"-"&amp;Sample!C192</f>
        <v>7-IAABRG98</v>
      </c>
      <c r="B194" s="46" t="str">
        <f>Sample!B192&amp;"-"&amp;Sample!C192</f>
        <v>7-IAABRG98</v>
      </c>
      <c r="C194" s="48" t="str">
        <f>Sample!A192</f>
        <v>V2235A</v>
      </c>
      <c r="D194" s="3"/>
      <c r="E194" s="3"/>
      <c r="F194" s="46" t="str">
        <f>Sample!K192</f>
        <v>S6723</v>
      </c>
      <c r="G194" s="47" t="str">
        <f>VLOOKUP(F194,'Index Sequence'!$A$2:$B$10000,2,FALSE)</f>
        <v>GTTGGCGT</v>
      </c>
      <c r="H194" s="47" t="str">
        <f>Sample!L192</f>
        <v>S6523</v>
      </c>
      <c r="I194" s="47" t="str">
        <f>VLOOKUP(H194,'Index Sequence'!$A$2:$B$10000,2,FALSE)</f>
        <v>GACTGCTG</v>
      </c>
      <c r="J194" s="2" t="str">
        <f>Sample!R192</f>
        <v>L01</v>
      </c>
      <c r="K194" s="48" t="str">
        <f>IF(AND(OR(LEFT(Sample!A192,1)={"E","H","T","B","V","L"},LEFT(Sample!A192,2)="ID"),OR(LEFT(Sample!C192,2)="JI",LEFT(Sample!C192,1)="I")),"TS1",IF(AND(OR(LEFT(Sample!A192,1)={"E","H","T","B","V","L"},LEFT(Sample!A192,2)="ID"),OR(LEFT(Sample!C192,2)={"JX","JW"},LEFT(Sample!C192,1)="X")),"TS95",IF(AND(OR(LEFT(Sample!A192,1)={"E","H","T","B","V","L"},LEFT(Sample!A192,2)="ID"),OR(LEFT(Sample!C192,2)="JN",LEFT(Sample!C192,1)="N")),"TS3",IF(AND(OR(LEFT(Sample!A192,1)={"E","H","T","B","V","L"},LEFT(Sample!A192,2)="ID"),OR(LEFT(Sample!C192,2)={"JA","AN","AG","AD"})),"TS24",IF(AND(OR(LEFT(Sample!A192,1)={"T","B","E","H","V","L"},LEFT(Sample!A192,2)="ID"),OR(LEFT(Sample!C192,2)={"SA","JS","AS","AA"},LEFT(Sample!C192,4)="SERA")),"TSPRO",IF(AND(LEFT(Sample!A192,2)="CR",OR(MID(Sample!C192,3,1)="D",MID(Sample!C192,3,1)="B")),"CARRIER9",IF(LEFT(Sample!A192,2)="CR","CARRIER18",Sample!A192)))))))</f>
        <v>TS1</v>
      </c>
    </row>
    <row r="195" spans="1:11" x14ac:dyDescent="0.35">
      <c r="A195" s="46" t="str">
        <f>Sample!B193&amp;"-"&amp;Sample!C193</f>
        <v>8-IAABRG99</v>
      </c>
      <c r="B195" s="46" t="str">
        <f>Sample!B193&amp;"-"&amp;Sample!C193</f>
        <v>8-IAABRG99</v>
      </c>
      <c r="C195" s="48" t="str">
        <f>Sample!A193</f>
        <v>V2235A</v>
      </c>
      <c r="D195" s="3"/>
      <c r="E195" s="3"/>
      <c r="F195" s="46" t="str">
        <f>Sample!K193</f>
        <v>S6724</v>
      </c>
      <c r="G195" s="47" t="str">
        <f>VLOOKUP(F195,'Index Sequence'!$A$2:$B$10000,2,FALSE)</f>
        <v>TAGCTGGC</v>
      </c>
      <c r="H195" s="47" t="str">
        <f>Sample!L193</f>
        <v>S6524</v>
      </c>
      <c r="I195" s="47" t="str">
        <f>VLOOKUP(H195,'Index Sequence'!$A$2:$B$10000,2,FALSE)</f>
        <v>AGCCGGTA</v>
      </c>
      <c r="J195" s="2" t="str">
        <f>Sample!R193</f>
        <v>L01</v>
      </c>
      <c r="K195" s="48" t="str">
        <f>IF(AND(OR(LEFT(Sample!A193,1)={"E","H","T","B","V","L"},LEFT(Sample!A193,2)="ID"),OR(LEFT(Sample!C193,2)="JI",LEFT(Sample!C193,1)="I")),"TS1",IF(AND(OR(LEFT(Sample!A193,1)={"E","H","T","B","V","L"},LEFT(Sample!A193,2)="ID"),OR(LEFT(Sample!C193,2)={"JX","JW"},LEFT(Sample!C193,1)="X")),"TS95",IF(AND(OR(LEFT(Sample!A193,1)={"E","H","T","B","V","L"},LEFT(Sample!A193,2)="ID"),OR(LEFT(Sample!C193,2)="JN",LEFT(Sample!C193,1)="N")),"TS3",IF(AND(OR(LEFT(Sample!A193,1)={"E","H","T","B","V","L"},LEFT(Sample!A193,2)="ID"),OR(LEFT(Sample!C193,2)={"JA","AN","AG","AD"})),"TS24",IF(AND(OR(LEFT(Sample!A193,1)={"T","B","E","H","V","L"},LEFT(Sample!A193,2)="ID"),OR(LEFT(Sample!C193,2)={"SA","JS","AS","AA"},LEFT(Sample!C193,4)="SERA")),"TSPRO",IF(AND(LEFT(Sample!A193,2)="CR",OR(MID(Sample!C193,3,1)="D",MID(Sample!C193,3,1)="B")),"CARRIER9",IF(LEFT(Sample!A193,2)="CR","CARRIER18",Sample!A193)))))))</f>
        <v>TS1</v>
      </c>
    </row>
    <row r="196" spans="1:11" x14ac:dyDescent="0.35">
      <c r="A196" s="46" t="str">
        <f>Sample!B194&amp;"-"&amp;Sample!C194</f>
        <v>9-IAABRH01</v>
      </c>
      <c r="B196" s="46" t="str">
        <f>Sample!B194&amp;"-"&amp;Sample!C194</f>
        <v>9-IAABRH01</v>
      </c>
      <c r="C196" s="48" t="str">
        <f>Sample!A194</f>
        <v>V2235A</v>
      </c>
      <c r="D196" s="3"/>
      <c r="E196" s="3"/>
      <c r="F196" s="46" t="str">
        <f>Sample!K194</f>
        <v>S6725</v>
      </c>
      <c r="G196" s="47" t="str">
        <f>VLOOKUP(F196,'Index Sequence'!$A$2:$B$10000,2,FALSE)</f>
        <v>ATTACCCA</v>
      </c>
      <c r="H196" s="47" t="str">
        <f>Sample!L194</f>
        <v>S6525</v>
      </c>
      <c r="I196" s="47" t="str">
        <f>VLOOKUP(H196,'Index Sequence'!$A$2:$B$10000,2,FALSE)</f>
        <v>CTACAGTG</v>
      </c>
      <c r="J196" s="2" t="str">
        <f>Sample!R194</f>
        <v>L01</v>
      </c>
      <c r="K196" s="48" t="str">
        <f>IF(AND(OR(LEFT(Sample!A194,1)={"E","H","T","B","V","L"},LEFT(Sample!A194,2)="ID"),OR(LEFT(Sample!C194,2)="JI",LEFT(Sample!C194,1)="I")),"TS1",IF(AND(OR(LEFT(Sample!A194,1)={"E","H","T","B","V","L"},LEFT(Sample!A194,2)="ID"),OR(LEFT(Sample!C194,2)={"JX","JW"},LEFT(Sample!C194,1)="X")),"TS95",IF(AND(OR(LEFT(Sample!A194,1)={"E","H","T","B","V","L"},LEFT(Sample!A194,2)="ID"),OR(LEFT(Sample!C194,2)="JN",LEFT(Sample!C194,1)="N")),"TS3",IF(AND(OR(LEFT(Sample!A194,1)={"E","H","T","B","V","L"},LEFT(Sample!A194,2)="ID"),OR(LEFT(Sample!C194,2)={"JA","AN","AG","AD"})),"TS24",IF(AND(OR(LEFT(Sample!A194,1)={"T","B","E","H","V","L"},LEFT(Sample!A194,2)="ID"),OR(LEFT(Sample!C194,2)={"SA","JS","AS","AA"},LEFT(Sample!C194,4)="SERA")),"TSPRO",IF(AND(LEFT(Sample!A194,2)="CR",OR(MID(Sample!C194,3,1)="D",MID(Sample!C194,3,1)="B")),"CARRIER9",IF(LEFT(Sample!A194,2)="CR","CARRIER18",Sample!A194)))))))</f>
        <v>TS1</v>
      </c>
    </row>
    <row r="197" spans="1:11" x14ac:dyDescent="0.35">
      <c r="A197" s="46" t="str">
        <f>Sample!B195&amp;"-"&amp;Sample!C195</f>
        <v>10-IAABRH02</v>
      </c>
      <c r="B197" s="46" t="str">
        <f>Sample!B195&amp;"-"&amp;Sample!C195</f>
        <v>10-IAABRH02</v>
      </c>
      <c r="C197" s="48" t="str">
        <f>Sample!A195</f>
        <v>V2235A</v>
      </c>
      <c r="D197" s="3"/>
      <c r="E197" s="3"/>
      <c r="F197" s="46" t="str">
        <f>Sample!K195</f>
        <v>S6726</v>
      </c>
      <c r="G197" s="47" t="str">
        <f>VLOOKUP(F197,'Index Sequence'!$A$2:$B$10000,2,FALSE)</f>
        <v>GACTTGTG</v>
      </c>
      <c r="H197" s="47" t="str">
        <f>Sample!L195</f>
        <v>S6526</v>
      </c>
      <c r="I197" s="47" t="str">
        <f>VLOOKUP(H197,'Index Sequence'!$A$2:$B$10000,2,FALSE)</f>
        <v>TCGTGCAC</v>
      </c>
      <c r="J197" s="2" t="str">
        <f>Sample!R195</f>
        <v>L01</v>
      </c>
      <c r="K197" s="48" t="str">
        <f>IF(AND(OR(LEFT(Sample!A195,1)={"E","H","T","B","V","L"},LEFT(Sample!A195,2)="ID"),OR(LEFT(Sample!C195,2)="JI",LEFT(Sample!C195,1)="I")),"TS1",IF(AND(OR(LEFT(Sample!A195,1)={"E","H","T","B","V","L"},LEFT(Sample!A195,2)="ID"),OR(LEFT(Sample!C195,2)={"JX","JW"},LEFT(Sample!C195,1)="X")),"TS95",IF(AND(OR(LEFT(Sample!A195,1)={"E","H","T","B","V","L"},LEFT(Sample!A195,2)="ID"),OR(LEFT(Sample!C195,2)="JN",LEFT(Sample!C195,1)="N")),"TS3",IF(AND(OR(LEFT(Sample!A195,1)={"E","H","T","B","V","L"},LEFT(Sample!A195,2)="ID"),OR(LEFT(Sample!C195,2)={"JA","AN","AG","AD"})),"TS24",IF(AND(OR(LEFT(Sample!A195,1)={"T","B","E","H","V","L"},LEFT(Sample!A195,2)="ID"),OR(LEFT(Sample!C195,2)={"SA","JS","AS","AA"},LEFT(Sample!C195,4)="SERA")),"TSPRO",IF(AND(LEFT(Sample!A195,2)="CR",OR(MID(Sample!C195,3,1)="D",MID(Sample!C195,3,1)="B")),"CARRIER9",IF(LEFT(Sample!A195,2)="CR","CARRIER18",Sample!A195)))))))</f>
        <v>TS1</v>
      </c>
    </row>
    <row r="198" spans="1:11" x14ac:dyDescent="0.35">
      <c r="A198" s="46" t="str">
        <f>Sample!B196&amp;"-"&amp;Sample!C196</f>
        <v>11-IAABRH03</v>
      </c>
      <c r="B198" s="46" t="str">
        <f>Sample!B196&amp;"-"&amp;Sample!C196</f>
        <v>11-IAABRH03</v>
      </c>
      <c r="C198" s="48" t="str">
        <f>Sample!A196</f>
        <v>V2235A</v>
      </c>
      <c r="D198" s="3"/>
      <c r="E198" s="3"/>
      <c r="F198" s="46" t="str">
        <f>Sample!K196</f>
        <v>S6727</v>
      </c>
      <c r="G198" s="47" t="str">
        <f>VLOOKUP(F198,'Index Sequence'!$A$2:$B$10000,2,FALSE)</f>
        <v>CAGGTAAG</v>
      </c>
      <c r="H198" s="47" t="str">
        <f>Sample!L196</f>
        <v>S6527</v>
      </c>
      <c r="I198" s="47" t="str">
        <f>VLOOKUP(H198,'Index Sequence'!$A$2:$B$10000,2,FALSE)</f>
        <v>ATTTCGAG</v>
      </c>
      <c r="J198" s="2" t="str">
        <f>Sample!R196</f>
        <v>L01</v>
      </c>
      <c r="K198" s="48" t="str">
        <f>IF(AND(OR(LEFT(Sample!A196,1)={"E","H","T","B","V","L"},LEFT(Sample!A196,2)="ID"),OR(LEFT(Sample!C196,2)="JI",LEFT(Sample!C196,1)="I")),"TS1",IF(AND(OR(LEFT(Sample!A196,1)={"E","H","T","B","V","L"},LEFT(Sample!A196,2)="ID"),OR(LEFT(Sample!C196,2)={"JX","JW"},LEFT(Sample!C196,1)="X")),"TS95",IF(AND(OR(LEFT(Sample!A196,1)={"E","H","T","B","V","L"},LEFT(Sample!A196,2)="ID"),OR(LEFT(Sample!C196,2)="JN",LEFT(Sample!C196,1)="N")),"TS3",IF(AND(OR(LEFT(Sample!A196,1)={"E","H","T","B","V","L"},LEFT(Sample!A196,2)="ID"),OR(LEFT(Sample!C196,2)={"JA","AN","AG","AD"})),"TS24",IF(AND(OR(LEFT(Sample!A196,1)={"T","B","E","H","V","L"},LEFT(Sample!A196,2)="ID"),OR(LEFT(Sample!C196,2)={"SA","JS","AS","AA"},LEFT(Sample!C196,4)="SERA")),"TSPRO",IF(AND(LEFT(Sample!A196,2)="CR",OR(MID(Sample!C196,3,1)="D",MID(Sample!C196,3,1)="B")),"CARRIER9",IF(LEFT(Sample!A196,2)="CR","CARRIER18",Sample!A196)))))))</f>
        <v>TS1</v>
      </c>
    </row>
    <row r="199" spans="1:11" x14ac:dyDescent="0.35">
      <c r="A199" s="46" t="str">
        <f>Sample!B197&amp;"-"&amp;Sample!C197</f>
        <v>12-IAABRH04</v>
      </c>
      <c r="B199" s="46" t="str">
        <f>Sample!B197&amp;"-"&amp;Sample!C197</f>
        <v>12-IAABRH04</v>
      </c>
      <c r="C199" s="48" t="str">
        <f>Sample!A197</f>
        <v>V2235A</v>
      </c>
      <c r="D199" s="3"/>
      <c r="E199" s="3"/>
      <c r="F199" s="46" t="str">
        <f>Sample!K197</f>
        <v>S6728</v>
      </c>
      <c r="G199" s="47" t="str">
        <f>VLOOKUP(F199,'Index Sequence'!$A$2:$B$10000,2,FALSE)</f>
        <v>AAGGAGAC</v>
      </c>
      <c r="H199" s="47" t="str">
        <f>Sample!L197</f>
        <v>S6528</v>
      </c>
      <c r="I199" s="47" t="str">
        <f>VLOOKUP(H199,'Index Sequence'!$A$2:$B$10000,2,FALSE)</f>
        <v>GTTGTGAG</v>
      </c>
      <c r="J199" s="2" t="str">
        <f>Sample!R197</f>
        <v>L01</v>
      </c>
      <c r="K199" s="48" t="str">
        <f>IF(AND(OR(LEFT(Sample!A197,1)={"E","H","T","B","V","L"},LEFT(Sample!A197,2)="ID"),OR(LEFT(Sample!C197,2)="JI",LEFT(Sample!C197,1)="I")),"TS1",IF(AND(OR(LEFT(Sample!A197,1)={"E","H","T","B","V","L"},LEFT(Sample!A197,2)="ID"),OR(LEFT(Sample!C197,2)={"JX","JW"},LEFT(Sample!C197,1)="X")),"TS95",IF(AND(OR(LEFT(Sample!A197,1)={"E","H","T","B","V","L"},LEFT(Sample!A197,2)="ID"),OR(LEFT(Sample!C197,2)="JN",LEFT(Sample!C197,1)="N")),"TS3",IF(AND(OR(LEFT(Sample!A197,1)={"E","H","T","B","V","L"},LEFT(Sample!A197,2)="ID"),OR(LEFT(Sample!C197,2)={"JA","AN","AG","AD"})),"TS24",IF(AND(OR(LEFT(Sample!A197,1)={"T","B","E","H","V","L"},LEFT(Sample!A197,2)="ID"),OR(LEFT(Sample!C197,2)={"SA","JS","AS","AA"},LEFT(Sample!C197,4)="SERA")),"TSPRO",IF(AND(LEFT(Sample!A197,2)="CR",OR(MID(Sample!C197,3,1)="D",MID(Sample!C197,3,1)="B")),"CARRIER9",IF(LEFT(Sample!A197,2)="CR","CARRIER18",Sample!A197)))))))</f>
        <v>TS1</v>
      </c>
    </row>
    <row r="200" spans="1:11" x14ac:dyDescent="0.35">
      <c r="A200" s="46" t="str">
        <f>Sample!B198&amp;"-"&amp;Sample!C198</f>
        <v>13-IAABRH05</v>
      </c>
      <c r="B200" s="46" t="str">
        <f>Sample!B198&amp;"-"&amp;Sample!C198</f>
        <v>13-IAABRH05</v>
      </c>
      <c r="C200" s="48" t="str">
        <f>Sample!A198</f>
        <v>V2235A</v>
      </c>
      <c r="D200" s="3"/>
      <c r="E200" s="3"/>
      <c r="F200" s="46" t="str">
        <f>Sample!K198</f>
        <v>S6729</v>
      </c>
      <c r="G200" s="47" t="str">
        <f>VLOOKUP(F200,'Index Sequence'!$A$2:$B$10000,2,FALSE)</f>
        <v>AGTCAGGT</v>
      </c>
      <c r="H200" s="47" t="str">
        <f>Sample!L198</f>
        <v>S6529</v>
      </c>
      <c r="I200" s="47" t="str">
        <f>VLOOKUP(H200,'Index Sequence'!$A$2:$B$10000,2,FALSE)</f>
        <v>GTGGTTAC</v>
      </c>
      <c r="J200" s="2" t="str">
        <f>Sample!R198</f>
        <v>L01</v>
      </c>
      <c r="K200" s="48" t="str">
        <f>IF(AND(OR(LEFT(Sample!A198,1)={"E","H","T","B","V","L"},LEFT(Sample!A198,2)="ID"),OR(LEFT(Sample!C198,2)="JI",LEFT(Sample!C198,1)="I")),"TS1",IF(AND(OR(LEFT(Sample!A198,1)={"E","H","T","B","V","L"},LEFT(Sample!A198,2)="ID"),OR(LEFT(Sample!C198,2)={"JX","JW"},LEFT(Sample!C198,1)="X")),"TS95",IF(AND(OR(LEFT(Sample!A198,1)={"E","H","T","B","V","L"},LEFT(Sample!A198,2)="ID"),OR(LEFT(Sample!C198,2)="JN",LEFT(Sample!C198,1)="N")),"TS3",IF(AND(OR(LEFT(Sample!A198,1)={"E","H","T","B","V","L"},LEFT(Sample!A198,2)="ID"),OR(LEFT(Sample!C198,2)={"JA","AN","AG","AD"})),"TS24",IF(AND(OR(LEFT(Sample!A198,1)={"T","B","E","H","V","L"},LEFT(Sample!A198,2)="ID"),OR(LEFT(Sample!C198,2)={"SA","JS","AS","AA"},LEFT(Sample!C198,4)="SERA")),"TSPRO",IF(AND(LEFT(Sample!A198,2)="CR",OR(MID(Sample!C198,3,1)="D",MID(Sample!C198,3,1)="B")),"CARRIER9",IF(LEFT(Sample!A198,2)="CR","CARRIER18",Sample!A198)))))))</f>
        <v>TS1</v>
      </c>
    </row>
    <row r="201" spans="1:11" x14ac:dyDescent="0.35">
      <c r="A201" s="46" t="str">
        <f>Sample!B199&amp;"-"&amp;Sample!C199</f>
        <v>14-IAABRH06</v>
      </c>
      <c r="B201" s="46" t="str">
        <f>Sample!B199&amp;"-"&amp;Sample!C199</f>
        <v>14-IAABRH06</v>
      </c>
      <c r="C201" s="48" t="str">
        <f>Sample!A199</f>
        <v>V2235A</v>
      </c>
      <c r="D201" s="3"/>
      <c r="E201" s="3"/>
      <c r="F201" s="46" t="str">
        <f>Sample!K199</f>
        <v>S6730</v>
      </c>
      <c r="G201" s="47" t="str">
        <f>VLOOKUP(F201,'Index Sequence'!$A$2:$B$10000,2,FALSE)</f>
        <v>ACCGTAAG</v>
      </c>
      <c r="H201" s="47" t="str">
        <f>Sample!L199</f>
        <v>S6530</v>
      </c>
      <c r="I201" s="47" t="str">
        <f>VLOOKUP(H201,'Index Sequence'!$A$2:$B$10000,2,FALSE)</f>
        <v>TGGATATG</v>
      </c>
      <c r="J201" s="2" t="str">
        <f>Sample!R199</f>
        <v>L01</v>
      </c>
      <c r="K201" s="48" t="str">
        <f>IF(AND(OR(LEFT(Sample!A199,1)={"E","H","T","B","V","L"},LEFT(Sample!A199,2)="ID"),OR(LEFT(Sample!C199,2)="JI",LEFT(Sample!C199,1)="I")),"TS1",IF(AND(OR(LEFT(Sample!A199,1)={"E","H","T","B","V","L"},LEFT(Sample!A199,2)="ID"),OR(LEFT(Sample!C199,2)={"JX","JW"},LEFT(Sample!C199,1)="X")),"TS95",IF(AND(OR(LEFT(Sample!A199,1)={"E","H","T","B","V","L"},LEFT(Sample!A199,2)="ID"),OR(LEFT(Sample!C199,2)="JN",LEFT(Sample!C199,1)="N")),"TS3",IF(AND(OR(LEFT(Sample!A199,1)={"E","H","T","B","V","L"},LEFT(Sample!A199,2)="ID"),OR(LEFT(Sample!C199,2)={"JA","AN","AG","AD"})),"TS24",IF(AND(OR(LEFT(Sample!A199,1)={"T","B","E","H","V","L"},LEFT(Sample!A199,2)="ID"),OR(LEFT(Sample!C199,2)={"SA","JS","AS","AA"},LEFT(Sample!C199,4)="SERA")),"TSPRO",IF(AND(LEFT(Sample!A199,2)="CR",OR(MID(Sample!C199,3,1)="D",MID(Sample!C199,3,1)="B")),"CARRIER9",IF(LEFT(Sample!A199,2)="CR","CARRIER18",Sample!A199)))))))</f>
        <v>TS1</v>
      </c>
    </row>
    <row r="202" spans="1:11" x14ac:dyDescent="0.35">
      <c r="A202" s="46" t="str">
        <f>Sample!B200&amp;"-"&amp;Sample!C200</f>
        <v>15-IAABRH07</v>
      </c>
      <c r="B202" s="46" t="str">
        <f>Sample!B200&amp;"-"&amp;Sample!C200</f>
        <v>15-IAABRH07</v>
      </c>
      <c r="C202" s="48" t="str">
        <f>Sample!A200</f>
        <v>V2235A</v>
      </c>
      <c r="D202" s="3"/>
      <c r="E202" s="3"/>
      <c r="F202" s="46" t="str">
        <f>Sample!K200</f>
        <v>S6731</v>
      </c>
      <c r="G202" s="47" t="str">
        <f>VLOOKUP(F202,'Index Sequence'!$A$2:$B$10000,2,FALSE)</f>
        <v>TATGACGT</v>
      </c>
      <c r="H202" s="47" t="str">
        <f>Sample!L200</f>
        <v>S6531</v>
      </c>
      <c r="I202" s="47" t="str">
        <f>VLOOKUP(H202,'Index Sequence'!$A$2:$B$10000,2,FALSE)</f>
        <v>GATTAGCG</v>
      </c>
      <c r="J202" s="2" t="str">
        <f>Sample!R200</f>
        <v>L01</v>
      </c>
      <c r="K202" s="48" t="str">
        <f>IF(AND(OR(LEFT(Sample!A200,1)={"E","H","T","B","V","L"},LEFT(Sample!A200,2)="ID"),OR(LEFT(Sample!C200,2)="JI",LEFT(Sample!C200,1)="I")),"TS1",IF(AND(OR(LEFT(Sample!A200,1)={"E","H","T","B","V","L"},LEFT(Sample!A200,2)="ID"),OR(LEFT(Sample!C200,2)={"JX","JW"},LEFT(Sample!C200,1)="X")),"TS95",IF(AND(OR(LEFT(Sample!A200,1)={"E","H","T","B","V","L"},LEFT(Sample!A200,2)="ID"),OR(LEFT(Sample!C200,2)="JN",LEFT(Sample!C200,1)="N")),"TS3",IF(AND(OR(LEFT(Sample!A200,1)={"E","H","T","B","V","L"},LEFT(Sample!A200,2)="ID"),OR(LEFT(Sample!C200,2)={"JA","AN","AG","AD"})),"TS24",IF(AND(OR(LEFT(Sample!A200,1)={"T","B","E","H","V","L"},LEFT(Sample!A200,2)="ID"),OR(LEFT(Sample!C200,2)={"SA","JS","AS","AA"},LEFT(Sample!C200,4)="SERA")),"TSPRO",IF(AND(LEFT(Sample!A200,2)="CR",OR(MID(Sample!C200,3,1)="D",MID(Sample!C200,3,1)="B")),"CARRIER9",IF(LEFT(Sample!A200,2)="CR","CARRIER18",Sample!A200)))))))</f>
        <v>TS1</v>
      </c>
    </row>
    <row r="203" spans="1:11" x14ac:dyDescent="0.35">
      <c r="A203" s="46" t="str">
        <f>Sample!B201&amp;"-"&amp;Sample!C201</f>
        <v>16-IAABRH08</v>
      </c>
      <c r="B203" s="46" t="str">
        <f>Sample!B201&amp;"-"&amp;Sample!C201</f>
        <v>16-IAABRH08</v>
      </c>
      <c r="C203" s="48" t="str">
        <f>Sample!A201</f>
        <v>V2235A</v>
      </c>
      <c r="D203" s="3"/>
      <c r="E203" s="3"/>
      <c r="F203" s="46" t="str">
        <f>Sample!K201</f>
        <v>S6732</v>
      </c>
      <c r="G203" s="47" t="str">
        <f>VLOOKUP(F203,'Index Sequence'!$A$2:$B$10000,2,FALSE)</f>
        <v>TTGGGTAC</v>
      </c>
      <c r="H203" s="47" t="str">
        <f>Sample!L201</f>
        <v>S6532</v>
      </c>
      <c r="I203" s="47" t="str">
        <f>VLOOKUP(H203,'Index Sequence'!$A$2:$B$10000,2,FALSE)</f>
        <v>GTTGGAAG</v>
      </c>
      <c r="J203" s="2" t="str">
        <f>Sample!R201</f>
        <v>L01</v>
      </c>
      <c r="K203" s="48" t="str">
        <f>IF(AND(OR(LEFT(Sample!A201,1)={"E","H","T","B","V","L"},LEFT(Sample!A201,2)="ID"),OR(LEFT(Sample!C201,2)="JI",LEFT(Sample!C201,1)="I")),"TS1",IF(AND(OR(LEFT(Sample!A201,1)={"E","H","T","B","V","L"},LEFT(Sample!A201,2)="ID"),OR(LEFT(Sample!C201,2)={"JX","JW"},LEFT(Sample!C201,1)="X")),"TS95",IF(AND(OR(LEFT(Sample!A201,1)={"E","H","T","B","V","L"},LEFT(Sample!A201,2)="ID"),OR(LEFT(Sample!C201,2)="JN",LEFT(Sample!C201,1)="N")),"TS3",IF(AND(OR(LEFT(Sample!A201,1)={"E","H","T","B","V","L"},LEFT(Sample!A201,2)="ID"),OR(LEFT(Sample!C201,2)={"JA","AN","AG","AD"})),"TS24",IF(AND(OR(LEFT(Sample!A201,1)={"T","B","E","H","V","L"},LEFT(Sample!A201,2)="ID"),OR(LEFT(Sample!C201,2)={"SA","JS","AS","AA"},LEFT(Sample!C201,4)="SERA")),"TSPRO",IF(AND(LEFT(Sample!A201,2)="CR",OR(MID(Sample!C201,3,1)="D",MID(Sample!C201,3,1)="B")),"CARRIER9",IF(LEFT(Sample!A201,2)="CR","CARRIER18",Sample!A201)))))))</f>
        <v>TS1</v>
      </c>
    </row>
    <row r="204" spans="1:11" x14ac:dyDescent="0.35">
      <c r="A204" s="46" t="str">
        <f>Sample!B202&amp;"-"&amp;Sample!C202</f>
        <v>17-IAABRH09</v>
      </c>
      <c r="B204" s="46" t="str">
        <f>Sample!B202&amp;"-"&amp;Sample!C202</f>
        <v>17-IAABRH09</v>
      </c>
      <c r="C204" s="48" t="str">
        <f>Sample!A202</f>
        <v>V2235A</v>
      </c>
      <c r="D204" s="3"/>
      <c r="E204" s="3"/>
      <c r="F204" s="46" t="str">
        <f>Sample!K202</f>
        <v>S6733</v>
      </c>
      <c r="G204" s="47" t="str">
        <f>VLOOKUP(F204,'Index Sequence'!$A$2:$B$10000,2,FALSE)</f>
        <v>TTCAATAG</v>
      </c>
      <c r="H204" s="47" t="str">
        <f>Sample!L202</f>
        <v>S6533</v>
      </c>
      <c r="I204" s="47" t="str">
        <f>VLOOKUP(H204,'Index Sequence'!$A$2:$B$10000,2,FALSE)</f>
        <v>TCGTGGGA</v>
      </c>
      <c r="J204" s="2" t="str">
        <f>Sample!R202</f>
        <v>L01</v>
      </c>
      <c r="K204" s="48" t="str">
        <f>IF(AND(OR(LEFT(Sample!A202,1)={"E","H","T","B","V","L"},LEFT(Sample!A202,2)="ID"),OR(LEFT(Sample!C202,2)="JI",LEFT(Sample!C202,1)="I")),"TS1",IF(AND(OR(LEFT(Sample!A202,1)={"E","H","T","B","V","L"},LEFT(Sample!A202,2)="ID"),OR(LEFT(Sample!C202,2)={"JX","JW"},LEFT(Sample!C202,1)="X")),"TS95",IF(AND(OR(LEFT(Sample!A202,1)={"E","H","T","B","V","L"},LEFT(Sample!A202,2)="ID"),OR(LEFT(Sample!C202,2)="JN",LEFT(Sample!C202,1)="N")),"TS3",IF(AND(OR(LEFT(Sample!A202,1)={"E","H","T","B","V","L"},LEFT(Sample!A202,2)="ID"),OR(LEFT(Sample!C202,2)={"JA","AN","AG","AD"})),"TS24",IF(AND(OR(LEFT(Sample!A202,1)={"T","B","E","H","V","L"},LEFT(Sample!A202,2)="ID"),OR(LEFT(Sample!C202,2)={"SA","JS","AS","AA"},LEFT(Sample!C202,4)="SERA")),"TSPRO",IF(AND(LEFT(Sample!A202,2)="CR",OR(MID(Sample!C202,3,1)="D",MID(Sample!C202,3,1)="B")),"CARRIER9",IF(LEFT(Sample!A202,2)="CR","CARRIER18",Sample!A202)))))))</f>
        <v>TS1</v>
      </c>
    </row>
    <row r="205" spans="1:11" x14ac:dyDescent="0.35">
      <c r="A205" s="46" t="str">
        <f>Sample!B203&amp;"-"&amp;Sample!C203</f>
        <v>18-IAABRH10</v>
      </c>
      <c r="B205" s="46" t="str">
        <f>Sample!B203&amp;"-"&amp;Sample!C203</f>
        <v>18-IAABRH10</v>
      </c>
      <c r="C205" s="48" t="str">
        <f>Sample!A203</f>
        <v>V2235A</v>
      </c>
      <c r="D205" s="3"/>
      <c r="E205" s="3"/>
      <c r="F205" s="46" t="str">
        <f>Sample!K203</f>
        <v>S6734</v>
      </c>
      <c r="G205" s="47" t="str">
        <f>VLOOKUP(F205,'Index Sequence'!$A$2:$B$10000,2,FALSE)</f>
        <v>GTTTGCTC</v>
      </c>
      <c r="H205" s="47" t="str">
        <f>Sample!L203</f>
        <v>S6534</v>
      </c>
      <c r="I205" s="47" t="str">
        <f>VLOOKUP(H205,'Index Sequence'!$A$2:$B$10000,2,FALSE)</f>
        <v>CTGTTGGT</v>
      </c>
      <c r="J205" s="2" t="str">
        <f>Sample!R203</f>
        <v>L01</v>
      </c>
      <c r="K205" s="48" t="str">
        <f>IF(AND(OR(LEFT(Sample!A203,1)={"E","H","T","B","V","L"},LEFT(Sample!A203,2)="ID"),OR(LEFT(Sample!C203,2)="JI",LEFT(Sample!C203,1)="I")),"TS1",IF(AND(OR(LEFT(Sample!A203,1)={"E","H","T","B","V","L"},LEFT(Sample!A203,2)="ID"),OR(LEFT(Sample!C203,2)={"JX","JW"},LEFT(Sample!C203,1)="X")),"TS95",IF(AND(OR(LEFT(Sample!A203,1)={"E","H","T","B","V","L"},LEFT(Sample!A203,2)="ID"),OR(LEFT(Sample!C203,2)="JN",LEFT(Sample!C203,1)="N")),"TS3",IF(AND(OR(LEFT(Sample!A203,1)={"E","H","T","B","V","L"},LEFT(Sample!A203,2)="ID"),OR(LEFT(Sample!C203,2)={"JA","AN","AG","AD"})),"TS24",IF(AND(OR(LEFT(Sample!A203,1)={"T","B","E","H","V","L"},LEFT(Sample!A203,2)="ID"),OR(LEFT(Sample!C203,2)={"SA","JS","AS","AA"},LEFT(Sample!C203,4)="SERA")),"TSPRO",IF(AND(LEFT(Sample!A203,2)="CR",OR(MID(Sample!C203,3,1)="D",MID(Sample!C203,3,1)="B")),"CARRIER9",IF(LEFT(Sample!A203,2)="CR","CARRIER18",Sample!A203)))))))</f>
        <v>TS1</v>
      </c>
    </row>
    <row r="206" spans="1:11" x14ac:dyDescent="0.35">
      <c r="A206" s="46" t="str">
        <f>Sample!B204&amp;"-"&amp;Sample!C204</f>
        <v>19-IAABRH11</v>
      </c>
      <c r="B206" s="46" t="str">
        <f>Sample!B204&amp;"-"&amp;Sample!C204</f>
        <v>19-IAABRH11</v>
      </c>
      <c r="C206" s="48" t="str">
        <f>Sample!A204</f>
        <v>V2235A</v>
      </c>
      <c r="D206" s="3"/>
      <c r="E206" s="3"/>
      <c r="F206" s="46" t="str">
        <f>Sample!K204</f>
        <v>S6735</v>
      </c>
      <c r="G206" s="47" t="str">
        <f>VLOOKUP(F206,'Index Sequence'!$A$2:$B$10000,2,FALSE)</f>
        <v>AGAAGCCT</v>
      </c>
      <c r="H206" s="47" t="str">
        <f>Sample!L204</f>
        <v>S6535</v>
      </c>
      <c r="I206" s="47" t="str">
        <f>VLOOKUP(H206,'Index Sequence'!$A$2:$B$10000,2,FALSE)</f>
        <v>ATACTGAC</v>
      </c>
      <c r="J206" s="2" t="str">
        <f>Sample!R204</f>
        <v>L01</v>
      </c>
      <c r="K206" s="48" t="str">
        <f>IF(AND(OR(LEFT(Sample!A204,1)={"E","H","T","B","V","L"},LEFT(Sample!A204,2)="ID"),OR(LEFT(Sample!C204,2)="JI",LEFT(Sample!C204,1)="I")),"TS1",IF(AND(OR(LEFT(Sample!A204,1)={"E","H","T","B","V","L"},LEFT(Sample!A204,2)="ID"),OR(LEFT(Sample!C204,2)={"JX","JW"},LEFT(Sample!C204,1)="X")),"TS95",IF(AND(OR(LEFT(Sample!A204,1)={"E","H","T","B","V","L"},LEFT(Sample!A204,2)="ID"),OR(LEFT(Sample!C204,2)="JN",LEFT(Sample!C204,1)="N")),"TS3",IF(AND(OR(LEFT(Sample!A204,1)={"E","H","T","B","V","L"},LEFT(Sample!A204,2)="ID"),OR(LEFT(Sample!C204,2)={"JA","AN","AG","AD"})),"TS24",IF(AND(OR(LEFT(Sample!A204,1)={"T","B","E","H","V","L"},LEFT(Sample!A204,2)="ID"),OR(LEFT(Sample!C204,2)={"SA","JS","AS","AA"},LEFT(Sample!C204,4)="SERA")),"TSPRO",IF(AND(LEFT(Sample!A204,2)="CR",OR(MID(Sample!C204,3,1)="D",MID(Sample!C204,3,1)="B")),"CARRIER9",IF(LEFT(Sample!A204,2)="CR","CARRIER18",Sample!A204)))))))</f>
        <v>TS1</v>
      </c>
    </row>
    <row r="207" spans="1:11" x14ac:dyDescent="0.35">
      <c r="A207" s="46" t="str">
        <f>Sample!B205&amp;"-"&amp;Sample!C205</f>
        <v>20-NAABNY79</v>
      </c>
      <c r="B207" s="46" t="str">
        <f>Sample!B205&amp;"-"&amp;Sample!C205</f>
        <v>20-NAABNY79</v>
      </c>
      <c r="C207" s="48" t="str">
        <f>Sample!A205</f>
        <v>V2235A</v>
      </c>
      <c r="D207" s="3"/>
      <c r="E207" s="3"/>
      <c r="F207" s="46" t="str">
        <f>Sample!K205</f>
        <v>S6736</v>
      </c>
      <c r="G207" s="47" t="str">
        <f>VLOOKUP(F207,'Index Sequence'!$A$2:$B$10000,2,FALSE)</f>
        <v>CTAGGTTG</v>
      </c>
      <c r="H207" s="47" t="str">
        <f>Sample!L205</f>
        <v>S6536</v>
      </c>
      <c r="I207" s="47" t="str">
        <f>VLOOKUP(H207,'Index Sequence'!$A$2:$B$10000,2,FALSE)</f>
        <v>GCTCGAAT</v>
      </c>
      <c r="J207" s="2" t="str">
        <f>Sample!R205</f>
        <v>L01</v>
      </c>
      <c r="K207" s="48" t="str">
        <f>IF(AND(OR(LEFT(Sample!A205,1)={"E","H","T","B","V","L"},LEFT(Sample!A205,2)="ID"),OR(LEFT(Sample!C205,2)="JI",LEFT(Sample!C205,1)="I")),"TS1",IF(AND(OR(LEFT(Sample!A205,1)={"E","H","T","B","V","L"},LEFT(Sample!A205,2)="ID"),OR(LEFT(Sample!C205,2)={"JX","JW"},LEFT(Sample!C205,1)="X")),"TS95",IF(AND(OR(LEFT(Sample!A205,1)={"E","H","T","B","V","L"},LEFT(Sample!A205,2)="ID"),OR(LEFT(Sample!C205,2)="JN",LEFT(Sample!C205,1)="N")),"TS3",IF(AND(OR(LEFT(Sample!A205,1)={"E","H","T","B","V","L"},LEFT(Sample!A205,2)="ID"),OR(LEFT(Sample!C205,2)={"JA","AN","AG","AD"})),"TS24",IF(AND(OR(LEFT(Sample!A205,1)={"T","B","E","H","V","L"},LEFT(Sample!A205,2)="ID"),OR(LEFT(Sample!C205,2)={"SA","JS","AS","AA"},LEFT(Sample!C205,4)="SERA")),"TSPRO",IF(AND(LEFT(Sample!A205,2)="CR",OR(MID(Sample!C205,3,1)="D",MID(Sample!C205,3,1)="B")),"CARRIER9",IF(LEFT(Sample!A205,2)="CR","CARRIER18",Sample!A205)))))))</f>
        <v>TS3</v>
      </c>
    </row>
    <row r="208" spans="1:11" x14ac:dyDescent="0.35">
      <c r="A208" s="46" t="str">
        <f>Sample!B206&amp;"-"&amp;Sample!C206</f>
        <v>21-NAABNY80</v>
      </c>
      <c r="B208" s="46" t="str">
        <f>Sample!B206&amp;"-"&amp;Sample!C206</f>
        <v>21-NAABNY80</v>
      </c>
      <c r="C208" s="48" t="str">
        <f>Sample!A206</f>
        <v>V2235A</v>
      </c>
      <c r="D208" s="3"/>
      <c r="E208" s="3"/>
      <c r="F208" s="46" t="str">
        <f>Sample!K206</f>
        <v>S6737</v>
      </c>
      <c r="G208" s="47" t="str">
        <f>VLOOKUP(F208,'Index Sequence'!$A$2:$B$10000,2,FALSE)</f>
        <v>TGTGTCAG</v>
      </c>
      <c r="H208" s="47" t="str">
        <f>Sample!L206</f>
        <v>S6537</v>
      </c>
      <c r="I208" s="47" t="str">
        <f>VLOOKUP(H208,'Index Sequence'!$A$2:$B$10000,2,FALSE)</f>
        <v>TACAGGTG</v>
      </c>
      <c r="J208" s="2" t="str">
        <f>Sample!R206</f>
        <v>L01</v>
      </c>
      <c r="K208" s="48" t="str">
        <f>IF(AND(OR(LEFT(Sample!A206,1)={"E","H","T","B","V","L"},LEFT(Sample!A206,2)="ID"),OR(LEFT(Sample!C206,2)="JI",LEFT(Sample!C206,1)="I")),"TS1",IF(AND(OR(LEFT(Sample!A206,1)={"E","H","T","B","V","L"},LEFT(Sample!A206,2)="ID"),OR(LEFT(Sample!C206,2)={"JX","JW"},LEFT(Sample!C206,1)="X")),"TS95",IF(AND(OR(LEFT(Sample!A206,1)={"E","H","T","B","V","L"},LEFT(Sample!A206,2)="ID"),OR(LEFT(Sample!C206,2)="JN",LEFT(Sample!C206,1)="N")),"TS3",IF(AND(OR(LEFT(Sample!A206,1)={"E","H","T","B","V","L"},LEFT(Sample!A206,2)="ID"),OR(LEFT(Sample!C206,2)={"JA","AN","AG","AD"})),"TS24",IF(AND(OR(LEFT(Sample!A206,1)={"T","B","E","H","V","L"},LEFT(Sample!A206,2)="ID"),OR(LEFT(Sample!C206,2)={"SA","JS","AS","AA"},LEFT(Sample!C206,4)="SERA")),"TSPRO",IF(AND(LEFT(Sample!A206,2)="CR",OR(MID(Sample!C206,3,1)="D",MID(Sample!C206,3,1)="B")),"CARRIER9",IF(LEFT(Sample!A206,2)="CR","CARRIER18",Sample!A206)))))))</f>
        <v>TS3</v>
      </c>
    </row>
    <row r="209" spans="1:11" x14ac:dyDescent="0.35">
      <c r="A209" s="46" t="str">
        <f>Sample!B207&amp;"-"&amp;Sample!C207</f>
        <v>22-NAABNY81</v>
      </c>
      <c r="B209" s="46" t="str">
        <f>Sample!B207&amp;"-"&amp;Sample!C207</f>
        <v>22-NAABNY81</v>
      </c>
      <c r="C209" s="48" t="str">
        <f>Sample!A207</f>
        <v>V2235A</v>
      </c>
      <c r="D209" s="3"/>
      <c r="E209" s="3"/>
      <c r="F209" s="46" t="str">
        <f>Sample!K207</f>
        <v>S6738</v>
      </c>
      <c r="G209" s="47" t="str">
        <f>VLOOKUP(F209,'Index Sequence'!$A$2:$B$10000,2,FALSE)</f>
        <v>AGAACCAG</v>
      </c>
      <c r="H209" s="47" t="str">
        <f>Sample!L207</f>
        <v>S6538</v>
      </c>
      <c r="I209" s="47" t="str">
        <f>VLOOKUP(H209,'Index Sequence'!$A$2:$B$10000,2,FALSE)</f>
        <v>AGAGTCGG</v>
      </c>
      <c r="J209" s="2" t="str">
        <f>Sample!R207</f>
        <v>L01</v>
      </c>
      <c r="K209" s="48" t="str">
        <f>IF(AND(OR(LEFT(Sample!A207,1)={"E","H","T","B","V","L"},LEFT(Sample!A207,2)="ID"),OR(LEFT(Sample!C207,2)="JI",LEFT(Sample!C207,1)="I")),"TS1",IF(AND(OR(LEFT(Sample!A207,1)={"E","H","T","B","V","L"},LEFT(Sample!A207,2)="ID"),OR(LEFT(Sample!C207,2)={"JX","JW"},LEFT(Sample!C207,1)="X")),"TS95",IF(AND(OR(LEFT(Sample!A207,1)={"E","H","T","B","V","L"},LEFT(Sample!A207,2)="ID"),OR(LEFT(Sample!C207,2)="JN",LEFT(Sample!C207,1)="N")),"TS3",IF(AND(OR(LEFT(Sample!A207,1)={"E","H","T","B","V","L"},LEFT(Sample!A207,2)="ID"),OR(LEFT(Sample!C207,2)={"JA","AN","AG","AD"})),"TS24",IF(AND(OR(LEFT(Sample!A207,1)={"T","B","E","H","V","L"},LEFT(Sample!A207,2)="ID"),OR(LEFT(Sample!C207,2)={"SA","JS","AS","AA"},LEFT(Sample!C207,4)="SERA")),"TSPRO",IF(AND(LEFT(Sample!A207,2)="CR",OR(MID(Sample!C207,3,1)="D",MID(Sample!C207,3,1)="B")),"CARRIER9",IF(LEFT(Sample!A207,2)="CR","CARRIER18",Sample!A207)))))))</f>
        <v>TS3</v>
      </c>
    </row>
    <row r="210" spans="1:11" x14ac:dyDescent="0.35">
      <c r="A210" s="46" t="str">
        <f>Sample!B208&amp;"-"&amp;Sample!C208</f>
        <v>23-NAABNY82</v>
      </c>
      <c r="B210" s="46" t="str">
        <f>Sample!B208&amp;"-"&amp;Sample!C208</f>
        <v>23-NAABNY82</v>
      </c>
      <c r="C210" s="48" t="str">
        <f>Sample!A208</f>
        <v>V2235A</v>
      </c>
      <c r="D210" s="3"/>
      <c r="E210" s="3"/>
      <c r="F210" s="46" t="str">
        <f>Sample!K208</f>
        <v>S6739</v>
      </c>
      <c r="G210" s="47" t="str">
        <f>VLOOKUP(F210,'Index Sequence'!$A$2:$B$10000,2,FALSE)</f>
        <v>ATTGGACA</v>
      </c>
      <c r="H210" s="47" t="str">
        <f>Sample!L208</f>
        <v>S6539</v>
      </c>
      <c r="I210" s="47" t="str">
        <f>VLOOKUP(H210,'Index Sequence'!$A$2:$B$10000,2,FALSE)</f>
        <v>TCCAGCAA</v>
      </c>
      <c r="J210" s="2" t="str">
        <f>Sample!R208</f>
        <v>L01</v>
      </c>
      <c r="K210" s="48" t="str">
        <f>IF(AND(OR(LEFT(Sample!A208,1)={"E","H","T","B","V","L"},LEFT(Sample!A208,2)="ID"),OR(LEFT(Sample!C208,2)="JI",LEFT(Sample!C208,1)="I")),"TS1",IF(AND(OR(LEFT(Sample!A208,1)={"E","H","T","B","V","L"},LEFT(Sample!A208,2)="ID"),OR(LEFT(Sample!C208,2)={"JX","JW"},LEFT(Sample!C208,1)="X")),"TS95",IF(AND(OR(LEFT(Sample!A208,1)={"E","H","T","B","V","L"},LEFT(Sample!A208,2)="ID"),OR(LEFT(Sample!C208,2)="JN",LEFT(Sample!C208,1)="N")),"TS3",IF(AND(OR(LEFT(Sample!A208,1)={"E","H","T","B","V","L"},LEFT(Sample!A208,2)="ID"),OR(LEFT(Sample!C208,2)={"JA","AN","AG","AD"})),"TS24",IF(AND(OR(LEFT(Sample!A208,1)={"T","B","E","H","V","L"},LEFT(Sample!A208,2)="ID"),OR(LEFT(Sample!C208,2)={"SA","JS","AS","AA"},LEFT(Sample!C208,4)="SERA")),"TSPRO",IF(AND(LEFT(Sample!A208,2)="CR",OR(MID(Sample!C208,3,1)="D",MID(Sample!C208,3,1)="B")),"CARRIER9",IF(LEFT(Sample!A208,2)="CR","CARRIER18",Sample!A208)))))))</f>
        <v>TS3</v>
      </c>
    </row>
    <row r="211" spans="1:11" x14ac:dyDescent="0.35">
      <c r="A211" s="46" t="str">
        <f>Sample!B209&amp;"-"&amp;Sample!C209</f>
        <v>24-NAABNY83</v>
      </c>
      <c r="B211" s="46" t="str">
        <f>Sample!B209&amp;"-"&amp;Sample!C209</f>
        <v>24-NAABNY83</v>
      </c>
      <c r="C211" s="48" t="str">
        <f>Sample!A209</f>
        <v>V2235A</v>
      </c>
      <c r="D211" s="3"/>
      <c r="E211" s="3"/>
      <c r="F211" s="46" t="str">
        <f>Sample!K209</f>
        <v>S6740</v>
      </c>
      <c r="G211" s="47" t="str">
        <f>VLOOKUP(F211,'Index Sequence'!$A$2:$B$10000,2,FALSE)</f>
        <v>ACCCGTTG</v>
      </c>
      <c r="H211" s="47" t="str">
        <f>Sample!L209</f>
        <v>S6540</v>
      </c>
      <c r="I211" s="47" t="str">
        <f>VLOOKUP(H211,'Index Sequence'!$A$2:$B$10000,2,FALSE)</f>
        <v>CGAAGCTG</v>
      </c>
      <c r="J211" s="2" t="str">
        <f>Sample!R209</f>
        <v>L01</v>
      </c>
      <c r="K211" s="48" t="str">
        <f>IF(AND(OR(LEFT(Sample!A209,1)={"E","H","T","B","V","L"},LEFT(Sample!A209,2)="ID"),OR(LEFT(Sample!C209,2)="JI",LEFT(Sample!C209,1)="I")),"TS1",IF(AND(OR(LEFT(Sample!A209,1)={"E","H","T","B","V","L"},LEFT(Sample!A209,2)="ID"),OR(LEFT(Sample!C209,2)={"JX","JW"},LEFT(Sample!C209,1)="X")),"TS95",IF(AND(OR(LEFT(Sample!A209,1)={"E","H","T","B","V","L"},LEFT(Sample!A209,2)="ID"),OR(LEFT(Sample!C209,2)="JN",LEFT(Sample!C209,1)="N")),"TS3",IF(AND(OR(LEFT(Sample!A209,1)={"E","H","T","B","V","L"},LEFT(Sample!A209,2)="ID"),OR(LEFT(Sample!C209,2)={"JA","AN","AG","AD"})),"TS24",IF(AND(OR(LEFT(Sample!A209,1)={"T","B","E","H","V","L"},LEFT(Sample!A209,2)="ID"),OR(LEFT(Sample!C209,2)={"SA","JS","AS","AA"},LEFT(Sample!C209,4)="SERA")),"TSPRO",IF(AND(LEFT(Sample!A209,2)="CR",OR(MID(Sample!C209,3,1)="D",MID(Sample!C209,3,1)="B")),"CARRIER9",IF(LEFT(Sample!A209,2)="CR","CARRIER18",Sample!A209)))))))</f>
        <v>TS3</v>
      </c>
    </row>
    <row r="212" spans="1:11" x14ac:dyDescent="0.35">
      <c r="A212" s="46" t="str">
        <f>Sample!B210&amp;"-"&amp;Sample!C210</f>
        <v>8-XAGBRW02t13</v>
      </c>
      <c r="B212" s="46" t="str">
        <f>Sample!B210&amp;"-"&amp;Sample!C210</f>
        <v>8-XAGBRW02t13</v>
      </c>
      <c r="C212" s="48" t="str">
        <f>Sample!A210</f>
        <v>EK831</v>
      </c>
      <c r="D212" s="3"/>
      <c r="E212" s="3"/>
      <c r="F212" s="46" t="str">
        <f>Sample!K210</f>
        <v>S97373</v>
      </c>
      <c r="G212" s="47" t="str">
        <f>VLOOKUP(F212,'Index Sequence'!$A$2:$B$10000,2,FALSE)</f>
        <v>CGATAGAG</v>
      </c>
      <c r="H212" s="47" t="str">
        <f>Sample!L210</f>
        <v>S95373</v>
      </c>
      <c r="I212" s="47" t="str">
        <f>VLOOKUP(H212,'Index Sequence'!$A$2:$B$10000,2,FALSE)</f>
        <v>TTCGCCAT</v>
      </c>
      <c r="J212" s="2" t="str">
        <f>Sample!R210</f>
        <v>L01</v>
      </c>
      <c r="K212" s="48" t="str">
        <f>IF(AND(OR(LEFT(Sample!A210,1)={"E","H","T","B","V","L"},LEFT(Sample!A210,2)="ID"),OR(LEFT(Sample!C210,2)="JI",LEFT(Sample!C210,1)="I")),"TS1",IF(AND(OR(LEFT(Sample!A210,1)={"E","H","T","B","V","L"},LEFT(Sample!A210,2)="ID"),OR(LEFT(Sample!C210,2)={"JX","JW"},LEFT(Sample!C210,1)="X")),"TS95",IF(AND(OR(LEFT(Sample!A210,1)={"E","H","T","B","V","L"},LEFT(Sample!A210,2)="ID"),OR(LEFT(Sample!C210,2)="JN",LEFT(Sample!C210,1)="N")),"TS3",IF(AND(OR(LEFT(Sample!A210,1)={"E","H","T","B","V","L"},LEFT(Sample!A210,2)="ID"),OR(LEFT(Sample!C210,2)={"JA","AN","AG","AD"})),"TS24",IF(AND(OR(LEFT(Sample!A210,1)={"T","B","E","H","V","L"},LEFT(Sample!A210,2)="ID"),OR(LEFT(Sample!C210,2)={"SA","JS","AS","AA"},LEFT(Sample!C210,4)="SERA")),"TSPRO",IF(AND(LEFT(Sample!A210,2)="CR",OR(MID(Sample!C210,3,1)="D",MID(Sample!C210,3,1)="B")),"CARRIER9",IF(LEFT(Sample!A210,2)="CR","CARRIER18",Sample!A210)))))))</f>
        <v>TS95</v>
      </c>
    </row>
    <row r="213" spans="1:11" x14ac:dyDescent="0.35">
      <c r="A213" s="46" t="str">
        <f>Sample!B211&amp;"-"&amp;Sample!C211</f>
        <v>9-SAAAFJ38t18</v>
      </c>
      <c r="B213" s="46" t="str">
        <f>Sample!B211&amp;"-"&amp;Sample!C211</f>
        <v>9-SAAAFJ38t18</v>
      </c>
      <c r="C213" s="48" t="str">
        <f>Sample!A211</f>
        <v>EK831</v>
      </c>
      <c r="D213" s="3"/>
      <c r="E213" s="3"/>
      <c r="F213" s="46" t="str">
        <f>Sample!K211</f>
        <v>S97374</v>
      </c>
      <c r="G213" s="47" t="str">
        <f>VLOOKUP(F213,'Index Sequence'!$A$2:$B$10000,2,FALSE)</f>
        <v>TGGAGAGT</v>
      </c>
      <c r="H213" s="47" t="str">
        <f>Sample!L211</f>
        <v>S95374</v>
      </c>
      <c r="I213" s="47" t="str">
        <f>VLOOKUP(H213,'Index Sequence'!$A$2:$B$10000,2,FALSE)</f>
        <v>AGGTAGGA</v>
      </c>
      <c r="J213" s="2" t="str">
        <f>Sample!R211</f>
        <v>L01</v>
      </c>
      <c r="K213" s="48" t="str">
        <f>IF(AND(OR(LEFT(Sample!A211,1)={"E","H","T","B","V","L"},LEFT(Sample!A211,2)="ID"),OR(LEFT(Sample!C211,2)="JI",LEFT(Sample!C211,1)="I")),"TS1",IF(AND(OR(LEFT(Sample!A211,1)={"E","H","T","B","V","L"},LEFT(Sample!A211,2)="ID"),OR(LEFT(Sample!C211,2)={"JX","JW"},LEFT(Sample!C211,1)="X")),"TS95",IF(AND(OR(LEFT(Sample!A211,1)={"E","H","T","B","V","L"},LEFT(Sample!A211,2)="ID"),OR(LEFT(Sample!C211,2)="JN",LEFT(Sample!C211,1)="N")),"TS3",IF(AND(OR(LEFT(Sample!A211,1)={"E","H","T","B","V","L"},LEFT(Sample!A211,2)="ID"),OR(LEFT(Sample!C211,2)={"JA","AN","AG","AD"})),"TS24",IF(AND(OR(LEFT(Sample!A211,1)={"T","B","E","H","V","L"},LEFT(Sample!A211,2)="ID"),OR(LEFT(Sample!C211,2)={"SA","JS","AS","AA"},LEFT(Sample!C211,4)="SERA")),"TSPRO",IF(AND(LEFT(Sample!A211,2)="CR",OR(MID(Sample!C211,3,1)="D",MID(Sample!C211,3,1)="B")),"CARRIER9",IF(LEFT(Sample!A211,2)="CR","CARRIER18",Sample!A211)))))))</f>
        <v>TSPRO</v>
      </c>
    </row>
    <row r="214" spans="1:11" x14ac:dyDescent="0.35">
      <c r="A214" s="46" t="str">
        <f>Sample!B212&amp;"-"&amp;Sample!C212</f>
        <v>10-SAAAFJ60t21</v>
      </c>
      <c r="B214" s="46" t="str">
        <f>Sample!B212&amp;"-"&amp;Sample!C212</f>
        <v>10-SAAAFJ60t21</v>
      </c>
      <c r="C214" s="48" t="str">
        <f>Sample!A212</f>
        <v>EK831</v>
      </c>
      <c r="D214" s="3"/>
      <c r="E214" s="3"/>
      <c r="F214" s="46" t="str">
        <f>Sample!K212</f>
        <v>S97376</v>
      </c>
      <c r="G214" s="47" t="str">
        <f>VLOOKUP(F214,'Index Sequence'!$A$2:$B$10000,2,FALSE)</f>
        <v>CTGGAGTA</v>
      </c>
      <c r="H214" s="47" t="str">
        <f>Sample!L212</f>
        <v>S95376</v>
      </c>
      <c r="I214" s="47" t="str">
        <f>VLOOKUP(H214,'Index Sequence'!$A$2:$B$10000,2,FALSE)</f>
        <v>CCAAGTAG</v>
      </c>
      <c r="J214" s="2" t="str">
        <f>Sample!R212</f>
        <v>L01</v>
      </c>
      <c r="K214" s="48" t="str">
        <f>IF(AND(OR(LEFT(Sample!A212,1)={"E","H","T","B","V","L"},LEFT(Sample!A212,2)="ID"),OR(LEFT(Sample!C212,2)="JI",LEFT(Sample!C212,1)="I")),"TS1",IF(AND(OR(LEFT(Sample!A212,1)={"E","H","T","B","V","L"},LEFT(Sample!A212,2)="ID"),OR(LEFT(Sample!C212,2)={"JX","JW"},LEFT(Sample!C212,1)="X")),"TS95",IF(AND(OR(LEFT(Sample!A212,1)={"E","H","T","B","V","L"},LEFT(Sample!A212,2)="ID"),OR(LEFT(Sample!C212,2)="JN",LEFT(Sample!C212,1)="N")),"TS3",IF(AND(OR(LEFT(Sample!A212,1)={"E","H","T","B","V","L"},LEFT(Sample!A212,2)="ID"),OR(LEFT(Sample!C212,2)={"JA","AN","AG","AD"})),"TS24",IF(AND(OR(LEFT(Sample!A212,1)={"T","B","E","H","V","L"},LEFT(Sample!A212,2)="ID"),OR(LEFT(Sample!C212,2)={"SA","JS","AS","AA"},LEFT(Sample!C212,4)="SERA")),"TSPRO",IF(AND(LEFT(Sample!A212,2)="CR",OR(MID(Sample!C212,3,1)="D",MID(Sample!C212,3,1)="B")),"CARRIER9",IF(LEFT(Sample!A212,2)="CR","CARRIER18",Sample!A212)))))))</f>
        <v>TSPRO</v>
      </c>
    </row>
    <row r="215" spans="1:11" x14ac:dyDescent="0.35">
      <c r="A215" s="46" t="str">
        <f>Sample!B213&amp;"-"&amp;Sample!C213</f>
        <v>1-WGAAAC75</v>
      </c>
      <c r="B215" s="46" t="str">
        <f>Sample!B213&amp;"-"&amp;Sample!C213</f>
        <v>1-WGAAAC75</v>
      </c>
      <c r="C215" s="48" t="str">
        <f>Sample!A213</f>
        <v>WGS</v>
      </c>
      <c r="D215" s="3"/>
      <c r="E215" s="3"/>
      <c r="F215" s="46" t="str">
        <f>Sample!K213</f>
        <v>S8705</v>
      </c>
      <c r="G215" s="47" t="str">
        <f>VLOOKUP(F215,'Index Sequence'!$A$2:$B$10000,2,FALSE)</f>
        <v>AAATCCTC</v>
      </c>
      <c r="H215" s="47" t="str">
        <f>Sample!L213</f>
        <v>S8505</v>
      </c>
      <c r="I215" s="47" t="str">
        <f>VLOOKUP(H215,'Index Sequence'!$A$2:$B$10000,2,FALSE)</f>
        <v>GGCGGGTT</v>
      </c>
      <c r="J215" s="2" t="str">
        <f>Sample!R213</f>
        <v>L01</v>
      </c>
      <c r="K215" s="48" t="str">
        <f>IF(AND(OR(LEFT(Sample!A213,1)={"E","H","T","B","V","L"},LEFT(Sample!A213,2)="ID"),OR(LEFT(Sample!C213,2)="JI",LEFT(Sample!C213,1)="I")),"TS1",IF(AND(OR(LEFT(Sample!A213,1)={"E","H","T","B","V","L"},LEFT(Sample!A213,2)="ID"),OR(LEFT(Sample!C213,2)={"JX","JW"},LEFT(Sample!C213,1)="X")),"TS95",IF(AND(OR(LEFT(Sample!A213,1)={"E","H","T","B","V","L"},LEFT(Sample!A213,2)="ID"),OR(LEFT(Sample!C213,2)="JN",LEFT(Sample!C213,1)="N")),"TS3",IF(AND(OR(LEFT(Sample!A213,1)={"E","H","T","B","V","L"},LEFT(Sample!A213,2)="ID"),OR(LEFT(Sample!C213,2)={"JA","AN","AG","AD"})),"TS24",IF(AND(OR(LEFT(Sample!A213,1)={"T","B","E","H","V","L"},LEFT(Sample!A213,2)="ID"),OR(LEFT(Sample!C213,2)={"SA","JS","AS","AA"},LEFT(Sample!C213,4)="SERA")),"TSPRO",IF(AND(LEFT(Sample!A213,2)="CR",OR(MID(Sample!C213,3,1)="D",MID(Sample!C213,3,1)="B")),"CARRIER9",IF(LEFT(Sample!A213,2)="CR","CARRIER18",Sample!A213)))))))</f>
        <v>WGS</v>
      </c>
    </row>
    <row r="216" spans="1:11" x14ac:dyDescent="0.35">
      <c r="A216" s="46" t="str">
        <f>Sample!B214&amp;"-"&amp;Sample!C214</f>
        <v>2-WGGAAD10</v>
      </c>
      <c r="B216" s="46" t="str">
        <f>Sample!B214&amp;"-"&amp;Sample!C214</f>
        <v>2-WGGAAD10</v>
      </c>
      <c r="C216" s="48" t="str">
        <f>Sample!A214</f>
        <v>WGS</v>
      </c>
      <c r="D216" s="3"/>
      <c r="E216" s="3"/>
      <c r="F216" s="46" t="str">
        <f>Sample!K214</f>
        <v>S8706</v>
      </c>
      <c r="G216" s="47" t="str">
        <f>VLOOKUP(F216,'Index Sequence'!$A$2:$B$10000,2,FALSE)</f>
        <v>TACAGATG</v>
      </c>
      <c r="H216" s="47" t="str">
        <f>Sample!L214</f>
        <v>S8506</v>
      </c>
      <c r="I216" s="47" t="str">
        <f>VLOOKUP(H216,'Index Sequence'!$A$2:$B$10000,2,FALSE)</f>
        <v>CACGTTCG</v>
      </c>
      <c r="J216" s="2" t="str">
        <f>Sample!R214</f>
        <v>L01</v>
      </c>
      <c r="K216" s="48" t="str">
        <f>IF(AND(OR(LEFT(Sample!A214,1)={"E","H","T","B","V","L"},LEFT(Sample!A214,2)="ID"),OR(LEFT(Sample!C214,2)="JI",LEFT(Sample!C214,1)="I")),"TS1",IF(AND(OR(LEFT(Sample!A214,1)={"E","H","T","B","V","L"},LEFT(Sample!A214,2)="ID"),OR(LEFT(Sample!C214,2)={"JX","JW"},LEFT(Sample!C214,1)="X")),"TS95",IF(AND(OR(LEFT(Sample!A214,1)={"E","H","T","B","V","L"},LEFT(Sample!A214,2)="ID"),OR(LEFT(Sample!C214,2)="JN",LEFT(Sample!C214,1)="N")),"TS3",IF(AND(OR(LEFT(Sample!A214,1)={"E","H","T","B","V","L"},LEFT(Sample!A214,2)="ID"),OR(LEFT(Sample!C214,2)={"JA","AN","AG","AD"})),"TS24",IF(AND(OR(LEFT(Sample!A214,1)={"T","B","E","H","V","L"},LEFT(Sample!A214,2)="ID"),OR(LEFT(Sample!C214,2)={"SA","JS","AS","AA"},LEFT(Sample!C214,4)="SERA")),"TSPRO",IF(AND(LEFT(Sample!A214,2)="CR",OR(MID(Sample!C214,3,1)="D",MID(Sample!C214,3,1)="B")),"CARRIER9",IF(LEFT(Sample!A214,2)="CR","CARRIER18",Sample!A214)))))))</f>
        <v>WGS</v>
      </c>
    </row>
    <row r="217" spans="1:11" x14ac:dyDescent="0.35">
      <c r="A217" s="46"/>
      <c r="B217" s="46"/>
      <c r="C217" s="48"/>
      <c r="D217" s="3"/>
      <c r="E217" s="3"/>
      <c r="F217" s="46"/>
      <c r="G217" s="47"/>
      <c r="H217" s="47"/>
      <c r="I217" s="47"/>
      <c r="J217" s="2"/>
      <c r="K217" s="48"/>
    </row>
    <row r="218" spans="1:11" x14ac:dyDescent="0.35">
      <c r="A218" s="46"/>
      <c r="B218" s="46"/>
      <c r="C218" s="48"/>
      <c r="D218" s="3"/>
      <c r="E218" s="3"/>
      <c r="F218" s="46"/>
      <c r="G218" s="47"/>
      <c r="H218" s="47"/>
      <c r="I218" s="47"/>
      <c r="J218" s="2"/>
      <c r="K218" s="48"/>
    </row>
    <row r="219" spans="1:11" x14ac:dyDescent="0.35">
      <c r="A219" s="46"/>
      <c r="B219" s="46"/>
      <c r="C219" s="48"/>
      <c r="D219" s="3"/>
      <c r="E219" s="3"/>
      <c r="F219" s="46"/>
      <c r="G219" s="47"/>
      <c r="H219" s="47"/>
      <c r="I219" s="47"/>
      <c r="J219" s="2"/>
      <c r="K219" s="48"/>
    </row>
    <row r="220" spans="1:11" x14ac:dyDescent="0.35">
      <c r="A220" s="46"/>
      <c r="B220" s="46"/>
      <c r="C220" s="48"/>
      <c r="D220" s="3"/>
      <c r="E220" s="3"/>
      <c r="F220" s="46"/>
      <c r="G220" s="47"/>
      <c r="H220" s="47"/>
      <c r="I220" s="47"/>
      <c r="J220" s="2"/>
      <c r="K220" s="48"/>
    </row>
    <row r="221" spans="1:11" x14ac:dyDescent="0.35">
      <c r="A221" s="46"/>
      <c r="B221" s="46"/>
      <c r="C221" s="48"/>
      <c r="D221" s="3"/>
      <c r="E221" s="3"/>
      <c r="F221" s="46"/>
      <c r="G221" s="47"/>
      <c r="H221" s="47"/>
      <c r="I221" s="47"/>
      <c r="J221" s="2"/>
      <c r="K221" s="48"/>
    </row>
    <row r="222" spans="1:11" x14ac:dyDescent="0.35">
      <c r="A222" s="46"/>
      <c r="B222" s="46"/>
      <c r="C222" s="48"/>
      <c r="D222" s="3"/>
      <c r="E222" s="3"/>
      <c r="F222" s="46"/>
      <c r="G222" s="47"/>
      <c r="H222" s="47"/>
      <c r="I222" s="47"/>
      <c r="J222" s="2"/>
      <c r="K222" s="48"/>
    </row>
    <row r="223" spans="1:11" x14ac:dyDescent="0.35">
      <c r="A223" s="46"/>
      <c r="B223" s="46"/>
      <c r="C223" s="48"/>
      <c r="D223" s="3"/>
      <c r="E223" s="3"/>
      <c r="F223" s="46"/>
      <c r="G223" s="47"/>
      <c r="H223" s="47"/>
      <c r="I223" s="47"/>
      <c r="J223" s="2"/>
      <c r="K223" s="48"/>
    </row>
    <row r="224" spans="1:11" x14ac:dyDescent="0.35">
      <c r="A224" s="46"/>
      <c r="B224" s="46"/>
      <c r="C224" s="48"/>
      <c r="D224" s="3"/>
      <c r="E224" s="3"/>
      <c r="F224" s="46"/>
      <c r="G224" s="47"/>
      <c r="H224" s="47"/>
      <c r="I224" s="47"/>
      <c r="J224" s="2"/>
      <c r="K224" s="48"/>
    </row>
    <row r="225" spans="1:11" x14ac:dyDescent="0.35">
      <c r="A225" s="46"/>
      <c r="B225" s="46"/>
      <c r="C225" s="48"/>
      <c r="D225" s="3"/>
      <c r="E225" s="3"/>
      <c r="F225" s="46"/>
      <c r="G225" s="47"/>
      <c r="H225" s="47"/>
      <c r="I225" s="47"/>
      <c r="J225" s="2"/>
      <c r="K225" s="48"/>
    </row>
    <row r="226" spans="1:11" x14ac:dyDescent="0.35">
      <c r="A226" s="46"/>
      <c r="B226" s="46"/>
      <c r="C226" s="48"/>
      <c r="D226" s="3"/>
      <c r="E226" s="3"/>
      <c r="F226" s="46"/>
      <c r="G226" s="47"/>
      <c r="H226" s="47"/>
      <c r="I226" s="47"/>
      <c r="J226" s="2"/>
      <c r="K226" s="48"/>
    </row>
    <row r="227" spans="1:11" x14ac:dyDescent="0.35">
      <c r="A227" s="46"/>
      <c r="B227" s="46"/>
      <c r="C227" s="48"/>
      <c r="D227" s="3"/>
      <c r="E227" s="3"/>
      <c r="F227" s="46"/>
      <c r="G227" s="47"/>
      <c r="H227" s="47"/>
      <c r="I227" s="47"/>
      <c r="J227" s="2"/>
      <c r="K227" s="48"/>
    </row>
    <row r="228" spans="1:11" x14ac:dyDescent="0.35">
      <c r="A228" s="46"/>
      <c r="B228" s="46"/>
      <c r="C228" s="48"/>
      <c r="D228" s="3"/>
      <c r="E228" s="3"/>
      <c r="F228" s="46"/>
      <c r="G228" s="47"/>
      <c r="H228" s="47"/>
      <c r="I228" s="47"/>
      <c r="J228" s="2"/>
      <c r="K228" s="48"/>
    </row>
    <row r="229" spans="1:11" x14ac:dyDescent="0.35">
      <c r="A229" s="46"/>
      <c r="B229" s="46"/>
      <c r="C229" s="48"/>
      <c r="D229" s="3"/>
      <c r="E229" s="3"/>
      <c r="F229" s="46"/>
      <c r="G229" s="47"/>
      <c r="H229" s="47"/>
      <c r="I229" s="47"/>
      <c r="J229" s="2"/>
      <c r="K229" s="48"/>
    </row>
    <row r="230" spans="1:11" x14ac:dyDescent="0.35">
      <c r="A230" s="46"/>
      <c r="B230" s="46"/>
      <c r="C230" s="48"/>
      <c r="D230" s="3"/>
      <c r="E230" s="3"/>
      <c r="F230" s="46"/>
      <c r="G230" s="47"/>
      <c r="H230" s="47"/>
      <c r="I230" s="47"/>
      <c r="J230" s="2"/>
      <c r="K230" s="48"/>
    </row>
    <row r="231" spans="1:11" x14ac:dyDescent="0.35">
      <c r="A231" s="46"/>
      <c r="B231" s="46"/>
      <c r="C231" s="48"/>
      <c r="D231" s="3"/>
      <c r="E231" s="3"/>
      <c r="F231" s="46"/>
      <c r="G231" s="47"/>
      <c r="H231" s="47"/>
      <c r="I231" s="47"/>
      <c r="J231" s="2"/>
      <c r="K231" s="48"/>
    </row>
    <row r="232" spans="1:11" x14ac:dyDescent="0.35">
      <c r="A232" s="46"/>
      <c r="B232" s="46"/>
      <c r="C232" s="48"/>
      <c r="D232" s="3"/>
      <c r="E232" s="3"/>
      <c r="F232" s="46"/>
      <c r="G232" s="47"/>
      <c r="H232" s="47"/>
      <c r="I232" s="47"/>
      <c r="J232" s="2"/>
      <c r="K232" s="48"/>
    </row>
    <row r="233" spans="1:11" x14ac:dyDescent="0.35">
      <c r="A233" s="46"/>
      <c r="B233" s="46"/>
      <c r="C233" s="48"/>
      <c r="D233" s="3"/>
      <c r="E233" s="3"/>
      <c r="F233" s="46"/>
      <c r="G233" s="47"/>
      <c r="H233" s="47"/>
      <c r="I233" s="47"/>
      <c r="J233" s="2"/>
      <c r="K233" s="48"/>
    </row>
    <row r="234" spans="1:11" x14ac:dyDescent="0.35">
      <c r="A234" s="46"/>
      <c r="B234" s="46"/>
      <c r="C234" s="48"/>
      <c r="D234" s="3"/>
      <c r="E234" s="3"/>
      <c r="F234" s="46"/>
      <c r="G234" s="47"/>
      <c r="H234" s="47"/>
      <c r="I234" s="47"/>
      <c r="J234" s="2"/>
      <c r="K234" s="48"/>
    </row>
    <row r="235" spans="1:11" x14ac:dyDescent="0.35">
      <c r="A235" s="46"/>
      <c r="B235" s="46"/>
      <c r="C235" s="48"/>
      <c r="D235" s="3"/>
      <c r="E235" s="3"/>
      <c r="F235" s="46"/>
      <c r="G235" s="47"/>
      <c r="H235" s="47"/>
      <c r="I235" s="47"/>
      <c r="J235" s="2"/>
      <c r="K235" s="48"/>
    </row>
    <row r="236" spans="1:11" x14ac:dyDescent="0.35">
      <c r="A236" s="46"/>
      <c r="B236" s="46"/>
      <c r="C236" s="48"/>
      <c r="D236" s="3"/>
      <c r="E236" s="3"/>
      <c r="F236" s="46"/>
      <c r="G236" s="47"/>
      <c r="H236" s="47"/>
      <c r="I236" s="47"/>
      <c r="J236" s="2"/>
      <c r="K236" s="48"/>
    </row>
    <row r="237" spans="1:11" x14ac:dyDescent="0.35">
      <c r="A237" s="46"/>
      <c r="B237" s="46"/>
      <c r="C237" s="48"/>
      <c r="D237" s="3"/>
      <c r="E237" s="3"/>
      <c r="F237" s="46"/>
      <c r="G237" s="47"/>
      <c r="H237" s="47"/>
      <c r="I237" s="47"/>
      <c r="J237" s="2"/>
      <c r="K237" s="48"/>
    </row>
    <row r="238" spans="1:11" x14ac:dyDescent="0.35">
      <c r="A238" s="46"/>
      <c r="B238" s="46"/>
      <c r="C238" s="48"/>
      <c r="D238" s="3"/>
      <c r="E238" s="3"/>
      <c r="F238" s="46"/>
      <c r="G238" s="47"/>
      <c r="H238" s="47"/>
      <c r="I238" s="47"/>
      <c r="J238" s="2"/>
      <c r="K238" s="48"/>
    </row>
    <row r="239" spans="1:11" x14ac:dyDescent="0.35">
      <c r="A239" s="46"/>
      <c r="B239" s="46"/>
      <c r="C239" s="48"/>
      <c r="D239" s="3"/>
      <c r="E239" s="3"/>
      <c r="F239" s="46"/>
      <c r="G239" s="47"/>
      <c r="H239" s="47"/>
      <c r="I239" s="47"/>
      <c r="J239" s="2"/>
      <c r="K239" s="48"/>
    </row>
    <row r="240" spans="1:11" x14ac:dyDescent="0.35">
      <c r="A240" s="46"/>
      <c r="B240" s="46"/>
      <c r="C240" s="48"/>
      <c r="D240" s="3"/>
      <c r="E240" s="3"/>
      <c r="F240" s="46"/>
      <c r="G240" s="47"/>
      <c r="H240" s="47"/>
      <c r="I240" s="47"/>
      <c r="J240" s="2"/>
      <c r="K240" s="48"/>
    </row>
    <row r="241" spans="1:11" x14ac:dyDescent="0.35">
      <c r="A241" s="46"/>
      <c r="B241" s="46"/>
      <c r="C241" s="48"/>
      <c r="D241" s="3"/>
      <c r="E241" s="3"/>
      <c r="F241" s="46"/>
      <c r="G241" s="47"/>
      <c r="H241" s="47"/>
      <c r="I241" s="47"/>
      <c r="J241" s="2"/>
      <c r="K241" s="48"/>
    </row>
    <row r="242" spans="1:11" x14ac:dyDescent="0.35">
      <c r="A242" s="46"/>
      <c r="B242" s="46"/>
      <c r="C242" s="48"/>
      <c r="D242" s="3"/>
      <c r="E242" s="3"/>
      <c r="F242" s="46"/>
      <c r="G242" s="47"/>
      <c r="H242" s="47"/>
      <c r="I242" s="47"/>
      <c r="J242" s="2"/>
      <c r="K242" s="48"/>
    </row>
    <row r="243" spans="1:11" x14ac:dyDescent="0.35">
      <c r="A243" s="46"/>
      <c r="B243" s="46"/>
      <c r="C243" s="48"/>
      <c r="D243" s="3"/>
      <c r="E243" s="3"/>
      <c r="F243" s="46"/>
      <c r="G243" s="47"/>
      <c r="H243" s="47"/>
      <c r="I243" s="47"/>
      <c r="J243" s="2"/>
      <c r="K243" s="48"/>
    </row>
    <row r="244" spans="1:11" x14ac:dyDescent="0.35">
      <c r="A244" s="46"/>
      <c r="B244" s="46"/>
      <c r="C244" s="48"/>
      <c r="D244" s="3"/>
      <c r="E244" s="3"/>
      <c r="F244" s="46"/>
      <c r="G244" s="47"/>
      <c r="H244" s="47"/>
      <c r="I244" s="47"/>
      <c r="J244" s="2"/>
      <c r="K244" s="48"/>
    </row>
    <row r="245" spans="1:11" x14ac:dyDescent="0.35">
      <c r="A245" s="46"/>
      <c r="B245" s="46"/>
      <c r="C245" s="48"/>
      <c r="D245" s="3"/>
      <c r="E245" s="3"/>
      <c r="F245" s="46"/>
      <c r="G245" s="47"/>
      <c r="H245" s="47"/>
      <c r="I245" s="47"/>
      <c r="J245" s="2"/>
      <c r="K245" s="48"/>
    </row>
    <row r="246" spans="1:11" x14ac:dyDescent="0.35">
      <c r="A246" s="46"/>
      <c r="B246" s="46"/>
      <c r="C246" s="48"/>
      <c r="D246" s="3"/>
      <c r="E246" s="3"/>
      <c r="F246" s="46"/>
      <c r="G246" s="47"/>
      <c r="H246" s="47"/>
      <c r="I246" s="47"/>
      <c r="J246" s="2"/>
      <c r="K246" s="48"/>
    </row>
    <row r="247" spans="1:11" x14ac:dyDescent="0.35">
      <c r="A247" s="46"/>
      <c r="B247" s="46"/>
      <c r="C247" s="48"/>
      <c r="D247" s="3"/>
      <c r="E247" s="3"/>
      <c r="F247" s="46"/>
      <c r="G247" s="47"/>
      <c r="H247" s="47"/>
      <c r="I247" s="47"/>
      <c r="J247" s="2"/>
      <c r="K247" s="48"/>
    </row>
    <row r="248" spans="1:11" x14ac:dyDescent="0.35">
      <c r="A248" s="46"/>
      <c r="B248" s="46"/>
      <c r="C248" s="48"/>
      <c r="D248" s="3"/>
      <c r="E248" s="3"/>
      <c r="F248" s="46"/>
      <c r="G248" s="47"/>
      <c r="H248" s="47"/>
      <c r="I248" s="47"/>
      <c r="J248" s="2"/>
      <c r="K248" s="48"/>
    </row>
    <row r="249" spans="1:11" x14ac:dyDescent="0.35">
      <c r="A249" s="46"/>
      <c r="B249" s="46"/>
      <c r="C249" s="48"/>
      <c r="D249" s="3"/>
      <c r="E249" s="3"/>
      <c r="F249" s="46"/>
      <c r="G249" s="47"/>
      <c r="H249" s="47"/>
      <c r="I249" s="47"/>
      <c r="J249" s="2"/>
      <c r="K249" s="48"/>
    </row>
    <row r="250" spans="1:11" x14ac:dyDescent="0.35">
      <c r="A250" s="46"/>
      <c r="B250" s="46"/>
      <c r="C250" s="48"/>
      <c r="D250" s="3"/>
      <c r="E250" s="3"/>
      <c r="F250" s="46"/>
      <c r="G250" s="47"/>
      <c r="H250" s="47"/>
      <c r="I250" s="47"/>
      <c r="J250" s="2"/>
      <c r="K250" s="48"/>
    </row>
    <row r="251" spans="1:11" x14ac:dyDescent="0.35">
      <c r="A251" s="46"/>
      <c r="B251" s="46"/>
      <c r="C251" s="48"/>
      <c r="D251" s="3"/>
      <c r="E251" s="3"/>
      <c r="F251" s="46"/>
      <c r="G251" s="47"/>
      <c r="H251" s="47"/>
      <c r="I251" s="47"/>
      <c r="J251" s="2"/>
      <c r="K251" s="48"/>
    </row>
    <row r="252" spans="1:11" x14ac:dyDescent="0.35">
      <c r="A252" s="46"/>
      <c r="B252" s="46"/>
      <c r="C252" s="48"/>
      <c r="D252" s="3"/>
      <c r="E252" s="3"/>
      <c r="F252" s="46"/>
      <c r="G252" s="47"/>
      <c r="H252" s="47"/>
      <c r="I252" s="47"/>
      <c r="J252" s="2"/>
      <c r="K252" s="48"/>
    </row>
    <row r="253" spans="1:11" x14ac:dyDescent="0.35">
      <c r="A253" s="46"/>
      <c r="B253" s="46"/>
      <c r="C253" s="48"/>
      <c r="D253" s="3"/>
      <c r="E253" s="3"/>
      <c r="F253" s="46"/>
      <c r="G253" s="47"/>
      <c r="H253" s="47"/>
      <c r="I253" s="47"/>
      <c r="J253" s="2"/>
      <c r="K253" s="48"/>
    </row>
    <row r="254" spans="1:11" x14ac:dyDescent="0.35">
      <c r="A254" s="46"/>
      <c r="B254" s="46"/>
      <c r="C254" s="48"/>
      <c r="D254" s="3"/>
      <c r="E254" s="3"/>
      <c r="F254" s="46"/>
      <c r="G254" s="47"/>
      <c r="H254" s="47"/>
      <c r="I254" s="47"/>
      <c r="J254" s="2"/>
      <c r="K254" s="48"/>
    </row>
    <row r="255" spans="1:11" x14ac:dyDescent="0.35">
      <c r="A255" s="46"/>
      <c r="B255" s="46"/>
      <c r="C255" s="48"/>
      <c r="D255" s="3"/>
      <c r="E255" s="3"/>
      <c r="F255" s="46"/>
      <c r="G255" s="47"/>
      <c r="H255" s="47"/>
      <c r="I255" s="47"/>
      <c r="J255" s="2"/>
      <c r="K255" s="48"/>
    </row>
    <row r="256" spans="1:11" x14ac:dyDescent="0.35">
      <c r="A256" s="46"/>
      <c r="B256" s="46"/>
      <c r="C256" s="48"/>
      <c r="D256" s="3"/>
      <c r="E256" s="3"/>
      <c r="F256" s="46"/>
      <c r="G256" s="47"/>
      <c r="H256" s="47"/>
      <c r="I256" s="47"/>
      <c r="J256" s="2"/>
      <c r="K256" s="48"/>
    </row>
    <row r="257" spans="1:11" x14ac:dyDescent="0.35">
      <c r="A257" s="46"/>
      <c r="B257" s="46"/>
      <c r="C257" s="48"/>
      <c r="D257" s="3"/>
      <c r="E257" s="3"/>
      <c r="F257" s="46"/>
      <c r="G257" s="47"/>
      <c r="H257" s="47"/>
      <c r="I257" s="47"/>
      <c r="J257" s="2"/>
      <c r="K257" s="48"/>
    </row>
    <row r="258" spans="1:11" x14ac:dyDescent="0.35">
      <c r="A258" s="46"/>
      <c r="B258" s="46"/>
      <c r="C258" s="48"/>
      <c r="D258" s="3"/>
      <c r="E258" s="3"/>
      <c r="F258" s="46"/>
      <c r="G258" s="47"/>
      <c r="H258" s="47"/>
      <c r="I258" s="47"/>
      <c r="J258" s="2"/>
      <c r="K258" s="48"/>
    </row>
    <row r="259" spans="1:11" x14ac:dyDescent="0.35">
      <c r="A259" s="46"/>
      <c r="B259" s="46"/>
      <c r="C259" s="48"/>
      <c r="D259" s="3"/>
      <c r="E259" s="3"/>
      <c r="F259" s="46"/>
      <c r="G259" s="47"/>
      <c r="H259" s="47"/>
      <c r="I259" s="47"/>
      <c r="J259" s="2"/>
      <c r="K259" s="48"/>
    </row>
    <row r="260" spans="1:11" x14ac:dyDescent="0.35">
      <c r="A260" s="46"/>
      <c r="B260" s="46"/>
      <c r="C260" s="48"/>
      <c r="D260" s="3"/>
      <c r="E260" s="3"/>
      <c r="F260" s="46"/>
      <c r="G260" s="47"/>
      <c r="H260" s="47"/>
      <c r="I260" s="47"/>
      <c r="J260" s="2"/>
      <c r="K260" s="48"/>
    </row>
    <row r="261" spans="1:11" x14ac:dyDescent="0.35">
      <c r="A261" s="46"/>
      <c r="B261" s="46"/>
      <c r="C261" s="48"/>
      <c r="D261" s="3"/>
      <c r="E261" s="3"/>
      <c r="F261" s="46"/>
      <c r="G261" s="47"/>
      <c r="H261" s="47"/>
      <c r="I261" s="47"/>
      <c r="J261" s="2"/>
      <c r="K261" s="48"/>
    </row>
    <row r="262" spans="1:11" x14ac:dyDescent="0.35">
      <c r="A262" s="46"/>
      <c r="B262" s="46"/>
      <c r="C262" s="48"/>
      <c r="D262" s="3"/>
      <c r="E262" s="3"/>
      <c r="F262" s="46"/>
      <c r="G262" s="47"/>
      <c r="H262" s="47"/>
      <c r="I262" s="47"/>
      <c r="J262" s="2"/>
      <c r="K262" s="48"/>
    </row>
    <row r="263" spans="1:11" x14ac:dyDescent="0.35">
      <c r="A263" s="46"/>
      <c r="B263" s="46"/>
      <c r="C263" s="48"/>
      <c r="D263" s="3"/>
      <c r="E263" s="3"/>
      <c r="F263" s="46"/>
      <c r="G263" s="47"/>
      <c r="H263" s="47"/>
      <c r="I263" s="47"/>
      <c r="J263" s="2"/>
      <c r="K263" s="48"/>
    </row>
    <row r="264" spans="1:11" x14ac:dyDescent="0.35">
      <c r="A264" s="46"/>
      <c r="B264" s="46"/>
      <c r="C264" s="48"/>
      <c r="D264" s="3"/>
      <c r="E264" s="3"/>
      <c r="F264" s="46"/>
      <c r="G264" s="47"/>
      <c r="H264" s="47"/>
      <c r="I264" s="47"/>
      <c r="J264" s="2"/>
      <c r="K264" s="48"/>
    </row>
    <row r="265" spans="1:11" x14ac:dyDescent="0.35">
      <c r="A265" s="46"/>
      <c r="B265" s="46"/>
      <c r="C265" s="48"/>
      <c r="D265" s="3"/>
      <c r="E265" s="3"/>
      <c r="F265" s="46"/>
      <c r="G265" s="47"/>
      <c r="H265" s="47"/>
      <c r="I265" s="47"/>
      <c r="J265" s="2"/>
      <c r="K265" s="48"/>
    </row>
    <row r="266" spans="1:11" x14ac:dyDescent="0.35">
      <c r="A266" s="46"/>
      <c r="B266" s="46"/>
      <c r="C266" s="48"/>
      <c r="D266" s="3"/>
      <c r="E266" s="3"/>
      <c r="F266" s="46"/>
      <c r="G266" s="47"/>
      <c r="H266" s="47"/>
      <c r="I266" s="47"/>
      <c r="J266" s="2"/>
      <c r="K266" s="48"/>
    </row>
    <row r="267" spans="1:11" x14ac:dyDescent="0.35">
      <c r="A267" s="46"/>
      <c r="B267" s="46"/>
      <c r="C267" s="48"/>
      <c r="D267" s="3"/>
      <c r="E267" s="3"/>
      <c r="F267" s="46"/>
      <c r="G267" s="47"/>
      <c r="H267" s="47"/>
      <c r="I267" s="47"/>
      <c r="J267" s="2"/>
      <c r="K267" s="48"/>
    </row>
    <row r="268" spans="1:11" x14ac:dyDescent="0.35">
      <c r="A268" s="46"/>
      <c r="B268" s="46"/>
      <c r="C268" s="48"/>
      <c r="D268" s="3"/>
      <c r="E268" s="3"/>
      <c r="F268" s="46"/>
      <c r="G268" s="47"/>
      <c r="H268" s="47"/>
      <c r="I268" s="47"/>
      <c r="J268" s="2"/>
      <c r="K268" s="48"/>
    </row>
    <row r="269" spans="1:11" x14ac:dyDescent="0.35">
      <c r="A269" s="46"/>
      <c r="B269" s="46"/>
      <c r="C269" s="48"/>
      <c r="D269" s="3"/>
      <c r="E269" s="3"/>
      <c r="F269" s="46"/>
      <c r="G269" s="47"/>
      <c r="H269" s="47"/>
      <c r="I269" s="47"/>
      <c r="J269" s="2"/>
      <c r="K269" s="48"/>
    </row>
    <row r="270" spans="1:11" x14ac:dyDescent="0.35">
      <c r="A270" s="46"/>
      <c r="B270" s="46"/>
      <c r="C270" s="48"/>
      <c r="D270" s="3"/>
      <c r="E270" s="3"/>
      <c r="F270" s="46"/>
      <c r="G270" s="47"/>
      <c r="H270" s="47"/>
      <c r="I270" s="47"/>
      <c r="J270" s="2"/>
      <c r="K270" s="48"/>
    </row>
    <row r="271" spans="1:11" x14ac:dyDescent="0.35">
      <c r="A271" s="46"/>
      <c r="B271" s="46"/>
      <c r="C271" s="48"/>
      <c r="D271" s="3"/>
      <c r="E271" s="3"/>
      <c r="F271" s="46"/>
      <c r="G271" s="47"/>
      <c r="H271" s="47"/>
      <c r="I271" s="47"/>
      <c r="J271" s="2"/>
      <c r="K271" s="48"/>
    </row>
    <row r="272" spans="1:11" x14ac:dyDescent="0.35">
      <c r="A272" s="46"/>
      <c r="B272" s="46"/>
      <c r="C272" s="48"/>
      <c r="D272" s="3"/>
      <c r="E272" s="3"/>
      <c r="F272" s="46"/>
      <c r="G272" s="47"/>
      <c r="H272" s="47"/>
      <c r="I272" s="47"/>
      <c r="J272" s="2"/>
      <c r="K272" s="48"/>
    </row>
    <row r="273" spans="1:11" x14ac:dyDescent="0.35">
      <c r="A273" s="46"/>
      <c r="B273" s="46"/>
      <c r="C273" s="48"/>
      <c r="D273" s="3"/>
      <c r="E273" s="3"/>
      <c r="F273" s="46"/>
      <c r="G273" s="47"/>
      <c r="H273" s="47"/>
      <c r="I273" s="47"/>
      <c r="J273" s="2"/>
      <c r="K273" s="48"/>
    </row>
    <row r="274" spans="1:11" x14ac:dyDescent="0.35">
      <c r="A274" s="46"/>
      <c r="B274" s="46"/>
      <c r="C274" s="48"/>
      <c r="D274" s="3"/>
      <c r="E274" s="3"/>
      <c r="F274" s="46"/>
      <c r="G274" s="47"/>
      <c r="H274" s="47"/>
      <c r="I274" s="47"/>
      <c r="J274" s="2"/>
      <c r="K274" s="48"/>
    </row>
    <row r="275" spans="1:11" x14ac:dyDescent="0.35">
      <c r="A275" s="46"/>
      <c r="B275" s="46"/>
      <c r="C275" s="48"/>
      <c r="D275" s="3"/>
      <c r="E275" s="3"/>
      <c r="F275" s="46"/>
      <c r="G275" s="47"/>
      <c r="H275" s="47"/>
      <c r="I275" s="47"/>
      <c r="J275" s="2"/>
      <c r="K275" s="48"/>
    </row>
    <row r="276" spans="1:11" x14ac:dyDescent="0.35">
      <c r="A276" s="46"/>
      <c r="B276" s="46"/>
      <c r="C276" s="48"/>
      <c r="D276" s="3"/>
      <c r="E276" s="3"/>
      <c r="F276" s="46"/>
      <c r="G276" s="47"/>
      <c r="H276" s="47"/>
      <c r="I276" s="47"/>
      <c r="J276" s="2"/>
      <c r="K276" s="48"/>
    </row>
    <row r="277" spans="1:11" x14ac:dyDescent="0.35">
      <c r="A277" s="46"/>
      <c r="B277" s="46"/>
      <c r="C277" s="48"/>
      <c r="D277" s="3"/>
      <c r="E277" s="3"/>
      <c r="F277" s="46"/>
      <c r="G277" s="47"/>
      <c r="H277" s="47"/>
      <c r="I277" s="47"/>
      <c r="J277" s="2"/>
      <c r="K277" s="48"/>
    </row>
    <row r="278" spans="1:11" x14ac:dyDescent="0.35">
      <c r="A278" s="46"/>
      <c r="B278" s="46"/>
      <c r="C278" s="48"/>
      <c r="D278" s="3"/>
      <c r="E278" s="3"/>
      <c r="F278" s="46"/>
      <c r="G278" s="47"/>
      <c r="H278" s="47"/>
      <c r="I278" s="47"/>
      <c r="J278" s="2"/>
      <c r="K278" s="48"/>
    </row>
    <row r="279" spans="1:11" x14ac:dyDescent="0.35">
      <c r="A279" s="46"/>
      <c r="B279" s="46"/>
      <c r="C279" s="48"/>
      <c r="D279" s="3"/>
      <c r="E279" s="3"/>
      <c r="F279" s="46"/>
      <c r="G279" s="47"/>
      <c r="H279" s="47"/>
      <c r="I279" s="47"/>
      <c r="J279" s="2"/>
      <c r="K279" s="48"/>
    </row>
    <row r="280" spans="1:11" x14ac:dyDescent="0.35">
      <c r="A280" s="46"/>
      <c r="B280" s="46"/>
      <c r="C280" s="48"/>
      <c r="D280" s="3"/>
      <c r="E280" s="3"/>
      <c r="F280" s="46"/>
      <c r="G280" s="47"/>
      <c r="H280" s="47"/>
      <c r="I280" s="47"/>
      <c r="J280" s="2"/>
      <c r="K280" s="48"/>
    </row>
    <row r="281" spans="1:11" x14ac:dyDescent="0.35">
      <c r="A281" s="46"/>
      <c r="B281" s="46"/>
      <c r="C281" s="48"/>
      <c r="D281" s="3"/>
      <c r="E281" s="3"/>
      <c r="F281" s="46"/>
      <c r="G281" s="47"/>
      <c r="H281" s="47"/>
      <c r="I281" s="47"/>
      <c r="J281" s="2"/>
      <c r="K281" s="48"/>
    </row>
    <row r="282" spans="1:11" x14ac:dyDescent="0.35">
      <c r="A282" s="46"/>
      <c r="B282" s="46"/>
      <c r="C282" s="48"/>
      <c r="D282" s="3"/>
      <c r="E282" s="3"/>
      <c r="F282" s="46"/>
      <c r="G282" s="47"/>
      <c r="H282" s="47"/>
      <c r="I282" s="47"/>
      <c r="J282" s="2"/>
      <c r="K282" s="48"/>
    </row>
    <row r="283" spans="1:11" x14ac:dyDescent="0.35">
      <c r="A283" s="46"/>
      <c r="B283" s="46"/>
      <c r="C283" s="48"/>
      <c r="D283" s="3"/>
      <c r="E283" s="3"/>
      <c r="F283" s="46"/>
      <c r="G283" s="47"/>
      <c r="H283" s="47"/>
      <c r="I283" s="47"/>
      <c r="J283" s="2"/>
      <c r="K283" s="48"/>
    </row>
    <row r="284" spans="1:11" x14ac:dyDescent="0.35">
      <c r="A284" s="46"/>
      <c r="B284" s="46"/>
      <c r="C284" s="48"/>
      <c r="D284" s="3"/>
      <c r="E284" s="3"/>
      <c r="F284" s="46"/>
      <c r="G284" s="47"/>
      <c r="H284" s="47"/>
      <c r="I284" s="47"/>
      <c r="J284" s="2"/>
      <c r="K284" s="48"/>
    </row>
    <row r="285" spans="1:11" x14ac:dyDescent="0.35">
      <c r="A285" s="46"/>
      <c r="B285" s="46"/>
      <c r="C285" s="48"/>
      <c r="D285" s="3"/>
      <c r="E285" s="3"/>
      <c r="F285" s="46"/>
      <c r="G285" s="47"/>
      <c r="H285" s="47"/>
      <c r="I285" s="47"/>
      <c r="J285" s="2"/>
      <c r="K285" s="48"/>
    </row>
    <row r="286" spans="1:11" x14ac:dyDescent="0.35">
      <c r="A286" s="46"/>
      <c r="B286" s="46"/>
      <c r="C286" s="48"/>
      <c r="D286" s="3"/>
      <c r="E286" s="3"/>
      <c r="F286" s="46"/>
      <c r="G286" s="47"/>
      <c r="H286" s="47"/>
      <c r="I286" s="47"/>
      <c r="J286" s="2"/>
      <c r="K286" s="48"/>
    </row>
    <row r="287" spans="1:11" x14ac:dyDescent="0.35">
      <c r="A287" s="46"/>
      <c r="B287" s="46"/>
      <c r="C287" s="48"/>
      <c r="D287" s="3"/>
      <c r="E287" s="3"/>
      <c r="F287" s="46"/>
      <c r="G287" s="47"/>
      <c r="H287" s="47"/>
      <c r="I287" s="47"/>
      <c r="J287" s="2"/>
      <c r="K287" s="48"/>
    </row>
    <row r="288" spans="1:11" x14ac:dyDescent="0.35">
      <c r="A288" s="46"/>
      <c r="B288" s="46"/>
      <c r="C288" s="48"/>
      <c r="D288" s="3"/>
      <c r="E288" s="3"/>
      <c r="F288" s="46"/>
      <c r="G288" s="47"/>
      <c r="H288" s="47"/>
      <c r="I288" s="47"/>
      <c r="J288" s="2"/>
      <c r="K288" s="48"/>
    </row>
    <row r="289" spans="1:11" x14ac:dyDescent="0.35">
      <c r="A289" s="46"/>
      <c r="B289" s="46"/>
      <c r="C289" s="48"/>
      <c r="D289" s="3"/>
      <c r="E289" s="3"/>
      <c r="F289" s="46"/>
      <c r="G289" s="47"/>
      <c r="H289" s="47"/>
      <c r="I289" s="47"/>
      <c r="J289" s="2"/>
      <c r="K289" s="48"/>
    </row>
    <row r="290" spans="1:11" x14ac:dyDescent="0.35">
      <c r="A290" s="46"/>
      <c r="B290" s="46"/>
      <c r="C290" s="48"/>
      <c r="D290" s="3"/>
      <c r="E290" s="3"/>
      <c r="F290" s="46"/>
      <c r="G290" s="47"/>
      <c r="H290" s="47"/>
      <c r="I290" s="47"/>
      <c r="J290" s="2"/>
      <c r="K290" s="48"/>
    </row>
    <row r="291" spans="1:11" x14ac:dyDescent="0.35">
      <c r="A291" s="46"/>
      <c r="B291" s="46"/>
      <c r="C291" s="48"/>
      <c r="D291" s="3"/>
      <c r="E291" s="3"/>
      <c r="F291" s="46"/>
      <c r="G291" s="47"/>
      <c r="H291" s="47"/>
      <c r="I291" s="47"/>
      <c r="J291" s="2"/>
      <c r="K291" s="48"/>
    </row>
    <row r="292" spans="1:11" x14ac:dyDescent="0.35">
      <c r="A292" s="46"/>
      <c r="B292" s="46"/>
      <c r="C292" s="48"/>
      <c r="D292" s="3"/>
      <c r="E292" s="3"/>
      <c r="F292" s="46"/>
      <c r="G292" s="47"/>
      <c r="H292" s="47"/>
      <c r="I292" s="47"/>
      <c r="J292" s="2"/>
      <c r="K292" s="48"/>
    </row>
    <row r="293" spans="1:11" x14ac:dyDescent="0.35">
      <c r="A293" s="46"/>
      <c r="B293" s="46"/>
      <c r="C293" s="48"/>
      <c r="D293" s="3"/>
      <c r="E293" s="3"/>
      <c r="F293" s="46"/>
      <c r="G293" s="47"/>
      <c r="H293" s="47"/>
      <c r="I293" s="47"/>
      <c r="J293" s="2"/>
      <c r="K293" s="48"/>
    </row>
    <row r="294" spans="1:11" x14ac:dyDescent="0.35">
      <c r="A294" s="46"/>
      <c r="B294" s="46"/>
      <c r="C294" s="48"/>
      <c r="D294" s="3"/>
      <c r="E294" s="3"/>
      <c r="F294" s="46"/>
      <c r="G294" s="47"/>
      <c r="H294" s="47"/>
      <c r="I294" s="47"/>
      <c r="J294" s="2"/>
      <c r="K294" s="48"/>
    </row>
    <row r="295" spans="1:11" x14ac:dyDescent="0.35">
      <c r="A295" s="46"/>
      <c r="B295" s="46"/>
      <c r="C295" s="48"/>
      <c r="D295" s="3"/>
      <c r="E295" s="3"/>
      <c r="F295" s="46"/>
      <c r="G295" s="47"/>
      <c r="H295" s="47"/>
      <c r="I295" s="47"/>
      <c r="J295" s="2"/>
      <c r="K295" s="48"/>
    </row>
    <row r="296" spans="1:11" x14ac:dyDescent="0.35">
      <c r="A296" s="46"/>
      <c r="B296" s="46"/>
      <c r="C296" s="48"/>
      <c r="D296" s="3"/>
      <c r="E296" s="3"/>
      <c r="F296" s="46"/>
      <c r="G296" s="47"/>
      <c r="H296" s="47"/>
      <c r="I296" s="47"/>
      <c r="J296" s="2"/>
      <c r="K296" s="48"/>
    </row>
    <row r="297" spans="1:11" x14ac:dyDescent="0.35">
      <c r="A297" s="46"/>
      <c r="B297" s="46"/>
      <c r="C297" s="48"/>
      <c r="D297" s="3"/>
      <c r="E297" s="3"/>
      <c r="F297" s="46"/>
      <c r="G297" s="47"/>
      <c r="H297" s="47"/>
      <c r="I297" s="47"/>
      <c r="J297" s="2"/>
      <c r="K297" s="48"/>
    </row>
    <row r="298" spans="1:11" x14ac:dyDescent="0.35">
      <c r="A298" s="46"/>
      <c r="B298" s="46"/>
      <c r="C298" s="48"/>
      <c r="D298" s="3"/>
      <c r="E298" s="3"/>
      <c r="F298" s="46"/>
      <c r="G298" s="47"/>
      <c r="H298" s="47"/>
      <c r="I298" s="47"/>
      <c r="J298" s="2"/>
      <c r="K298" s="48"/>
    </row>
    <row r="299" spans="1:11" x14ac:dyDescent="0.35">
      <c r="A299" s="46"/>
      <c r="B299" s="46"/>
      <c r="C299" s="48"/>
      <c r="D299" s="3"/>
      <c r="E299" s="3"/>
      <c r="F299" s="46"/>
      <c r="G299" s="47"/>
      <c r="H299" s="47"/>
      <c r="I299" s="47"/>
      <c r="J299" s="2"/>
      <c r="K299" s="48"/>
    </row>
    <row r="300" spans="1:11" x14ac:dyDescent="0.35">
      <c r="A300" s="46"/>
      <c r="B300" s="46"/>
      <c r="C300" s="48"/>
      <c r="D300" s="3"/>
      <c r="E300" s="3"/>
      <c r="F300" s="46"/>
      <c r="G300" s="47"/>
      <c r="H300" s="47"/>
      <c r="I300" s="47"/>
      <c r="J300" s="2"/>
      <c r="K300" s="48"/>
    </row>
    <row r="301" spans="1:11" x14ac:dyDescent="0.35">
      <c r="A301" s="46"/>
      <c r="B301" s="46"/>
      <c r="C301" s="48"/>
      <c r="D301" s="3"/>
      <c r="E301" s="3"/>
      <c r="F301" s="46"/>
      <c r="G301" s="47"/>
      <c r="H301" s="47"/>
      <c r="I301" s="47"/>
      <c r="J301" s="2"/>
      <c r="K301" s="48"/>
    </row>
  </sheetData>
  <autoFilter ref="A23:K24" xr:uid="{00000000-0009-0000-0000-000001000000}"/>
  <phoneticPr fontId="41" type="noConversion"/>
  <conditionalFormatting sqref="A1:A1048576">
    <cfRule type="duplicateValues" dxfId="6" priority="1"/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CheckCollision">
                <anchor moveWithCells="1" sizeWithCells="1">
                  <from>
                    <xdr:col>6</xdr:col>
                    <xdr:colOff>838200</xdr:colOff>
                    <xdr:row>6</xdr:row>
                    <xdr:rowOff>50800</xdr:rowOff>
                  </from>
                  <to>
                    <xdr:col>8</xdr:col>
                    <xdr:colOff>203200</xdr:colOff>
                    <xdr:row>12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10636-82AD-4C31-BE8B-07CFAC99FB11}">
  <sheetPr codeName="Sheet7"/>
  <dimension ref="A1:I352"/>
  <sheetViews>
    <sheetView topLeftCell="A7" workbookViewId="0">
      <selection activeCell="A10" sqref="A10:I10"/>
    </sheetView>
  </sheetViews>
  <sheetFormatPr defaultRowHeight="14.5" x14ac:dyDescent="0.35"/>
  <cols>
    <col min="1" max="1" width="101.453125" bestFit="1" customWidth="1"/>
    <col min="4" max="4" width="11.1796875" bestFit="1" customWidth="1"/>
  </cols>
  <sheetData>
    <row r="1" spans="1:9" x14ac:dyDescent="0.35">
      <c r="A1" s="46" t="s">
        <v>83</v>
      </c>
      <c r="B1" s="46"/>
      <c r="C1" s="46"/>
      <c r="D1" s="46"/>
      <c r="E1" s="46"/>
      <c r="F1" s="46"/>
      <c r="G1" s="46"/>
      <c r="H1" s="46"/>
      <c r="I1" s="46"/>
    </row>
    <row r="2" spans="1:9" x14ac:dyDescent="0.35">
      <c r="A2" s="46" t="s">
        <v>84</v>
      </c>
      <c r="B2" s="46" t="s">
        <v>85</v>
      </c>
      <c r="C2" s="46" t="s">
        <v>86</v>
      </c>
      <c r="D2" s="46"/>
      <c r="E2" s="46"/>
      <c r="F2" s="46"/>
      <c r="G2" s="46"/>
      <c r="H2" s="46"/>
      <c r="I2" s="46"/>
    </row>
    <row r="3" spans="1:9" x14ac:dyDescent="0.35">
      <c r="A3" s="46" t="s">
        <v>87</v>
      </c>
      <c r="B3" s="46"/>
      <c r="C3" s="46"/>
      <c r="D3" s="46"/>
      <c r="E3" s="46"/>
      <c r="F3" s="46"/>
      <c r="G3" s="46"/>
      <c r="H3" s="46"/>
      <c r="I3" s="46"/>
    </row>
    <row r="4" spans="1:9" x14ac:dyDescent="0.35">
      <c r="A4" s="46" t="s">
        <v>88</v>
      </c>
      <c r="B4" s="46"/>
      <c r="C4" s="46"/>
      <c r="D4" s="46"/>
      <c r="E4" s="46"/>
      <c r="F4" s="46"/>
      <c r="G4" s="46"/>
      <c r="H4" s="46"/>
      <c r="I4" s="46"/>
    </row>
    <row r="5" spans="1:9" x14ac:dyDescent="0.35">
      <c r="A5" s="46" t="s">
        <v>89</v>
      </c>
      <c r="B5" s="46" t="s">
        <v>90</v>
      </c>
      <c r="C5" s="46" t="s">
        <v>91</v>
      </c>
      <c r="D5" s="46"/>
      <c r="E5" s="46"/>
      <c r="F5" s="46"/>
      <c r="G5" s="46"/>
      <c r="H5" s="46"/>
      <c r="I5" s="46"/>
    </row>
    <row r="6" spans="1:9" x14ac:dyDescent="0.35">
      <c r="A6" s="46" t="s">
        <v>92</v>
      </c>
      <c r="B6" s="46" t="b">
        <v>0</v>
      </c>
      <c r="C6" s="46" t="s">
        <v>91</v>
      </c>
      <c r="D6" s="46"/>
      <c r="E6" s="46"/>
      <c r="F6" s="46"/>
      <c r="G6" s="46"/>
      <c r="H6" s="46"/>
      <c r="I6" s="46"/>
    </row>
    <row r="7" spans="1:9" x14ac:dyDescent="0.35">
      <c r="A7" s="46" t="s">
        <v>93</v>
      </c>
      <c r="B7" s="46" t="s">
        <v>94</v>
      </c>
      <c r="C7" s="46" t="s">
        <v>91</v>
      </c>
      <c r="D7" s="46"/>
      <c r="E7" s="46"/>
      <c r="F7" s="46"/>
      <c r="G7" s="46"/>
      <c r="H7" s="46"/>
      <c r="I7" s="46"/>
    </row>
    <row r="8" spans="1:9" x14ac:dyDescent="0.35">
      <c r="A8" s="46" t="s">
        <v>95</v>
      </c>
      <c r="B8" s="46" t="b">
        <v>0</v>
      </c>
      <c r="C8" s="46" t="s">
        <v>91</v>
      </c>
      <c r="D8" s="46"/>
      <c r="E8" s="46"/>
      <c r="F8" s="46"/>
      <c r="G8" s="46"/>
      <c r="H8" s="46"/>
      <c r="I8" s="46"/>
    </row>
    <row r="9" spans="1:9" x14ac:dyDescent="0.35">
      <c r="A9" s="46" t="s">
        <v>96</v>
      </c>
      <c r="B9" s="46"/>
      <c r="C9" s="46"/>
      <c r="D9" s="46"/>
      <c r="E9" s="46"/>
      <c r="F9" s="46"/>
      <c r="G9" s="46"/>
      <c r="H9" s="46"/>
      <c r="I9" s="46"/>
    </row>
    <row r="10" spans="1:9" ht="101.5" x14ac:dyDescent="0.35">
      <c r="A10" s="46" t="s">
        <v>97</v>
      </c>
      <c r="B10" s="46" t="s">
        <v>98</v>
      </c>
      <c r="C10" s="46" t="s">
        <v>99</v>
      </c>
      <c r="D10" s="46" t="s">
        <v>62</v>
      </c>
      <c r="E10" s="46"/>
      <c r="F10" s="46"/>
      <c r="G10" s="46"/>
      <c r="H10" s="46"/>
      <c r="I10" s="126" t="s">
        <v>100</v>
      </c>
    </row>
    <row r="11" spans="1:9" x14ac:dyDescent="0.35">
      <c r="A11" s="46"/>
      <c r="B11" s="46"/>
      <c r="C11" s="46"/>
      <c r="D11" s="46"/>
      <c r="E11" s="46"/>
      <c r="F11" s="46"/>
      <c r="G11" s="46"/>
      <c r="H11" s="46"/>
      <c r="I11" s="46"/>
    </row>
    <row r="12" spans="1:9" x14ac:dyDescent="0.35">
      <c r="A12" s="46"/>
      <c r="B12" s="46"/>
      <c r="C12" s="46"/>
      <c r="D12" s="46"/>
      <c r="E12" s="46"/>
      <c r="F12" s="46"/>
      <c r="G12" s="46"/>
      <c r="H12" s="46"/>
      <c r="I12" s="46"/>
    </row>
    <row r="13" spans="1:9" x14ac:dyDescent="0.35">
      <c r="A13" s="46"/>
      <c r="B13" s="46"/>
      <c r="C13" s="46"/>
      <c r="D13" s="46"/>
      <c r="E13" s="46"/>
      <c r="F13" s="46"/>
      <c r="G13" s="46"/>
      <c r="H13" s="46"/>
      <c r="I13" s="46"/>
    </row>
    <row r="14" spans="1:9" x14ac:dyDescent="0.35">
      <c r="A14" s="46"/>
      <c r="B14" s="46"/>
      <c r="C14" s="46"/>
      <c r="D14" s="46"/>
      <c r="E14" s="46"/>
      <c r="F14" s="46"/>
      <c r="G14" s="46"/>
      <c r="H14" s="46"/>
      <c r="I14" s="46"/>
    </row>
    <row r="15" spans="1:9" x14ac:dyDescent="0.35">
      <c r="A15" s="46" t="s">
        <v>101</v>
      </c>
      <c r="B15" s="46"/>
      <c r="C15" s="46"/>
      <c r="D15" s="46"/>
      <c r="E15" s="46"/>
      <c r="F15" s="46"/>
      <c r="G15" s="46"/>
      <c r="H15" s="46"/>
      <c r="I15" s="46"/>
    </row>
    <row r="16" spans="1:9" x14ac:dyDescent="0.35">
      <c r="A16" t="str">
        <f>SampleImport!A24</f>
        <v>1-AAABLA63</v>
      </c>
      <c r="B16" t="str">
        <f>SampleImport!G24</f>
        <v>TGTCGTAG</v>
      </c>
      <c r="C16" t="str">
        <f t="shared" ref="C16:C79" si="0" xml:space="preserve"> MID(I16,30,1) &amp; MID(I16,29,1) &amp; MID(I16,28,1) &amp; MID(I16,27,1) &amp; MID(I16,26,1) &amp; MID(I16,25,1) &amp; MID(I16,24,1) &amp; MID(I16,23,1) &amp; MID(I16,22,1) &amp; MID(I16,21,1) &amp; MID(I16,20,1) &amp; MID(I16,19,1) &amp; MID(I16,18,1) &amp; MID(I16,17,1) &amp; MID(I16,16,1) &amp; MID(I16,15,1) &amp; MID(I16,14,1) &amp; MID(I16,13,1) &amp; MID(I16,12,1) &amp; MID(I16,11,1) &amp; MID(I16,10,1) &amp; MID(I16,9,1) &amp; MID(I16,8,1) &amp; MID(I16,7,1) &amp; MID(I16,6,1) &amp; MID(I16,5,1) &amp; MID(I16,4,1) &amp; MID(I16,3,1) &amp; MID(I16,2,1) &amp; MID(I16,1,1)</f>
        <v>AAAGCTAA</v>
      </c>
      <c r="D16" s="127" t="str">
        <f>SampleImport!K24</f>
        <v>TSPRO</v>
      </c>
      <c r="I16" t="str">
        <f xml:space="preserve"> SUBSTITUTE( SUBSTITUTE( SUBSTITUTE( SUBSTITUTE( SUBSTITUTE( SUBSTITUTE( SUBSTITUTE( SUBSTITUTE( SampleImport!I24, "A", 1), "C", 2), "G", 3),"T", 4), 1, "T"), 2, "G"), 3, "C"), 4, "A")</f>
        <v>AATCGAAA</v>
      </c>
    </row>
    <row r="17" spans="1:9" x14ac:dyDescent="0.35">
      <c r="A17" t="str">
        <f>SampleImport!A25</f>
        <v>2-SAAAFU90</v>
      </c>
      <c r="B17" t="str">
        <f>SampleImport!G25</f>
        <v>CAATCATA</v>
      </c>
      <c r="C17" t="str">
        <f t="shared" si="0"/>
        <v>TGGAGATT</v>
      </c>
      <c r="D17" s="127" t="str">
        <f>SampleImport!K25</f>
        <v>TSPRO</v>
      </c>
      <c r="I17" t="str">
        <f xml:space="preserve"> SUBSTITUTE( SUBSTITUTE( SUBSTITUTE( SUBSTITUTE( SUBSTITUTE( SUBSTITUTE( SUBSTITUTE( SUBSTITUTE( SampleImport!I25, "A", 1), "C", 2), "G", 3),"T", 4), 1, "T"), 2, "G"), 3, "C"), 4, "A")</f>
        <v>TTAGAGGT</v>
      </c>
    </row>
    <row r="18" spans="1:9" x14ac:dyDescent="0.35">
      <c r="A18" t="str">
        <f>SampleImport!A26</f>
        <v>4-AAABLB18</v>
      </c>
      <c r="B18" t="str">
        <f>SampleImport!G26</f>
        <v>GATGCGAC</v>
      </c>
      <c r="C18" t="str">
        <f t="shared" si="0"/>
        <v>ACTTTGGG</v>
      </c>
      <c r="D18" s="127" t="str">
        <f>SampleImport!K26</f>
        <v>TSPRO</v>
      </c>
      <c r="I18" t="str">
        <f xml:space="preserve"> SUBSTITUTE( SUBSTITUTE( SUBSTITUTE( SUBSTITUTE( SUBSTITUTE( SUBSTITUTE( SUBSTITUTE( SUBSTITUTE( SampleImport!I26, "A", 1), "C", 2), "G", 3),"T", 4), 1, "T"), 2, "G"), 3, "C"), 4, "A")</f>
        <v>GGGTTTCA</v>
      </c>
    </row>
    <row r="19" spans="1:9" x14ac:dyDescent="0.35">
      <c r="A19" t="str">
        <f>SampleImport!A27</f>
        <v>5-SAGAEV40</v>
      </c>
      <c r="B19" t="str">
        <f>SampleImport!G27</f>
        <v>GAAGAGGG</v>
      </c>
      <c r="C19" t="str">
        <f t="shared" si="0"/>
        <v>CGGACGGA</v>
      </c>
      <c r="D19" s="127" t="str">
        <f>SampleImport!K27</f>
        <v>TSPRO</v>
      </c>
      <c r="I19" t="str">
        <f xml:space="preserve"> SUBSTITUTE( SUBSTITUTE( SUBSTITUTE( SUBSTITUTE( SUBSTITUTE( SUBSTITUTE( SUBSTITUTE( SUBSTITUTE( SampleImport!I27, "A", 1), "C", 2), "G", 3),"T", 4), 1, "T"), 2, "G"), 3, "C"), 4, "A")</f>
        <v>AGGCAGGC</v>
      </c>
    </row>
    <row r="20" spans="1:9" x14ac:dyDescent="0.35">
      <c r="A20" t="str">
        <f>SampleImport!A28</f>
        <v>6-AAABLD80</v>
      </c>
      <c r="B20" t="str">
        <f>SampleImport!G28</f>
        <v>TAGTAATC</v>
      </c>
      <c r="C20" t="str">
        <f t="shared" si="0"/>
        <v>GCAGAGCC</v>
      </c>
      <c r="D20" s="127" t="str">
        <f>SampleImport!K28</f>
        <v>TSPRO</v>
      </c>
      <c r="I20" t="str">
        <f xml:space="preserve"> SUBSTITUTE( SUBSTITUTE( SUBSTITUTE( SUBSTITUTE( SUBSTITUTE( SUBSTITUTE( SUBSTITUTE( SUBSTITUTE( SampleImport!I28, "A", 1), "C", 2), "G", 3),"T", 4), 1, "T"), 2, "G"), 3, "C"), 4, "A")</f>
        <v>CCGAGACG</v>
      </c>
    </row>
    <row r="21" spans="1:9" x14ac:dyDescent="0.35">
      <c r="A21" t="str">
        <f>SampleImport!A29</f>
        <v>7-AAABLD81</v>
      </c>
      <c r="B21" t="str">
        <f>SampleImport!G29</f>
        <v>GTGTGGAG</v>
      </c>
      <c r="C21" t="str">
        <f t="shared" si="0"/>
        <v>GCATGATC</v>
      </c>
      <c r="D21" s="127" t="str">
        <f>SampleImport!K29</f>
        <v>TSPRO</v>
      </c>
      <c r="I21" t="str">
        <f xml:space="preserve"> SUBSTITUTE( SUBSTITUTE( SUBSTITUTE( SUBSTITUTE( SUBSTITUTE( SUBSTITUTE( SUBSTITUTE( SUBSTITUTE( SampleImport!I29, "A", 1), "C", 2), "G", 3),"T", 4), 1, "T"), 2, "G"), 3, "C"), 4, "A")</f>
        <v>CTAGTACG</v>
      </c>
    </row>
    <row r="22" spans="1:9" x14ac:dyDescent="0.35">
      <c r="A22" t="str">
        <f>SampleImport!A30</f>
        <v>8-AAABLD82</v>
      </c>
      <c r="B22" t="str">
        <f>SampleImport!G30</f>
        <v>ACGTTGTA</v>
      </c>
      <c r="C22" t="str">
        <f t="shared" si="0"/>
        <v>TCGACCTA</v>
      </c>
      <c r="D22" s="127" t="str">
        <f>SampleImport!K30</f>
        <v>TSPRO</v>
      </c>
      <c r="I22" t="str">
        <f xml:space="preserve"> SUBSTITUTE( SUBSTITUTE( SUBSTITUTE( SUBSTITUTE( SUBSTITUTE( SUBSTITUTE( SUBSTITUTE( SUBSTITUTE( SampleImport!I30, "A", 1), "C", 2), "G", 3),"T", 4), 1, "T"), 2, "G"), 3, "C"), 4, "A")</f>
        <v>ATCCAGCT</v>
      </c>
    </row>
    <row r="23" spans="1:9" x14ac:dyDescent="0.35">
      <c r="A23" t="str">
        <f>SampleImport!A31</f>
        <v>9-AAABLD83</v>
      </c>
      <c r="B23" t="str">
        <f>SampleImport!G31</f>
        <v>GCGCTAAT</v>
      </c>
      <c r="C23" t="str">
        <f t="shared" si="0"/>
        <v>ACCCTGAC</v>
      </c>
      <c r="D23" s="127" t="str">
        <f>SampleImport!K31</f>
        <v>TSPRO</v>
      </c>
      <c r="I23" t="str">
        <f xml:space="preserve"> SUBSTITUTE( SUBSTITUTE( SUBSTITUTE( SUBSTITUTE( SUBSTITUTE( SUBSTITUTE( SUBSTITUTE( SUBSTITUTE( SampleImport!I31, "A", 1), "C", 2), "G", 3),"T", 4), 1, "T"), 2, "G"), 3, "C"), 4, "A")</f>
        <v>CAGTCCCA</v>
      </c>
    </row>
    <row r="24" spans="1:9" x14ac:dyDescent="0.35">
      <c r="A24" t="str">
        <f>SampleImport!A32</f>
        <v>10-AAABLD84</v>
      </c>
      <c r="B24" t="str">
        <f>SampleImport!G32</f>
        <v>AGAGCTGC</v>
      </c>
      <c r="C24" t="str">
        <f t="shared" si="0"/>
        <v>GTTGAAGG</v>
      </c>
      <c r="D24" s="127" t="str">
        <f>SampleImport!K32</f>
        <v>TSPRO</v>
      </c>
      <c r="I24" t="str">
        <f xml:space="preserve"> SUBSTITUTE( SUBSTITUTE( SUBSTITUTE( SUBSTITUTE( SUBSTITUTE( SUBSTITUTE( SUBSTITUTE( SUBSTITUTE( SampleImport!I32, "A", 1), "C", 2), "G", 3),"T", 4), 1, "T"), 2, "G"), 3, "C"), 4, "A")</f>
        <v>GGAAGTTG</v>
      </c>
    </row>
    <row r="25" spans="1:9" x14ac:dyDescent="0.35">
      <c r="A25" t="str">
        <f>SampleImport!A33</f>
        <v>11-AAABLD85</v>
      </c>
      <c r="B25" t="str">
        <f>SampleImport!G33</f>
        <v>CATACTTA</v>
      </c>
      <c r="C25" t="str">
        <f t="shared" si="0"/>
        <v>GCACGGGA</v>
      </c>
      <c r="D25" s="127" t="str">
        <f>SampleImport!K33</f>
        <v>TSPRO</v>
      </c>
      <c r="I25" t="str">
        <f xml:space="preserve"> SUBSTITUTE( SUBSTITUTE( SUBSTITUTE( SUBSTITUTE( SUBSTITUTE( SUBSTITUTE( SUBSTITUTE( SUBSTITUTE( SampleImport!I33, "A", 1), "C", 2), "G", 3),"T", 4), 1, "T"), 2, "G"), 3, "C"), 4, "A")</f>
        <v>AGGGCACG</v>
      </c>
    </row>
    <row r="26" spans="1:9" x14ac:dyDescent="0.35">
      <c r="A26" t="str">
        <f>SampleImport!A34</f>
        <v>12-AAABLD86</v>
      </c>
      <c r="B26" t="str">
        <f>SampleImport!G34</f>
        <v>TTGCACCG</v>
      </c>
      <c r="C26" t="str">
        <f t="shared" si="0"/>
        <v>CGTATAAA</v>
      </c>
      <c r="D26" s="127" t="str">
        <f>SampleImport!K34</f>
        <v>TSPRO</v>
      </c>
      <c r="I26" t="str">
        <f xml:space="preserve"> SUBSTITUTE( SUBSTITUTE( SUBSTITUTE( SUBSTITUTE( SUBSTITUTE( SUBSTITUTE( SUBSTITUTE( SUBSTITUTE( SampleImport!I34, "A", 1), "C", 2), "G", 3),"T", 4), 1, "T"), 2, "G"), 3, "C"), 4, "A")</f>
        <v>AAATATGC</v>
      </c>
    </row>
    <row r="27" spans="1:9" x14ac:dyDescent="0.35">
      <c r="A27" t="str">
        <f>SampleImport!A35</f>
        <v>1-SAAAFX48</v>
      </c>
      <c r="B27" t="str">
        <f>SampleImport!G35</f>
        <v>GCGGGATA</v>
      </c>
      <c r="C27" t="str">
        <f t="shared" si="0"/>
        <v>AGAGACGG</v>
      </c>
      <c r="D27" s="127" t="str">
        <f>SampleImport!K35</f>
        <v>TSPRO</v>
      </c>
      <c r="I27" t="str">
        <f xml:space="preserve"> SUBSTITUTE( SUBSTITUTE( SUBSTITUTE( SUBSTITUTE( SUBSTITUTE( SUBSTITUTE( SUBSTITUTE( SUBSTITUTE( SampleImport!I35, "A", 1), "C", 2), "G", 3),"T", 4), 1, "T"), 2, "G"), 3, "C"), 4, "A")</f>
        <v>GGCAGAGA</v>
      </c>
    </row>
    <row r="28" spans="1:9" x14ac:dyDescent="0.35">
      <c r="A28" t="str">
        <f>SampleImport!A36</f>
        <v>2-SAAAFX49</v>
      </c>
      <c r="B28" t="str">
        <f>SampleImport!G36</f>
        <v>GAAGTGAA</v>
      </c>
      <c r="C28" t="str">
        <f t="shared" si="0"/>
        <v>TACAAGTC</v>
      </c>
      <c r="D28" s="127" t="str">
        <f>SampleImport!K36</f>
        <v>TSPRO</v>
      </c>
      <c r="I28" t="str">
        <f xml:space="preserve"> SUBSTITUTE( SUBSTITUTE( SUBSTITUTE( SUBSTITUTE( SUBSTITUTE( SUBSTITUTE( SUBSTITUTE( SUBSTITUTE( SampleImport!I36, "A", 1), "C", 2), "G", 3),"T", 4), 1, "T"), 2, "G"), 3, "C"), 4, "A")</f>
        <v>CTGAACAT</v>
      </c>
    </row>
    <row r="29" spans="1:9" x14ac:dyDescent="0.35">
      <c r="A29" t="str">
        <f>SampleImport!A37</f>
        <v>3-SAAAFX50</v>
      </c>
      <c r="B29" t="str">
        <f>SampleImport!G37</f>
        <v>CTGTTTAC</v>
      </c>
      <c r="C29" t="str">
        <f t="shared" si="0"/>
        <v>TGAATCTT</v>
      </c>
      <c r="D29" s="127" t="str">
        <f>SampleImport!K37</f>
        <v>TSPRO</v>
      </c>
      <c r="I29" t="str">
        <f xml:space="preserve"> SUBSTITUTE( SUBSTITUTE( SUBSTITUTE( SUBSTITUTE( SUBSTITUTE( SUBSTITUTE( SUBSTITUTE( SUBSTITUTE( SampleImport!I37, "A", 1), "C", 2), "G", 3),"T", 4), 1, "T"), 2, "G"), 3, "C"), 4, "A")</f>
        <v>TTCTAAGT</v>
      </c>
    </row>
    <row r="30" spans="1:9" x14ac:dyDescent="0.35">
      <c r="A30" t="str">
        <f>SampleImport!A38</f>
        <v>4-SAAAFX51</v>
      </c>
      <c r="B30" t="str">
        <f>SampleImport!G38</f>
        <v>GAGCACTC</v>
      </c>
      <c r="C30" t="str">
        <f t="shared" si="0"/>
        <v>GCAACTTG</v>
      </c>
      <c r="D30" s="127" t="str">
        <f>SampleImport!K38</f>
        <v>TSPRO</v>
      </c>
      <c r="I30" t="str">
        <f xml:space="preserve"> SUBSTITUTE( SUBSTITUTE( SUBSTITUTE( SUBSTITUTE( SUBSTITUTE( SUBSTITUTE( SUBSTITUTE( SUBSTITUTE( SampleImport!I38, "A", 1), "C", 2), "G", 3),"T", 4), 1, "T"), 2, "G"), 3, "C"), 4, "A")</f>
        <v>GTTCAACG</v>
      </c>
    </row>
    <row r="31" spans="1:9" x14ac:dyDescent="0.35">
      <c r="A31" t="str">
        <f>SampleImport!A39</f>
        <v>5-SAAAFX52</v>
      </c>
      <c r="B31" t="str">
        <f>SampleImport!G39</f>
        <v>TTGTTGCA</v>
      </c>
      <c r="C31" t="str">
        <f t="shared" si="0"/>
        <v>ACGACGTC</v>
      </c>
      <c r="D31" s="127" t="str">
        <f>SampleImport!K39</f>
        <v>TSPRO</v>
      </c>
      <c r="I31" t="str">
        <f xml:space="preserve"> SUBSTITUTE( SUBSTITUTE( SUBSTITUTE( SUBSTITUTE( SUBSTITUTE( SUBSTITUTE( SUBSTITUTE( SUBSTITUTE( SampleImport!I39, "A", 1), "C", 2), "G", 3),"T", 4), 1, "T"), 2, "G"), 3, "C"), 4, "A")</f>
        <v>CTGCAGCA</v>
      </c>
    </row>
    <row r="32" spans="1:9" x14ac:dyDescent="0.35">
      <c r="A32" t="str">
        <f>SampleImport!A40</f>
        <v>6-SAAAFX53</v>
      </c>
      <c r="B32" t="str">
        <f>SampleImport!G40</f>
        <v>CCACACTT</v>
      </c>
      <c r="C32" t="str">
        <f t="shared" si="0"/>
        <v>GTATGACG</v>
      </c>
      <c r="D32" s="127" t="str">
        <f>SampleImport!K40</f>
        <v>TSPRO</v>
      </c>
      <c r="I32" t="str">
        <f xml:space="preserve"> SUBSTITUTE( SUBSTITUTE( SUBSTITUTE( SUBSTITUTE( SUBSTITUTE( SUBSTITUTE( SUBSTITUTE( SUBSTITUTE( SampleImport!I40, "A", 1), "C", 2), "G", 3),"T", 4), 1, "T"), 2, "G"), 3, "C"), 4, "A")</f>
        <v>GCAGTATG</v>
      </c>
    </row>
    <row r="33" spans="1:9" x14ac:dyDescent="0.35">
      <c r="A33" t="str">
        <f>SampleImport!A41</f>
        <v>7-SAAAFX54</v>
      </c>
      <c r="B33" t="str">
        <f>SampleImport!G41</f>
        <v>CCCGTTTG</v>
      </c>
      <c r="C33" t="str">
        <f t="shared" si="0"/>
        <v>TACAGCAA</v>
      </c>
      <c r="D33" s="127" t="str">
        <f>SampleImport!K41</f>
        <v>TSPRO</v>
      </c>
      <c r="I33" t="str">
        <f xml:space="preserve"> SUBSTITUTE( SUBSTITUTE( SUBSTITUTE( SUBSTITUTE( SUBSTITUTE( SUBSTITUTE( SUBSTITUTE( SUBSTITUTE( SampleImport!I41, "A", 1), "C", 2), "G", 3),"T", 4), 1, "T"), 2, "G"), 3, "C"), 4, "A")</f>
        <v>AACGACAT</v>
      </c>
    </row>
    <row r="34" spans="1:9" x14ac:dyDescent="0.35">
      <c r="A34" t="str">
        <f>SampleImport!A42</f>
        <v>8-SAAAFX55</v>
      </c>
      <c r="B34" t="str">
        <f>SampleImport!G42</f>
        <v>ATGCTCCC</v>
      </c>
      <c r="C34" t="str">
        <f t="shared" si="0"/>
        <v>CAGCAGGG</v>
      </c>
      <c r="D34" s="127" t="str">
        <f>SampleImport!K42</f>
        <v>TSPRO</v>
      </c>
      <c r="I34" t="str">
        <f xml:space="preserve"> SUBSTITUTE( SUBSTITUTE( SUBSTITUTE( SUBSTITUTE( SUBSTITUTE( SUBSTITUTE( SUBSTITUTE( SUBSTITUTE( SampleImport!I42, "A", 1), "C", 2), "G", 3),"T", 4), 1, "T"), 2, "G"), 3, "C"), 4, "A")</f>
        <v>GGGACGAC</v>
      </c>
    </row>
    <row r="35" spans="1:9" x14ac:dyDescent="0.35">
      <c r="A35" t="str">
        <f>SampleImport!A43</f>
        <v>9-SAAAFX56</v>
      </c>
      <c r="B35" t="str">
        <f>SampleImport!G43</f>
        <v>GCTCAATA</v>
      </c>
      <c r="C35" t="str">
        <f t="shared" si="0"/>
        <v>GATAAATG</v>
      </c>
      <c r="D35" s="127" t="str">
        <f>SampleImport!K43</f>
        <v>TSPRO</v>
      </c>
      <c r="I35" t="str">
        <f xml:space="preserve"> SUBSTITUTE( SUBSTITUTE( SUBSTITUTE( SUBSTITUTE( SUBSTITUTE( SUBSTITUTE( SUBSTITUTE( SUBSTITUTE( SampleImport!I43, "A", 1), "C", 2), "G", 3),"T", 4), 1, "T"), 2, "G"), 3, "C"), 4, "A")</f>
        <v>GTAAATAG</v>
      </c>
    </row>
    <row r="36" spans="1:9" x14ac:dyDescent="0.35">
      <c r="A36" t="str">
        <f>SampleImport!A44</f>
        <v>10-SAAAFX57</v>
      </c>
      <c r="B36" t="str">
        <f>SampleImport!G44</f>
        <v>GTAGTTCG</v>
      </c>
      <c r="C36" t="str">
        <f t="shared" si="0"/>
        <v>GCATCAAG</v>
      </c>
      <c r="D36" s="127" t="str">
        <f>SampleImport!K44</f>
        <v>TSPRO</v>
      </c>
      <c r="I36" t="str">
        <f xml:space="preserve"> SUBSTITUTE( SUBSTITUTE( SUBSTITUTE( SUBSTITUTE( SUBSTITUTE( SUBSTITUTE( SUBSTITUTE( SUBSTITUTE( SampleImport!I44, "A", 1), "C", 2), "G", 3),"T", 4), 1, "T"), 2, "G"), 3, "C"), 4, "A")</f>
        <v>GAACTACG</v>
      </c>
    </row>
    <row r="37" spans="1:9" x14ac:dyDescent="0.35">
      <c r="A37" t="str">
        <f>SampleImport!A45</f>
        <v>11-SAAAFX58</v>
      </c>
      <c r="B37" t="str">
        <f>SampleImport!G45</f>
        <v>CGAGAACC</v>
      </c>
      <c r="C37" t="str">
        <f t="shared" si="0"/>
        <v>CGATACAT</v>
      </c>
      <c r="D37" s="127" t="str">
        <f>SampleImport!K45</f>
        <v>TSPRO</v>
      </c>
      <c r="I37" t="str">
        <f xml:space="preserve"> SUBSTITUTE( SUBSTITUTE( SUBSTITUTE( SUBSTITUTE( SUBSTITUTE( SUBSTITUTE( SUBSTITUTE( SUBSTITUTE( SampleImport!I45, "A", 1), "C", 2), "G", 3),"T", 4), 1, "T"), 2, "G"), 3, "C"), 4, "A")</f>
        <v>TACATAGC</v>
      </c>
    </row>
    <row r="38" spans="1:9" x14ac:dyDescent="0.35">
      <c r="A38" t="str">
        <f>SampleImport!A46</f>
        <v>12-AAABLD87</v>
      </c>
      <c r="B38" t="str">
        <f>SampleImport!G46</f>
        <v>GCCATGTA</v>
      </c>
      <c r="C38" t="str">
        <f t="shared" si="0"/>
        <v>AACCCTAT</v>
      </c>
      <c r="D38" s="127" t="str">
        <f>SampleImport!K46</f>
        <v>TSPRO</v>
      </c>
      <c r="I38" t="str">
        <f xml:space="preserve"> SUBSTITUTE( SUBSTITUTE( SUBSTITUTE( SUBSTITUTE( SUBSTITUTE( SUBSTITUTE( SUBSTITUTE( SUBSTITUTE( SampleImport!I46, "A", 1), "C", 2), "G", 3),"T", 4), 1, "T"), 2, "G"), 3, "C"), 4, "A")</f>
        <v>TATCCCAA</v>
      </c>
    </row>
    <row r="39" spans="1:9" x14ac:dyDescent="0.35">
      <c r="A39" t="str">
        <f>SampleImport!A47</f>
        <v>13-AAABLD88</v>
      </c>
      <c r="B39" t="str">
        <f>SampleImport!G47</f>
        <v>TTTCTCTA</v>
      </c>
      <c r="C39" t="str">
        <f t="shared" si="0"/>
        <v>ACGTCGAG</v>
      </c>
      <c r="D39" s="127" t="str">
        <f>SampleImport!K47</f>
        <v>TSPRO</v>
      </c>
      <c r="I39" t="str">
        <f xml:space="preserve"> SUBSTITUTE( SUBSTITUTE( SUBSTITUTE( SUBSTITUTE( SUBSTITUTE( SUBSTITUTE( SUBSTITUTE( SUBSTITUTE( SampleImport!I47, "A", 1), "C", 2), "G", 3),"T", 4), 1, "T"), 2, "G"), 3, "C"), 4, "A")</f>
        <v>GAGCTGCA</v>
      </c>
    </row>
    <row r="40" spans="1:9" x14ac:dyDescent="0.35">
      <c r="A40" t="str">
        <f>SampleImport!A48</f>
        <v>14-AAABLD89</v>
      </c>
      <c r="B40" t="str">
        <f>SampleImport!G48</f>
        <v>CCAGCGAT</v>
      </c>
      <c r="C40" t="str">
        <f t="shared" si="0"/>
        <v>TGACTAGA</v>
      </c>
      <c r="D40" s="127" t="str">
        <f>SampleImport!K48</f>
        <v>TSPRO</v>
      </c>
      <c r="I40" t="str">
        <f xml:space="preserve"> SUBSTITUTE( SUBSTITUTE( SUBSTITUTE( SUBSTITUTE( SUBSTITUTE( SUBSTITUTE( SUBSTITUTE( SUBSTITUTE( SampleImport!I48, "A", 1), "C", 2), "G", 3),"T", 4), 1, "T"), 2, "G"), 3, "C"), 4, "A")</f>
        <v>AGATCAGT</v>
      </c>
    </row>
    <row r="41" spans="1:9" x14ac:dyDescent="0.35">
      <c r="A41" t="str">
        <f>SampleImport!A49</f>
        <v>15-AAABLD90</v>
      </c>
      <c r="B41" t="str">
        <f>SampleImport!G49</f>
        <v>TGGGAGTG</v>
      </c>
      <c r="C41" t="str">
        <f t="shared" si="0"/>
        <v>TAGACGGG</v>
      </c>
      <c r="D41" s="127" t="str">
        <f>SampleImport!K49</f>
        <v>TSPRO</v>
      </c>
      <c r="I41" t="str">
        <f xml:space="preserve"> SUBSTITUTE( SUBSTITUTE( SUBSTITUTE( SUBSTITUTE( SUBSTITUTE( SUBSTITUTE( SUBSTITUTE( SUBSTITUTE( SampleImport!I49, "A", 1), "C", 2), "G", 3),"T", 4), 1, "T"), 2, "G"), 3, "C"), 4, "A")</f>
        <v>GGGCAGAT</v>
      </c>
    </row>
    <row r="42" spans="1:9" x14ac:dyDescent="0.35">
      <c r="A42" t="str">
        <f>SampleImport!A50</f>
        <v>16-AAABLD91</v>
      </c>
      <c r="B42" t="str">
        <f>SampleImport!G50</f>
        <v>CCCTCGTA</v>
      </c>
      <c r="C42" t="str">
        <f t="shared" si="0"/>
        <v>CTCTTCTA</v>
      </c>
      <c r="D42" s="127" t="str">
        <f>SampleImport!K50</f>
        <v>TSPRO</v>
      </c>
      <c r="I42" t="str">
        <f xml:space="preserve"> SUBSTITUTE( SUBSTITUTE( SUBSTITUTE( SUBSTITUTE( SUBSTITUTE( SUBSTITUTE( SUBSTITUTE( SUBSTITUTE( SampleImport!I50, "A", 1), "C", 2), "G", 3),"T", 4), 1, "T"), 2, "G"), 3, "C"), 4, "A")</f>
        <v>ATCTTCTC</v>
      </c>
    </row>
    <row r="43" spans="1:9" x14ac:dyDescent="0.35">
      <c r="A43" t="str">
        <f>SampleImport!A51</f>
        <v>17-AAABLD92</v>
      </c>
      <c r="B43" t="str">
        <f>SampleImport!G51</f>
        <v>CGATATGG</v>
      </c>
      <c r="C43" t="str">
        <f t="shared" si="0"/>
        <v>TACGTCCC</v>
      </c>
      <c r="D43" s="127" t="str">
        <f>SampleImport!K51</f>
        <v>TSPRO</v>
      </c>
      <c r="I43" t="str">
        <f xml:space="preserve"> SUBSTITUTE( SUBSTITUTE( SUBSTITUTE( SUBSTITUTE( SUBSTITUTE( SUBSTITUTE( SUBSTITUTE( SUBSTITUTE( SampleImport!I51, "A", 1), "C", 2), "G", 3),"T", 4), 1, "T"), 2, "G"), 3, "C"), 4, "A")</f>
        <v>CCCTGCAT</v>
      </c>
    </row>
    <row r="44" spans="1:9" x14ac:dyDescent="0.35">
      <c r="A44" t="str">
        <f>SampleImport!A52</f>
        <v>18-AAABLD93</v>
      </c>
      <c r="B44" t="str">
        <f>SampleImport!G52</f>
        <v>TTGTGCCC</v>
      </c>
      <c r="C44" t="str">
        <f t="shared" si="0"/>
        <v>GATGGAAA</v>
      </c>
      <c r="D44" s="127" t="str">
        <f>SampleImport!K52</f>
        <v>TSPRO</v>
      </c>
      <c r="I44" t="str">
        <f xml:space="preserve"> SUBSTITUTE( SUBSTITUTE( SUBSTITUTE( SUBSTITUTE( SUBSTITUTE( SUBSTITUTE( SUBSTITUTE( SUBSTITUTE( SampleImport!I52, "A", 1), "C", 2), "G", 3),"T", 4), 1, "T"), 2, "G"), 3, "C"), 4, "A")</f>
        <v>AAAGGTAG</v>
      </c>
    </row>
    <row r="45" spans="1:9" x14ac:dyDescent="0.35">
      <c r="A45" t="str">
        <f>SampleImport!A53</f>
        <v>19-AAABLD94</v>
      </c>
      <c r="B45" t="str">
        <f>SampleImport!G53</f>
        <v>TGTCCTCT</v>
      </c>
      <c r="C45" t="str">
        <f t="shared" si="0"/>
        <v>GTTCGTCG</v>
      </c>
      <c r="D45" s="127" t="str">
        <f>SampleImport!K53</f>
        <v>TSPRO</v>
      </c>
      <c r="I45" t="str">
        <f xml:space="preserve"> SUBSTITUTE( SUBSTITUTE( SUBSTITUTE( SUBSTITUTE( SUBSTITUTE( SUBSTITUTE( SUBSTITUTE( SUBSTITUTE( SampleImport!I53, "A", 1), "C", 2), "G", 3),"T", 4), 1, "T"), 2, "G"), 3, "C"), 4, "A")</f>
        <v>GCTGCTTG</v>
      </c>
    </row>
    <row r="46" spans="1:9" x14ac:dyDescent="0.35">
      <c r="A46" t="str">
        <f>SampleImport!A54</f>
        <v>20-AAABLD95</v>
      </c>
      <c r="B46" t="str">
        <f>SampleImport!G54</f>
        <v>GTATAGTC</v>
      </c>
      <c r="C46" t="str">
        <f t="shared" si="0"/>
        <v>GAGACCAA</v>
      </c>
      <c r="D46" s="127" t="str">
        <f>SampleImport!K54</f>
        <v>TSPRO</v>
      </c>
      <c r="I46" t="str">
        <f xml:space="preserve"> SUBSTITUTE( SUBSTITUTE( SUBSTITUTE( SUBSTITUTE( SUBSTITUTE( SUBSTITUTE( SUBSTITUTE( SUBSTITUTE( SampleImport!I54, "A", 1), "C", 2), "G", 3),"T", 4), 1, "T"), 2, "G"), 3, "C"), 4, "A")</f>
        <v>AACCAGAG</v>
      </c>
    </row>
    <row r="47" spans="1:9" x14ac:dyDescent="0.35">
      <c r="A47" t="str">
        <f>SampleImport!A55</f>
        <v>21-AAABLD96</v>
      </c>
      <c r="B47" t="str">
        <f>SampleImport!G55</f>
        <v>TTTGGGAT</v>
      </c>
      <c r="C47" t="str">
        <f t="shared" si="0"/>
        <v>ACGTGAAC</v>
      </c>
      <c r="D47" s="127" t="str">
        <f>SampleImport!K55</f>
        <v>TSPRO</v>
      </c>
      <c r="I47" t="str">
        <f xml:space="preserve"> SUBSTITUTE( SUBSTITUTE( SUBSTITUTE( SUBSTITUTE( SUBSTITUTE( SUBSTITUTE( SUBSTITUTE( SUBSTITUTE( SampleImport!I55, "A", 1), "C", 2), "G", 3),"T", 4), 1, "T"), 2, "G"), 3, "C"), 4, "A")</f>
        <v>CAAGTGCA</v>
      </c>
    </row>
    <row r="48" spans="1:9" x14ac:dyDescent="0.35">
      <c r="A48" t="str">
        <f>SampleImport!A56</f>
        <v>22-AAABLD97</v>
      </c>
      <c r="B48" t="str">
        <f>SampleImport!G56</f>
        <v>CACCAAGC</v>
      </c>
      <c r="C48" t="str">
        <f t="shared" si="0"/>
        <v>TTCCCTTT</v>
      </c>
      <c r="D48" s="127" t="str">
        <f>SampleImport!K56</f>
        <v>TSPRO</v>
      </c>
      <c r="I48" t="str">
        <f xml:space="preserve"> SUBSTITUTE( SUBSTITUTE( SUBSTITUTE( SUBSTITUTE( SUBSTITUTE( SUBSTITUTE( SUBSTITUTE( SUBSTITUTE( SampleImport!I56, "A", 1), "C", 2), "G", 3),"T", 4), 1, "T"), 2, "G"), 3, "C"), 4, "A")</f>
        <v>TTTCCCTT</v>
      </c>
    </row>
    <row r="49" spans="1:9" x14ac:dyDescent="0.35">
      <c r="A49" t="str">
        <f>SampleImport!A57</f>
        <v>23-AAABLD98</v>
      </c>
      <c r="B49" t="str">
        <f>SampleImport!G57</f>
        <v>CGGAGAGG</v>
      </c>
      <c r="C49" t="str">
        <f t="shared" si="0"/>
        <v>GACGCTCG</v>
      </c>
      <c r="D49" s="127" t="str">
        <f>SampleImport!K57</f>
        <v>TSPRO</v>
      </c>
      <c r="I49" t="str">
        <f xml:space="preserve"> SUBSTITUTE( SUBSTITUTE( SUBSTITUTE( SUBSTITUTE( SUBSTITUTE( SUBSTITUTE( SUBSTITUTE( SUBSTITUTE( SampleImport!I57, "A", 1), "C", 2), "G", 3),"T", 4), 1, "T"), 2, "G"), 3, "C"), 4, "A")</f>
        <v>GCTCGCAG</v>
      </c>
    </row>
    <row r="50" spans="1:9" x14ac:dyDescent="0.35">
      <c r="A50" t="str">
        <f>SampleImport!A58</f>
        <v>24-AAABLD99</v>
      </c>
      <c r="B50" t="str">
        <f>SampleImport!G58</f>
        <v>TATTTACC</v>
      </c>
      <c r="C50" t="str">
        <f t="shared" si="0"/>
        <v>CTCACGTC</v>
      </c>
      <c r="D50" s="127" t="str">
        <f>SampleImport!K58</f>
        <v>TSPRO</v>
      </c>
      <c r="I50" t="str">
        <f xml:space="preserve"> SUBSTITUTE( SUBSTITUTE( SUBSTITUTE( SUBSTITUTE( SUBSTITUTE( SUBSTITUTE( SUBSTITUTE( SUBSTITUTE( SampleImport!I58, "A", 1), "C", 2), "G", 3),"T", 4), 1, "T"), 2, "G"), 3, "C"), 4, "A")</f>
        <v>CTGCACTC</v>
      </c>
    </row>
    <row r="51" spans="1:9" x14ac:dyDescent="0.35">
      <c r="A51" t="str">
        <f>SampleImport!A59</f>
        <v>1-ASAAAB87</v>
      </c>
      <c r="B51" t="str">
        <f>SampleImport!G59</f>
        <v>TATATGGA</v>
      </c>
      <c r="C51" t="str">
        <f t="shared" si="0"/>
        <v>CTGCCAAG</v>
      </c>
      <c r="D51" s="127" t="str">
        <f>SampleImport!K59</f>
        <v>TSPRO</v>
      </c>
      <c r="I51" t="str">
        <f xml:space="preserve"> SUBSTITUTE( SUBSTITUTE( SUBSTITUTE( SUBSTITUTE( SUBSTITUTE( SUBSTITUTE( SUBSTITUTE( SUBSTITUTE( SampleImport!I59, "A", 1), "C", 2), "G", 3),"T", 4), 1, "T"), 2, "G"), 3, "C"), 4, "A")</f>
        <v>GAACCGTC</v>
      </c>
    </row>
    <row r="52" spans="1:9" x14ac:dyDescent="0.35">
      <c r="A52" t="str">
        <f>SampleImport!A60</f>
        <v>2-SAAAFX59</v>
      </c>
      <c r="B52" t="str">
        <f>SampleImport!G60</f>
        <v>GTTAACAT</v>
      </c>
      <c r="C52" t="str">
        <f t="shared" si="0"/>
        <v>ACGCCGCA</v>
      </c>
      <c r="D52" s="127" t="str">
        <f>SampleImport!K60</f>
        <v>TSPRO</v>
      </c>
      <c r="I52" t="str">
        <f xml:space="preserve"> SUBSTITUTE( SUBSTITUTE( SUBSTITUTE( SUBSTITUTE( SUBSTITUTE( SUBSTITUTE( SUBSTITUTE( SUBSTITUTE( SampleImport!I60, "A", 1), "C", 2), "G", 3),"T", 4), 1, "T"), 2, "G"), 3, "C"), 4, "A")</f>
        <v>ACGCCGCA</v>
      </c>
    </row>
    <row r="53" spans="1:9" x14ac:dyDescent="0.35">
      <c r="A53" t="str">
        <f>SampleImport!A61</f>
        <v>3-SAAAFX60</v>
      </c>
      <c r="B53" t="str">
        <f>SampleImport!G61</f>
        <v>CGTCTTGG</v>
      </c>
      <c r="C53" t="str">
        <f t="shared" si="0"/>
        <v>CGCCAGTC</v>
      </c>
      <c r="D53" s="127" t="str">
        <f>SampleImport!K61</f>
        <v>TSPRO</v>
      </c>
      <c r="I53" t="str">
        <f xml:space="preserve"> SUBSTITUTE( SUBSTITUTE( SUBSTITUTE( SUBSTITUTE( SUBSTITUTE( SUBSTITUTE( SUBSTITUTE( SUBSTITUTE( SampleImport!I61, "A", 1), "C", 2), "G", 3),"T", 4), 1, "T"), 2, "G"), 3, "C"), 4, "A")</f>
        <v>CTGACCGC</v>
      </c>
    </row>
    <row r="54" spans="1:9" x14ac:dyDescent="0.35">
      <c r="A54" t="str">
        <f>SampleImport!A62</f>
        <v>4-SAAAFX61</v>
      </c>
      <c r="B54" t="str">
        <f>SampleImport!G62</f>
        <v>CGTAGCGA</v>
      </c>
      <c r="C54" t="str">
        <f t="shared" si="0"/>
        <v>CTAAACAA</v>
      </c>
      <c r="D54" s="127" t="str">
        <f>SampleImport!K62</f>
        <v>TSPRO</v>
      </c>
      <c r="I54" t="str">
        <f xml:space="preserve"> SUBSTITUTE( SUBSTITUTE( SUBSTITUTE( SUBSTITUTE( SUBSTITUTE( SUBSTITUTE( SUBSTITUTE( SUBSTITUTE( SampleImport!I62, "A", 1), "C", 2), "G", 3),"T", 4), 1, "T"), 2, "G"), 3, "C"), 4, "A")</f>
        <v>AACAAATC</v>
      </c>
    </row>
    <row r="55" spans="1:9" x14ac:dyDescent="0.35">
      <c r="A55" t="str">
        <f>SampleImport!A63</f>
        <v>5-SAAAFX62</v>
      </c>
      <c r="B55" t="str">
        <f>SampleImport!G63</f>
        <v>TAGTCACA</v>
      </c>
      <c r="C55" t="str">
        <f t="shared" si="0"/>
        <v>TATACCTC</v>
      </c>
      <c r="D55" s="127" t="str">
        <f>SampleImport!K63</f>
        <v>TSPRO</v>
      </c>
      <c r="I55" t="str">
        <f xml:space="preserve"> SUBSTITUTE( SUBSTITUTE( SUBSTITUTE( SUBSTITUTE( SUBSTITUTE( SUBSTITUTE( SUBSTITUTE( SUBSTITUTE( SampleImport!I63, "A", 1), "C", 2), "G", 3),"T", 4), 1, "T"), 2, "G"), 3, "C"), 4, "A")</f>
        <v>CTCCATAT</v>
      </c>
    </row>
    <row r="56" spans="1:9" x14ac:dyDescent="0.35">
      <c r="A56" t="str">
        <f>SampleImport!A64</f>
        <v>6-SAAAFX63</v>
      </c>
      <c r="B56" t="str">
        <f>SampleImport!G64</f>
        <v>AGAAGTGG</v>
      </c>
      <c r="C56" t="str">
        <f t="shared" si="0"/>
        <v>CTCTTGAT</v>
      </c>
      <c r="D56" s="127" t="str">
        <f>SampleImport!K64</f>
        <v>TSPRO</v>
      </c>
      <c r="I56" t="str">
        <f xml:space="preserve"> SUBSTITUTE( SUBSTITUTE( SUBSTITUTE( SUBSTITUTE( SUBSTITUTE( SUBSTITUTE( SUBSTITUTE( SUBSTITUTE( SampleImport!I64, "A", 1), "C", 2), "G", 3),"T", 4), 1, "T"), 2, "G"), 3, "C"), 4, "A")</f>
        <v>TAGTTCTC</v>
      </c>
    </row>
    <row r="57" spans="1:9" x14ac:dyDescent="0.35">
      <c r="A57" t="str">
        <f>SampleImport!A65</f>
        <v>7-SAAAFX64</v>
      </c>
      <c r="B57" t="str">
        <f>SampleImport!G65</f>
        <v>CGTGGATT</v>
      </c>
      <c r="C57" t="str">
        <f t="shared" si="0"/>
        <v>ACTCTTAG</v>
      </c>
      <c r="D57" s="127" t="str">
        <f>SampleImport!K65</f>
        <v>TSPRO</v>
      </c>
      <c r="I57" t="str">
        <f xml:space="preserve"> SUBSTITUTE( SUBSTITUTE( SUBSTITUTE( SUBSTITUTE( SUBSTITUTE( SUBSTITUTE( SUBSTITUTE( SUBSTITUTE( SampleImport!I65, "A", 1), "C", 2), "G", 3),"T", 4), 1, "T"), 2, "G"), 3, "C"), 4, "A")</f>
        <v>GATTCTCA</v>
      </c>
    </row>
    <row r="58" spans="1:9" x14ac:dyDescent="0.35">
      <c r="A58" t="str">
        <f>SampleImport!A66</f>
        <v>8-SAAAFX65</v>
      </c>
      <c r="B58" t="str">
        <f>SampleImport!G66</f>
        <v>GTAGATGC</v>
      </c>
      <c r="C58" t="str">
        <f t="shared" si="0"/>
        <v>GAGCAACA</v>
      </c>
      <c r="D58" s="127" t="str">
        <f>SampleImport!K66</f>
        <v>TSPRO</v>
      </c>
      <c r="I58" t="str">
        <f xml:space="preserve"> SUBSTITUTE( SUBSTITUTE( SUBSTITUTE( SUBSTITUTE( SUBSTITUTE( SUBSTITUTE( SUBSTITUTE( SUBSTITUTE( SampleImport!I66, "A", 1), "C", 2), "G", 3),"T", 4), 1, "T"), 2, "G"), 3, "C"), 4, "A")</f>
        <v>ACAACGAG</v>
      </c>
    </row>
    <row r="59" spans="1:9" x14ac:dyDescent="0.35">
      <c r="A59" t="str">
        <f>SampleImport!A67</f>
        <v>9-SAAAFX66</v>
      </c>
      <c r="B59" t="str">
        <f>SampleImport!G67</f>
        <v>TACCGCTC</v>
      </c>
      <c r="C59" t="str">
        <f t="shared" si="0"/>
        <v>CAGTGACG</v>
      </c>
      <c r="D59" s="127" t="str">
        <f>SampleImport!K67</f>
        <v>TSPRO</v>
      </c>
      <c r="I59" t="str">
        <f xml:space="preserve"> SUBSTITUTE( SUBSTITUTE( SUBSTITUTE( SUBSTITUTE( SUBSTITUTE( SUBSTITUTE( SUBSTITUTE( SUBSTITUTE( SampleImport!I67, "A", 1), "C", 2), "G", 3),"T", 4), 1, "T"), 2, "G"), 3, "C"), 4, "A")</f>
        <v>GCAGTGAC</v>
      </c>
    </row>
    <row r="60" spans="1:9" x14ac:dyDescent="0.35">
      <c r="A60" t="str">
        <f>SampleImport!A68</f>
        <v>10-SAAAFX67</v>
      </c>
      <c r="B60" t="str">
        <f>SampleImport!G68</f>
        <v>CGAACCAC</v>
      </c>
      <c r="C60" t="str">
        <f t="shared" si="0"/>
        <v>AAGATTGA</v>
      </c>
      <c r="D60" s="127" t="str">
        <f>SampleImport!K68</f>
        <v>TSPRO</v>
      </c>
      <c r="I60" t="str">
        <f xml:space="preserve"> SUBSTITUTE( SUBSTITUTE( SUBSTITUTE( SUBSTITUTE( SUBSTITUTE( SUBSTITUTE( SUBSTITUTE( SUBSTITUTE( SampleImport!I68, "A", 1), "C", 2), "G", 3),"T", 4), 1, "T"), 2, "G"), 3, "C"), 4, "A")</f>
        <v>AGTTAGAA</v>
      </c>
    </row>
    <row r="61" spans="1:9" x14ac:dyDescent="0.35">
      <c r="A61" t="str">
        <f>SampleImport!A69</f>
        <v>11-SAAAFX68</v>
      </c>
      <c r="B61" t="str">
        <f>SampleImport!G69</f>
        <v>TATTGTTC</v>
      </c>
      <c r="C61" t="str">
        <f t="shared" si="0"/>
        <v>GTGTGTTT</v>
      </c>
      <c r="D61" s="127" t="str">
        <f>SampleImport!K69</f>
        <v>TSPRO</v>
      </c>
      <c r="I61" t="str">
        <f xml:space="preserve"> SUBSTITUTE( SUBSTITUTE( SUBSTITUTE( SUBSTITUTE( SUBSTITUTE( SUBSTITUTE( SUBSTITUTE( SUBSTITUTE( SampleImport!I69, "A", 1), "C", 2), "G", 3),"T", 4), 1, "T"), 2, "G"), 3, "C"), 4, "A")</f>
        <v>TTTGTGTG</v>
      </c>
    </row>
    <row r="62" spans="1:9" x14ac:dyDescent="0.35">
      <c r="A62" t="str">
        <f>SampleImport!A70</f>
        <v>12-SAAAFX69</v>
      </c>
      <c r="B62" t="str">
        <f>SampleImport!G70</f>
        <v>GTTGTGTG</v>
      </c>
      <c r="C62" t="str">
        <f t="shared" si="0"/>
        <v>CGTCCGAC</v>
      </c>
      <c r="D62" s="127" t="str">
        <f>SampleImport!K70</f>
        <v>TSPRO</v>
      </c>
      <c r="I62" t="str">
        <f xml:space="preserve"> SUBSTITUTE( SUBSTITUTE( SUBSTITUTE( SUBSTITUTE( SUBSTITUTE( SUBSTITUTE( SUBSTITUTE( SUBSTITUTE( SampleImport!I70, "A", 1), "C", 2), "G", 3),"T", 4), 1, "T"), 2, "G"), 3, "C"), 4, "A")</f>
        <v>CAGCCTGC</v>
      </c>
    </row>
    <row r="63" spans="1:9" x14ac:dyDescent="0.35">
      <c r="A63" t="str">
        <f>SampleImport!A71</f>
        <v>2-SAAAFX70</v>
      </c>
      <c r="B63" t="str">
        <f>SampleImport!G71</f>
        <v>TGGAGATT</v>
      </c>
      <c r="C63" t="str">
        <f t="shared" si="0"/>
        <v>CAATCATA</v>
      </c>
      <c r="D63" s="127" t="str">
        <f>SampleImport!K71</f>
        <v>TSPRO</v>
      </c>
      <c r="I63" t="str">
        <f xml:space="preserve"> SUBSTITUTE( SUBSTITUTE( SUBSTITUTE( SUBSTITUTE( SUBSTITUTE( SUBSTITUTE( SUBSTITUTE( SUBSTITUTE( SampleImport!I71, "A", 1), "C", 2), "G", 3),"T", 4), 1, "T"), 2, "G"), 3, "C"), 4, "A")</f>
        <v>ATACTAAC</v>
      </c>
    </row>
    <row r="64" spans="1:9" x14ac:dyDescent="0.35">
      <c r="A64" t="str">
        <f>SampleImport!A72</f>
        <v>3-SAAAFX71</v>
      </c>
      <c r="B64" t="str">
        <f>SampleImport!G72</f>
        <v>AATTAGAC</v>
      </c>
      <c r="C64" t="str">
        <f t="shared" si="0"/>
        <v>GTTCTTAT</v>
      </c>
      <c r="D64" s="127" t="str">
        <f>SampleImport!K72</f>
        <v>TSPRO</v>
      </c>
      <c r="I64" t="str">
        <f xml:space="preserve"> SUBSTITUTE( SUBSTITUTE( SUBSTITUTE( SUBSTITUTE( SUBSTITUTE( SUBSTITUTE( SUBSTITUTE( SUBSTITUTE( SampleImport!I72, "A", 1), "C", 2), "G", 3),"T", 4), 1, "T"), 2, "G"), 3, "C"), 4, "A")</f>
        <v>TATTCTTG</v>
      </c>
    </row>
    <row r="65" spans="1:9" x14ac:dyDescent="0.35">
      <c r="A65" t="str">
        <f>SampleImport!A73</f>
        <v>4-SAAAFX72</v>
      </c>
      <c r="B65" t="str">
        <f>SampleImport!G73</f>
        <v>ACTTTGGG</v>
      </c>
      <c r="C65" t="str">
        <f t="shared" si="0"/>
        <v>GATGCGAC</v>
      </c>
      <c r="D65" s="127" t="str">
        <f>SampleImport!K73</f>
        <v>TSPRO</v>
      </c>
      <c r="I65" t="str">
        <f xml:space="preserve"> SUBSTITUTE( SUBSTITUTE( SUBSTITUTE( SUBSTITUTE( SUBSTITUTE( SUBSTITUTE( SUBSTITUTE( SUBSTITUTE( SampleImport!I73, "A", 1), "C", 2), "G", 3),"T", 4), 1, "T"), 2, "G"), 3, "C"), 4, "A")</f>
        <v>CAGCGTAG</v>
      </c>
    </row>
    <row r="66" spans="1:9" x14ac:dyDescent="0.35">
      <c r="A66" t="str">
        <f>SampleImport!A74</f>
        <v>5-SAAAFX73</v>
      </c>
      <c r="B66" t="str">
        <f>SampleImport!G74</f>
        <v>CGGACGGA</v>
      </c>
      <c r="C66" t="str">
        <f t="shared" si="0"/>
        <v>GAAGAGGG</v>
      </c>
      <c r="D66" s="127" t="str">
        <f>SampleImport!K74</f>
        <v>TSPRO</v>
      </c>
      <c r="I66" t="str">
        <f xml:space="preserve"> SUBSTITUTE( SUBSTITUTE( SUBSTITUTE( SUBSTITUTE( SUBSTITUTE( SUBSTITUTE( SUBSTITUTE( SUBSTITUTE( SampleImport!I74, "A", 1), "C", 2), "G", 3),"T", 4), 1, "T"), 2, "G"), 3, "C"), 4, "A")</f>
        <v>GGGAGAAG</v>
      </c>
    </row>
    <row r="67" spans="1:9" x14ac:dyDescent="0.35">
      <c r="A67" t="str">
        <f>SampleImport!A75</f>
        <v>6-AAABLE01</v>
      </c>
      <c r="B67" t="str">
        <f>SampleImport!G75</f>
        <v>GCAGAGCC</v>
      </c>
      <c r="C67" t="str">
        <f t="shared" si="0"/>
        <v>TAGTAATC</v>
      </c>
      <c r="D67" s="127" t="str">
        <f>SampleImport!K75</f>
        <v>TSPRO</v>
      </c>
      <c r="I67" t="str">
        <f xml:space="preserve"> SUBSTITUTE( SUBSTITUTE( SUBSTITUTE( SUBSTITUTE( SUBSTITUTE( SUBSTITUTE( SUBSTITUTE( SUBSTITUTE( SampleImport!I75, "A", 1), "C", 2), "G", 3),"T", 4), 1, "T"), 2, "G"), 3, "C"), 4, "A")</f>
        <v>CTAATGAT</v>
      </c>
    </row>
    <row r="68" spans="1:9" x14ac:dyDescent="0.35">
      <c r="A68" t="str">
        <f>SampleImport!A76</f>
        <v>7-AAABLE02</v>
      </c>
      <c r="B68" t="str">
        <f>SampleImport!G76</f>
        <v>GCATGATC</v>
      </c>
      <c r="C68" t="str">
        <f t="shared" si="0"/>
        <v>GTGTGGAG</v>
      </c>
      <c r="D68" s="127" t="str">
        <f>SampleImport!K76</f>
        <v>TSPRO</v>
      </c>
      <c r="I68" t="str">
        <f xml:space="preserve"> SUBSTITUTE( SUBSTITUTE( SUBSTITUTE( SUBSTITUTE( SUBSTITUTE( SUBSTITUTE( SUBSTITUTE( SUBSTITUTE( SampleImport!I76, "A", 1), "C", 2), "G", 3),"T", 4), 1, "T"), 2, "G"), 3, "C"), 4, "A")</f>
        <v>GAGGTGTG</v>
      </c>
    </row>
    <row r="69" spans="1:9" x14ac:dyDescent="0.35">
      <c r="A69" t="str">
        <f>SampleImport!A77</f>
        <v>8-AAABLE03</v>
      </c>
      <c r="B69" t="str">
        <f>SampleImport!G77</f>
        <v>TCGACCTA</v>
      </c>
      <c r="C69" t="str">
        <f t="shared" si="0"/>
        <v>ACGTTGTA</v>
      </c>
      <c r="D69" s="127" t="str">
        <f>SampleImport!K77</f>
        <v>TSPRO</v>
      </c>
      <c r="I69" t="str">
        <f xml:space="preserve"> SUBSTITUTE( SUBSTITUTE( SUBSTITUTE( SUBSTITUTE( SUBSTITUTE( SUBSTITUTE( SUBSTITUTE( SUBSTITUTE( SampleImport!I77, "A", 1), "C", 2), "G", 3),"T", 4), 1, "T"), 2, "G"), 3, "C"), 4, "A")</f>
        <v>ATGTTGCA</v>
      </c>
    </row>
    <row r="70" spans="1:9" x14ac:dyDescent="0.35">
      <c r="A70" t="str">
        <f>SampleImport!A78</f>
        <v>9-AAABLE04</v>
      </c>
      <c r="B70" t="str">
        <f>SampleImport!G78</f>
        <v>ACCCTGAC</v>
      </c>
      <c r="C70" t="str">
        <f t="shared" si="0"/>
        <v>GCGCTAAT</v>
      </c>
      <c r="D70" s="127" t="str">
        <f>SampleImport!K78</f>
        <v>TSPRO</v>
      </c>
      <c r="I70" t="str">
        <f xml:space="preserve"> SUBSTITUTE( SUBSTITUTE( SUBSTITUTE( SUBSTITUTE( SUBSTITUTE( SUBSTITUTE( SUBSTITUTE( SUBSTITUTE( SampleImport!I78, "A", 1), "C", 2), "G", 3),"T", 4), 1, "T"), 2, "G"), 3, "C"), 4, "A")</f>
        <v>TAATCGCG</v>
      </c>
    </row>
    <row r="71" spans="1:9" x14ac:dyDescent="0.35">
      <c r="A71" t="str">
        <f>SampleImport!A79</f>
        <v>10-AAABLE05</v>
      </c>
      <c r="B71" t="str">
        <f>SampleImport!G79</f>
        <v>GTTGAAGG</v>
      </c>
      <c r="C71" t="str">
        <f t="shared" si="0"/>
        <v>AGAGCTGC</v>
      </c>
      <c r="D71" s="127" t="str">
        <f>SampleImport!K79</f>
        <v>TSPRO</v>
      </c>
      <c r="I71" t="str">
        <f xml:space="preserve"> SUBSTITUTE( SUBSTITUTE( SUBSTITUTE( SUBSTITUTE( SUBSTITUTE( SUBSTITUTE( SUBSTITUTE( SUBSTITUTE( SampleImport!I79, "A", 1), "C", 2), "G", 3),"T", 4), 1, "T"), 2, "G"), 3, "C"), 4, "A")</f>
        <v>CGTCGAGA</v>
      </c>
    </row>
    <row r="72" spans="1:9" x14ac:dyDescent="0.35">
      <c r="A72" t="str">
        <f>SampleImport!A80</f>
        <v>11-AAABLE06</v>
      </c>
      <c r="B72" t="str">
        <f>SampleImport!G80</f>
        <v>GCACGGGA</v>
      </c>
      <c r="C72" t="str">
        <f t="shared" si="0"/>
        <v>CATACTTA</v>
      </c>
      <c r="D72" s="127" t="str">
        <f>SampleImport!K80</f>
        <v>TSPRO</v>
      </c>
      <c r="I72" t="str">
        <f xml:space="preserve"> SUBSTITUTE( SUBSTITUTE( SUBSTITUTE( SUBSTITUTE( SUBSTITUTE( SUBSTITUTE( SUBSTITUTE( SUBSTITUTE( SampleImport!I80, "A", 1), "C", 2), "G", 3),"T", 4), 1, "T"), 2, "G"), 3, "C"), 4, "A")</f>
        <v>ATTCATAC</v>
      </c>
    </row>
    <row r="73" spans="1:9" x14ac:dyDescent="0.35">
      <c r="A73" t="str">
        <f>SampleImport!A81</f>
        <v>12-AAABLE07</v>
      </c>
      <c r="B73" t="str">
        <f>SampleImport!G81</f>
        <v>CGTATAAA</v>
      </c>
      <c r="C73" t="str">
        <f t="shared" si="0"/>
        <v>TTGCACCG</v>
      </c>
      <c r="D73" s="127" t="str">
        <f>SampleImport!K81</f>
        <v>TSPRO</v>
      </c>
      <c r="I73" t="str">
        <f xml:space="preserve"> SUBSTITUTE( SUBSTITUTE( SUBSTITUTE( SUBSTITUTE( SUBSTITUTE( SUBSTITUTE( SUBSTITUTE( SUBSTITUTE( SampleImport!I81, "A", 1), "C", 2), "G", 3),"T", 4), 1, "T"), 2, "G"), 3, "C"), 4, "A")</f>
        <v>GCCACGTT</v>
      </c>
    </row>
    <row r="74" spans="1:9" x14ac:dyDescent="0.35">
      <c r="A74" t="str">
        <f>SampleImport!A82</f>
        <v>13-AAABLE08</v>
      </c>
      <c r="B74" t="str">
        <f>SampleImport!G82</f>
        <v>AGAGACGG</v>
      </c>
      <c r="C74" t="str">
        <f t="shared" si="0"/>
        <v>GCGGGATA</v>
      </c>
      <c r="D74" s="127" t="str">
        <f>SampleImport!K82</f>
        <v>TSPRO</v>
      </c>
      <c r="I74" t="str">
        <f xml:space="preserve"> SUBSTITUTE( SUBSTITUTE( SUBSTITUTE( SUBSTITUTE( SUBSTITUTE( SUBSTITUTE( SUBSTITUTE( SUBSTITUTE( SampleImport!I82, "A", 1), "C", 2), "G", 3),"T", 4), 1, "T"), 2, "G"), 3, "C"), 4, "A")</f>
        <v>ATAGGGCG</v>
      </c>
    </row>
    <row r="75" spans="1:9" x14ac:dyDescent="0.35">
      <c r="A75" t="str">
        <f>SampleImport!A83</f>
        <v>14-ASAAAB88</v>
      </c>
      <c r="B75" t="str">
        <f>SampleImport!G83</f>
        <v>TACAAGTC</v>
      </c>
      <c r="C75" t="str">
        <f t="shared" si="0"/>
        <v>GAAGTGAA</v>
      </c>
      <c r="D75" s="127" t="str">
        <f>SampleImport!K83</f>
        <v>TSPRO</v>
      </c>
      <c r="I75" t="str">
        <f xml:space="preserve"> SUBSTITUTE( SUBSTITUTE( SUBSTITUTE( SUBSTITUTE( SUBSTITUTE( SUBSTITUTE( SUBSTITUTE( SUBSTITUTE( SampleImport!I83, "A", 1), "C", 2), "G", 3),"T", 4), 1, "T"), 2, "G"), 3, "C"), 4, "A")</f>
        <v>AAGTGAAG</v>
      </c>
    </row>
    <row r="76" spans="1:9" x14ac:dyDescent="0.35">
      <c r="A76" t="str">
        <f>SampleImport!A84</f>
        <v>15-SAAAFX74</v>
      </c>
      <c r="B76" t="str">
        <f>SampleImport!G84</f>
        <v>TGAATCTT</v>
      </c>
      <c r="C76" t="str">
        <f t="shared" si="0"/>
        <v>CTGTTTAC</v>
      </c>
      <c r="D76" s="127" t="str">
        <f>SampleImport!K84</f>
        <v>TSPRO</v>
      </c>
      <c r="I76" t="str">
        <f xml:space="preserve"> SUBSTITUTE( SUBSTITUTE( SUBSTITUTE( SUBSTITUTE( SUBSTITUTE( SUBSTITUTE( SUBSTITUTE( SUBSTITUTE( SampleImport!I84, "A", 1), "C", 2), "G", 3),"T", 4), 1, "T"), 2, "G"), 3, "C"), 4, "A")</f>
        <v>CATTTGTC</v>
      </c>
    </row>
    <row r="77" spans="1:9" x14ac:dyDescent="0.35">
      <c r="A77" t="str">
        <f>SampleImport!A85</f>
        <v>16-SAAAFX75</v>
      </c>
      <c r="B77" t="str">
        <f>SampleImport!G85</f>
        <v>GCAACTTG</v>
      </c>
      <c r="C77" t="str">
        <f t="shared" si="0"/>
        <v>GAGCACTC</v>
      </c>
      <c r="D77" s="127" t="str">
        <f>SampleImport!K85</f>
        <v>TSPRO</v>
      </c>
      <c r="I77" t="str">
        <f xml:space="preserve"> SUBSTITUTE( SUBSTITUTE( SUBSTITUTE( SUBSTITUTE( SUBSTITUTE( SUBSTITUTE( SUBSTITUTE( SUBSTITUTE( SampleImport!I85, "A", 1), "C", 2), "G", 3),"T", 4), 1, "T"), 2, "G"), 3, "C"), 4, "A")</f>
        <v>CTCACGAG</v>
      </c>
    </row>
    <row r="78" spans="1:9" x14ac:dyDescent="0.35">
      <c r="A78" t="str">
        <f>SampleImport!A86</f>
        <v>17-SAAAFX76</v>
      </c>
      <c r="B78" t="str">
        <f>SampleImport!G86</f>
        <v>ACGACGTC</v>
      </c>
      <c r="C78" t="str">
        <f t="shared" si="0"/>
        <v>TTGTTGCA</v>
      </c>
      <c r="D78" s="127" t="str">
        <f>SampleImport!K86</f>
        <v>TSPRO</v>
      </c>
      <c r="I78" t="str">
        <f xml:space="preserve"> SUBSTITUTE( SUBSTITUTE( SUBSTITUTE( SUBSTITUTE( SUBSTITUTE( SUBSTITUTE( SUBSTITUTE( SUBSTITUTE( SampleImport!I86, "A", 1), "C", 2), "G", 3),"T", 4), 1, "T"), 2, "G"), 3, "C"), 4, "A")</f>
        <v>ACGTTGTT</v>
      </c>
    </row>
    <row r="79" spans="1:9" x14ac:dyDescent="0.35">
      <c r="A79" t="str">
        <f>SampleImport!A87</f>
        <v>18-SAAAFX77</v>
      </c>
      <c r="B79" t="str">
        <f>SampleImport!G87</f>
        <v>GTATGACG</v>
      </c>
      <c r="C79" t="str">
        <f t="shared" si="0"/>
        <v>CCACACTT</v>
      </c>
      <c r="D79" s="127" t="str">
        <f>SampleImport!K87</f>
        <v>TSPRO</v>
      </c>
      <c r="I79" t="str">
        <f xml:space="preserve"> SUBSTITUTE( SUBSTITUTE( SUBSTITUTE( SUBSTITUTE( SUBSTITUTE( SUBSTITUTE( SUBSTITUTE( SUBSTITUTE( SampleImport!I87, "A", 1), "C", 2), "G", 3),"T", 4), 1, "T"), 2, "G"), 3, "C"), 4, "A")</f>
        <v>TTCACACC</v>
      </c>
    </row>
    <row r="80" spans="1:9" x14ac:dyDescent="0.35">
      <c r="A80" t="str">
        <f>SampleImport!A88</f>
        <v>19-SAAAFX78</v>
      </c>
      <c r="B80" t="str">
        <f>SampleImport!G88</f>
        <v>TACAGCAA</v>
      </c>
      <c r="C80" t="str">
        <f t="shared" ref="C80:C143" si="1" xml:space="preserve"> MID(I80,30,1) &amp; MID(I80,29,1) &amp; MID(I80,28,1) &amp; MID(I80,27,1) &amp; MID(I80,26,1) &amp; MID(I80,25,1) &amp; MID(I80,24,1) &amp; MID(I80,23,1) &amp; MID(I80,22,1) &amp; MID(I80,21,1) &amp; MID(I80,20,1) &amp; MID(I80,19,1) &amp; MID(I80,18,1) &amp; MID(I80,17,1) &amp; MID(I80,16,1) &amp; MID(I80,15,1) &amp; MID(I80,14,1) &amp; MID(I80,13,1) &amp; MID(I80,12,1) &amp; MID(I80,11,1) &amp; MID(I80,10,1) &amp; MID(I80,9,1) &amp; MID(I80,8,1) &amp; MID(I80,7,1) &amp; MID(I80,6,1) &amp; MID(I80,5,1) &amp; MID(I80,4,1) &amp; MID(I80,3,1) &amp; MID(I80,2,1) &amp; MID(I80,1,1)</f>
        <v>CCCGTTTG</v>
      </c>
      <c r="D80" s="127" t="str">
        <f>SampleImport!K88</f>
        <v>TSPRO</v>
      </c>
      <c r="I80" t="str">
        <f xml:space="preserve"> SUBSTITUTE( SUBSTITUTE( SUBSTITUTE( SUBSTITUTE( SUBSTITUTE( SUBSTITUTE( SUBSTITUTE( SUBSTITUTE( SampleImport!I88, "A", 1), "C", 2), "G", 3),"T", 4), 1, "T"), 2, "G"), 3, "C"), 4, "A")</f>
        <v>GTTTGCCC</v>
      </c>
    </row>
    <row r="81" spans="1:9" x14ac:dyDescent="0.35">
      <c r="A81" t="str">
        <f>SampleImport!A89</f>
        <v>20-SAAAFX79</v>
      </c>
      <c r="B81" t="str">
        <f>SampleImport!G89</f>
        <v>CAGCAGGG</v>
      </c>
      <c r="C81" t="str">
        <f t="shared" si="1"/>
        <v>ATGCTCCC</v>
      </c>
      <c r="D81" s="127" t="str">
        <f>SampleImport!K89</f>
        <v>TSPRO</v>
      </c>
      <c r="I81" t="str">
        <f xml:space="preserve"> SUBSTITUTE( SUBSTITUTE( SUBSTITUTE( SUBSTITUTE( SUBSTITUTE( SUBSTITUTE( SUBSTITUTE( SUBSTITUTE( SampleImport!I89, "A", 1), "C", 2), "G", 3),"T", 4), 1, "T"), 2, "G"), 3, "C"), 4, "A")</f>
        <v>CCCTCGTA</v>
      </c>
    </row>
    <row r="82" spans="1:9" x14ac:dyDescent="0.35">
      <c r="A82" t="str">
        <f>SampleImport!A90</f>
        <v>21-SAAAFX80</v>
      </c>
      <c r="B82" t="str">
        <f>SampleImport!G90</f>
        <v>GATAAATG</v>
      </c>
      <c r="C82" t="str">
        <f t="shared" si="1"/>
        <v>GCTCAATA</v>
      </c>
      <c r="D82" s="127" t="str">
        <f>SampleImport!K90</f>
        <v>TSPRO</v>
      </c>
      <c r="I82" t="str">
        <f xml:space="preserve"> SUBSTITUTE( SUBSTITUTE( SUBSTITUTE( SUBSTITUTE( SUBSTITUTE( SUBSTITUTE( SUBSTITUTE( SUBSTITUTE( SampleImport!I90, "A", 1), "C", 2), "G", 3),"T", 4), 1, "T"), 2, "G"), 3, "C"), 4, "A")</f>
        <v>ATAACTCG</v>
      </c>
    </row>
    <row r="83" spans="1:9" x14ac:dyDescent="0.35">
      <c r="A83" t="str">
        <f>SampleImport!A91</f>
        <v>22-SAAAFX81</v>
      </c>
      <c r="B83" t="str">
        <f>SampleImport!G91</f>
        <v>GCATCAAG</v>
      </c>
      <c r="C83" t="str">
        <f t="shared" si="1"/>
        <v>GTAGTTCG</v>
      </c>
      <c r="D83" s="127" t="str">
        <f>SampleImport!K91</f>
        <v>TSPRO</v>
      </c>
      <c r="I83" t="str">
        <f xml:space="preserve"> SUBSTITUTE( SUBSTITUTE( SUBSTITUTE( SUBSTITUTE( SUBSTITUTE( SUBSTITUTE( SUBSTITUTE( SUBSTITUTE( SampleImport!I91, "A", 1), "C", 2), "G", 3),"T", 4), 1, "T"), 2, "G"), 3, "C"), 4, "A")</f>
        <v>GCTTGATG</v>
      </c>
    </row>
    <row r="84" spans="1:9" x14ac:dyDescent="0.35">
      <c r="A84" t="str">
        <f>SampleImport!A92</f>
        <v>23-SAAAFX82</v>
      </c>
      <c r="B84" t="str">
        <f>SampleImport!G92</f>
        <v>CGATACAT</v>
      </c>
      <c r="C84" t="str">
        <f t="shared" si="1"/>
        <v>CGAGAACC</v>
      </c>
      <c r="D84" s="127" t="str">
        <f>SampleImport!K92</f>
        <v>TSPRO</v>
      </c>
      <c r="I84" t="str">
        <f xml:space="preserve"> SUBSTITUTE( SUBSTITUTE( SUBSTITUTE( SUBSTITUTE( SUBSTITUTE( SUBSTITUTE( SUBSTITUTE( SUBSTITUTE( SampleImport!I92, "A", 1), "C", 2), "G", 3),"T", 4), 1, "T"), 2, "G"), 3, "C"), 4, "A")</f>
        <v>CCAAGAGC</v>
      </c>
    </row>
    <row r="85" spans="1:9" x14ac:dyDescent="0.35">
      <c r="A85" t="str">
        <f>SampleImport!A93</f>
        <v>24-SAAAFX83</v>
      </c>
      <c r="B85" t="str">
        <f>SampleImport!G93</f>
        <v>AACCCTAT</v>
      </c>
      <c r="C85" t="str">
        <f t="shared" si="1"/>
        <v>GCCATGTA</v>
      </c>
      <c r="D85" s="127" t="str">
        <f>SampleImport!K93</f>
        <v>TSPRO</v>
      </c>
      <c r="I85" t="str">
        <f xml:space="preserve"> SUBSTITUTE( SUBSTITUTE( SUBSTITUTE( SUBSTITUTE( SUBSTITUTE( SUBSTITUTE( SUBSTITUTE( SUBSTITUTE( SampleImport!I93, "A", 1), "C", 2), "G", 3),"T", 4), 1, "T"), 2, "G"), 3, "C"), 4, "A")</f>
        <v>ATGTACCG</v>
      </c>
    </row>
    <row r="86" spans="1:9" x14ac:dyDescent="0.35">
      <c r="A86" t="str">
        <f>SampleImport!A94</f>
        <v>1-SAAAFX84</v>
      </c>
      <c r="B86" t="str">
        <f>SampleImport!G94</f>
        <v>ACGTCGAG</v>
      </c>
      <c r="C86" t="str">
        <f t="shared" si="1"/>
        <v>TTTCTCTA</v>
      </c>
      <c r="D86" s="127" t="str">
        <f>SampleImport!K94</f>
        <v>TSPRO</v>
      </c>
      <c r="I86" t="str">
        <f xml:space="preserve"> SUBSTITUTE( SUBSTITUTE( SUBSTITUTE( SUBSTITUTE( SUBSTITUTE( SUBSTITUTE( SUBSTITUTE( SUBSTITUTE( SampleImport!I94, "A", 1), "C", 2), "G", 3),"T", 4), 1, "T"), 2, "G"), 3, "C"), 4, "A")</f>
        <v>ATCTCTTT</v>
      </c>
    </row>
    <row r="87" spans="1:9" x14ac:dyDescent="0.35">
      <c r="A87" t="str">
        <f>SampleImport!A95</f>
        <v>2-SAAAFX85</v>
      </c>
      <c r="B87" t="str">
        <f>SampleImport!G95</f>
        <v>TGACTAGA</v>
      </c>
      <c r="C87" t="str">
        <f t="shared" si="1"/>
        <v>CCAGCGAT</v>
      </c>
      <c r="D87" s="127" t="str">
        <f>SampleImport!K95</f>
        <v>TSPRO</v>
      </c>
      <c r="I87" t="str">
        <f xml:space="preserve"> SUBSTITUTE( SUBSTITUTE( SUBSTITUTE( SUBSTITUTE( SUBSTITUTE( SUBSTITUTE( SUBSTITUTE( SUBSTITUTE( SampleImport!I95, "A", 1), "C", 2), "G", 3),"T", 4), 1, "T"), 2, "G"), 3, "C"), 4, "A")</f>
        <v>TAGCGACC</v>
      </c>
    </row>
    <row r="88" spans="1:9" x14ac:dyDescent="0.35">
      <c r="A88" t="str">
        <f>SampleImport!A96</f>
        <v>3-AAABLE09</v>
      </c>
      <c r="B88" t="str">
        <f>SampleImport!G96</f>
        <v>TAGACGGG</v>
      </c>
      <c r="C88" t="str">
        <f t="shared" si="1"/>
        <v>TGGGAGTG</v>
      </c>
      <c r="D88" s="127" t="str">
        <f>SampleImport!K96</f>
        <v>TSPRO</v>
      </c>
      <c r="I88" t="str">
        <f xml:space="preserve"> SUBSTITUTE( SUBSTITUTE( SUBSTITUTE( SUBSTITUTE( SUBSTITUTE( SUBSTITUTE( SUBSTITUTE( SUBSTITUTE( SampleImport!I96, "A", 1), "C", 2), "G", 3),"T", 4), 1, "T"), 2, "G"), 3, "C"), 4, "A")</f>
        <v>GTGAGGGT</v>
      </c>
    </row>
    <row r="89" spans="1:9" x14ac:dyDescent="0.35">
      <c r="A89" t="str">
        <f>SampleImport!A97</f>
        <v>4-AAABLE10</v>
      </c>
      <c r="B89" t="str">
        <f>SampleImport!G97</f>
        <v>CTCTTCTA</v>
      </c>
      <c r="C89" t="str">
        <f t="shared" si="1"/>
        <v>CCCTCGTA</v>
      </c>
      <c r="D89" s="127" t="str">
        <f>SampleImport!K97</f>
        <v>TSPRO</v>
      </c>
      <c r="I89" t="str">
        <f xml:space="preserve"> SUBSTITUTE( SUBSTITUTE( SUBSTITUTE( SUBSTITUTE( SUBSTITUTE( SUBSTITUTE( SUBSTITUTE( SUBSTITUTE( SampleImport!I97, "A", 1), "C", 2), "G", 3),"T", 4), 1, "T"), 2, "G"), 3, "C"), 4, "A")</f>
        <v>ATGCTCCC</v>
      </c>
    </row>
    <row r="90" spans="1:9" x14ac:dyDescent="0.35">
      <c r="A90" t="str">
        <f>SampleImport!A98</f>
        <v>5-AAABLE11</v>
      </c>
      <c r="B90" t="str">
        <f>SampleImport!G98</f>
        <v>TACGTCCC</v>
      </c>
      <c r="C90" t="str">
        <f t="shared" si="1"/>
        <v>CGATATGG</v>
      </c>
      <c r="D90" s="127" t="str">
        <f>SampleImport!K98</f>
        <v>TSPRO</v>
      </c>
      <c r="I90" t="str">
        <f xml:space="preserve"> SUBSTITUTE( SUBSTITUTE( SUBSTITUTE( SUBSTITUTE( SUBSTITUTE( SUBSTITUTE( SUBSTITUTE( SUBSTITUTE( SampleImport!I98, "A", 1), "C", 2), "G", 3),"T", 4), 1, "T"), 2, "G"), 3, "C"), 4, "A")</f>
        <v>GGTATAGC</v>
      </c>
    </row>
    <row r="91" spans="1:9" x14ac:dyDescent="0.35">
      <c r="A91" t="str">
        <f>SampleImport!A99</f>
        <v>6-AAABLE12</v>
      </c>
      <c r="B91" t="str">
        <f>SampleImport!G99</f>
        <v>GATGGAAA</v>
      </c>
      <c r="C91" t="str">
        <f t="shared" si="1"/>
        <v>TTGTGCCC</v>
      </c>
      <c r="D91" s="127" t="str">
        <f>SampleImport!K99</f>
        <v>TSPRO</v>
      </c>
      <c r="I91" t="str">
        <f xml:space="preserve"> SUBSTITUTE( SUBSTITUTE( SUBSTITUTE( SUBSTITUTE( SUBSTITUTE( SUBSTITUTE( SUBSTITUTE( SUBSTITUTE( SampleImport!I99, "A", 1), "C", 2), "G", 3),"T", 4), 1, "T"), 2, "G"), 3, "C"), 4, "A")</f>
        <v>CCCGTGTT</v>
      </c>
    </row>
    <row r="92" spans="1:9" x14ac:dyDescent="0.35">
      <c r="A92" t="str">
        <f>SampleImport!A100</f>
        <v>7-AAABLE13</v>
      </c>
      <c r="B92" t="str">
        <f>SampleImport!G100</f>
        <v>GTTCGTCG</v>
      </c>
      <c r="C92" t="str">
        <f t="shared" si="1"/>
        <v>TGTCCTCT</v>
      </c>
      <c r="D92" s="127" t="str">
        <f>SampleImport!K100</f>
        <v>TSPRO</v>
      </c>
      <c r="I92" t="str">
        <f xml:space="preserve"> SUBSTITUTE( SUBSTITUTE( SUBSTITUTE( SUBSTITUTE( SUBSTITUTE( SUBSTITUTE( SUBSTITUTE( SUBSTITUTE( SampleImport!I100, "A", 1), "C", 2), "G", 3),"T", 4), 1, "T"), 2, "G"), 3, "C"), 4, "A")</f>
        <v>TCTCCTGT</v>
      </c>
    </row>
    <row r="93" spans="1:9" x14ac:dyDescent="0.35">
      <c r="A93" t="str">
        <f>SampleImport!A101</f>
        <v>8-AAABLE14</v>
      </c>
      <c r="B93" t="str">
        <f>SampleImport!G101</f>
        <v>GAGACCAA</v>
      </c>
      <c r="C93" t="str">
        <f t="shared" si="1"/>
        <v>GTATAGTC</v>
      </c>
      <c r="D93" s="127" t="str">
        <f>SampleImport!K101</f>
        <v>TSPRO</v>
      </c>
      <c r="I93" t="str">
        <f xml:space="preserve"> SUBSTITUTE( SUBSTITUTE( SUBSTITUTE( SUBSTITUTE( SUBSTITUTE( SUBSTITUTE( SUBSTITUTE( SUBSTITUTE( SampleImport!I101, "A", 1), "C", 2), "G", 3),"T", 4), 1, "T"), 2, "G"), 3, "C"), 4, "A")</f>
        <v>CTGATATG</v>
      </c>
    </row>
    <row r="94" spans="1:9" x14ac:dyDescent="0.35">
      <c r="A94" t="str">
        <f>SampleImport!A102</f>
        <v>9-AAABLE15</v>
      </c>
      <c r="B94" t="str">
        <f>SampleImport!G102</f>
        <v>ACGTGAAC</v>
      </c>
      <c r="C94" t="str">
        <f t="shared" si="1"/>
        <v>TTTGGGAT</v>
      </c>
      <c r="D94" s="127" t="str">
        <f>SampleImport!K102</f>
        <v>TSPRO</v>
      </c>
      <c r="I94" t="str">
        <f xml:space="preserve"> SUBSTITUTE( SUBSTITUTE( SUBSTITUTE( SUBSTITUTE( SUBSTITUTE( SUBSTITUTE( SUBSTITUTE( SUBSTITUTE( SampleImport!I102, "A", 1), "C", 2), "G", 3),"T", 4), 1, "T"), 2, "G"), 3, "C"), 4, "A")</f>
        <v>TAGGGTTT</v>
      </c>
    </row>
    <row r="95" spans="1:9" x14ac:dyDescent="0.35">
      <c r="A95" t="str">
        <f>SampleImport!A103</f>
        <v>10-AAABLE16</v>
      </c>
      <c r="B95" t="str">
        <f>SampleImport!G103</f>
        <v>TTCCCTTT</v>
      </c>
      <c r="C95" t="str">
        <f t="shared" si="1"/>
        <v>CACCAAGC</v>
      </c>
      <c r="D95" s="127" t="str">
        <f>SampleImport!K103</f>
        <v>TSPRO</v>
      </c>
      <c r="I95" t="str">
        <f xml:space="preserve"> SUBSTITUTE( SUBSTITUTE( SUBSTITUTE( SUBSTITUTE( SUBSTITUTE( SUBSTITUTE( SUBSTITUTE( SUBSTITUTE( SampleImport!I103, "A", 1), "C", 2), "G", 3),"T", 4), 1, "T"), 2, "G"), 3, "C"), 4, "A")</f>
        <v>CGAACCAC</v>
      </c>
    </row>
    <row r="96" spans="1:9" x14ac:dyDescent="0.35">
      <c r="A96" t="str">
        <f>SampleImport!A104</f>
        <v>11-AAABLE17</v>
      </c>
      <c r="B96" t="str">
        <f>SampleImport!G104</f>
        <v>GACGCTCG</v>
      </c>
      <c r="C96" t="str">
        <f t="shared" si="1"/>
        <v>CGGAGAGG</v>
      </c>
      <c r="D96" s="127" t="str">
        <f>SampleImport!K104</f>
        <v>TSPRO</v>
      </c>
      <c r="I96" t="str">
        <f xml:space="preserve"> SUBSTITUTE( SUBSTITUTE( SUBSTITUTE( SUBSTITUTE( SUBSTITUTE( SUBSTITUTE( SUBSTITUTE( SUBSTITUTE( SampleImport!I104, "A", 1), "C", 2), "G", 3),"T", 4), 1, "T"), 2, "G"), 3, "C"), 4, "A")</f>
        <v>GGAGAGGC</v>
      </c>
    </row>
    <row r="97" spans="1:9" x14ac:dyDescent="0.35">
      <c r="A97" t="str">
        <f>SampleImport!A105</f>
        <v>12-AAABLE18</v>
      </c>
      <c r="B97" t="str">
        <f>SampleImport!G105</f>
        <v>CTCACGTC</v>
      </c>
      <c r="C97" t="str">
        <f t="shared" si="1"/>
        <v>TATTTACC</v>
      </c>
      <c r="D97" s="127" t="str">
        <f>SampleImport!K105</f>
        <v>TSPRO</v>
      </c>
      <c r="I97" t="str">
        <f xml:space="preserve"> SUBSTITUTE( SUBSTITUTE( SUBSTITUTE( SUBSTITUTE( SUBSTITUTE( SUBSTITUTE( SUBSTITUTE( SUBSTITUTE( SampleImport!I105, "A", 1), "C", 2), "G", 3),"T", 4), 1, "T"), 2, "G"), 3, "C"), 4, "A")</f>
        <v>CCATTTAT</v>
      </c>
    </row>
    <row r="98" spans="1:9" x14ac:dyDescent="0.35">
      <c r="A98" t="str">
        <f>SampleImport!A106</f>
        <v>13-AAABLE19</v>
      </c>
      <c r="B98" t="str">
        <f>SampleImport!G106</f>
        <v>CTGCCAAG</v>
      </c>
      <c r="C98" t="str">
        <f t="shared" si="1"/>
        <v>TATATGGA</v>
      </c>
      <c r="D98" s="127" t="str">
        <f>SampleImport!K106</f>
        <v>TSPRO</v>
      </c>
      <c r="I98" t="str">
        <f xml:space="preserve"> SUBSTITUTE( SUBSTITUTE( SUBSTITUTE( SUBSTITUTE( SUBSTITUTE( SUBSTITUTE( SUBSTITUTE( SUBSTITUTE( SampleImport!I106, "A", 1), "C", 2), "G", 3),"T", 4), 1, "T"), 2, "G"), 3, "C"), 4, "A")</f>
        <v>AGGTATAT</v>
      </c>
    </row>
    <row r="99" spans="1:9" x14ac:dyDescent="0.35">
      <c r="A99" t="str">
        <f>SampleImport!A107</f>
        <v>14-AAABLE20</v>
      </c>
      <c r="B99" t="str">
        <f>SampleImport!G107</f>
        <v>ACGCCGCA</v>
      </c>
      <c r="C99" t="str">
        <f t="shared" si="1"/>
        <v>GTTAACAT</v>
      </c>
      <c r="D99" s="127" t="str">
        <f>SampleImport!K107</f>
        <v>TSPRO</v>
      </c>
      <c r="I99" t="str">
        <f xml:space="preserve"> SUBSTITUTE( SUBSTITUTE( SUBSTITUTE( SUBSTITUTE( SUBSTITUTE( SUBSTITUTE( SUBSTITUTE( SUBSTITUTE( SampleImport!I107, "A", 1), "C", 2), "G", 3),"T", 4), 1, "T"), 2, "G"), 3, "C"), 4, "A")</f>
        <v>TACAATTG</v>
      </c>
    </row>
    <row r="100" spans="1:9" x14ac:dyDescent="0.35">
      <c r="A100" t="str">
        <f>SampleImport!A108</f>
        <v>15-AAABLE21</v>
      </c>
      <c r="B100" t="str">
        <f>SampleImport!G108</f>
        <v>CGCCAGTC</v>
      </c>
      <c r="C100" t="str">
        <f t="shared" si="1"/>
        <v>CGTCTTGG</v>
      </c>
      <c r="D100" s="127" t="str">
        <f>SampleImport!K108</f>
        <v>TSPRO</v>
      </c>
      <c r="I100" t="str">
        <f xml:space="preserve"> SUBSTITUTE( SUBSTITUTE( SUBSTITUTE( SUBSTITUTE( SUBSTITUTE( SUBSTITUTE( SUBSTITUTE( SUBSTITUTE( SampleImport!I108, "A", 1), "C", 2), "G", 3),"T", 4), 1, "T"), 2, "G"), 3, "C"), 4, "A")</f>
        <v>GGTTCTGC</v>
      </c>
    </row>
    <row r="101" spans="1:9" x14ac:dyDescent="0.35">
      <c r="A101" t="str">
        <f>SampleImport!A109</f>
        <v>16-AAABLE22</v>
      </c>
      <c r="B101" t="str">
        <f>SampleImport!G109</f>
        <v>CTAAACAA</v>
      </c>
      <c r="C101" t="str">
        <f t="shared" si="1"/>
        <v>CGTAGCGA</v>
      </c>
      <c r="D101" s="127" t="str">
        <f>SampleImport!K109</f>
        <v>TSPRO</v>
      </c>
      <c r="I101" t="str">
        <f xml:space="preserve"> SUBSTITUTE( SUBSTITUTE( SUBSTITUTE( SUBSTITUTE( SUBSTITUTE( SUBSTITUTE( SUBSTITUTE( SUBSTITUTE( SampleImport!I109, "A", 1), "C", 2), "G", 3),"T", 4), 1, "T"), 2, "G"), 3, "C"), 4, "A")</f>
        <v>AGCGATGC</v>
      </c>
    </row>
    <row r="102" spans="1:9" x14ac:dyDescent="0.35">
      <c r="A102" t="str">
        <f>SampleImport!A110</f>
        <v>17-AAABLE23</v>
      </c>
      <c r="B102" t="str">
        <f>SampleImport!G110</f>
        <v>TATACCTC</v>
      </c>
      <c r="C102" t="str">
        <f t="shared" si="1"/>
        <v>TAGTCACA</v>
      </c>
      <c r="D102" s="127" t="str">
        <f>SampleImport!K110</f>
        <v>TSPRO</v>
      </c>
      <c r="I102" t="str">
        <f xml:space="preserve"> SUBSTITUTE( SUBSTITUTE( SUBSTITUTE( SUBSTITUTE( SUBSTITUTE( SUBSTITUTE( SUBSTITUTE( SUBSTITUTE( SampleImport!I110, "A", 1), "C", 2), "G", 3),"T", 4), 1, "T"), 2, "G"), 3, "C"), 4, "A")</f>
        <v>ACACTGAT</v>
      </c>
    </row>
    <row r="103" spans="1:9" x14ac:dyDescent="0.35">
      <c r="A103" t="str">
        <f>SampleImport!A111</f>
        <v>18-AAABLE24</v>
      </c>
      <c r="B103" t="str">
        <f>SampleImport!G111</f>
        <v>CTCTTGAT</v>
      </c>
      <c r="C103" t="str">
        <f t="shared" si="1"/>
        <v>AGAAGTGG</v>
      </c>
      <c r="D103" s="127" t="str">
        <f>SampleImport!K111</f>
        <v>TSPRO</v>
      </c>
      <c r="I103" t="str">
        <f xml:space="preserve"> SUBSTITUTE( SUBSTITUTE( SUBSTITUTE( SUBSTITUTE( SUBSTITUTE( SUBSTITUTE( SUBSTITUTE( SUBSTITUTE( SampleImport!I111, "A", 1), "C", 2), "G", 3),"T", 4), 1, "T"), 2, "G"), 3, "C"), 4, "A")</f>
        <v>GGTGAAGA</v>
      </c>
    </row>
    <row r="104" spans="1:9" x14ac:dyDescent="0.35">
      <c r="A104" t="str">
        <f>SampleImport!A112</f>
        <v>19-AAABLE25</v>
      </c>
      <c r="B104" t="str">
        <f>SampleImport!G112</f>
        <v>ACTCTTAG</v>
      </c>
      <c r="C104" t="str">
        <f t="shared" si="1"/>
        <v>CGTGGATT</v>
      </c>
      <c r="D104" s="127" t="str">
        <f>SampleImport!K112</f>
        <v>TSPRO</v>
      </c>
      <c r="I104" t="str">
        <f xml:space="preserve"> SUBSTITUTE( SUBSTITUTE( SUBSTITUTE( SUBSTITUTE( SUBSTITUTE( SUBSTITUTE( SUBSTITUTE( SUBSTITUTE( SampleImport!I112, "A", 1), "C", 2), "G", 3),"T", 4), 1, "T"), 2, "G"), 3, "C"), 4, "A")</f>
        <v>TTAGGTGC</v>
      </c>
    </row>
    <row r="105" spans="1:9" x14ac:dyDescent="0.35">
      <c r="A105" t="str">
        <f>SampleImport!A113</f>
        <v>20-AAABLE26</v>
      </c>
      <c r="B105" t="str">
        <f>SampleImport!G113</f>
        <v>GAGCAACA</v>
      </c>
      <c r="C105" t="str">
        <f t="shared" si="1"/>
        <v>GTAGATGC</v>
      </c>
      <c r="D105" s="127" t="str">
        <f>SampleImport!K113</f>
        <v>TSPRO</v>
      </c>
      <c r="I105" t="str">
        <f xml:space="preserve"> SUBSTITUTE( SUBSTITUTE( SUBSTITUTE( SUBSTITUTE( SUBSTITUTE( SUBSTITUTE( SUBSTITUTE( SUBSTITUTE( SampleImport!I113, "A", 1), "C", 2), "G", 3),"T", 4), 1, "T"), 2, "G"), 3, "C"), 4, "A")</f>
        <v>CGTAGATG</v>
      </c>
    </row>
    <row r="106" spans="1:9" x14ac:dyDescent="0.35">
      <c r="A106" t="str">
        <f>SampleImport!A114</f>
        <v>21-AAABLE27</v>
      </c>
      <c r="B106" t="str">
        <f>SampleImport!G114</f>
        <v>CAGTGACG</v>
      </c>
      <c r="C106" t="str">
        <f t="shared" si="1"/>
        <v>TACCGCTC</v>
      </c>
      <c r="D106" s="127" t="str">
        <f>SampleImport!K114</f>
        <v>TSPRO</v>
      </c>
      <c r="I106" t="str">
        <f xml:space="preserve"> SUBSTITUTE( SUBSTITUTE( SUBSTITUTE( SUBSTITUTE( SUBSTITUTE( SUBSTITUTE( SUBSTITUTE( SUBSTITUTE( SampleImport!I114, "A", 1), "C", 2), "G", 3),"T", 4), 1, "T"), 2, "G"), 3, "C"), 4, "A")</f>
        <v>CTCGCCAT</v>
      </c>
    </row>
    <row r="107" spans="1:9" x14ac:dyDescent="0.35">
      <c r="A107" t="str">
        <f>SampleImport!A115</f>
        <v>22-AAABLE28</v>
      </c>
      <c r="B107" t="str">
        <f>SampleImport!G115</f>
        <v>AAGATTGA</v>
      </c>
      <c r="C107" t="str">
        <f t="shared" si="1"/>
        <v>CGAACCAC</v>
      </c>
      <c r="D107" s="127" t="str">
        <f>SampleImport!K115</f>
        <v>TSPRO</v>
      </c>
      <c r="I107" t="str">
        <f xml:space="preserve"> SUBSTITUTE( SUBSTITUTE( SUBSTITUTE( SUBSTITUTE( SUBSTITUTE( SUBSTITUTE( SUBSTITUTE( SUBSTITUTE( SampleImport!I115, "A", 1), "C", 2), "G", 3),"T", 4), 1, "T"), 2, "G"), 3, "C"), 4, "A")</f>
        <v>CACCAAGC</v>
      </c>
    </row>
    <row r="108" spans="1:9" x14ac:dyDescent="0.35">
      <c r="A108" t="str">
        <f>SampleImport!A116</f>
        <v>23-AAABLE29</v>
      </c>
      <c r="B108" t="str">
        <f>SampleImport!G116</f>
        <v>GTGTGTTT</v>
      </c>
      <c r="C108" t="str">
        <f t="shared" si="1"/>
        <v>TATTGTTC</v>
      </c>
      <c r="D108" s="127" t="str">
        <f>SampleImport!K116</f>
        <v>TSPRO</v>
      </c>
      <c r="I108" t="str">
        <f xml:space="preserve"> SUBSTITUTE( SUBSTITUTE( SUBSTITUTE( SUBSTITUTE( SUBSTITUTE( SUBSTITUTE( SUBSTITUTE( SUBSTITUTE( SampleImport!I116, "A", 1), "C", 2), "G", 3),"T", 4), 1, "T"), 2, "G"), 3, "C"), 4, "A")</f>
        <v>CTTGTTAT</v>
      </c>
    </row>
    <row r="109" spans="1:9" x14ac:dyDescent="0.35">
      <c r="A109" t="str">
        <f>SampleImport!A117</f>
        <v>24-AAABLE30</v>
      </c>
      <c r="B109" t="str">
        <f>SampleImport!G117</f>
        <v>CGTCCGAC</v>
      </c>
      <c r="C109" t="str">
        <f t="shared" si="1"/>
        <v>GTTGTGTG</v>
      </c>
      <c r="D109" s="127" t="str">
        <f>SampleImport!K117</f>
        <v>TSPRO</v>
      </c>
      <c r="I109" t="str">
        <f xml:space="preserve"> SUBSTITUTE( SUBSTITUTE( SUBSTITUTE( SUBSTITUTE( SUBSTITUTE( SUBSTITUTE( SUBSTITUTE( SUBSTITUTE( SampleImport!I117, "A", 1), "C", 2), "G", 3),"T", 4), 1, "T"), 2, "G"), 3, "C"), 4, "A")</f>
        <v>GTGTGTTG</v>
      </c>
    </row>
    <row r="110" spans="1:9" x14ac:dyDescent="0.35">
      <c r="A110" t="str">
        <f>SampleImport!A118</f>
        <v>25-AAABLE31</v>
      </c>
      <c r="B110" t="str">
        <f>SampleImport!G118</f>
        <v>AGCGGAAT</v>
      </c>
      <c r="C110" t="str">
        <f t="shared" si="1"/>
        <v>AGTGCAGT</v>
      </c>
      <c r="D110" s="127" t="str">
        <f>SampleImport!K118</f>
        <v>TSPRO</v>
      </c>
      <c r="I110" t="str">
        <f xml:space="preserve"> SUBSTITUTE( SUBSTITUTE( SUBSTITUTE( SUBSTITUTE( SUBSTITUTE( SUBSTITUTE( SUBSTITUTE( SUBSTITUTE( SampleImport!I118, "A", 1), "C", 2), "G", 3),"T", 4), 1, "T"), 2, "G"), 3, "C"), 4, "A")</f>
        <v>TGACGTGA</v>
      </c>
    </row>
    <row r="111" spans="1:9" x14ac:dyDescent="0.35">
      <c r="A111" t="str">
        <f>SampleImport!A119</f>
        <v>26-AAABLE32</v>
      </c>
      <c r="B111" t="str">
        <f>SampleImport!G119</f>
        <v>GTGAGCTT</v>
      </c>
      <c r="C111" t="str">
        <f t="shared" si="1"/>
        <v>TTGATCCG</v>
      </c>
      <c r="D111" s="127" t="str">
        <f>SampleImport!K119</f>
        <v>TSPRO</v>
      </c>
      <c r="I111" t="str">
        <f xml:space="preserve"> SUBSTITUTE( SUBSTITUTE( SUBSTITUTE( SUBSTITUTE( SUBSTITUTE( SUBSTITUTE( SUBSTITUTE( SUBSTITUTE( SampleImport!I119, "A", 1), "C", 2), "G", 3),"T", 4), 1, "T"), 2, "G"), 3, "C"), 4, "A")</f>
        <v>GCCTAGTT</v>
      </c>
    </row>
    <row r="112" spans="1:9" x14ac:dyDescent="0.35">
      <c r="A112" t="str">
        <f>SampleImport!A120</f>
        <v>27-AAABLE33</v>
      </c>
      <c r="B112" t="str">
        <f>SampleImport!G120</f>
        <v>CGTGATCA</v>
      </c>
      <c r="C112" t="str">
        <f t="shared" si="1"/>
        <v>TGCCATTC</v>
      </c>
      <c r="D112" s="127" t="str">
        <f>SampleImport!K120</f>
        <v>TSPRO</v>
      </c>
      <c r="I112" t="str">
        <f xml:space="preserve"> SUBSTITUTE( SUBSTITUTE( SUBSTITUTE( SUBSTITUTE( SUBSTITUTE( SUBSTITUTE( SUBSTITUTE( SUBSTITUTE( SampleImport!I120, "A", 1), "C", 2), "G", 3),"T", 4), 1, "T"), 2, "G"), 3, "C"), 4, "A")</f>
        <v>CTTACCGT</v>
      </c>
    </row>
    <row r="113" spans="1:9" x14ac:dyDescent="0.35">
      <c r="A113" t="str">
        <f>SampleImport!A121</f>
        <v>1-ASAAAB89</v>
      </c>
      <c r="B113" t="str">
        <f>SampleImport!G121</f>
        <v>CAGGTTAG</v>
      </c>
      <c r="C113" t="str">
        <f t="shared" si="1"/>
        <v>GCTGGATT</v>
      </c>
      <c r="D113" s="127" t="str">
        <f>SampleImport!K121</f>
        <v>TSPRO</v>
      </c>
      <c r="I113" t="str">
        <f xml:space="preserve"> SUBSTITUTE( SUBSTITUTE( SUBSTITUTE( SUBSTITUTE( SUBSTITUTE( SUBSTITUTE( SUBSTITUTE( SUBSTITUTE( SampleImport!I121, "A", 1), "C", 2), "G", 3),"T", 4), 1, "T"), 2, "G"), 3, "C"), 4, "A")</f>
        <v>TTAGGTCG</v>
      </c>
    </row>
    <row r="114" spans="1:9" x14ac:dyDescent="0.35">
      <c r="A114" t="str">
        <f>SampleImport!A122</f>
        <v>2-SAAAFY10</v>
      </c>
      <c r="B114" t="str">
        <f>SampleImport!G122</f>
        <v>AGTTGGCT</v>
      </c>
      <c r="C114" t="str">
        <f t="shared" si="1"/>
        <v>ATGGTTGC</v>
      </c>
      <c r="D114" s="127" t="str">
        <f>SampleImport!K122</f>
        <v>TSPRO</v>
      </c>
      <c r="I114" t="str">
        <f xml:space="preserve"> SUBSTITUTE( SUBSTITUTE( SUBSTITUTE( SUBSTITUTE( SUBSTITUTE( SUBSTITUTE( SUBSTITUTE( SUBSTITUTE( SampleImport!I122, "A", 1), "C", 2), "G", 3),"T", 4), 1, "T"), 2, "G"), 3, "C"), 4, "A")</f>
        <v>CGTTGGTA</v>
      </c>
    </row>
    <row r="115" spans="1:9" x14ac:dyDescent="0.35">
      <c r="A115" t="str">
        <f>SampleImport!A123</f>
        <v>3-SAAAFY11</v>
      </c>
      <c r="B115" t="str">
        <f>SampleImport!G123</f>
        <v>TCAACTGG</v>
      </c>
      <c r="C115" t="str">
        <f t="shared" si="1"/>
        <v>CAGAATCG</v>
      </c>
      <c r="D115" s="127" t="str">
        <f>SampleImport!K123</f>
        <v>TSPRO</v>
      </c>
      <c r="I115" t="str">
        <f xml:space="preserve"> SUBSTITUTE( SUBSTITUTE( SUBSTITUTE( SUBSTITUTE( SUBSTITUTE( SUBSTITUTE( SUBSTITUTE( SUBSTITUTE( SampleImport!I123, "A", 1), "C", 2), "G", 3),"T", 4), 1, "T"), 2, "G"), 3, "C"), 4, "A")</f>
        <v>GCTAAGAC</v>
      </c>
    </row>
    <row r="116" spans="1:9" x14ac:dyDescent="0.35">
      <c r="A116" t="str">
        <f>SampleImport!A124</f>
        <v>4-SAAAFY12</v>
      </c>
      <c r="B116" t="str">
        <f>SampleImport!G124</f>
        <v>CTGCACTT</v>
      </c>
      <c r="C116" t="str">
        <f t="shared" si="1"/>
        <v>GAACGCTT</v>
      </c>
      <c r="D116" s="127" t="str">
        <f>SampleImport!K124</f>
        <v>TSPRO</v>
      </c>
      <c r="I116" t="str">
        <f xml:space="preserve"> SUBSTITUTE( SUBSTITUTE( SUBSTITUTE( SUBSTITUTE( SUBSTITUTE( SUBSTITUTE( SUBSTITUTE( SUBSTITUTE( SampleImport!I124, "A", 1), "C", 2), "G", 3),"T", 4), 1, "T"), 2, "G"), 3, "C"), 4, "A")</f>
        <v>TTCGCAAG</v>
      </c>
    </row>
    <row r="117" spans="1:9" x14ac:dyDescent="0.35">
      <c r="A117" t="str">
        <f>SampleImport!A125</f>
        <v>5-SAAAFY13</v>
      </c>
      <c r="B117" t="str">
        <f>SampleImport!G125</f>
        <v>ACACGGTT</v>
      </c>
      <c r="C117" t="str">
        <f t="shared" si="1"/>
        <v>TCGAACCA</v>
      </c>
      <c r="D117" s="127" t="str">
        <f>SampleImport!K125</f>
        <v>TSPRO</v>
      </c>
      <c r="I117" t="str">
        <f xml:space="preserve"> SUBSTITUTE( SUBSTITUTE( SUBSTITUTE( SUBSTITUTE( SUBSTITUTE( SUBSTITUTE( SUBSTITUTE( SUBSTITUTE( SampleImport!I125, "A", 1), "C", 2), "G", 3),"T", 4), 1, "T"), 2, "G"), 3, "C"), 4, "A")</f>
        <v>ACCAAGCT</v>
      </c>
    </row>
    <row r="118" spans="1:9" x14ac:dyDescent="0.35">
      <c r="A118" t="str">
        <f>SampleImport!A126</f>
        <v>6-SAAAFY14</v>
      </c>
      <c r="B118" t="str">
        <f>SampleImport!G126</f>
        <v>AATACGCG</v>
      </c>
      <c r="C118" t="str">
        <f t="shared" si="1"/>
        <v>CTATCGCA</v>
      </c>
      <c r="D118" s="127" t="str">
        <f>SampleImport!K126</f>
        <v>TSPRO</v>
      </c>
      <c r="I118" t="str">
        <f xml:space="preserve"> SUBSTITUTE( SUBSTITUTE( SUBSTITUTE( SUBSTITUTE( SUBSTITUTE( SUBSTITUTE( SUBSTITUTE( SUBSTITUTE( SampleImport!I126, "A", 1), "C", 2), "G", 3),"T", 4), 1, "T"), 2, "G"), 3, "C"), 4, "A")</f>
        <v>ACGCTATC</v>
      </c>
    </row>
    <row r="119" spans="1:9" x14ac:dyDescent="0.35">
      <c r="A119" t="str">
        <f>SampleImport!A127</f>
        <v>7-SAAAFY15</v>
      </c>
      <c r="B119" t="str">
        <f>SampleImport!G127</f>
        <v>TGCGAACT</v>
      </c>
      <c r="C119" t="str">
        <f t="shared" si="1"/>
        <v>TACGGTTG</v>
      </c>
      <c r="D119" s="127" t="str">
        <f>SampleImport!K127</f>
        <v>TSPRO</v>
      </c>
      <c r="I119" t="str">
        <f xml:space="preserve"> SUBSTITUTE( SUBSTITUTE( SUBSTITUTE( SUBSTITUTE( SUBSTITUTE( SUBSTITUTE( SUBSTITUTE( SUBSTITUTE( SampleImport!I127, "A", 1), "C", 2), "G", 3),"T", 4), 1, "T"), 2, "G"), 3, "C"), 4, "A")</f>
        <v>GTTGGCAT</v>
      </c>
    </row>
    <row r="120" spans="1:9" x14ac:dyDescent="0.35">
      <c r="A120" t="str">
        <f>SampleImport!A128</f>
        <v>8-SAAAFY16</v>
      </c>
      <c r="B120" t="str">
        <f>SampleImport!G128</f>
        <v>GCTGACTA</v>
      </c>
      <c r="C120" t="str">
        <f t="shared" si="1"/>
        <v>GAGATGTC</v>
      </c>
      <c r="D120" s="127" t="str">
        <f>SampleImport!K128</f>
        <v>TSPRO</v>
      </c>
      <c r="I120" t="str">
        <f xml:space="preserve"> SUBSTITUTE( SUBSTITUTE( SUBSTITUTE( SUBSTITUTE( SUBSTITUTE( SUBSTITUTE( SUBSTITUTE( SUBSTITUTE( SampleImport!I128, "A", 1), "C", 2), "G", 3),"T", 4), 1, "T"), 2, "G"), 3, "C"), 4, "A")</f>
        <v>CTGTAGAG</v>
      </c>
    </row>
    <row r="121" spans="1:9" x14ac:dyDescent="0.35">
      <c r="A121" t="str">
        <f>SampleImport!A129</f>
        <v>9-SAAAFY17</v>
      </c>
      <c r="B121" t="str">
        <f>SampleImport!G129</f>
        <v>GTGGTGTT</v>
      </c>
      <c r="C121" t="str">
        <f t="shared" si="1"/>
        <v>CTTACAGC</v>
      </c>
      <c r="D121" s="127" t="str">
        <f>SampleImport!K129</f>
        <v>TSPRO</v>
      </c>
      <c r="I121" t="str">
        <f xml:space="preserve"> SUBSTITUTE( SUBSTITUTE( SUBSTITUTE( SUBSTITUTE( SUBSTITUTE( SUBSTITUTE( SUBSTITUTE( SUBSTITUTE( SampleImport!I129, "A", 1), "C", 2), "G", 3),"T", 4), 1, "T"), 2, "G"), 3, "C"), 4, "A")</f>
        <v>CGACATTC</v>
      </c>
    </row>
    <row r="122" spans="1:9" x14ac:dyDescent="0.35">
      <c r="A122" t="str">
        <f>SampleImport!A130</f>
        <v>10-AAABLE34</v>
      </c>
      <c r="B122" t="str">
        <f>SampleImport!G130</f>
        <v>GTGCTTAC</v>
      </c>
      <c r="C122" t="str">
        <f t="shared" si="1"/>
        <v>AGGAGGAA</v>
      </c>
      <c r="D122" s="127" t="str">
        <f>SampleImport!K130</f>
        <v>TSPRO</v>
      </c>
      <c r="I122" t="str">
        <f xml:space="preserve"> SUBSTITUTE( SUBSTITUTE( SUBSTITUTE( SUBSTITUTE( SUBSTITUTE( SUBSTITUTE( SUBSTITUTE( SUBSTITUTE( SampleImport!I130, "A", 1), "C", 2), "G", 3),"T", 4), 1, "T"), 2, "G"), 3, "C"), 4, "A")</f>
        <v>AAGGAGGA</v>
      </c>
    </row>
    <row r="123" spans="1:9" x14ac:dyDescent="0.35">
      <c r="A123" t="str">
        <f>SampleImport!A131</f>
        <v>11-AAABLE35</v>
      </c>
      <c r="B123" t="str">
        <f>SampleImport!G131</f>
        <v>TCAAGGAC</v>
      </c>
      <c r="C123" t="str">
        <f t="shared" si="1"/>
        <v>GACGAATG</v>
      </c>
      <c r="D123" s="127" t="str">
        <f>SampleImport!K131</f>
        <v>TSPRO</v>
      </c>
      <c r="I123" t="str">
        <f xml:space="preserve"> SUBSTITUTE( SUBSTITUTE( SUBSTITUTE( SUBSTITUTE( SUBSTITUTE( SUBSTITUTE( SUBSTITUTE( SUBSTITUTE( SampleImport!I131, "A", 1), "C", 2), "G", 3),"T", 4), 1, "T"), 2, "G"), 3, "C"), 4, "A")</f>
        <v>GTAAGCAG</v>
      </c>
    </row>
    <row r="124" spans="1:9" x14ac:dyDescent="0.35">
      <c r="A124" t="str">
        <f>SampleImport!A132</f>
        <v>12-AAABLE36</v>
      </c>
      <c r="B124" t="str">
        <f>SampleImport!G132</f>
        <v>TGAACCTG</v>
      </c>
      <c r="C124" t="str">
        <f t="shared" si="1"/>
        <v>GAAGAGGT</v>
      </c>
      <c r="D124" s="127" t="str">
        <f>SampleImport!K132</f>
        <v>TSPRO</v>
      </c>
      <c r="I124" t="str">
        <f xml:space="preserve"> SUBSTITUTE( SUBSTITUTE( SUBSTITUTE( SUBSTITUTE( SUBSTITUTE( SUBSTITUTE( SUBSTITUTE( SUBSTITUTE( SampleImport!I132, "A", 1), "C", 2), "G", 3),"T", 4), 1, "T"), 2, "G"), 3, "C"), 4, "A")</f>
        <v>TGGAGAAG</v>
      </c>
    </row>
    <row r="125" spans="1:9" x14ac:dyDescent="0.35">
      <c r="A125" t="str">
        <f>SampleImport!A133</f>
        <v>13-AAABLE37</v>
      </c>
      <c r="B125" t="str">
        <f>SampleImport!G133</f>
        <v>AGTGTTGG</v>
      </c>
      <c r="C125" t="str">
        <f t="shared" si="1"/>
        <v>CGTCAATG</v>
      </c>
      <c r="D125" s="127" t="str">
        <f>SampleImport!K133</f>
        <v>TSPRO</v>
      </c>
      <c r="I125" t="str">
        <f xml:space="preserve"> SUBSTITUTE( SUBSTITUTE( SUBSTITUTE( SUBSTITUTE( SUBSTITUTE( SUBSTITUTE( SUBSTITUTE( SUBSTITUTE( SampleImport!I133, "A", 1), "C", 2), "G", 3),"T", 4), 1, "T"), 2, "G"), 3, "C"), 4, "A")</f>
        <v>GTAACTGC</v>
      </c>
    </row>
    <row r="126" spans="1:9" x14ac:dyDescent="0.35">
      <c r="A126" t="str">
        <f>SampleImport!A134</f>
        <v>14-AAABLE38</v>
      </c>
      <c r="B126" t="str">
        <f>SampleImport!G134</f>
        <v>GTACTCTC</v>
      </c>
      <c r="C126" t="str">
        <f t="shared" si="1"/>
        <v>TACCAGGA</v>
      </c>
      <c r="D126" s="127" t="str">
        <f>SampleImport!K134</f>
        <v>TSPRO</v>
      </c>
      <c r="I126" t="str">
        <f xml:space="preserve"> SUBSTITUTE( SUBSTITUTE( SUBSTITUTE( SUBSTITUTE( SUBSTITUTE( SUBSTITUTE( SUBSTITUTE( SUBSTITUTE( SampleImport!I134, "A", 1), "C", 2), "G", 3),"T", 4), 1, "T"), 2, "G"), 3, "C"), 4, "A")</f>
        <v>AGGACCAT</v>
      </c>
    </row>
    <row r="127" spans="1:9" x14ac:dyDescent="0.35">
      <c r="A127" t="str">
        <f>SampleImport!A135</f>
        <v>15-AAABLE39</v>
      </c>
      <c r="B127" t="str">
        <f>SampleImport!G135</f>
        <v>CCGTATCT</v>
      </c>
      <c r="C127" t="str">
        <f t="shared" si="1"/>
        <v>CGTACGAA</v>
      </c>
      <c r="D127" s="127" t="str">
        <f>SampleImport!K135</f>
        <v>TSPRO</v>
      </c>
      <c r="I127" t="str">
        <f xml:space="preserve"> SUBSTITUTE( SUBSTITUTE( SUBSTITUTE( SUBSTITUTE( SUBSTITUTE( SUBSTITUTE( SUBSTITUTE( SUBSTITUTE( SampleImport!I135, "A", 1), "C", 2), "G", 3),"T", 4), 1, "T"), 2, "G"), 3, "C"), 4, "A")</f>
        <v>AAGCATGC</v>
      </c>
    </row>
    <row r="128" spans="1:9" x14ac:dyDescent="0.35">
      <c r="A128" t="str">
        <f>SampleImport!A136</f>
        <v>16-AAABLE40</v>
      </c>
      <c r="B128" t="str">
        <f>SampleImport!G136</f>
        <v>CGAAGAAC</v>
      </c>
      <c r="C128" t="str">
        <f t="shared" si="1"/>
        <v>GACTTAGG</v>
      </c>
      <c r="D128" s="127" t="str">
        <f>SampleImport!K136</f>
        <v>TSPRO</v>
      </c>
      <c r="I128" t="str">
        <f xml:space="preserve"> SUBSTITUTE( SUBSTITUTE( SUBSTITUTE( SUBSTITUTE( SUBSTITUTE( SUBSTITUTE( SUBSTITUTE( SUBSTITUTE( SampleImport!I136, "A", 1), "C", 2), "G", 3),"T", 4), 1, "T"), 2, "G"), 3, "C"), 4, "A")</f>
        <v>GGATTCAG</v>
      </c>
    </row>
    <row r="129" spans="1:9" x14ac:dyDescent="0.35">
      <c r="A129" t="str">
        <f>SampleImport!A137</f>
        <v>17-AAABLE41</v>
      </c>
      <c r="B129" t="str">
        <f>SampleImport!G137</f>
        <v>TTCGCAGT</v>
      </c>
      <c r="C129" t="str">
        <f t="shared" si="1"/>
        <v>TGATCGGA</v>
      </c>
      <c r="D129" s="127" t="str">
        <f>SampleImport!K137</f>
        <v>TSPRO</v>
      </c>
      <c r="I129" t="str">
        <f xml:space="preserve"> SUBSTITUTE( SUBSTITUTE( SUBSTITUTE( SUBSTITUTE( SUBSTITUTE( SUBSTITUTE( SUBSTITUTE( SUBSTITUTE( SampleImport!I137, "A", 1), "C", 2), "G", 3),"T", 4), 1, "T"), 2, "G"), 3, "C"), 4, "A")</f>
        <v>AGGCTAGT</v>
      </c>
    </row>
    <row r="130" spans="1:9" x14ac:dyDescent="0.35">
      <c r="A130" t="str">
        <f>SampleImport!A138</f>
        <v>18-AAABLE42</v>
      </c>
      <c r="B130" t="str">
        <f>SampleImport!G138</f>
        <v>ACGACAGA</v>
      </c>
      <c r="C130" t="str">
        <f t="shared" si="1"/>
        <v>TAGTTGCG</v>
      </c>
      <c r="D130" s="127" t="str">
        <f>SampleImport!K138</f>
        <v>TSPRO</v>
      </c>
      <c r="I130" t="str">
        <f xml:space="preserve"> SUBSTITUTE( SUBSTITUTE( SUBSTITUTE( SUBSTITUTE( SUBSTITUTE( SUBSTITUTE( SUBSTITUTE( SUBSTITUTE( SampleImport!I138, "A", 1), "C", 2), "G", 3),"T", 4), 1, "T"), 2, "G"), 3, "C"), 4, "A")</f>
        <v>GCGTTGAT</v>
      </c>
    </row>
    <row r="131" spans="1:9" x14ac:dyDescent="0.35">
      <c r="A131" t="str">
        <f>SampleImport!A139</f>
        <v>19-XAACLF30xxy</v>
      </c>
      <c r="B131" t="str">
        <f>SampleImport!G139</f>
        <v>ACTGCTAG</v>
      </c>
      <c r="C131" t="str">
        <f t="shared" si="1"/>
        <v>CCAGTGTT</v>
      </c>
      <c r="D131" s="127" t="str">
        <f>SampleImport!K139</f>
        <v>TS95</v>
      </c>
      <c r="I131" t="str">
        <f xml:space="preserve"> SUBSTITUTE( SUBSTITUTE( SUBSTITUTE( SUBSTITUTE( SUBSTITUTE( SUBSTITUTE( SUBSTITUTE( SUBSTITUTE( SampleImport!I139, "A", 1), "C", 2), "G", 3),"T", 4), 1, "T"), 2, "G"), 3, "C"), 4, "A")</f>
        <v>TTGTGACC</v>
      </c>
    </row>
    <row r="132" spans="1:9" x14ac:dyDescent="0.35">
      <c r="A132" t="str">
        <f>SampleImport!A140</f>
        <v>1-SAAAFX86</v>
      </c>
      <c r="B132" t="str">
        <f>SampleImport!G140</f>
        <v>GCCTATCA</v>
      </c>
      <c r="C132" t="str">
        <f t="shared" si="1"/>
        <v>CGACCATT</v>
      </c>
      <c r="D132" s="127" t="str">
        <f>SampleImport!K140</f>
        <v>TSPRO</v>
      </c>
      <c r="I132" t="str">
        <f xml:space="preserve"> SUBSTITUTE( SUBSTITUTE( SUBSTITUTE( SUBSTITUTE( SUBSTITUTE( SUBSTITUTE( SUBSTITUTE( SUBSTITUTE( SampleImport!I140, "A", 1), "C", 2), "G", 3),"T", 4), 1, "T"), 2, "G"), 3, "C"), 4, "A")</f>
        <v>TTACCAGC</v>
      </c>
    </row>
    <row r="133" spans="1:9" x14ac:dyDescent="0.35">
      <c r="A133" t="str">
        <f>SampleImport!A141</f>
        <v>2-SAAAFX87</v>
      </c>
      <c r="B133" t="str">
        <f>SampleImport!G141</f>
        <v>CTTGGATG</v>
      </c>
      <c r="C133" t="str">
        <f t="shared" si="1"/>
        <v>GATAGCGA</v>
      </c>
      <c r="D133" s="127" t="str">
        <f>SampleImport!K141</f>
        <v>TSPRO</v>
      </c>
      <c r="I133" t="str">
        <f xml:space="preserve"> SUBSTITUTE( SUBSTITUTE( SUBSTITUTE( SUBSTITUTE( SUBSTITUTE( SUBSTITUTE( SUBSTITUTE( SUBSTITUTE( SampleImport!I141, "A", 1), "C", 2), "G", 3),"T", 4), 1, "T"), 2, "G"), 3, "C"), 4, "A")</f>
        <v>AGCGATAG</v>
      </c>
    </row>
    <row r="134" spans="1:9" x14ac:dyDescent="0.35">
      <c r="A134" t="str">
        <f>SampleImport!A142</f>
        <v>3-SAAAFX88</v>
      </c>
      <c r="B134" t="str">
        <f>SampleImport!G142</f>
        <v>AGTCTCAC</v>
      </c>
      <c r="C134" t="str">
        <f t="shared" si="1"/>
        <v>AATGGACG</v>
      </c>
      <c r="D134" s="127" t="str">
        <f>SampleImport!K142</f>
        <v>TSPRO</v>
      </c>
      <c r="I134" t="str">
        <f xml:space="preserve"> SUBSTITUTE( SUBSTITUTE( SUBSTITUTE( SUBSTITUTE( SUBSTITUTE( SUBSTITUTE( SUBSTITUTE( SUBSTITUTE( SampleImport!I142, "A", 1), "C", 2), "G", 3),"T", 4), 1, "T"), 2, "G"), 3, "C"), 4, "A")</f>
        <v>GCAGGTAA</v>
      </c>
    </row>
    <row r="135" spans="1:9" x14ac:dyDescent="0.35">
      <c r="A135" t="str">
        <f>SampleImport!A143</f>
        <v>4-SAAAFX89</v>
      </c>
      <c r="B135" t="str">
        <f>SampleImport!G143</f>
        <v>CTCATCAG</v>
      </c>
      <c r="C135" t="str">
        <f t="shared" si="1"/>
        <v>CGCTAGTA</v>
      </c>
      <c r="D135" s="127" t="str">
        <f>SampleImport!K143</f>
        <v>TSPRO</v>
      </c>
      <c r="I135" t="str">
        <f xml:space="preserve"> SUBSTITUTE( SUBSTITUTE( SUBSTITUTE( SUBSTITUTE( SUBSTITUTE( SUBSTITUTE( SUBSTITUTE( SUBSTITUTE( SampleImport!I143, "A", 1), "C", 2), "G", 3),"T", 4), 1, "T"), 2, "G"), 3, "C"), 4, "A")</f>
        <v>ATGATCGC</v>
      </c>
    </row>
    <row r="136" spans="1:9" x14ac:dyDescent="0.35">
      <c r="A136" t="str">
        <f>SampleImport!A144</f>
        <v>5-SAAAFX90</v>
      </c>
      <c r="B136" t="str">
        <f>SampleImport!G144</f>
        <v>TGTACCGT</v>
      </c>
      <c r="C136" t="str">
        <f t="shared" si="1"/>
        <v>TCTCTAGG</v>
      </c>
      <c r="D136" s="127" t="str">
        <f>SampleImport!K144</f>
        <v>TSPRO</v>
      </c>
      <c r="I136" t="str">
        <f xml:space="preserve"> SUBSTITUTE( SUBSTITUTE( SUBSTITUTE( SUBSTITUTE( SUBSTITUTE( SUBSTITUTE( SUBSTITUTE( SUBSTITUTE( SampleImport!I144, "A", 1), "C", 2), "G", 3),"T", 4), 1, "T"), 2, "G"), 3, "C"), 4, "A")</f>
        <v>GGATCTCT</v>
      </c>
    </row>
    <row r="137" spans="1:9" x14ac:dyDescent="0.35">
      <c r="A137" t="str">
        <f>SampleImport!A145</f>
        <v>6-SAAAFX91</v>
      </c>
      <c r="B137" t="str">
        <f>SampleImport!G145</f>
        <v>AAGTCGAG</v>
      </c>
      <c r="C137" t="str">
        <f t="shared" si="1"/>
        <v>ACATTGCG</v>
      </c>
      <c r="D137" s="127" t="str">
        <f>SampleImport!K145</f>
        <v>TSPRO</v>
      </c>
      <c r="I137" t="str">
        <f xml:space="preserve"> SUBSTITUTE( SUBSTITUTE( SUBSTITUTE( SUBSTITUTE( SUBSTITUTE( SUBSTITUTE( SUBSTITUTE( SUBSTITUTE( SampleImport!I145, "A", 1), "C", 2), "G", 3),"T", 4), 1, "T"), 2, "G"), 3, "C"), 4, "A")</f>
        <v>GCGTTACA</v>
      </c>
    </row>
    <row r="138" spans="1:9" x14ac:dyDescent="0.35">
      <c r="A138" t="str">
        <f>SampleImport!A146</f>
        <v>7-SAAAFX92</v>
      </c>
      <c r="B138" t="str">
        <f>SampleImport!G146</f>
        <v>CACGTTGT</v>
      </c>
      <c r="C138" t="str">
        <f t="shared" si="1"/>
        <v>TGAGGTGT</v>
      </c>
      <c r="D138" s="127" t="str">
        <f>SampleImport!K146</f>
        <v>TSPRO</v>
      </c>
      <c r="I138" t="str">
        <f xml:space="preserve"> SUBSTITUTE( SUBSTITUTE( SUBSTITUTE( SUBSTITUTE( SUBSTITUTE( SUBSTITUTE( SUBSTITUTE( SUBSTITUTE( SampleImport!I146, "A", 1), "C", 2), "G", 3),"T", 4), 1, "T"), 2, "G"), 3, "C"), 4, "A")</f>
        <v>TGTGGAGT</v>
      </c>
    </row>
    <row r="139" spans="1:9" x14ac:dyDescent="0.35">
      <c r="A139" t="str">
        <f>SampleImport!A147</f>
        <v>8-SAAAFX93</v>
      </c>
      <c r="B139" t="str">
        <f>SampleImport!G147</f>
        <v>TCACAGCA</v>
      </c>
      <c r="C139" t="str">
        <f t="shared" si="1"/>
        <v>AATGCCTC</v>
      </c>
      <c r="D139" s="127" t="str">
        <f>SampleImport!K147</f>
        <v>TSPRO</v>
      </c>
      <c r="I139" t="str">
        <f xml:space="preserve"> SUBSTITUTE( SUBSTITUTE( SUBSTITUTE( SUBSTITUTE( SUBSTITUTE( SUBSTITUTE( SUBSTITUTE( SUBSTITUTE( SampleImport!I147, "A", 1), "C", 2), "G", 3),"T", 4), 1, "T"), 2, "G"), 3, "C"), 4, "A")</f>
        <v>CTCCGTAA</v>
      </c>
    </row>
    <row r="140" spans="1:9" x14ac:dyDescent="0.35">
      <c r="A140" t="str">
        <f>SampleImport!A148</f>
        <v>9-SAAAFX94</v>
      </c>
      <c r="B140" t="str">
        <f>SampleImport!G148</f>
        <v>CTTACCTG</v>
      </c>
      <c r="C140" t="str">
        <f t="shared" si="1"/>
        <v>CTCATTGC</v>
      </c>
      <c r="D140" s="127" t="str">
        <f>SampleImport!K148</f>
        <v>TSPRO</v>
      </c>
      <c r="I140" t="str">
        <f xml:space="preserve"> SUBSTITUTE( SUBSTITUTE( SUBSTITUTE( SUBSTITUTE( SUBSTITUTE( SUBSTITUTE( SUBSTITUTE( SUBSTITUTE( SampleImport!I148, "A", 1), "C", 2), "G", 3),"T", 4), 1, "T"), 2, "G"), 3, "C"), 4, "A")</f>
        <v>CGTTACTC</v>
      </c>
    </row>
    <row r="141" spans="1:9" x14ac:dyDescent="0.35">
      <c r="A141" t="str">
        <f>SampleImport!A149</f>
        <v>10-SAAAFX95</v>
      </c>
      <c r="B141" t="str">
        <f>SampleImport!G149</f>
        <v>CTCGATAC</v>
      </c>
      <c r="C141" t="str">
        <f t="shared" si="1"/>
        <v>ACCAGCTT</v>
      </c>
      <c r="D141" s="127" t="str">
        <f>SampleImport!K149</f>
        <v>TSPRO</v>
      </c>
      <c r="I141" t="str">
        <f xml:space="preserve"> SUBSTITUTE( SUBSTITUTE( SUBSTITUTE( SUBSTITUTE( SUBSTITUTE( SUBSTITUTE( SUBSTITUTE( SUBSTITUTE( SampleImport!I149, "A", 1), "C", 2), "G", 3),"T", 4), 1, "T"), 2, "G"), 3, "C"), 4, "A")</f>
        <v>TTCGACCA</v>
      </c>
    </row>
    <row r="142" spans="1:9" x14ac:dyDescent="0.35">
      <c r="A142" t="str">
        <f>SampleImport!A150</f>
        <v>11-SAAAFX96</v>
      </c>
      <c r="B142" t="str">
        <f>SampleImport!G150</f>
        <v>TCCGTGAA</v>
      </c>
      <c r="C142" t="str">
        <f t="shared" si="1"/>
        <v>GAATCGTG</v>
      </c>
      <c r="D142" s="127" t="str">
        <f>SampleImport!K150</f>
        <v>TSPRO</v>
      </c>
      <c r="I142" t="str">
        <f xml:space="preserve"> SUBSTITUTE( SUBSTITUTE( SUBSTITUTE( SUBSTITUTE( SUBSTITUTE( SUBSTITUTE( SUBSTITUTE( SUBSTITUTE( SampleImport!I150, "A", 1), "C", 2), "G", 3),"T", 4), 1, "T"), 2, "G"), 3, "C"), 4, "A")</f>
        <v>GTGCTAAG</v>
      </c>
    </row>
    <row r="143" spans="1:9" x14ac:dyDescent="0.35">
      <c r="A143" t="str">
        <f>SampleImport!A151</f>
        <v>12-SAAAFX97</v>
      </c>
      <c r="B143" t="str">
        <f>SampleImport!G151</f>
        <v>TAGAGCTC</v>
      </c>
      <c r="C143" t="str">
        <f t="shared" si="1"/>
        <v>AGGCTTCT</v>
      </c>
      <c r="D143" s="127" t="str">
        <f>SampleImport!K151</f>
        <v>TSPRO</v>
      </c>
      <c r="I143" t="str">
        <f xml:space="preserve"> SUBSTITUTE( SUBSTITUTE( SUBSTITUTE( SUBSTITUTE( SUBSTITUTE( SUBSTITUTE( SUBSTITUTE( SUBSTITUTE( SampleImport!I151, "A", 1), "C", 2), "G", 3),"T", 4), 1, "T"), 2, "G"), 3, "C"), 4, "A")</f>
        <v>TCTTCGGA</v>
      </c>
    </row>
    <row r="144" spans="1:9" x14ac:dyDescent="0.35">
      <c r="A144" t="str">
        <f>SampleImport!A152</f>
        <v>13-SAAAFX98</v>
      </c>
      <c r="B144" t="str">
        <f>SampleImport!G152</f>
        <v>CAACGGAT</v>
      </c>
      <c r="C144" t="str">
        <f t="shared" ref="C144:C207" si="2" xml:space="preserve"> MID(I144,30,1) &amp; MID(I144,29,1) &amp; MID(I144,28,1) &amp; MID(I144,27,1) &amp; MID(I144,26,1) &amp; MID(I144,25,1) &amp; MID(I144,24,1) &amp; MID(I144,23,1) &amp; MID(I144,22,1) &amp; MID(I144,21,1) &amp; MID(I144,20,1) &amp; MID(I144,19,1) &amp; MID(I144,18,1) &amp; MID(I144,17,1) &amp; MID(I144,16,1) &amp; MID(I144,15,1) &amp; MID(I144,14,1) &amp; MID(I144,13,1) &amp; MID(I144,12,1) &amp; MID(I144,11,1) &amp; MID(I144,10,1) &amp; MID(I144,9,1) &amp; MID(I144,8,1) &amp; MID(I144,7,1) &amp; MID(I144,6,1) &amp; MID(I144,5,1) &amp; MID(I144,4,1) &amp; MID(I144,3,1) &amp; MID(I144,2,1) &amp; MID(I144,1,1)</f>
        <v>TAAGTGGC</v>
      </c>
      <c r="D144" s="127" t="str">
        <f>SampleImport!K152</f>
        <v>TSPRO</v>
      </c>
      <c r="I144" t="str">
        <f xml:space="preserve"> SUBSTITUTE( SUBSTITUTE( SUBSTITUTE( SUBSTITUTE( SUBSTITUTE( SUBSTITUTE( SUBSTITUTE( SUBSTITUTE( SampleImport!I152, "A", 1), "C", 2), "G", 3),"T", 4), 1, "T"), 2, "G"), 3, "C"), 4, "A")</f>
        <v>CGGTGAAT</v>
      </c>
    </row>
    <row r="145" spans="1:9" x14ac:dyDescent="0.35">
      <c r="A145" t="str">
        <f>SampleImport!A153</f>
        <v>14-SAAAFX99</v>
      </c>
      <c r="B145" t="str">
        <f>SampleImport!G153</f>
        <v>TGGCTATC</v>
      </c>
      <c r="C145" t="str">
        <f t="shared" si="2"/>
        <v>ACGTGATG</v>
      </c>
      <c r="D145" s="127" t="str">
        <f>SampleImport!K153</f>
        <v>TSPRO</v>
      </c>
      <c r="I145" t="str">
        <f xml:space="preserve"> SUBSTITUTE( SUBSTITUTE( SUBSTITUTE( SUBSTITUTE( SUBSTITUTE( SUBSTITUTE( SUBSTITUTE( SUBSTITUTE( SampleImport!I153, "A", 1), "C", 2), "G", 3),"T", 4), 1, "T"), 2, "G"), 3, "C"), 4, "A")</f>
        <v>GTAGTGCA</v>
      </c>
    </row>
    <row r="146" spans="1:9" x14ac:dyDescent="0.35">
      <c r="A146" t="str">
        <f>SampleImport!A154</f>
        <v>15-SAAAFY01</v>
      </c>
      <c r="B146" t="str">
        <f>SampleImport!G154</f>
        <v>CGGTCATA</v>
      </c>
      <c r="C146" t="str">
        <f t="shared" si="2"/>
        <v>GTAGAGCA</v>
      </c>
      <c r="D146" s="127" t="str">
        <f>SampleImport!K154</f>
        <v>TSPRO</v>
      </c>
      <c r="I146" t="str">
        <f xml:space="preserve"> SUBSTITUTE( SUBSTITUTE( SUBSTITUTE( SUBSTITUTE( SUBSTITUTE( SUBSTITUTE( SUBSTITUTE( SUBSTITUTE( SampleImport!I154, "A", 1), "C", 2), "G", 3),"T", 4), 1, "T"), 2, "G"), 3, "C"), 4, "A")</f>
        <v>ACGAGATG</v>
      </c>
    </row>
    <row r="147" spans="1:9" x14ac:dyDescent="0.35">
      <c r="A147" t="str">
        <f>SampleImport!A155</f>
        <v>16-SAAAFY02</v>
      </c>
      <c r="B147" t="str">
        <f>SampleImport!G155</f>
        <v>TCCAATCG</v>
      </c>
      <c r="C147" t="str">
        <f t="shared" si="2"/>
        <v>GTCAGTTG</v>
      </c>
      <c r="D147" s="127" t="str">
        <f>SampleImport!K155</f>
        <v>TSPRO</v>
      </c>
      <c r="I147" t="str">
        <f xml:space="preserve"> SUBSTITUTE( SUBSTITUTE( SUBSTITUTE( SUBSTITUTE( SUBSTITUTE( SUBSTITUTE( SUBSTITUTE( SUBSTITUTE( SampleImport!I155, "A", 1), "C", 2), "G", 3),"T", 4), 1, "T"), 2, "G"), 3, "C"), 4, "A")</f>
        <v>GTTGACTG</v>
      </c>
    </row>
    <row r="148" spans="1:9" x14ac:dyDescent="0.35">
      <c r="A148" t="str">
        <f>SampleImport!A156</f>
        <v>17-SAAAFY03</v>
      </c>
      <c r="B148" t="str">
        <f>SampleImport!G156</f>
        <v>GAGCTTGT</v>
      </c>
      <c r="C148" t="str">
        <f t="shared" si="2"/>
        <v>ATTCGAGG</v>
      </c>
      <c r="D148" s="127" t="str">
        <f>SampleImport!K156</f>
        <v>TSPRO</v>
      </c>
      <c r="I148" t="str">
        <f xml:space="preserve"> SUBSTITUTE( SUBSTITUTE( SUBSTITUTE( SUBSTITUTE( SUBSTITUTE( SUBSTITUTE( SUBSTITUTE( SUBSTITUTE( SampleImport!I156, "A", 1), "C", 2), "G", 3),"T", 4), 1, "T"), 2, "G"), 3, "C"), 4, "A")</f>
        <v>GGAGCTTA</v>
      </c>
    </row>
    <row r="149" spans="1:9" x14ac:dyDescent="0.35">
      <c r="A149" t="str">
        <f>SampleImport!A157</f>
        <v>18-SAAAFY04</v>
      </c>
      <c r="B149" t="str">
        <f>SampleImport!G157</f>
        <v>GAAGGTTC</v>
      </c>
      <c r="C149" t="str">
        <f t="shared" si="2"/>
        <v>GATACTGG</v>
      </c>
      <c r="D149" s="127" t="str">
        <f>SampleImport!K157</f>
        <v>TSPRO</v>
      </c>
      <c r="I149" t="str">
        <f xml:space="preserve"> SUBSTITUTE( SUBSTITUTE( SUBSTITUTE( SUBSTITUTE( SUBSTITUTE( SUBSTITUTE( SUBSTITUTE( SUBSTITUTE( SampleImport!I157, "A", 1), "C", 2), "G", 3),"T", 4), 1, "T"), 2, "G"), 3, "C"), 4, "A")</f>
        <v>GGTCATAG</v>
      </c>
    </row>
    <row r="150" spans="1:9" x14ac:dyDescent="0.35">
      <c r="A150" t="str">
        <f>SampleImport!A158</f>
        <v>19-SAAAFY05</v>
      </c>
      <c r="B150" t="str">
        <f>SampleImport!G158</f>
        <v>ATCTCGCT</v>
      </c>
      <c r="C150" t="str">
        <f t="shared" si="2"/>
        <v>GCCTTGTT</v>
      </c>
      <c r="D150" s="127" t="str">
        <f>SampleImport!K158</f>
        <v>TSPRO</v>
      </c>
      <c r="I150" t="str">
        <f xml:space="preserve"> SUBSTITUTE( SUBSTITUTE( SUBSTITUTE( SUBSTITUTE( SUBSTITUTE( SUBSTITUTE( SUBSTITUTE( SUBSTITUTE( SampleImport!I158, "A", 1), "C", 2), "G", 3),"T", 4), 1, "T"), 2, "G"), 3, "C"), 4, "A")</f>
        <v>TTGTTCCG</v>
      </c>
    </row>
    <row r="151" spans="1:9" x14ac:dyDescent="0.35">
      <c r="A151" t="str">
        <f>SampleImport!A159</f>
        <v>20-SAAAFY06</v>
      </c>
      <c r="B151" t="str">
        <f>SampleImport!G159</f>
        <v>AGTTACGG</v>
      </c>
      <c r="C151" t="str">
        <f t="shared" si="2"/>
        <v>TTGGTCTC</v>
      </c>
      <c r="D151" s="127" t="str">
        <f>SampleImport!K159</f>
        <v>TSPRO</v>
      </c>
      <c r="I151" t="str">
        <f xml:space="preserve"> SUBSTITUTE( SUBSTITUTE( SUBSTITUTE( SUBSTITUTE( SUBSTITUTE( SUBSTITUTE( SUBSTITUTE( SUBSTITUTE( SampleImport!I159, "A", 1), "C", 2), "G", 3),"T", 4), 1, "T"), 2, "G"), 3, "C"), 4, "A")</f>
        <v>CTCTGGTT</v>
      </c>
    </row>
    <row r="152" spans="1:9" x14ac:dyDescent="0.35">
      <c r="A152" t="str">
        <f>SampleImport!A160</f>
        <v>21-SAAAFY07</v>
      </c>
      <c r="B152" t="str">
        <f>SampleImport!G160</f>
        <v>GTGTCTGA</v>
      </c>
      <c r="C152" t="str">
        <f t="shared" si="2"/>
        <v>CCGACTAT</v>
      </c>
      <c r="D152" s="127" t="str">
        <f>SampleImport!K160</f>
        <v>TSPRO</v>
      </c>
      <c r="I152" t="str">
        <f xml:space="preserve"> SUBSTITUTE( SUBSTITUTE( SUBSTITUTE( SUBSTITUTE( SUBSTITUTE( SUBSTITUTE( SUBSTITUTE( SUBSTITUTE( SampleImport!I160, "A", 1), "C", 2), "G", 3),"T", 4), 1, "T"), 2, "G"), 3, "C"), 4, "A")</f>
        <v>TATCAGCC</v>
      </c>
    </row>
    <row r="153" spans="1:9" x14ac:dyDescent="0.35">
      <c r="A153" t="str">
        <f>SampleImport!A161</f>
        <v>22-SAAAFY08</v>
      </c>
      <c r="B153" t="str">
        <f>SampleImport!G161</f>
        <v>TGACTTCG</v>
      </c>
      <c r="C153" t="str">
        <f t="shared" si="2"/>
        <v>GTCCTAAG</v>
      </c>
      <c r="D153" s="127" t="str">
        <f>SampleImport!K161</f>
        <v>TSPRO</v>
      </c>
      <c r="I153" t="str">
        <f xml:space="preserve"> SUBSTITUTE( SUBSTITUTE( SUBSTITUTE( SUBSTITUTE( SUBSTITUTE( SUBSTITUTE( SUBSTITUTE( SUBSTITUTE( SampleImport!I161, "A", 1), "C", 2), "G", 3),"T", 4), 1, "T"), 2, "G"), 3, "C"), 4, "A")</f>
        <v>GAATCCTG</v>
      </c>
    </row>
    <row r="154" spans="1:9" x14ac:dyDescent="0.35">
      <c r="A154" t="str">
        <f>SampleImport!A162</f>
        <v>23-SAAAFY09</v>
      </c>
      <c r="B154" t="str">
        <f>SampleImport!G162</f>
        <v>TGGATCAC</v>
      </c>
      <c r="C154" t="str">
        <f t="shared" si="2"/>
        <v>ACCAATGC</v>
      </c>
      <c r="D154" s="127" t="str">
        <f>SampleImport!K162</f>
        <v>TSPRO</v>
      </c>
      <c r="I154" t="str">
        <f xml:space="preserve"> SUBSTITUTE( SUBSTITUTE( SUBSTITUTE( SUBSTITUTE( SUBSTITUTE( SUBSTITUTE( SUBSTITUTE( SUBSTITUTE( SampleImport!I162, "A", 1), "C", 2), "G", 3),"T", 4), 1, "T"), 2, "G"), 3, "C"), 4, "A")</f>
        <v>CGTAACCA</v>
      </c>
    </row>
    <row r="155" spans="1:9" x14ac:dyDescent="0.35">
      <c r="A155" t="str">
        <f>SampleImport!A163</f>
        <v>24-IAABQW98t21</v>
      </c>
      <c r="B155" t="str">
        <f>SampleImport!G163</f>
        <v>ACACCAGT</v>
      </c>
      <c r="C155" t="str">
        <f t="shared" si="2"/>
        <v>GATGCACT</v>
      </c>
      <c r="D155" s="127" t="str">
        <f>SampleImport!K163</f>
        <v>TS1</v>
      </c>
      <c r="I155" t="str">
        <f xml:space="preserve"> SUBSTITUTE( SUBSTITUTE( SUBSTITUTE( SUBSTITUTE( SUBSTITUTE( SUBSTITUTE( SUBSTITUTE( SUBSTITUTE( SampleImport!I163, "A", 1), "C", 2), "G", 3),"T", 4), 1, "T"), 2, "G"), 3, "C"), 4, "A")</f>
        <v>TCACGTAG</v>
      </c>
    </row>
    <row r="156" spans="1:9" x14ac:dyDescent="0.35">
      <c r="A156" t="str">
        <f>SampleImport!A164</f>
        <v>1-IAABRG88</v>
      </c>
      <c r="B156" t="str">
        <f>SampleImport!G164</f>
        <v>TTACCGAC</v>
      </c>
      <c r="C156" t="str">
        <f t="shared" si="2"/>
        <v>CGAATACG</v>
      </c>
      <c r="D156" s="127" t="str">
        <f>SampleImport!K164</f>
        <v>TS1</v>
      </c>
      <c r="I156" t="str">
        <f xml:space="preserve"> SUBSTITUTE( SUBSTITUTE( SUBSTITUTE( SUBSTITUTE( SUBSTITUTE( SUBSTITUTE( SUBSTITUTE( SUBSTITUTE( SampleImport!I164, "A", 1), "C", 2), "G", 3),"T", 4), 1, "T"), 2, "G"), 3, "C"), 4, "A")</f>
        <v>GCATAAGC</v>
      </c>
    </row>
    <row r="157" spans="1:9" x14ac:dyDescent="0.35">
      <c r="A157" t="str">
        <f>SampleImport!A165</f>
        <v>2-IAABRG89</v>
      </c>
      <c r="B157" t="str">
        <f>SampleImport!G165</f>
        <v>TCGTCTGA</v>
      </c>
      <c r="C157" t="str">
        <f t="shared" si="2"/>
        <v>GTCCTTGA</v>
      </c>
      <c r="D157" s="127" t="str">
        <f>SampleImport!K165</f>
        <v>TS1</v>
      </c>
      <c r="I157" t="str">
        <f xml:space="preserve"> SUBSTITUTE( SUBSTITUTE( SUBSTITUTE( SUBSTITUTE( SUBSTITUTE( SUBSTITUTE( SUBSTITUTE( SUBSTITUTE( SampleImport!I165, "A", 1), "C", 2), "G", 3),"T", 4), 1, "T"), 2, "G"), 3, "C"), 4, "A")</f>
        <v>AGTTCCTG</v>
      </c>
    </row>
    <row r="158" spans="1:9" x14ac:dyDescent="0.35">
      <c r="A158" t="str">
        <f>SampleImport!A166</f>
        <v>3-IAABRG90</v>
      </c>
      <c r="B158" t="str">
        <f>SampleImport!G166</f>
        <v>TTCCAGGT</v>
      </c>
      <c r="C158" t="str">
        <f t="shared" si="2"/>
        <v>CAGTGCTT</v>
      </c>
      <c r="D158" s="127" t="str">
        <f>SampleImport!K166</f>
        <v>TS1</v>
      </c>
      <c r="I158" t="str">
        <f xml:space="preserve"> SUBSTITUTE( SUBSTITUTE( SUBSTITUTE( SUBSTITUTE( SUBSTITUTE( SUBSTITUTE( SUBSTITUTE( SUBSTITUTE( SampleImport!I166, "A", 1), "C", 2), "G", 3),"T", 4), 1, "T"), 2, "G"), 3, "C"), 4, "A")</f>
        <v>TTCGTGAC</v>
      </c>
    </row>
    <row r="159" spans="1:9" x14ac:dyDescent="0.35">
      <c r="A159" t="str">
        <f>SampleImport!A167</f>
        <v>4-IAABRG91</v>
      </c>
      <c r="B159" t="str">
        <f>SampleImport!G167</f>
        <v>TACGGTCT</v>
      </c>
      <c r="C159" t="str">
        <f t="shared" si="2"/>
        <v>TCCATTGC</v>
      </c>
      <c r="D159" s="127" t="str">
        <f>SampleImport!K167</f>
        <v>TS1</v>
      </c>
      <c r="I159" t="str">
        <f xml:space="preserve"> SUBSTITUTE( SUBSTITUTE( SUBSTITUTE( SUBSTITUTE( SUBSTITUTE( SUBSTITUTE( SUBSTITUTE( SUBSTITUTE( SampleImport!I167, "A", 1), "C", 2), "G", 3),"T", 4), 1, "T"), 2, "G"), 3, "C"), 4, "A")</f>
        <v>CGTTACCT</v>
      </c>
    </row>
    <row r="160" spans="1:9" x14ac:dyDescent="0.35">
      <c r="A160" t="str">
        <f>SampleImport!A168</f>
        <v>5-NAABNY59</v>
      </c>
      <c r="B160" t="str">
        <f>SampleImport!G168</f>
        <v>AAGACCGT</v>
      </c>
      <c r="C160" t="str">
        <f t="shared" si="2"/>
        <v>GTCGATTG</v>
      </c>
      <c r="D160" s="127" t="str">
        <f>SampleImport!K168</f>
        <v>TS3</v>
      </c>
      <c r="I160" t="str">
        <f xml:space="preserve"> SUBSTITUTE( SUBSTITUTE( SUBSTITUTE( SUBSTITUTE( SUBSTITUTE( SUBSTITUTE( SUBSTITUTE( SUBSTITUTE( SampleImport!I168, "A", 1), "C", 2), "G", 3),"T", 4), 1, "T"), 2, "G"), 3, "C"), 4, "A")</f>
        <v>GTTAGCTG</v>
      </c>
    </row>
    <row r="161" spans="1:9" x14ac:dyDescent="0.35">
      <c r="A161" t="str">
        <f>SampleImport!A169</f>
        <v>6-NAABNY60</v>
      </c>
      <c r="B161" t="str">
        <f>SampleImport!G169</f>
        <v>CAGGTTCA</v>
      </c>
      <c r="C161" t="str">
        <f t="shared" si="2"/>
        <v>ATAACGCC</v>
      </c>
      <c r="D161" s="127" t="str">
        <f>SampleImport!K169</f>
        <v>TS3</v>
      </c>
      <c r="I161" t="str">
        <f xml:space="preserve"> SUBSTITUTE( SUBSTITUTE( SUBSTITUTE( SUBSTITUTE( SUBSTITUTE( SUBSTITUTE( SUBSTITUTE( SUBSTITUTE( SampleImport!I169, "A", 1), "C", 2), "G", 3),"T", 4), 1, "T"), 2, "G"), 3, "C"), 4, "A")</f>
        <v>CCGCAATA</v>
      </c>
    </row>
    <row r="162" spans="1:9" x14ac:dyDescent="0.35">
      <c r="A162" t="str">
        <f>SampleImport!A170</f>
        <v>7-NAABNY61</v>
      </c>
      <c r="B162" t="str">
        <f>SampleImport!G170</f>
        <v>TAGGAGCT</v>
      </c>
      <c r="C162" t="str">
        <f t="shared" si="2"/>
        <v>GCCTTAAC</v>
      </c>
      <c r="D162" s="127" t="str">
        <f>SampleImport!K170</f>
        <v>TS3</v>
      </c>
      <c r="I162" t="str">
        <f xml:space="preserve"> SUBSTITUTE( SUBSTITUTE( SUBSTITUTE( SUBSTITUTE( SUBSTITUTE( SUBSTITUTE( SUBSTITUTE( SUBSTITUTE( SampleImport!I170, "A", 1), "C", 2), "G", 3),"T", 4), 1, "T"), 2, "G"), 3, "C"), 4, "A")</f>
        <v>CAATTCCG</v>
      </c>
    </row>
    <row r="163" spans="1:9" x14ac:dyDescent="0.35">
      <c r="A163" t="str">
        <f>SampleImport!A171</f>
        <v>8-NAABNY62</v>
      </c>
      <c r="B163" t="str">
        <f>SampleImport!G171</f>
        <v>TACTCCAG</v>
      </c>
      <c r="C163" t="str">
        <f t="shared" si="2"/>
        <v>GGTATAGG</v>
      </c>
      <c r="D163" s="127" t="str">
        <f>SampleImport!K171</f>
        <v>TS3</v>
      </c>
      <c r="I163" t="str">
        <f xml:space="preserve"> SUBSTITUTE( SUBSTITUTE( SUBSTITUTE( SUBSTITUTE( SUBSTITUTE( SUBSTITUTE( SUBSTITUTE( SUBSTITUTE( SampleImport!I171, "A", 1), "C", 2), "G", 3),"T", 4), 1, "T"), 2, "G"), 3, "C"), 4, "A")</f>
        <v>GGATATGG</v>
      </c>
    </row>
    <row r="164" spans="1:9" x14ac:dyDescent="0.35">
      <c r="A164" t="str">
        <f>SampleImport!A172</f>
        <v>9-NAABNY63</v>
      </c>
      <c r="B164" t="str">
        <f>SampleImport!G172</f>
        <v>AGTGACCT</v>
      </c>
      <c r="C164" t="str">
        <f t="shared" si="2"/>
        <v>TCTAGGAG</v>
      </c>
      <c r="D164" s="127" t="str">
        <f>SampleImport!K172</f>
        <v>TS3</v>
      </c>
      <c r="I164" t="str">
        <f xml:space="preserve"> SUBSTITUTE( SUBSTITUTE( SUBSTITUTE( SUBSTITUTE( SUBSTITUTE( SUBSTITUTE( SUBSTITUTE( SUBSTITUTE( SampleImport!I172, "A", 1), "C", 2), "G", 3),"T", 4), 1, "T"), 2, "G"), 3, "C"), 4, "A")</f>
        <v>GAGGATCT</v>
      </c>
    </row>
    <row r="165" spans="1:9" x14ac:dyDescent="0.35">
      <c r="A165" t="str">
        <f>SampleImport!A173</f>
        <v>10-NAABNY64</v>
      </c>
      <c r="B165" t="str">
        <f>SampleImport!G173</f>
        <v>AGCCTATC</v>
      </c>
      <c r="C165" t="str">
        <f t="shared" si="2"/>
        <v>TGCGTAAC</v>
      </c>
      <c r="D165" s="127" t="str">
        <f>SampleImport!K173</f>
        <v>TS3</v>
      </c>
      <c r="I165" t="str">
        <f xml:space="preserve"> SUBSTITUTE( SUBSTITUTE( SUBSTITUTE( SUBSTITUTE( SUBSTITUTE( SUBSTITUTE( SUBSTITUTE( SUBSTITUTE( SampleImport!I173, "A", 1), "C", 2), "G", 3),"T", 4), 1, "T"), 2, "G"), 3, "C"), 4, "A")</f>
        <v>CAATGCGT</v>
      </c>
    </row>
    <row r="166" spans="1:9" x14ac:dyDescent="0.35">
      <c r="A166" t="str">
        <f>SampleImport!A174</f>
        <v>11-NAABNY65</v>
      </c>
      <c r="B166" t="str">
        <f>SampleImport!G174</f>
        <v>TCATCTCC</v>
      </c>
      <c r="C166" t="str">
        <f t="shared" si="2"/>
        <v>CTTGCTAG</v>
      </c>
      <c r="D166" s="127" t="str">
        <f>SampleImport!K174</f>
        <v>TS3</v>
      </c>
      <c r="I166" t="str">
        <f xml:space="preserve"> SUBSTITUTE( SUBSTITUTE( SUBSTITUTE( SUBSTITUTE( SUBSTITUTE( SUBSTITUTE( SUBSTITUTE( SUBSTITUTE( SampleImport!I174, "A", 1), "C", 2), "G", 3),"T", 4), 1, "T"), 2, "G"), 3, "C"), 4, "A")</f>
        <v>GATCGTTC</v>
      </c>
    </row>
    <row r="167" spans="1:9" x14ac:dyDescent="0.35">
      <c r="A167" t="str">
        <f>SampleImport!A175</f>
        <v>12-NAABNY66</v>
      </c>
      <c r="B167" t="str">
        <f>SampleImport!G175</f>
        <v>CCAGTATC</v>
      </c>
      <c r="C167" t="str">
        <f t="shared" si="2"/>
        <v>AGCGAGAT</v>
      </c>
      <c r="D167" s="127" t="str">
        <f>SampleImport!K175</f>
        <v>TS3</v>
      </c>
      <c r="I167" t="str">
        <f xml:space="preserve"> SUBSTITUTE( SUBSTITUTE( SUBSTITUTE( SUBSTITUTE( SUBSTITUTE( SUBSTITUTE( SUBSTITUTE( SUBSTITUTE( SampleImport!I175, "A", 1), "C", 2), "G", 3),"T", 4), 1, "T"), 2, "G"), 3, "C"), 4, "A")</f>
        <v>TAGAGCGA</v>
      </c>
    </row>
    <row r="168" spans="1:9" x14ac:dyDescent="0.35">
      <c r="A168" t="str">
        <f>SampleImport!A176</f>
        <v>13-NAABNY67</v>
      </c>
      <c r="B168" t="str">
        <f>SampleImport!G176</f>
        <v>TCTTGTTT</v>
      </c>
      <c r="C168" t="str">
        <f t="shared" si="2"/>
        <v>CCTTTCAC</v>
      </c>
      <c r="D168" s="127" t="str">
        <f>SampleImport!K176</f>
        <v>TS3</v>
      </c>
      <c r="I168" t="str">
        <f xml:space="preserve"> SUBSTITUTE( SUBSTITUTE( SUBSTITUTE( SUBSTITUTE( SUBSTITUTE( SUBSTITUTE( SUBSTITUTE( SUBSTITUTE( SampleImport!I176, "A", 1), "C", 2), "G", 3),"T", 4), 1, "T"), 2, "G"), 3, "C"), 4, "A")</f>
        <v>CACTTTCC</v>
      </c>
    </row>
    <row r="169" spans="1:9" x14ac:dyDescent="0.35">
      <c r="A169" t="str">
        <f>SampleImport!A177</f>
        <v>14-NAABNY68</v>
      </c>
      <c r="B169" t="str">
        <f>SampleImport!G177</f>
        <v>GGCTTACT</v>
      </c>
      <c r="C169" t="str">
        <f t="shared" si="2"/>
        <v>CTTTCCCT</v>
      </c>
      <c r="D169" s="127" t="str">
        <f>SampleImport!K177</f>
        <v>TS3</v>
      </c>
      <c r="I169" t="str">
        <f xml:space="preserve"> SUBSTITUTE( SUBSTITUTE( SUBSTITUTE( SUBSTITUTE( SUBSTITUTE( SUBSTITUTE( SUBSTITUTE( SUBSTITUTE( SampleImport!I177, "A", 1), "C", 2), "G", 3),"T", 4), 1, "T"), 2, "G"), 3, "C"), 4, "A")</f>
        <v>TCCCTTTC</v>
      </c>
    </row>
    <row r="170" spans="1:9" x14ac:dyDescent="0.35">
      <c r="A170" t="str">
        <f>SampleImport!A178</f>
        <v>15-NAABNY69</v>
      </c>
      <c r="B170" t="str">
        <f>SampleImport!G178</f>
        <v>ACGATATG</v>
      </c>
      <c r="C170" t="str">
        <f t="shared" si="2"/>
        <v>GACAATTC</v>
      </c>
      <c r="D170" s="127" t="str">
        <f>SampleImport!K178</f>
        <v>TS3</v>
      </c>
      <c r="I170" t="str">
        <f xml:space="preserve"> SUBSTITUTE( SUBSTITUTE( SUBSTITUTE( SUBSTITUTE( SUBSTITUTE( SUBSTITUTE( SUBSTITUTE( SUBSTITUTE( SampleImport!I178, "A", 1), "C", 2), "G", 3),"T", 4), 1, "T"), 2, "G"), 3, "C"), 4, "A")</f>
        <v>CTTAACAG</v>
      </c>
    </row>
    <row r="171" spans="1:9" x14ac:dyDescent="0.35">
      <c r="A171" t="str">
        <f>SampleImport!A179</f>
        <v>16-NAABNY70</v>
      </c>
      <c r="B171" t="str">
        <f>SampleImport!G179</f>
        <v>ATCCGCAG</v>
      </c>
      <c r="C171" t="str">
        <f t="shared" si="2"/>
        <v>ACACGACT</v>
      </c>
      <c r="D171" s="127" t="str">
        <f>SampleImport!K179</f>
        <v>TS3</v>
      </c>
      <c r="I171" t="str">
        <f xml:space="preserve"> SUBSTITUTE( SUBSTITUTE( SUBSTITUTE( SUBSTITUTE( SUBSTITUTE( SUBSTITUTE( SUBSTITUTE( SUBSTITUTE( SampleImport!I179, "A", 1), "C", 2), "G", 3),"T", 4), 1, "T"), 2, "G"), 3, "C"), 4, "A")</f>
        <v>TCAGCACA</v>
      </c>
    </row>
    <row r="172" spans="1:9" x14ac:dyDescent="0.35">
      <c r="A172" t="str">
        <f>SampleImport!A180</f>
        <v>17-NAABNY71</v>
      </c>
      <c r="B172" t="str">
        <f>SampleImport!G180</f>
        <v>AAGCGACT</v>
      </c>
      <c r="C172" t="str">
        <f t="shared" si="2"/>
        <v>ACGAATCC</v>
      </c>
      <c r="D172" s="127" t="str">
        <f>SampleImport!K180</f>
        <v>TS3</v>
      </c>
      <c r="I172" t="str">
        <f xml:space="preserve"> SUBSTITUTE( SUBSTITUTE( SUBSTITUTE( SUBSTITUTE( SUBSTITUTE( SUBSTITUTE( SUBSTITUTE( SUBSTITUTE( SampleImport!I180, "A", 1), "C", 2), "G", 3),"T", 4), 1, "T"), 2, "G"), 3, "C"), 4, "A")</f>
        <v>CCTAAGCA</v>
      </c>
    </row>
    <row r="173" spans="1:9" x14ac:dyDescent="0.35">
      <c r="A173" t="str">
        <f>SampleImport!A181</f>
        <v>18-NAABNY72</v>
      </c>
      <c r="B173" t="str">
        <f>SampleImport!G181</f>
        <v>TGATAGGC</v>
      </c>
      <c r="C173" t="str">
        <f t="shared" si="2"/>
        <v>GTCTGAGT</v>
      </c>
      <c r="D173" s="127" t="str">
        <f>SampleImport!K181</f>
        <v>TS3</v>
      </c>
      <c r="I173" t="str">
        <f xml:space="preserve"> SUBSTITUTE( SUBSTITUTE( SUBSTITUTE( SUBSTITUTE( SUBSTITUTE( SUBSTITUTE( SUBSTITUTE( SUBSTITUTE( SampleImport!I181, "A", 1), "C", 2), "G", 3),"T", 4), 1, "T"), 2, "G"), 3, "C"), 4, "A")</f>
        <v>TGAGTCTG</v>
      </c>
    </row>
    <row r="174" spans="1:9" x14ac:dyDescent="0.35">
      <c r="A174" t="str">
        <f>SampleImport!A182</f>
        <v>19-NAABNY73</v>
      </c>
      <c r="B174" t="str">
        <f>SampleImport!G182</f>
        <v>AACACCAC</v>
      </c>
      <c r="C174" t="str">
        <f t="shared" si="2"/>
        <v>GGTGTGAG</v>
      </c>
      <c r="D174" s="127" t="str">
        <f>SampleImport!K182</f>
        <v>TS3</v>
      </c>
      <c r="I174" t="str">
        <f xml:space="preserve"> SUBSTITUTE( SUBSTITUTE( SUBSTITUTE( SUBSTITUTE( SUBSTITUTE( SUBSTITUTE( SUBSTITUTE( SUBSTITUTE( SampleImport!I182, "A", 1), "C", 2), "G", 3),"T", 4), 1, "T"), 2, "G"), 3, "C"), 4, "A")</f>
        <v>GAGTGTGG</v>
      </c>
    </row>
    <row r="175" spans="1:9" x14ac:dyDescent="0.35">
      <c r="A175" t="str">
        <f>SampleImport!A183</f>
        <v>20-NAABNY74</v>
      </c>
      <c r="B175" t="str">
        <f>SampleImport!G183</f>
        <v>ACCTCTTC</v>
      </c>
      <c r="C175" t="str">
        <f t="shared" si="2"/>
        <v>CTTGCATA</v>
      </c>
      <c r="D175" s="127" t="str">
        <f>SampleImport!K183</f>
        <v>TS3</v>
      </c>
      <c r="I175" t="str">
        <f xml:space="preserve"> SUBSTITUTE( SUBSTITUTE( SUBSTITUTE( SUBSTITUTE( SUBSTITUTE( SUBSTITUTE( SUBSTITUTE( SUBSTITUTE( SampleImport!I183, "A", 1), "C", 2), "G", 3),"T", 4), 1, "T"), 2, "G"), 3, "C"), 4, "A")</f>
        <v>ATACGTTC</v>
      </c>
    </row>
    <row r="176" spans="1:9" x14ac:dyDescent="0.35">
      <c r="A176" t="str">
        <f>SampleImport!A184</f>
        <v>21-NAABNY75</v>
      </c>
      <c r="B176" t="str">
        <f>SampleImport!G184</f>
        <v>GTCCGATC</v>
      </c>
      <c r="C176" t="str">
        <f t="shared" si="2"/>
        <v>GCCAATCC</v>
      </c>
      <c r="D176" s="127" t="str">
        <f>SampleImport!K184</f>
        <v>TS3</v>
      </c>
      <c r="I176" t="str">
        <f xml:space="preserve"> SUBSTITUTE( SUBSTITUTE( SUBSTITUTE( SUBSTITUTE( SUBSTITUTE( SUBSTITUTE( SUBSTITUTE( SUBSTITUTE( SampleImport!I184, "A", 1), "C", 2), "G", 3),"T", 4), 1, "T"), 2, "G"), 3, "C"), 4, "A")</f>
        <v>CCTAACCG</v>
      </c>
    </row>
    <row r="177" spans="1:9" x14ac:dyDescent="0.35">
      <c r="A177" t="str">
        <f>SampleImport!A185</f>
        <v>22-NAABNY76</v>
      </c>
      <c r="B177" t="str">
        <f>SampleImport!G185</f>
        <v>GAGGACCA</v>
      </c>
      <c r="C177" t="str">
        <f t="shared" si="2"/>
        <v>ATGCCGGT</v>
      </c>
      <c r="D177" s="127" t="str">
        <f>SampleImport!K185</f>
        <v>TS3</v>
      </c>
      <c r="I177" t="str">
        <f xml:space="preserve"> SUBSTITUTE( SUBSTITUTE( SUBSTITUTE( SUBSTITUTE( SUBSTITUTE( SUBSTITUTE( SUBSTITUTE( SUBSTITUTE( SampleImport!I185, "A", 1), "C", 2), "G", 3),"T", 4), 1, "T"), 2, "G"), 3, "C"), 4, "A")</f>
        <v>TGGCCGTA</v>
      </c>
    </row>
    <row r="178" spans="1:9" x14ac:dyDescent="0.35">
      <c r="A178" t="str">
        <f>SampleImport!A186</f>
        <v>23-NAABNY77</v>
      </c>
      <c r="B178" t="str">
        <f>SampleImport!G186</f>
        <v>CGCTCTTA</v>
      </c>
      <c r="C178" t="str">
        <f t="shared" si="2"/>
        <v>CATACCGT</v>
      </c>
      <c r="D178" s="127" t="str">
        <f>SampleImport!K186</f>
        <v>TS3</v>
      </c>
      <c r="I178" t="str">
        <f xml:space="preserve"> SUBSTITUTE( SUBSTITUTE( SUBSTITUTE( SUBSTITUTE( SUBSTITUTE( SUBSTITUTE( SUBSTITUTE( SUBSTITUTE( SampleImport!I186, "A", 1), "C", 2), "G", 3),"T", 4), 1, "T"), 2, "G"), 3, "C"), 4, "A")</f>
        <v>TGCCATAC</v>
      </c>
    </row>
    <row r="179" spans="1:9" x14ac:dyDescent="0.35">
      <c r="A179" t="str">
        <f>SampleImport!A187</f>
        <v>24-NAABNY78</v>
      </c>
      <c r="B179" t="str">
        <f>SampleImport!G187</f>
        <v>CTGAGCTC</v>
      </c>
      <c r="C179" t="str">
        <f t="shared" si="2"/>
        <v>ATCAGAGC</v>
      </c>
      <c r="D179" s="127" t="str">
        <f>SampleImport!K187</f>
        <v>TS3</v>
      </c>
      <c r="I179" t="str">
        <f xml:space="preserve"> SUBSTITUTE( SUBSTITUTE( SUBSTITUTE( SUBSTITUTE( SUBSTITUTE( SUBSTITUTE( SUBSTITUTE( SUBSTITUTE( SampleImport!I187, "A", 1), "C", 2), "G", 3),"T", 4), 1, "T"), 2, "G"), 3, "C"), 4, "A")</f>
        <v>CGAGACTA</v>
      </c>
    </row>
    <row r="180" spans="1:9" x14ac:dyDescent="0.35">
      <c r="A180" t="str">
        <f>SampleImport!A188</f>
        <v>1-IAABRG92</v>
      </c>
      <c r="B180" t="str">
        <f>SampleImport!G188</f>
        <v>ACGAATCC</v>
      </c>
      <c r="C180" t="str">
        <f t="shared" si="2"/>
        <v>ATTACCCA</v>
      </c>
      <c r="D180" s="127" t="str">
        <f>SampleImport!K188</f>
        <v>TS1</v>
      </c>
      <c r="I180" t="str">
        <f xml:space="preserve"> SUBSTITUTE( SUBSTITUTE( SUBSTITUTE( SUBSTITUTE( SUBSTITUTE( SUBSTITUTE( SUBSTITUTE( SUBSTITUTE( SampleImport!I188, "A", 1), "C", 2), "G", 3),"T", 4), 1, "T"), 2, "G"), 3, "C"), 4, "A")</f>
        <v>ACCCATTA</v>
      </c>
    </row>
    <row r="181" spans="1:9" x14ac:dyDescent="0.35">
      <c r="A181" t="str">
        <f>SampleImport!A189</f>
        <v>2-IAABRG93</v>
      </c>
      <c r="B181" t="str">
        <f>SampleImport!G189</f>
        <v>GTCTGAGT</v>
      </c>
      <c r="C181" t="str">
        <f t="shared" si="2"/>
        <v>GACTTGTG</v>
      </c>
      <c r="D181" s="127" t="str">
        <f>SampleImport!K189</f>
        <v>TS1</v>
      </c>
      <c r="I181" t="str">
        <f xml:space="preserve"> SUBSTITUTE( SUBSTITUTE( SUBSTITUTE( SUBSTITUTE( SUBSTITUTE( SUBSTITUTE( SUBSTITUTE( SUBSTITUTE( SampleImport!I189, "A", 1), "C", 2), "G", 3),"T", 4), 1, "T"), 2, "G"), 3, "C"), 4, "A")</f>
        <v>GTGTTCAG</v>
      </c>
    </row>
    <row r="182" spans="1:9" x14ac:dyDescent="0.35">
      <c r="A182" t="str">
        <f>SampleImport!A190</f>
        <v>3-IAABRG94</v>
      </c>
      <c r="B182" t="str">
        <f>SampleImport!G190</f>
        <v>CCTAAACT</v>
      </c>
      <c r="C182" t="str">
        <f t="shared" si="2"/>
        <v>ACGAGGAG</v>
      </c>
      <c r="D182" s="127" t="str">
        <f>SampleImport!K190</f>
        <v>TS1</v>
      </c>
      <c r="I182" t="str">
        <f xml:space="preserve"> SUBSTITUTE( SUBSTITUTE( SUBSTITUTE( SUBSTITUTE( SUBSTITUTE( SUBSTITUTE( SUBSTITUTE( SUBSTITUTE( SampleImport!I190, "A", 1), "C", 2), "G", 3),"T", 4), 1, "T"), 2, "G"), 3, "C"), 4, "A")</f>
        <v>GAGGAGCA</v>
      </c>
    </row>
    <row r="183" spans="1:9" x14ac:dyDescent="0.35">
      <c r="A183" t="str">
        <f>SampleImport!A191</f>
        <v>4-IAABRG95</v>
      </c>
      <c r="B183" t="str">
        <f>SampleImport!G191</f>
        <v>TGTCACAC</v>
      </c>
      <c r="C183" t="str">
        <f t="shared" si="2"/>
        <v>TAATCTCG</v>
      </c>
      <c r="D183" s="127" t="str">
        <f>SampleImport!K191</f>
        <v>TS1</v>
      </c>
      <c r="I183" t="str">
        <f xml:space="preserve"> SUBSTITUTE( SUBSTITUTE( SUBSTITUTE( SUBSTITUTE( SUBSTITUTE( SUBSTITUTE( SUBSTITUTE( SUBSTITUTE( SampleImport!I191, "A", 1), "C", 2), "G", 3),"T", 4), 1, "T"), 2, "G"), 3, "C"), 4, "A")</f>
        <v>GCTCTAAT</v>
      </c>
    </row>
    <row r="184" spans="1:9" x14ac:dyDescent="0.35">
      <c r="A184" t="str">
        <f>SampleImport!A192</f>
        <v>5-IAABRG96</v>
      </c>
      <c r="B184" t="str">
        <f>SampleImport!G192</f>
        <v>GATATGAA</v>
      </c>
      <c r="C184" t="str">
        <f t="shared" si="2"/>
        <v>TACGGCAG</v>
      </c>
      <c r="D184" s="127" t="str">
        <f>SampleImport!K192</f>
        <v>TS1</v>
      </c>
      <c r="I184" t="str">
        <f xml:space="preserve"> SUBSTITUTE( SUBSTITUTE( SUBSTITUTE( SUBSTITUTE( SUBSTITUTE( SUBSTITUTE( SUBSTITUTE( SUBSTITUTE( SampleImport!I192, "A", 1), "C", 2), "G", 3),"T", 4), 1, "T"), 2, "G"), 3, "C"), 4, "A")</f>
        <v>GACGGCAT</v>
      </c>
    </row>
    <row r="185" spans="1:9" x14ac:dyDescent="0.35">
      <c r="A185" t="str">
        <f>SampleImport!A193</f>
        <v>6-IAABRG97</v>
      </c>
      <c r="B185" t="str">
        <f>SampleImport!G193</f>
        <v>AAGTGTGG</v>
      </c>
      <c r="C185" t="str">
        <f t="shared" si="2"/>
        <v>TGCCCATC</v>
      </c>
      <c r="D185" s="127" t="str">
        <f>SampleImport!K193</f>
        <v>TS1</v>
      </c>
      <c r="I185" t="str">
        <f xml:space="preserve"> SUBSTITUTE( SUBSTITUTE( SUBSTITUTE( SUBSTITUTE( SUBSTITUTE( SUBSTITUTE( SUBSTITUTE( SUBSTITUTE( SampleImport!I193, "A", 1), "C", 2), "G", 3),"T", 4), 1, "T"), 2, "G"), 3, "C"), 4, "A")</f>
        <v>CTACCCGT</v>
      </c>
    </row>
    <row r="186" spans="1:9" x14ac:dyDescent="0.35">
      <c r="A186" t="str">
        <f>SampleImport!A194</f>
        <v>7-IAABRG98</v>
      </c>
      <c r="B186" t="str">
        <f>SampleImport!G194</f>
        <v>GTTGGCGT</v>
      </c>
      <c r="C186" t="str">
        <f t="shared" si="2"/>
        <v>CAGCAGTC</v>
      </c>
      <c r="D186" s="127" t="str">
        <f>SampleImport!K194</f>
        <v>TS1</v>
      </c>
      <c r="I186" t="str">
        <f xml:space="preserve"> SUBSTITUTE( SUBSTITUTE( SUBSTITUTE( SUBSTITUTE( SUBSTITUTE( SUBSTITUTE( SUBSTITUTE( SUBSTITUTE( SampleImport!I194, "A", 1), "C", 2), "G", 3),"T", 4), 1, "T"), 2, "G"), 3, "C"), 4, "A")</f>
        <v>CTGACGAC</v>
      </c>
    </row>
    <row r="187" spans="1:9" x14ac:dyDescent="0.35">
      <c r="A187" t="str">
        <f>SampleImport!A195</f>
        <v>8-IAABRG99</v>
      </c>
      <c r="B187" t="str">
        <f>SampleImport!G195</f>
        <v>TAGCTGGC</v>
      </c>
      <c r="C187" t="str">
        <f t="shared" si="2"/>
        <v>TACCGGCT</v>
      </c>
      <c r="D187" s="127" t="str">
        <f>SampleImport!K195</f>
        <v>TS1</v>
      </c>
      <c r="I187" t="str">
        <f xml:space="preserve"> SUBSTITUTE( SUBSTITUTE( SUBSTITUTE( SUBSTITUTE( SUBSTITUTE( SUBSTITUTE( SUBSTITUTE( SUBSTITUTE( SampleImport!I195, "A", 1), "C", 2), "G", 3),"T", 4), 1, "T"), 2, "G"), 3, "C"), 4, "A")</f>
        <v>TCGGCCAT</v>
      </c>
    </row>
    <row r="188" spans="1:9" x14ac:dyDescent="0.35">
      <c r="A188" t="str">
        <f>SampleImport!A196</f>
        <v>9-IAABRH01</v>
      </c>
      <c r="B188" t="str">
        <f>SampleImport!G196</f>
        <v>ATTACCCA</v>
      </c>
      <c r="C188" t="str">
        <f t="shared" si="2"/>
        <v>CACTGTAG</v>
      </c>
      <c r="D188" s="127" t="str">
        <f>SampleImport!K196</f>
        <v>TS1</v>
      </c>
      <c r="I188" t="str">
        <f xml:space="preserve"> SUBSTITUTE( SUBSTITUTE( SUBSTITUTE( SUBSTITUTE( SUBSTITUTE( SUBSTITUTE( SUBSTITUTE( SUBSTITUTE( SampleImport!I196, "A", 1), "C", 2), "G", 3),"T", 4), 1, "T"), 2, "G"), 3, "C"), 4, "A")</f>
        <v>GATGTCAC</v>
      </c>
    </row>
    <row r="189" spans="1:9" x14ac:dyDescent="0.35">
      <c r="A189" t="str">
        <f>SampleImport!A197</f>
        <v>10-IAABRH02</v>
      </c>
      <c r="B189" t="str">
        <f>SampleImport!G197</f>
        <v>GACTTGTG</v>
      </c>
      <c r="C189" t="str">
        <f t="shared" si="2"/>
        <v>GTGCACGA</v>
      </c>
      <c r="D189" s="127" t="str">
        <f>SampleImport!K197</f>
        <v>TS1</v>
      </c>
      <c r="I189" t="str">
        <f xml:space="preserve"> SUBSTITUTE( SUBSTITUTE( SUBSTITUTE( SUBSTITUTE( SUBSTITUTE( SUBSTITUTE( SUBSTITUTE( SUBSTITUTE( SampleImport!I197, "A", 1), "C", 2), "G", 3),"T", 4), 1, "T"), 2, "G"), 3, "C"), 4, "A")</f>
        <v>AGCACGTG</v>
      </c>
    </row>
    <row r="190" spans="1:9" x14ac:dyDescent="0.35">
      <c r="A190" t="str">
        <f>SampleImport!A198</f>
        <v>11-IAABRH03</v>
      </c>
      <c r="B190" t="str">
        <f>SampleImport!G198</f>
        <v>CAGGTAAG</v>
      </c>
      <c r="C190" t="str">
        <f t="shared" si="2"/>
        <v>CTCGAAAT</v>
      </c>
      <c r="D190" s="127" t="str">
        <f>SampleImport!K198</f>
        <v>TS1</v>
      </c>
      <c r="I190" t="str">
        <f xml:space="preserve"> SUBSTITUTE( SUBSTITUTE( SUBSTITUTE( SUBSTITUTE( SUBSTITUTE( SUBSTITUTE( SUBSTITUTE( SUBSTITUTE( SampleImport!I198, "A", 1), "C", 2), "G", 3),"T", 4), 1, "T"), 2, "G"), 3, "C"), 4, "A")</f>
        <v>TAAAGCTC</v>
      </c>
    </row>
    <row r="191" spans="1:9" x14ac:dyDescent="0.35">
      <c r="A191" t="str">
        <f>SampleImport!A199</f>
        <v>12-IAABRH04</v>
      </c>
      <c r="B191" t="str">
        <f>SampleImport!G199</f>
        <v>AAGGAGAC</v>
      </c>
      <c r="C191" t="str">
        <f t="shared" si="2"/>
        <v>CTCACAAC</v>
      </c>
      <c r="D191" s="127" t="str">
        <f>SampleImport!K199</f>
        <v>TS1</v>
      </c>
      <c r="I191" t="str">
        <f xml:space="preserve"> SUBSTITUTE( SUBSTITUTE( SUBSTITUTE( SUBSTITUTE( SUBSTITUTE( SUBSTITUTE( SUBSTITUTE( SUBSTITUTE( SampleImport!I199, "A", 1), "C", 2), "G", 3),"T", 4), 1, "T"), 2, "G"), 3, "C"), 4, "A")</f>
        <v>CAACACTC</v>
      </c>
    </row>
    <row r="192" spans="1:9" x14ac:dyDescent="0.35">
      <c r="A192" t="str">
        <f>SampleImport!A200</f>
        <v>13-IAABRH05</v>
      </c>
      <c r="B192" t="str">
        <f>SampleImport!G200</f>
        <v>AGTCAGGT</v>
      </c>
      <c r="C192" t="str">
        <f t="shared" si="2"/>
        <v>GTAACCAC</v>
      </c>
      <c r="D192" s="127" t="str">
        <f>SampleImport!K200</f>
        <v>TS1</v>
      </c>
      <c r="I192" t="str">
        <f xml:space="preserve"> SUBSTITUTE( SUBSTITUTE( SUBSTITUTE( SUBSTITUTE( SUBSTITUTE( SUBSTITUTE( SUBSTITUTE( SUBSTITUTE( SampleImport!I200, "A", 1), "C", 2), "G", 3),"T", 4), 1, "T"), 2, "G"), 3, "C"), 4, "A")</f>
        <v>CACCAATG</v>
      </c>
    </row>
    <row r="193" spans="1:9" x14ac:dyDescent="0.35">
      <c r="A193" t="str">
        <f>SampleImport!A201</f>
        <v>14-IAABRH06</v>
      </c>
      <c r="B193" t="str">
        <f>SampleImport!G201</f>
        <v>ACCGTAAG</v>
      </c>
      <c r="C193" t="str">
        <f t="shared" si="2"/>
        <v>CATATCCA</v>
      </c>
      <c r="D193" s="127" t="str">
        <f>SampleImport!K201</f>
        <v>TS1</v>
      </c>
      <c r="I193" t="str">
        <f xml:space="preserve"> SUBSTITUTE( SUBSTITUTE( SUBSTITUTE( SUBSTITUTE( SUBSTITUTE( SUBSTITUTE( SUBSTITUTE( SUBSTITUTE( SampleImport!I201, "A", 1), "C", 2), "G", 3),"T", 4), 1, "T"), 2, "G"), 3, "C"), 4, "A")</f>
        <v>ACCTATAC</v>
      </c>
    </row>
    <row r="194" spans="1:9" x14ac:dyDescent="0.35">
      <c r="A194" t="str">
        <f>SampleImport!A202</f>
        <v>15-IAABRH07</v>
      </c>
      <c r="B194" t="str">
        <f>SampleImport!G202</f>
        <v>TATGACGT</v>
      </c>
      <c r="C194" t="str">
        <f t="shared" si="2"/>
        <v>CGCTAATC</v>
      </c>
      <c r="D194" s="127" t="str">
        <f>SampleImport!K202</f>
        <v>TS1</v>
      </c>
      <c r="I194" t="str">
        <f xml:space="preserve"> SUBSTITUTE( SUBSTITUTE( SUBSTITUTE( SUBSTITUTE( SUBSTITUTE( SUBSTITUTE( SUBSTITUTE( SUBSTITUTE( SampleImport!I202, "A", 1), "C", 2), "G", 3),"T", 4), 1, "T"), 2, "G"), 3, "C"), 4, "A")</f>
        <v>CTAATCGC</v>
      </c>
    </row>
    <row r="195" spans="1:9" x14ac:dyDescent="0.35">
      <c r="A195" t="str">
        <f>SampleImport!A203</f>
        <v>16-IAABRH08</v>
      </c>
      <c r="B195" t="str">
        <f>SampleImport!G203</f>
        <v>TTGGGTAC</v>
      </c>
      <c r="C195" t="str">
        <f t="shared" si="2"/>
        <v>CTTCCAAC</v>
      </c>
      <c r="D195" s="127" t="str">
        <f>SampleImport!K203</f>
        <v>TS1</v>
      </c>
      <c r="I195" t="str">
        <f xml:space="preserve"> SUBSTITUTE( SUBSTITUTE( SUBSTITUTE( SUBSTITUTE( SUBSTITUTE( SUBSTITUTE( SUBSTITUTE( SUBSTITUTE( SampleImport!I203, "A", 1), "C", 2), "G", 3),"T", 4), 1, "T"), 2, "G"), 3, "C"), 4, "A")</f>
        <v>CAACCTTC</v>
      </c>
    </row>
    <row r="196" spans="1:9" x14ac:dyDescent="0.35">
      <c r="A196" t="str">
        <f>SampleImport!A204</f>
        <v>17-IAABRH09</v>
      </c>
      <c r="B196" t="str">
        <f>SampleImport!G204</f>
        <v>TTCAATAG</v>
      </c>
      <c r="C196" t="str">
        <f t="shared" si="2"/>
        <v>TCCCACGA</v>
      </c>
      <c r="D196" s="127" t="str">
        <f>SampleImport!K204</f>
        <v>TS1</v>
      </c>
      <c r="I196" t="str">
        <f xml:space="preserve"> SUBSTITUTE( SUBSTITUTE( SUBSTITUTE( SUBSTITUTE( SUBSTITUTE( SUBSTITUTE( SUBSTITUTE( SUBSTITUTE( SampleImport!I204, "A", 1), "C", 2), "G", 3),"T", 4), 1, "T"), 2, "G"), 3, "C"), 4, "A")</f>
        <v>AGCACCCT</v>
      </c>
    </row>
    <row r="197" spans="1:9" x14ac:dyDescent="0.35">
      <c r="A197" t="str">
        <f>SampleImport!A205</f>
        <v>18-IAABRH10</v>
      </c>
      <c r="B197" t="str">
        <f>SampleImport!G205</f>
        <v>GTTTGCTC</v>
      </c>
      <c r="C197" t="str">
        <f t="shared" si="2"/>
        <v>ACCAACAG</v>
      </c>
      <c r="D197" s="127" t="str">
        <f>SampleImport!K205</f>
        <v>TS1</v>
      </c>
      <c r="I197" t="str">
        <f xml:space="preserve"> SUBSTITUTE( SUBSTITUTE( SUBSTITUTE( SUBSTITUTE( SUBSTITUTE( SUBSTITUTE( SUBSTITUTE( SUBSTITUTE( SampleImport!I205, "A", 1), "C", 2), "G", 3),"T", 4), 1, "T"), 2, "G"), 3, "C"), 4, "A")</f>
        <v>GACAACCA</v>
      </c>
    </row>
    <row r="198" spans="1:9" x14ac:dyDescent="0.35">
      <c r="A198" t="str">
        <f>SampleImport!A206</f>
        <v>19-IAABRH11</v>
      </c>
      <c r="B198" t="str">
        <f>SampleImport!G206</f>
        <v>AGAAGCCT</v>
      </c>
      <c r="C198" t="str">
        <f t="shared" si="2"/>
        <v>GTCAGTAT</v>
      </c>
      <c r="D198" s="127" t="str">
        <f>SampleImport!K206</f>
        <v>TS1</v>
      </c>
      <c r="I198" t="str">
        <f xml:space="preserve"> SUBSTITUTE( SUBSTITUTE( SUBSTITUTE( SUBSTITUTE( SUBSTITUTE( SUBSTITUTE( SUBSTITUTE( SUBSTITUTE( SampleImport!I206, "A", 1), "C", 2), "G", 3),"T", 4), 1, "T"), 2, "G"), 3, "C"), 4, "A")</f>
        <v>TATGACTG</v>
      </c>
    </row>
    <row r="199" spans="1:9" x14ac:dyDescent="0.35">
      <c r="A199" t="str">
        <f>SampleImport!A207</f>
        <v>20-NAABNY79</v>
      </c>
      <c r="B199" t="str">
        <f>SampleImport!G207</f>
        <v>CTAGGTTG</v>
      </c>
      <c r="C199" t="str">
        <f t="shared" si="2"/>
        <v>ATTCGAGC</v>
      </c>
      <c r="D199" s="127" t="str">
        <f>SampleImport!K207</f>
        <v>TS3</v>
      </c>
      <c r="I199" t="str">
        <f xml:space="preserve"> SUBSTITUTE( SUBSTITUTE( SUBSTITUTE( SUBSTITUTE( SUBSTITUTE( SUBSTITUTE( SUBSTITUTE( SUBSTITUTE( SampleImport!I207, "A", 1), "C", 2), "G", 3),"T", 4), 1, "T"), 2, "G"), 3, "C"), 4, "A")</f>
        <v>CGAGCTTA</v>
      </c>
    </row>
    <row r="200" spans="1:9" x14ac:dyDescent="0.35">
      <c r="A200" t="str">
        <f>SampleImport!A208</f>
        <v>21-NAABNY80</v>
      </c>
      <c r="B200" t="str">
        <f>SampleImport!G208</f>
        <v>TGTGTCAG</v>
      </c>
      <c r="C200" t="str">
        <f t="shared" si="2"/>
        <v>CACCTGTA</v>
      </c>
      <c r="D200" s="127" t="str">
        <f>SampleImport!K208</f>
        <v>TS3</v>
      </c>
      <c r="I200" t="str">
        <f xml:space="preserve"> SUBSTITUTE( SUBSTITUTE( SUBSTITUTE( SUBSTITUTE( SUBSTITUTE( SUBSTITUTE( SUBSTITUTE( SUBSTITUTE( SampleImport!I208, "A", 1), "C", 2), "G", 3),"T", 4), 1, "T"), 2, "G"), 3, "C"), 4, "A")</f>
        <v>ATGTCCAC</v>
      </c>
    </row>
    <row r="201" spans="1:9" x14ac:dyDescent="0.35">
      <c r="A201" t="str">
        <f>SampleImport!A209</f>
        <v>22-NAABNY81</v>
      </c>
      <c r="B201" t="str">
        <f>SampleImport!G209</f>
        <v>AGAACCAG</v>
      </c>
      <c r="C201" t="str">
        <f t="shared" si="2"/>
        <v>CCGACTCT</v>
      </c>
      <c r="D201" s="127" t="str">
        <f>SampleImport!K209</f>
        <v>TS3</v>
      </c>
      <c r="I201" t="str">
        <f xml:space="preserve"> SUBSTITUTE( SUBSTITUTE( SUBSTITUTE( SUBSTITUTE( SUBSTITUTE( SUBSTITUTE( SUBSTITUTE( SUBSTITUTE( SampleImport!I209, "A", 1), "C", 2), "G", 3),"T", 4), 1, "T"), 2, "G"), 3, "C"), 4, "A")</f>
        <v>TCTCAGCC</v>
      </c>
    </row>
    <row r="202" spans="1:9" x14ac:dyDescent="0.35">
      <c r="A202" t="str">
        <f>SampleImport!A210</f>
        <v>23-NAABNY82</v>
      </c>
      <c r="B202" t="str">
        <f>SampleImport!G210</f>
        <v>ATTGGACA</v>
      </c>
      <c r="C202" t="str">
        <f t="shared" si="2"/>
        <v>TTGCTGGA</v>
      </c>
      <c r="D202" s="127" t="str">
        <f>SampleImport!K210</f>
        <v>TS3</v>
      </c>
      <c r="I202" t="str">
        <f xml:space="preserve"> SUBSTITUTE( SUBSTITUTE( SUBSTITUTE( SUBSTITUTE( SUBSTITUTE( SUBSTITUTE( SUBSTITUTE( SUBSTITUTE( SampleImport!I210, "A", 1), "C", 2), "G", 3),"T", 4), 1, "T"), 2, "G"), 3, "C"), 4, "A")</f>
        <v>AGGTCGTT</v>
      </c>
    </row>
    <row r="203" spans="1:9" x14ac:dyDescent="0.35">
      <c r="A203" t="str">
        <f>SampleImport!A211</f>
        <v>24-NAABNY83</v>
      </c>
      <c r="B203" t="str">
        <f>SampleImport!G211</f>
        <v>ACCCGTTG</v>
      </c>
      <c r="C203" t="str">
        <f t="shared" si="2"/>
        <v>CAGCTTCG</v>
      </c>
      <c r="D203" s="127" t="str">
        <f>SampleImport!K211</f>
        <v>TS3</v>
      </c>
      <c r="I203" t="str">
        <f xml:space="preserve"> SUBSTITUTE( SUBSTITUTE( SUBSTITUTE( SUBSTITUTE( SUBSTITUTE( SUBSTITUTE( SUBSTITUTE( SUBSTITUTE( SampleImport!I211, "A", 1), "C", 2), "G", 3),"T", 4), 1, "T"), 2, "G"), 3, "C"), 4, "A")</f>
        <v>GCTTCGAC</v>
      </c>
    </row>
    <row r="204" spans="1:9" x14ac:dyDescent="0.35">
      <c r="A204" t="str">
        <f>SampleImport!A212</f>
        <v>8-XAGBRW02t13</v>
      </c>
      <c r="B204" t="str">
        <f>SampleImport!G212</f>
        <v>CGATAGAG</v>
      </c>
      <c r="C204" t="str">
        <f t="shared" si="2"/>
        <v>ATGGCGAA</v>
      </c>
      <c r="D204" s="127" t="str">
        <f>SampleImport!K212</f>
        <v>TS95</v>
      </c>
      <c r="I204" t="str">
        <f xml:space="preserve"> SUBSTITUTE( SUBSTITUTE( SUBSTITUTE( SUBSTITUTE( SUBSTITUTE( SUBSTITUTE( SUBSTITUTE( SUBSTITUTE( SampleImport!I212, "A", 1), "C", 2), "G", 3),"T", 4), 1, "T"), 2, "G"), 3, "C"), 4, "A")</f>
        <v>AAGCGGTA</v>
      </c>
    </row>
    <row r="205" spans="1:9" x14ac:dyDescent="0.35">
      <c r="A205" t="str">
        <f>SampleImport!A213</f>
        <v>9-SAAAFJ38t18</v>
      </c>
      <c r="B205" t="str">
        <f>SampleImport!G213</f>
        <v>TGGAGAGT</v>
      </c>
      <c r="C205" t="str">
        <f t="shared" si="2"/>
        <v>TCCTACCT</v>
      </c>
      <c r="D205" s="127" t="str">
        <f>SampleImport!K213</f>
        <v>TSPRO</v>
      </c>
      <c r="I205" t="str">
        <f xml:space="preserve"> SUBSTITUTE( SUBSTITUTE( SUBSTITUTE( SUBSTITUTE( SUBSTITUTE( SUBSTITUTE( SUBSTITUTE( SUBSTITUTE( SampleImport!I213, "A", 1), "C", 2), "G", 3),"T", 4), 1, "T"), 2, "G"), 3, "C"), 4, "A")</f>
        <v>TCCATCCT</v>
      </c>
    </row>
    <row r="206" spans="1:9" x14ac:dyDescent="0.35">
      <c r="A206" t="str">
        <f>SampleImport!A214</f>
        <v>10-SAAAFJ60t21</v>
      </c>
      <c r="B206" t="str">
        <f>SampleImport!G214</f>
        <v>CTGGAGTA</v>
      </c>
      <c r="C206" t="str">
        <f t="shared" si="2"/>
        <v>CTACTTGG</v>
      </c>
      <c r="D206" s="127" t="str">
        <f>SampleImport!K214</f>
        <v>TSPRO</v>
      </c>
      <c r="I206" t="str">
        <f xml:space="preserve"> SUBSTITUTE( SUBSTITUTE( SUBSTITUTE( SUBSTITUTE( SUBSTITUTE( SUBSTITUTE( SUBSTITUTE( SUBSTITUTE( SampleImport!I214, "A", 1), "C", 2), "G", 3),"T", 4), 1, "T"), 2, "G"), 3, "C"), 4, "A")</f>
        <v>GGTTCATC</v>
      </c>
    </row>
    <row r="207" spans="1:9" x14ac:dyDescent="0.35">
      <c r="A207" t="str">
        <f>SampleImport!A215</f>
        <v>1-WGAAAC75</v>
      </c>
      <c r="B207" t="str">
        <f>SampleImport!G215</f>
        <v>AAATCCTC</v>
      </c>
      <c r="C207" t="str">
        <f t="shared" si="2"/>
        <v>AACCCGCC</v>
      </c>
      <c r="D207" s="127" t="str">
        <f>SampleImport!K215</f>
        <v>WGS</v>
      </c>
      <c r="I207" t="str">
        <f xml:space="preserve"> SUBSTITUTE( SUBSTITUTE( SUBSTITUTE( SUBSTITUTE( SUBSTITUTE( SUBSTITUTE( SUBSTITUTE( SUBSTITUTE( SampleImport!I215, "A", 1), "C", 2), "G", 3),"T", 4), 1, "T"), 2, "G"), 3, "C"), 4, "A")</f>
        <v>CCGCCCAA</v>
      </c>
    </row>
    <row r="208" spans="1:9" x14ac:dyDescent="0.35">
      <c r="A208" t="str">
        <f>SampleImport!A216</f>
        <v>2-WGGAAD10</v>
      </c>
      <c r="B208" t="str">
        <f>SampleImport!G216</f>
        <v>TACAGATG</v>
      </c>
      <c r="C208" t="str">
        <f t="shared" ref="C208:C271" si="3" xml:space="preserve"> MID(I208,30,1) &amp; MID(I208,29,1) &amp; MID(I208,28,1) &amp; MID(I208,27,1) &amp; MID(I208,26,1) &amp; MID(I208,25,1) &amp; MID(I208,24,1) &amp; MID(I208,23,1) &amp; MID(I208,22,1) &amp; MID(I208,21,1) &amp; MID(I208,20,1) &amp; MID(I208,19,1) &amp; MID(I208,18,1) &amp; MID(I208,17,1) &amp; MID(I208,16,1) &amp; MID(I208,15,1) &amp; MID(I208,14,1) &amp; MID(I208,13,1) &amp; MID(I208,12,1) &amp; MID(I208,11,1) &amp; MID(I208,10,1) &amp; MID(I208,9,1) &amp; MID(I208,8,1) &amp; MID(I208,7,1) &amp; MID(I208,6,1) &amp; MID(I208,5,1) &amp; MID(I208,4,1) &amp; MID(I208,3,1) &amp; MID(I208,2,1) &amp; MID(I208,1,1)</f>
        <v>CGAACGTG</v>
      </c>
      <c r="D208" s="127" t="str">
        <f>SampleImport!K216</f>
        <v>WGS</v>
      </c>
      <c r="I208" t="str">
        <f xml:space="preserve"> SUBSTITUTE( SUBSTITUTE( SUBSTITUTE( SUBSTITUTE( SUBSTITUTE( SUBSTITUTE( SUBSTITUTE( SUBSTITUTE( SampleImport!I216, "A", 1), "C", 2), "G", 3),"T", 4), 1, "T"), 2, "G"), 3, "C"), 4, "A")</f>
        <v>GTGCAAGC</v>
      </c>
    </row>
    <row r="209" spans="1:9" x14ac:dyDescent="0.35">
      <c r="A209">
        <f>SampleImport!A217</f>
        <v>0</v>
      </c>
      <c r="B209">
        <f>SampleImport!G217</f>
        <v>0</v>
      </c>
      <c r="C209" t="str">
        <f t="shared" si="3"/>
        <v/>
      </c>
      <c r="D209" s="127">
        <f>SampleImport!K217</f>
        <v>0</v>
      </c>
      <c r="I209" t="str">
        <f xml:space="preserve"> SUBSTITUTE( SUBSTITUTE( SUBSTITUTE( SUBSTITUTE( SUBSTITUTE( SUBSTITUTE( SUBSTITUTE( SUBSTITUTE( SampleImport!I217, "A", 1), "C", 2), "G", 3),"T", 4), 1, "T"), 2, "G"), 3, "C"), 4, "A")</f>
        <v/>
      </c>
    </row>
    <row r="210" spans="1:9" x14ac:dyDescent="0.35">
      <c r="A210">
        <f>SampleImport!A218</f>
        <v>0</v>
      </c>
      <c r="B210">
        <f>SampleImport!G218</f>
        <v>0</v>
      </c>
      <c r="C210" t="str">
        <f t="shared" si="3"/>
        <v/>
      </c>
      <c r="D210" s="127">
        <f>SampleImport!K218</f>
        <v>0</v>
      </c>
      <c r="I210" t="str">
        <f xml:space="preserve"> SUBSTITUTE( SUBSTITUTE( SUBSTITUTE( SUBSTITUTE( SUBSTITUTE( SUBSTITUTE( SUBSTITUTE( SUBSTITUTE( SampleImport!I218, "A", 1), "C", 2), "G", 3),"T", 4), 1, "T"), 2, "G"), 3, "C"), 4, "A")</f>
        <v/>
      </c>
    </row>
    <row r="211" spans="1:9" x14ac:dyDescent="0.35">
      <c r="A211">
        <f>SampleImport!A219</f>
        <v>0</v>
      </c>
      <c r="B211">
        <f>SampleImport!G219</f>
        <v>0</v>
      </c>
      <c r="C211" t="str">
        <f t="shared" si="3"/>
        <v/>
      </c>
      <c r="D211" s="127">
        <f>SampleImport!K219</f>
        <v>0</v>
      </c>
      <c r="I211" t="str">
        <f xml:space="preserve"> SUBSTITUTE( SUBSTITUTE( SUBSTITUTE( SUBSTITUTE( SUBSTITUTE( SUBSTITUTE( SUBSTITUTE( SUBSTITUTE( SampleImport!I219, "A", 1), "C", 2), "G", 3),"T", 4), 1, "T"), 2, "G"), 3, "C"), 4, "A")</f>
        <v/>
      </c>
    </row>
    <row r="212" spans="1:9" x14ac:dyDescent="0.35">
      <c r="A212">
        <f>SampleImport!A220</f>
        <v>0</v>
      </c>
      <c r="B212">
        <f>SampleImport!G220</f>
        <v>0</v>
      </c>
      <c r="C212" t="str">
        <f t="shared" si="3"/>
        <v/>
      </c>
      <c r="D212" s="127">
        <f>SampleImport!K220</f>
        <v>0</v>
      </c>
      <c r="I212" t="str">
        <f xml:space="preserve"> SUBSTITUTE( SUBSTITUTE( SUBSTITUTE( SUBSTITUTE( SUBSTITUTE( SUBSTITUTE( SUBSTITUTE( SUBSTITUTE( SampleImport!I220, "A", 1), "C", 2), "G", 3),"T", 4), 1, "T"), 2, "G"), 3, "C"), 4, "A")</f>
        <v/>
      </c>
    </row>
    <row r="213" spans="1:9" x14ac:dyDescent="0.35">
      <c r="A213">
        <f>SampleImport!A221</f>
        <v>0</v>
      </c>
      <c r="B213">
        <f>SampleImport!G221</f>
        <v>0</v>
      </c>
      <c r="C213" t="str">
        <f t="shared" si="3"/>
        <v/>
      </c>
      <c r="D213" s="127">
        <f>SampleImport!K221</f>
        <v>0</v>
      </c>
      <c r="I213" t="str">
        <f xml:space="preserve"> SUBSTITUTE( SUBSTITUTE( SUBSTITUTE( SUBSTITUTE( SUBSTITUTE( SUBSTITUTE( SUBSTITUTE( SUBSTITUTE( SampleImport!I221, "A", 1), "C", 2), "G", 3),"T", 4), 1, "T"), 2, "G"), 3, "C"), 4, "A")</f>
        <v/>
      </c>
    </row>
    <row r="214" spans="1:9" x14ac:dyDescent="0.35">
      <c r="A214">
        <f>SampleImport!A222</f>
        <v>0</v>
      </c>
      <c r="B214">
        <f>SampleImport!G222</f>
        <v>0</v>
      </c>
      <c r="C214" t="str">
        <f t="shared" si="3"/>
        <v/>
      </c>
      <c r="D214" s="127">
        <f>SampleImport!K222</f>
        <v>0</v>
      </c>
      <c r="I214" t="str">
        <f xml:space="preserve"> SUBSTITUTE( SUBSTITUTE( SUBSTITUTE( SUBSTITUTE( SUBSTITUTE( SUBSTITUTE( SUBSTITUTE( SUBSTITUTE( SampleImport!I222, "A", 1), "C", 2), "G", 3),"T", 4), 1, "T"), 2, "G"), 3, "C"), 4, "A")</f>
        <v/>
      </c>
    </row>
    <row r="215" spans="1:9" x14ac:dyDescent="0.35">
      <c r="A215">
        <f>SampleImport!A223</f>
        <v>0</v>
      </c>
      <c r="B215">
        <f>SampleImport!G223</f>
        <v>0</v>
      </c>
      <c r="C215" t="str">
        <f t="shared" si="3"/>
        <v/>
      </c>
      <c r="D215" s="127">
        <f>SampleImport!K223</f>
        <v>0</v>
      </c>
      <c r="I215" t="str">
        <f xml:space="preserve"> SUBSTITUTE( SUBSTITUTE( SUBSTITUTE( SUBSTITUTE( SUBSTITUTE( SUBSTITUTE( SUBSTITUTE( SUBSTITUTE( SampleImport!I223, "A", 1), "C", 2), "G", 3),"T", 4), 1, "T"), 2, "G"), 3, "C"), 4, "A")</f>
        <v/>
      </c>
    </row>
    <row r="216" spans="1:9" x14ac:dyDescent="0.35">
      <c r="A216">
        <f>SampleImport!A224</f>
        <v>0</v>
      </c>
      <c r="B216">
        <f>SampleImport!G224</f>
        <v>0</v>
      </c>
      <c r="C216" t="str">
        <f t="shared" si="3"/>
        <v/>
      </c>
      <c r="D216" s="127">
        <f>SampleImport!K224</f>
        <v>0</v>
      </c>
      <c r="I216" t="str">
        <f xml:space="preserve"> SUBSTITUTE( SUBSTITUTE( SUBSTITUTE( SUBSTITUTE( SUBSTITUTE( SUBSTITUTE( SUBSTITUTE( SUBSTITUTE( SampleImport!I224, "A", 1), "C", 2), "G", 3),"T", 4), 1, "T"), 2, "G"), 3, "C"), 4, "A")</f>
        <v/>
      </c>
    </row>
    <row r="217" spans="1:9" x14ac:dyDescent="0.35">
      <c r="A217">
        <f>SampleImport!A225</f>
        <v>0</v>
      </c>
      <c r="B217">
        <f>SampleImport!G225</f>
        <v>0</v>
      </c>
      <c r="C217" t="str">
        <f t="shared" si="3"/>
        <v/>
      </c>
      <c r="D217" s="127">
        <f>SampleImport!K225</f>
        <v>0</v>
      </c>
      <c r="I217" t="str">
        <f xml:space="preserve"> SUBSTITUTE( SUBSTITUTE( SUBSTITUTE( SUBSTITUTE( SUBSTITUTE( SUBSTITUTE( SUBSTITUTE( SUBSTITUTE( SampleImport!I225, "A", 1), "C", 2), "G", 3),"T", 4), 1, "T"), 2, "G"), 3, "C"), 4, "A")</f>
        <v/>
      </c>
    </row>
    <row r="218" spans="1:9" x14ac:dyDescent="0.35">
      <c r="A218">
        <f>SampleImport!A226</f>
        <v>0</v>
      </c>
      <c r="B218">
        <f>SampleImport!G226</f>
        <v>0</v>
      </c>
      <c r="C218" t="str">
        <f t="shared" si="3"/>
        <v/>
      </c>
      <c r="D218" s="127">
        <f>SampleImport!K226</f>
        <v>0</v>
      </c>
      <c r="I218" t="str">
        <f xml:space="preserve"> SUBSTITUTE( SUBSTITUTE( SUBSTITUTE( SUBSTITUTE( SUBSTITUTE( SUBSTITUTE( SUBSTITUTE( SUBSTITUTE( SampleImport!I226, "A", 1), "C", 2), "G", 3),"T", 4), 1, "T"), 2, "G"), 3, "C"), 4, "A")</f>
        <v/>
      </c>
    </row>
    <row r="219" spans="1:9" x14ac:dyDescent="0.35">
      <c r="A219">
        <f>SampleImport!A227</f>
        <v>0</v>
      </c>
      <c r="B219">
        <f>SampleImport!G227</f>
        <v>0</v>
      </c>
      <c r="C219" t="str">
        <f t="shared" si="3"/>
        <v/>
      </c>
      <c r="D219" s="127">
        <f>SampleImport!K227</f>
        <v>0</v>
      </c>
      <c r="I219" t="str">
        <f xml:space="preserve"> SUBSTITUTE( SUBSTITUTE( SUBSTITUTE( SUBSTITUTE( SUBSTITUTE( SUBSTITUTE( SUBSTITUTE( SUBSTITUTE( SampleImport!I227, "A", 1), "C", 2), "G", 3),"T", 4), 1, "T"), 2, "G"), 3, "C"), 4, "A")</f>
        <v/>
      </c>
    </row>
    <row r="220" spans="1:9" x14ac:dyDescent="0.35">
      <c r="A220">
        <f>SampleImport!A228</f>
        <v>0</v>
      </c>
      <c r="B220">
        <f>SampleImport!G228</f>
        <v>0</v>
      </c>
      <c r="C220" t="str">
        <f t="shared" si="3"/>
        <v/>
      </c>
      <c r="D220" s="127">
        <f>SampleImport!K228</f>
        <v>0</v>
      </c>
      <c r="I220" t="str">
        <f xml:space="preserve"> SUBSTITUTE( SUBSTITUTE( SUBSTITUTE( SUBSTITUTE( SUBSTITUTE( SUBSTITUTE( SUBSTITUTE( SUBSTITUTE( SampleImport!I228, "A", 1), "C", 2), "G", 3),"T", 4), 1, "T"), 2, "G"), 3, "C"), 4, "A")</f>
        <v/>
      </c>
    </row>
    <row r="221" spans="1:9" x14ac:dyDescent="0.35">
      <c r="A221">
        <f>SampleImport!A229</f>
        <v>0</v>
      </c>
      <c r="B221">
        <f>SampleImport!G229</f>
        <v>0</v>
      </c>
      <c r="C221" t="str">
        <f t="shared" si="3"/>
        <v/>
      </c>
      <c r="D221" s="127">
        <f>SampleImport!K229</f>
        <v>0</v>
      </c>
      <c r="I221" t="str">
        <f xml:space="preserve"> SUBSTITUTE( SUBSTITUTE( SUBSTITUTE( SUBSTITUTE( SUBSTITUTE( SUBSTITUTE( SUBSTITUTE( SUBSTITUTE( SampleImport!I229, "A", 1), "C", 2), "G", 3),"T", 4), 1, "T"), 2, "G"), 3, "C"), 4, "A")</f>
        <v/>
      </c>
    </row>
    <row r="222" spans="1:9" x14ac:dyDescent="0.35">
      <c r="A222">
        <f>SampleImport!A230</f>
        <v>0</v>
      </c>
      <c r="B222">
        <f>SampleImport!G230</f>
        <v>0</v>
      </c>
      <c r="C222" t="str">
        <f t="shared" si="3"/>
        <v/>
      </c>
      <c r="D222" s="127">
        <f>SampleImport!K230</f>
        <v>0</v>
      </c>
      <c r="I222" t="str">
        <f xml:space="preserve"> SUBSTITUTE( SUBSTITUTE( SUBSTITUTE( SUBSTITUTE( SUBSTITUTE( SUBSTITUTE( SUBSTITUTE( SUBSTITUTE( SampleImport!I230, "A", 1), "C", 2), "G", 3),"T", 4), 1, "T"), 2, "G"), 3, "C"), 4, "A")</f>
        <v/>
      </c>
    </row>
    <row r="223" spans="1:9" x14ac:dyDescent="0.35">
      <c r="A223">
        <f>SampleImport!A231</f>
        <v>0</v>
      </c>
      <c r="B223">
        <f>SampleImport!G231</f>
        <v>0</v>
      </c>
      <c r="C223" t="str">
        <f t="shared" si="3"/>
        <v/>
      </c>
      <c r="D223" s="127">
        <f>SampleImport!K231</f>
        <v>0</v>
      </c>
      <c r="I223" t="str">
        <f xml:space="preserve"> SUBSTITUTE( SUBSTITUTE( SUBSTITUTE( SUBSTITUTE( SUBSTITUTE( SUBSTITUTE( SUBSTITUTE( SUBSTITUTE( SampleImport!I231, "A", 1), "C", 2), "G", 3),"T", 4), 1, "T"), 2, "G"), 3, "C"), 4, "A")</f>
        <v/>
      </c>
    </row>
    <row r="224" spans="1:9" x14ac:dyDescent="0.35">
      <c r="A224">
        <f>SampleImport!A232</f>
        <v>0</v>
      </c>
      <c r="B224">
        <f>SampleImport!G232</f>
        <v>0</v>
      </c>
      <c r="C224" t="str">
        <f t="shared" si="3"/>
        <v/>
      </c>
      <c r="D224" s="127">
        <f>SampleImport!K232</f>
        <v>0</v>
      </c>
      <c r="I224" t="str">
        <f xml:space="preserve"> SUBSTITUTE( SUBSTITUTE( SUBSTITUTE( SUBSTITUTE( SUBSTITUTE( SUBSTITUTE( SUBSTITUTE( SUBSTITUTE( SampleImport!I232, "A", 1), "C", 2), "G", 3),"T", 4), 1, "T"), 2, "G"), 3, "C"), 4, "A")</f>
        <v/>
      </c>
    </row>
    <row r="225" spans="1:9" x14ac:dyDescent="0.35">
      <c r="A225">
        <f>SampleImport!A233</f>
        <v>0</v>
      </c>
      <c r="B225">
        <f>SampleImport!G233</f>
        <v>0</v>
      </c>
      <c r="C225" t="str">
        <f t="shared" si="3"/>
        <v/>
      </c>
      <c r="D225" s="127">
        <f>SampleImport!K233</f>
        <v>0</v>
      </c>
      <c r="I225" t="str">
        <f xml:space="preserve"> SUBSTITUTE( SUBSTITUTE( SUBSTITUTE( SUBSTITUTE( SUBSTITUTE( SUBSTITUTE( SUBSTITUTE( SUBSTITUTE( SampleImport!I233, "A", 1), "C", 2), "G", 3),"T", 4), 1, "T"), 2, "G"), 3, "C"), 4, "A")</f>
        <v/>
      </c>
    </row>
    <row r="226" spans="1:9" x14ac:dyDescent="0.35">
      <c r="A226">
        <f>SampleImport!A234</f>
        <v>0</v>
      </c>
      <c r="B226">
        <f>SampleImport!G234</f>
        <v>0</v>
      </c>
      <c r="C226" t="str">
        <f t="shared" si="3"/>
        <v/>
      </c>
      <c r="D226" s="127">
        <f>SampleImport!K234</f>
        <v>0</v>
      </c>
      <c r="I226" t="str">
        <f xml:space="preserve"> SUBSTITUTE( SUBSTITUTE( SUBSTITUTE( SUBSTITUTE( SUBSTITUTE( SUBSTITUTE( SUBSTITUTE( SUBSTITUTE( SampleImport!I234, "A", 1), "C", 2), "G", 3),"T", 4), 1, "T"), 2, "G"), 3, "C"), 4, "A")</f>
        <v/>
      </c>
    </row>
    <row r="227" spans="1:9" x14ac:dyDescent="0.35">
      <c r="A227">
        <f>SampleImport!A235</f>
        <v>0</v>
      </c>
      <c r="B227">
        <f>SampleImport!G235</f>
        <v>0</v>
      </c>
      <c r="C227" t="str">
        <f t="shared" si="3"/>
        <v/>
      </c>
      <c r="D227" s="127">
        <f>SampleImport!K235</f>
        <v>0</v>
      </c>
      <c r="I227" t="str">
        <f xml:space="preserve"> SUBSTITUTE( SUBSTITUTE( SUBSTITUTE( SUBSTITUTE( SUBSTITUTE( SUBSTITUTE( SUBSTITUTE( SUBSTITUTE( SampleImport!I235, "A", 1), "C", 2), "G", 3),"T", 4), 1, "T"), 2, "G"), 3, "C"), 4, "A")</f>
        <v/>
      </c>
    </row>
    <row r="228" spans="1:9" x14ac:dyDescent="0.35">
      <c r="A228">
        <f>SampleImport!A236</f>
        <v>0</v>
      </c>
      <c r="B228">
        <f>SampleImport!G236</f>
        <v>0</v>
      </c>
      <c r="C228" t="str">
        <f t="shared" si="3"/>
        <v/>
      </c>
      <c r="D228" s="127">
        <f>SampleImport!K236</f>
        <v>0</v>
      </c>
      <c r="I228" t="str">
        <f xml:space="preserve"> SUBSTITUTE( SUBSTITUTE( SUBSTITUTE( SUBSTITUTE( SUBSTITUTE( SUBSTITUTE( SUBSTITUTE( SUBSTITUTE( SampleImport!I236, "A", 1), "C", 2), "G", 3),"T", 4), 1, "T"), 2, "G"), 3, "C"), 4, "A")</f>
        <v/>
      </c>
    </row>
    <row r="229" spans="1:9" x14ac:dyDescent="0.35">
      <c r="A229">
        <f>SampleImport!A237</f>
        <v>0</v>
      </c>
      <c r="B229">
        <f>SampleImport!G237</f>
        <v>0</v>
      </c>
      <c r="C229" t="str">
        <f t="shared" si="3"/>
        <v/>
      </c>
      <c r="D229" s="127">
        <f>SampleImport!K237</f>
        <v>0</v>
      </c>
      <c r="I229" t="str">
        <f xml:space="preserve"> SUBSTITUTE( SUBSTITUTE( SUBSTITUTE( SUBSTITUTE( SUBSTITUTE( SUBSTITUTE( SUBSTITUTE( SUBSTITUTE( SampleImport!I237, "A", 1), "C", 2), "G", 3),"T", 4), 1, "T"), 2, "G"), 3, "C"), 4, "A")</f>
        <v/>
      </c>
    </row>
    <row r="230" spans="1:9" x14ac:dyDescent="0.35">
      <c r="A230">
        <f>SampleImport!A238</f>
        <v>0</v>
      </c>
      <c r="B230">
        <f>SampleImport!G238</f>
        <v>0</v>
      </c>
      <c r="C230" t="str">
        <f t="shared" si="3"/>
        <v/>
      </c>
      <c r="D230" s="127">
        <f>SampleImport!K238</f>
        <v>0</v>
      </c>
      <c r="I230" t="str">
        <f xml:space="preserve"> SUBSTITUTE( SUBSTITUTE( SUBSTITUTE( SUBSTITUTE( SUBSTITUTE( SUBSTITUTE( SUBSTITUTE( SUBSTITUTE( SampleImport!I238, "A", 1), "C", 2), "G", 3),"T", 4), 1, "T"), 2, "G"), 3, "C"), 4, "A")</f>
        <v/>
      </c>
    </row>
    <row r="231" spans="1:9" x14ac:dyDescent="0.35">
      <c r="A231">
        <f>SampleImport!A239</f>
        <v>0</v>
      </c>
      <c r="B231">
        <f>SampleImport!G239</f>
        <v>0</v>
      </c>
      <c r="C231" t="str">
        <f t="shared" si="3"/>
        <v/>
      </c>
      <c r="D231" s="127">
        <f>SampleImport!K239</f>
        <v>0</v>
      </c>
      <c r="I231" t="str">
        <f xml:space="preserve"> SUBSTITUTE( SUBSTITUTE( SUBSTITUTE( SUBSTITUTE( SUBSTITUTE( SUBSTITUTE( SUBSTITUTE( SUBSTITUTE( SampleImport!I239, "A", 1), "C", 2), "G", 3),"T", 4), 1, "T"), 2, "G"), 3, "C"), 4, "A")</f>
        <v/>
      </c>
    </row>
    <row r="232" spans="1:9" x14ac:dyDescent="0.35">
      <c r="A232">
        <f>SampleImport!A240</f>
        <v>0</v>
      </c>
      <c r="B232">
        <f>SampleImport!G240</f>
        <v>0</v>
      </c>
      <c r="C232" t="str">
        <f t="shared" si="3"/>
        <v/>
      </c>
      <c r="D232" s="127">
        <f>SampleImport!K240</f>
        <v>0</v>
      </c>
      <c r="I232" t="str">
        <f xml:space="preserve"> SUBSTITUTE( SUBSTITUTE( SUBSTITUTE( SUBSTITUTE( SUBSTITUTE( SUBSTITUTE( SUBSTITUTE( SUBSTITUTE( SampleImport!I240, "A", 1), "C", 2), "G", 3),"T", 4), 1, "T"), 2, "G"), 3, "C"), 4, "A")</f>
        <v/>
      </c>
    </row>
    <row r="233" spans="1:9" x14ac:dyDescent="0.35">
      <c r="A233">
        <f>SampleImport!A241</f>
        <v>0</v>
      </c>
      <c r="B233">
        <f>SampleImport!G241</f>
        <v>0</v>
      </c>
      <c r="C233" t="str">
        <f t="shared" si="3"/>
        <v/>
      </c>
      <c r="D233" s="127">
        <f>SampleImport!K241</f>
        <v>0</v>
      </c>
      <c r="I233" t="str">
        <f xml:space="preserve"> SUBSTITUTE( SUBSTITUTE( SUBSTITUTE( SUBSTITUTE( SUBSTITUTE( SUBSTITUTE( SUBSTITUTE( SUBSTITUTE( SampleImport!I241, "A", 1), "C", 2), "G", 3),"T", 4), 1, "T"), 2, "G"), 3, "C"), 4, "A")</f>
        <v/>
      </c>
    </row>
    <row r="234" spans="1:9" x14ac:dyDescent="0.35">
      <c r="A234">
        <f>SampleImport!A242</f>
        <v>0</v>
      </c>
      <c r="B234">
        <f>SampleImport!G242</f>
        <v>0</v>
      </c>
      <c r="C234" t="str">
        <f t="shared" si="3"/>
        <v/>
      </c>
      <c r="D234" s="127">
        <f>SampleImport!K242</f>
        <v>0</v>
      </c>
      <c r="I234" t="str">
        <f xml:space="preserve"> SUBSTITUTE( SUBSTITUTE( SUBSTITUTE( SUBSTITUTE( SUBSTITUTE( SUBSTITUTE( SUBSTITUTE( SUBSTITUTE( SampleImport!I242, "A", 1), "C", 2), "G", 3),"T", 4), 1, "T"), 2, "G"), 3, "C"), 4, "A")</f>
        <v/>
      </c>
    </row>
    <row r="235" spans="1:9" x14ac:dyDescent="0.35">
      <c r="A235">
        <f>SampleImport!A243</f>
        <v>0</v>
      </c>
      <c r="B235">
        <f>SampleImport!G243</f>
        <v>0</v>
      </c>
      <c r="C235" t="str">
        <f t="shared" si="3"/>
        <v/>
      </c>
      <c r="D235" s="127">
        <f>SampleImport!K243</f>
        <v>0</v>
      </c>
      <c r="I235" t="str">
        <f xml:space="preserve"> SUBSTITUTE( SUBSTITUTE( SUBSTITUTE( SUBSTITUTE( SUBSTITUTE( SUBSTITUTE( SUBSTITUTE( SUBSTITUTE( SampleImport!I243, "A", 1), "C", 2), "G", 3),"T", 4), 1, "T"), 2, "G"), 3, "C"), 4, "A")</f>
        <v/>
      </c>
    </row>
    <row r="236" spans="1:9" x14ac:dyDescent="0.35">
      <c r="A236">
        <f>SampleImport!A244</f>
        <v>0</v>
      </c>
      <c r="B236">
        <f>SampleImport!G244</f>
        <v>0</v>
      </c>
      <c r="C236" t="str">
        <f t="shared" si="3"/>
        <v/>
      </c>
      <c r="D236" s="127">
        <f>SampleImport!K244</f>
        <v>0</v>
      </c>
      <c r="I236" t="str">
        <f xml:space="preserve"> SUBSTITUTE( SUBSTITUTE( SUBSTITUTE( SUBSTITUTE( SUBSTITUTE( SUBSTITUTE( SUBSTITUTE( SUBSTITUTE( SampleImport!I244, "A", 1), "C", 2), "G", 3),"T", 4), 1, "T"), 2, "G"), 3, "C"), 4, "A")</f>
        <v/>
      </c>
    </row>
    <row r="237" spans="1:9" x14ac:dyDescent="0.35">
      <c r="A237">
        <f>SampleImport!A245</f>
        <v>0</v>
      </c>
      <c r="B237">
        <f>SampleImport!G245</f>
        <v>0</v>
      </c>
      <c r="C237" t="str">
        <f t="shared" si="3"/>
        <v/>
      </c>
      <c r="D237" s="127">
        <f>SampleImport!K245</f>
        <v>0</v>
      </c>
      <c r="I237" t="str">
        <f xml:space="preserve"> SUBSTITUTE( SUBSTITUTE( SUBSTITUTE( SUBSTITUTE( SUBSTITUTE( SUBSTITUTE( SUBSTITUTE( SUBSTITUTE( SampleImport!I245, "A", 1), "C", 2), "G", 3),"T", 4), 1, "T"), 2, "G"), 3, "C"), 4, "A")</f>
        <v/>
      </c>
    </row>
    <row r="238" spans="1:9" x14ac:dyDescent="0.35">
      <c r="A238">
        <f>SampleImport!A246</f>
        <v>0</v>
      </c>
      <c r="B238">
        <f>SampleImport!G246</f>
        <v>0</v>
      </c>
      <c r="C238" t="str">
        <f t="shared" si="3"/>
        <v/>
      </c>
      <c r="D238" s="127">
        <f>SampleImport!K246</f>
        <v>0</v>
      </c>
      <c r="I238" t="str">
        <f xml:space="preserve"> SUBSTITUTE( SUBSTITUTE( SUBSTITUTE( SUBSTITUTE( SUBSTITUTE( SUBSTITUTE( SUBSTITUTE( SUBSTITUTE( SampleImport!I246, "A", 1), "C", 2), "G", 3),"T", 4), 1, "T"), 2, "G"), 3, "C"), 4, "A")</f>
        <v/>
      </c>
    </row>
    <row r="239" spans="1:9" x14ac:dyDescent="0.35">
      <c r="A239">
        <f>SampleImport!A247</f>
        <v>0</v>
      </c>
      <c r="B239">
        <f>SampleImport!G247</f>
        <v>0</v>
      </c>
      <c r="C239" t="str">
        <f t="shared" si="3"/>
        <v/>
      </c>
      <c r="D239" s="127">
        <f>SampleImport!K247</f>
        <v>0</v>
      </c>
      <c r="I239" t="str">
        <f xml:space="preserve"> SUBSTITUTE( SUBSTITUTE( SUBSTITUTE( SUBSTITUTE( SUBSTITUTE( SUBSTITUTE( SUBSTITUTE( SUBSTITUTE( SampleImport!I247, "A", 1), "C", 2), "G", 3),"T", 4), 1, "T"), 2, "G"), 3, "C"), 4, "A")</f>
        <v/>
      </c>
    </row>
    <row r="240" spans="1:9" x14ac:dyDescent="0.35">
      <c r="A240">
        <f>SampleImport!A248</f>
        <v>0</v>
      </c>
      <c r="B240">
        <f>SampleImport!G248</f>
        <v>0</v>
      </c>
      <c r="C240" t="str">
        <f t="shared" si="3"/>
        <v/>
      </c>
      <c r="D240" s="127">
        <f>SampleImport!K248</f>
        <v>0</v>
      </c>
      <c r="I240" t="str">
        <f xml:space="preserve"> SUBSTITUTE( SUBSTITUTE( SUBSTITUTE( SUBSTITUTE( SUBSTITUTE( SUBSTITUTE( SUBSTITUTE( SUBSTITUTE( SampleImport!I248, "A", 1), "C", 2), "G", 3),"T", 4), 1, "T"), 2, "G"), 3, "C"), 4, "A")</f>
        <v/>
      </c>
    </row>
    <row r="241" spans="1:9" x14ac:dyDescent="0.35">
      <c r="A241">
        <f>SampleImport!A249</f>
        <v>0</v>
      </c>
      <c r="B241">
        <f>SampleImport!G249</f>
        <v>0</v>
      </c>
      <c r="C241" t="str">
        <f t="shared" si="3"/>
        <v/>
      </c>
      <c r="D241" s="127">
        <f>SampleImport!K249</f>
        <v>0</v>
      </c>
      <c r="I241" t="str">
        <f xml:space="preserve"> SUBSTITUTE( SUBSTITUTE( SUBSTITUTE( SUBSTITUTE( SUBSTITUTE( SUBSTITUTE( SUBSTITUTE( SUBSTITUTE( SampleImport!I249, "A", 1), "C", 2), "G", 3),"T", 4), 1, "T"), 2, "G"), 3, "C"), 4, "A")</f>
        <v/>
      </c>
    </row>
    <row r="242" spans="1:9" x14ac:dyDescent="0.35">
      <c r="A242">
        <f>SampleImport!A250</f>
        <v>0</v>
      </c>
      <c r="B242">
        <f>SampleImport!G250</f>
        <v>0</v>
      </c>
      <c r="C242" t="str">
        <f t="shared" si="3"/>
        <v/>
      </c>
      <c r="D242" s="127">
        <f>SampleImport!K250</f>
        <v>0</v>
      </c>
      <c r="I242" t="str">
        <f xml:space="preserve"> SUBSTITUTE( SUBSTITUTE( SUBSTITUTE( SUBSTITUTE( SUBSTITUTE( SUBSTITUTE( SUBSTITUTE( SUBSTITUTE( SampleImport!I250, "A", 1), "C", 2), "G", 3),"T", 4), 1, "T"), 2, "G"), 3, "C"), 4, "A")</f>
        <v/>
      </c>
    </row>
    <row r="243" spans="1:9" x14ac:dyDescent="0.35">
      <c r="A243">
        <f>SampleImport!A251</f>
        <v>0</v>
      </c>
      <c r="B243">
        <f>SampleImport!G251</f>
        <v>0</v>
      </c>
      <c r="C243" t="str">
        <f t="shared" si="3"/>
        <v/>
      </c>
      <c r="D243" s="127">
        <f>SampleImport!K251</f>
        <v>0</v>
      </c>
      <c r="I243" t="str">
        <f xml:space="preserve"> SUBSTITUTE( SUBSTITUTE( SUBSTITUTE( SUBSTITUTE( SUBSTITUTE( SUBSTITUTE( SUBSTITUTE( SUBSTITUTE( SampleImport!I251, "A", 1), "C", 2), "G", 3),"T", 4), 1, "T"), 2, "G"), 3, "C"), 4, "A")</f>
        <v/>
      </c>
    </row>
    <row r="244" spans="1:9" x14ac:dyDescent="0.35">
      <c r="A244">
        <f>SampleImport!A252</f>
        <v>0</v>
      </c>
      <c r="B244">
        <f>SampleImport!G252</f>
        <v>0</v>
      </c>
      <c r="C244" t="str">
        <f t="shared" si="3"/>
        <v/>
      </c>
      <c r="D244" s="127">
        <f>SampleImport!K252</f>
        <v>0</v>
      </c>
      <c r="I244" t="str">
        <f xml:space="preserve"> SUBSTITUTE( SUBSTITUTE( SUBSTITUTE( SUBSTITUTE( SUBSTITUTE( SUBSTITUTE( SUBSTITUTE( SUBSTITUTE( SampleImport!I252, "A", 1), "C", 2), "G", 3),"T", 4), 1, "T"), 2, "G"), 3, "C"), 4, "A")</f>
        <v/>
      </c>
    </row>
    <row r="245" spans="1:9" x14ac:dyDescent="0.35">
      <c r="A245">
        <f>SampleImport!A253</f>
        <v>0</v>
      </c>
      <c r="B245">
        <f>SampleImport!G253</f>
        <v>0</v>
      </c>
      <c r="C245" t="str">
        <f t="shared" si="3"/>
        <v/>
      </c>
      <c r="D245" s="127">
        <f>SampleImport!K253</f>
        <v>0</v>
      </c>
      <c r="I245" t="str">
        <f xml:space="preserve"> SUBSTITUTE( SUBSTITUTE( SUBSTITUTE( SUBSTITUTE( SUBSTITUTE( SUBSTITUTE( SUBSTITUTE( SUBSTITUTE( SampleImport!I253, "A", 1), "C", 2), "G", 3),"T", 4), 1, "T"), 2, "G"), 3, "C"), 4, "A")</f>
        <v/>
      </c>
    </row>
    <row r="246" spans="1:9" x14ac:dyDescent="0.35">
      <c r="A246">
        <f>SampleImport!A254</f>
        <v>0</v>
      </c>
      <c r="B246">
        <f>SampleImport!G254</f>
        <v>0</v>
      </c>
      <c r="C246" t="str">
        <f t="shared" si="3"/>
        <v/>
      </c>
      <c r="D246" s="127">
        <f>SampleImport!K254</f>
        <v>0</v>
      </c>
      <c r="I246" t="str">
        <f xml:space="preserve"> SUBSTITUTE( SUBSTITUTE( SUBSTITUTE( SUBSTITUTE( SUBSTITUTE( SUBSTITUTE( SUBSTITUTE( SUBSTITUTE( SampleImport!I254, "A", 1), "C", 2), "G", 3),"T", 4), 1, "T"), 2, "G"), 3, "C"), 4, "A")</f>
        <v/>
      </c>
    </row>
    <row r="247" spans="1:9" x14ac:dyDescent="0.35">
      <c r="A247">
        <f>SampleImport!A255</f>
        <v>0</v>
      </c>
      <c r="B247">
        <f>SampleImport!G255</f>
        <v>0</v>
      </c>
      <c r="C247" t="str">
        <f t="shared" si="3"/>
        <v/>
      </c>
      <c r="D247" s="127">
        <f>SampleImport!K255</f>
        <v>0</v>
      </c>
      <c r="I247" t="str">
        <f xml:space="preserve"> SUBSTITUTE( SUBSTITUTE( SUBSTITUTE( SUBSTITUTE( SUBSTITUTE( SUBSTITUTE( SUBSTITUTE( SUBSTITUTE( SampleImport!I255, "A", 1), "C", 2), "G", 3),"T", 4), 1, "T"), 2, "G"), 3, "C"), 4, "A")</f>
        <v/>
      </c>
    </row>
    <row r="248" spans="1:9" x14ac:dyDescent="0.35">
      <c r="A248">
        <f>SampleImport!A256</f>
        <v>0</v>
      </c>
      <c r="B248">
        <f>SampleImport!G256</f>
        <v>0</v>
      </c>
      <c r="C248" t="str">
        <f t="shared" si="3"/>
        <v/>
      </c>
      <c r="D248" s="127">
        <f>SampleImport!K256</f>
        <v>0</v>
      </c>
      <c r="I248" t="str">
        <f xml:space="preserve"> SUBSTITUTE( SUBSTITUTE( SUBSTITUTE( SUBSTITUTE( SUBSTITUTE( SUBSTITUTE( SUBSTITUTE( SUBSTITUTE( SampleImport!I256, "A", 1), "C", 2), "G", 3),"T", 4), 1, "T"), 2, "G"), 3, "C"), 4, "A")</f>
        <v/>
      </c>
    </row>
    <row r="249" spans="1:9" x14ac:dyDescent="0.35">
      <c r="A249">
        <f>SampleImport!A257</f>
        <v>0</v>
      </c>
      <c r="B249">
        <f>SampleImport!G257</f>
        <v>0</v>
      </c>
      <c r="C249" t="str">
        <f t="shared" si="3"/>
        <v/>
      </c>
      <c r="D249" s="127">
        <f>SampleImport!K257</f>
        <v>0</v>
      </c>
      <c r="I249" t="str">
        <f xml:space="preserve"> SUBSTITUTE( SUBSTITUTE( SUBSTITUTE( SUBSTITUTE( SUBSTITUTE( SUBSTITUTE( SUBSTITUTE( SUBSTITUTE( SampleImport!I257, "A", 1), "C", 2), "G", 3),"T", 4), 1, "T"), 2, "G"), 3, "C"), 4, "A")</f>
        <v/>
      </c>
    </row>
    <row r="250" spans="1:9" x14ac:dyDescent="0.35">
      <c r="A250">
        <f>SampleImport!A258</f>
        <v>0</v>
      </c>
      <c r="B250">
        <f>SampleImport!G258</f>
        <v>0</v>
      </c>
      <c r="C250" t="str">
        <f t="shared" si="3"/>
        <v/>
      </c>
      <c r="D250" s="127">
        <f>SampleImport!K258</f>
        <v>0</v>
      </c>
      <c r="I250" t="str">
        <f xml:space="preserve"> SUBSTITUTE( SUBSTITUTE( SUBSTITUTE( SUBSTITUTE( SUBSTITUTE( SUBSTITUTE( SUBSTITUTE( SUBSTITUTE( SampleImport!I258, "A", 1), "C", 2), "G", 3),"T", 4), 1, "T"), 2, "G"), 3, "C"), 4, "A")</f>
        <v/>
      </c>
    </row>
    <row r="251" spans="1:9" x14ac:dyDescent="0.35">
      <c r="A251">
        <f>SampleImport!A259</f>
        <v>0</v>
      </c>
      <c r="B251">
        <f>SampleImport!G259</f>
        <v>0</v>
      </c>
      <c r="C251" t="str">
        <f t="shared" si="3"/>
        <v/>
      </c>
      <c r="D251" s="127">
        <f>SampleImport!K259</f>
        <v>0</v>
      </c>
      <c r="I251" t="str">
        <f xml:space="preserve"> SUBSTITUTE( SUBSTITUTE( SUBSTITUTE( SUBSTITUTE( SUBSTITUTE( SUBSTITUTE( SUBSTITUTE( SUBSTITUTE( SampleImport!I259, "A", 1), "C", 2), "G", 3),"T", 4), 1, "T"), 2, "G"), 3, "C"), 4, "A")</f>
        <v/>
      </c>
    </row>
    <row r="252" spans="1:9" x14ac:dyDescent="0.35">
      <c r="A252">
        <f>SampleImport!A260</f>
        <v>0</v>
      </c>
      <c r="B252">
        <f>SampleImport!G260</f>
        <v>0</v>
      </c>
      <c r="C252" t="str">
        <f t="shared" si="3"/>
        <v/>
      </c>
      <c r="D252" s="127">
        <f>SampleImport!K260</f>
        <v>0</v>
      </c>
      <c r="I252" t="str">
        <f xml:space="preserve"> SUBSTITUTE( SUBSTITUTE( SUBSTITUTE( SUBSTITUTE( SUBSTITUTE( SUBSTITUTE( SUBSTITUTE( SUBSTITUTE( SampleImport!I260, "A", 1), "C", 2), "G", 3),"T", 4), 1, "T"), 2, "G"), 3, "C"), 4, "A")</f>
        <v/>
      </c>
    </row>
    <row r="253" spans="1:9" x14ac:dyDescent="0.35">
      <c r="A253">
        <f>SampleImport!A261</f>
        <v>0</v>
      </c>
      <c r="B253">
        <f>SampleImport!G261</f>
        <v>0</v>
      </c>
      <c r="C253" t="str">
        <f t="shared" si="3"/>
        <v/>
      </c>
      <c r="D253" s="127">
        <f>SampleImport!K261</f>
        <v>0</v>
      </c>
      <c r="I253" t="str">
        <f xml:space="preserve"> SUBSTITUTE( SUBSTITUTE( SUBSTITUTE( SUBSTITUTE( SUBSTITUTE( SUBSTITUTE( SUBSTITUTE( SUBSTITUTE( SampleImport!I261, "A", 1), "C", 2), "G", 3),"T", 4), 1, "T"), 2, "G"), 3, "C"), 4, "A")</f>
        <v/>
      </c>
    </row>
    <row r="254" spans="1:9" x14ac:dyDescent="0.35">
      <c r="A254">
        <f>SampleImport!A262</f>
        <v>0</v>
      </c>
      <c r="B254">
        <f>SampleImport!G262</f>
        <v>0</v>
      </c>
      <c r="C254" t="str">
        <f t="shared" si="3"/>
        <v/>
      </c>
      <c r="D254" s="127">
        <f>SampleImport!K262</f>
        <v>0</v>
      </c>
      <c r="I254" t="str">
        <f xml:space="preserve"> SUBSTITUTE( SUBSTITUTE( SUBSTITUTE( SUBSTITUTE( SUBSTITUTE( SUBSTITUTE( SUBSTITUTE( SUBSTITUTE( SampleImport!I262, "A", 1), "C", 2), "G", 3),"T", 4), 1, "T"), 2, "G"), 3, "C"), 4, "A")</f>
        <v/>
      </c>
    </row>
    <row r="255" spans="1:9" x14ac:dyDescent="0.35">
      <c r="A255">
        <f>SampleImport!A263</f>
        <v>0</v>
      </c>
      <c r="B255">
        <f>SampleImport!G263</f>
        <v>0</v>
      </c>
      <c r="C255" t="str">
        <f t="shared" si="3"/>
        <v/>
      </c>
      <c r="D255" s="127">
        <f>SampleImport!K263</f>
        <v>0</v>
      </c>
      <c r="I255" t="str">
        <f xml:space="preserve"> SUBSTITUTE( SUBSTITUTE( SUBSTITUTE( SUBSTITUTE( SUBSTITUTE( SUBSTITUTE( SUBSTITUTE( SUBSTITUTE( SampleImport!I263, "A", 1), "C", 2), "G", 3),"T", 4), 1, "T"), 2, "G"), 3, "C"), 4, "A")</f>
        <v/>
      </c>
    </row>
    <row r="256" spans="1:9" x14ac:dyDescent="0.35">
      <c r="A256">
        <f>SampleImport!A264</f>
        <v>0</v>
      </c>
      <c r="B256">
        <f>SampleImport!G264</f>
        <v>0</v>
      </c>
      <c r="C256" t="str">
        <f t="shared" si="3"/>
        <v/>
      </c>
      <c r="D256" s="127">
        <f>SampleImport!K264</f>
        <v>0</v>
      </c>
      <c r="I256" t="str">
        <f xml:space="preserve"> SUBSTITUTE( SUBSTITUTE( SUBSTITUTE( SUBSTITUTE( SUBSTITUTE( SUBSTITUTE( SUBSTITUTE( SUBSTITUTE( SampleImport!I264, "A", 1), "C", 2), "G", 3),"T", 4), 1, "T"), 2, "G"), 3, "C"), 4, "A")</f>
        <v/>
      </c>
    </row>
    <row r="257" spans="1:9" x14ac:dyDescent="0.35">
      <c r="A257">
        <f>SampleImport!A265</f>
        <v>0</v>
      </c>
      <c r="B257">
        <f>SampleImport!G265</f>
        <v>0</v>
      </c>
      <c r="C257" t="str">
        <f t="shared" si="3"/>
        <v/>
      </c>
      <c r="D257" s="127">
        <f>SampleImport!K265</f>
        <v>0</v>
      </c>
      <c r="I257" t="str">
        <f xml:space="preserve"> SUBSTITUTE( SUBSTITUTE( SUBSTITUTE( SUBSTITUTE( SUBSTITUTE( SUBSTITUTE( SUBSTITUTE( SUBSTITUTE( SampleImport!I265, "A", 1), "C", 2), "G", 3),"T", 4), 1, "T"), 2, "G"), 3, "C"), 4, "A")</f>
        <v/>
      </c>
    </row>
    <row r="258" spans="1:9" x14ac:dyDescent="0.35">
      <c r="A258">
        <f>SampleImport!A266</f>
        <v>0</v>
      </c>
      <c r="B258">
        <f>SampleImport!G266</f>
        <v>0</v>
      </c>
      <c r="C258" t="str">
        <f t="shared" si="3"/>
        <v/>
      </c>
      <c r="D258" s="127">
        <f>SampleImport!K266</f>
        <v>0</v>
      </c>
      <c r="I258" t="str">
        <f xml:space="preserve"> SUBSTITUTE( SUBSTITUTE( SUBSTITUTE( SUBSTITUTE( SUBSTITUTE( SUBSTITUTE( SUBSTITUTE( SUBSTITUTE( SampleImport!I266, "A", 1), "C", 2), "G", 3),"T", 4), 1, "T"), 2, "G"), 3, "C"), 4, "A")</f>
        <v/>
      </c>
    </row>
    <row r="259" spans="1:9" x14ac:dyDescent="0.35">
      <c r="A259">
        <f>SampleImport!A267</f>
        <v>0</v>
      </c>
      <c r="B259">
        <f>SampleImport!G267</f>
        <v>0</v>
      </c>
      <c r="C259" t="str">
        <f t="shared" si="3"/>
        <v/>
      </c>
      <c r="D259" s="127">
        <f>SampleImport!K267</f>
        <v>0</v>
      </c>
      <c r="I259" t="str">
        <f xml:space="preserve"> SUBSTITUTE( SUBSTITUTE( SUBSTITUTE( SUBSTITUTE( SUBSTITUTE( SUBSTITUTE( SUBSTITUTE( SUBSTITUTE( SampleImport!I267, "A", 1), "C", 2), "G", 3),"T", 4), 1, "T"), 2, "G"), 3, "C"), 4, "A")</f>
        <v/>
      </c>
    </row>
    <row r="260" spans="1:9" x14ac:dyDescent="0.35">
      <c r="A260">
        <f>SampleImport!A268</f>
        <v>0</v>
      </c>
      <c r="B260">
        <f>SampleImport!G268</f>
        <v>0</v>
      </c>
      <c r="C260" t="str">
        <f t="shared" si="3"/>
        <v/>
      </c>
      <c r="D260" s="127">
        <f>SampleImport!K268</f>
        <v>0</v>
      </c>
      <c r="I260" t="str">
        <f xml:space="preserve"> SUBSTITUTE( SUBSTITUTE( SUBSTITUTE( SUBSTITUTE( SUBSTITUTE( SUBSTITUTE( SUBSTITUTE( SUBSTITUTE( SampleImport!I268, "A", 1), "C", 2), "G", 3),"T", 4), 1, "T"), 2, "G"), 3, "C"), 4, "A")</f>
        <v/>
      </c>
    </row>
    <row r="261" spans="1:9" x14ac:dyDescent="0.35">
      <c r="A261">
        <f>SampleImport!A269</f>
        <v>0</v>
      </c>
      <c r="B261">
        <f>SampleImport!G269</f>
        <v>0</v>
      </c>
      <c r="C261" t="str">
        <f t="shared" si="3"/>
        <v/>
      </c>
      <c r="D261" s="127">
        <f>SampleImport!K269</f>
        <v>0</v>
      </c>
      <c r="I261" t="str">
        <f xml:space="preserve"> SUBSTITUTE( SUBSTITUTE( SUBSTITUTE( SUBSTITUTE( SUBSTITUTE( SUBSTITUTE( SUBSTITUTE( SUBSTITUTE( SampleImport!I269, "A", 1), "C", 2), "G", 3),"T", 4), 1, "T"), 2, "G"), 3, "C"), 4, "A")</f>
        <v/>
      </c>
    </row>
    <row r="262" spans="1:9" x14ac:dyDescent="0.35">
      <c r="A262">
        <f>SampleImport!A270</f>
        <v>0</v>
      </c>
      <c r="B262">
        <f>SampleImport!G270</f>
        <v>0</v>
      </c>
      <c r="C262" t="str">
        <f t="shared" si="3"/>
        <v/>
      </c>
      <c r="D262" s="127">
        <f>SampleImport!K270</f>
        <v>0</v>
      </c>
      <c r="I262" t="str">
        <f xml:space="preserve"> SUBSTITUTE( SUBSTITUTE( SUBSTITUTE( SUBSTITUTE( SUBSTITUTE( SUBSTITUTE( SUBSTITUTE( SUBSTITUTE( SampleImport!I270, "A", 1), "C", 2), "G", 3),"T", 4), 1, "T"), 2, "G"), 3, "C"), 4, "A")</f>
        <v/>
      </c>
    </row>
    <row r="263" spans="1:9" x14ac:dyDescent="0.35">
      <c r="A263">
        <f>SampleImport!A271</f>
        <v>0</v>
      </c>
      <c r="B263">
        <f>SampleImport!G271</f>
        <v>0</v>
      </c>
      <c r="C263" t="str">
        <f t="shared" si="3"/>
        <v/>
      </c>
      <c r="D263" s="127">
        <f>SampleImport!K271</f>
        <v>0</v>
      </c>
      <c r="I263" t="str">
        <f xml:space="preserve"> SUBSTITUTE( SUBSTITUTE( SUBSTITUTE( SUBSTITUTE( SUBSTITUTE( SUBSTITUTE( SUBSTITUTE( SUBSTITUTE( SampleImport!I271, "A", 1), "C", 2), "G", 3),"T", 4), 1, "T"), 2, "G"), 3, "C"), 4, "A")</f>
        <v/>
      </c>
    </row>
    <row r="264" spans="1:9" x14ac:dyDescent="0.35">
      <c r="A264">
        <f>SampleImport!A272</f>
        <v>0</v>
      </c>
      <c r="B264">
        <f>SampleImport!G272</f>
        <v>0</v>
      </c>
      <c r="C264" t="str">
        <f t="shared" si="3"/>
        <v/>
      </c>
      <c r="D264" s="127">
        <f>SampleImport!K272</f>
        <v>0</v>
      </c>
      <c r="I264" t="str">
        <f xml:space="preserve"> SUBSTITUTE( SUBSTITUTE( SUBSTITUTE( SUBSTITUTE( SUBSTITUTE( SUBSTITUTE( SUBSTITUTE( SUBSTITUTE( SampleImport!I272, "A", 1), "C", 2), "G", 3),"T", 4), 1, "T"), 2, "G"), 3, "C"), 4, "A")</f>
        <v/>
      </c>
    </row>
    <row r="265" spans="1:9" x14ac:dyDescent="0.35">
      <c r="A265">
        <f>SampleImport!A273</f>
        <v>0</v>
      </c>
      <c r="B265">
        <f>SampleImport!G273</f>
        <v>0</v>
      </c>
      <c r="C265" t="str">
        <f t="shared" si="3"/>
        <v/>
      </c>
      <c r="D265" s="127">
        <f>SampleImport!K273</f>
        <v>0</v>
      </c>
      <c r="I265" t="str">
        <f xml:space="preserve"> SUBSTITUTE( SUBSTITUTE( SUBSTITUTE( SUBSTITUTE( SUBSTITUTE( SUBSTITUTE( SUBSTITUTE( SUBSTITUTE( SampleImport!I273, "A", 1), "C", 2), "G", 3),"T", 4), 1, "T"), 2, "G"), 3, "C"), 4, "A")</f>
        <v/>
      </c>
    </row>
    <row r="266" spans="1:9" x14ac:dyDescent="0.35">
      <c r="A266">
        <f>SampleImport!A274</f>
        <v>0</v>
      </c>
      <c r="B266">
        <f>SampleImport!G274</f>
        <v>0</v>
      </c>
      <c r="C266" t="str">
        <f t="shared" si="3"/>
        <v/>
      </c>
      <c r="D266" s="127">
        <f>SampleImport!K274</f>
        <v>0</v>
      </c>
      <c r="I266" t="str">
        <f xml:space="preserve"> SUBSTITUTE( SUBSTITUTE( SUBSTITUTE( SUBSTITUTE( SUBSTITUTE( SUBSTITUTE( SUBSTITUTE( SUBSTITUTE( SampleImport!I274, "A", 1), "C", 2), "G", 3),"T", 4), 1, "T"), 2, "G"), 3, "C"), 4, "A")</f>
        <v/>
      </c>
    </row>
    <row r="267" spans="1:9" x14ac:dyDescent="0.35">
      <c r="A267">
        <f>SampleImport!A275</f>
        <v>0</v>
      </c>
      <c r="B267">
        <f>SampleImport!G275</f>
        <v>0</v>
      </c>
      <c r="C267" t="str">
        <f t="shared" si="3"/>
        <v/>
      </c>
      <c r="D267" s="127">
        <f>SampleImport!K275</f>
        <v>0</v>
      </c>
      <c r="I267" t="str">
        <f xml:space="preserve"> SUBSTITUTE( SUBSTITUTE( SUBSTITUTE( SUBSTITUTE( SUBSTITUTE( SUBSTITUTE( SUBSTITUTE( SUBSTITUTE( SampleImport!I275, "A", 1), "C", 2), "G", 3),"T", 4), 1, "T"), 2, "G"), 3, "C"), 4, "A")</f>
        <v/>
      </c>
    </row>
    <row r="268" spans="1:9" x14ac:dyDescent="0.35">
      <c r="A268">
        <f>SampleImport!A276</f>
        <v>0</v>
      </c>
      <c r="B268">
        <f>SampleImport!G276</f>
        <v>0</v>
      </c>
      <c r="C268" t="str">
        <f t="shared" si="3"/>
        <v/>
      </c>
      <c r="D268" s="127">
        <f>SampleImport!K276</f>
        <v>0</v>
      </c>
      <c r="I268" t="str">
        <f xml:space="preserve"> SUBSTITUTE( SUBSTITUTE( SUBSTITUTE( SUBSTITUTE( SUBSTITUTE( SUBSTITUTE( SUBSTITUTE( SUBSTITUTE( SampleImport!I276, "A", 1), "C", 2), "G", 3),"T", 4), 1, "T"), 2, "G"), 3, "C"), 4, "A")</f>
        <v/>
      </c>
    </row>
    <row r="269" spans="1:9" x14ac:dyDescent="0.35">
      <c r="A269">
        <f>SampleImport!A277</f>
        <v>0</v>
      </c>
      <c r="B269">
        <f>SampleImport!G277</f>
        <v>0</v>
      </c>
      <c r="C269" t="str">
        <f t="shared" si="3"/>
        <v/>
      </c>
      <c r="D269" s="127">
        <f>SampleImport!K277</f>
        <v>0</v>
      </c>
      <c r="I269" t="str">
        <f xml:space="preserve"> SUBSTITUTE( SUBSTITUTE( SUBSTITUTE( SUBSTITUTE( SUBSTITUTE( SUBSTITUTE( SUBSTITUTE( SUBSTITUTE( SampleImport!I277, "A", 1), "C", 2), "G", 3),"T", 4), 1, "T"), 2, "G"), 3, "C"), 4, "A")</f>
        <v/>
      </c>
    </row>
    <row r="270" spans="1:9" x14ac:dyDescent="0.35">
      <c r="A270">
        <f>SampleImport!A278</f>
        <v>0</v>
      </c>
      <c r="B270">
        <f>SampleImport!G278</f>
        <v>0</v>
      </c>
      <c r="C270" t="str">
        <f t="shared" si="3"/>
        <v/>
      </c>
      <c r="D270" s="127">
        <f>SampleImport!K278</f>
        <v>0</v>
      </c>
      <c r="I270" t="str">
        <f xml:space="preserve"> SUBSTITUTE( SUBSTITUTE( SUBSTITUTE( SUBSTITUTE( SUBSTITUTE( SUBSTITUTE( SUBSTITUTE( SUBSTITUTE( SampleImport!I278, "A", 1), "C", 2), "G", 3),"T", 4), 1, "T"), 2, "G"), 3, "C"), 4, "A")</f>
        <v/>
      </c>
    </row>
    <row r="271" spans="1:9" x14ac:dyDescent="0.35">
      <c r="A271">
        <f>SampleImport!A279</f>
        <v>0</v>
      </c>
      <c r="B271">
        <f>SampleImport!G279</f>
        <v>0</v>
      </c>
      <c r="C271" t="str">
        <f t="shared" si="3"/>
        <v/>
      </c>
      <c r="D271" s="127">
        <f>SampleImport!K279</f>
        <v>0</v>
      </c>
      <c r="I271" t="str">
        <f xml:space="preserve"> SUBSTITUTE( SUBSTITUTE( SUBSTITUTE( SUBSTITUTE( SUBSTITUTE( SUBSTITUTE( SUBSTITUTE( SUBSTITUTE( SampleImport!I279, "A", 1), "C", 2), "G", 3),"T", 4), 1, "T"), 2, "G"), 3, "C"), 4, "A")</f>
        <v/>
      </c>
    </row>
    <row r="272" spans="1:9" x14ac:dyDescent="0.35">
      <c r="A272">
        <f>SampleImport!A280</f>
        <v>0</v>
      </c>
      <c r="B272">
        <f>SampleImport!G280</f>
        <v>0</v>
      </c>
      <c r="C272" t="str">
        <f t="shared" ref="C272:C335" si="4" xml:space="preserve"> MID(I272,30,1) &amp; MID(I272,29,1) &amp; MID(I272,28,1) &amp; MID(I272,27,1) &amp; MID(I272,26,1) &amp; MID(I272,25,1) &amp; MID(I272,24,1) &amp; MID(I272,23,1) &amp; MID(I272,22,1) &amp; MID(I272,21,1) &amp; MID(I272,20,1) &amp; MID(I272,19,1) &amp; MID(I272,18,1) &amp; MID(I272,17,1) &amp; MID(I272,16,1) &amp; MID(I272,15,1) &amp; MID(I272,14,1) &amp; MID(I272,13,1) &amp; MID(I272,12,1) &amp; MID(I272,11,1) &amp; MID(I272,10,1) &amp; MID(I272,9,1) &amp; MID(I272,8,1) &amp; MID(I272,7,1) &amp; MID(I272,6,1) &amp; MID(I272,5,1) &amp; MID(I272,4,1) &amp; MID(I272,3,1) &amp; MID(I272,2,1) &amp; MID(I272,1,1)</f>
        <v/>
      </c>
      <c r="D272" s="127">
        <f>SampleImport!K280</f>
        <v>0</v>
      </c>
      <c r="I272" t="str">
        <f xml:space="preserve"> SUBSTITUTE( SUBSTITUTE( SUBSTITUTE( SUBSTITUTE( SUBSTITUTE( SUBSTITUTE( SUBSTITUTE( SUBSTITUTE( SampleImport!I280, "A", 1), "C", 2), "G", 3),"T", 4), 1, "T"), 2, "G"), 3, "C"), 4, "A")</f>
        <v/>
      </c>
    </row>
    <row r="273" spans="1:9" x14ac:dyDescent="0.35">
      <c r="A273">
        <f>SampleImport!A281</f>
        <v>0</v>
      </c>
      <c r="B273">
        <f>SampleImport!G281</f>
        <v>0</v>
      </c>
      <c r="C273" t="str">
        <f t="shared" si="4"/>
        <v/>
      </c>
      <c r="D273" s="127">
        <f>SampleImport!K281</f>
        <v>0</v>
      </c>
      <c r="I273" t="str">
        <f xml:space="preserve"> SUBSTITUTE( SUBSTITUTE( SUBSTITUTE( SUBSTITUTE( SUBSTITUTE( SUBSTITUTE( SUBSTITUTE( SUBSTITUTE( SampleImport!I281, "A", 1), "C", 2), "G", 3),"T", 4), 1, "T"), 2, "G"), 3, "C"), 4, "A")</f>
        <v/>
      </c>
    </row>
    <row r="274" spans="1:9" x14ac:dyDescent="0.35">
      <c r="A274">
        <f>SampleImport!A282</f>
        <v>0</v>
      </c>
      <c r="B274">
        <f>SampleImport!G282</f>
        <v>0</v>
      </c>
      <c r="C274" t="str">
        <f t="shared" si="4"/>
        <v/>
      </c>
      <c r="D274" s="127">
        <f>SampleImport!K282</f>
        <v>0</v>
      </c>
      <c r="I274" t="str">
        <f xml:space="preserve"> SUBSTITUTE( SUBSTITUTE( SUBSTITUTE( SUBSTITUTE( SUBSTITUTE( SUBSTITUTE( SUBSTITUTE( SUBSTITUTE( SampleImport!I282, "A", 1), "C", 2), "G", 3),"T", 4), 1, "T"), 2, "G"), 3, "C"), 4, "A")</f>
        <v/>
      </c>
    </row>
    <row r="275" spans="1:9" x14ac:dyDescent="0.35">
      <c r="A275">
        <f>SampleImport!A283</f>
        <v>0</v>
      </c>
      <c r="B275">
        <f>SampleImport!G283</f>
        <v>0</v>
      </c>
      <c r="C275" t="str">
        <f t="shared" si="4"/>
        <v/>
      </c>
      <c r="D275" s="127">
        <f>SampleImport!K283</f>
        <v>0</v>
      </c>
      <c r="I275" t="str">
        <f xml:space="preserve"> SUBSTITUTE( SUBSTITUTE( SUBSTITUTE( SUBSTITUTE( SUBSTITUTE( SUBSTITUTE( SUBSTITUTE( SUBSTITUTE( SampleImport!I283, "A", 1), "C", 2), "G", 3),"T", 4), 1, "T"), 2, "G"), 3, "C"), 4, "A")</f>
        <v/>
      </c>
    </row>
    <row r="276" spans="1:9" x14ac:dyDescent="0.35">
      <c r="A276">
        <f>SampleImport!A284</f>
        <v>0</v>
      </c>
      <c r="B276">
        <f>SampleImport!G284</f>
        <v>0</v>
      </c>
      <c r="C276" t="str">
        <f t="shared" si="4"/>
        <v/>
      </c>
      <c r="D276" s="127">
        <f>SampleImport!K284</f>
        <v>0</v>
      </c>
      <c r="I276" t="str">
        <f xml:space="preserve"> SUBSTITUTE( SUBSTITUTE( SUBSTITUTE( SUBSTITUTE( SUBSTITUTE( SUBSTITUTE( SUBSTITUTE( SUBSTITUTE( SampleImport!I284, "A", 1), "C", 2), "G", 3),"T", 4), 1, "T"), 2, "G"), 3, "C"), 4, "A")</f>
        <v/>
      </c>
    </row>
    <row r="277" spans="1:9" x14ac:dyDescent="0.35">
      <c r="A277">
        <f>SampleImport!A285</f>
        <v>0</v>
      </c>
      <c r="B277">
        <f>SampleImport!G285</f>
        <v>0</v>
      </c>
      <c r="C277" t="str">
        <f t="shared" si="4"/>
        <v/>
      </c>
      <c r="D277" s="127">
        <f>SampleImport!K285</f>
        <v>0</v>
      </c>
      <c r="I277" t="str">
        <f xml:space="preserve"> SUBSTITUTE( SUBSTITUTE( SUBSTITUTE( SUBSTITUTE( SUBSTITUTE( SUBSTITUTE( SUBSTITUTE( SUBSTITUTE( SampleImport!I285, "A", 1), "C", 2), "G", 3),"T", 4), 1, "T"), 2, "G"), 3, "C"), 4, "A")</f>
        <v/>
      </c>
    </row>
    <row r="278" spans="1:9" x14ac:dyDescent="0.35">
      <c r="A278">
        <f>SampleImport!A286</f>
        <v>0</v>
      </c>
      <c r="B278">
        <f>SampleImport!G286</f>
        <v>0</v>
      </c>
      <c r="C278" t="str">
        <f t="shared" si="4"/>
        <v/>
      </c>
      <c r="D278" s="127">
        <f>SampleImport!K286</f>
        <v>0</v>
      </c>
      <c r="I278" t="str">
        <f xml:space="preserve"> SUBSTITUTE( SUBSTITUTE( SUBSTITUTE( SUBSTITUTE( SUBSTITUTE( SUBSTITUTE( SUBSTITUTE( SUBSTITUTE( SampleImport!I286, "A", 1), "C", 2), "G", 3),"T", 4), 1, "T"), 2, "G"), 3, "C"), 4, "A")</f>
        <v/>
      </c>
    </row>
    <row r="279" spans="1:9" x14ac:dyDescent="0.35">
      <c r="A279">
        <f>SampleImport!A287</f>
        <v>0</v>
      </c>
      <c r="B279">
        <f>SampleImport!G287</f>
        <v>0</v>
      </c>
      <c r="C279" t="str">
        <f t="shared" si="4"/>
        <v/>
      </c>
      <c r="D279" s="127">
        <f>SampleImport!K287</f>
        <v>0</v>
      </c>
      <c r="I279" t="str">
        <f xml:space="preserve"> SUBSTITUTE( SUBSTITUTE( SUBSTITUTE( SUBSTITUTE( SUBSTITUTE( SUBSTITUTE( SUBSTITUTE( SUBSTITUTE( SampleImport!I287, "A", 1), "C", 2), "G", 3),"T", 4), 1, "T"), 2, "G"), 3, "C"), 4, "A")</f>
        <v/>
      </c>
    </row>
    <row r="280" spans="1:9" x14ac:dyDescent="0.35">
      <c r="A280">
        <f>SampleImport!A288</f>
        <v>0</v>
      </c>
      <c r="B280">
        <f>SampleImport!G288</f>
        <v>0</v>
      </c>
      <c r="C280" t="str">
        <f t="shared" si="4"/>
        <v/>
      </c>
      <c r="D280" s="127">
        <f>SampleImport!K288</f>
        <v>0</v>
      </c>
      <c r="I280" t="str">
        <f xml:space="preserve"> SUBSTITUTE( SUBSTITUTE( SUBSTITUTE( SUBSTITUTE( SUBSTITUTE( SUBSTITUTE( SUBSTITUTE( SUBSTITUTE( SampleImport!I288, "A", 1), "C", 2), "G", 3),"T", 4), 1, "T"), 2, "G"), 3, "C"), 4, "A")</f>
        <v/>
      </c>
    </row>
    <row r="281" spans="1:9" x14ac:dyDescent="0.35">
      <c r="A281">
        <f>SampleImport!A289</f>
        <v>0</v>
      </c>
      <c r="B281">
        <f>SampleImport!G289</f>
        <v>0</v>
      </c>
      <c r="C281" t="str">
        <f t="shared" si="4"/>
        <v/>
      </c>
      <c r="D281" s="127">
        <f>SampleImport!K289</f>
        <v>0</v>
      </c>
      <c r="I281" t="str">
        <f xml:space="preserve"> SUBSTITUTE( SUBSTITUTE( SUBSTITUTE( SUBSTITUTE( SUBSTITUTE( SUBSTITUTE( SUBSTITUTE( SUBSTITUTE( SampleImport!I289, "A", 1), "C", 2), "G", 3),"T", 4), 1, "T"), 2, "G"), 3, "C"), 4, "A")</f>
        <v/>
      </c>
    </row>
    <row r="282" spans="1:9" x14ac:dyDescent="0.35">
      <c r="A282">
        <f>SampleImport!A290</f>
        <v>0</v>
      </c>
      <c r="B282">
        <f>SampleImport!G290</f>
        <v>0</v>
      </c>
      <c r="C282" t="str">
        <f t="shared" si="4"/>
        <v/>
      </c>
      <c r="D282" s="127">
        <f>SampleImport!K290</f>
        <v>0</v>
      </c>
      <c r="I282" t="str">
        <f xml:space="preserve"> SUBSTITUTE( SUBSTITUTE( SUBSTITUTE( SUBSTITUTE( SUBSTITUTE( SUBSTITUTE( SUBSTITUTE( SUBSTITUTE( SampleImport!I290, "A", 1), "C", 2), "G", 3),"T", 4), 1, "T"), 2, "G"), 3, "C"), 4, "A")</f>
        <v/>
      </c>
    </row>
    <row r="283" spans="1:9" x14ac:dyDescent="0.35">
      <c r="A283">
        <f>SampleImport!A291</f>
        <v>0</v>
      </c>
      <c r="B283">
        <f>SampleImport!G291</f>
        <v>0</v>
      </c>
      <c r="C283" t="str">
        <f t="shared" si="4"/>
        <v/>
      </c>
      <c r="D283" s="127">
        <f>SampleImport!K291</f>
        <v>0</v>
      </c>
      <c r="I283" t="str">
        <f xml:space="preserve"> SUBSTITUTE( SUBSTITUTE( SUBSTITUTE( SUBSTITUTE( SUBSTITUTE( SUBSTITUTE( SUBSTITUTE( SUBSTITUTE( SampleImport!I291, "A", 1), "C", 2), "G", 3),"T", 4), 1, "T"), 2, "G"), 3, "C"), 4, "A")</f>
        <v/>
      </c>
    </row>
    <row r="284" spans="1:9" x14ac:dyDescent="0.35">
      <c r="A284">
        <f>SampleImport!A292</f>
        <v>0</v>
      </c>
      <c r="B284">
        <f>SampleImport!G292</f>
        <v>0</v>
      </c>
      <c r="C284" t="str">
        <f t="shared" si="4"/>
        <v/>
      </c>
      <c r="D284" s="127">
        <f>SampleImport!K292</f>
        <v>0</v>
      </c>
      <c r="I284" t="str">
        <f xml:space="preserve"> SUBSTITUTE( SUBSTITUTE( SUBSTITUTE( SUBSTITUTE( SUBSTITUTE( SUBSTITUTE( SUBSTITUTE( SUBSTITUTE( SampleImport!I292, "A", 1), "C", 2), "G", 3),"T", 4), 1, "T"), 2, "G"), 3, "C"), 4, "A")</f>
        <v/>
      </c>
    </row>
    <row r="285" spans="1:9" x14ac:dyDescent="0.35">
      <c r="A285">
        <f>SampleImport!A293</f>
        <v>0</v>
      </c>
      <c r="B285">
        <f>SampleImport!G293</f>
        <v>0</v>
      </c>
      <c r="C285" t="str">
        <f t="shared" si="4"/>
        <v/>
      </c>
      <c r="D285" s="127">
        <f>SampleImport!K293</f>
        <v>0</v>
      </c>
      <c r="I285" t="str">
        <f xml:space="preserve"> SUBSTITUTE( SUBSTITUTE( SUBSTITUTE( SUBSTITUTE( SUBSTITUTE( SUBSTITUTE( SUBSTITUTE( SUBSTITUTE( SampleImport!I293, "A", 1), "C", 2), "G", 3),"T", 4), 1, "T"), 2, "G"), 3, "C"), 4, "A")</f>
        <v/>
      </c>
    </row>
    <row r="286" spans="1:9" x14ac:dyDescent="0.35">
      <c r="A286">
        <f>SampleImport!A294</f>
        <v>0</v>
      </c>
      <c r="B286">
        <f>SampleImport!G294</f>
        <v>0</v>
      </c>
      <c r="C286" t="str">
        <f t="shared" si="4"/>
        <v/>
      </c>
      <c r="D286" s="127">
        <f>SampleImport!K294</f>
        <v>0</v>
      </c>
      <c r="I286" t="str">
        <f xml:space="preserve"> SUBSTITUTE( SUBSTITUTE( SUBSTITUTE( SUBSTITUTE( SUBSTITUTE( SUBSTITUTE( SUBSTITUTE( SUBSTITUTE( SampleImport!I294, "A", 1), "C", 2), "G", 3),"T", 4), 1, "T"), 2, "G"), 3, "C"), 4, "A")</f>
        <v/>
      </c>
    </row>
    <row r="287" spans="1:9" x14ac:dyDescent="0.35">
      <c r="A287">
        <f>SampleImport!A295</f>
        <v>0</v>
      </c>
      <c r="B287">
        <f>SampleImport!G295</f>
        <v>0</v>
      </c>
      <c r="C287" t="str">
        <f t="shared" si="4"/>
        <v/>
      </c>
      <c r="D287" s="127">
        <f>SampleImport!K295</f>
        <v>0</v>
      </c>
      <c r="I287" t="str">
        <f xml:space="preserve"> SUBSTITUTE( SUBSTITUTE( SUBSTITUTE( SUBSTITUTE( SUBSTITUTE( SUBSTITUTE( SUBSTITUTE( SUBSTITUTE( SampleImport!I295, "A", 1), "C", 2), "G", 3),"T", 4), 1, "T"), 2, "G"), 3, "C"), 4, "A")</f>
        <v/>
      </c>
    </row>
    <row r="288" spans="1:9" x14ac:dyDescent="0.35">
      <c r="A288">
        <f>SampleImport!A296</f>
        <v>0</v>
      </c>
      <c r="B288">
        <f>SampleImport!G296</f>
        <v>0</v>
      </c>
      <c r="C288" t="str">
        <f t="shared" si="4"/>
        <v/>
      </c>
      <c r="D288" s="127">
        <f>SampleImport!K296</f>
        <v>0</v>
      </c>
      <c r="I288" t="str">
        <f xml:space="preserve"> SUBSTITUTE( SUBSTITUTE( SUBSTITUTE( SUBSTITUTE( SUBSTITUTE( SUBSTITUTE( SUBSTITUTE( SUBSTITUTE( SampleImport!I296, "A", 1), "C", 2), "G", 3),"T", 4), 1, "T"), 2, "G"), 3, "C"), 4, "A")</f>
        <v/>
      </c>
    </row>
    <row r="289" spans="1:9" x14ac:dyDescent="0.35">
      <c r="A289">
        <f>SampleImport!A297</f>
        <v>0</v>
      </c>
      <c r="B289">
        <f>SampleImport!G297</f>
        <v>0</v>
      </c>
      <c r="C289" t="str">
        <f t="shared" si="4"/>
        <v/>
      </c>
      <c r="D289" s="127">
        <f>SampleImport!K297</f>
        <v>0</v>
      </c>
      <c r="I289" t="str">
        <f xml:space="preserve"> SUBSTITUTE( SUBSTITUTE( SUBSTITUTE( SUBSTITUTE( SUBSTITUTE( SUBSTITUTE( SUBSTITUTE( SUBSTITUTE( SampleImport!I297, "A", 1), "C", 2), "G", 3),"T", 4), 1, "T"), 2, "G"), 3, "C"), 4, "A")</f>
        <v/>
      </c>
    </row>
    <row r="290" spans="1:9" x14ac:dyDescent="0.35">
      <c r="A290">
        <f>SampleImport!A298</f>
        <v>0</v>
      </c>
      <c r="B290">
        <f>SampleImport!G298</f>
        <v>0</v>
      </c>
      <c r="C290" t="str">
        <f t="shared" si="4"/>
        <v/>
      </c>
      <c r="D290" s="127">
        <f>SampleImport!K298</f>
        <v>0</v>
      </c>
      <c r="I290" t="str">
        <f xml:space="preserve"> SUBSTITUTE( SUBSTITUTE( SUBSTITUTE( SUBSTITUTE( SUBSTITUTE( SUBSTITUTE( SUBSTITUTE( SUBSTITUTE( SampleImport!I298, "A", 1), "C", 2), "G", 3),"T", 4), 1, "T"), 2, "G"), 3, "C"), 4, "A")</f>
        <v/>
      </c>
    </row>
    <row r="291" spans="1:9" x14ac:dyDescent="0.35">
      <c r="A291">
        <f>SampleImport!A299</f>
        <v>0</v>
      </c>
      <c r="B291">
        <f>SampleImport!G299</f>
        <v>0</v>
      </c>
      <c r="C291" t="str">
        <f t="shared" si="4"/>
        <v/>
      </c>
      <c r="D291" s="127">
        <f>SampleImport!K299</f>
        <v>0</v>
      </c>
      <c r="I291" t="str">
        <f xml:space="preserve"> SUBSTITUTE( SUBSTITUTE( SUBSTITUTE( SUBSTITUTE( SUBSTITUTE( SUBSTITUTE( SUBSTITUTE( SUBSTITUTE( SampleImport!I299, "A", 1), "C", 2), "G", 3),"T", 4), 1, "T"), 2, "G"), 3, "C"), 4, "A")</f>
        <v/>
      </c>
    </row>
    <row r="292" spans="1:9" x14ac:dyDescent="0.35">
      <c r="A292">
        <f>SampleImport!A300</f>
        <v>0</v>
      </c>
      <c r="B292">
        <f>SampleImport!G300</f>
        <v>0</v>
      </c>
      <c r="C292" t="str">
        <f t="shared" si="4"/>
        <v/>
      </c>
      <c r="D292" s="127">
        <f>SampleImport!K300</f>
        <v>0</v>
      </c>
      <c r="I292" t="str">
        <f xml:space="preserve"> SUBSTITUTE( SUBSTITUTE( SUBSTITUTE( SUBSTITUTE( SUBSTITUTE( SUBSTITUTE( SUBSTITUTE( SUBSTITUTE( SampleImport!I300, "A", 1), "C", 2), "G", 3),"T", 4), 1, "T"), 2, "G"), 3, "C"), 4, "A")</f>
        <v/>
      </c>
    </row>
    <row r="293" spans="1:9" x14ac:dyDescent="0.35">
      <c r="A293">
        <f>SampleImport!A301</f>
        <v>0</v>
      </c>
      <c r="B293">
        <f>SampleImport!G301</f>
        <v>0</v>
      </c>
      <c r="C293" t="str">
        <f t="shared" si="4"/>
        <v/>
      </c>
      <c r="D293" s="127">
        <f>SampleImport!K301</f>
        <v>0</v>
      </c>
      <c r="I293" t="str">
        <f xml:space="preserve"> SUBSTITUTE( SUBSTITUTE( SUBSTITUTE( SUBSTITUTE( SUBSTITUTE( SUBSTITUTE( SUBSTITUTE( SUBSTITUTE( SampleImport!I301, "A", 1), "C", 2), "G", 3),"T", 4), 1, "T"), 2, "G"), 3, "C"), 4, "A")</f>
        <v/>
      </c>
    </row>
    <row r="294" spans="1:9" x14ac:dyDescent="0.35">
      <c r="A294">
        <f>SampleImport!A302</f>
        <v>0</v>
      </c>
      <c r="B294">
        <f>SampleImport!G302</f>
        <v>0</v>
      </c>
      <c r="C294" t="str">
        <f t="shared" si="4"/>
        <v/>
      </c>
      <c r="D294">
        <f>SampleImport!K302</f>
        <v>0</v>
      </c>
      <c r="I294" t="str">
        <f xml:space="preserve"> SUBSTITUTE( SUBSTITUTE( SUBSTITUTE( SUBSTITUTE( SUBSTITUTE( SUBSTITUTE( SUBSTITUTE( SUBSTITUTE( SampleImport!I302, "A", 1), "C", 2), "G", 3),"T", 4), 1, "T"), 2, "G"), 3, "C"), 4, "A")</f>
        <v/>
      </c>
    </row>
    <row r="295" spans="1:9" x14ac:dyDescent="0.35">
      <c r="A295">
        <f>SampleImport!A303</f>
        <v>0</v>
      </c>
      <c r="B295">
        <f>SampleImport!G303</f>
        <v>0</v>
      </c>
      <c r="C295" t="str">
        <f t="shared" si="4"/>
        <v/>
      </c>
      <c r="D295">
        <f>SampleImport!K303</f>
        <v>0</v>
      </c>
      <c r="I295" t="str">
        <f xml:space="preserve"> SUBSTITUTE( SUBSTITUTE( SUBSTITUTE( SUBSTITUTE( SUBSTITUTE( SUBSTITUTE( SUBSTITUTE( SUBSTITUTE( SampleImport!I303, "A", 1), "C", 2), "G", 3),"T", 4), 1, "T"), 2, "G"), 3, "C"), 4, "A")</f>
        <v/>
      </c>
    </row>
    <row r="296" spans="1:9" x14ac:dyDescent="0.35">
      <c r="A296">
        <f>SampleImport!A304</f>
        <v>0</v>
      </c>
      <c r="B296">
        <f>SampleImport!G304</f>
        <v>0</v>
      </c>
      <c r="C296" t="str">
        <f t="shared" si="4"/>
        <v/>
      </c>
      <c r="D296">
        <f>SampleImport!K304</f>
        <v>0</v>
      </c>
      <c r="I296" t="str">
        <f xml:space="preserve"> SUBSTITUTE( SUBSTITUTE( SUBSTITUTE( SUBSTITUTE( SUBSTITUTE( SUBSTITUTE( SUBSTITUTE( SUBSTITUTE( SampleImport!I304, "A", 1), "C", 2), "G", 3),"T", 4), 1, "T"), 2, "G"), 3, "C"), 4, "A")</f>
        <v/>
      </c>
    </row>
    <row r="297" spans="1:9" x14ac:dyDescent="0.35">
      <c r="A297">
        <f>SampleImport!A305</f>
        <v>0</v>
      </c>
      <c r="B297">
        <f>SampleImport!G305</f>
        <v>0</v>
      </c>
      <c r="C297" t="str">
        <f t="shared" si="4"/>
        <v/>
      </c>
      <c r="D297">
        <f>SampleImport!K305</f>
        <v>0</v>
      </c>
      <c r="I297" t="str">
        <f xml:space="preserve"> SUBSTITUTE( SUBSTITUTE( SUBSTITUTE( SUBSTITUTE( SUBSTITUTE( SUBSTITUTE( SUBSTITUTE( SUBSTITUTE( SampleImport!I305, "A", 1), "C", 2), "G", 3),"T", 4), 1, "T"), 2, "G"), 3, "C"), 4, "A")</f>
        <v/>
      </c>
    </row>
    <row r="298" spans="1:9" x14ac:dyDescent="0.35">
      <c r="A298">
        <f>SampleImport!A306</f>
        <v>0</v>
      </c>
      <c r="B298">
        <f>SampleImport!G306</f>
        <v>0</v>
      </c>
      <c r="C298" t="str">
        <f t="shared" si="4"/>
        <v/>
      </c>
      <c r="D298">
        <f>SampleImport!K306</f>
        <v>0</v>
      </c>
      <c r="I298" t="str">
        <f xml:space="preserve"> SUBSTITUTE( SUBSTITUTE( SUBSTITUTE( SUBSTITUTE( SUBSTITUTE( SUBSTITUTE( SUBSTITUTE( SUBSTITUTE( SampleImport!I306, "A", 1), "C", 2), "G", 3),"T", 4), 1, "T"), 2, "G"), 3, "C"), 4, "A")</f>
        <v/>
      </c>
    </row>
    <row r="299" spans="1:9" x14ac:dyDescent="0.35">
      <c r="A299">
        <f>SampleImport!A307</f>
        <v>0</v>
      </c>
      <c r="B299">
        <f>SampleImport!G307</f>
        <v>0</v>
      </c>
      <c r="C299" t="str">
        <f t="shared" si="4"/>
        <v/>
      </c>
      <c r="D299">
        <f>SampleImport!K307</f>
        <v>0</v>
      </c>
      <c r="I299" t="str">
        <f xml:space="preserve"> SUBSTITUTE( SUBSTITUTE( SUBSTITUTE( SUBSTITUTE( SUBSTITUTE( SUBSTITUTE( SUBSTITUTE( SUBSTITUTE( SampleImport!I307, "A", 1), "C", 2), "G", 3),"T", 4), 1, "T"), 2, "G"), 3, "C"), 4, "A")</f>
        <v/>
      </c>
    </row>
    <row r="300" spans="1:9" x14ac:dyDescent="0.35">
      <c r="A300">
        <f>SampleImport!A308</f>
        <v>0</v>
      </c>
      <c r="B300">
        <f>SampleImport!G308</f>
        <v>0</v>
      </c>
      <c r="C300" t="str">
        <f t="shared" si="4"/>
        <v/>
      </c>
      <c r="D300">
        <f>SampleImport!K308</f>
        <v>0</v>
      </c>
      <c r="I300" t="str">
        <f xml:space="preserve"> SUBSTITUTE( SUBSTITUTE( SUBSTITUTE( SUBSTITUTE( SUBSTITUTE( SUBSTITUTE( SUBSTITUTE( SUBSTITUTE( SampleImport!I308, "A", 1), "C", 2), "G", 3),"T", 4), 1, "T"), 2, "G"), 3, "C"), 4, "A")</f>
        <v/>
      </c>
    </row>
    <row r="301" spans="1:9" x14ac:dyDescent="0.35">
      <c r="A301">
        <f>SampleImport!A309</f>
        <v>0</v>
      </c>
      <c r="B301">
        <f>SampleImport!G309</f>
        <v>0</v>
      </c>
      <c r="C301" t="str">
        <f t="shared" si="4"/>
        <v/>
      </c>
      <c r="D301">
        <f>SampleImport!K309</f>
        <v>0</v>
      </c>
      <c r="I301" t="str">
        <f xml:space="preserve"> SUBSTITUTE( SUBSTITUTE( SUBSTITUTE( SUBSTITUTE( SUBSTITUTE( SUBSTITUTE( SUBSTITUTE( SUBSTITUTE( SampleImport!I309, "A", 1), "C", 2), "G", 3),"T", 4), 1, "T"), 2, "G"), 3, "C"), 4, "A")</f>
        <v/>
      </c>
    </row>
    <row r="302" spans="1:9" x14ac:dyDescent="0.35">
      <c r="A302">
        <f>SampleImport!A310</f>
        <v>0</v>
      </c>
      <c r="B302">
        <f>SampleImport!G310</f>
        <v>0</v>
      </c>
      <c r="C302" t="str">
        <f t="shared" si="4"/>
        <v/>
      </c>
      <c r="D302">
        <f>SampleImport!K310</f>
        <v>0</v>
      </c>
      <c r="I302" t="str">
        <f xml:space="preserve"> SUBSTITUTE( SUBSTITUTE( SUBSTITUTE( SUBSTITUTE( SUBSTITUTE( SUBSTITUTE( SUBSTITUTE( SUBSTITUTE( SampleImport!I310, "A", 1), "C", 2), "G", 3),"T", 4), 1, "T"), 2, "G"), 3, "C"), 4, "A")</f>
        <v/>
      </c>
    </row>
    <row r="303" spans="1:9" x14ac:dyDescent="0.35">
      <c r="A303">
        <f>SampleImport!A311</f>
        <v>0</v>
      </c>
      <c r="B303">
        <f>SampleImport!G311</f>
        <v>0</v>
      </c>
      <c r="C303" t="str">
        <f t="shared" si="4"/>
        <v/>
      </c>
      <c r="D303">
        <f>SampleImport!K311</f>
        <v>0</v>
      </c>
      <c r="I303" t="str">
        <f xml:space="preserve"> SUBSTITUTE( SUBSTITUTE( SUBSTITUTE( SUBSTITUTE( SUBSTITUTE( SUBSTITUTE( SUBSTITUTE( SUBSTITUTE( SampleImport!I311, "A", 1), "C", 2), "G", 3),"T", 4), 1, "T"), 2, "G"), 3, "C"), 4, "A")</f>
        <v/>
      </c>
    </row>
    <row r="304" spans="1:9" x14ac:dyDescent="0.35">
      <c r="A304">
        <f>SampleImport!A312</f>
        <v>0</v>
      </c>
      <c r="B304">
        <f>SampleImport!G312</f>
        <v>0</v>
      </c>
      <c r="C304" t="str">
        <f t="shared" si="4"/>
        <v/>
      </c>
      <c r="D304">
        <f>SampleImport!K312</f>
        <v>0</v>
      </c>
      <c r="I304" t="str">
        <f xml:space="preserve"> SUBSTITUTE( SUBSTITUTE( SUBSTITUTE( SUBSTITUTE( SUBSTITUTE( SUBSTITUTE( SUBSTITUTE( SUBSTITUTE( SampleImport!I312, "A", 1), "C", 2), "G", 3),"T", 4), 1, "T"), 2, "G"), 3, "C"), 4, "A")</f>
        <v/>
      </c>
    </row>
    <row r="305" spans="1:9" x14ac:dyDescent="0.35">
      <c r="A305">
        <f>SampleImport!A313</f>
        <v>0</v>
      </c>
      <c r="B305">
        <f>SampleImport!G313</f>
        <v>0</v>
      </c>
      <c r="C305" t="str">
        <f t="shared" si="4"/>
        <v/>
      </c>
      <c r="D305">
        <f>SampleImport!K313</f>
        <v>0</v>
      </c>
      <c r="I305" t="str">
        <f xml:space="preserve"> SUBSTITUTE( SUBSTITUTE( SUBSTITUTE( SUBSTITUTE( SUBSTITUTE( SUBSTITUTE( SUBSTITUTE( SUBSTITUTE( SampleImport!I313, "A", 1), "C", 2), "G", 3),"T", 4), 1, "T"), 2, "G"), 3, "C"), 4, "A")</f>
        <v/>
      </c>
    </row>
    <row r="306" spans="1:9" x14ac:dyDescent="0.35">
      <c r="A306">
        <f>SampleImport!A314</f>
        <v>0</v>
      </c>
      <c r="B306">
        <f>SampleImport!G314</f>
        <v>0</v>
      </c>
      <c r="C306" t="str">
        <f t="shared" si="4"/>
        <v/>
      </c>
      <c r="D306">
        <f>SampleImport!K314</f>
        <v>0</v>
      </c>
      <c r="I306" t="str">
        <f xml:space="preserve"> SUBSTITUTE( SUBSTITUTE( SUBSTITUTE( SUBSTITUTE( SUBSTITUTE( SUBSTITUTE( SUBSTITUTE( SUBSTITUTE( SampleImport!I314, "A", 1), "C", 2), "G", 3),"T", 4), 1, "T"), 2, "G"), 3, "C"), 4, "A")</f>
        <v/>
      </c>
    </row>
    <row r="307" spans="1:9" x14ac:dyDescent="0.35">
      <c r="A307">
        <f>SampleImport!A315</f>
        <v>0</v>
      </c>
      <c r="B307">
        <f>SampleImport!G315</f>
        <v>0</v>
      </c>
      <c r="C307" t="str">
        <f t="shared" si="4"/>
        <v/>
      </c>
      <c r="D307">
        <f>SampleImport!K315</f>
        <v>0</v>
      </c>
      <c r="I307" t="str">
        <f xml:space="preserve"> SUBSTITUTE( SUBSTITUTE( SUBSTITUTE( SUBSTITUTE( SUBSTITUTE( SUBSTITUTE( SUBSTITUTE( SUBSTITUTE( SampleImport!I315, "A", 1), "C", 2), "G", 3),"T", 4), 1, "T"), 2, "G"), 3, "C"), 4, "A")</f>
        <v/>
      </c>
    </row>
    <row r="308" spans="1:9" x14ac:dyDescent="0.35">
      <c r="A308">
        <f>SampleImport!A316</f>
        <v>0</v>
      </c>
      <c r="B308">
        <f>SampleImport!G316</f>
        <v>0</v>
      </c>
      <c r="C308" t="str">
        <f t="shared" si="4"/>
        <v/>
      </c>
      <c r="D308">
        <f>SampleImport!K316</f>
        <v>0</v>
      </c>
      <c r="I308" t="str">
        <f xml:space="preserve"> SUBSTITUTE( SUBSTITUTE( SUBSTITUTE( SUBSTITUTE( SUBSTITUTE( SUBSTITUTE( SUBSTITUTE( SUBSTITUTE( SampleImport!I316, "A", 1), "C", 2), "G", 3),"T", 4), 1, "T"), 2, "G"), 3, "C"), 4, "A")</f>
        <v/>
      </c>
    </row>
    <row r="309" spans="1:9" x14ac:dyDescent="0.35">
      <c r="A309">
        <f>SampleImport!A317</f>
        <v>0</v>
      </c>
      <c r="B309">
        <f>SampleImport!G317</f>
        <v>0</v>
      </c>
      <c r="C309" t="str">
        <f t="shared" si="4"/>
        <v/>
      </c>
      <c r="D309">
        <f>SampleImport!K317</f>
        <v>0</v>
      </c>
      <c r="I309" t="str">
        <f xml:space="preserve"> SUBSTITUTE( SUBSTITUTE( SUBSTITUTE( SUBSTITUTE( SUBSTITUTE( SUBSTITUTE( SUBSTITUTE( SUBSTITUTE( SampleImport!I317, "A", 1), "C", 2), "G", 3),"T", 4), 1, "T"), 2, "G"), 3, "C"), 4, "A")</f>
        <v/>
      </c>
    </row>
    <row r="310" spans="1:9" x14ac:dyDescent="0.35">
      <c r="A310">
        <f>SampleImport!A318</f>
        <v>0</v>
      </c>
      <c r="B310">
        <f>SampleImport!G318</f>
        <v>0</v>
      </c>
      <c r="C310" t="str">
        <f t="shared" si="4"/>
        <v/>
      </c>
      <c r="D310">
        <f>SampleImport!K318</f>
        <v>0</v>
      </c>
      <c r="I310" t="str">
        <f xml:space="preserve"> SUBSTITUTE( SUBSTITUTE( SUBSTITUTE( SUBSTITUTE( SUBSTITUTE( SUBSTITUTE( SUBSTITUTE( SUBSTITUTE( SampleImport!I318, "A", 1), "C", 2), "G", 3),"T", 4), 1, "T"), 2, "G"), 3, "C"), 4, "A")</f>
        <v/>
      </c>
    </row>
    <row r="311" spans="1:9" x14ac:dyDescent="0.35">
      <c r="A311">
        <f>SampleImport!A319</f>
        <v>0</v>
      </c>
      <c r="B311">
        <f>SampleImport!G319</f>
        <v>0</v>
      </c>
      <c r="C311" t="str">
        <f t="shared" si="4"/>
        <v/>
      </c>
      <c r="D311">
        <f>SampleImport!K319</f>
        <v>0</v>
      </c>
      <c r="I311" t="str">
        <f xml:space="preserve"> SUBSTITUTE( SUBSTITUTE( SUBSTITUTE( SUBSTITUTE( SUBSTITUTE( SUBSTITUTE( SUBSTITUTE( SUBSTITUTE( SampleImport!I319, "A", 1), "C", 2), "G", 3),"T", 4), 1, "T"), 2, "G"), 3, "C"), 4, "A")</f>
        <v/>
      </c>
    </row>
    <row r="312" spans="1:9" x14ac:dyDescent="0.35">
      <c r="A312">
        <f>SampleImport!A320</f>
        <v>0</v>
      </c>
      <c r="B312">
        <f>SampleImport!G320</f>
        <v>0</v>
      </c>
      <c r="C312" t="str">
        <f t="shared" si="4"/>
        <v/>
      </c>
      <c r="D312">
        <f>SampleImport!K320</f>
        <v>0</v>
      </c>
      <c r="I312" t="str">
        <f xml:space="preserve"> SUBSTITUTE( SUBSTITUTE( SUBSTITUTE( SUBSTITUTE( SUBSTITUTE( SUBSTITUTE( SUBSTITUTE( SUBSTITUTE( SampleImport!I320, "A", 1), "C", 2), "G", 3),"T", 4), 1, "T"), 2, "G"), 3, "C"), 4, "A")</f>
        <v/>
      </c>
    </row>
    <row r="313" spans="1:9" x14ac:dyDescent="0.35">
      <c r="A313">
        <f>SampleImport!A321</f>
        <v>0</v>
      </c>
      <c r="B313">
        <f>SampleImport!G321</f>
        <v>0</v>
      </c>
      <c r="C313" t="str">
        <f t="shared" si="4"/>
        <v/>
      </c>
      <c r="D313">
        <f>SampleImport!K321</f>
        <v>0</v>
      </c>
      <c r="I313" t="str">
        <f xml:space="preserve"> SUBSTITUTE( SUBSTITUTE( SUBSTITUTE( SUBSTITUTE( SUBSTITUTE( SUBSTITUTE( SUBSTITUTE( SUBSTITUTE( SampleImport!I321, "A", 1), "C", 2), "G", 3),"T", 4), 1, "T"), 2, "G"), 3, "C"), 4, "A")</f>
        <v/>
      </c>
    </row>
    <row r="314" spans="1:9" x14ac:dyDescent="0.35">
      <c r="A314">
        <f>SampleImport!A322</f>
        <v>0</v>
      </c>
      <c r="B314">
        <f>SampleImport!G322</f>
        <v>0</v>
      </c>
      <c r="C314" t="str">
        <f t="shared" si="4"/>
        <v/>
      </c>
      <c r="D314">
        <f>SampleImport!K322</f>
        <v>0</v>
      </c>
      <c r="I314" t="str">
        <f xml:space="preserve"> SUBSTITUTE( SUBSTITUTE( SUBSTITUTE( SUBSTITUTE( SUBSTITUTE( SUBSTITUTE( SUBSTITUTE( SUBSTITUTE( SampleImport!I322, "A", 1), "C", 2), "G", 3),"T", 4), 1, "T"), 2, "G"), 3, "C"), 4, "A")</f>
        <v/>
      </c>
    </row>
    <row r="315" spans="1:9" x14ac:dyDescent="0.35">
      <c r="A315">
        <f>SampleImport!A323</f>
        <v>0</v>
      </c>
      <c r="B315">
        <f>SampleImport!G323</f>
        <v>0</v>
      </c>
      <c r="C315" t="str">
        <f t="shared" si="4"/>
        <v/>
      </c>
      <c r="D315">
        <f>SampleImport!K323</f>
        <v>0</v>
      </c>
      <c r="I315" t="str">
        <f xml:space="preserve"> SUBSTITUTE( SUBSTITUTE( SUBSTITUTE( SUBSTITUTE( SUBSTITUTE( SUBSTITUTE( SUBSTITUTE( SUBSTITUTE( SampleImport!I323, "A", 1), "C", 2), "G", 3),"T", 4), 1, "T"), 2, "G"), 3, "C"), 4, "A")</f>
        <v/>
      </c>
    </row>
    <row r="316" spans="1:9" x14ac:dyDescent="0.35">
      <c r="A316">
        <f>SampleImport!A324</f>
        <v>0</v>
      </c>
      <c r="B316">
        <f>SampleImport!G324</f>
        <v>0</v>
      </c>
      <c r="C316" t="str">
        <f t="shared" si="4"/>
        <v/>
      </c>
      <c r="D316">
        <f>SampleImport!K324</f>
        <v>0</v>
      </c>
      <c r="I316" t="str">
        <f xml:space="preserve"> SUBSTITUTE( SUBSTITUTE( SUBSTITUTE( SUBSTITUTE( SUBSTITUTE( SUBSTITUTE( SUBSTITUTE( SUBSTITUTE( SampleImport!I324, "A", 1), "C", 2), "G", 3),"T", 4), 1, "T"), 2, "G"), 3, "C"), 4, "A")</f>
        <v/>
      </c>
    </row>
    <row r="317" spans="1:9" x14ac:dyDescent="0.35">
      <c r="A317">
        <f>SampleImport!A325</f>
        <v>0</v>
      </c>
      <c r="B317">
        <f>SampleImport!G325</f>
        <v>0</v>
      </c>
      <c r="C317" t="str">
        <f t="shared" si="4"/>
        <v/>
      </c>
      <c r="D317">
        <f>SampleImport!K325</f>
        <v>0</v>
      </c>
      <c r="I317" t="str">
        <f xml:space="preserve"> SUBSTITUTE( SUBSTITUTE( SUBSTITUTE( SUBSTITUTE( SUBSTITUTE( SUBSTITUTE( SUBSTITUTE( SUBSTITUTE( SampleImport!I325, "A", 1), "C", 2), "G", 3),"T", 4), 1, "T"), 2, "G"), 3, "C"), 4, "A")</f>
        <v/>
      </c>
    </row>
    <row r="318" spans="1:9" x14ac:dyDescent="0.35">
      <c r="A318">
        <f>SampleImport!A326</f>
        <v>0</v>
      </c>
      <c r="B318">
        <f>SampleImport!G326</f>
        <v>0</v>
      </c>
      <c r="C318" t="str">
        <f t="shared" si="4"/>
        <v/>
      </c>
      <c r="D318">
        <f>SampleImport!K326</f>
        <v>0</v>
      </c>
      <c r="I318" t="str">
        <f xml:space="preserve"> SUBSTITUTE( SUBSTITUTE( SUBSTITUTE( SUBSTITUTE( SUBSTITUTE( SUBSTITUTE( SUBSTITUTE( SUBSTITUTE( SampleImport!I326, "A", 1), "C", 2), "G", 3),"T", 4), 1, "T"), 2, "G"), 3, "C"), 4, "A")</f>
        <v/>
      </c>
    </row>
    <row r="319" spans="1:9" x14ac:dyDescent="0.35">
      <c r="A319">
        <f>SampleImport!A327</f>
        <v>0</v>
      </c>
      <c r="B319">
        <f>SampleImport!G327</f>
        <v>0</v>
      </c>
      <c r="C319" t="str">
        <f t="shared" si="4"/>
        <v/>
      </c>
      <c r="D319">
        <f>SampleImport!K327</f>
        <v>0</v>
      </c>
      <c r="I319" t="str">
        <f xml:space="preserve"> SUBSTITUTE( SUBSTITUTE( SUBSTITUTE( SUBSTITUTE( SUBSTITUTE( SUBSTITUTE( SUBSTITUTE( SUBSTITUTE( SampleImport!I327, "A", 1), "C", 2), "G", 3),"T", 4), 1, "T"), 2, "G"), 3, "C"), 4, "A")</f>
        <v/>
      </c>
    </row>
    <row r="320" spans="1:9" x14ac:dyDescent="0.35">
      <c r="A320">
        <f>SampleImport!A328</f>
        <v>0</v>
      </c>
      <c r="B320">
        <f>SampleImport!G328</f>
        <v>0</v>
      </c>
      <c r="C320" t="str">
        <f t="shared" si="4"/>
        <v/>
      </c>
      <c r="D320">
        <f>SampleImport!K328</f>
        <v>0</v>
      </c>
      <c r="I320" t="str">
        <f xml:space="preserve"> SUBSTITUTE( SUBSTITUTE( SUBSTITUTE( SUBSTITUTE( SUBSTITUTE( SUBSTITUTE( SUBSTITUTE( SUBSTITUTE( SampleImport!I328, "A", 1), "C", 2), "G", 3),"T", 4), 1, "T"), 2, "G"), 3, "C"), 4, "A")</f>
        <v/>
      </c>
    </row>
    <row r="321" spans="1:9" x14ac:dyDescent="0.35">
      <c r="A321">
        <f>SampleImport!A329</f>
        <v>0</v>
      </c>
      <c r="B321">
        <f>SampleImport!G329</f>
        <v>0</v>
      </c>
      <c r="C321" t="str">
        <f t="shared" si="4"/>
        <v/>
      </c>
      <c r="D321">
        <f>SampleImport!K329</f>
        <v>0</v>
      </c>
      <c r="I321" t="str">
        <f xml:space="preserve"> SUBSTITUTE( SUBSTITUTE( SUBSTITUTE( SUBSTITUTE( SUBSTITUTE( SUBSTITUTE( SUBSTITUTE( SUBSTITUTE( SampleImport!I329, "A", 1), "C", 2), "G", 3),"T", 4), 1, "T"), 2, "G"), 3, "C"), 4, "A")</f>
        <v/>
      </c>
    </row>
    <row r="322" spans="1:9" x14ac:dyDescent="0.35">
      <c r="A322">
        <f>SampleImport!A330</f>
        <v>0</v>
      </c>
      <c r="B322">
        <f>SampleImport!G330</f>
        <v>0</v>
      </c>
      <c r="C322" t="str">
        <f t="shared" si="4"/>
        <v/>
      </c>
      <c r="D322">
        <f>SampleImport!K330</f>
        <v>0</v>
      </c>
      <c r="I322" t="str">
        <f xml:space="preserve"> SUBSTITUTE( SUBSTITUTE( SUBSTITUTE( SUBSTITUTE( SUBSTITUTE( SUBSTITUTE( SUBSTITUTE( SUBSTITUTE( SampleImport!I330, "A", 1), "C", 2), "G", 3),"T", 4), 1, "T"), 2, "G"), 3, "C"), 4, "A")</f>
        <v/>
      </c>
    </row>
    <row r="323" spans="1:9" x14ac:dyDescent="0.35">
      <c r="A323">
        <f>SampleImport!A331</f>
        <v>0</v>
      </c>
      <c r="B323">
        <f>SampleImport!G331</f>
        <v>0</v>
      </c>
      <c r="C323" t="str">
        <f t="shared" si="4"/>
        <v/>
      </c>
      <c r="D323">
        <f>SampleImport!K331</f>
        <v>0</v>
      </c>
      <c r="I323" t="str">
        <f xml:space="preserve"> SUBSTITUTE( SUBSTITUTE( SUBSTITUTE( SUBSTITUTE( SUBSTITUTE( SUBSTITUTE( SUBSTITUTE( SUBSTITUTE( SampleImport!I331, "A", 1), "C", 2), "G", 3),"T", 4), 1, "T"), 2, "G"), 3, "C"), 4, "A")</f>
        <v/>
      </c>
    </row>
    <row r="324" spans="1:9" x14ac:dyDescent="0.35">
      <c r="A324">
        <f>SampleImport!A332</f>
        <v>0</v>
      </c>
      <c r="B324">
        <f>SampleImport!G332</f>
        <v>0</v>
      </c>
      <c r="C324" t="str">
        <f t="shared" si="4"/>
        <v/>
      </c>
      <c r="D324">
        <f>SampleImport!K332</f>
        <v>0</v>
      </c>
      <c r="I324" t="str">
        <f xml:space="preserve"> SUBSTITUTE( SUBSTITUTE( SUBSTITUTE( SUBSTITUTE( SUBSTITUTE( SUBSTITUTE( SUBSTITUTE( SUBSTITUTE( SampleImport!I332, "A", 1), "C", 2), "G", 3),"T", 4), 1, "T"), 2, "G"), 3, "C"), 4, "A")</f>
        <v/>
      </c>
    </row>
    <row r="325" spans="1:9" x14ac:dyDescent="0.35">
      <c r="A325">
        <f>SampleImport!A333</f>
        <v>0</v>
      </c>
      <c r="B325">
        <f>SampleImport!G333</f>
        <v>0</v>
      </c>
      <c r="C325" t="str">
        <f t="shared" si="4"/>
        <v/>
      </c>
      <c r="D325">
        <f>SampleImport!K333</f>
        <v>0</v>
      </c>
      <c r="I325" t="str">
        <f xml:space="preserve"> SUBSTITUTE( SUBSTITUTE( SUBSTITUTE( SUBSTITUTE( SUBSTITUTE( SUBSTITUTE( SUBSTITUTE( SUBSTITUTE( SampleImport!I333, "A", 1), "C", 2), "G", 3),"T", 4), 1, "T"), 2, "G"), 3, "C"), 4, "A")</f>
        <v/>
      </c>
    </row>
    <row r="326" spans="1:9" x14ac:dyDescent="0.35">
      <c r="A326">
        <f>SampleImport!A334</f>
        <v>0</v>
      </c>
      <c r="B326">
        <f>SampleImport!G334</f>
        <v>0</v>
      </c>
      <c r="C326" t="str">
        <f t="shared" si="4"/>
        <v/>
      </c>
      <c r="D326">
        <f>SampleImport!K334</f>
        <v>0</v>
      </c>
      <c r="I326" t="str">
        <f xml:space="preserve"> SUBSTITUTE( SUBSTITUTE( SUBSTITUTE( SUBSTITUTE( SUBSTITUTE( SUBSTITUTE( SUBSTITUTE( SUBSTITUTE( SampleImport!I334, "A", 1), "C", 2), "G", 3),"T", 4), 1, "T"), 2, "G"), 3, "C"), 4, "A")</f>
        <v/>
      </c>
    </row>
    <row r="327" spans="1:9" x14ac:dyDescent="0.35">
      <c r="A327">
        <f>SampleImport!A335</f>
        <v>0</v>
      </c>
      <c r="B327">
        <f>SampleImport!G335</f>
        <v>0</v>
      </c>
      <c r="C327" t="str">
        <f t="shared" si="4"/>
        <v/>
      </c>
      <c r="D327">
        <f>SampleImport!K335</f>
        <v>0</v>
      </c>
      <c r="I327" t="str">
        <f xml:space="preserve"> SUBSTITUTE( SUBSTITUTE( SUBSTITUTE( SUBSTITUTE( SUBSTITUTE( SUBSTITUTE( SUBSTITUTE( SUBSTITUTE( SampleImport!I335, "A", 1), "C", 2), "G", 3),"T", 4), 1, "T"), 2, "G"), 3, "C"), 4, "A")</f>
        <v/>
      </c>
    </row>
    <row r="328" spans="1:9" x14ac:dyDescent="0.35">
      <c r="A328">
        <f>SampleImport!A336</f>
        <v>0</v>
      </c>
      <c r="B328">
        <f>SampleImport!G336</f>
        <v>0</v>
      </c>
      <c r="C328" t="str">
        <f t="shared" si="4"/>
        <v/>
      </c>
      <c r="D328">
        <f>SampleImport!K336</f>
        <v>0</v>
      </c>
      <c r="I328" t="str">
        <f xml:space="preserve"> SUBSTITUTE( SUBSTITUTE( SUBSTITUTE( SUBSTITUTE( SUBSTITUTE( SUBSTITUTE( SUBSTITUTE( SUBSTITUTE( SampleImport!I336, "A", 1), "C", 2), "G", 3),"T", 4), 1, "T"), 2, "G"), 3, "C"), 4, "A")</f>
        <v/>
      </c>
    </row>
    <row r="329" spans="1:9" x14ac:dyDescent="0.35">
      <c r="A329">
        <f>SampleImport!A337</f>
        <v>0</v>
      </c>
      <c r="B329">
        <f>SampleImport!G337</f>
        <v>0</v>
      </c>
      <c r="C329" t="str">
        <f t="shared" si="4"/>
        <v/>
      </c>
      <c r="D329">
        <f>SampleImport!K337</f>
        <v>0</v>
      </c>
      <c r="I329" t="str">
        <f xml:space="preserve"> SUBSTITUTE( SUBSTITUTE( SUBSTITUTE( SUBSTITUTE( SUBSTITUTE( SUBSTITUTE( SUBSTITUTE( SUBSTITUTE( SampleImport!I337, "A", 1), "C", 2), "G", 3),"T", 4), 1, "T"), 2, "G"), 3, "C"), 4, "A")</f>
        <v/>
      </c>
    </row>
    <row r="330" spans="1:9" x14ac:dyDescent="0.35">
      <c r="A330">
        <f>SampleImport!A338</f>
        <v>0</v>
      </c>
      <c r="B330">
        <f>SampleImport!G338</f>
        <v>0</v>
      </c>
      <c r="C330" t="str">
        <f t="shared" si="4"/>
        <v/>
      </c>
      <c r="D330">
        <f>SampleImport!K338</f>
        <v>0</v>
      </c>
      <c r="I330" t="str">
        <f xml:space="preserve"> SUBSTITUTE( SUBSTITUTE( SUBSTITUTE( SUBSTITUTE( SUBSTITUTE( SUBSTITUTE( SUBSTITUTE( SUBSTITUTE( SampleImport!I338, "A", 1), "C", 2), "G", 3),"T", 4), 1, "T"), 2, "G"), 3, "C"), 4, "A")</f>
        <v/>
      </c>
    </row>
    <row r="331" spans="1:9" x14ac:dyDescent="0.35">
      <c r="A331">
        <f>SampleImport!A339</f>
        <v>0</v>
      </c>
      <c r="B331">
        <f>SampleImport!G339</f>
        <v>0</v>
      </c>
      <c r="C331" t="str">
        <f t="shared" si="4"/>
        <v/>
      </c>
      <c r="D331">
        <f>SampleImport!K339</f>
        <v>0</v>
      </c>
      <c r="I331" t="str">
        <f xml:space="preserve"> SUBSTITUTE( SUBSTITUTE( SUBSTITUTE( SUBSTITUTE( SUBSTITUTE( SUBSTITUTE( SUBSTITUTE( SUBSTITUTE( SampleImport!I339, "A", 1), "C", 2), "G", 3),"T", 4), 1, "T"), 2, "G"), 3, "C"), 4, "A")</f>
        <v/>
      </c>
    </row>
    <row r="332" spans="1:9" x14ac:dyDescent="0.35">
      <c r="A332">
        <f>SampleImport!A340</f>
        <v>0</v>
      </c>
      <c r="B332">
        <f>SampleImport!G340</f>
        <v>0</v>
      </c>
      <c r="C332" t="str">
        <f t="shared" si="4"/>
        <v/>
      </c>
      <c r="D332">
        <f>SampleImport!K340</f>
        <v>0</v>
      </c>
      <c r="I332" t="str">
        <f xml:space="preserve"> SUBSTITUTE( SUBSTITUTE( SUBSTITUTE( SUBSTITUTE( SUBSTITUTE( SUBSTITUTE( SUBSTITUTE( SUBSTITUTE( SampleImport!I340, "A", 1), "C", 2), "G", 3),"T", 4), 1, "T"), 2, "G"), 3, "C"), 4, "A")</f>
        <v/>
      </c>
    </row>
    <row r="333" spans="1:9" x14ac:dyDescent="0.35">
      <c r="A333">
        <f>SampleImport!A341</f>
        <v>0</v>
      </c>
      <c r="B333">
        <f>SampleImport!G341</f>
        <v>0</v>
      </c>
      <c r="C333" t="str">
        <f t="shared" si="4"/>
        <v/>
      </c>
      <c r="D333">
        <f>SampleImport!K341</f>
        <v>0</v>
      </c>
      <c r="I333" t="str">
        <f xml:space="preserve"> SUBSTITUTE( SUBSTITUTE( SUBSTITUTE( SUBSTITUTE( SUBSTITUTE( SUBSTITUTE( SUBSTITUTE( SUBSTITUTE( SampleImport!I341, "A", 1), "C", 2), "G", 3),"T", 4), 1, "T"), 2, "G"), 3, "C"), 4, "A")</f>
        <v/>
      </c>
    </row>
    <row r="334" spans="1:9" x14ac:dyDescent="0.35">
      <c r="A334">
        <f>SampleImport!A342</f>
        <v>0</v>
      </c>
      <c r="B334">
        <f>SampleImport!G342</f>
        <v>0</v>
      </c>
      <c r="C334" t="str">
        <f t="shared" si="4"/>
        <v/>
      </c>
      <c r="D334">
        <f>SampleImport!K342</f>
        <v>0</v>
      </c>
      <c r="I334" t="str">
        <f xml:space="preserve"> SUBSTITUTE( SUBSTITUTE( SUBSTITUTE( SUBSTITUTE( SUBSTITUTE( SUBSTITUTE( SUBSTITUTE( SUBSTITUTE( SampleImport!I342, "A", 1), "C", 2), "G", 3),"T", 4), 1, "T"), 2, "G"), 3, "C"), 4, "A")</f>
        <v/>
      </c>
    </row>
    <row r="335" spans="1:9" x14ac:dyDescent="0.35">
      <c r="A335">
        <f>SampleImport!A343</f>
        <v>0</v>
      </c>
      <c r="B335">
        <f>SampleImport!G343</f>
        <v>0</v>
      </c>
      <c r="C335" t="str">
        <f t="shared" si="4"/>
        <v/>
      </c>
      <c r="D335">
        <f>SampleImport!K343</f>
        <v>0</v>
      </c>
      <c r="I335" t="str">
        <f xml:space="preserve"> SUBSTITUTE( SUBSTITUTE( SUBSTITUTE( SUBSTITUTE( SUBSTITUTE( SUBSTITUTE( SUBSTITUTE( SUBSTITUTE( SampleImport!I343, "A", 1), "C", 2), "G", 3),"T", 4), 1, "T"), 2, "G"), 3, "C"), 4, "A")</f>
        <v/>
      </c>
    </row>
    <row r="336" spans="1:9" x14ac:dyDescent="0.35">
      <c r="A336">
        <f>SampleImport!A344</f>
        <v>0</v>
      </c>
      <c r="B336">
        <f>SampleImport!G344</f>
        <v>0</v>
      </c>
      <c r="C336" t="str">
        <f t="shared" ref="C336:C352" si="5" xml:space="preserve"> MID(I336,30,1) &amp; MID(I336,29,1) &amp; MID(I336,28,1) &amp; MID(I336,27,1) &amp; MID(I336,26,1) &amp; MID(I336,25,1) &amp; MID(I336,24,1) &amp; MID(I336,23,1) &amp; MID(I336,22,1) &amp; MID(I336,21,1) &amp; MID(I336,20,1) &amp; MID(I336,19,1) &amp; MID(I336,18,1) &amp; MID(I336,17,1) &amp; MID(I336,16,1) &amp; MID(I336,15,1) &amp; MID(I336,14,1) &amp; MID(I336,13,1) &amp; MID(I336,12,1) &amp; MID(I336,11,1) &amp; MID(I336,10,1) &amp; MID(I336,9,1) &amp; MID(I336,8,1) &amp; MID(I336,7,1) &amp; MID(I336,6,1) &amp; MID(I336,5,1) &amp; MID(I336,4,1) &amp; MID(I336,3,1) &amp; MID(I336,2,1) &amp; MID(I336,1,1)</f>
        <v/>
      </c>
      <c r="D336">
        <f>SampleImport!K344</f>
        <v>0</v>
      </c>
      <c r="I336" t="str">
        <f xml:space="preserve"> SUBSTITUTE( SUBSTITUTE( SUBSTITUTE( SUBSTITUTE( SUBSTITUTE( SUBSTITUTE( SUBSTITUTE( SUBSTITUTE( SampleImport!I344, "A", 1), "C", 2), "G", 3),"T", 4), 1, "T"), 2, "G"), 3, "C"), 4, "A")</f>
        <v/>
      </c>
    </row>
    <row r="337" spans="1:9" x14ac:dyDescent="0.35">
      <c r="A337">
        <f>SampleImport!A345</f>
        <v>0</v>
      </c>
      <c r="B337">
        <f>SampleImport!G345</f>
        <v>0</v>
      </c>
      <c r="C337" t="str">
        <f t="shared" si="5"/>
        <v/>
      </c>
      <c r="D337">
        <f>SampleImport!K345</f>
        <v>0</v>
      </c>
      <c r="I337" t="str">
        <f xml:space="preserve"> SUBSTITUTE( SUBSTITUTE( SUBSTITUTE( SUBSTITUTE( SUBSTITUTE( SUBSTITUTE( SUBSTITUTE( SUBSTITUTE( SampleImport!I345, "A", 1), "C", 2), "G", 3),"T", 4), 1, "T"), 2, "G"), 3, "C"), 4, "A")</f>
        <v/>
      </c>
    </row>
    <row r="338" spans="1:9" x14ac:dyDescent="0.35">
      <c r="A338">
        <f>SampleImport!A346</f>
        <v>0</v>
      </c>
      <c r="B338">
        <f>SampleImport!G346</f>
        <v>0</v>
      </c>
      <c r="C338" t="str">
        <f t="shared" si="5"/>
        <v/>
      </c>
      <c r="D338">
        <f>SampleImport!K346</f>
        <v>0</v>
      </c>
      <c r="I338" t="str">
        <f xml:space="preserve"> SUBSTITUTE( SUBSTITUTE( SUBSTITUTE( SUBSTITUTE( SUBSTITUTE( SUBSTITUTE( SUBSTITUTE( SUBSTITUTE( SampleImport!I346, "A", 1), "C", 2), "G", 3),"T", 4), 1, "T"), 2, "G"), 3, "C"), 4, "A")</f>
        <v/>
      </c>
    </row>
    <row r="339" spans="1:9" x14ac:dyDescent="0.35">
      <c r="A339">
        <f>SampleImport!A347</f>
        <v>0</v>
      </c>
      <c r="B339">
        <f>SampleImport!G347</f>
        <v>0</v>
      </c>
      <c r="C339" t="str">
        <f t="shared" si="5"/>
        <v/>
      </c>
      <c r="D339">
        <f>SampleImport!K347</f>
        <v>0</v>
      </c>
      <c r="I339" t="str">
        <f xml:space="preserve"> SUBSTITUTE( SUBSTITUTE( SUBSTITUTE( SUBSTITUTE( SUBSTITUTE( SUBSTITUTE( SUBSTITUTE( SUBSTITUTE( SampleImport!I347, "A", 1), "C", 2), "G", 3),"T", 4), 1, "T"), 2, "G"), 3, "C"), 4, "A")</f>
        <v/>
      </c>
    </row>
    <row r="340" spans="1:9" x14ac:dyDescent="0.35">
      <c r="A340">
        <f>SampleImport!A348</f>
        <v>0</v>
      </c>
      <c r="B340">
        <f>SampleImport!G348</f>
        <v>0</v>
      </c>
      <c r="C340" t="str">
        <f t="shared" si="5"/>
        <v/>
      </c>
      <c r="D340">
        <f>SampleImport!K348</f>
        <v>0</v>
      </c>
      <c r="I340" t="str">
        <f xml:space="preserve"> SUBSTITUTE( SUBSTITUTE( SUBSTITUTE( SUBSTITUTE( SUBSTITUTE( SUBSTITUTE( SUBSTITUTE( SUBSTITUTE( SampleImport!I348, "A", 1), "C", 2), "G", 3),"T", 4), 1, "T"), 2, "G"), 3, "C"), 4, "A")</f>
        <v/>
      </c>
    </row>
    <row r="341" spans="1:9" x14ac:dyDescent="0.35">
      <c r="A341">
        <f>SampleImport!A349</f>
        <v>0</v>
      </c>
      <c r="B341">
        <f>SampleImport!G349</f>
        <v>0</v>
      </c>
      <c r="C341" t="str">
        <f t="shared" si="5"/>
        <v/>
      </c>
      <c r="D341">
        <f>SampleImport!K349</f>
        <v>0</v>
      </c>
      <c r="I341" t="str">
        <f xml:space="preserve"> SUBSTITUTE( SUBSTITUTE( SUBSTITUTE( SUBSTITUTE( SUBSTITUTE( SUBSTITUTE( SUBSTITUTE( SUBSTITUTE( SampleImport!I349, "A", 1), "C", 2), "G", 3),"T", 4), 1, "T"), 2, "G"), 3, "C"), 4, "A")</f>
        <v/>
      </c>
    </row>
    <row r="342" spans="1:9" x14ac:dyDescent="0.35">
      <c r="A342">
        <f>SampleImport!A350</f>
        <v>0</v>
      </c>
      <c r="B342">
        <f>SampleImport!G350</f>
        <v>0</v>
      </c>
      <c r="C342" t="str">
        <f t="shared" si="5"/>
        <v/>
      </c>
      <c r="D342">
        <f>SampleImport!K350</f>
        <v>0</v>
      </c>
      <c r="I342" t="str">
        <f xml:space="preserve"> SUBSTITUTE( SUBSTITUTE( SUBSTITUTE( SUBSTITUTE( SUBSTITUTE( SUBSTITUTE( SUBSTITUTE( SUBSTITUTE( SampleImport!I350, "A", 1), "C", 2), "G", 3),"T", 4), 1, "T"), 2, "G"), 3, "C"), 4, "A")</f>
        <v/>
      </c>
    </row>
    <row r="343" spans="1:9" x14ac:dyDescent="0.35">
      <c r="A343">
        <f>SampleImport!A351</f>
        <v>0</v>
      </c>
      <c r="B343">
        <f>SampleImport!G351</f>
        <v>0</v>
      </c>
      <c r="C343" t="str">
        <f t="shared" si="5"/>
        <v/>
      </c>
      <c r="D343">
        <f>SampleImport!K351</f>
        <v>0</v>
      </c>
      <c r="I343" t="str">
        <f xml:space="preserve"> SUBSTITUTE( SUBSTITUTE( SUBSTITUTE( SUBSTITUTE( SUBSTITUTE( SUBSTITUTE( SUBSTITUTE( SUBSTITUTE( SampleImport!I351, "A", 1), "C", 2), "G", 3),"T", 4), 1, "T"), 2, "G"), 3, "C"), 4, "A")</f>
        <v/>
      </c>
    </row>
    <row r="344" spans="1:9" x14ac:dyDescent="0.35">
      <c r="A344">
        <f>SampleImport!A352</f>
        <v>0</v>
      </c>
      <c r="B344">
        <f>SampleImport!G352</f>
        <v>0</v>
      </c>
      <c r="C344" t="str">
        <f t="shared" si="5"/>
        <v/>
      </c>
      <c r="D344">
        <f>SampleImport!K352</f>
        <v>0</v>
      </c>
      <c r="I344" t="str">
        <f xml:space="preserve"> SUBSTITUTE( SUBSTITUTE( SUBSTITUTE( SUBSTITUTE( SUBSTITUTE( SUBSTITUTE( SUBSTITUTE( SUBSTITUTE( SampleImport!I352, "A", 1), "C", 2), "G", 3),"T", 4), 1, "T"), 2, "G"), 3, "C"), 4, "A")</f>
        <v/>
      </c>
    </row>
    <row r="345" spans="1:9" x14ac:dyDescent="0.35">
      <c r="A345">
        <f>SampleImport!A353</f>
        <v>0</v>
      </c>
      <c r="B345">
        <f>SampleImport!G353</f>
        <v>0</v>
      </c>
      <c r="C345" t="str">
        <f t="shared" si="5"/>
        <v/>
      </c>
      <c r="D345">
        <f>SampleImport!K353</f>
        <v>0</v>
      </c>
      <c r="I345" t="str">
        <f xml:space="preserve"> SUBSTITUTE( SUBSTITUTE( SUBSTITUTE( SUBSTITUTE( SUBSTITUTE( SUBSTITUTE( SUBSTITUTE( SUBSTITUTE( SampleImport!I353, "A", 1), "C", 2), "G", 3),"T", 4), 1, "T"), 2, "G"), 3, "C"), 4, "A")</f>
        <v/>
      </c>
    </row>
    <row r="346" spans="1:9" x14ac:dyDescent="0.35">
      <c r="A346">
        <f>SampleImport!A354</f>
        <v>0</v>
      </c>
      <c r="B346">
        <f>SampleImport!G354</f>
        <v>0</v>
      </c>
      <c r="C346" t="str">
        <f t="shared" si="5"/>
        <v/>
      </c>
      <c r="D346">
        <f>SampleImport!K354</f>
        <v>0</v>
      </c>
      <c r="I346" t="str">
        <f xml:space="preserve"> SUBSTITUTE( SUBSTITUTE( SUBSTITUTE( SUBSTITUTE( SUBSTITUTE( SUBSTITUTE( SUBSTITUTE( SUBSTITUTE( SampleImport!I354, "A", 1), "C", 2), "G", 3),"T", 4), 1, "T"), 2, "G"), 3, "C"), 4, "A")</f>
        <v/>
      </c>
    </row>
    <row r="347" spans="1:9" x14ac:dyDescent="0.35">
      <c r="A347">
        <f>SampleImport!A355</f>
        <v>0</v>
      </c>
      <c r="B347">
        <f>SampleImport!G355</f>
        <v>0</v>
      </c>
      <c r="C347" t="str">
        <f t="shared" si="5"/>
        <v/>
      </c>
      <c r="D347">
        <f>SampleImport!K355</f>
        <v>0</v>
      </c>
      <c r="I347" t="str">
        <f xml:space="preserve"> SUBSTITUTE( SUBSTITUTE( SUBSTITUTE( SUBSTITUTE( SUBSTITUTE( SUBSTITUTE( SUBSTITUTE( SUBSTITUTE( SampleImport!I355, "A", 1), "C", 2), "G", 3),"T", 4), 1, "T"), 2, "G"), 3, "C"), 4, "A")</f>
        <v/>
      </c>
    </row>
    <row r="348" spans="1:9" x14ac:dyDescent="0.35">
      <c r="A348">
        <f>SampleImport!A356</f>
        <v>0</v>
      </c>
      <c r="B348">
        <f>SampleImport!G356</f>
        <v>0</v>
      </c>
      <c r="C348" t="str">
        <f t="shared" si="5"/>
        <v/>
      </c>
      <c r="D348">
        <f>SampleImport!K356</f>
        <v>0</v>
      </c>
      <c r="I348" t="str">
        <f xml:space="preserve"> SUBSTITUTE( SUBSTITUTE( SUBSTITUTE( SUBSTITUTE( SUBSTITUTE( SUBSTITUTE( SUBSTITUTE( SUBSTITUTE( SampleImport!I356, "A", 1), "C", 2), "G", 3),"T", 4), 1, "T"), 2, "G"), 3, "C"), 4, "A")</f>
        <v/>
      </c>
    </row>
    <row r="349" spans="1:9" x14ac:dyDescent="0.35">
      <c r="A349">
        <f>SampleImport!A357</f>
        <v>0</v>
      </c>
      <c r="B349">
        <f>SampleImport!G357</f>
        <v>0</v>
      </c>
      <c r="C349" t="str">
        <f t="shared" si="5"/>
        <v/>
      </c>
      <c r="D349">
        <f>SampleImport!K357</f>
        <v>0</v>
      </c>
      <c r="I349" t="str">
        <f xml:space="preserve"> SUBSTITUTE( SUBSTITUTE( SUBSTITUTE( SUBSTITUTE( SUBSTITUTE( SUBSTITUTE( SUBSTITUTE( SUBSTITUTE( SampleImport!I357, "A", 1), "C", 2), "G", 3),"T", 4), 1, "T"), 2, "G"), 3, "C"), 4, "A")</f>
        <v/>
      </c>
    </row>
    <row r="350" spans="1:9" x14ac:dyDescent="0.35">
      <c r="A350">
        <f>SampleImport!A358</f>
        <v>0</v>
      </c>
      <c r="B350">
        <f>SampleImport!G358</f>
        <v>0</v>
      </c>
      <c r="C350" t="str">
        <f t="shared" si="5"/>
        <v/>
      </c>
      <c r="D350">
        <f>SampleImport!K358</f>
        <v>0</v>
      </c>
      <c r="I350" t="str">
        <f xml:space="preserve"> SUBSTITUTE( SUBSTITUTE( SUBSTITUTE( SUBSTITUTE( SUBSTITUTE( SUBSTITUTE( SUBSTITUTE( SUBSTITUTE( SampleImport!I358, "A", 1), "C", 2), "G", 3),"T", 4), 1, "T"), 2, "G"), 3, "C"), 4, "A")</f>
        <v/>
      </c>
    </row>
    <row r="351" spans="1:9" x14ac:dyDescent="0.35">
      <c r="A351">
        <f>SampleImport!A359</f>
        <v>0</v>
      </c>
      <c r="B351">
        <f>SampleImport!G359</f>
        <v>0</v>
      </c>
      <c r="C351" t="str">
        <f t="shared" si="5"/>
        <v/>
      </c>
      <c r="D351">
        <f>SampleImport!K359</f>
        <v>0</v>
      </c>
      <c r="I351" t="str">
        <f xml:space="preserve"> SUBSTITUTE( SUBSTITUTE( SUBSTITUTE( SUBSTITUTE( SUBSTITUTE( SUBSTITUTE( SUBSTITUTE( SUBSTITUTE( SampleImport!I359, "A", 1), "C", 2), "G", 3),"T", 4), 1, "T"), 2, "G"), 3, "C"), 4, "A")</f>
        <v/>
      </c>
    </row>
    <row r="352" spans="1:9" x14ac:dyDescent="0.35">
      <c r="A352">
        <f>SampleImport!A360</f>
        <v>0</v>
      </c>
      <c r="B352">
        <f>SampleImport!G360</f>
        <v>0</v>
      </c>
      <c r="C352" t="str">
        <f t="shared" si="5"/>
        <v/>
      </c>
      <c r="D352">
        <f>SampleImport!K360</f>
        <v>0</v>
      </c>
      <c r="I352" t="str">
        <f xml:space="preserve"> SUBSTITUTE( SUBSTITUTE( SUBSTITUTE( SUBSTITUTE( SUBSTITUTE( SUBSTITUTE( SUBSTITUTE( SUBSTITUTE( SampleImport!I360, "A", 1), "C", 2), "G", 3),"T", 4), 1, "T"), 2, "G"), 3, "C"), 4, "A")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20205-2CAC-41AB-8F54-3F8F9F7D8A83}">
  <sheetPr codeName="Sheet8"/>
  <dimension ref="A1:O360"/>
  <sheetViews>
    <sheetView topLeftCell="A19" workbookViewId="0">
      <selection activeCell="O24" sqref="O24"/>
    </sheetView>
  </sheetViews>
  <sheetFormatPr defaultRowHeight="14.5" x14ac:dyDescent="0.35"/>
  <cols>
    <col min="1" max="1" width="12.81640625" bestFit="1" customWidth="1"/>
    <col min="2" max="2" width="14" bestFit="1" customWidth="1"/>
    <col min="3" max="3" width="13.26953125" bestFit="1" customWidth="1"/>
    <col min="4" max="4" width="12.7265625" bestFit="1" customWidth="1"/>
    <col min="5" max="5" width="16.81640625" bestFit="1" customWidth="1"/>
    <col min="6" max="6" width="11.453125" bestFit="1" customWidth="1"/>
    <col min="7" max="7" width="6" bestFit="1" customWidth="1"/>
    <col min="8" max="8" width="11.453125" bestFit="1" customWidth="1"/>
    <col min="9" max="9" width="7" bestFit="1" customWidth="1"/>
    <col min="10" max="10" width="15" bestFit="1" customWidth="1"/>
    <col min="11" max="11" width="11.1796875" bestFit="1" customWidth="1"/>
  </cols>
  <sheetData>
    <row r="1" spans="1:9" x14ac:dyDescent="0.35">
      <c r="A1" s="46" t="s">
        <v>83</v>
      </c>
      <c r="B1" s="46"/>
      <c r="C1" s="46"/>
      <c r="D1" s="46"/>
      <c r="E1" s="46"/>
      <c r="F1" s="46"/>
      <c r="G1" s="46"/>
      <c r="H1" s="46"/>
      <c r="I1" s="46"/>
    </row>
    <row r="2" spans="1:9" x14ac:dyDescent="0.35">
      <c r="A2" s="46" t="s">
        <v>84</v>
      </c>
      <c r="B2" s="46" t="s">
        <v>85</v>
      </c>
      <c r="C2" s="46" t="s">
        <v>86</v>
      </c>
      <c r="D2" s="46"/>
      <c r="E2" s="46"/>
      <c r="F2" s="46"/>
      <c r="G2" s="46"/>
      <c r="H2" s="46"/>
      <c r="I2" s="46"/>
    </row>
    <row r="21" spans="1:15" ht="101.5" x14ac:dyDescent="0.35">
      <c r="O21" s="126" t="s">
        <v>100</v>
      </c>
    </row>
    <row r="22" spans="1:15" x14ac:dyDescent="0.35">
      <c r="A22" s="46" t="s">
        <v>96</v>
      </c>
    </row>
    <row r="23" spans="1:15" x14ac:dyDescent="0.35">
      <c r="A23" s="2" t="s">
        <v>97</v>
      </c>
      <c r="B23" s="2" t="s">
        <v>74</v>
      </c>
      <c r="C23" s="2" t="s">
        <v>75</v>
      </c>
      <c r="D23" s="2" t="s">
        <v>76</v>
      </c>
      <c r="E23" s="2" t="s">
        <v>77</v>
      </c>
      <c r="F23" s="2" t="s">
        <v>78</v>
      </c>
      <c r="G23" s="2" t="s">
        <v>102</v>
      </c>
      <c r="H23" s="2" t="s">
        <v>80</v>
      </c>
      <c r="I23" s="2" t="s">
        <v>99</v>
      </c>
      <c r="J23" s="2" t="s">
        <v>82</v>
      </c>
      <c r="K23" s="2" t="s">
        <v>62</v>
      </c>
    </row>
    <row r="24" spans="1:15" x14ac:dyDescent="0.35">
      <c r="A24" t="str">
        <f>Sample!B22&amp;"-"&amp;Sample!C22</f>
        <v>1-AAABLA63</v>
      </c>
      <c r="B24" t="str">
        <f>Sample!B22&amp;"-"&amp;Sample!C22</f>
        <v>1-AAABLA63</v>
      </c>
      <c r="C24" t="str">
        <f>Sample!A22</f>
        <v>T2927A</v>
      </c>
      <c r="F24" t="str">
        <f>Sample!K22</f>
        <v>S7701</v>
      </c>
      <c r="G24" t="str">
        <f>VLOOKUP(F24,'Index Sequence'!$A$2:$B$9808,2,FALSE)</f>
        <v>TGTCGTAG</v>
      </c>
      <c r="H24" t="str">
        <f>Sample!L22</f>
        <v>S7501</v>
      </c>
      <c r="I24" t="str">
        <f t="shared" ref="I24:I87" si="0" xml:space="preserve"> MID(O24,30,1) &amp; MID(O24,29,1) &amp; MID(O24,28,1) &amp; MID(O24,27,1) &amp; MID(O24,26,1) &amp; MID(O24,25,1) &amp; MID(O24,24,1) &amp; MID(O24,23,1) &amp; MID(O24,22,1) &amp; MID(O24,21,1) &amp; MID(O24,20,1) &amp; MID(O24,19,1) &amp; MID(O24,18,1) &amp; MID(O24,17,1) &amp; MID(O24,16,1) &amp; MID(O24,15,1) &amp; MID(O24,14,1) &amp; MID(O24,13,1) &amp; MID(O24,12,1) &amp; MID(O24,11,1) &amp; MID(O24,10,1) &amp; MID(O24,9,1) &amp; MID(O24,8,1) &amp; MID(O24,7,1) &amp; MID(O24,6,1) &amp; MID(O24,5,1) &amp; MID(O24,4,1) &amp; MID(O24,3,1) &amp; MID(O24,2,1) &amp; MID(O24,1,1)</f>
        <v>AAAGCTAA</v>
      </c>
      <c r="K24" t="str">
        <f>IF(AND(OR(LEFT(Sample!A22,1)="E",LEFT(Sample!A22,1)="H"),OR(LEFT(Sample!C22,2)="JI",LEFT(Sample!C22,1)="I")),"TS1",IF(AND(OR(LEFT(Sample!A22,1)="E",LEFT(Sample!A22,1)="H"),OR(LEFT(Sample!C22,2)="JX",LEFT(Sample!C22,1)="W",LEFT(Sample!C22,1)="X")),"TS95",IF(AND(OR(LEFT(Sample!A22,1)="E",LEFT(Sample!A22,1)="H"),OR(LEFT(Sample!C22,2)="JN",LEFT(Sample!C22,1)="N")),"TS3",IF(OR(LEFT(Sample!A22,1)="T",LEFT(Sample!A22,1)="B"),"TS24",IF(LEFT(Sample!A22,2)="CR","CARRIER9",IF(LEFT(Sample!A22,4)="DEL3","NIPTDEL3",Sample!A22))))))</f>
        <v>TS24</v>
      </c>
      <c r="O24" t="str">
        <f xml:space="preserve"> SUBSTITUTE( SUBSTITUTE( SUBSTITUTE( SUBSTITUTE( SUBSTITUTE( SUBSTITUTE( SUBSTITUTE( SUBSTITUTE( SampleImport!I24, "A", 1), "C", 2), "G", 3),"T", 4), 1, "T"), 2, "G"), 3, "C"), 4, "A")</f>
        <v>AATCGAAA</v>
      </c>
    </row>
    <row r="25" spans="1:15" x14ac:dyDescent="0.35">
      <c r="A25" t="str">
        <f>Sample!B23&amp;"-"&amp;Sample!C23</f>
        <v>2-SAAAFU90</v>
      </c>
      <c r="B25" t="str">
        <f>Sample!B23&amp;"-"&amp;Sample!C23</f>
        <v>2-SAAAFU90</v>
      </c>
      <c r="C25" t="str">
        <f>Sample!A23</f>
        <v>T2927A</v>
      </c>
      <c r="F25" t="str">
        <f>Sample!K23</f>
        <v>S7702</v>
      </c>
      <c r="G25" t="str">
        <f>VLOOKUP(F25,'Index Sequence'!$A$2:$B$9808,2,FALSE)</f>
        <v>CAATCATA</v>
      </c>
      <c r="H25" t="str">
        <f>Sample!L23</f>
        <v>S7502</v>
      </c>
      <c r="I25" t="str">
        <f t="shared" si="0"/>
        <v>TGGAGATT</v>
      </c>
      <c r="K25" t="str">
        <f>IF(AND(OR(LEFT(Sample!A23,1)="E",LEFT(Sample!A23,1)="H"),OR(LEFT(Sample!C23,2)="JI",LEFT(Sample!C23,1)="I")),"TS1",IF(AND(OR(LEFT(Sample!A23,1)="E",LEFT(Sample!A23,1)="H"),OR(LEFT(Sample!C23,2)="JX",LEFT(Sample!C23,1)="W",LEFT(Sample!C23,1)="X")),"TS95",IF(AND(OR(LEFT(Sample!A23,1)="E",LEFT(Sample!A23,1)="H"),OR(LEFT(Sample!C23,2)="JN",LEFT(Sample!C23,1)="N")),"TS3",IF(OR(LEFT(Sample!A23,1)="T",LEFT(Sample!A23,1)="B"),"TS24",IF(LEFT(Sample!A23,2)="CR","CARRIER9",IF(LEFT(Sample!A23,4)="DEL3","NIPTDEL3",Sample!A23))))))</f>
        <v>TS24</v>
      </c>
      <c r="O25" t="str">
        <f xml:space="preserve"> SUBSTITUTE( SUBSTITUTE( SUBSTITUTE( SUBSTITUTE( SUBSTITUTE( SUBSTITUTE( SUBSTITUTE( SUBSTITUTE( SampleImport!I25, "A", 1), "C", 2), "G", 3),"T", 4), 1, "T"), 2, "G"), 3, "C"), 4, "A")</f>
        <v>TTAGAGGT</v>
      </c>
    </row>
    <row r="26" spans="1:15" x14ac:dyDescent="0.35">
      <c r="A26" t="str">
        <f>Sample!B24&amp;"-"&amp;Sample!C24</f>
        <v>4-AAABLB18</v>
      </c>
      <c r="B26" t="str">
        <f>Sample!B24&amp;"-"&amp;Sample!C24</f>
        <v>4-AAABLB18</v>
      </c>
      <c r="C26" t="str">
        <f>Sample!A24</f>
        <v>T2927A</v>
      </c>
      <c r="F26" t="str">
        <f>Sample!K24</f>
        <v>S7704</v>
      </c>
      <c r="G26" t="str">
        <f>VLOOKUP(F26,'Index Sequence'!$A$2:$B$9808,2,FALSE)</f>
        <v>GATGCGAC</v>
      </c>
      <c r="H26" t="str">
        <f>Sample!L24</f>
        <v>S7504</v>
      </c>
      <c r="I26" t="str">
        <f t="shared" si="0"/>
        <v>ACTTTGGG</v>
      </c>
      <c r="K26" t="str">
        <f>IF(AND(OR(LEFT(Sample!A24,1)="E",LEFT(Sample!A24,1)="H"),OR(LEFT(Sample!C24,2)="JI",LEFT(Sample!C24,1)="I")),"TS1",IF(AND(OR(LEFT(Sample!A24,1)="E",LEFT(Sample!A24,1)="H"),OR(LEFT(Sample!C24,2)="JX",LEFT(Sample!C24,1)="W",LEFT(Sample!C24,1)="X")),"TS95",IF(AND(OR(LEFT(Sample!A24,1)="E",LEFT(Sample!A24,1)="H"),OR(LEFT(Sample!C24,2)="JN",LEFT(Sample!C24,1)="N")),"TS3",IF(OR(LEFT(Sample!A24,1)="T",LEFT(Sample!A24,1)="B"),"TS24",IF(LEFT(Sample!A24,2)="CR","CARRIER9",IF(LEFT(Sample!A24,4)="DEL3","NIPTDEL3",Sample!A24))))))</f>
        <v>TS24</v>
      </c>
      <c r="O26" t="str">
        <f xml:space="preserve"> SUBSTITUTE( SUBSTITUTE( SUBSTITUTE( SUBSTITUTE( SUBSTITUTE( SUBSTITUTE( SUBSTITUTE( SUBSTITUTE( SampleImport!I26, "A", 1), "C", 2), "G", 3),"T", 4), 1, "T"), 2, "G"), 3, "C"), 4, "A")</f>
        <v>GGGTTTCA</v>
      </c>
    </row>
    <row r="27" spans="1:15" x14ac:dyDescent="0.35">
      <c r="A27" t="str">
        <f>Sample!B25&amp;"-"&amp;Sample!C25</f>
        <v>5-SAGAEV40</v>
      </c>
      <c r="B27" t="str">
        <f>Sample!B25&amp;"-"&amp;Sample!C25</f>
        <v>5-SAGAEV40</v>
      </c>
      <c r="C27" t="str">
        <f>Sample!A25</f>
        <v>T2927A</v>
      </c>
      <c r="F27" t="str">
        <f>Sample!K25</f>
        <v>S7705</v>
      </c>
      <c r="G27" t="str">
        <f>VLOOKUP(F27,'Index Sequence'!$A$2:$B$9808,2,FALSE)</f>
        <v>GAAGAGGG</v>
      </c>
      <c r="H27" t="str">
        <f>Sample!L25</f>
        <v>S7505</v>
      </c>
      <c r="I27" t="str">
        <f t="shared" si="0"/>
        <v>CGGACGGA</v>
      </c>
      <c r="K27" t="str">
        <f>IF(AND(OR(LEFT(Sample!A25,1)="E",LEFT(Sample!A25,1)="H"),OR(LEFT(Sample!C25,2)="JI",LEFT(Sample!C25,1)="I")),"TS1",IF(AND(OR(LEFT(Sample!A25,1)="E",LEFT(Sample!A25,1)="H"),OR(LEFT(Sample!C25,2)="JX",LEFT(Sample!C25,1)="W",LEFT(Sample!C25,1)="X")),"TS95",IF(AND(OR(LEFT(Sample!A25,1)="E",LEFT(Sample!A25,1)="H"),OR(LEFT(Sample!C25,2)="JN",LEFT(Sample!C25,1)="N")),"TS3",IF(OR(LEFT(Sample!A25,1)="T",LEFT(Sample!A25,1)="B"),"TS24",IF(LEFT(Sample!A25,2)="CR","CARRIER9",IF(LEFT(Sample!A25,4)="DEL3","NIPTDEL3",Sample!A25))))))</f>
        <v>TS24</v>
      </c>
      <c r="O27" t="str">
        <f xml:space="preserve"> SUBSTITUTE( SUBSTITUTE( SUBSTITUTE( SUBSTITUTE( SUBSTITUTE( SUBSTITUTE( SUBSTITUTE( SUBSTITUTE( SampleImport!I27, "A", 1), "C", 2), "G", 3),"T", 4), 1, "T"), 2, "G"), 3, "C"), 4, "A")</f>
        <v>AGGCAGGC</v>
      </c>
    </row>
    <row r="28" spans="1:15" x14ac:dyDescent="0.35">
      <c r="A28" t="str">
        <f>Sample!B26&amp;"-"&amp;Sample!C26</f>
        <v>6-AAABLD80</v>
      </c>
      <c r="B28" t="str">
        <f>Sample!B26&amp;"-"&amp;Sample!C26</f>
        <v>6-AAABLD80</v>
      </c>
      <c r="C28" t="str">
        <f>Sample!A26</f>
        <v>T2927A</v>
      </c>
      <c r="F28" t="str">
        <f>Sample!K26</f>
        <v>S7706</v>
      </c>
      <c r="G28" t="str">
        <f>VLOOKUP(F28,'Index Sequence'!$A$2:$B$9808,2,FALSE)</f>
        <v>TAGTAATC</v>
      </c>
      <c r="H28" t="str">
        <f>Sample!L26</f>
        <v>S7506</v>
      </c>
      <c r="I28" t="str">
        <f t="shared" si="0"/>
        <v>GCAGAGCC</v>
      </c>
      <c r="K28" t="str">
        <f>IF(AND(OR(LEFT(Sample!A26,1)="E",LEFT(Sample!A26,1)="H"),OR(LEFT(Sample!C26,2)="JI",LEFT(Sample!C26,1)="I")),"TS1",IF(AND(OR(LEFT(Sample!A26,1)="E",LEFT(Sample!A26,1)="H"),OR(LEFT(Sample!C26,2)="JX",LEFT(Sample!C26,1)="W",LEFT(Sample!C26,1)="X")),"TS95",IF(AND(OR(LEFT(Sample!A26,1)="E",LEFT(Sample!A26,1)="H"),OR(LEFT(Sample!C26,2)="JN",LEFT(Sample!C26,1)="N")),"TS3",IF(OR(LEFT(Sample!A26,1)="T",LEFT(Sample!A26,1)="B"),"TS24",IF(LEFT(Sample!A26,2)="CR","CARRIER9",IF(LEFT(Sample!A26,4)="DEL3","NIPTDEL3",Sample!A26))))))</f>
        <v>TS24</v>
      </c>
      <c r="O28" t="str">
        <f xml:space="preserve"> SUBSTITUTE( SUBSTITUTE( SUBSTITUTE( SUBSTITUTE( SUBSTITUTE( SUBSTITUTE( SUBSTITUTE( SUBSTITUTE( SampleImport!I28, "A", 1), "C", 2), "G", 3),"T", 4), 1, "T"), 2, "G"), 3, "C"), 4, "A")</f>
        <v>CCGAGACG</v>
      </c>
    </row>
    <row r="29" spans="1:15" x14ac:dyDescent="0.35">
      <c r="A29" t="str">
        <f>Sample!B27&amp;"-"&amp;Sample!C27</f>
        <v>7-AAABLD81</v>
      </c>
      <c r="B29" t="str">
        <f>Sample!B27&amp;"-"&amp;Sample!C27</f>
        <v>7-AAABLD81</v>
      </c>
      <c r="C29" t="str">
        <f>Sample!A27</f>
        <v>T2927A</v>
      </c>
      <c r="F29" t="str">
        <f>Sample!K27</f>
        <v>S7707</v>
      </c>
      <c r="G29" t="str">
        <f>VLOOKUP(F29,'Index Sequence'!$A$2:$B$9808,2,FALSE)</f>
        <v>GTGTGGAG</v>
      </c>
      <c r="H29" t="str">
        <f>Sample!L27</f>
        <v>S7507</v>
      </c>
      <c r="I29" t="str">
        <f t="shared" si="0"/>
        <v>GCATGATC</v>
      </c>
      <c r="K29" t="str">
        <f>IF(AND(OR(LEFT(Sample!A27,1)="E",LEFT(Sample!A27,1)="H"),OR(LEFT(Sample!C27,2)="JI",LEFT(Sample!C27,1)="I")),"TS1",IF(AND(OR(LEFT(Sample!A27,1)="E",LEFT(Sample!A27,1)="H"),OR(LEFT(Sample!C27,2)="JX",LEFT(Sample!C27,1)="W",LEFT(Sample!C27,1)="X")),"TS95",IF(AND(OR(LEFT(Sample!A27,1)="E",LEFT(Sample!A27,1)="H"),OR(LEFT(Sample!C27,2)="JN",LEFT(Sample!C27,1)="N")),"TS3",IF(OR(LEFT(Sample!A27,1)="T",LEFT(Sample!A27,1)="B"),"TS24",IF(LEFT(Sample!A27,2)="CR","CARRIER9",IF(LEFT(Sample!A27,4)="DEL3","NIPTDEL3",Sample!A27))))))</f>
        <v>TS24</v>
      </c>
      <c r="O29" t="str">
        <f xml:space="preserve"> SUBSTITUTE( SUBSTITUTE( SUBSTITUTE( SUBSTITUTE( SUBSTITUTE( SUBSTITUTE( SUBSTITUTE( SUBSTITUTE( SampleImport!I29, "A", 1), "C", 2), "G", 3),"T", 4), 1, "T"), 2, "G"), 3, "C"), 4, "A")</f>
        <v>CTAGTACG</v>
      </c>
    </row>
    <row r="30" spans="1:15" x14ac:dyDescent="0.35">
      <c r="A30" t="str">
        <f>Sample!B28&amp;"-"&amp;Sample!C28</f>
        <v>8-AAABLD82</v>
      </c>
      <c r="B30" t="str">
        <f>Sample!B28&amp;"-"&amp;Sample!C28</f>
        <v>8-AAABLD82</v>
      </c>
      <c r="C30" t="str">
        <f>Sample!A28</f>
        <v>T2927A</v>
      </c>
      <c r="F30" t="str">
        <f>Sample!K28</f>
        <v>S7708</v>
      </c>
      <c r="G30" t="str">
        <f>VLOOKUP(F30,'Index Sequence'!$A$2:$B$9808,2,FALSE)</f>
        <v>ACGTTGTA</v>
      </c>
      <c r="H30" t="str">
        <f>Sample!L28</f>
        <v>S7508</v>
      </c>
      <c r="I30" t="str">
        <f t="shared" si="0"/>
        <v>TCGACCTA</v>
      </c>
      <c r="K30" t="str">
        <f>IF(AND(OR(LEFT(Sample!A28,1)="E",LEFT(Sample!A28,1)="H"),OR(LEFT(Sample!C28,2)="JI",LEFT(Sample!C28,1)="I")),"TS1",IF(AND(OR(LEFT(Sample!A28,1)="E",LEFT(Sample!A28,1)="H"),OR(LEFT(Sample!C28,2)="JX",LEFT(Sample!C28,1)="W",LEFT(Sample!C28,1)="X")),"TS95",IF(AND(OR(LEFT(Sample!A28,1)="E",LEFT(Sample!A28,1)="H"),OR(LEFT(Sample!C28,2)="JN",LEFT(Sample!C28,1)="N")),"TS3",IF(OR(LEFT(Sample!A28,1)="T",LEFT(Sample!A28,1)="B"),"TS24",IF(LEFT(Sample!A28,2)="CR","CARRIER9",IF(LEFT(Sample!A28,4)="DEL3","NIPTDEL3",Sample!A28))))))</f>
        <v>TS24</v>
      </c>
      <c r="O30" t="str">
        <f xml:space="preserve"> SUBSTITUTE( SUBSTITUTE( SUBSTITUTE( SUBSTITUTE( SUBSTITUTE( SUBSTITUTE( SUBSTITUTE( SUBSTITUTE( SampleImport!I30, "A", 1), "C", 2), "G", 3),"T", 4), 1, "T"), 2, "G"), 3, "C"), 4, "A")</f>
        <v>ATCCAGCT</v>
      </c>
    </row>
    <row r="31" spans="1:15" x14ac:dyDescent="0.35">
      <c r="A31" t="str">
        <f>Sample!B29&amp;"-"&amp;Sample!C29</f>
        <v>9-AAABLD83</v>
      </c>
      <c r="B31" t="str">
        <f>Sample!B29&amp;"-"&amp;Sample!C29</f>
        <v>9-AAABLD83</v>
      </c>
      <c r="C31" t="str">
        <f>Sample!A29</f>
        <v>T2927A</v>
      </c>
      <c r="F31" t="str">
        <f>Sample!K29</f>
        <v>S7709</v>
      </c>
      <c r="G31" t="str">
        <f>VLOOKUP(F31,'Index Sequence'!$A$2:$B$9808,2,FALSE)</f>
        <v>GCGCTAAT</v>
      </c>
      <c r="H31" t="str">
        <f>Sample!L29</f>
        <v>S7509</v>
      </c>
      <c r="I31" t="str">
        <f t="shared" si="0"/>
        <v>ACCCTGAC</v>
      </c>
      <c r="K31" t="str">
        <f>IF(AND(OR(LEFT(Sample!A29,1)="E",LEFT(Sample!A29,1)="H"),OR(LEFT(Sample!C29,2)="JI",LEFT(Sample!C29,1)="I")),"TS1",IF(AND(OR(LEFT(Sample!A29,1)="E",LEFT(Sample!A29,1)="H"),OR(LEFT(Sample!C29,2)="JX",LEFT(Sample!C29,1)="W",LEFT(Sample!C29,1)="X")),"TS95",IF(AND(OR(LEFT(Sample!A29,1)="E",LEFT(Sample!A29,1)="H"),OR(LEFT(Sample!C29,2)="JN",LEFT(Sample!C29,1)="N")),"TS3",IF(OR(LEFT(Sample!A29,1)="T",LEFT(Sample!A29,1)="B"),"TS24",IF(LEFT(Sample!A29,2)="CR","CARRIER9",IF(LEFT(Sample!A29,4)="DEL3","NIPTDEL3",Sample!A29))))))</f>
        <v>TS24</v>
      </c>
      <c r="O31" t="str">
        <f xml:space="preserve"> SUBSTITUTE( SUBSTITUTE( SUBSTITUTE( SUBSTITUTE( SUBSTITUTE( SUBSTITUTE( SUBSTITUTE( SUBSTITUTE( SampleImport!I31, "A", 1), "C", 2), "G", 3),"T", 4), 1, "T"), 2, "G"), 3, "C"), 4, "A")</f>
        <v>CAGTCCCA</v>
      </c>
    </row>
    <row r="32" spans="1:15" x14ac:dyDescent="0.35">
      <c r="A32" t="str">
        <f>Sample!B30&amp;"-"&amp;Sample!C30</f>
        <v>10-AAABLD84</v>
      </c>
      <c r="B32" t="str">
        <f>Sample!B30&amp;"-"&amp;Sample!C30</f>
        <v>10-AAABLD84</v>
      </c>
      <c r="C32" t="str">
        <f>Sample!A30</f>
        <v>T2927A</v>
      </c>
      <c r="F32" t="str">
        <f>Sample!K30</f>
        <v>S7710</v>
      </c>
      <c r="G32" t="str">
        <f>VLOOKUP(F32,'Index Sequence'!$A$2:$B$9808,2,FALSE)</f>
        <v>AGAGCTGC</v>
      </c>
      <c r="H32" t="str">
        <f>Sample!L30</f>
        <v>S7510</v>
      </c>
      <c r="I32" t="str">
        <f t="shared" si="0"/>
        <v>GTTGAAGG</v>
      </c>
      <c r="K32" t="str">
        <f>IF(AND(OR(LEFT(Sample!A30,1)="E",LEFT(Sample!A30,1)="H"),OR(LEFT(Sample!C30,2)="JI",LEFT(Sample!C30,1)="I")),"TS1",IF(AND(OR(LEFT(Sample!A30,1)="E",LEFT(Sample!A30,1)="H"),OR(LEFT(Sample!C30,2)="JX",LEFT(Sample!C30,1)="W",LEFT(Sample!C30,1)="X")),"TS95",IF(AND(OR(LEFT(Sample!A30,1)="E",LEFT(Sample!A30,1)="H"),OR(LEFT(Sample!C30,2)="JN",LEFT(Sample!C30,1)="N")),"TS3",IF(OR(LEFT(Sample!A30,1)="T",LEFT(Sample!A30,1)="B"),"TS24",IF(LEFT(Sample!A30,2)="CR","CARRIER9",IF(LEFT(Sample!A30,4)="DEL3","NIPTDEL3",Sample!A30))))))</f>
        <v>TS24</v>
      </c>
      <c r="O32" t="str">
        <f xml:space="preserve"> SUBSTITUTE( SUBSTITUTE( SUBSTITUTE( SUBSTITUTE( SUBSTITUTE( SUBSTITUTE( SUBSTITUTE( SUBSTITUTE( SampleImport!I32, "A", 1), "C", 2), "G", 3),"T", 4), 1, "T"), 2, "G"), 3, "C"), 4, "A")</f>
        <v>GGAAGTTG</v>
      </c>
    </row>
    <row r="33" spans="1:15" x14ac:dyDescent="0.35">
      <c r="A33" t="str">
        <f>Sample!B31&amp;"-"&amp;Sample!C31</f>
        <v>11-AAABLD85</v>
      </c>
      <c r="B33" t="str">
        <f>Sample!B31&amp;"-"&amp;Sample!C31</f>
        <v>11-AAABLD85</v>
      </c>
      <c r="C33" t="str">
        <f>Sample!A31</f>
        <v>T2927A</v>
      </c>
      <c r="F33" t="str">
        <f>Sample!K31</f>
        <v>S7711</v>
      </c>
      <c r="G33" t="str">
        <f>VLOOKUP(F33,'Index Sequence'!$A$2:$B$9808,2,FALSE)</f>
        <v>CATACTTA</v>
      </c>
      <c r="H33" t="str">
        <f>Sample!L31</f>
        <v>S7511</v>
      </c>
      <c r="I33" t="str">
        <f t="shared" si="0"/>
        <v>GCACGGGA</v>
      </c>
      <c r="K33" t="str">
        <f>IF(AND(OR(LEFT(Sample!A31,1)="E",LEFT(Sample!A31,1)="H"),OR(LEFT(Sample!C31,2)="JI",LEFT(Sample!C31,1)="I")),"TS1",IF(AND(OR(LEFT(Sample!A31,1)="E",LEFT(Sample!A31,1)="H"),OR(LEFT(Sample!C31,2)="JX",LEFT(Sample!C31,1)="W",LEFT(Sample!C31,1)="X")),"TS95",IF(AND(OR(LEFT(Sample!A31,1)="E",LEFT(Sample!A31,1)="H"),OR(LEFT(Sample!C31,2)="JN",LEFT(Sample!C31,1)="N")),"TS3",IF(OR(LEFT(Sample!A31,1)="T",LEFT(Sample!A31,1)="B"),"TS24",IF(LEFT(Sample!A31,2)="CR","CARRIER9",IF(LEFT(Sample!A31,4)="DEL3","NIPTDEL3",Sample!A31))))))</f>
        <v>TS24</v>
      </c>
      <c r="O33" t="str">
        <f xml:space="preserve"> SUBSTITUTE( SUBSTITUTE( SUBSTITUTE( SUBSTITUTE( SUBSTITUTE( SUBSTITUTE( SUBSTITUTE( SUBSTITUTE( SampleImport!I33, "A", 1), "C", 2), "G", 3),"T", 4), 1, "T"), 2, "G"), 3, "C"), 4, "A")</f>
        <v>AGGGCACG</v>
      </c>
    </row>
    <row r="34" spans="1:15" x14ac:dyDescent="0.35">
      <c r="A34" t="str">
        <f>Sample!B32&amp;"-"&amp;Sample!C32</f>
        <v>12-AAABLD86</v>
      </c>
      <c r="B34" t="str">
        <f>Sample!B32&amp;"-"&amp;Sample!C32</f>
        <v>12-AAABLD86</v>
      </c>
      <c r="C34" t="str">
        <f>Sample!A32</f>
        <v>T2927A</v>
      </c>
      <c r="F34" t="str">
        <f>Sample!K32</f>
        <v>S7712</v>
      </c>
      <c r="G34" t="str">
        <f>VLOOKUP(F34,'Index Sequence'!$A$2:$B$9808,2,FALSE)</f>
        <v>TTGCACCG</v>
      </c>
      <c r="H34" t="str">
        <f>Sample!L32</f>
        <v>S7512</v>
      </c>
      <c r="I34" t="str">
        <f t="shared" si="0"/>
        <v>CGTATAAA</v>
      </c>
      <c r="K34" t="str">
        <f>IF(AND(OR(LEFT(Sample!A32,1)="E",LEFT(Sample!A32,1)="H"),OR(LEFT(Sample!C32,2)="JI",LEFT(Sample!C32,1)="I")),"TS1",IF(AND(OR(LEFT(Sample!A32,1)="E",LEFT(Sample!A32,1)="H"),OR(LEFT(Sample!C32,2)="JX",LEFT(Sample!C32,1)="W",LEFT(Sample!C32,1)="X")),"TS95",IF(AND(OR(LEFT(Sample!A32,1)="E",LEFT(Sample!A32,1)="H"),OR(LEFT(Sample!C32,2)="JN",LEFT(Sample!C32,1)="N")),"TS3",IF(OR(LEFT(Sample!A32,1)="T",LEFT(Sample!A32,1)="B"),"TS24",IF(LEFT(Sample!A32,2)="CR","CARRIER9",IF(LEFT(Sample!A32,4)="DEL3","NIPTDEL3",Sample!A32))))))</f>
        <v>TS24</v>
      </c>
      <c r="O34" t="str">
        <f xml:space="preserve"> SUBSTITUTE( SUBSTITUTE( SUBSTITUTE( SUBSTITUTE( SUBSTITUTE( SUBSTITUTE( SUBSTITUTE( SUBSTITUTE( SampleImport!I34, "A", 1), "C", 2), "G", 3),"T", 4), 1, "T"), 2, "G"), 3, "C"), 4, "A")</f>
        <v>AAATATGC</v>
      </c>
    </row>
    <row r="35" spans="1:15" x14ac:dyDescent="0.35">
      <c r="A35" t="str">
        <f>Sample!B33&amp;"-"&amp;Sample!C33</f>
        <v>1-SAAAFX48</v>
      </c>
      <c r="B35" t="str">
        <f>Sample!B33&amp;"-"&amp;Sample!C33</f>
        <v>1-SAAAFX48</v>
      </c>
      <c r="C35" t="str">
        <f>Sample!A33</f>
        <v>T2928A</v>
      </c>
      <c r="F35" t="str">
        <f>Sample!K33</f>
        <v>S7713</v>
      </c>
      <c r="G35" t="str">
        <f>VLOOKUP(F35,'Index Sequence'!$A$2:$B$9808,2,FALSE)</f>
        <v>GCGGGATA</v>
      </c>
      <c r="H35" t="str">
        <f>Sample!L33</f>
        <v>S7513</v>
      </c>
      <c r="I35" t="str">
        <f t="shared" si="0"/>
        <v>AGAGACGG</v>
      </c>
      <c r="K35" t="str">
        <f>IF(AND(OR(LEFT(Sample!A33,1)="E",LEFT(Sample!A33,1)="H"),OR(LEFT(Sample!C33,2)="JI",LEFT(Sample!C33,1)="I")),"TS1",IF(AND(OR(LEFT(Sample!A33,1)="E",LEFT(Sample!A33,1)="H"),OR(LEFT(Sample!C33,2)="JX",LEFT(Sample!C33,1)="W",LEFT(Sample!C33,1)="X")),"TS95",IF(AND(OR(LEFT(Sample!A33,1)="E",LEFT(Sample!A33,1)="H"),OR(LEFT(Sample!C33,2)="JN",LEFT(Sample!C33,1)="N")),"TS3",IF(OR(LEFT(Sample!A33,1)="T",LEFT(Sample!A33,1)="B"),"TS24",IF(LEFT(Sample!A33,2)="CR","CARRIER9",IF(LEFT(Sample!A33,4)="DEL3","NIPTDEL3",Sample!A33))))))</f>
        <v>TS24</v>
      </c>
      <c r="O35" t="str">
        <f xml:space="preserve"> SUBSTITUTE( SUBSTITUTE( SUBSTITUTE( SUBSTITUTE( SUBSTITUTE( SUBSTITUTE( SUBSTITUTE( SUBSTITUTE( SampleImport!I35, "A", 1), "C", 2), "G", 3),"T", 4), 1, "T"), 2, "G"), 3, "C"), 4, "A")</f>
        <v>GGCAGAGA</v>
      </c>
    </row>
    <row r="36" spans="1:15" x14ac:dyDescent="0.35">
      <c r="A36" t="str">
        <f>Sample!B34&amp;"-"&amp;Sample!C34</f>
        <v>2-SAAAFX49</v>
      </c>
      <c r="B36" t="str">
        <f>Sample!B34&amp;"-"&amp;Sample!C34</f>
        <v>2-SAAAFX49</v>
      </c>
      <c r="C36" t="str">
        <f>Sample!A34</f>
        <v>T2928A</v>
      </c>
      <c r="F36" t="str">
        <f>Sample!K34</f>
        <v>S7714</v>
      </c>
      <c r="G36" t="str">
        <f>VLOOKUP(F36,'Index Sequence'!$A$2:$B$9808,2,FALSE)</f>
        <v>GAAGTGAA</v>
      </c>
      <c r="H36" t="str">
        <f>Sample!L34</f>
        <v>S7514</v>
      </c>
      <c r="I36" t="str">
        <f t="shared" si="0"/>
        <v>TACAAGTC</v>
      </c>
      <c r="K36" t="str">
        <f>IF(AND(OR(LEFT(Sample!A34,1)="E",LEFT(Sample!A34,1)="H"),OR(LEFT(Sample!C34,2)="JI",LEFT(Sample!C34,1)="I")),"TS1",IF(AND(OR(LEFT(Sample!A34,1)="E",LEFT(Sample!A34,1)="H"),OR(LEFT(Sample!C34,2)="JX",LEFT(Sample!C34,1)="W",LEFT(Sample!C34,1)="X")),"TS95",IF(AND(OR(LEFT(Sample!A34,1)="E",LEFT(Sample!A34,1)="H"),OR(LEFT(Sample!C34,2)="JN",LEFT(Sample!C34,1)="N")),"TS3",IF(OR(LEFT(Sample!A34,1)="T",LEFT(Sample!A34,1)="B"),"TS24",IF(LEFT(Sample!A34,2)="CR","CARRIER9",IF(LEFT(Sample!A34,4)="DEL3","NIPTDEL3",Sample!A34))))))</f>
        <v>TS24</v>
      </c>
      <c r="O36" t="str">
        <f xml:space="preserve"> SUBSTITUTE( SUBSTITUTE( SUBSTITUTE( SUBSTITUTE( SUBSTITUTE( SUBSTITUTE( SUBSTITUTE( SUBSTITUTE( SampleImport!I36, "A", 1), "C", 2), "G", 3),"T", 4), 1, "T"), 2, "G"), 3, "C"), 4, "A")</f>
        <v>CTGAACAT</v>
      </c>
    </row>
    <row r="37" spans="1:15" x14ac:dyDescent="0.35">
      <c r="A37" t="str">
        <f>Sample!B35&amp;"-"&amp;Sample!C35</f>
        <v>3-SAAAFX50</v>
      </c>
      <c r="B37" t="str">
        <f>Sample!B35&amp;"-"&amp;Sample!C35</f>
        <v>3-SAAAFX50</v>
      </c>
      <c r="C37" t="str">
        <f>Sample!A35</f>
        <v>T2928A</v>
      </c>
      <c r="F37" t="str">
        <f>Sample!K35</f>
        <v>S7715</v>
      </c>
      <c r="G37" t="str">
        <f>VLOOKUP(F37,'Index Sequence'!$A$2:$B$9808,2,FALSE)</f>
        <v>CTGTTTAC</v>
      </c>
      <c r="H37" t="str">
        <f>Sample!L35</f>
        <v>S7515</v>
      </c>
      <c r="I37" t="str">
        <f t="shared" si="0"/>
        <v>TGAATCTT</v>
      </c>
      <c r="K37" t="str">
        <f>IF(AND(OR(LEFT(Sample!A35,1)="E",LEFT(Sample!A35,1)="H"),OR(LEFT(Sample!C35,2)="JI",LEFT(Sample!C35,1)="I")),"TS1",IF(AND(OR(LEFT(Sample!A35,1)="E",LEFT(Sample!A35,1)="H"),OR(LEFT(Sample!C35,2)="JX",LEFT(Sample!C35,1)="W",LEFT(Sample!C35,1)="X")),"TS95",IF(AND(OR(LEFT(Sample!A35,1)="E",LEFT(Sample!A35,1)="H"),OR(LEFT(Sample!C35,2)="JN",LEFT(Sample!C35,1)="N")),"TS3",IF(OR(LEFT(Sample!A35,1)="T",LEFT(Sample!A35,1)="B"),"TS24",IF(LEFT(Sample!A35,2)="CR","CARRIER9",IF(LEFT(Sample!A35,4)="DEL3","NIPTDEL3",Sample!A35))))))</f>
        <v>TS24</v>
      </c>
      <c r="O37" t="str">
        <f xml:space="preserve"> SUBSTITUTE( SUBSTITUTE( SUBSTITUTE( SUBSTITUTE( SUBSTITUTE( SUBSTITUTE( SUBSTITUTE( SUBSTITUTE( SampleImport!I37, "A", 1), "C", 2), "G", 3),"T", 4), 1, "T"), 2, "G"), 3, "C"), 4, "A")</f>
        <v>TTCTAAGT</v>
      </c>
    </row>
    <row r="38" spans="1:15" x14ac:dyDescent="0.35">
      <c r="A38" t="str">
        <f>Sample!B36&amp;"-"&amp;Sample!C36</f>
        <v>4-SAAAFX51</v>
      </c>
      <c r="B38" t="str">
        <f>Sample!B36&amp;"-"&amp;Sample!C36</f>
        <v>4-SAAAFX51</v>
      </c>
      <c r="C38" t="str">
        <f>Sample!A36</f>
        <v>T2928A</v>
      </c>
      <c r="F38" t="str">
        <f>Sample!K36</f>
        <v>S7716</v>
      </c>
      <c r="G38" t="str">
        <f>VLOOKUP(F38,'Index Sequence'!$A$2:$B$9808,2,FALSE)</f>
        <v>GAGCACTC</v>
      </c>
      <c r="H38" t="str">
        <f>Sample!L36</f>
        <v>S7516</v>
      </c>
      <c r="I38" t="str">
        <f t="shared" si="0"/>
        <v>GCAACTTG</v>
      </c>
      <c r="K38" t="str">
        <f>IF(AND(OR(LEFT(Sample!A36,1)="E",LEFT(Sample!A36,1)="H"),OR(LEFT(Sample!C36,2)="JI",LEFT(Sample!C36,1)="I")),"TS1",IF(AND(OR(LEFT(Sample!A36,1)="E",LEFT(Sample!A36,1)="H"),OR(LEFT(Sample!C36,2)="JX",LEFT(Sample!C36,1)="W",LEFT(Sample!C36,1)="X")),"TS95",IF(AND(OR(LEFT(Sample!A36,1)="E",LEFT(Sample!A36,1)="H"),OR(LEFT(Sample!C36,2)="JN",LEFT(Sample!C36,1)="N")),"TS3",IF(OR(LEFT(Sample!A36,1)="T",LEFT(Sample!A36,1)="B"),"TS24",IF(LEFT(Sample!A36,2)="CR","CARRIER9",IF(LEFT(Sample!A36,4)="DEL3","NIPTDEL3",Sample!A36))))))</f>
        <v>TS24</v>
      </c>
      <c r="O38" t="str">
        <f xml:space="preserve"> SUBSTITUTE( SUBSTITUTE( SUBSTITUTE( SUBSTITUTE( SUBSTITUTE( SUBSTITUTE( SUBSTITUTE( SUBSTITUTE( SampleImport!I38, "A", 1), "C", 2), "G", 3),"T", 4), 1, "T"), 2, "G"), 3, "C"), 4, "A")</f>
        <v>GTTCAACG</v>
      </c>
    </row>
    <row r="39" spans="1:15" x14ac:dyDescent="0.35">
      <c r="A39" t="str">
        <f>Sample!B37&amp;"-"&amp;Sample!C37</f>
        <v>5-SAAAFX52</v>
      </c>
      <c r="B39" t="str">
        <f>Sample!B37&amp;"-"&amp;Sample!C37</f>
        <v>5-SAAAFX52</v>
      </c>
      <c r="C39" t="str">
        <f>Sample!A37</f>
        <v>T2928A</v>
      </c>
      <c r="F39" t="str">
        <f>Sample!K37</f>
        <v>S7717</v>
      </c>
      <c r="G39" t="str">
        <f>VLOOKUP(F39,'Index Sequence'!$A$2:$B$9808,2,FALSE)</f>
        <v>TTGTTGCA</v>
      </c>
      <c r="H39" t="str">
        <f>Sample!L37</f>
        <v>S7517</v>
      </c>
      <c r="I39" t="str">
        <f t="shared" si="0"/>
        <v>ACGACGTC</v>
      </c>
      <c r="K39" t="str">
        <f>IF(AND(OR(LEFT(Sample!A37,1)="E",LEFT(Sample!A37,1)="H"),OR(LEFT(Sample!C37,2)="JI",LEFT(Sample!C37,1)="I")),"TS1",IF(AND(OR(LEFT(Sample!A37,1)="E",LEFT(Sample!A37,1)="H"),OR(LEFT(Sample!C37,2)="JX",LEFT(Sample!C37,1)="W",LEFT(Sample!C37,1)="X")),"TS95",IF(AND(OR(LEFT(Sample!A37,1)="E",LEFT(Sample!A37,1)="H"),OR(LEFT(Sample!C37,2)="JN",LEFT(Sample!C37,1)="N")),"TS3",IF(OR(LEFT(Sample!A37,1)="T",LEFT(Sample!A37,1)="B"),"TS24",IF(LEFT(Sample!A37,2)="CR","CARRIER9",IF(LEFT(Sample!A37,4)="DEL3","NIPTDEL3",Sample!A37))))))</f>
        <v>TS24</v>
      </c>
      <c r="O39" t="str">
        <f xml:space="preserve"> SUBSTITUTE( SUBSTITUTE( SUBSTITUTE( SUBSTITUTE( SUBSTITUTE( SUBSTITUTE( SUBSTITUTE( SUBSTITUTE( SampleImport!I39, "A", 1), "C", 2), "G", 3),"T", 4), 1, "T"), 2, "G"), 3, "C"), 4, "A")</f>
        <v>CTGCAGCA</v>
      </c>
    </row>
    <row r="40" spans="1:15" x14ac:dyDescent="0.35">
      <c r="A40" t="str">
        <f>Sample!B38&amp;"-"&amp;Sample!C38</f>
        <v>6-SAAAFX53</v>
      </c>
      <c r="B40" t="str">
        <f>Sample!B38&amp;"-"&amp;Sample!C38</f>
        <v>6-SAAAFX53</v>
      </c>
      <c r="C40" t="str">
        <f>Sample!A38</f>
        <v>T2928A</v>
      </c>
      <c r="F40" t="str">
        <f>Sample!K38</f>
        <v>S7718</v>
      </c>
      <c r="G40" t="str">
        <f>VLOOKUP(F40,'Index Sequence'!$A$2:$B$9808,2,FALSE)</f>
        <v>CCACACTT</v>
      </c>
      <c r="H40" t="str">
        <f>Sample!L38</f>
        <v>S7518</v>
      </c>
      <c r="I40" t="str">
        <f t="shared" si="0"/>
        <v>GTATGACG</v>
      </c>
      <c r="K40" t="str">
        <f>IF(AND(OR(LEFT(Sample!A38,1)="E",LEFT(Sample!A38,1)="H"),OR(LEFT(Sample!C38,2)="JI",LEFT(Sample!C38,1)="I")),"TS1",IF(AND(OR(LEFT(Sample!A38,1)="E",LEFT(Sample!A38,1)="H"),OR(LEFT(Sample!C38,2)="JX",LEFT(Sample!C38,1)="W",LEFT(Sample!C38,1)="X")),"TS95",IF(AND(OR(LEFT(Sample!A38,1)="E",LEFT(Sample!A38,1)="H"),OR(LEFT(Sample!C38,2)="JN",LEFT(Sample!C38,1)="N")),"TS3",IF(OR(LEFT(Sample!A38,1)="T",LEFT(Sample!A38,1)="B"),"TS24",IF(LEFT(Sample!A38,2)="CR","CARRIER9",IF(LEFT(Sample!A38,4)="DEL3","NIPTDEL3",Sample!A38))))))</f>
        <v>TS24</v>
      </c>
      <c r="O40" t="str">
        <f xml:space="preserve"> SUBSTITUTE( SUBSTITUTE( SUBSTITUTE( SUBSTITUTE( SUBSTITUTE( SUBSTITUTE( SUBSTITUTE( SUBSTITUTE( SampleImport!I40, "A", 1), "C", 2), "G", 3),"T", 4), 1, "T"), 2, "G"), 3, "C"), 4, "A")</f>
        <v>GCAGTATG</v>
      </c>
    </row>
    <row r="41" spans="1:15" x14ac:dyDescent="0.35">
      <c r="A41" t="str">
        <f>Sample!B39&amp;"-"&amp;Sample!C39</f>
        <v>7-SAAAFX54</v>
      </c>
      <c r="B41" t="str">
        <f>Sample!B39&amp;"-"&amp;Sample!C39</f>
        <v>7-SAAAFX54</v>
      </c>
      <c r="C41" t="str">
        <f>Sample!A39</f>
        <v>T2928A</v>
      </c>
      <c r="F41" t="str">
        <f>Sample!K39</f>
        <v>S7719</v>
      </c>
      <c r="G41" t="str">
        <f>VLOOKUP(F41,'Index Sequence'!$A$2:$B$9808,2,FALSE)</f>
        <v>CCCGTTTG</v>
      </c>
      <c r="H41" t="str">
        <f>Sample!L39</f>
        <v>S7519</v>
      </c>
      <c r="I41" t="str">
        <f t="shared" si="0"/>
        <v>TACAGCAA</v>
      </c>
      <c r="K41" t="str">
        <f>IF(AND(OR(LEFT(Sample!A39,1)="E",LEFT(Sample!A39,1)="H"),OR(LEFT(Sample!C39,2)="JI",LEFT(Sample!C39,1)="I")),"TS1",IF(AND(OR(LEFT(Sample!A39,1)="E",LEFT(Sample!A39,1)="H"),OR(LEFT(Sample!C39,2)="JX",LEFT(Sample!C39,1)="W",LEFT(Sample!C39,1)="X")),"TS95",IF(AND(OR(LEFT(Sample!A39,1)="E",LEFT(Sample!A39,1)="H"),OR(LEFT(Sample!C39,2)="JN",LEFT(Sample!C39,1)="N")),"TS3",IF(OR(LEFT(Sample!A39,1)="T",LEFT(Sample!A39,1)="B"),"TS24",IF(LEFT(Sample!A39,2)="CR","CARRIER9",IF(LEFT(Sample!A39,4)="DEL3","NIPTDEL3",Sample!A39))))))</f>
        <v>TS24</v>
      </c>
      <c r="O41" t="str">
        <f xml:space="preserve"> SUBSTITUTE( SUBSTITUTE( SUBSTITUTE( SUBSTITUTE( SUBSTITUTE( SUBSTITUTE( SUBSTITUTE( SUBSTITUTE( SampleImport!I41, "A", 1), "C", 2), "G", 3),"T", 4), 1, "T"), 2, "G"), 3, "C"), 4, "A")</f>
        <v>AACGACAT</v>
      </c>
    </row>
    <row r="42" spans="1:15" x14ac:dyDescent="0.35">
      <c r="A42" t="str">
        <f>Sample!B40&amp;"-"&amp;Sample!C40</f>
        <v>8-SAAAFX55</v>
      </c>
      <c r="B42" t="str">
        <f>Sample!B40&amp;"-"&amp;Sample!C40</f>
        <v>8-SAAAFX55</v>
      </c>
      <c r="C42" t="str">
        <f>Sample!A40</f>
        <v>T2928A</v>
      </c>
      <c r="F42" t="str">
        <f>Sample!K40</f>
        <v>S7720</v>
      </c>
      <c r="G42" t="str">
        <f>VLOOKUP(F42,'Index Sequence'!$A$2:$B$9808,2,FALSE)</f>
        <v>ATGCTCCC</v>
      </c>
      <c r="H42" t="str">
        <f>Sample!L40</f>
        <v>S7520</v>
      </c>
      <c r="I42" t="str">
        <f t="shared" si="0"/>
        <v>CAGCAGGG</v>
      </c>
      <c r="K42" t="str">
        <f>IF(AND(OR(LEFT(Sample!A40,1)="E",LEFT(Sample!A40,1)="H"),OR(LEFT(Sample!C40,2)="JI",LEFT(Sample!C40,1)="I")),"TS1",IF(AND(OR(LEFT(Sample!A40,1)="E",LEFT(Sample!A40,1)="H"),OR(LEFT(Sample!C40,2)="JX",LEFT(Sample!C40,1)="W",LEFT(Sample!C40,1)="X")),"TS95",IF(AND(OR(LEFT(Sample!A40,1)="E",LEFT(Sample!A40,1)="H"),OR(LEFT(Sample!C40,2)="JN",LEFT(Sample!C40,1)="N")),"TS3",IF(OR(LEFT(Sample!A40,1)="T",LEFT(Sample!A40,1)="B"),"TS24",IF(LEFT(Sample!A40,2)="CR","CARRIER9",IF(LEFT(Sample!A40,4)="DEL3","NIPTDEL3",Sample!A40))))))</f>
        <v>TS24</v>
      </c>
      <c r="O42" t="str">
        <f xml:space="preserve"> SUBSTITUTE( SUBSTITUTE( SUBSTITUTE( SUBSTITUTE( SUBSTITUTE( SUBSTITUTE( SUBSTITUTE( SUBSTITUTE( SampleImport!I42, "A", 1), "C", 2), "G", 3),"T", 4), 1, "T"), 2, "G"), 3, "C"), 4, "A")</f>
        <v>GGGACGAC</v>
      </c>
    </row>
    <row r="43" spans="1:15" x14ac:dyDescent="0.35">
      <c r="A43" t="str">
        <f>Sample!B41&amp;"-"&amp;Sample!C41</f>
        <v>9-SAAAFX56</v>
      </c>
      <c r="B43" t="str">
        <f>Sample!B41&amp;"-"&amp;Sample!C41</f>
        <v>9-SAAAFX56</v>
      </c>
      <c r="C43" t="str">
        <f>Sample!A41</f>
        <v>T2928A</v>
      </c>
      <c r="F43" t="str">
        <f>Sample!K41</f>
        <v>S7721</v>
      </c>
      <c r="G43" t="str">
        <f>VLOOKUP(F43,'Index Sequence'!$A$2:$B$9808,2,FALSE)</f>
        <v>GCTCAATA</v>
      </c>
      <c r="H43" t="str">
        <f>Sample!L41</f>
        <v>S7521</v>
      </c>
      <c r="I43" t="str">
        <f t="shared" si="0"/>
        <v>GATAAATG</v>
      </c>
      <c r="K43" t="str">
        <f>IF(AND(OR(LEFT(Sample!A41,1)="E",LEFT(Sample!A41,1)="H"),OR(LEFT(Sample!C41,2)="JI",LEFT(Sample!C41,1)="I")),"TS1",IF(AND(OR(LEFT(Sample!A41,1)="E",LEFT(Sample!A41,1)="H"),OR(LEFT(Sample!C41,2)="JX",LEFT(Sample!C41,1)="W",LEFT(Sample!C41,1)="X")),"TS95",IF(AND(OR(LEFT(Sample!A41,1)="E",LEFT(Sample!A41,1)="H"),OR(LEFT(Sample!C41,2)="JN",LEFT(Sample!C41,1)="N")),"TS3",IF(OR(LEFT(Sample!A41,1)="T",LEFT(Sample!A41,1)="B"),"TS24",IF(LEFT(Sample!A41,2)="CR","CARRIER9",IF(LEFT(Sample!A41,4)="DEL3","NIPTDEL3",Sample!A41))))))</f>
        <v>TS24</v>
      </c>
      <c r="O43" t="str">
        <f xml:space="preserve"> SUBSTITUTE( SUBSTITUTE( SUBSTITUTE( SUBSTITUTE( SUBSTITUTE( SUBSTITUTE( SUBSTITUTE( SUBSTITUTE( SampleImport!I43, "A", 1), "C", 2), "G", 3),"T", 4), 1, "T"), 2, "G"), 3, "C"), 4, "A")</f>
        <v>GTAAATAG</v>
      </c>
    </row>
    <row r="44" spans="1:15" x14ac:dyDescent="0.35">
      <c r="A44" t="str">
        <f>Sample!B42&amp;"-"&amp;Sample!C42</f>
        <v>10-SAAAFX57</v>
      </c>
      <c r="B44" t="str">
        <f>Sample!B42&amp;"-"&amp;Sample!C42</f>
        <v>10-SAAAFX57</v>
      </c>
      <c r="C44" t="str">
        <f>Sample!A42</f>
        <v>T2928A</v>
      </c>
      <c r="F44" t="str">
        <f>Sample!K42</f>
        <v>S7722</v>
      </c>
      <c r="G44" t="str">
        <f>VLOOKUP(F44,'Index Sequence'!$A$2:$B$9808,2,FALSE)</f>
        <v>GTAGTTCG</v>
      </c>
      <c r="H44" t="str">
        <f>Sample!L42</f>
        <v>S7522</v>
      </c>
      <c r="I44" t="str">
        <f t="shared" si="0"/>
        <v>GCATCAAG</v>
      </c>
      <c r="K44" t="str">
        <f>IF(AND(OR(LEFT(Sample!A42,1)="E",LEFT(Sample!A42,1)="H"),OR(LEFT(Sample!C42,2)="JI",LEFT(Sample!C42,1)="I")),"TS1",IF(AND(OR(LEFT(Sample!A42,1)="E",LEFT(Sample!A42,1)="H"),OR(LEFT(Sample!C42,2)="JX",LEFT(Sample!C42,1)="W",LEFT(Sample!C42,1)="X")),"TS95",IF(AND(OR(LEFT(Sample!A42,1)="E",LEFT(Sample!A42,1)="H"),OR(LEFT(Sample!C42,2)="JN",LEFT(Sample!C42,1)="N")),"TS3",IF(OR(LEFT(Sample!A42,1)="T",LEFT(Sample!A42,1)="B"),"TS24",IF(LEFT(Sample!A42,2)="CR","CARRIER9",IF(LEFT(Sample!A42,4)="DEL3","NIPTDEL3",Sample!A42))))))</f>
        <v>TS24</v>
      </c>
      <c r="O44" t="str">
        <f xml:space="preserve"> SUBSTITUTE( SUBSTITUTE( SUBSTITUTE( SUBSTITUTE( SUBSTITUTE( SUBSTITUTE( SUBSTITUTE( SUBSTITUTE( SampleImport!I44, "A", 1), "C", 2), "G", 3),"T", 4), 1, "T"), 2, "G"), 3, "C"), 4, "A")</f>
        <v>GAACTACG</v>
      </c>
    </row>
    <row r="45" spans="1:15" x14ac:dyDescent="0.35">
      <c r="A45" t="str">
        <f>Sample!B43&amp;"-"&amp;Sample!C43</f>
        <v>11-SAAAFX58</v>
      </c>
      <c r="B45" t="str">
        <f>Sample!B43&amp;"-"&amp;Sample!C43</f>
        <v>11-SAAAFX58</v>
      </c>
      <c r="C45" t="str">
        <f>Sample!A43</f>
        <v>T2928A</v>
      </c>
      <c r="F45" t="str">
        <f>Sample!K43</f>
        <v>S7723</v>
      </c>
      <c r="G45" t="str">
        <f>VLOOKUP(F45,'Index Sequence'!$A$2:$B$9808,2,FALSE)</f>
        <v>CGAGAACC</v>
      </c>
      <c r="H45" t="str">
        <f>Sample!L43</f>
        <v>S7523</v>
      </c>
      <c r="I45" t="str">
        <f t="shared" si="0"/>
        <v>CGATACAT</v>
      </c>
      <c r="K45" t="str">
        <f>IF(AND(OR(LEFT(Sample!A43,1)="E",LEFT(Sample!A43,1)="H"),OR(LEFT(Sample!C43,2)="JI",LEFT(Sample!C43,1)="I")),"TS1",IF(AND(OR(LEFT(Sample!A43,1)="E",LEFT(Sample!A43,1)="H"),OR(LEFT(Sample!C43,2)="JX",LEFT(Sample!C43,1)="W",LEFT(Sample!C43,1)="X")),"TS95",IF(AND(OR(LEFT(Sample!A43,1)="E",LEFT(Sample!A43,1)="H"),OR(LEFT(Sample!C43,2)="JN",LEFT(Sample!C43,1)="N")),"TS3",IF(OR(LEFT(Sample!A43,1)="T",LEFT(Sample!A43,1)="B"),"TS24",IF(LEFT(Sample!A43,2)="CR","CARRIER9",IF(LEFT(Sample!A43,4)="DEL3","NIPTDEL3",Sample!A43))))))</f>
        <v>TS24</v>
      </c>
      <c r="O45" t="str">
        <f xml:space="preserve"> SUBSTITUTE( SUBSTITUTE( SUBSTITUTE( SUBSTITUTE( SUBSTITUTE( SUBSTITUTE( SUBSTITUTE( SUBSTITUTE( SampleImport!I45, "A", 1), "C", 2), "G", 3),"T", 4), 1, "T"), 2, "G"), 3, "C"), 4, "A")</f>
        <v>TACATAGC</v>
      </c>
    </row>
    <row r="46" spans="1:15" x14ac:dyDescent="0.35">
      <c r="A46" t="str">
        <f>Sample!B44&amp;"-"&amp;Sample!C44</f>
        <v>12-AAABLD87</v>
      </c>
      <c r="B46" t="str">
        <f>Sample!B44&amp;"-"&amp;Sample!C44</f>
        <v>12-AAABLD87</v>
      </c>
      <c r="C46" t="str">
        <f>Sample!A44</f>
        <v>T2928A</v>
      </c>
      <c r="F46" t="str">
        <f>Sample!K44</f>
        <v>S7724</v>
      </c>
      <c r="G46" t="str">
        <f>VLOOKUP(F46,'Index Sequence'!$A$2:$B$9808,2,FALSE)</f>
        <v>GCCATGTA</v>
      </c>
      <c r="H46" t="str">
        <f>Sample!L44</f>
        <v>S7524</v>
      </c>
      <c r="I46" t="str">
        <f t="shared" si="0"/>
        <v>AACCCTAT</v>
      </c>
      <c r="K46" t="str">
        <f>IF(AND(OR(LEFT(Sample!A44,1)="E",LEFT(Sample!A44,1)="H"),OR(LEFT(Sample!C44,2)="JI",LEFT(Sample!C44,1)="I")),"TS1",IF(AND(OR(LEFT(Sample!A44,1)="E",LEFT(Sample!A44,1)="H"),OR(LEFT(Sample!C44,2)="JX",LEFT(Sample!C44,1)="W",LEFT(Sample!C44,1)="X")),"TS95",IF(AND(OR(LEFT(Sample!A44,1)="E",LEFT(Sample!A44,1)="H"),OR(LEFT(Sample!C44,2)="JN",LEFT(Sample!C44,1)="N")),"TS3",IF(OR(LEFT(Sample!A44,1)="T",LEFT(Sample!A44,1)="B"),"TS24",IF(LEFT(Sample!A44,2)="CR","CARRIER9",IF(LEFT(Sample!A44,4)="DEL3","NIPTDEL3",Sample!A44))))))</f>
        <v>TS24</v>
      </c>
      <c r="O46" t="str">
        <f xml:space="preserve"> SUBSTITUTE( SUBSTITUTE( SUBSTITUTE( SUBSTITUTE( SUBSTITUTE( SUBSTITUTE( SUBSTITUTE( SUBSTITUTE( SampleImport!I46, "A", 1), "C", 2), "G", 3),"T", 4), 1, "T"), 2, "G"), 3, "C"), 4, "A")</f>
        <v>TATCCCAA</v>
      </c>
    </row>
    <row r="47" spans="1:15" x14ac:dyDescent="0.35">
      <c r="A47" t="str">
        <f>Sample!B45&amp;"-"&amp;Sample!C45</f>
        <v>13-AAABLD88</v>
      </c>
      <c r="B47" t="str">
        <f>Sample!B45&amp;"-"&amp;Sample!C45</f>
        <v>13-AAABLD88</v>
      </c>
      <c r="C47" t="str">
        <f>Sample!A45</f>
        <v>T2928A</v>
      </c>
      <c r="F47" t="str">
        <f>Sample!K45</f>
        <v>S7725</v>
      </c>
      <c r="G47" t="str">
        <f>VLOOKUP(F47,'Index Sequence'!$A$2:$B$9808,2,FALSE)</f>
        <v>TTTCTCTA</v>
      </c>
      <c r="H47" t="str">
        <f>Sample!L45</f>
        <v>S7525</v>
      </c>
      <c r="I47" t="str">
        <f t="shared" si="0"/>
        <v>ACGTCGAG</v>
      </c>
      <c r="K47" t="str">
        <f>IF(AND(OR(LEFT(Sample!A45,1)="E",LEFT(Sample!A45,1)="H"),OR(LEFT(Sample!C45,2)="JI",LEFT(Sample!C45,1)="I")),"TS1",IF(AND(OR(LEFT(Sample!A45,1)="E",LEFT(Sample!A45,1)="H"),OR(LEFT(Sample!C45,2)="JX",LEFT(Sample!C45,1)="W",LEFT(Sample!C45,1)="X")),"TS95",IF(AND(OR(LEFT(Sample!A45,1)="E",LEFT(Sample!A45,1)="H"),OR(LEFT(Sample!C45,2)="JN",LEFT(Sample!C45,1)="N")),"TS3",IF(OR(LEFT(Sample!A45,1)="T",LEFT(Sample!A45,1)="B"),"TS24",IF(LEFT(Sample!A45,2)="CR","CARRIER9",IF(LEFT(Sample!A45,4)="DEL3","NIPTDEL3",Sample!A45))))))</f>
        <v>TS24</v>
      </c>
      <c r="O47" t="str">
        <f xml:space="preserve"> SUBSTITUTE( SUBSTITUTE( SUBSTITUTE( SUBSTITUTE( SUBSTITUTE( SUBSTITUTE( SUBSTITUTE( SUBSTITUTE( SampleImport!I47, "A", 1), "C", 2), "G", 3),"T", 4), 1, "T"), 2, "G"), 3, "C"), 4, "A")</f>
        <v>GAGCTGCA</v>
      </c>
    </row>
    <row r="48" spans="1:15" x14ac:dyDescent="0.35">
      <c r="A48" t="str">
        <f>Sample!B46&amp;"-"&amp;Sample!C46</f>
        <v>14-AAABLD89</v>
      </c>
      <c r="B48" t="str">
        <f>Sample!B46&amp;"-"&amp;Sample!C46</f>
        <v>14-AAABLD89</v>
      </c>
      <c r="C48" t="str">
        <f>Sample!A46</f>
        <v>T2928A</v>
      </c>
      <c r="F48" t="str">
        <f>Sample!K46</f>
        <v>S7726</v>
      </c>
      <c r="G48" t="str">
        <f>VLOOKUP(F48,'Index Sequence'!$A$2:$B$9808,2,FALSE)</f>
        <v>CCAGCGAT</v>
      </c>
      <c r="H48" t="str">
        <f>Sample!L46</f>
        <v>S7526</v>
      </c>
      <c r="I48" t="str">
        <f t="shared" si="0"/>
        <v>TGACTAGA</v>
      </c>
      <c r="K48" t="str">
        <f>IF(AND(OR(LEFT(Sample!A46,1)="E",LEFT(Sample!A46,1)="H"),OR(LEFT(Sample!C46,2)="JI",LEFT(Sample!C46,1)="I")),"TS1",IF(AND(OR(LEFT(Sample!A46,1)="E",LEFT(Sample!A46,1)="H"),OR(LEFT(Sample!C46,2)="JX",LEFT(Sample!C46,1)="W",LEFT(Sample!C46,1)="X")),"TS95",IF(AND(OR(LEFT(Sample!A46,1)="E",LEFT(Sample!A46,1)="H"),OR(LEFT(Sample!C46,2)="JN",LEFT(Sample!C46,1)="N")),"TS3",IF(OR(LEFT(Sample!A46,1)="T",LEFT(Sample!A46,1)="B"),"TS24",IF(LEFT(Sample!A46,2)="CR","CARRIER9",IF(LEFT(Sample!A46,4)="DEL3","NIPTDEL3",Sample!A46))))))</f>
        <v>TS24</v>
      </c>
      <c r="O48" t="str">
        <f xml:space="preserve"> SUBSTITUTE( SUBSTITUTE( SUBSTITUTE( SUBSTITUTE( SUBSTITUTE( SUBSTITUTE( SUBSTITUTE( SUBSTITUTE( SampleImport!I48, "A", 1), "C", 2), "G", 3),"T", 4), 1, "T"), 2, "G"), 3, "C"), 4, "A")</f>
        <v>AGATCAGT</v>
      </c>
    </row>
    <row r="49" spans="1:15" x14ac:dyDescent="0.35">
      <c r="A49" t="str">
        <f>Sample!B47&amp;"-"&amp;Sample!C47</f>
        <v>15-AAABLD90</v>
      </c>
      <c r="B49" t="str">
        <f>Sample!B47&amp;"-"&amp;Sample!C47</f>
        <v>15-AAABLD90</v>
      </c>
      <c r="C49" t="str">
        <f>Sample!A47</f>
        <v>T2928A</v>
      </c>
      <c r="F49" t="str">
        <f>Sample!K47</f>
        <v>S7727</v>
      </c>
      <c r="G49" t="str">
        <f>VLOOKUP(F49,'Index Sequence'!$A$2:$B$9808,2,FALSE)</f>
        <v>TGGGAGTG</v>
      </c>
      <c r="H49" t="str">
        <f>Sample!L47</f>
        <v>S7527</v>
      </c>
      <c r="I49" t="str">
        <f t="shared" si="0"/>
        <v>TAGACGGG</v>
      </c>
      <c r="K49" t="str">
        <f>IF(AND(OR(LEFT(Sample!A47,1)="E",LEFT(Sample!A47,1)="H"),OR(LEFT(Sample!C47,2)="JI",LEFT(Sample!C47,1)="I")),"TS1",IF(AND(OR(LEFT(Sample!A47,1)="E",LEFT(Sample!A47,1)="H"),OR(LEFT(Sample!C47,2)="JX",LEFT(Sample!C47,1)="W",LEFT(Sample!C47,1)="X")),"TS95",IF(AND(OR(LEFT(Sample!A47,1)="E",LEFT(Sample!A47,1)="H"),OR(LEFT(Sample!C47,2)="JN",LEFT(Sample!C47,1)="N")),"TS3",IF(OR(LEFT(Sample!A47,1)="T",LEFT(Sample!A47,1)="B"),"TS24",IF(LEFT(Sample!A47,2)="CR","CARRIER9",IF(LEFT(Sample!A47,4)="DEL3","NIPTDEL3",Sample!A47))))))</f>
        <v>TS24</v>
      </c>
      <c r="O49" t="str">
        <f xml:space="preserve"> SUBSTITUTE( SUBSTITUTE( SUBSTITUTE( SUBSTITUTE( SUBSTITUTE( SUBSTITUTE( SUBSTITUTE( SUBSTITUTE( SampleImport!I49, "A", 1), "C", 2), "G", 3),"T", 4), 1, "T"), 2, "G"), 3, "C"), 4, "A")</f>
        <v>GGGCAGAT</v>
      </c>
    </row>
    <row r="50" spans="1:15" x14ac:dyDescent="0.35">
      <c r="A50" t="str">
        <f>Sample!B48&amp;"-"&amp;Sample!C48</f>
        <v>16-AAABLD91</v>
      </c>
      <c r="B50" t="str">
        <f>Sample!B48&amp;"-"&amp;Sample!C48</f>
        <v>16-AAABLD91</v>
      </c>
      <c r="C50" t="str">
        <f>Sample!A48</f>
        <v>T2928A</v>
      </c>
      <c r="F50" t="str">
        <f>Sample!K48</f>
        <v>S7728</v>
      </c>
      <c r="G50" t="str">
        <f>VLOOKUP(F50,'Index Sequence'!$A$2:$B$9808,2,FALSE)</f>
        <v>CCCTCGTA</v>
      </c>
      <c r="H50" t="str">
        <f>Sample!L48</f>
        <v>S7528</v>
      </c>
      <c r="I50" t="str">
        <f t="shared" si="0"/>
        <v>CTCTTCTA</v>
      </c>
      <c r="K50" t="str">
        <f>IF(AND(OR(LEFT(Sample!A48,1)="E",LEFT(Sample!A48,1)="H"),OR(LEFT(Sample!C48,2)="JI",LEFT(Sample!C48,1)="I")),"TS1",IF(AND(OR(LEFT(Sample!A48,1)="E",LEFT(Sample!A48,1)="H"),OR(LEFT(Sample!C48,2)="JX",LEFT(Sample!C48,1)="W",LEFT(Sample!C48,1)="X")),"TS95",IF(AND(OR(LEFT(Sample!A48,1)="E",LEFT(Sample!A48,1)="H"),OR(LEFT(Sample!C48,2)="JN",LEFT(Sample!C48,1)="N")),"TS3",IF(OR(LEFT(Sample!A48,1)="T",LEFT(Sample!A48,1)="B"),"TS24",IF(LEFT(Sample!A48,2)="CR","CARRIER9",IF(LEFT(Sample!A48,4)="DEL3","NIPTDEL3",Sample!A48))))))</f>
        <v>TS24</v>
      </c>
      <c r="O50" t="str">
        <f xml:space="preserve"> SUBSTITUTE( SUBSTITUTE( SUBSTITUTE( SUBSTITUTE( SUBSTITUTE( SUBSTITUTE( SUBSTITUTE( SUBSTITUTE( SampleImport!I50, "A", 1), "C", 2), "G", 3),"T", 4), 1, "T"), 2, "G"), 3, "C"), 4, "A")</f>
        <v>ATCTTCTC</v>
      </c>
    </row>
    <row r="51" spans="1:15" x14ac:dyDescent="0.35">
      <c r="A51" t="str">
        <f>Sample!B49&amp;"-"&amp;Sample!C49</f>
        <v>17-AAABLD92</v>
      </c>
      <c r="B51" t="str">
        <f>Sample!B49&amp;"-"&amp;Sample!C49</f>
        <v>17-AAABLD92</v>
      </c>
      <c r="C51" t="str">
        <f>Sample!A49</f>
        <v>T2928A</v>
      </c>
      <c r="F51" t="str">
        <f>Sample!K49</f>
        <v>S7729</v>
      </c>
      <c r="G51" t="str">
        <f>VLOOKUP(F51,'Index Sequence'!$A$2:$B$9808,2,FALSE)</f>
        <v>CGATATGG</v>
      </c>
      <c r="H51" t="str">
        <f>Sample!L49</f>
        <v>S7529</v>
      </c>
      <c r="I51" t="str">
        <f t="shared" si="0"/>
        <v>TACGTCCC</v>
      </c>
      <c r="K51" t="str">
        <f>IF(AND(OR(LEFT(Sample!A49,1)="E",LEFT(Sample!A49,1)="H"),OR(LEFT(Sample!C49,2)="JI",LEFT(Sample!C49,1)="I")),"TS1",IF(AND(OR(LEFT(Sample!A49,1)="E",LEFT(Sample!A49,1)="H"),OR(LEFT(Sample!C49,2)="JX",LEFT(Sample!C49,1)="W",LEFT(Sample!C49,1)="X")),"TS95",IF(AND(OR(LEFT(Sample!A49,1)="E",LEFT(Sample!A49,1)="H"),OR(LEFT(Sample!C49,2)="JN",LEFT(Sample!C49,1)="N")),"TS3",IF(OR(LEFT(Sample!A49,1)="T",LEFT(Sample!A49,1)="B"),"TS24",IF(LEFT(Sample!A49,2)="CR","CARRIER9",IF(LEFT(Sample!A49,4)="DEL3","NIPTDEL3",Sample!A49))))))</f>
        <v>TS24</v>
      </c>
      <c r="O51" t="str">
        <f xml:space="preserve"> SUBSTITUTE( SUBSTITUTE( SUBSTITUTE( SUBSTITUTE( SUBSTITUTE( SUBSTITUTE( SUBSTITUTE( SUBSTITUTE( SampleImport!I51, "A", 1), "C", 2), "G", 3),"T", 4), 1, "T"), 2, "G"), 3, "C"), 4, "A")</f>
        <v>CCCTGCAT</v>
      </c>
    </row>
    <row r="52" spans="1:15" x14ac:dyDescent="0.35">
      <c r="A52" t="str">
        <f>Sample!B50&amp;"-"&amp;Sample!C50</f>
        <v>18-AAABLD93</v>
      </c>
      <c r="B52" t="str">
        <f>Sample!B50&amp;"-"&amp;Sample!C50</f>
        <v>18-AAABLD93</v>
      </c>
      <c r="C52" t="str">
        <f>Sample!A50</f>
        <v>T2928A</v>
      </c>
      <c r="F52" t="str">
        <f>Sample!K50</f>
        <v>S7730</v>
      </c>
      <c r="G52" t="str">
        <f>VLOOKUP(F52,'Index Sequence'!$A$2:$B$9808,2,FALSE)</f>
        <v>TTGTGCCC</v>
      </c>
      <c r="H52" t="str">
        <f>Sample!L50</f>
        <v>S7530</v>
      </c>
      <c r="I52" t="str">
        <f t="shared" si="0"/>
        <v>GATGGAAA</v>
      </c>
      <c r="K52" t="str">
        <f>IF(AND(OR(LEFT(Sample!A50,1)="E",LEFT(Sample!A50,1)="H"),OR(LEFT(Sample!C50,2)="JI",LEFT(Sample!C50,1)="I")),"TS1",IF(AND(OR(LEFT(Sample!A50,1)="E",LEFT(Sample!A50,1)="H"),OR(LEFT(Sample!C50,2)="JX",LEFT(Sample!C50,1)="W",LEFT(Sample!C50,1)="X")),"TS95",IF(AND(OR(LEFT(Sample!A50,1)="E",LEFT(Sample!A50,1)="H"),OR(LEFT(Sample!C50,2)="JN",LEFT(Sample!C50,1)="N")),"TS3",IF(OR(LEFT(Sample!A50,1)="T",LEFT(Sample!A50,1)="B"),"TS24",IF(LEFT(Sample!A50,2)="CR","CARRIER9",IF(LEFT(Sample!A50,4)="DEL3","NIPTDEL3",Sample!A50))))))</f>
        <v>TS24</v>
      </c>
      <c r="O52" t="str">
        <f xml:space="preserve"> SUBSTITUTE( SUBSTITUTE( SUBSTITUTE( SUBSTITUTE( SUBSTITUTE( SUBSTITUTE( SUBSTITUTE( SUBSTITUTE( SampleImport!I52, "A", 1), "C", 2), "G", 3),"T", 4), 1, "T"), 2, "G"), 3, "C"), 4, "A")</f>
        <v>AAAGGTAG</v>
      </c>
    </row>
    <row r="53" spans="1:15" x14ac:dyDescent="0.35">
      <c r="A53" t="str">
        <f>Sample!B51&amp;"-"&amp;Sample!C51</f>
        <v>19-AAABLD94</v>
      </c>
      <c r="B53" t="str">
        <f>Sample!B51&amp;"-"&amp;Sample!C51</f>
        <v>19-AAABLD94</v>
      </c>
      <c r="C53" t="str">
        <f>Sample!A51</f>
        <v>T2928A</v>
      </c>
      <c r="F53" t="str">
        <f>Sample!K51</f>
        <v>S7731</v>
      </c>
      <c r="G53" t="str">
        <f>VLOOKUP(F53,'Index Sequence'!$A$2:$B$9808,2,FALSE)</f>
        <v>TGTCCTCT</v>
      </c>
      <c r="H53" t="str">
        <f>Sample!L51</f>
        <v>S7531</v>
      </c>
      <c r="I53" t="str">
        <f t="shared" si="0"/>
        <v>GTTCGTCG</v>
      </c>
      <c r="K53" t="str">
        <f>IF(AND(OR(LEFT(Sample!A51,1)="E",LEFT(Sample!A51,1)="H"),OR(LEFT(Sample!C51,2)="JI",LEFT(Sample!C51,1)="I")),"TS1",IF(AND(OR(LEFT(Sample!A51,1)="E",LEFT(Sample!A51,1)="H"),OR(LEFT(Sample!C51,2)="JX",LEFT(Sample!C51,1)="W",LEFT(Sample!C51,1)="X")),"TS95",IF(AND(OR(LEFT(Sample!A51,1)="E",LEFT(Sample!A51,1)="H"),OR(LEFT(Sample!C51,2)="JN",LEFT(Sample!C51,1)="N")),"TS3",IF(OR(LEFT(Sample!A51,1)="T",LEFT(Sample!A51,1)="B"),"TS24",IF(LEFT(Sample!A51,2)="CR","CARRIER9",IF(LEFT(Sample!A51,4)="DEL3","NIPTDEL3",Sample!A51))))))</f>
        <v>TS24</v>
      </c>
      <c r="O53" t="str">
        <f xml:space="preserve"> SUBSTITUTE( SUBSTITUTE( SUBSTITUTE( SUBSTITUTE( SUBSTITUTE( SUBSTITUTE( SUBSTITUTE( SUBSTITUTE( SampleImport!I53, "A", 1), "C", 2), "G", 3),"T", 4), 1, "T"), 2, "G"), 3, "C"), 4, "A")</f>
        <v>GCTGCTTG</v>
      </c>
    </row>
    <row r="54" spans="1:15" x14ac:dyDescent="0.35">
      <c r="A54" t="str">
        <f>Sample!B52&amp;"-"&amp;Sample!C52</f>
        <v>20-AAABLD95</v>
      </c>
      <c r="B54" t="str">
        <f>Sample!B52&amp;"-"&amp;Sample!C52</f>
        <v>20-AAABLD95</v>
      </c>
      <c r="C54" t="str">
        <f>Sample!A52</f>
        <v>T2928A</v>
      </c>
      <c r="F54" t="str">
        <f>Sample!K52</f>
        <v>S7732</v>
      </c>
      <c r="G54" t="str">
        <f>VLOOKUP(F54,'Index Sequence'!$A$2:$B$9808,2,FALSE)</f>
        <v>GTATAGTC</v>
      </c>
      <c r="H54" t="str">
        <f>Sample!L52</f>
        <v>S7532</v>
      </c>
      <c r="I54" t="str">
        <f t="shared" si="0"/>
        <v>GAGACCAA</v>
      </c>
      <c r="K54" t="str">
        <f>IF(AND(OR(LEFT(Sample!A52,1)="E",LEFT(Sample!A52,1)="H"),OR(LEFT(Sample!C52,2)="JI",LEFT(Sample!C52,1)="I")),"TS1",IF(AND(OR(LEFT(Sample!A52,1)="E",LEFT(Sample!A52,1)="H"),OR(LEFT(Sample!C52,2)="JX",LEFT(Sample!C52,1)="W",LEFT(Sample!C52,1)="X")),"TS95",IF(AND(OR(LEFT(Sample!A52,1)="E",LEFT(Sample!A52,1)="H"),OR(LEFT(Sample!C52,2)="JN",LEFT(Sample!C52,1)="N")),"TS3",IF(OR(LEFT(Sample!A52,1)="T",LEFT(Sample!A52,1)="B"),"TS24",IF(LEFT(Sample!A52,2)="CR","CARRIER9",IF(LEFT(Sample!A52,4)="DEL3","NIPTDEL3",Sample!A52))))))</f>
        <v>TS24</v>
      </c>
      <c r="O54" t="str">
        <f xml:space="preserve"> SUBSTITUTE( SUBSTITUTE( SUBSTITUTE( SUBSTITUTE( SUBSTITUTE( SUBSTITUTE( SUBSTITUTE( SUBSTITUTE( SampleImport!I54, "A", 1), "C", 2), "G", 3),"T", 4), 1, "T"), 2, "G"), 3, "C"), 4, "A")</f>
        <v>AACCAGAG</v>
      </c>
    </row>
    <row r="55" spans="1:15" x14ac:dyDescent="0.35">
      <c r="A55" t="str">
        <f>Sample!B53&amp;"-"&amp;Sample!C53</f>
        <v>21-AAABLD96</v>
      </c>
      <c r="B55" t="str">
        <f>Sample!B53&amp;"-"&amp;Sample!C53</f>
        <v>21-AAABLD96</v>
      </c>
      <c r="C55" t="str">
        <f>Sample!A53</f>
        <v>T2928A</v>
      </c>
      <c r="F55" t="str">
        <f>Sample!K53</f>
        <v>S7733</v>
      </c>
      <c r="G55" t="str">
        <f>VLOOKUP(F55,'Index Sequence'!$A$2:$B$9808,2,FALSE)</f>
        <v>TTTGGGAT</v>
      </c>
      <c r="H55" t="str">
        <f>Sample!L53</f>
        <v>S7533</v>
      </c>
      <c r="I55" t="str">
        <f t="shared" si="0"/>
        <v>ACGTGAAC</v>
      </c>
      <c r="K55" t="str">
        <f>IF(AND(OR(LEFT(Sample!A53,1)="E",LEFT(Sample!A53,1)="H"),OR(LEFT(Sample!C53,2)="JI",LEFT(Sample!C53,1)="I")),"TS1",IF(AND(OR(LEFT(Sample!A53,1)="E",LEFT(Sample!A53,1)="H"),OR(LEFT(Sample!C53,2)="JX",LEFT(Sample!C53,1)="W",LEFT(Sample!C53,1)="X")),"TS95",IF(AND(OR(LEFT(Sample!A53,1)="E",LEFT(Sample!A53,1)="H"),OR(LEFT(Sample!C53,2)="JN",LEFT(Sample!C53,1)="N")),"TS3",IF(OR(LEFT(Sample!A53,1)="T",LEFT(Sample!A53,1)="B"),"TS24",IF(LEFT(Sample!A53,2)="CR","CARRIER9",IF(LEFT(Sample!A53,4)="DEL3","NIPTDEL3",Sample!A53))))))</f>
        <v>TS24</v>
      </c>
      <c r="O55" t="str">
        <f xml:space="preserve"> SUBSTITUTE( SUBSTITUTE( SUBSTITUTE( SUBSTITUTE( SUBSTITUTE( SUBSTITUTE( SUBSTITUTE( SUBSTITUTE( SampleImport!I55, "A", 1), "C", 2), "G", 3),"T", 4), 1, "T"), 2, "G"), 3, "C"), 4, "A")</f>
        <v>CAAGTGCA</v>
      </c>
    </row>
    <row r="56" spans="1:15" x14ac:dyDescent="0.35">
      <c r="A56" t="str">
        <f>Sample!B54&amp;"-"&amp;Sample!C54</f>
        <v>22-AAABLD97</v>
      </c>
      <c r="B56" t="str">
        <f>Sample!B54&amp;"-"&amp;Sample!C54</f>
        <v>22-AAABLD97</v>
      </c>
      <c r="C56" t="str">
        <f>Sample!A54</f>
        <v>T2928A</v>
      </c>
      <c r="F56" t="str">
        <f>Sample!K54</f>
        <v>S7734</v>
      </c>
      <c r="G56" t="str">
        <f>VLOOKUP(F56,'Index Sequence'!$A$2:$B$9808,2,FALSE)</f>
        <v>CACCAAGC</v>
      </c>
      <c r="H56" t="str">
        <f>Sample!L54</f>
        <v>S7534</v>
      </c>
      <c r="I56" t="str">
        <f t="shared" si="0"/>
        <v>TTCCCTTT</v>
      </c>
      <c r="K56" t="str">
        <f>IF(AND(OR(LEFT(Sample!A54,1)="E",LEFT(Sample!A54,1)="H"),OR(LEFT(Sample!C54,2)="JI",LEFT(Sample!C54,1)="I")),"TS1",IF(AND(OR(LEFT(Sample!A54,1)="E",LEFT(Sample!A54,1)="H"),OR(LEFT(Sample!C54,2)="JX",LEFT(Sample!C54,1)="W",LEFT(Sample!C54,1)="X")),"TS95",IF(AND(OR(LEFT(Sample!A54,1)="E",LEFT(Sample!A54,1)="H"),OR(LEFT(Sample!C54,2)="JN",LEFT(Sample!C54,1)="N")),"TS3",IF(OR(LEFT(Sample!A54,1)="T",LEFT(Sample!A54,1)="B"),"TS24",IF(LEFT(Sample!A54,2)="CR","CARRIER9",IF(LEFT(Sample!A54,4)="DEL3","NIPTDEL3",Sample!A54))))))</f>
        <v>TS24</v>
      </c>
      <c r="O56" t="str">
        <f xml:space="preserve"> SUBSTITUTE( SUBSTITUTE( SUBSTITUTE( SUBSTITUTE( SUBSTITUTE( SUBSTITUTE( SUBSTITUTE( SUBSTITUTE( SampleImport!I56, "A", 1), "C", 2), "G", 3),"T", 4), 1, "T"), 2, "G"), 3, "C"), 4, "A")</f>
        <v>TTTCCCTT</v>
      </c>
    </row>
    <row r="57" spans="1:15" x14ac:dyDescent="0.35">
      <c r="A57" t="str">
        <f>Sample!B55&amp;"-"&amp;Sample!C55</f>
        <v>23-AAABLD98</v>
      </c>
      <c r="B57" t="str">
        <f>Sample!B55&amp;"-"&amp;Sample!C55</f>
        <v>23-AAABLD98</v>
      </c>
      <c r="C57" t="str">
        <f>Sample!A55</f>
        <v>T2928A</v>
      </c>
      <c r="F57" t="str">
        <f>Sample!K55</f>
        <v>S7735</v>
      </c>
      <c r="G57" t="str">
        <f>VLOOKUP(F57,'Index Sequence'!$A$2:$B$9808,2,FALSE)</f>
        <v>CGGAGAGG</v>
      </c>
      <c r="H57" t="str">
        <f>Sample!L55</f>
        <v>S7535</v>
      </c>
      <c r="I57" t="str">
        <f t="shared" si="0"/>
        <v>GACGCTCG</v>
      </c>
      <c r="K57" t="str">
        <f>IF(AND(OR(LEFT(Sample!A55,1)="E",LEFT(Sample!A55,1)="H"),OR(LEFT(Sample!C55,2)="JI",LEFT(Sample!C55,1)="I")),"TS1",IF(AND(OR(LEFT(Sample!A55,1)="E",LEFT(Sample!A55,1)="H"),OR(LEFT(Sample!C55,2)="JX",LEFT(Sample!C55,1)="W",LEFT(Sample!C55,1)="X")),"TS95",IF(AND(OR(LEFT(Sample!A55,1)="E",LEFT(Sample!A55,1)="H"),OR(LEFT(Sample!C55,2)="JN",LEFT(Sample!C55,1)="N")),"TS3",IF(OR(LEFT(Sample!A55,1)="T",LEFT(Sample!A55,1)="B"),"TS24",IF(LEFT(Sample!A55,2)="CR","CARRIER9",IF(LEFT(Sample!A55,4)="DEL3","NIPTDEL3",Sample!A55))))))</f>
        <v>TS24</v>
      </c>
      <c r="O57" t="str">
        <f xml:space="preserve"> SUBSTITUTE( SUBSTITUTE( SUBSTITUTE( SUBSTITUTE( SUBSTITUTE( SUBSTITUTE( SUBSTITUTE( SUBSTITUTE( SampleImport!I57, "A", 1), "C", 2), "G", 3),"T", 4), 1, "T"), 2, "G"), 3, "C"), 4, "A")</f>
        <v>GCTCGCAG</v>
      </c>
    </row>
    <row r="58" spans="1:15" x14ac:dyDescent="0.35">
      <c r="A58" t="str">
        <f>Sample!B56&amp;"-"&amp;Sample!C56</f>
        <v>24-AAABLD99</v>
      </c>
      <c r="B58" t="str">
        <f>Sample!B56&amp;"-"&amp;Sample!C56</f>
        <v>24-AAABLD99</v>
      </c>
      <c r="C58" t="str">
        <f>Sample!A56</f>
        <v>T2928A</v>
      </c>
      <c r="F58" t="str">
        <f>Sample!K56</f>
        <v>S7736</v>
      </c>
      <c r="G58" t="str">
        <f>VLOOKUP(F58,'Index Sequence'!$A$2:$B$9808,2,FALSE)</f>
        <v>TATTTACC</v>
      </c>
      <c r="H58" t="str">
        <f>Sample!L56</f>
        <v>S7536</v>
      </c>
      <c r="I58" t="str">
        <f t="shared" si="0"/>
        <v>CTCACGTC</v>
      </c>
      <c r="K58" t="str">
        <f>IF(AND(OR(LEFT(Sample!A56,1)="E",LEFT(Sample!A56,1)="H"),OR(LEFT(Sample!C56,2)="JI",LEFT(Sample!C56,1)="I")),"TS1",IF(AND(OR(LEFT(Sample!A56,1)="E",LEFT(Sample!A56,1)="H"),OR(LEFT(Sample!C56,2)="JX",LEFT(Sample!C56,1)="W",LEFT(Sample!C56,1)="X")),"TS95",IF(AND(OR(LEFT(Sample!A56,1)="E",LEFT(Sample!A56,1)="H"),OR(LEFT(Sample!C56,2)="JN",LEFT(Sample!C56,1)="N")),"TS3",IF(OR(LEFT(Sample!A56,1)="T",LEFT(Sample!A56,1)="B"),"TS24",IF(LEFT(Sample!A56,2)="CR","CARRIER9",IF(LEFT(Sample!A56,4)="DEL3","NIPTDEL3",Sample!A56))))))</f>
        <v>TS24</v>
      </c>
      <c r="O58" t="str">
        <f xml:space="preserve"> SUBSTITUTE( SUBSTITUTE( SUBSTITUTE( SUBSTITUTE( SUBSTITUTE( SUBSTITUTE( SUBSTITUTE( SUBSTITUTE( SampleImport!I58, "A", 1), "C", 2), "G", 3),"T", 4), 1, "T"), 2, "G"), 3, "C"), 4, "A")</f>
        <v>CTGCACTC</v>
      </c>
    </row>
    <row r="59" spans="1:15" x14ac:dyDescent="0.35">
      <c r="A59" t="str">
        <f>Sample!B57&amp;"-"&amp;Sample!C57</f>
        <v>1-ASAAAB87</v>
      </c>
      <c r="B59" t="str">
        <f>Sample!B57&amp;"-"&amp;Sample!C57</f>
        <v>1-ASAAAB87</v>
      </c>
      <c r="C59" t="str">
        <f>Sample!A57</f>
        <v>T2929A</v>
      </c>
      <c r="F59" t="str">
        <f>Sample!K57</f>
        <v>S7737</v>
      </c>
      <c r="G59" t="str">
        <f>VLOOKUP(F59,'Index Sequence'!$A$2:$B$9808,2,FALSE)</f>
        <v>TATATGGA</v>
      </c>
      <c r="H59" t="str">
        <f>Sample!L57</f>
        <v>S7537</v>
      </c>
      <c r="I59" t="str">
        <f t="shared" si="0"/>
        <v>CTGCCAAG</v>
      </c>
      <c r="K59" t="str">
        <f>IF(AND(OR(LEFT(Sample!A57,1)="E",LEFT(Sample!A57,1)="H"),OR(LEFT(Sample!C57,2)="JI",LEFT(Sample!C57,1)="I")),"TS1",IF(AND(OR(LEFT(Sample!A57,1)="E",LEFT(Sample!A57,1)="H"),OR(LEFT(Sample!C57,2)="JX",LEFT(Sample!C57,1)="W",LEFT(Sample!C57,1)="X")),"TS95",IF(AND(OR(LEFT(Sample!A57,1)="E",LEFT(Sample!A57,1)="H"),OR(LEFT(Sample!C57,2)="JN",LEFT(Sample!C57,1)="N")),"TS3",IF(OR(LEFT(Sample!A57,1)="T",LEFT(Sample!A57,1)="B"),"TS24",IF(LEFT(Sample!A57,2)="CR","CARRIER9",IF(LEFT(Sample!A57,4)="DEL3","NIPTDEL3",Sample!A57))))))</f>
        <v>TS24</v>
      </c>
      <c r="O59" t="str">
        <f xml:space="preserve"> SUBSTITUTE( SUBSTITUTE( SUBSTITUTE( SUBSTITUTE( SUBSTITUTE( SUBSTITUTE( SUBSTITUTE( SUBSTITUTE( SampleImport!I59, "A", 1), "C", 2), "G", 3),"T", 4), 1, "T"), 2, "G"), 3, "C"), 4, "A")</f>
        <v>GAACCGTC</v>
      </c>
    </row>
    <row r="60" spans="1:15" x14ac:dyDescent="0.35">
      <c r="A60" t="str">
        <f>Sample!B58&amp;"-"&amp;Sample!C58</f>
        <v>2-SAAAFX59</v>
      </c>
      <c r="B60" t="str">
        <f>Sample!B58&amp;"-"&amp;Sample!C58</f>
        <v>2-SAAAFX59</v>
      </c>
      <c r="C60" t="str">
        <f>Sample!A58</f>
        <v>T2929A</v>
      </c>
      <c r="F60" t="str">
        <f>Sample!K58</f>
        <v>S7738</v>
      </c>
      <c r="G60" t="str">
        <f>VLOOKUP(F60,'Index Sequence'!$A$2:$B$9808,2,FALSE)</f>
        <v>GTTAACAT</v>
      </c>
      <c r="H60" t="str">
        <f>Sample!L58</f>
        <v>S7538</v>
      </c>
      <c r="I60" t="str">
        <f t="shared" si="0"/>
        <v>ACGCCGCA</v>
      </c>
      <c r="K60" t="str">
        <f>IF(AND(OR(LEFT(Sample!A58,1)="E",LEFT(Sample!A58,1)="H"),OR(LEFT(Sample!C58,2)="JI",LEFT(Sample!C58,1)="I")),"TS1",IF(AND(OR(LEFT(Sample!A58,1)="E",LEFT(Sample!A58,1)="H"),OR(LEFT(Sample!C58,2)="JX",LEFT(Sample!C58,1)="W",LEFT(Sample!C58,1)="X")),"TS95",IF(AND(OR(LEFT(Sample!A58,1)="E",LEFT(Sample!A58,1)="H"),OR(LEFT(Sample!C58,2)="JN",LEFT(Sample!C58,1)="N")),"TS3",IF(OR(LEFT(Sample!A58,1)="T",LEFT(Sample!A58,1)="B"),"TS24",IF(LEFT(Sample!A58,2)="CR","CARRIER9",IF(LEFT(Sample!A58,4)="DEL3","NIPTDEL3",Sample!A58))))))</f>
        <v>TS24</v>
      </c>
      <c r="O60" t="str">
        <f xml:space="preserve"> SUBSTITUTE( SUBSTITUTE( SUBSTITUTE( SUBSTITUTE( SUBSTITUTE( SUBSTITUTE( SUBSTITUTE( SUBSTITUTE( SampleImport!I60, "A", 1), "C", 2), "G", 3),"T", 4), 1, "T"), 2, "G"), 3, "C"), 4, "A")</f>
        <v>ACGCCGCA</v>
      </c>
    </row>
    <row r="61" spans="1:15" x14ac:dyDescent="0.35">
      <c r="A61" t="str">
        <f>Sample!B59&amp;"-"&amp;Sample!C59</f>
        <v>3-SAAAFX60</v>
      </c>
      <c r="B61" t="str">
        <f>Sample!B59&amp;"-"&amp;Sample!C59</f>
        <v>3-SAAAFX60</v>
      </c>
      <c r="C61" t="str">
        <f>Sample!A59</f>
        <v>T2929A</v>
      </c>
      <c r="F61" t="str">
        <f>Sample!K59</f>
        <v>S7739</v>
      </c>
      <c r="G61" t="str">
        <f>VLOOKUP(F61,'Index Sequence'!$A$2:$B$9808,2,FALSE)</f>
        <v>CGTCTTGG</v>
      </c>
      <c r="H61" t="str">
        <f>Sample!L59</f>
        <v>S7539</v>
      </c>
      <c r="I61" t="str">
        <f t="shared" si="0"/>
        <v>CGCCAGTC</v>
      </c>
      <c r="K61" t="str">
        <f>IF(AND(OR(LEFT(Sample!A59,1)="E",LEFT(Sample!A59,1)="H"),OR(LEFT(Sample!C59,2)="JI",LEFT(Sample!C59,1)="I")),"TS1",IF(AND(OR(LEFT(Sample!A59,1)="E",LEFT(Sample!A59,1)="H"),OR(LEFT(Sample!C59,2)="JX",LEFT(Sample!C59,1)="W",LEFT(Sample!C59,1)="X")),"TS95",IF(AND(OR(LEFT(Sample!A59,1)="E",LEFT(Sample!A59,1)="H"),OR(LEFT(Sample!C59,2)="JN",LEFT(Sample!C59,1)="N")),"TS3",IF(OR(LEFT(Sample!A59,1)="T",LEFT(Sample!A59,1)="B"),"TS24",IF(LEFT(Sample!A59,2)="CR","CARRIER9",IF(LEFT(Sample!A59,4)="DEL3","NIPTDEL3",Sample!A59))))))</f>
        <v>TS24</v>
      </c>
      <c r="O61" t="str">
        <f xml:space="preserve"> SUBSTITUTE( SUBSTITUTE( SUBSTITUTE( SUBSTITUTE( SUBSTITUTE( SUBSTITUTE( SUBSTITUTE( SUBSTITUTE( SampleImport!I61, "A", 1), "C", 2), "G", 3),"T", 4), 1, "T"), 2, "G"), 3, "C"), 4, "A")</f>
        <v>CTGACCGC</v>
      </c>
    </row>
    <row r="62" spans="1:15" x14ac:dyDescent="0.35">
      <c r="A62" t="str">
        <f>Sample!B60&amp;"-"&amp;Sample!C60</f>
        <v>4-SAAAFX61</v>
      </c>
      <c r="B62" t="str">
        <f>Sample!B60&amp;"-"&amp;Sample!C60</f>
        <v>4-SAAAFX61</v>
      </c>
      <c r="C62" t="str">
        <f>Sample!A60</f>
        <v>T2929A</v>
      </c>
      <c r="F62" t="str">
        <f>Sample!K60</f>
        <v>S7740</v>
      </c>
      <c r="G62" t="str">
        <f>VLOOKUP(F62,'Index Sequence'!$A$2:$B$9808,2,FALSE)</f>
        <v>CGTAGCGA</v>
      </c>
      <c r="H62" t="str">
        <f>Sample!L60</f>
        <v>S7540</v>
      </c>
      <c r="I62" t="str">
        <f t="shared" si="0"/>
        <v>CTAAACAA</v>
      </c>
      <c r="K62" t="str">
        <f>IF(AND(OR(LEFT(Sample!A60,1)="E",LEFT(Sample!A60,1)="H"),OR(LEFT(Sample!C60,2)="JI",LEFT(Sample!C60,1)="I")),"TS1",IF(AND(OR(LEFT(Sample!A60,1)="E",LEFT(Sample!A60,1)="H"),OR(LEFT(Sample!C60,2)="JX",LEFT(Sample!C60,1)="W",LEFT(Sample!C60,1)="X")),"TS95",IF(AND(OR(LEFT(Sample!A60,1)="E",LEFT(Sample!A60,1)="H"),OR(LEFT(Sample!C60,2)="JN",LEFT(Sample!C60,1)="N")),"TS3",IF(OR(LEFT(Sample!A60,1)="T",LEFT(Sample!A60,1)="B"),"TS24",IF(LEFT(Sample!A60,2)="CR","CARRIER9",IF(LEFT(Sample!A60,4)="DEL3","NIPTDEL3",Sample!A60))))))</f>
        <v>TS24</v>
      </c>
      <c r="O62" t="str">
        <f xml:space="preserve"> SUBSTITUTE( SUBSTITUTE( SUBSTITUTE( SUBSTITUTE( SUBSTITUTE( SUBSTITUTE( SUBSTITUTE( SUBSTITUTE( SampleImport!I62, "A", 1), "C", 2), "G", 3),"T", 4), 1, "T"), 2, "G"), 3, "C"), 4, "A")</f>
        <v>AACAAATC</v>
      </c>
    </row>
    <row r="63" spans="1:15" x14ac:dyDescent="0.35">
      <c r="A63" t="str">
        <f>Sample!B61&amp;"-"&amp;Sample!C61</f>
        <v>5-SAAAFX62</v>
      </c>
      <c r="B63" t="str">
        <f>Sample!B61&amp;"-"&amp;Sample!C61</f>
        <v>5-SAAAFX62</v>
      </c>
      <c r="C63" t="str">
        <f>Sample!A61</f>
        <v>T2929A</v>
      </c>
      <c r="F63" t="str">
        <f>Sample!K61</f>
        <v>S7741</v>
      </c>
      <c r="G63" t="str">
        <f>VLOOKUP(F63,'Index Sequence'!$A$2:$B$9808,2,FALSE)</f>
        <v>TAGTCACA</v>
      </c>
      <c r="H63" t="str">
        <f>Sample!L61</f>
        <v>S7541</v>
      </c>
      <c r="I63" t="str">
        <f t="shared" si="0"/>
        <v>TATACCTC</v>
      </c>
      <c r="K63" t="str">
        <f>IF(AND(OR(LEFT(Sample!A61,1)="E",LEFT(Sample!A61,1)="H"),OR(LEFT(Sample!C61,2)="JI",LEFT(Sample!C61,1)="I")),"TS1",IF(AND(OR(LEFT(Sample!A61,1)="E",LEFT(Sample!A61,1)="H"),OR(LEFT(Sample!C61,2)="JX",LEFT(Sample!C61,1)="W",LEFT(Sample!C61,1)="X")),"TS95",IF(AND(OR(LEFT(Sample!A61,1)="E",LEFT(Sample!A61,1)="H"),OR(LEFT(Sample!C61,2)="JN",LEFT(Sample!C61,1)="N")),"TS3",IF(OR(LEFT(Sample!A61,1)="T",LEFT(Sample!A61,1)="B"),"TS24",IF(LEFT(Sample!A61,2)="CR","CARRIER9",IF(LEFT(Sample!A61,4)="DEL3","NIPTDEL3",Sample!A61))))))</f>
        <v>TS24</v>
      </c>
      <c r="O63" t="str">
        <f xml:space="preserve"> SUBSTITUTE( SUBSTITUTE( SUBSTITUTE( SUBSTITUTE( SUBSTITUTE( SUBSTITUTE( SUBSTITUTE( SUBSTITUTE( SampleImport!I63, "A", 1), "C", 2), "G", 3),"T", 4), 1, "T"), 2, "G"), 3, "C"), 4, "A")</f>
        <v>CTCCATAT</v>
      </c>
    </row>
    <row r="64" spans="1:15" x14ac:dyDescent="0.35">
      <c r="A64" t="str">
        <f>Sample!B62&amp;"-"&amp;Sample!C62</f>
        <v>6-SAAAFX63</v>
      </c>
      <c r="B64" t="str">
        <f>Sample!B62&amp;"-"&amp;Sample!C62</f>
        <v>6-SAAAFX63</v>
      </c>
      <c r="C64" t="str">
        <f>Sample!A62</f>
        <v>T2929A</v>
      </c>
      <c r="F64" t="str">
        <f>Sample!K62</f>
        <v>S7742</v>
      </c>
      <c r="G64" t="str">
        <f>VLOOKUP(F64,'Index Sequence'!$A$2:$B$9808,2,FALSE)</f>
        <v>AGAAGTGG</v>
      </c>
      <c r="H64" t="str">
        <f>Sample!L62</f>
        <v>S7542</v>
      </c>
      <c r="I64" t="str">
        <f t="shared" si="0"/>
        <v>CTCTTGAT</v>
      </c>
      <c r="K64" t="str">
        <f>IF(AND(OR(LEFT(Sample!A62,1)="E",LEFT(Sample!A62,1)="H"),OR(LEFT(Sample!C62,2)="JI",LEFT(Sample!C62,1)="I")),"TS1",IF(AND(OR(LEFT(Sample!A62,1)="E",LEFT(Sample!A62,1)="H"),OR(LEFT(Sample!C62,2)="JX",LEFT(Sample!C62,1)="W",LEFT(Sample!C62,1)="X")),"TS95",IF(AND(OR(LEFT(Sample!A62,1)="E",LEFT(Sample!A62,1)="H"),OR(LEFT(Sample!C62,2)="JN",LEFT(Sample!C62,1)="N")),"TS3",IF(OR(LEFT(Sample!A62,1)="T",LEFT(Sample!A62,1)="B"),"TS24",IF(LEFT(Sample!A62,2)="CR","CARRIER9",IF(LEFT(Sample!A62,4)="DEL3","NIPTDEL3",Sample!A62))))))</f>
        <v>TS24</v>
      </c>
      <c r="O64" t="str">
        <f xml:space="preserve"> SUBSTITUTE( SUBSTITUTE( SUBSTITUTE( SUBSTITUTE( SUBSTITUTE( SUBSTITUTE( SUBSTITUTE( SUBSTITUTE( SampleImport!I64, "A", 1), "C", 2), "G", 3),"T", 4), 1, "T"), 2, "G"), 3, "C"), 4, "A")</f>
        <v>TAGTTCTC</v>
      </c>
    </row>
    <row r="65" spans="1:15" x14ac:dyDescent="0.35">
      <c r="A65" t="str">
        <f>Sample!B63&amp;"-"&amp;Sample!C63</f>
        <v>7-SAAAFX64</v>
      </c>
      <c r="B65" t="str">
        <f>Sample!B63&amp;"-"&amp;Sample!C63</f>
        <v>7-SAAAFX64</v>
      </c>
      <c r="C65" t="str">
        <f>Sample!A63</f>
        <v>T2929A</v>
      </c>
      <c r="F65" t="str">
        <f>Sample!K63</f>
        <v>S7743</v>
      </c>
      <c r="G65" t="str">
        <f>VLOOKUP(F65,'Index Sequence'!$A$2:$B$9808,2,FALSE)</f>
        <v>CGTGGATT</v>
      </c>
      <c r="H65" t="str">
        <f>Sample!L63</f>
        <v>S7543</v>
      </c>
      <c r="I65" t="str">
        <f t="shared" si="0"/>
        <v>ACTCTTAG</v>
      </c>
      <c r="K65" t="str">
        <f>IF(AND(OR(LEFT(Sample!A63,1)="E",LEFT(Sample!A63,1)="H"),OR(LEFT(Sample!C63,2)="JI",LEFT(Sample!C63,1)="I")),"TS1",IF(AND(OR(LEFT(Sample!A63,1)="E",LEFT(Sample!A63,1)="H"),OR(LEFT(Sample!C63,2)="JX",LEFT(Sample!C63,1)="W",LEFT(Sample!C63,1)="X")),"TS95",IF(AND(OR(LEFT(Sample!A63,1)="E",LEFT(Sample!A63,1)="H"),OR(LEFT(Sample!C63,2)="JN",LEFT(Sample!C63,1)="N")),"TS3",IF(OR(LEFT(Sample!A63,1)="T",LEFT(Sample!A63,1)="B"),"TS24",IF(LEFT(Sample!A63,2)="CR","CARRIER9",IF(LEFT(Sample!A63,4)="DEL3","NIPTDEL3",Sample!A63))))))</f>
        <v>TS24</v>
      </c>
      <c r="O65" t="str">
        <f xml:space="preserve"> SUBSTITUTE( SUBSTITUTE( SUBSTITUTE( SUBSTITUTE( SUBSTITUTE( SUBSTITUTE( SUBSTITUTE( SUBSTITUTE( SampleImport!I65, "A", 1), "C", 2), "G", 3),"T", 4), 1, "T"), 2, "G"), 3, "C"), 4, "A")</f>
        <v>GATTCTCA</v>
      </c>
    </row>
    <row r="66" spans="1:15" x14ac:dyDescent="0.35">
      <c r="A66" t="str">
        <f>Sample!B64&amp;"-"&amp;Sample!C64</f>
        <v>8-SAAAFX65</v>
      </c>
      <c r="B66" t="str">
        <f>Sample!B64&amp;"-"&amp;Sample!C64</f>
        <v>8-SAAAFX65</v>
      </c>
      <c r="C66" t="str">
        <f>Sample!A64</f>
        <v>T2929A</v>
      </c>
      <c r="F66" t="str">
        <f>Sample!K64</f>
        <v>S7744</v>
      </c>
      <c r="G66" t="str">
        <f>VLOOKUP(F66,'Index Sequence'!$A$2:$B$9808,2,FALSE)</f>
        <v>GTAGATGC</v>
      </c>
      <c r="H66" t="str">
        <f>Sample!L64</f>
        <v>S7544</v>
      </c>
      <c r="I66" t="str">
        <f t="shared" si="0"/>
        <v>GAGCAACA</v>
      </c>
      <c r="K66" t="str">
        <f>IF(AND(OR(LEFT(Sample!A64,1)="E",LEFT(Sample!A64,1)="H"),OR(LEFT(Sample!C64,2)="JI",LEFT(Sample!C64,1)="I")),"TS1",IF(AND(OR(LEFT(Sample!A64,1)="E",LEFT(Sample!A64,1)="H"),OR(LEFT(Sample!C64,2)="JX",LEFT(Sample!C64,1)="W",LEFT(Sample!C64,1)="X")),"TS95",IF(AND(OR(LEFT(Sample!A64,1)="E",LEFT(Sample!A64,1)="H"),OR(LEFT(Sample!C64,2)="JN",LEFT(Sample!C64,1)="N")),"TS3",IF(OR(LEFT(Sample!A64,1)="T",LEFT(Sample!A64,1)="B"),"TS24",IF(LEFT(Sample!A64,2)="CR","CARRIER9",IF(LEFT(Sample!A64,4)="DEL3","NIPTDEL3",Sample!A64))))))</f>
        <v>TS24</v>
      </c>
      <c r="O66" t="str">
        <f xml:space="preserve"> SUBSTITUTE( SUBSTITUTE( SUBSTITUTE( SUBSTITUTE( SUBSTITUTE( SUBSTITUTE( SUBSTITUTE( SUBSTITUTE( SampleImport!I66, "A", 1), "C", 2), "G", 3),"T", 4), 1, "T"), 2, "G"), 3, "C"), 4, "A")</f>
        <v>ACAACGAG</v>
      </c>
    </row>
    <row r="67" spans="1:15" x14ac:dyDescent="0.35">
      <c r="A67" t="str">
        <f>Sample!B65&amp;"-"&amp;Sample!C65</f>
        <v>9-SAAAFX66</v>
      </c>
      <c r="B67" t="str">
        <f>Sample!B65&amp;"-"&amp;Sample!C65</f>
        <v>9-SAAAFX66</v>
      </c>
      <c r="C67" t="str">
        <f>Sample!A65</f>
        <v>T2929A</v>
      </c>
      <c r="F67" t="str">
        <f>Sample!K65</f>
        <v>S7745</v>
      </c>
      <c r="G67" t="str">
        <f>VLOOKUP(F67,'Index Sequence'!$A$2:$B$9808,2,FALSE)</f>
        <v>TACCGCTC</v>
      </c>
      <c r="H67" t="str">
        <f>Sample!L65</f>
        <v>S7545</v>
      </c>
      <c r="I67" t="str">
        <f t="shared" si="0"/>
        <v>CAGTGACG</v>
      </c>
      <c r="K67" t="str">
        <f>IF(AND(OR(LEFT(Sample!A65,1)="E",LEFT(Sample!A65,1)="H"),OR(LEFT(Sample!C65,2)="JI",LEFT(Sample!C65,1)="I")),"TS1",IF(AND(OR(LEFT(Sample!A65,1)="E",LEFT(Sample!A65,1)="H"),OR(LEFT(Sample!C65,2)="JX",LEFT(Sample!C65,1)="W",LEFT(Sample!C65,1)="X")),"TS95",IF(AND(OR(LEFT(Sample!A65,1)="E",LEFT(Sample!A65,1)="H"),OR(LEFT(Sample!C65,2)="JN",LEFT(Sample!C65,1)="N")),"TS3",IF(OR(LEFT(Sample!A65,1)="T",LEFT(Sample!A65,1)="B"),"TS24",IF(LEFT(Sample!A65,2)="CR","CARRIER9",IF(LEFT(Sample!A65,4)="DEL3","NIPTDEL3",Sample!A65))))))</f>
        <v>TS24</v>
      </c>
      <c r="O67" t="str">
        <f xml:space="preserve"> SUBSTITUTE( SUBSTITUTE( SUBSTITUTE( SUBSTITUTE( SUBSTITUTE( SUBSTITUTE( SUBSTITUTE( SUBSTITUTE( SampleImport!I67, "A", 1), "C", 2), "G", 3),"T", 4), 1, "T"), 2, "G"), 3, "C"), 4, "A")</f>
        <v>GCAGTGAC</v>
      </c>
    </row>
    <row r="68" spans="1:15" x14ac:dyDescent="0.35">
      <c r="A68" t="str">
        <f>Sample!B66&amp;"-"&amp;Sample!C66</f>
        <v>10-SAAAFX67</v>
      </c>
      <c r="B68" t="str">
        <f>Sample!B66&amp;"-"&amp;Sample!C66</f>
        <v>10-SAAAFX67</v>
      </c>
      <c r="C68" t="str">
        <f>Sample!A66</f>
        <v>T2929A</v>
      </c>
      <c r="F68" t="str">
        <f>Sample!K66</f>
        <v>S7746</v>
      </c>
      <c r="G68" t="str">
        <f>VLOOKUP(F68,'Index Sequence'!$A$2:$B$9808,2,FALSE)</f>
        <v>CGAACCAC</v>
      </c>
      <c r="H68" t="str">
        <f>Sample!L66</f>
        <v>S7546</v>
      </c>
      <c r="I68" t="str">
        <f t="shared" si="0"/>
        <v>AAGATTGA</v>
      </c>
      <c r="K68" t="str">
        <f>IF(AND(OR(LEFT(Sample!A66,1)="E",LEFT(Sample!A66,1)="H"),OR(LEFT(Sample!C66,2)="JI",LEFT(Sample!C66,1)="I")),"TS1",IF(AND(OR(LEFT(Sample!A66,1)="E",LEFT(Sample!A66,1)="H"),OR(LEFT(Sample!C66,2)="JX",LEFT(Sample!C66,1)="W",LEFT(Sample!C66,1)="X")),"TS95",IF(AND(OR(LEFT(Sample!A66,1)="E",LEFT(Sample!A66,1)="H"),OR(LEFT(Sample!C66,2)="JN",LEFT(Sample!C66,1)="N")),"TS3",IF(OR(LEFT(Sample!A66,1)="T",LEFT(Sample!A66,1)="B"),"TS24",IF(LEFT(Sample!A66,2)="CR","CARRIER9",IF(LEFT(Sample!A66,4)="DEL3","NIPTDEL3",Sample!A66))))))</f>
        <v>TS24</v>
      </c>
      <c r="O68" t="str">
        <f xml:space="preserve"> SUBSTITUTE( SUBSTITUTE( SUBSTITUTE( SUBSTITUTE( SUBSTITUTE( SUBSTITUTE( SUBSTITUTE( SUBSTITUTE( SampleImport!I68, "A", 1), "C", 2), "G", 3),"T", 4), 1, "T"), 2, "G"), 3, "C"), 4, "A")</f>
        <v>AGTTAGAA</v>
      </c>
    </row>
    <row r="69" spans="1:15" x14ac:dyDescent="0.35">
      <c r="A69" t="str">
        <f>Sample!B67&amp;"-"&amp;Sample!C67</f>
        <v>11-SAAAFX68</v>
      </c>
      <c r="B69" t="str">
        <f>Sample!B67&amp;"-"&amp;Sample!C67</f>
        <v>11-SAAAFX68</v>
      </c>
      <c r="C69" t="str">
        <f>Sample!A67</f>
        <v>T2929A</v>
      </c>
      <c r="F69" t="str">
        <f>Sample!K67</f>
        <v>S7747</v>
      </c>
      <c r="G69" t="str">
        <f>VLOOKUP(F69,'Index Sequence'!$A$2:$B$9808,2,FALSE)</f>
        <v>TATTGTTC</v>
      </c>
      <c r="H69" t="str">
        <f>Sample!L67</f>
        <v>S7547</v>
      </c>
      <c r="I69" t="str">
        <f t="shared" si="0"/>
        <v>GTGTGTTT</v>
      </c>
      <c r="K69" t="str">
        <f>IF(AND(OR(LEFT(Sample!A67,1)="E",LEFT(Sample!A67,1)="H"),OR(LEFT(Sample!C67,2)="JI",LEFT(Sample!C67,1)="I")),"TS1",IF(AND(OR(LEFT(Sample!A67,1)="E",LEFT(Sample!A67,1)="H"),OR(LEFT(Sample!C67,2)="JX",LEFT(Sample!C67,1)="W",LEFT(Sample!C67,1)="X")),"TS95",IF(AND(OR(LEFT(Sample!A67,1)="E",LEFT(Sample!A67,1)="H"),OR(LEFT(Sample!C67,2)="JN",LEFT(Sample!C67,1)="N")),"TS3",IF(OR(LEFT(Sample!A67,1)="T",LEFT(Sample!A67,1)="B"),"TS24",IF(LEFT(Sample!A67,2)="CR","CARRIER9",IF(LEFT(Sample!A67,4)="DEL3","NIPTDEL3",Sample!A67))))))</f>
        <v>TS24</v>
      </c>
      <c r="O69" t="str">
        <f xml:space="preserve"> SUBSTITUTE( SUBSTITUTE( SUBSTITUTE( SUBSTITUTE( SUBSTITUTE( SUBSTITUTE( SUBSTITUTE( SUBSTITUTE( SampleImport!I69, "A", 1), "C", 2), "G", 3),"T", 4), 1, "T"), 2, "G"), 3, "C"), 4, "A")</f>
        <v>TTTGTGTG</v>
      </c>
    </row>
    <row r="70" spans="1:15" x14ac:dyDescent="0.35">
      <c r="A70" t="str">
        <f>Sample!B68&amp;"-"&amp;Sample!C68</f>
        <v>12-SAAAFX69</v>
      </c>
      <c r="B70" t="str">
        <f>Sample!B68&amp;"-"&amp;Sample!C68</f>
        <v>12-SAAAFX69</v>
      </c>
      <c r="C70" t="str">
        <f>Sample!A68</f>
        <v>T2929A</v>
      </c>
      <c r="F70" t="str">
        <f>Sample!K68</f>
        <v>S7748</v>
      </c>
      <c r="G70" t="str">
        <f>VLOOKUP(F70,'Index Sequence'!$A$2:$B$9808,2,FALSE)</f>
        <v>GTTGTGTG</v>
      </c>
      <c r="H70" t="str">
        <f>Sample!L68</f>
        <v>S7548</v>
      </c>
      <c r="I70" t="str">
        <f t="shared" si="0"/>
        <v>CGTCCGAC</v>
      </c>
      <c r="K70" t="str">
        <f>IF(AND(OR(LEFT(Sample!A68,1)="E",LEFT(Sample!A68,1)="H"),OR(LEFT(Sample!C68,2)="JI",LEFT(Sample!C68,1)="I")),"TS1",IF(AND(OR(LEFT(Sample!A68,1)="E",LEFT(Sample!A68,1)="H"),OR(LEFT(Sample!C68,2)="JX",LEFT(Sample!C68,1)="W",LEFT(Sample!C68,1)="X")),"TS95",IF(AND(OR(LEFT(Sample!A68,1)="E",LEFT(Sample!A68,1)="H"),OR(LEFT(Sample!C68,2)="JN",LEFT(Sample!C68,1)="N")),"TS3",IF(OR(LEFT(Sample!A68,1)="T",LEFT(Sample!A68,1)="B"),"TS24",IF(LEFT(Sample!A68,2)="CR","CARRIER9",IF(LEFT(Sample!A68,4)="DEL3","NIPTDEL3",Sample!A68))))))</f>
        <v>TS24</v>
      </c>
      <c r="O70" t="str">
        <f xml:space="preserve"> SUBSTITUTE( SUBSTITUTE( SUBSTITUTE( SUBSTITUTE( SUBSTITUTE( SUBSTITUTE( SUBSTITUTE( SUBSTITUTE( SampleImport!I70, "A", 1), "C", 2), "G", 3),"T", 4), 1, "T"), 2, "G"), 3, "C"), 4, "A")</f>
        <v>CAGCCTGC</v>
      </c>
    </row>
    <row r="71" spans="1:15" x14ac:dyDescent="0.35">
      <c r="A71" t="str">
        <f>Sample!B69&amp;"-"&amp;Sample!C69</f>
        <v>2-SAAAFX70</v>
      </c>
      <c r="B71" t="str">
        <f>Sample!B69&amp;"-"&amp;Sample!C69</f>
        <v>2-SAAAFX70</v>
      </c>
      <c r="C71" t="str">
        <f>Sample!A69</f>
        <v>T2930A</v>
      </c>
      <c r="F71" t="str">
        <f>Sample!K69</f>
        <v>S7750</v>
      </c>
      <c r="G71" t="str">
        <f>VLOOKUP(F71,'Index Sequence'!$A$2:$B$9808,2,FALSE)</f>
        <v>TGGAGATT</v>
      </c>
      <c r="H71" t="str">
        <f>Sample!L69</f>
        <v>S7550</v>
      </c>
      <c r="I71" t="str">
        <f t="shared" si="0"/>
        <v>CAATCATA</v>
      </c>
      <c r="K71" t="str">
        <f>IF(AND(OR(LEFT(Sample!A69,1)="E",LEFT(Sample!A69,1)="H"),OR(LEFT(Sample!C69,2)="JI",LEFT(Sample!C69,1)="I")),"TS1",IF(AND(OR(LEFT(Sample!A69,1)="E",LEFT(Sample!A69,1)="H"),OR(LEFT(Sample!C69,2)="JX",LEFT(Sample!C69,1)="W",LEFT(Sample!C69,1)="X")),"TS95",IF(AND(OR(LEFT(Sample!A69,1)="E",LEFT(Sample!A69,1)="H"),OR(LEFT(Sample!C69,2)="JN",LEFT(Sample!C69,1)="N")),"TS3",IF(OR(LEFT(Sample!A69,1)="T",LEFT(Sample!A69,1)="B"),"TS24",IF(LEFT(Sample!A69,2)="CR","CARRIER9",IF(LEFT(Sample!A69,4)="DEL3","NIPTDEL3",Sample!A69))))))</f>
        <v>TS24</v>
      </c>
      <c r="O71" t="str">
        <f xml:space="preserve"> SUBSTITUTE( SUBSTITUTE( SUBSTITUTE( SUBSTITUTE( SUBSTITUTE( SUBSTITUTE( SUBSTITUTE( SUBSTITUTE( SampleImport!I71, "A", 1), "C", 2), "G", 3),"T", 4), 1, "T"), 2, "G"), 3, "C"), 4, "A")</f>
        <v>ATACTAAC</v>
      </c>
    </row>
    <row r="72" spans="1:15" x14ac:dyDescent="0.35">
      <c r="A72" t="str">
        <f>Sample!B70&amp;"-"&amp;Sample!C70</f>
        <v>3-SAAAFX71</v>
      </c>
      <c r="B72" t="str">
        <f>Sample!B70&amp;"-"&amp;Sample!C70</f>
        <v>3-SAAAFX71</v>
      </c>
      <c r="C72" t="str">
        <f>Sample!A70</f>
        <v>T2930A</v>
      </c>
      <c r="F72" t="str">
        <f>Sample!K70</f>
        <v>S7751</v>
      </c>
      <c r="G72" t="str">
        <f>VLOOKUP(F72,'Index Sequence'!$A$2:$B$9808,2,FALSE)</f>
        <v>AATTAGAC</v>
      </c>
      <c r="H72" t="str">
        <f>Sample!L70</f>
        <v>S7551</v>
      </c>
      <c r="I72" t="str">
        <f t="shared" si="0"/>
        <v>GTTCTTAT</v>
      </c>
      <c r="K72" t="str">
        <f>IF(AND(OR(LEFT(Sample!A70,1)="E",LEFT(Sample!A70,1)="H"),OR(LEFT(Sample!C70,2)="JI",LEFT(Sample!C70,1)="I")),"TS1",IF(AND(OR(LEFT(Sample!A70,1)="E",LEFT(Sample!A70,1)="H"),OR(LEFT(Sample!C70,2)="JX",LEFT(Sample!C70,1)="W",LEFT(Sample!C70,1)="X")),"TS95",IF(AND(OR(LEFT(Sample!A70,1)="E",LEFT(Sample!A70,1)="H"),OR(LEFT(Sample!C70,2)="JN",LEFT(Sample!C70,1)="N")),"TS3",IF(OR(LEFT(Sample!A70,1)="T",LEFT(Sample!A70,1)="B"),"TS24",IF(LEFT(Sample!A70,2)="CR","CARRIER9",IF(LEFT(Sample!A70,4)="DEL3","NIPTDEL3",Sample!A70))))))</f>
        <v>TS24</v>
      </c>
      <c r="O72" t="str">
        <f xml:space="preserve"> SUBSTITUTE( SUBSTITUTE( SUBSTITUTE( SUBSTITUTE( SUBSTITUTE( SUBSTITUTE( SUBSTITUTE( SUBSTITUTE( SampleImport!I72, "A", 1), "C", 2), "G", 3),"T", 4), 1, "T"), 2, "G"), 3, "C"), 4, "A")</f>
        <v>TATTCTTG</v>
      </c>
    </row>
    <row r="73" spans="1:15" x14ac:dyDescent="0.35">
      <c r="A73" t="str">
        <f>Sample!B71&amp;"-"&amp;Sample!C71</f>
        <v>4-SAAAFX72</v>
      </c>
      <c r="B73" t="str">
        <f>Sample!B71&amp;"-"&amp;Sample!C71</f>
        <v>4-SAAAFX72</v>
      </c>
      <c r="C73" t="str">
        <f>Sample!A71</f>
        <v>T2930A</v>
      </c>
      <c r="F73" t="str">
        <f>Sample!K71</f>
        <v>S7752</v>
      </c>
      <c r="G73" t="str">
        <f>VLOOKUP(F73,'Index Sequence'!$A$2:$B$9808,2,FALSE)</f>
        <v>ACTTTGGG</v>
      </c>
      <c r="H73" t="str">
        <f>Sample!L71</f>
        <v>S7552</v>
      </c>
      <c r="I73" t="str">
        <f t="shared" si="0"/>
        <v>GATGCGAC</v>
      </c>
      <c r="K73" t="str">
        <f>IF(AND(OR(LEFT(Sample!A71,1)="E",LEFT(Sample!A71,1)="H"),OR(LEFT(Sample!C71,2)="JI",LEFT(Sample!C71,1)="I")),"TS1",IF(AND(OR(LEFT(Sample!A71,1)="E",LEFT(Sample!A71,1)="H"),OR(LEFT(Sample!C71,2)="JX",LEFT(Sample!C71,1)="W",LEFT(Sample!C71,1)="X")),"TS95",IF(AND(OR(LEFT(Sample!A71,1)="E",LEFT(Sample!A71,1)="H"),OR(LEFT(Sample!C71,2)="JN",LEFT(Sample!C71,1)="N")),"TS3",IF(OR(LEFT(Sample!A71,1)="T",LEFT(Sample!A71,1)="B"),"TS24",IF(LEFT(Sample!A71,2)="CR","CARRIER9",IF(LEFT(Sample!A71,4)="DEL3","NIPTDEL3",Sample!A71))))))</f>
        <v>TS24</v>
      </c>
      <c r="O73" t="str">
        <f xml:space="preserve"> SUBSTITUTE( SUBSTITUTE( SUBSTITUTE( SUBSTITUTE( SUBSTITUTE( SUBSTITUTE( SUBSTITUTE( SUBSTITUTE( SampleImport!I73, "A", 1), "C", 2), "G", 3),"T", 4), 1, "T"), 2, "G"), 3, "C"), 4, "A")</f>
        <v>CAGCGTAG</v>
      </c>
    </row>
    <row r="74" spans="1:15" x14ac:dyDescent="0.35">
      <c r="A74" t="str">
        <f>Sample!B72&amp;"-"&amp;Sample!C72</f>
        <v>5-SAAAFX73</v>
      </c>
      <c r="B74" t="str">
        <f>Sample!B72&amp;"-"&amp;Sample!C72</f>
        <v>5-SAAAFX73</v>
      </c>
      <c r="C74" t="str">
        <f>Sample!A72</f>
        <v>T2930A</v>
      </c>
      <c r="F74" t="str">
        <f>Sample!K72</f>
        <v>S7753</v>
      </c>
      <c r="G74" t="str">
        <f>VLOOKUP(F74,'Index Sequence'!$A$2:$B$9808,2,FALSE)</f>
        <v>CGGACGGA</v>
      </c>
      <c r="H74" t="str">
        <f>Sample!L72</f>
        <v>S7553</v>
      </c>
      <c r="I74" t="str">
        <f t="shared" si="0"/>
        <v>GAAGAGGG</v>
      </c>
      <c r="K74" t="str">
        <f>IF(AND(OR(LEFT(Sample!A72,1)="E",LEFT(Sample!A72,1)="H"),OR(LEFT(Sample!C72,2)="JI",LEFT(Sample!C72,1)="I")),"TS1",IF(AND(OR(LEFT(Sample!A72,1)="E",LEFT(Sample!A72,1)="H"),OR(LEFT(Sample!C72,2)="JX",LEFT(Sample!C72,1)="W",LEFT(Sample!C72,1)="X")),"TS95",IF(AND(OR(LEFT(Sample!A72,1)="E",LEFT(Sample!A72,1)="H"),OR(LEFT(Sample!C72,2)="JN",LEFT(Sample!C72,1)="N")),"TS3",IF(OR(LEFT(Sample!A72,1)="T",LEFT(Sample!A72,1)="B"),"TS24",IF(LEFT(Sample!A72,2)="CR","CARRIER9",IF(LEFT(Sample!A72,4)="DEL3","NIPTDEL3",Sample!A72))))))</f>
        <v>TS24</v>
      </c>
      <c r="O74" t="str">
        <f xml:space="preserve"> SUBSTITUTE( SUBSTITUTE( SUBSTITUTE( SUBSTITUTE( SUBSTITUTE( SUBSTITUTE( SUBSTITUTE( SUBSTITUTE( SampleImport!I74, "A", 1), "C", 2), "G", 3),"T", 4), 1, "T"), 2, "G"), 3, "C"), 4, "A")</f>
        <v>GGGAGAAG</v>
      </c>
    </row>
    <row r="75" spans="1:15" x14ac:dyDescent="0.35">
      <c r="A75" t="str">
        <f>Sample!B73&amp;"-"&amp;Sample!C73</f>
        <v>6-AAABLE01</v>
      </c>
      <c r="B75" t="str">
        <f>Sample!B73&amp;"-"&amp;Sample!C73</f>
        <v>6-AAABLE01</v>
      </c>
      <c r="C75" t="str">
        <f>Sample!A73</f>
        <v>T2930A</v>
      </c>
      <c r="F75" t="str">
        <f>Sample!K73</f>
        <v>S7754</v>
      </c>
      <c r="G75" t="str">
        <f>VLOOKUP(F75,'Index Sequence'!$A$2:$B$9808,2,FALSE)</f>
        <v>GCAGAGCC</v>
      </c>
      <c r="H75" t="str">
        <f>Sample!L73</f>
        <v>S7554</v>
      </c>
      <c r="I75" t="str">
        <f t="shared" si="0"/>
        <v>TAGTAATC</v>
      </c>
      <c r="K75" t="str">
        <f>IF(AND(OR(LEFT(Sample!A73,1)="E",LEFT(Sample!A73,1)="H"),OR(LEFT(Sample!C73,2)="JI",LEFT(Sample!C73,1)="I")),"TS1",IF(AND(OR(LEFT(Sample!A73,1)="E",LEFT(Sample!A73,1)="H"),OR(LEFT(Sample!C73,2)="JX",LEFT(Sample!C73,1)="W",LEFT(Sample!C73,1)="X")),"TS95",IF(AND(OR(LEFT(Sample!A73,1)="E",LEFT(Sample!A73,1)="H"),OR(LEFT(Sample!C73,2)="JN",LEFT(Sample!C73,1)="N")),"TS3",IF(OR(LEFT(Sample!A73,1)="T",LEFT(Sample!A73,1)="B"),"TS24",IF(LEFT(Sample!A73,2)="CR","CARRIER9",IF(LEFT(Sample!A73,4)="DEL3","NIPTDEL3",Sample!A73))))))</f>
        <v>TS24</v>
      </c>
      <c r="O75" t="str">
        <f xml:space="preserve"> SUBSTITUTE( SUBSTITUTE( SUBSTITUTE( SUBSTITUTE( SUBSTITUTE( SUBSTITUTE( SUBSTITUTE( SUBSTITUTE( SampleImport!I75, "A", 1), "C", 2), "G", 3),"T", 4), 1, "T"), 2, "G"), 3, "C"), 4, "A")</f>
        <v>CTAATGAT</v>
      </c>
    </row>
    <row r="76" spans="1:15" x14ac:dyDescent="0.35">
      <c r="A76" t="str">
        <f>Sample!B74&amp;"-"&amp;Sample!C74</f>
        <v>7-AAABLE02</v>
      </c>
      <c r="B76" t="str">
        <f>Sample!B74&amp;"-"&amp;Sample!C74</f>
        <v>7-AAABLE02</v>
      </c>
      <c r="C76" t="str">
        <f>Sample!A74</f>
        <v>T2930A</v>
      </c>
      <c r="F76" t="str">
        <f>Sample!K74</f>
        <v>S7755</v>
      </c>
      <c r="G76" t="str">
        <f>VLOOKUP(F76,'Index Sequence'!$A$2:$B$9808,2,FALSE)</f>
        <v>GCATGATC</v>
      </c>
      <c r="H76" t="str">
        <f>Sample!L74</f>
        <v>S7555</v>
      </c>
      <c r="I76" t="str">
        <f t="shared" si="0"/>
        <v>GTGTGGAG</v>
      </c>
      <c r="K76" t="str">
        <f>IF(AND(OR(LEFT(Sample!A74,1)="E",LEFT(Sample!A74,1)="H"),OR(LEFT(Sample!C74,2)="JI",LEFT(Sample!C74,1)="I")),"TS1",IF(AND(OR(LEFT(Sample!A74,1)="E",LEFT(Sample!A74,1)="H"),OR(LEFT(Sample!C74,2)="JX",LEFT(Sample!C74,1)="W",LEFT(Sample!C74,1)="X")),"TS95",IF(AND(OR(LEFT(Sample!A74,1)="E",LEFT(Sample!A74,1)="H"),OR(LEFT(Sample!C74,2)="JN",LEFT(Sample!C74,1)="N")),"TS3",IF(OR(LEFT(Sample!A74,1)="T",LEFT(Sample!A74,1)="B"),"TS24",IF(LEFT(Sample!A74,2)="CR","CARRIER9",IF(LEFT(Sample!A74,4)="DEL3","NIPTDEL3",Sample!A74))))))</f>
        <v>TS24</v>
      </c>
      <c r="O76" t="str">
        <f xml:space="preserve"> SUBSTITUTE( SUBSTITUTE( SUBSTITUTE( SUBSTITUTE( SUBSTITUTE( SUBSTITUTE( SUBSTITUTE( SUBSTITUTE( SampleImport!I76, "A", 1), "C", 2), "G", 3),"T", 4), 1, "T"), 2, "G"), 3, "C"), 4, "A")</f>
        <v>GAGGTGTG</v>
      </c>
    </row>
    <row r="77" spans="1:15" x14ac:dyDescent="0.35">
      <c r="A77" t="str">
        <f>Sample!B75&amp;"-"&amp;Sample!C75</f>
        <v>8-AAABLE03</v>
      </c>
      <c r="B77" t="str">
        <f>Sample!B75&amp;"-"&amp;Sample!C75</f>
        <v>8-AAABLE03</v>
      </c>
      <c r="C77" t="str">
        <f>Sample!A75</f>
        <v>T2930A</v>
      </c>
      <c r="F77" t="str">
        <f>Sample!K75</f>
        <v>S7756</v>
      </c>
      <c r="G77" t="str">
        <f>VLOOKUP(F77,'Index Sequence'!$A$2:$B$9808,2,FALSE)</f>
        <v>TCGACCTA</v>
      </c>
      <c r="H77" t="str">
        <f>Sample!L75</f>
        <v>S7556</v>
      </c>
      <c r="I77" t="str">
        <f t="shared" si="0"/>
        <v>ACGTTGTA</v>
      </c>
      <c r="K77" t="str">
        <f>IF(AND(OR(LEFT(Sample!A75,1)="E",LEFT(Sample!A75,1)="H"),OR(LEFT(Sample!C75,2)="JI",LEFT(Sample!C75,1)="I")),"TS1",IF(AND(OR(LEFT(Sample!A75,1)="E",LEFT(Sample!A75,1)="H"),OR(LEFT(Sample!C75,2)="JX",LEFT(Sample!C75,1)="W",LEFT(Sample!C75,1)="X")),"TS95",IF(AND(OR(LEFT(Sample!A75,1)="E",LEFT(Sample!A75,1)="H"),OR(LEFT(Sample!C75,2)="JN",LEFT(Sample!C75,1)="N")),"TS3",IF(OR(LEFT(Sample!A75,1)="T",LEFT(Sample!A75,1)="B"),"TS24",IF(LEFT(Sample!A75,2)="CR","CARRIER9",IF(LEFT(Sample!A75,4)="DEL3","NIPTDEL3",Sample!A75))))))</f>
        <v>TS24</v>
      </c>
      <c r="O77" t="str">
        <f xml:space="preserve"> SUBSTITUTE( SUBSTITUTE( SUBSTITUTE( SUBSTITUTE( SUBSTITUTE( SUBSTITUTE( SUBSTITUTE( SUBSTITUTE( SampleImport!I77, "A", 1), "C", 2), "G", 3),"T", 4), 1, "T"), 2, "G"), 3, "C"), 4, "A")</f>
        <v>ATGTTGCA</v>
      </c>
    </row>
    <row r="78" spans="1:15" x14ac:dyDescent="0.35">
      <c r="A78" t="str">
        <f>Sample!B76&amp;"-"&amp;Sample!C76</f>
        <v>9-AAABLE04</v>
      </c>
      <c r="B78" t="str">
        <f>Sample!B76&amp;"-"&amp;Sample!C76</f>
        <v>9-AAABLE04</v>
      </c>
      <c r="C78" t="str">
        <f>Sample!A76</f>
        <v>T2930A</v>
      </c>
      <c r="F78" t="str">
        <f>Sample!K76</f>
        <v>S7757</v>
      </c>
      <c r="G78" t="str">
        <f>VLOOKUP(F78,'Index Sequence'!$A$2:$B$9808,2,FALSE)</f>
        <v>ACCCTGAC</v>
      </c>
      <c r="H78" t="str">
        <f>Sample!L76</f>
        <v>S7557</v>
      </c>
      <c r="I78" t="str">
        <f t="shared" si="0"/>
        <v>GCGCTAAT</v>
      </c>
      <c r="K78" t="str">
        <f>IF(AND(OR(LEFT(Sample!A76,1)="E",LEFT(Sample!A76,1)="H"),OR(LEFT(Sample!C76,2)="JI",LEFT(Sample!C76,1)="I")),"TS1",IF(AND(OR(LEFT(Sample!A76,1)="E",LEFT(Sample!A76,1)="H"),OR(LEFT(Sample!C76,2)="JX",LEFT(Sample!C76,1)="W",LEFT(Sample!C76,1)="X")),"TS95",IF(AND(OR(LEFT(Sample!A76,1)="E",LEFT(Sample!A76,1)="H"),OR(LEFT(Sample!C76,2)="JN",LEFT(Sample!C76,1)="N")),"TS3",IF(OR(LEFT(Sample!A76,1)="T",LEFT(Sample!A76,1)="B"),"TS24",IF(LEFT(Sample!A76,2)="CR","CARRIER9",IF(LEFT(Sample!A76,4)="DEL3","NIPTDEL3",Sample!A76))))))</f>
        <v>TS24</v>
      </c>
      <c r="O78" t="str">
        <f xml:space="preserve"> SUBSTITUTE( SUBSTITUTE( SUBSTITUTE( SUBSTITUTE( SUBSTITUTE( SUBSTITUTE( SUBSTITUTE( SUBSTITUTE( SampleImport!I78, "A", 1), "C", 2), "G", 3),"T", 4), 1, "T"), 2, "G"), 3, "C"), 4, "A")</f>
        <v>TAATCGCG</v>
      </c>
    </row>
    <row r="79" spans="1:15" x14ac:dyDescent="0.35">
      <c r="A79" t="str">
        <f>Sample!B77&amp;"-"&amp;Sample!C77</f>
        <v>10-AAABLE05</v>
      </c>
      <c r="B79" t="str">
        <f>Sample!B77&amp;"-"&amp;Sample!C77</f>
        <v>10-AAABLE05</v>
      </c>
      <c r="C79" t="str">
        <f>Sample!A77</f>
        <v>T2930A</v>
      </c>
      <c r="F79" t="str">
        <f>Sample!K77</f>
        <v>S7758</v>
      </c>
      <c r="G79" t="str">
        <f>VLOOKUP(F79,'Index Sequence'!$A$2:$B$9808,2,FALSE)</f>
        <v>GTTGAAGG</v>
      </c>
      <c r="H79" t="str">
        <f>Sample!L77</f>
        <v>S7558</v>
      </c>
      <c r="I79" t="str">
        <f t="shared" si="0"/>
        <v>AGAGCTGC</v>
      </c>
      <c r="K79" t="str">
        <f>IF(AND(OR(LEFT(Sample!A77,1)="E",LEFT(Sample!A77,1)="H"),OR(LEFT(Sample!C77,2)="JI",LEFT(Sample!C77,1)="I")),"TS1",IF(AND(OR(LEFT(Sample!A77,1)="E",LEFT(Sample!A77,1)="H"),OR(LEFT(Sample!C77,2)="JX",LEFT(Sample!C77,1)="W",LEFT(Sample!C77,1)="X")),"TS95",IF(AND(OR(LEFT(Sample!A77,1)="E",LEFT(Sample!A77,1)="H"),OR(LEFT(Sample!C77,2)="JN",LEFT(Sample!C77,1)="N")),"TS3",IF(OR(LEFT(Sample!A77,1)="T",LEFT(Sample!A77,1)="B"),"TS24",IF(LEFT(Sample!A77,2)="CR","CARRIER9",IF(LEFT(Sample!A77,4)="DEL3","NIPTDEL3",Sample!A77))))))</f>
        <v>TS24</v>
      </c>
      <c r="O79" t="str">
        <f xml:space="preserve"> SUBSTITUTE( SUBSTITUTE( SUBSTITUTE( SUBSTITUTE( SUBSTITUTE( SUBSTITUTE( SUBSTITUTE( SUBSTITUTE( SampleImport!I79, "A", 1), "C", 2), "G", 3),"T", 4), 1, "T"), 2, "G"), 3, "C"), 4, "A")</f>
        <v>CGTCGAGA</v>
      </c>
    </row>
    <row r="80" spans="1:15" x14ac:dyDescent="0.35">
      <c r="A80" t="str">
        <f>Sample!B78&amp;"-"&amp;Sample!C78</f>
        <v>11-AAABLE06</v>
      </c>
      <c r="B80" t="str">
        <f>Sample!B78&amp;"-"&amp;Sample!C78</f>
        <v>11-AAABLE06</v>
      </c>
      <c r="C80" t="str">
        <f>Sample!A78</f>
        <v>T2930A</v>
      </c>
      <c r="F80" t="str">
        <f>Sample!K78</f>
        <v>S7759</v>
      </c>
      <c r="G80" t="str">
        <f>VLOOKUP(F80,'Index Sequence'!$A$2:$B$9808,2,FALSE)</f>
        <v>GCACGGGA</v>
      </c>
      <c r="H80" t="str">
        <f>Sample!L78</f>
        <v>S7559</v>
      </c>
      <c r="I80" t="str">
        <f t="shared" si="0"/>
        <v>CATACTTA</v>
      </c>
      <c r="K80" t="str">
        <f>IF(AND(OR(LEFT(Sample!A78,1)="E",LEFT(Sample!A78,1)="H"),OR(LEFT(Sample!C78,2)="JI",LEFT(Sample!C78,1)="I")),"TS1",IF(AND(OR(LEFT(Sample!A78,1)="E",LEFT(Sample!A78,1)="H"),OR(LEFT(Sample!C78,2)="JX",LEFT(Sample!C78,1)="W",LEFT(Sample!C78,1)="X")),"TS95",IF(AND(OR(LEFT(Sample!A78,1)="E",LEFT(Sample!A78,1)="H"),OR(LEFT(Sample!C78,2)="JN",LEFT(Sample!C78,1)="N")),"TS3",IF(OR(LEFT(Sample!A78,1)="T",LEFT(Sample!A78,1)="B"),"TS24",IF(LEFT(Sample!A78,2)="CR","CARRIER9",IF(LEFT(Sample!A78,4)="DEL3","NIPTDEL3",Sample!A78))))))</f>
        <v>TS24</v>
      </c>
      <c r="O80" t="str">
        <f xml:space="preserve"> SUBSTITUTE( SUBSTITUTE( SUBSTITUTE( SUBSTITUTE( SUBSTITUTE( SUBSTITUTE( SUBSTITUTE( SUBSTITUTE( SampleImport!I80, "A", 1), "C", 2), "G", 3),"T", 4), 1, "T"), 2, "G"), 3, "C"), 4, "A")</f>
        <v>ATTCATAC</v>
      </c>
    </row>
    <row r="81" spans="1:15" x14ac:dyDescent="0.35">
      <c r="A81" t="str">
        <f>Sample!B79&amp;"-"&amp;Sample!C79</f>
        <v>12-AAABLE07</v>
      </c>
      <c r="B81" t="str">
        <f>Sample!B79&amp;"-"&amp;Sample!C79</f>
        <v>12-AAABLE07</v>
      </c>
      <c r="C81" t="str">
        <f>Sample!A79</f>
        <v>T2930A</v>
      </c>
      <c r="F81" t="str">
        <f>Sample!K79</f>
        <v>S7760</v>
      </c>
      <c r="G81" t="str">
        <f>VLOOKUP(F81,'Index Sequence'!$A$2:$B$9808,2,FALSE)</f>
        <v>CGTATAAA</v>
      </c>
      <c r="H81" t="str">
        <f>Sample!L79</f>
        <v>S7560</v>
      </c>
      <c r="I81" t="str">
        <f t="shared" si="0"/>
        <v>TTGCACCG</v>
      </c>
      <c r="K81" t="str">
        <f>IF(AND(OR(LEFT(Sample!A79,1)="E",LEFT(Sample!A79,1)="H"),OR(LEFT(Sample!C79,2)="JI",LEFT(Sample!C79,1)="I")),"TS1",IF(AND(OR(LEFT(Sample!A79,1)="E",LEFT(Sample!A79,1)="H"),OR(LEFT(Sample!C79,2)="JX",LEFT(Sample!C79,1)="W",LEFT(Sample!C79,1)="X")),"TS95",IF(AND(OR(LEFT(Sample!A79,1)="E",LEFT(Sample!A79,1)="H"),OR(LEFT(Sample!C79,2)="JN",LEFT(Sample!C79,1)="N")),"TS3",IF(OR(LEFT(Sample!A79,1)="T",LEFT(Sample!A79,1)="B"),"TS24",IF(LEFT(Sample!A79,2)="CR","CARRIER9",IF(LEFT(Sample!A79,4)="DEL3","NIPTDEL3",Sample!A79))))))</f>
        <v>TS24</v>
      </c>
      <c r="O81" t="str">
        <f xml:space="preserve"> SUBSTITUTE( SUBSTITUTE( SUBSTITUTE( SUBSTITUTE( SUBSTITUTE( SUBSTITUTE( SUBSTITUTE( SUBSTITUTE( SampleImport!I81, "A", 1), "C", 2), "G", 3),"T", 4), 1, "T"), 2, "G"), 3, "C"), 4, "A")</f>
        <v>GCCACGTT</v>
      </c>
    </row>
    <row r="82" spans="1:15" x14ac:dyDescent="0.35">
      <c r="A82" t="str">
        <f>Sample!B80&amp;"-"&amp;Sample!C80</f>
        <v>13-AAABLE08</v>
      </c>
      <c r="B82" t="str">
        <f>Sample!B80&amp;"-"&amp;Sample!C80</f>
        <v>13-AAABLE08</v>
      </c>
      <c r="C82" t="str">
        <f>Sample!A80</f>
        <v>T2930A</v>
      </c>
      <c r="F82" t="str">
        <f>Sample!K80</f>
        <v>S7761</v>
      </c>
      <c r="G82" t="str">
        <f>VLOOKUP(F82,'Index Sequence'!$A$2:$B$9808,2,FALSE)</f>
        <v>AGAGACGG</v>
      </c>
      <c r="H82" t="str">
        <f>Sample!L80</f>
        <v>S7561</v>
      </c>
      <c r="I82" t="str">
        <f t="shared" si="0"/>
        <v>GCGGGATA</v>
      </c>
      <c r="K82" t="str">
        <f>IF(AND(OR(LEFT(Sample!A80,1)="E",LEFT(Sample!A80,1)="H"),OR(LEFT(Sample!C80,2)="JI",LEFT(Sample!C80,1)="I")),"TS1",IF(AND(OR(LEFT(Sample!A80,1)="E",LEFT(Sample!A80,1)="H"),OR(LEFT(Sample!C80,2)="JX",LEFT(Sample!C80,1)="W",LEFT(Sample!C80,1)="X")),"TS95",IF(AND(OR(LEFT(Sample!A80,1)="E",LEFT(Sample!A80,1)="H"),OR(LEFT(Sample!C80,2)="JN",LEFT(Sample!C80,1)="N")),"TS3",IF(OR(LEFT(Sample!A80,1)="T",LEFT(Sample!A80,1)="B"),"TS24",IF(LEFT(Sample!A80,2)="CR","CARRIER9",IF(LEFT(Sample!A80,4)="DEL3","NIPTDEL3",Sample!A80))))))</f>
        <v>TS24</v>
      </c>
      <c r="O82" t="str">
        <f xml:space="preserve"> SUBSTITUTE( SUBSTITUTE( SUBSTITUTE( SUBSTITUTE( SUBSTITUTE( SUBSTITUTE( SUBSTITUTE( SUBSTITUTE( SampleImport!I82, "A", 1), "C", 2), "G", 3),"T", 4), 1, "T"), 2, "G"), 3, "C"), 4, "A")</f>
        <v>ATAGGGCG</v>
      </c>
    </row>
    <row r="83" spans="1:15" x14ac:dyDescent="0.35">
      <c r="A83" t="str">
        <f>Sample!B81&amp;"-"&amp;Sample!C81</f>
        <v>14-ASAAAB88</v>
      </c>
      <c r="B83" t="str">
        <f>Sample!B81&amp;"-"&amp;Sample!C81</f>
        <v>14-ASAAAB88</v>
      </c>
      <c r="C83" t="str">
        <f>Sample!A81</f>
        <v>T2930A</v>
      </c>
      <c r="F83" t="str">
        <f>Sample!K81</f>
        <v>S7762</v>
      </c>
      <c r="G83" t="str">
        <f>VLOOKUP(F83,'Index Sequence'!$A$2:$B$9808,2,FALSE)</f>
        <v>TACAAGTC</v>
      </c>
      <c r="H83" t="str">
        <f>Sample!L81</f>
        <v>S7562</v>
      </c>
      <c r="I83" t="str">
        <f t="shared" si="0"/>
        <v>GAAGTGAA</v>
      </c>
      <c r="K83" t="str">
        <f>IF(AND(OR(LEFT(Sample!A81,1)="E",LEFT(Sample!A81,1)="H"),OR(LEFT(Sample!C81,2)="JI",LEFT(Sample!C81,1)="I")),"TS1",IF(AND(OR(LEFT(Sample!A81,1)="E",LEFT(Sample!A81,1)="H"),OR(LEFT(Sample!C81,2)="JX",LEFT(Sample!C81,1)="W",LEFT(Sample!C81,1)="X")),"TS95",IF(AND(OR(LEFT(Sample!A81,1)="E",LEFT(Sample!A81,1)="H"),OR(LEFT(Sample!C81,2)="JN",LEFT(Sample!C81,1)="N")),"TS3",IF(OR(LEFT(Sample!A81,1)="T",LEFT(Sample!A81,1)="B"),"TS24",IF(LEFT(Sample!A81,2)="CR","CARRIER9",IF(LEFT(Sample!A81,4)="DEL3","NIPTDEL3",Sample!A81))))))</f>
        <v>TS24</v>
      </c>
      <c r="O83" t="str">
        <f xml:space="preserve"> SUBSTITUTE( SUBSTITUTE( SUBSTITUTE( SUBSTITUTE( SUBSTITUTE( SUBSTITUTE( SUBSTITUTE( SUBSTITUTE( SampleImport!I83, "A", 1), "C", 2), "G", 3),"T", 4), 1, "T"), 2, "G"), 3, "C"), 4, "A")</f>
        <v>AAGTGAAG</v>
      </c>
    </row>
    <row r="84" spans="1:15" x14ac:dyDescent="0.35">
      <c r="A84" t="str">
        <f>Sample!B82&amp;"-"&amp;Sample!C82</f>
        <v>15-SAAAFX74</v>
      </c>
      <c r="B84" t="str">
        <f>Sample!B82&amp;"-"&amp;Sample!C82</f>
        <v>15-SAAAFX74</v>
      </c>
      <c r="C84" t="str">
        <f>Sample!A82</f>
        <v>T2930A</v>
      </c>
      <c r="F84" t="str">
        <f>Sample!K82</f>
        <v>S7763</v>
      </c>
      <c r="G84" t="str">
        <f>VLOOKUP(F84,'Index Sequence'!$A$2:$B$9808,2,FALSE)</f>
        <v>TGAATCTT</v>
      </c>
      <c r="H84" t="str">
        <f>Sample!L82</f>
        <v>S7563</v>
      </c>
      <c r="I84" t="str">
        <f t="shared" si="0"/>
        <v>CTGTTTAC</v>
      </c>
      <c r="K84" t="str">
        <f>IF(AND(OR(LEFT(Sample!A82,1)="E",LEFT(Sample!A82,1)="H"),OR(LEFT(Sample!C82,2)="JI",LEFT(Sample!C82,1)="I")),"TS1",IF(AND(OR(LEFT(Sample!A82,1)="E",LEFT(Sample!A82,1)="H"),OR(LEFT(Sample!C82,2)="JX",LEFT(Sample!C82,1)="W",LEFT(Sample!C82,1)="X")),"TS95",IF(AND(OR(LEFT(Sample!A82,1)="E",LEFT(Sample!A82,1)="H"),OR(LEFT(Sample!C82,2)="JN",LEFT(Sample!C82,1)="N")),"TS3",IF(OR(LEFT(Sample!A82,1)="T",LEFT(Sample!A82,1)="B"),"TS24",IF(LEFT(Sample!A82,2)="CR","CARRIER9",IF(LEFT(Sample!A82,4)="DEL3","NIPTDEL3",Sample!A82))))))</f>
        <v>TS24</v>
      </c>
      <c r="O84" t="str">
        <f xml:space="preserve"> SUBSTITUTE( SUBSTITUTE( SUBSTITUTE( SUBSTITUTE( SUBSTITUTE( SUBSTITUTE( SUBSTITUTE( SUBSTITUTE( SampleImport!I84, "A", 1), "C", 2), "G", 3),"T", 4), 1, "T"), 2, "G"), 3, "C"), 4, "A")</f>
        <v>CATTTGTC</v>
      </c>
    </row>
    <row r="85" spans="1:15" x14ac:dyDescent="0.35">
      <c r="A85" t="str">
        <f>Sample!B83&amp;"-"&amp;Sample!C83</f>
        <v>16-SAAAFX75</v>
      </c>
      <c r="B85" t="str">
        <f>Sample!B83&amp;"-"&amp;Sample!C83</f>
        <v>16-SAAAFX75</v>
      </c>
      <c r="C85" t="str">
        <f>Sample!A83</f>
        <v>T2930A</v>
      </c>
      <c r="F85" t="str">
        <f>Sample!K83</f>
        <v>S7764</v>
      </c>
      <c r="G85" t="str">
        <f>VLOOKUP(F85,'Index Sequence'!$A$2:$B$9808,2,FALSE)</f>
        <v>GCAACTTG</v>
      </c>
      <c r="H85" t="str">
        <f>Sample!L83</f>
        <v>S7564</v>
      </c>
      <c r="I85" t="str">
        <f t="shared" si="0"/>
        <v>GAGCACTC</v>
      </c>
      <c r="K85" t="str">
        <f>IF(AND(OR(LEFT(Sample!A83,1)="E",LEFT(Sample!A83,1)="H"),OR(LEFT(Sample!C83,2)="JI",LEFT(Sample!C83,1)="I")),"TS1",IF(AND(OR(LEFT(Sample!A83,1)="E",LEFT(Sample!A83,1)="H"),OR(LEFT(Sample!C83,2)="JX",LEFT(Sample!C83,1)="W",LEFT(Sample!C83,1)="X")),"TS95",IF(AND(OR(LEFT(Sample!A83,1)="E",LEFT(Sample!A83,1)="H"),OR(LEFT(Sample!C83,2)="JN",LEFT(Sample!C83,1)="N")),"TS3",IF(OR(LEFT(Sample!A83,1)="T",LEFT(Sample!A83,1)="B"),"TS24",IF(LEFT(Sample!A83,2)="CR","CARRIER9",IF(LEFT(Sample!A83,4)="DEL3","NIPTDEL3",Sample!A83))))))</f>
        <v>TS24</v>
      </c>
      <c r="O85" t="str">
        <f xml:space="preserve"> SUBSTITUTE( SUBSTITUTE( SUBSTITUTE( SUBSTITUTE( SUBSTITUTE( SUBSTITUTE( SUBSTITUTE( SUBSTITUTE( SampleImport!I85, "A", 1), "C", 2), "G", 3),"T", 4), 1, "T"), 2, "G"), 3, "C"), 4, "A")</f>
        <v>CTCACGAG</v>
      </c>
    </row>
    <row r="86" spans="1:15" x14ac:dyDescent="0.35">
      <c r="A86" t="str">
        <f>Sample!B84&amp;"-"&amp;Sample!C84</f>
        <v>17-SAAAFX76</v>
      </c>
      <c r="B86" t="str">
        <f>Sample!B84&amp;"-"&amp;Sample!C84</f>
        <v>17-SAAAFX76</v>
      </c>
      <c r="C86" t="str">
        <f>Sample!A84</f>
        <v>T2930A</v>
      </c>
      <c r="F86" t="str">
        <f>Sample!K84</f>
        <v>S7765</v>
      </c>
      <c r="G86" t="str">
        <f>VLOOKUP(F86,'Index Sequence'!$A$2:$B$9808,2,FALSE)</f>
        <v>ACGACGTC</v>
      </c>
      <c r="H86" t="str">
        <f>Sample!L84</f>
        <v>S7565</v>
      </c>
      <c r="I86" t="str">
        <f t="shared" si="0"/>
        <v>TTGTTGCA</v>
      </c>
      <c r="K86" t="str">
        <f>IF(AND(OR(LEFT(Sample!A84,1)="E",LEFT(Sample!A84,1)="H"),OR(LEFT(Sample!C84,2)="JI",LEFT(Sample!C84,1)="I")),"TS1",IF(AND(OR(LEFT(Sample!A84,1)="E",LEFT(Sample!A84,1)="H"),OR(LEFT(Sample!C84,2)="JX",LEFT(Sample!C84,1)="W",LEFT(Sample!C84,1)="X")),"TS95",IF(AND(OR(LEFT(Sample!A84,1)="E",LEFT(Sample!A84,1)="H"),OR(LEFT(Sample!C84,2)="JN",LEFT(Sample!C84,1)="N")),"TS3",IF(OR(LEFT(Sample!A84,1)="T",LEFT(Sample!A84,1)="B"),"TS24",IF(LEFT(Sample!A84,2)="CR","CARRIER9",IF(LEFT(Sample!A84,4)="DEL3","NIPTDEL3",Sample!A84))))))</f>
        <v>TS24</v>
      </c>
      <c r="O86" t="str">
        <f xml:space="preserve"> SUBSTITUTE( SUBSTITUTE( SUBSTITUTE( SUBSTITUTE( SUBSTITUTE( SUBSTITUTE( SUBSTITUTE( SUBSTITUTE( SampleImport!I86, "A", 1), "C", 2), "G", 3),"T", 4), 1, "T"), 2, "G"), 3, "C"), 4, "A")</f>
        <v>ACGTTGTT</v>
      </c>
    </row>
    <row r="87" spans="1:15" x14ac:dyDescent="0.35">
      <c r="A87" t="str">
        <f>Sample!B85&amp;"-"&amp;Sample!C85</f>
        <v>18-SAAAFX77</v>
      </c>
      <c r="B87" t="str">
        <f>Sample!B85&amp;"-"&amp;Sample!C85</f>
        <v>18-SAAAFX77</v>
      </c>
      <c r="C87" t="str">
        <f>Sample!A85</f>
        <v>T2930A</v>
      </c>
      <c r="F87" t="str">
        <f>Sample!K85</f>
        <v>S7766</v>
      </c>
      <c r="G87" t="str">
        <f>VLOOKUP(F87,'Index Sequence'!$A$2:$B$9808,2,FALSE)</f>
        <v>GTATGACG</v>
      </c>
      <c r="H87" t="str">
        <f>Sample!L85</f>
        <v>S7566</v>
      </c>
      <c r="I87" t="str">
        <f t="shared" si="0"/>
        <v>CCACACTT</v>
      </c>
      <c r="K87" t="str">
        <f>IF(AND(OR(LEFT(Sample!A85,1)="E",LEFT(Sample!A85,1)="H"),OR(LEFT(Sample!C85,2)="JI",LEFT(Sample!C85,1)="I")),"TS1",IF(AND(OR(LEFT(Sample!A85,1)="E",LEFT(Sample!A85,1)="H"),OR(LEFT(Sample!C85,2)="JX",LEFT(Sample!C85,1)="W",LEFT(Sample!C85,1)="X")),"TS95",IF(AND(OR(LEFT(Sample!A85,1)="E",LEFT(Sample!A85,1)="H"),OR(LEFT(Sample!C85,2)="JN",LEFT(Sample!C85,1)="N")),"TS3",IF(OR(LEFT(Sample!A85,1)="T",LEFT(Sample!A85,1)="B"),"TS24",IF(LEFT(Sample!A85,2)="CR","CARRIER9",IF(LEFT(Sample!A85,4)="DEL3","NIPTDEL3",Sample!A85))))))</f>
        <v>TS24</v>
      </c>
      <c r="O87" t="str">
        <f xml:space="preserve"> SUBSTITUTE( SUBSTITUTE( SUBSTITUTE( SUBSTITUTE( SUBSTITUTE( SUBSTITUTE( SUBSTITUTE( SUBSTITUTE( SampleImport!I87, "A", 1), "C", 2), "G", 3),"T", 4), 1, "T"), 2, "G"), 3, "C"), 4, "A")</f>
        <v>TTCACACC</v>
      </c>
    </row>
    <row r="88" spans="1:15" x14ac:dyDescent="0.35">
      <c r="A88" t="str">
        <f>Sample!B86&amp;"-"&amp;Sample!C86</f>
        <v>19-SAAAFX78</v>
      </c>
      <c r="B88" t="str">
        <f>Sample!B86&amp;"-"&amp;Sample!C86</f>
        <v>19-SAAAFX78</v>
      </c>
      <c r="C88" t="str">
        <f>Sample!A86</f>
        <v>T2930A</v>
      </c>
      <c r="F88" t="str">
        <f>Sample!K86</f>
        <v>S7767</v>
      </c>
      <c r="G88" t="str">
        <f>VLOOKUP(F88,'Index Sequence'!$A$2:$B$9808,2,FALSE)</f>
        <v>TACAGCAA</v>
      </c>
      <c r="H88" t="str">
        <f>Sample!L86</f>
        <v>S7567</v>
      </c>
      <c r="I88" t="str">
        <f t="shared" ref="I88:I151" si="1" xml:space="preserve"> MID(O88,30,1) &amp; MID(O88,29,1) &amp; MID(O88,28,1) &amp; MID(O88,27,1) &amp; MID(O88,26,1) &amp; MID(O88,25,1) &amp; MID(O88,24,1) &amp; MID(O88,23,1) &amp; MID(O88,22,1) &amp; MID(O88,21,1) &amp; MID(O88,20,1) &amp; MID(O88,19,1) &amp; MID(O88,18,1) &amp; MID(O88,17,1) &amp; MID(O88,16,1) &amp; MID(O88,15,1) &amp; MID(O88,14,1) &amp; MID(O88,13,1) &amp; MID(O88,12,1) &amp; MID(O88,11,1) &amp; MID(O88,10,1) &amp; MID(O88,9,1) &amp; MID(O88,8,1) &amp; MID(O88,7,1) &amp; MID(O88,6,1) &amp; MID(O88,5,1) &amp; MID(O88,4,1) &amp; MID(O88,3,1) &amp; MID(O88,2,1) &amp; MID(O88,1,1)</f>
        <v>CCCGTTTG</v>
      </c>
      <c r="K88" t="str">
        <f>IF(AND(OR(LEFT(Sample!A86,1)="E",LEFT(Sample!A86,1)="H"),OR(LEFT(Sample!C86,2)="JI",LEFT(Sample!C86,1)="I")),"TS1",IF(AND(OR(LEFT(Sample!A86,1)="E",LEFT(Sample!A86,1)="H"),OR(LEFT(Sample!C86,2)="JX",LEFT(Sample!C86,1)="W",LEFT(Sample!C86,1)="X")),"TS95",IF(AND(OR(LEFT(Sample!A86,1)="E",LEFT(Sample!A86,1)="H"),OR(LEFT(Sample!C86,2)="JN",LEFT(Sample!C86,1)="N")),"TS3",IF(OR(LEFT(Sample!A86,1)="T",LEFT(Sample!A86,1)="B"),"TS24",IF(LEFT(Sample!A86,2)="CR","CARRIER9",IF(LEFT(Sample!A86,4)="DEL3","NIPTDEL3",Sample!A86))))))</f>
        <v>TS24</v>
      </c>
      <c r="O88" t="str">
        <f xml:space="preserve"> SUBSTITUTE( SUBSTITUTE( SUBSTITUTE( SUBSTITUTE( SUBSTITUTE( SUBSTITUTE( SUBSTITUTE( SUBSTITUTE( SampleImport!I88, "A", 1), "C", 2), "G", 3),"T", 4), 1, "T"), 2, "G"), 3, "C"), 4, "A")</f>
        <v>GTTTGCCC</v>
      </c>
    </row>
    <row r="89" spans="1:15" x14ac:dyDescent="0.35">
      <c r="A89" t="str">
        <f>Sample!B87&amp;"-"&amp;Sample!C87</f>
        <v>20-SAAAFX79</v>
      </c>
      <c r="B89" t="str">
        <f>Sample!B87&amp;"-"&amp;Sample!C87</f>
        <v>20-SAAAFX79</v>
      </c>
      <c r="C89" t="str">
        <f>Sample!A87</f>
        <v>T2930A</v>
      </c>
      <c r="F89" t="str">
        <f>Sample!K87</f>
        <v>S7768</v>
      </c>
      <c r="G89" t="str">
        <f>VLOOKUP(F89,'Index Sequence'!$A$2:$B$9808,2,FALSE)</f>
        <v>CAGCAGGG</v>
      </c>
      <c r="H89" t="str">
        <f>Sample!L87</f>
        <v>S7568</v>
      </c>
      <c r="I89" t="str">
        <f t="shared" si="1"/>
        <v>ATGCTCCC</v>
      </c>
      <c r="K89" t="str">
        <f>IF(AND(OR(LEFT(Sample!A87,1)="E",LEFT(Sample!A87,1)="H"),OR(LEFT(Sample!C87,2)="JI",LEFT(Sample!C87,1)="I")),"TS1",IF(AND(OR(LEFT(Sample!A87,1)="E",LEFT(Sample!A87,1)="H"),OR(LEFT(Sample!C87,2)="JX",LEFT(Sample!C87,1)="W",LEFT(Sample!C87,1)="X")),"TS95",IF(AND(OR(LEFT(Sample!A87,1)="E",LEFT(Sample!A87,1)="H"),OR(LEFT(Sample!C87,2)="JN",LEFT(Sample!C87,1)="N")),"TS3",IF(OR(LEFT(Sample!A87,1)="T",LEFT(Sample!A87,1)="B"),"TS24",IF(LEFT(Sample!A87,2)="CR","CARRIER9",IF(LEFT(Sample!A87,4)="DEL3","NIPTDEL3",Sample!A87))))))</f>
        <v>TS24</v>
      </c>
      <c r="O89" t="str">
        <f xml:space="preserve"> SUBSTITUTE( SUBSTITUTE( SUBSTITUTE( SUBSTITUTE( SUBSTITUTE( SUBSTITUTE( SUBSTITUTE( SUBSTITUTE( SampleImport!I89, "A", 1), "C", 2), "G", 3),"T", 4), 1, "T"), 2, "G"), 3, "C"), 4, "A")</f>
        <v>CCCTCGTA</v>
      </c>
    </row>
    <row r="90" spans="1:15" x14ac:dyDescent="0.35">
      <c r="A90" t="str">
        <f>Sample!B88&amp;"-"&amp;Sample!C88</f>
        <v>21-SAAAFX80</v>
      </c>
      <c r="B90" t="str">
        <f>Sample!B88&amp;"-"&amp;Sample!C88</f>
        <v>21-SAAAFX80</v>
      </c>
      <c r="C90" t="str">
        <f>Sample!A88</f>
        <v>T2930A</v>
      </c>
      <c r="F90" t="str">
        <f>Sample!K88</f>
        <v>S7769</v>
      </c>
      <c r="G90" t="str">
        <f>VLOOKUP(F90,'Index Sequence'!$A$2:$B$9808,2,FALSE)</f>
        <v>GATAAATG</v>
      </c>
      <c r="H90" t="str">
        <f>Sample!L88</f>
        <v>S7569</v>
      </c>
      <c r="I90" t="str">
        <f t="shared" si="1"/>
        <v>GCTCAATA</v>
      </c>
      <c r="K90" t="str">
        <f>IF(AND(OR(LEFT(Sample!A88,1)="E",LEFT(Sample!A88,1)="H"),OR(LEFT(Sample!C88,2)="JI",LEFT(Sample!C88,1)="I")),"TS1",IF(AND(OR(LEFT(Sample!A88,1)="E",LEFT(Sample!A88,1)="H"),OR(LEFT(Sample!C88,2)="JX",LEFT(Sample!C88,1)="W",LEFT(Sample!C88,1)="X")),"TS95",IF(AND(OR(LEFT(Sample!A88,1)="E",LEFT(Sample!A88,1)="H"),OR(LEFT(Sample!C88,2)="JN",LEFT(Sample!C88,1)="N")),"TS3",IF(OR(LEFT(Sample!A88,1)="T",LEFT(Sample!A88,1)="B"),"TS24",IF(LEFT(Sample!A88,2)="CR","CARRIER9",IF(LEFT(Sample!A88,4)="DEL3","NIPTDEL3",Sample!A88))))))</f>
        <v>TS24</v>
      </c>
      <c r="O90" t="str">
        <f xml:space="preserve"> SUBSTITUTE( SUBSTITUTE( SUBSTITUTE( SUBSTITUTE( SUBSTITUTE( SUBSTITUTE( SUBSTITUTE( SUBSTITUTE( SampleImport!I90, "A", 1), "C", 2), "G", 3),"T", 4), 1, "T"), 2, "G"), 3, "C"), 4, "A")</f>
        <v>ATAACTCG</v>
      </c>
    </row>
    <row r="91" spans="1:15" x14ac:dyDescent="0.35">
      <c r="A91" t="str">
        <f>Sample!B89&amp;"-"&amp;Sample!C89</f>
        <v>22-SAAAFX81</v>
      </c>
      <c r="B91" t="str">
        <f>Sample!B89&amp;"-"&amp;Sample!C89</f>
        <v>22-SAAAFX81</v>
      </c>
      <c r="C91" t="str">
        <f>Sample!A89</f>
        <v>T2930A</v>
      </c>
      <c r="F91" t="str">
        <f>Sample!K89</f>
        <v>S7770</v>
      </c>
      <c r="G91" t="str">
        <f>VLOOKUP(F91,'Index Sequence'!$A$2:$B$9808,2,FALSE)</f>
        <v>GCATCAAG</v>
      </c>
      <c r="H91" t="str">
        <f>Sample!L89</f>
        <v>S7570</v>
      </c>
      <c r="I91" t="str">
        <f t="shared" si="1"/>
        <v>GTAGTTCG</v>
      </c>
      <c r="K91" t="str">
        <f>IF(AND(OR(LEFT(Sample!A89,1)="E",LEFT(Sample!A89,1)="H"),OR(LEFT(Sample!C89,2)="JI",LEFT(Sample!C89,1)="I")),"TS1",IF(AND(OR(LEFT(Sample!A89,1)="E",LEFT(Sample!A89,1)="H"),OR(LEFT(Sample!C89,2)="JX",LEFT(Sample!C89,1)="W",LEFT(Sample!C89,1)="X")),"TS95",IF(AND(OR(LEFT(Sample!A89,1)="E",LEFT(Sample!A89,1)="H"),OR(LEFT(Sample!C89,2)="JN",LEFT(Sample!C89,1)="N")),"TS3",IF(OR(LEFT(Sample!A89,1)="T",LEFT(Sample!A89,1)="B"),"TS24",IF(LEFT(Sample!A89,2)="CR","CARRIER9",IF(LEFT(Sample!A89,4)="DEL3","NIPTDEL3",Sample!A89))))))</f>
        <v>TS24</v>
      </c>
      <c r="O91" t="str">
        <f xml:space="preserve"> SUBSTITUTE( SUBSTITUTE( SUBSTITUTE( SUBSTITUTE( SUBSTITUTE( SUBSTITUTE( SUBSTITUTE( SUBSTITUTE( SampleImport!I91, "A", 1), "C", 2), "G", 3),"T", 4), 1, "T"), 2, "G"), 3, "C"), 4, "A")</f>
        <v>GCTTGATG</v>
      </c>
    </row>
    <row r="92" spans="1:15" x14ac:dyDescent="0.35">
      <c r="A92" t="str">
        <f>Sample!B90&amp;"-"&amp;Sample!C90</f>
        <v>23-SAAAFX82</v>
      </c>
      <c r="B92" t="str">
        <f>Sample!B90&amp;"-"&amp;Sample!C90</f>
        <v>23-SAAAFX82</v>
      </c>
      <c r="C92" t="str">
        <f>Sample!A90</f>
        <v>T2930A</v>
      </c>
      <c r="F92" t="str">
        <f>Sample!K90</f>
        <v>S7771</v>
      </c>
      <c r="G92" t="str">
        <f>VLOOKUP(F92,'Index Sequence'!$A$2:$B$9808,2,FALSE)</f>
        <v>CGATACAT</v>
      </c>
      <c r="H92" t="str">
        <f>Sample!L90</f>
        <v>S7571</v>
      </c>
      <c r="I92" t="str">
        <f t="shared" si="1"/>
        <v>CGAGAACC</v>
      </c>
      <c r="K92" t="str">
        <f>IF(AND(OR(LEFT(Sample!A90,1)="E",LEFT(Sample!A90,1)="H"),OR(LEFT(Sample!C90,2)="JI",LEFT(Sample!C90,1)="I")),"TS1",IF(AND(OR(LEFT(Sample!A90,1)="E",LEFT(Sample!A90,1)="H"),OR(LEFT(Sample!C90,2)="JX",LEFT(Sample!C90,1)="W",LEFT(Sample!C90,1)="X")),"TS95",IF(AND(OR(LEFT(Sample!A90,1)="E",LEFT(Sample!A90,1)="H"),OR(LEFT(Sample!C90,2)="JN",LEFT(Sample!C90,1)="N")),"TS3",IF(OR(LEFT(Sample!A90,1)="T",LEFT(Sample!A90,1)="B"),"TS24",IF(LEFT(Sample!A90,2)="CR","CARRIER9",IF(LEFT(Sample!A90,4)="DEL3","NIPTDEL3",Sample!A90))))))</f>
        <v>TS24</v>
      </c>
      <c r="O92" t="str">
        <f xml:space="preserve"> SUBSTITUTE( SUBSTITUTE( SUBSTITUTE( SUBSTITUTE( SUBSTITUTE( SUBSTITUTE( SUBSTITUTE( SUBSTITUTE( SampleImport!I92, "A", 1), "C", 2), "G", 3),"T", 4), 1, "T"), 2, "G"), 3, "C"), 4, "A")</f>
        <v>CCAAGAGC</v>
      </c>
    </row>
    <row r="93" spans="1:15" x14ac:dyDescent="0.35">
      <c r="A93" t="str">
        <f>Sample!B91&amp;"-"&amp;Sample!C91</f>
        <v>24-SAAAFX83</v>
      </c>
      <c r="B93" t="str">
        <f>Sample!B91&amp;"-"&amp;Sample!C91</f>
        <v>24-SAAAFX83</v>
      </c>
      <c r="C93" t="str">
        <f>Sample!A91</f>
        <v>T2930A</v>
      </c>
      <c r="F93" t="str">
        <f>Sample!K91</f>
        <v>S7772</v>
      </c>
      <c r="G93" t="str">
        <f>VLOOKUP(F93,'Index Sequence'!$A$2:$B$9808,2,FALSE)</f>
        <v>AACCCTAT</v>
      </c>
      <c r="H93" t="str">
        <f>Sample!L91</f>
        <v>S7572</v>
      </c>
      <c r="I93" t="str">
        <f t="shared" si="1"/>
        <v>GCCATGTA</v>
      </c>
      <c r="K93" t="str">
        <f>IF(AND(OR(LEFT(Sample!A91,1)="E",LEFT(Sample!A91,1)="H"),OR(LEFT(Sample!C91,2)="JI",LEFT(Sample!C91,1)="I")),"TS1",IF(AND(OR(LEFT(Sample!A91,1)="E",LEFT(Sample!A91,1)="H"),OR(LEFT(Sample!C91,2)="JX",LEFT(Sample!C91,1)="W",LEFT(Sample!C91,1)="X")),"TS95",IF(AND(OR(LEFT(Sample!A91,1)="E",LEFT(Sample!A91,1)="H"),OR(LEFT(Sample!C91,2)="JN",LEFT(Sample!C91,1)="N")),"TS3",IF(OR(LEFT(Sample!A91,1)="T",LEFT(Sample!A91,1)="B"),"TS24",IF(LEFT(Sample!A91,2)="CR","CARRIER9",IF(LEFT(Sample!A91,4)="DEL3","NIPTDEL3",Sample!A91))))))</f>
        <v>TS24</v>
      </c>
      <c r="O93" t="str">
        <f xml:space="preserve"> SUBSTITUTE( SUBSTITUTE( SUBSTITUTE( SUBSTITUTE( SUBSTITUTE( SUBSTITUTE( SUBSTITUTE( SUBSTITUTE( SampleImport!I93, "A", 1), "C", 2), "G", 3),"T", 4), 1, "T"), 2, "G"), 3, "C"), 4, "A")</f>
        <v>ATGTACCG</v>
      </c>
    </row>
    <row r="94" spans="1:15" x14ac:dyDescent="0.35">
      <c r="A94" t="str">
        <f>Sample!B92&amp;"-"&amp;Sample!C92</f>
        <v>1-SAAAFX84</v>
      </c>
      <c r="B94" t="str">
        <f>Sample!B92&amp;"-"&amp;Sample!C92</f>
        <v>1-SAAAFX84</v>
      </c>
      <c r="C94" t="str">
        <f>Sample!A92</f>
        <v>T2931A</v>
      </c>
      <c r="F94" t="str">
        <f>Sample!K92</f>
        <v>S7773</v>
      </c>
      <c r="G94" t="str">
        <f>VLOOKUP(F94,'Index Sequence'!$A$2:$B$9808,2,FALSE)</f>
        <v>ACGTCGAG</v>
      </c>
      <c r="H94" t="str">
        <f>Sample!L92</f>
        <v>S7573</v>
      </c>
      <c r="I94" t="str">
        <f t="shared" si="1"/>
        <v>TTTCTCTA</v>
      </c>
      <c r="K94" t="str">
        <f>IF(AND(OR(LEFT(Sample!A92,1)="E",LEFT(Sample!A92,1)="H"),OR(LEFT(Sample!C92,2)="JI",LEFT(Sample!C92,1)="I")),"TS1",IF(AND(OR(LEFT(Sample!A92,1)="E",LEFT(Sample!A92,1)="H"),OR(LEFT(Sample!C92,2)="JX",LEFT(Sample!C92,1)="W",LEFT(Sample!C92,1)="X")),"TS95",IF(AND(OR(LEFT(Sample!A92,1)="E",LEFT(Sample!A92,1)="H"),OR(LEFT(Sample!C92,2)="JN",LEFT(Sample!C92,1)="N")),"TS3",IF(OR(LEFT(Sample!A92,1)="T",LEFT(Sample!A92,1)="B"),"TS24",IF(LEFT(Sample!A92,2)="CR","CARRIER9",IF(LEFT(Sample!A92,4)="DEL3","NIPTDEL3",Sample!A92))))))</f>
        <v>TS24</v>
      </c>
      <c r="O94" t="str">
        <f xml:space="preserve"> SUBSTITUTE( SUBSTITUTE( SUBSTITUTE( SUBSTITUTE( SUBSTITUTE( SUBSTITUTE( SUBSTITUTE( SUBSTITUTE( SampleImport!I94, "A", 1), "C", 2), "G", 3),"T", 4), 1, "T"), 2, "G"), 3, "C"), 4, "A")</f>
        <v>ATCTCTTT</v>
      </c>
    </row>
    <row r="95" spans="1:15" x14ac:dyDescent="0.35">
      <c r="A95" t="str">
        <f>Sample!B93&amp;"-"&amp;Sample!C93</f>
        <v>2-SAAAFX85</v>
      </c>
      <c r="B95" t="str">
        <f>Sample!B93&amp;"-"&amp;Sample!C93</f>
        <v>2-SAAAFX85</v>
      </c>
      <c r="C95" t="str">
        <f>Sample!A93</f>
        <v>T2931A</v>
      </c>
      <c r="F95" t="str">
        <f>Sample!K93</f>
        <v>S7774</v>
      </c>
      <c r="G95" t="str">
        <f>VLOOKUP(F95,'Index Sequence'!$A$2:$B$9808,2,FALSE)</f>
        <v>TGACTAGA</v>
      </c>
      <c r="H95" t="str">
        <f>Sample!L93</f>
        <v>S7574</v>
      </c>
      <c r="I95" t="str">
        <f t="shared" si="1"/>
        <v>CCAGCGAT</v>
      </c>
      <c r="K95" t="str">
        <f>IF(AND(OR(LEFT(Sample!A93,1)="E",LEFT(Sample!A93,1)="H"),OR(LEFT(Sample!C93,2)="JI",LEFT(Sample!C93,1)="I")),"TS1",IF(AND(OR(LEFT(Sample!A93,1)="E",LEFT(Sample!A93,1)="H"),OR(LEFT(Sample!C93,2)="JX",LEFT(Sample!C93,1)="W",LEFT(Sample!C93,1)="X")),"TS95",IF(AND(OR(LEFT(Sample!A93,1)="E",LEFT(Sample!A93,1)="H"),OR(LEFT(Sample!C93,2)="JN",LEFT(Sample!C93,1)="N")),"TS3",IF(OR(LEFT(Sample!A93,1)="T",LEFT(Sample!A93,1)="B"),"TS24",IF(LEFT(Sample!A93,2)="CR","CARRIER9",IF(LEFT(Sample!A93,4)="DEL3","NIPTDEL3",Sample!A93))))))</f>
        <v>TS24</v>
      </c>
      <c r="O95" t="str">
        <f xml:space="preserve"> SUBSTITUTE( SUBSTITUTE( SUBSTITUTE( SUBSTITUTE( SUBSTITUTE( SUBSTITUTE( SUBSTITUTE( SUBSTITUTE( SampleImport!I95, "A", 1), "C", 2), "G", 3),"T", 4), 1, "T"), 2, "G"), 3, "C"), 4, "A")</f>
        <v>TAGCGACC</v>
      </c>
    </row>
    <row r="96" spans="1:15" x14ac:dyDescent="0.35">
      <c r="A96" t="str">
        <f>Sample!B94&amp;"-"&amp;Sample!C94</f>
        <v>3-AAABLE09</v>
      </c>
      <c r="B96" t="str">
        <f>Sample!B94&amp;"-"&amp;Sample!C94</f>
        <v>3-AAABLE09</v>
      </c>
      <c r="C96" t="str">
        <f>Sample!A94</f>
        <v>T2931A</v>
      </c>
      <c r="F96" t="str">
        <f>Sample!K94</f>
        <v>S7775</v>
      </c>
      <c r="G96" t="str">
        <f>VLOOKUP(F96,'Index Sequence'!$A$2:$B$9808,2,FALSE)</f>
        <v>TAGACGGG</v>
      </c>
      <c r="H96" t="str">
        <f>Sample!L94</f>
        <v>S7575</v>
      </c>
      <c r="I96" t="str">
        <f t="shared" si="1"/>
        <v>TGGGAGTG</v>
      </c>
      <c r="K96" t="str">
        <f>IF(AND(OR(LEFT(Sample!A94,1)="E",LEFT(Sample!A94,1)="H"),OR(LEFT(Sample!C94,2)="JI",LEFT(Sample!C94,1)="I")),"TS1",IF(AND(OR(LEFT(Sample!A94,1)="E",LEFT(Sample!A94,1)="H"),OR(LEFT(Sample!C94,2)="JX",LEFT(Sample!C94,1)="W",LEFT(Sample!C94,1)="X")),"TS95",IF(AND(OR(LEFT(Sample!A94,1)="E",LEFT(Sample!A94,1)="H"),OR(LEFT(Sample!C94,2)="JN",LEFT(Sample!C94,1)="N")),"TS3",IF(OR(LEFT(Sample!A94,1)="T",LEFT(Sample!A94,1)="B"),"TS24",IF(LEFT(Sample!A94,2)="CR","CARRIER9",IF(LEFT(Sample!A94,4)="DEL3","NIPTDEL3",Sample!A94))))))</f>
        <v>TS24</v>
      </c>
      <c r="O96" t="str">
        <f xml:space="preserve"> SUBSTITUTE( SUBSTITUTE( SUBSTITUTE( SUBSTITUTE( SUBSTITUTE( SUBSTITUTE( SUBSTITUTE( SUBSTITUTE( SampleImport!I96, "A", 1), "C", 2), "G", 3),"T", 4), 1, "T"), 2, "G"), 3, "C"), 4, "A")</f>
        <v>GTGAGGGT</v>
      </c>
    </row>
    <row r="97" spans="1:15" x14ac:dyDescent="0.35">
      <c r="A97" t="str">
        <f>Sample!B95&amp;"-"&amp;Sample!C95</f>
        <v>4-AAABLE10</v>
      </c>
      <c r="B97" t="str">
        <f>Sample!B95&amp;"-"&amp;Sample!C95</f>
        <v>4-AAABLE10</v>
      </c>
      <c r="C97" t="str">
        <f>Sample!A95</f>
        <v>T2931A</v>
      </c>
      <c r="F97" t="str">
        <f>Sample!K95</f>
        <v>S7776</v>
      </c>
      <c r="G97" t="str">
        <f>VLOOKUP(F97,'Index Sequence'!$A$2:$B$9808,2,FALSE)</f>
        <v>CTCTTCTA</v>
      </c>
      <c r="H97" t="str">
        <f>Sample!L95</f>
        <v>S7576</v>
      </c>
      <c r="I97" t="str">
        <f t="shared" si="1"/>
        <v>CCCTCGTA</v>
      </c>
      <c r="K97" t="str">
        <f>IF(AND(OR(LEFT(Sample!A95,1)="E",LEFT(Sample!A95,1)="H"),OR(LEFT(Sample!C95,2)="JI",LEFT(Sample!C95,1)="I")),"TS1",IF(AND(OR(LEFT(Sample!A95,1)="E",LEFT(Sample!A95,1)="H"),OR(LEFT(Sample!C95,2)="JX",LEFT(Sample!C95,1)="W",LEFT(Sample!C95,1)="X")),"TS95",IF(AND(OR(LEFT(Sample!A95,1)="E",LEFT(Sample!A95,1)="H"),OR(LEFT(Sample!C95,2)="JN",LEFT(Sample!C95,1)="N")),"TS3",IF(OR(LEFT(Sample!A95,1)="T",LEFT(Sample!A95,1)="B"),"TS24",IF(LEFT(Sample!A95,2)="CR","CARRIER9",IF(LEFT(Sample!A95,4)="DEL3","NIPTDEL3",Sample!A95))))))</f>
        <v>TS24</v>
      </c>
      <c r="O97" t="str">
        <f xml:space="preserve"> SUBSTITUTE( SUBSTITUTE( SUBSTITUTE( SUBSTITUTE( SUBSTITUTE( SUBSTITUTE( SUBSTITUTE( SUBSTITUTE( SampleImport!I97, "A", 1), "C", 2), "G", 3),"T", 4), 1, "T"), 2, "G"), 3, "C"), 4, "A")</f>
        <v>ATGCTCCC</v>
      </c>
    </row>
    <row r="98" spans="1:15" x14ac:dyDescent="0.35">
      <c r="A98" t="str">
        <f>Sample!B96&amp;"-"&amp;Sample!C96</f>
        <v>5-AAABLE11</v>
      </c>
      <c r="B98" t="str">
        <f>Sample!B96&amp;"-"&amp;Sample!C96</f>
        <v>5-AAABLE11</v>
      </c>
      <c r="C98" t="str">
        <f>Sample!A96</f>
        <v>T2931A</v>
      </c>
      <c r="F98" t="str">
        <f>Sample!K96</f>
        <v>S7777</v>
      </c>
      <c r="G98" t="str">
        <f>VLOOKUP(F98,'Index Sequence'!$A$2:$B$9808,2,FALSE)</f>
        <v>TACGTCCC</v>
      </c>
      <c r="H98" t="str">
        <f>Sample!L96</f>
        <v>S7577</v>
      </c>
      <c r="I98" t="str">
        <f t="shared" si="1"/>
        <v>CGATATGG</v>
      </c>
      <c r="K98" t="str">
        <f>IF(AND(OR(LEFT(Sample!A96,1)="E",LEFT(Sample!A96,1)="H"),OR(LEFT(Sample!C96,2)="JI",LEFT(Sample!C96,1)="I")),"TS1",IF(AND(OR(LEFT(Sample!A96,1)="E",LEFT(Sample!A96,1)="H"),OR(LEFT(Sample!C96,2)="JX",LEFT(Sample!C96,1)="W",LEFT(Sample!C96,1)="X")),"TS95",IF(AND(OR(LEFT(Sample!A96,1)="E",LEFT(Sample!A96,1)="H"),OR(LEFT(Sample!C96,2)="JN",LEFT(Sample!C96,1)="N")),"TS3",IF(OR(LEFT(Sample!A96,1)="T",LEFT(Sample!A96,1)="B"),"TS24",IF(LEFT(Sample!A96,2)="CR","CARRIER9",IF(LEFT(Sample!A96,4)="DEL3","NIPTDEL3",Sample!A96))))))</f>
        <v>TS24</v>
      </c>
      <c r="O98" t="str">
        <f xml:space="preserve"> SUBSTITUTE( SUBSTITUTE( SUBSTITUTE( SUBSTITUTE( SUBSTITUTE( SUBSTITUTE( SUBSTITUTE( SUBSTITUTE( SampleImport!I98, "A", 1), "C", 2), "G", 3),"T", 4), 1, "T"), 2, "G"), 3, "C"), 4, "A")</f>
        <v>GGTATAGC</v>
      </c>
    </row>
    <row r="99" spans="1:15" x14ac:dyDescent="0.35">
      <c r="A99" t="str">
        <f>Sample!B97&amp;"-"&amp;Sample!C97</f>
        <v>6-AAABLE12</v>
      </c>
      <c r="B99" t="str">
        <f>Sample!B97&amp;"-"&amp;Sample!C97</f>
        <v>6-AAABLE12</v>
      </c>
      <c r="C99" t="str">
        <f>Sample!A97</f>
        <v>T2931A</v>
      </c>
      <c r="F99" t="str">
        <f>Sample!K97</f>
        <v>S7778</v>
      </c>
      <c r="G99" t="str">
        <f>VLOOKUP(F99,'Index Sequence'!$A$2:$B$9808,2,FALSE)</f>
        <v>GATGGAAA</v>
      </c>
      <c r="H99" t="str">
        <f>Sample!L97</f>
        <v>S7578</v>
      </c>
      <c r="I99" t="str">
        <f t="shared" si="1"/>
        <v>TTGTGCCC</v>
      </c>
      <c r="K99" t="str">
        <f>IF(AND(OR(LEFT(Sample!A97,1)="E",LEFT(Sample!A97,1)="H"),OR(LEFT(Sample!C97,2)="JI",LEFT(Sample!C97,1)="I")),"TS1",IF(AND(OR(LEFT(Sample!A97,1)="E",LEFT(Sample!A97,1)="H"),OR(LEFT(Sample!C97,2)="JX",LEFT(Sample!C97,1)="W",LEFT(Sample!C97,1)="X")),"TS95",IF(AND(OR(LEFT(Sample!A97,1)="E",LEFT(Sample!A97,1)="H"),OR(LEFT(Sample!C97,2)="JN",LEFT(Sample!C97,1)="N")),"TS3",IF(OR(LEFT(Sample!A97,1)="T",LEFT(Sample!A97,1)="B"),"TS24",IF(LEFT(Sample!A97,2)="CR","CARRIER9",IF(LEFT(Sample!A97,4)="DEL3","NIPTDEL3",Sample!A97))))))</f>
        <v>TS24</v>
      </c>
      <c r="O99" t="str">
        <f xml:space="preserve"> SUBSTITUTE( SUBSTITUTE( SUBSTITUTE( SUBSTITUTE( SUBSTITUTE( SUBSTITUTE( SUBSTITUTE( SUBSTITUTE( SampleImport!I99, "A", 1), "C", 2), "G", 3),"T", 4), 1, "T"), 2, "G"), 3, "C"), 4, "A")</f>
        <v>CCCGTGTT</v>
      </c>
    </row>
    <row r="100" spans="1:15" x14ac:dyDescent="0.35">
      <c r="A100" t="str">
        <f>Sample!B98&amp;"-"&amp;Sample!C98</f>
        <v>7-AAABLE13</v>
      </c>
      <c r="B100" t="str">
        <f>Sample!B98&amp;"-"&amp;Sample!C98</f>
        <v>7-AAABLE13</v>
      </c>
      <c r="C100" t="str">
        <f>Sample!A98</f>
        <v>T2931A</v>
      </c>
      <c r="F100" t="str">
        <f>Sample!K98</f>
        <v>S7779</v>
      </c>
      <c r="G100" t="str">
        <f>VLOOKUP(F100,'Index Sequence'!$A$2:$B$9808,2,FALSE)</f>
        <v>GTTCGTCG</v>
      </c>
      <c r="H100" t="str">
        <f>Sample!L98</f>
        <v>S7579</v>
      </c>
      <c r="I100" t="str">
        <f t="shared" si="1"/>
        <v>TGTCCTCT</v>
      </c>
      <c r="K100" t="str">
        <f>IF(AND(OR(LEFT(Sample!A98,1)="E",LEFT(Sample!A98,1)="H"),OR(LEFT(Sample!C98,2)="JI",LEFT(Sample!C98,1)="I")),"TS1",IF(AND(OR(LEFT(Sample!A98,1)="E",LEFT(Sample!A98,1)="H"),OR(LEFT(Sample!C98,2)="JX",LEFT(Sample!C98,1)="W",LEFT(Sample!C98,1)="X")),"TS95",IF(AND(OR(LEFT(Sample!A98,1)="E",LEFT(Sample!A98,1)="H"),OR(LEFT(Sample!C98,2)="JN",LEFT(Sample!C98,1)="N")),"TS3",IF(OR(LEFT(Sample!A98,1)="T",LEFT(Sample!A98,1)="B"),"TS24",IF(LEFT(Sample!A98,2)="CR","CARRIER9",IF(LEFT(Sample!A98,4)="DEL3","NIPTDEL3",Sample!A98))))))</f>
        <v>TS24</v>
      </c>
      <c r="O100" t="str">
        <f xml:space="preserve"> SUBSTITUTE( SUBSTITUTE( SUBSTITUTE( SUBSTITUTE( SUBSTITUTE( SUBSTITUTE( SUBSTITUTE( SUBSTITUTE( SampleImport!I100, "A", 1), "C", 2), "G", 3),"T", 4), 1, "T"), 2, "G"), 3, "C"), 4, "A")</f>
        <v>TCTCCTGT</v>
      </c>
    </row>
    <row r="101" spans="1:15" x14ac:dyDescent="0.35">
      <c r="A101" t="str">
        <f>Sample!B99&amp;"-"&amp;Sample!C99</f>
        <v>8-AAABLE14</v>
      </c>
      <c r="B101" t="str">
        <f>Sample!B99&amp;"-"&amp;Sample!C99</f>
        <v>8-AAABLE14</v>
      </c>
      <c r="C101" t="str">
        <f>Sample!A99</f>
        <v>T2931A</v>
      </c>
      <c r="F101" t="str">
        <f>Sample!K99</f>
        <v>S7780</v>
      </c>
      <c r="G101" t="str">
        <f>VLOOKUP(F101,'Index Sequence'!$A$2:$B$9808,2,FALSE)</f>
        <v>GAGACCAA</v>
      </c>
      <c r="H101" t="str">
        <f>Sample!L99</f>
        <v>S7580</v>
      </c>
      <c r="I101" t="str">
        <f t="shared" si="1"/>
        <v>GTATAGTC</v>
      </c>
      <c r="K101" t="str">
        <f>IF(AND(OR(LEFT(Sample!A99,1)="E",LEFT(Sample!A99,1)="H"),OR(LEFT(Sample!C99,2)="JI",LEFT(Sample!C99,1)="I")),"TS1",IF(AND(OR(LEFT(Sample!A99,1)="E",LEFT(Sample!A99,1)="H"),OR(LEFT(Sample!C99,2)="JX",LEFT(Sample!C99,1)="W",LEFT(Sample!C99,1)="X")),"TS95",IF(AND(OR(LEFT(Sample!A99,1)="E",LEFT(Sample!A99,1)="H"),OR(LEFT(Sample!C99,2)="JN",LEFT(Sample!C99,1)="N")),"TS3",IF(OR(LEFT(Sample!A99,1)="T",LEFT(Sample!A99,1)="B"),"TS24",IF(LEFT(Sample!A99,2)="CR","CARRIER9",IF(LEFT(Sample!A99,4)="DEL3","NIPTDEL3",Sample!A99))))))</f>
        <v>TS24</v>
      </c>
      <c r="O101" t="str">
        <f xml:space="preserve"> SUBSTITUTE( SUBSTITUTE( SUBSTITUTE( SUBSTITUTE( SUBSTITUTE( SUBSTITUTE( SUBSTITUTE( SUBSTITUTE( SampleImport!I101, "A", 1), "C", 2), "G", 3),"T", 4), 1, "T"), 2, "G"), 3, "C"), 4, "A")</f>
        <v>CTGATATG</v>
      </c>
    </row>
    <row r="102" spans="1:15" x14ac:dyDescent="0.35">
      <c r="A102" t="str">
        <f>Sample!B100&amp;"-"&amp;Sample!C100</f>
        <v>9-AAABLE15</v>
      </c>
      <c r="B102" t="str">
        <f>Sample!B100&amp;"-"&amp;Sample!C100</f>
        <v>9-AAABLE15</v>
      </c>
      <c r="C102" t="str">
        <f>Sample!A100</f>
        <v>T2931A</v>
      </c>
      <c r="F102" t="str">
        <f>Sample!K100</f>
        <v>S7781</v>
      </c>
      <c r="G102" t="str">
        <f>VLOOKUP(F102,'Index Sequence'!$A$2:$B$9808,2,FALSE)</f>
        <v>ACGTGAAC</v>
      </c>
      <c r="H102" t="str">
        <f>Sample!L100</f>
        <v>S7581</v>
      </c>
      <c r="I102" t="str">
        <f t="shared" si="1"/>
        <v>TTTGGGAT</v>
      </c>
      <c r="K102" t="str">
        <f>IF(AND(OR(LEFT(Sample!A100,1)="E",LEFT(Sample!A100,1)="H"),OR(LEFT(Sample!C100,2)="JI",LEFT(Sample!C100,1)="I")),"TS1",IF(AND(OR(LEFT(Sample!A100,1)="E",LEFT(Sample!A100,1)="H"),OR(LEFT(Sample!C100,2)="JX",LEFT(Sample!C100,1)="W",LEFT(Sample!C100,1)="X")),"TS95",IF(AND(OR(LEFT(Sample!A100,1)="E",LEFT(Sample!A100,1)="H"),OR(LEFT(Sample!C100,2)="JN",LEFT(Sample!C100,1)="N")),"TS3",IF(OR(LEFT(Sample!A100,1)="T",LEFT(Sample!A100,1)="B"),"TS24",IF(LEFT(Sample!A100,2)="CR","CARRIER9",IF(LEFT(Sample!A100,4)="DEL3","NIPTDEL3",Sample!A100))))))</f>
        <v>TS24</v>
      </c>
      <c r="O102" t="str">
        <f xml:space="preserve"> SUBSTITUTE( SUBSTITUTE( SUBSTITUTE( SUBSTITUTE( SUBSTITUTE( SUBSTITUTE( SUBSTITUTE( SUBSTITUTE( SampleImport!I102, "A", 1), "C", 2), "G", 3),"T", 4), 1, "T"), 2, "G"), 3, "C"), 4, "A")</f>
        <v>TAGGGTTT</v>
      </c>
    </row>
    <row r="103" spans="1:15" x14ac:dyDescent="0.35">
      <c r="A103" t="str">
        <f>Sample!B101&amp;"-"&amp;Sample!C101</f>
        <v>10-AAABLE16</v>
      </c>
      <c r="B103" t="str">
        <f>Sample!B101&amp;"-"&amp;Sample!C101</f>
        <v>10-AAABLE16</v>
      </c>
      <c r="C103" t="str">
        <f>Sample!A101</f>
        <v>T2931A</v>
      </c>
      <c r="F103" t="str">
        <f>Sample!K101</f>
        <v>S7782</v>
      </c>
      <c r="G103" t="str">
        <f>VLOOKUP(F103,'Index Sequence'!$A$2:$B$9808,2,FALSE)</f>
        <v>TTCCCTTT</v>
      </c>
      <c r="H103" t="str">
        <f>Sample!L101</f>
        <v>S7582</v>
      </c>
      <c r="I103" t="str">
        <f t="shared" si="1"/>
        <v>CACCAAGC</v>
      </c>
      <c r="K103" t="str">
        <f>IF(AND(OR(LEFT(Sample!A101,1)="E",LEFT(Sample!A101,1)="H"),OR(LEFT(Sample!C101,2)="JI",LEFT(Sample!C101,1)="I")),"TS1",IF(AND(OR(LEFT(Sample!A101,1)="E",LEFT(Sample!A101,1)="H"),OR(LEFT(Sample!C101,2)="JX",LEFT(Sample!C101,1)="W",LEFT(Sample!C101,1)="X")),"TS95",IF(AND(OR(LEFT(Sample!A101,1)="E",LEFT(Sample!A101,1)="H"),OR(LEFT(Sample!C101,2)="JN",LEFT(Sample!C101,1)="N")),"TS3",IF(OR(LEFT(Sample!A101,1)="T",LEFT(Sample!A101,1)="B"),"TS24",IF(LEFT(Sample!A101,2)="CR","CARRIER9",IF(LEFT(Sample!A101,4)="DEL3","NIPTDEL3",Sample!A101))))))</f>
        <v>TS24</v>
      </c>
      <c r="O103" t="str">
        <f xml:space="preserve"> SUBSTITUTE( SUBSTITUTE( SUBSTITUTE( SUBSTITUTE( SUBSTITUTE( SUBSTITUTE( SUBSTITUTE( SUBSTITUTE( SampleImport!I103, "A", 1), "C", 2), "G", 3),"T", 4), 1, "T"), 2, "G"), 3, "C"), 4, "A")</f>
        <v>CGAACCAC</v>
      </c>
    </row>
    <row r="104" spans="1:15" x14ac:dyDescent="0.35">
      <c r="A104" t="str">
        <f>Sample!B102&amp;"-"&amp;Sample!C102</f>
        <v>11-AAABLE17</v>
      </c>
      <c r="B104" t="str">
        <f>Sample!B102&amp;"-"&amp;Sample!C102</f>
        <v>11-AAABLE17</v>
      </c>
      <c r="C104" t="str">
        <f>Sample!A102</f>
        <v>T2931A</v>
      </c>
      <c r="F104" t="str">
        <f>Sample!K102</f>
        <v>S7783</v>
      </c>
      <c r="G104" t="str">
        <f>VLOOKUP(F104,'Index Sequence'!$A$2:$B$9808,2,FALSE)</f>
        <v>GACGCTCG</v>
      </c>
      <c r="H104" t="str">
        <f>Sample!L102</f>
        <v>S7583</v>
      </c>
      <c r="I104" t="str">
        <f t="shared" si="1"/>
        <v>CGGAGAGG</v>
      </c>
      <c r="K104" t="str">
        <f>IF(AND(OR(LEFT(Sample!A102,1)="E",LEFT(Sample!A102,1)="H"),OR(LEFT(Sample!C102,2)="JI",LEFT(Sample!C102,1)="I")),"TS1",IF(AND(OR(LEFT(Sample!A102,1)="E",LEFT(Sample!A102,1)="H"),OR(LEFT(Sample!C102,2)="JX",LEFT(Sample!C102,1)="W",LEFT(Sample!C102,1)="X")),"TS95",IF(AND(OR(LEFT(Sample!A102,1)="E",LEFT(Sample!A102,1)="H"),OR(LEFT(Sample!C102,2)="JN",LEFT(Sample!C102,1)="N")),"TS3",IF(OR(LEFT(Sample!A102,1)="T",LEFT(Sample!A102,1)="B"),"TS24",IF(LEFT(Sample!A102,2)="CR","CARRIER9",IF(LEFT(Sample!A102,4)="DEL3","NIPTDEL3",Sample!A102))))))</f>
        <v>TS24</v>
      </c>
      <c r="O104" t="str">
        <f xml:space="preserve"> SUBSTITUTE( SUBSTITUTE( SUBSTITUTE( SUBSTITUTE( SUBSTITUTE( SUBSTITUTE( SUBSTITUTE( SUBSTITUTE( SampleImport!I104, "A", 1), "C", 2), "G", 3),"T", 4), 1, "T"), 2, "G"), 3, "C"), 4, "A")</f>
        <v>GGAGAGGC</v>
      </c>
    </row>
    <row r="105" spans="1:15" x14ac:dyDescent="0.35">
      <c r="A105" t="str">
        <f>Sample!B103&amp;"-"&amp;Sample!C103</f>
        <v>12-AAABLE18</v>
      </c>
      <c r="B105" t="str">
        <f>Sample!B103&amp;"-"&amp;Sample!C103</f>
        <v>12-AAABLE18</v>
      </c>
      <c r="C105" t="str">
        <f>Sample!A103</f>
        <v>T2931A</v>
      </c>
      <c r="F105" t="str">
        <f>Sample!K103</f>
        <v>S7784</v>
      </c>
      <c r="G105" t="str">
        <f>VLOOKUP(F105,'Index Sequence'!$A$2:$B$9808,2,FALSE)</f>
        <v>CTCACGTC</v>
      </c>
      <c r="H105" t="str">
        <f>Sample!L103</f>
        <v>S7584</v>
      </c>
      <c r="I105" t="str">
        <f t="shared" si="1"/>
        <v>TATTTACC</v>
      </c>
      <c r="K105" t="str">
        <f>IF(AND(OR(LEFT(Sample!A103,1)="E",LEFT(Sample!A103,1)="H"),OR(LEFT(Sample!C103,2)="JI",LEFT(Sample!C103,1)="I")),"TS1",IF(AND(OR(LEFT(Sample!A103,1)="E",LEFT(Sample!A103,1)="H"),OR(LEFT(Sample!C103,2)="JX",LEFT(Sample!C103,1)="W",LEFT(Sample!C103,1)="X")),"TS95",IF(AND(OR(LEFT(Sample!A103,1)="E",LEFT(Sample!A103,1)="H"),OR(LEFT(Sample!C103,2)="JN",LEFT(Sample!C103,1)="N")),"TS3",IF(OR(LEFT(Sample!A103,1)="T",LEFT(Sample!A103,1)="B"),"TS24",IF(LEFT(Sample!A103,2)="CR","CARRIER9",IF(LEFT(Sample!A103,4)="DEL3","NIPTDEL3",Sample!A103))))))</f>
        <v>TS24</v>
      </c>
      <c r="O105" t="str">
        <f xml:space="preserve"> SUBSTITUTE( SUBSTITUTE( SUBSTITUTE( SUBSTITUTE( SUBSTITUTE( SUBSTITUTE( SUBSTITUTE( SUBSTITUTE( SampleImport!I105, "A", 1), "C", 2), "G", 3),"T", 4), 1, "T"), 2, "G"), 3, "C"), 4, "A")</f>
        <v>CCATTTAT</v>
      </c>
    </row>
    <row r="106" spans="1:15" x14ac:dyDescent="0.35">
      <c r="A106" t="str">
        <f>Sample!B104&amp;"-"&amp;Sample!C104</f>
        <v>13-AAABLE19</v>
      </c>
      <c r="B106" t="str">
        <f>Sample!B104&amp;"-"&amp;Sample!C104</f>
        <v>13-AAABLE19</v>
      </c>
      <c r="C106" t="str">
        <f>Sample!A104</f>
        <v>T2931A</v>
      </c>
      <c r="F106" t="str">
        <f>Sample!K104</f>
        <v>S7785</v>
      </c>
      <c r="G106" t="str">
        <f>VLOOKUP(F106,'Index Sequence'!$A$2:$B$9808,2,FALSE)</f>
        <v>CTGCCAAG</v>
      </c>
      <c r="H106" t="str">
        <f>Sample!L104</f>
        <v>S7585</v>
      </c>
      <c r="I106" t="str">
        <f t="shared" si="1"/>
        <v>TATATGGA</v>
      </c>
      <c r="K106" t="str">
        <f>IF(AND(OR(LEFT(Sample!A104,1)="E",LEFT(Sample!A104,1)="H"),OR(LEFT(Sample!C104,2)="JI",LEFT(Sample!C104,1)="I")),"TS1",IF(AND(OR(LEFT(Sample!A104,1)="E",LEFT(Sample!A104,1)="H"),OR(LEFT(Sample!C104,2)="JX",LEFT(Sample!C104,1)="W",LEFT(Sample!C104,1)="X")),"TS95",IF(AND(OR(LEFT(Sample!A104,1)="E",LEFT(Sample!A104,1)="H"),OR(LEFT(Sample!C104,2)="JN",LEFT(Sample!C104,1)="N")),"TS3",IF(OR(LEFT(Sample!A104,1)="T",LEFT(Sample!A104,1)="B"),"TS24",IF(LEFT(Sample!A104,2)="CR","CARRIER9",IF(LEFT(Sample!A104,4)="DEL3","NIPTDEL3",Sample!A104))))))</f>
        <v>TS24</v>
      </c>
      <c r="O106" t="str">
        <f xml:space="preserve"> SUBSTITUTE( SUBSTITUTE( SUBSTITUTE( SUBSTITUTE( SUBSTITUTE( SUBSTITUTE( SUBSTITUTE( SUBSTITUTE( SampleImport!I106, "A", 1), "C", 2), "G", 3),"T", 4), 1, "T"), 2, "G"), 3, "C"), 4, "A")</f>
        <v>AGGTATAT</v>
      </c>
    </row>
    <row r="107" spans="1:15" x14ac:dyDescent="0.35">
      <c r="A107" t="str">
        <f>Sample!B105&amp;"-"&amp;Sample!C105</f>
        <v>14-AAABLE20</v>
      </c>
      <c r="B107" t="str">
        <f>Sample!B105&amp;"-"&amp;Sample!C105</f>
        <v>14-AAABLE20</v>
      </c>
      <c r="C107" t="str">
        <f>Sample!A105</f>
        <v>T2931A</v>
      </c>
      <c r="F107" t="str">
        <f>Sample!K105</f>
        <v>S7786</v>
      </c>
      <c r="G107" t="str">
        <f>VLOOKUP(F107,'Index Sequence'!$A$2:$B$9808,2,FALSE)</f>
        <v>ACGCCGCA</v>
      </c>
      <c r="H107" t="str">
        <f>Sample!L105</f>
        <v>S7586</v>
      </c>
      <c r="I107" t="str">
        <f t="shared" si="1"/>
        <v>GTTAACAT</v>
      </c>
      <c r="K107" t="str">
        <f>IF(AND(OR(LEFT(Sample!A105,1)="E",LEFT(Sample!A105,1)="H"),OR(LEFT(Sample!C105,2)="JI",LEFT(Sample!C105,1)="I")),"TS1",IF(AND(OR(LEFT(Sample!A105,1)="E",LEFT(Sample!A105,1)="H"),OR(LEFT(Sample!C105,2)="JX",LEFT(Sample!C105,1)="W",LEFT(Sample!C105,1)="X")),"TS95",IF(AND(OR(LEFT(Sample!A105,1)="E",LEFT(Sample!A105,1)="H"),OR(LEFT(Sample!C105,2)="JN",LEFT(Sample!C105,1)="N")),"TS3",IF(OR(LEFT(Sample!A105,1)="T",LEFT(Sample!A105,1)="B"),"TS24",IF(LEFT(Sample!A105,2)="CR","CARRIER9",IF(LEFT(Sample!A105,4)="DEL3","NIPTDEL3",Sample!A105))))))</f>
        <v>TS24</v>
      </c>
      <c r="O107" t="str">
        <f xml:space="preserve"> SUBSTITUTE( SUBSTITUTE( SUBSTITUTE( SUBSTITUTE( SUBSTITUTE( SUBSTITUTE( SUBSTITUTE( SUBSTITUTE( SampleImport!I107, "A", 1), "C", 2), "G", 3),"T", 4), 1, "T"), 2, "G"), 3, "C"), 4, "A")</f>
        <v>TACAATTG</v>
      </c>
    </row>
    <row r="108" spans="1:15" x14ac:dyDescent="0.35">
      <c r="A108" t="str">
        <f>Sample!B106&amp;"-"&amp;Sample!C106</f>
        <v>15-AAABLE21</v>
      </c>
      <c r="B108" t="str">
        <f>Sample!B106&amp;"-"&amp;Sample!C106</f>
        <v>15-AAABLE21</v>
      </c>
      <c r="C108" t="str">
        <f>Sample!A106</f>
        <v>T2931A</v>
      </c>
      <c r="F108" t="str">
        <f>Sample!K106</f>
        <v>S7787</v>
      </c>
      <c r="G108" t="str">
        <f>VLOOKUP(F108,'Index Sequence'!$A$2:$B$9808,2,FALSE)</f>
        <v>CGCCAGTC</v>
      </c>
      <c r="H108" t="str">
        <f>Sample!L106</f>
        <v>S7587</v>
      </c>
      <c r="I108" t="str">
        <f t="shared" si="1"/>
        <v>CGTCTTGG</v>
      </c>
      <c r="K108" t="str">
        <f>IF(AND(OR(LEFT(Sample!A106,1)="E",LEFT(Sample!A106,1)="H"),OR(LEFT(Sample!C106,2)="JI",LEFT(Sample!C106,1)="I")),"TS1",IF(AND(OR(LEFT(Sample!A106,1)="E",LEFT(Sample!A106,1)="H"),OR(LEFT(Sample!C106,2)="JX",LEFT(Sample!C106,1)="W",LEFT(Sample!C106,1)="X")),"TS95",IF(AND(OR(LEFT(Sample!A106,1)="E",LEFT(Sample!A106,1)="H"),OR(LEFT(Sample!C106,2)="JN",LEFT(Sample!C106,1)="N")),"TS3",IF(OR(LEFT(Sample!A106,1)="T",LEFT(Sample!A106,1)="B"),"TS24",IF(LEFT(Sample!A106,2)="CR","CARRIER9",IF(LEFT(Sample!A106,4)="DEL3","NIPTDEL3",Sample!A106))))))</f>
        <v>TS24</v>
      </c>
      <c r="O108" t="str">
        <f xml:space="preserve"> SUBSTITUTE( SUBSTITUTE( SUBSTITUTE( SUBSTITUTE( SUBSTITUTE( SUBSTITUTE( SUBSTITUTE( SUBSTITUTE( SampleImport!I108, "A", 1), "C", 2), "G", 3),"T", 4), 1, "T"), 2, "G"), 3, "C"), 4, "A")</f>
        <v>GGTTCTGC</v>
      </c>
    </row>
    <row r="109" spans="1:15" x14ac:dyDescent="0.35">
      <c r="A109" t="str">
        <f>Sample!B107&amp;"-"&amp;Sample!C107</f>
        <v>16-AAABLE22</v>
      </c>
      <c r="B109" t="str">
        <f>Sample!B107&amp;"-"&amp;Sample!C107</f>
        <v>16-AAABLE22</v>
      </c>
      <c r="C109" t="str">
        <f>Sample!A107</f>
        <v>T2931A</v>
      </c>
      <c r="F109" t="str">
        <f>Sample!K107</f>
        <v>S7788</v>
      </c>
      <c r="G109" t="str">
        <f>VLOOKUP(F109,'Index Sequence'!$A$2:$B$9808,2,FALSE)</f>
        <v>CTAAACAA</v>
      </c>
      <c r="H109" t="str">
        <f>Sample!L107</f>
        <v>S7588</v>
      </c>
      <c r="I109" t="str">
        <f t="shared" si="1"/>
        <v>CGTAGCGA</v>
      </c>
      <c r="K109" t="str">
        <f>IF(AND(OR(LEFT(Sample!A107,1)="E",LEFT(Sample!A107,1)="H"),OR(LEFT(Sample!C107,2)="JI",LEFT(Sample!C107,1)="I")),"TS1",IF(AND(OR(LEFT(Sample!A107,1)="E",LEFT(Sample!A107,1)="H"),OR(LEFT(Sample!C107,2)="JX",LEFT(Sample!C107,1)="W",LEFT(Sample!C107,1)="X")),"TS95",IF(AND(OR(LEFT(Sample!A107,1)="E",LEFT(Sample!A107,1)="H"),OR(LEFT(Sample!C107,2)="JN",LEFT(Sample!C107,1)="N")),"TS3",IF(OR(LEFT(Sample!A107,1)="T",LEFT(Sample!A107,1)="B"),"TS24",IF(LEFT(Sample!A107,2)="CR","CARRIER9",IF(LEFT(Sample!A107,4)="DEL3","NIPTDEL3",Sample!A107))))))</f>
        <v>TS24</v>
      </c>
      <c r="O109" t="str">
        <f xml:space="preserve"> SUBSTITUTE( SUBSTITUTE( SUBSTITUTE( SUBSTITUTE( SUBSTITUTE( SUBSTITUTE( SUBSTITUTE( SUBSTITUTE( SampleImport!I109, "A", 1), "C", 2), "G", 3),"T", 4), 1, "T"), 2, "G"), 3, "C"), 4, "A")</f>
        <v>AGCGATGC</v>
      </c>
    </row>
    <row r="110" spans="1:15" x14ac:dyDescent="0.35">
      <c r="A110" t="str">
        <f>Sample!B108&amp;"-"&amp;Sample!C108</f>
        <v>17-AAABLE23</v>
      </c>
      <c r="B110" t="str">
        <f>Sample!B108&amp;"-"&amp;Sample!C108</f>
        <v>17-AAABLE23</v>
      </c>
      <c r="C110" t="str">
        <f>Sample!A108</f>
        <v>T2931A</v>
      </c>
      <c r="F110" t="str">
        <f>Sample!K108</f>
        <v>S7789</v>
      </c>
      <c r="G110" t="str">
        <f>VLOOKUP(F110,'Index Sequence'!$A$2:$B$9808,2,FALSE)</f>
        <v>TATACCTC</v>
      </c>
      <c r="H110" t="str">
        <f>Sample!L108</f>
        <v>S7589</v>
      </c>
      <c r="I110" t="str">
        <f t="shared" si="1"/>
        <v>TAGTCACA</v>
      </c>
      <c r="K110" t="str">
        <f>IF(AND(OR(LEFT(Sample!A108,1)="E",LEFT(Sample!A108,1)="H"),OR(LEFT(Sample!C108,2)="JI",LEFT(Sample!C108,1)="I")),"TS1",IF(AND(OR(LEFT(Sample!A108,1)="E",LEFT(Sample!A108,1)="H"),OR(LEFT(Sample!C108,2)="JX",LEFT(Sample!C108,1)="W",LEFT(Sample!C108,1)="X")),"TS95",IF(AND(OR(LEFT(Sample!A108,1)="E",LEFT(Sample!A108,1)="H"),OR(LEFT(Sample!C108,2)="JN",LEFT(Sample!C108,1)="N")),"TS3",IF(OR(LEFT(Sample!A108,1)="T",LEFT(Sample!A108,1)="B"),"TS24",IF(LEFT(Sample!A108,2)="CR","CARRIER9",IF(LEFT(Sample!A108,4)="DEL3","NIPTDEL3",Sample!A108))))))</f>
        <v>TS24</v>
      </c>
      <c r="O110" t="str">
        <f xml:space="preserve"> SUBSTITUTE( SUBSTITUTE( SUBSTITUTE( SUBSTITUTE( SUBSTITUTE( SUBSTITUTE( SUBSTITUTE( SUBSTITUTE( SampleImport!I110, "A", 1), "C", 2), "G", 3),"T", 4), 1, "T"), 2, "G"), 3, "C"), 4, "A")</f>
        <v>ACACTGAT</v>
      </c>
    </row>
    <row r="111" spans="1:15" x14ac:dyDescent="0.35">
      <c r="A111" t="str">
        <f>Sample!B109&amp;"-"&amp;Sample!C109</f>
        <v>18-AAABLE24</v>
      </c>
      <c r="B111" t="str">
        <f>Sample!B109&amp;"-"&amp;Sample!C109</f>
        <v>18-AAABLE24</v>
      </c>
      <c r="C111" t="str">
        <f>Sample!A109</f>
        <v>T2931A</v>
      </c>
      <c r="F111" t="str">
        <f>Sample!K109</f>
        <v>S7790</v>
      </c>
      <c r="G111" t="str">
        <f>VLOOKUP(F111,'Index Sequence'!$A$2:$B$9808,2,FALSE)</f>
        <v>CTCTTGAT</v>
      </c>
      <c r="H111" t="str">
        <f>Sample!L109</f>
        <v>S7590</v>
      </c>
      <c r="I111" t="str">
        <f t="shared" si="1"/>
        <v>AGAAGTGG</v>
      </c>
      <c r="K111" t="str">
        <f>IF(AND(OR(LEFT(Sample!A109,1)="E",LEFT(Sample!A109,1)="H"),OR(LEFT(Sample!C109,2)="JI",LEFT(Sample!C109,1)="I")),"TS1",IF(AND(OR(LEFT(Sample!A109,1)="E",LEFT(Sample!A109,1)="H"),OR(LEFT(Sample!C109,2)="JX",LEFT(Sample!C109,1)="W",LEFT(Sample!C109,1)="X")),"TS95",IF(AND(OR(LEFT(Sample!A109,1)="E",LEFT(Sample!A109,1)="H"),OR(LEFT(Sample!C109,2)="JN",LEFT(Sample!C109,1)="N")),"TS3",IF(OR(LEFT(Sample!A109,1)="T",LEFT(Sample!A109,1)="B"),"TS24",IF(LEFT(Sample!A109,2)="CR","CARRIER9",IF(LEFT(Sample!A109,4)="DEL3","NIPTDEL3",Sample!A109))))))</f>
        <v>TS24</v>
      </c>
      <c r="O111" t="str">
        <f xml:space="preserve"> SUBSTITUTE( SUBSTITUTE( SUBSTITUTE( SUBSTITUTE( SUBSTITUTE( SUBSTITUTE( SUBSTITUTE( SUBSTITUTE( SampleImport!I111, "A", 1), "C", 2), "G", 3),"T", 4), 1, "T"), 2, "G"), 3, "C"), 4, "A")</f>
        <v>GGTGAAGA</v>
      </c>
    </row>
    <row r="112" spans="1:15" x14ac:dyDescent="0.35">
      <c r="A112" t="str">
        <f>Sample!B110&amp;"-"&amp;Sample!C110</f>
        <v>19-AAABLE25</v>
      </c>
      <c r="B112" t="str">
        <f>Sample!B110&amp;"-"&amp;Sample!C110</f>
        <v>19-AAABLE25</v>
      </c>
      <c r="C112" t="str">
        <f>Sample!A110</f>
        <v>T2931A</v>
      </c>
      <c r="F112" t="str">
        <f>Sample!K110</f>
        <v>S7791</v>
      </c>
      <c r="G112" t="str">
        <f>VLOOKUP(F112,'Index Sequence'!$A$2:$B$9808,2,FALSE)</f>
        <v>ACTCTTAG</v>
      </c>
      <c r="H112" t="str">
        <f>Sample!L110</f>
        <v>S7591</v>
      </c>
      <c r="I112" t="str">
        <f t="shared" si="1"/>
        <v>CGTGGATT</v>
      </c>
      <c r="K112" t="str">
        <f>IF(AND(OR(LEFT(Sample!A110,1)="E",LEFT(Sample!A110,1)="H"),OR(LEFT(Sample!C110,2)="JI",LEFT(Sample!C110,1)="I")),"TS1",IF(AND(OR(LEFT(Sample!A110,1)="E",LEFT(Sample!A110,1)="H"),OR(LEFT(Sample!C110,2)="JX",LEFT(Sample!C110,1)="W",LEFT(Sample!C110,1)="X")),"TS95",IF(AND(OR(LEFT(Sample!A110,1)="E",LEFT(Sample!A110,1)="H"),OR(LEFT(Sample!C110,2)="JN",LEFT(Sample!C110,1)="N")),"TS3",IF(OR(LEFT(Sample!A110,1)="T",LEFT(Sample!A110,1)="B"),"TS24",IF(LEFT(Sample!A110,2)="CR","CARRIER9",IF(LEFT(Sample!A110,4)="DEL3","NIPTDEL3",Sample!A110))))))</f>
        <v>TS24</v>
      </c>
      <c r="O112" t="str">
        <f xml:space="preserve"> SUBSTITUTE( SUBSTITUTE( SUBSTITUTE( SUBSTITUTE( SUBSTITUTE( SUBSTITUTE( SUBSTITUTE( SUBSTITUTE( SampleImport!I112, "A", 1), "C", 2), "G", 3),"T", 4), 1, "T"), 2, "G"), 3, "C"), 4, "A")</f>
        <v>TTAGGTGC</v>
      </c>
    </row>
    <row r="113" spans="1:15" x14ac:dyDescent="0.35">
      <c r="A113" t="str">
        <f>Sample!B111&amp;"-"&amp;Sample!C111</f>
        <v>20-AAABLE26</v>
      </c>
      <c r="B113" t="str">
        <f>Sample!B111&amp;"-"&amp;Sample!C111</f>
        <v>20-AAABLE26</v>
      </c>
      <c r="C113" t="str">
        <f>Sample!A111</f>
        <v>T2931A</v>
      </c>
      <c r="F113" t="str">
        <f>Sample!K111</f>
        <v>S7792</v>
      </c>
      <c r="G113" t="str">
        <f>VLOOKUP(F113,'Index Sequence'!$A$2:$B$9808,2,FALSE)</f>
        <v>GAGCAACA</v>
      </c>
      <c r="H113" t="str">
        <f>Sample!L111</f>
        <v>S7592</v>
      </c>
      <c r="I113" t="str">
        <f t="shared" si="1"/>
        <v>GTAGATGC</v>
      </c>
      <c r="K113" t="str">
        <f>IF(AND(OR(LEFT(Sample!A111,1)="E",LEFT(Sample!A111,1)="H"),OR(LEFT(Sample!C111,2)="JI",LEFT(Sample!C111,1)="I")),"TS1",IF(AND(OR(LEFT(Sample!A111,1)="E",LEFT(Sample!A111,1)="H"),OR(LEFT(Sample!C111,2)="JX",LEFT(Sample!C111,1)="W",LEFT(Sample!C111,1)="X")),"TS95",IF(AND(OR(LEFT(Sample!A111,1)="E",LEFT(Sample!A111,1)="H"),OR(LEFT(Sample!C111,2)="JN",LEFT(Sample!C111,1)="N")),"TS3",IF(OR(LEFT(Sample!A111,1)="T",LEFT(Sample!A111,1)="B"),"TS24",IF(LEFT(Sample!A111,2)="CR","CARRIER9",IF(LEFT(Sample!A111,4)="DEL3","NIPTDEL3",Sample!A111))))))</f>
        <v>TS24</v>
      </c>
      <c r="O113" t="str">
        <f xml:space="preserve"> SUBSTITUTE( SUBSTITUTE( SUBSTITUTE( SUBSTITUTE( SUBSTITUTE( SUBSTITUTE( SUBSTITUTE( SUBSTITUTE( SampleImport!I113, "A", 1), "C", 2), "G", 3),"T", 4), 1, "T"), 2, "G"), 3, "C"), 4, "A")</f>
        <v>CGTAGATG</v>
      </c>
    </row>
    <row r="114" spans="1:15" x14ac:dyDescent="0.35">
      <c r="A114" t="str">
        <f>Sample!B112&amp;"-"&amp;Sample!C112</f>
        <v>21-AAABLE27</v>
      </c>
      <c r="B114" t="str">
        <f>Sample!B112&amp;"-"&amp;Sample!C112</f>
        <v>21-AAABLE27</v>
      </c>
      <c r="C114" t="str">
        <f>Sample!A112</f>
        <v>T2931A</v>
      </c>
      <c r="F114" t="str">
        <f>Sample!K112</f>
        <v>S7793</v>
      </c>
      <c r="G114" t="str">
        <f>VLOOKUP(F114,'Index Sequence'!$A$2:$B$9808,2,FALSE)</f>
        <v>CAGTGACG</v>
      </c>
      <c r="H114" t="str">
        <f>Sample!L112</f>
        <v>S7593</v>
      </c>
      <c r="I114" t="str">
        <f t="shared" si="1"/>
        <v>TACCGCTC</v>
      </c>
      <c r="K114" t="str">
        <f>IF(AND(OR(LEFT(Sample!A112,1)="E",LEFT(Sample!A112,1)="H"),OR(LEFT(Sample!C112,2)="JI",LEFT(Sample!C112,1)="I")),"TS1",IF(AND(OR(LEFT(Sample!A112,1)="E",LEFT(Sample!A112,1)="H"),OR(LEFT(Sample!C112,2)="JX",LEFT(Sample!C112,1)="W",LEFT(Sample!C112,1)="X")),"TS95",IF(AND(OR(LEFT(Sample!A112,1)="E",LEFT(Sample!A112,1)="H"),OR(LEFT(Sample!C112,2)="JN",LEFT(Sample!C112,1)="N")),"TS3",IF(OR(LEFT(Sample!A112,1)="T",LEFT(Sample!A112,1)="B"),"TS24",IF(LEFT(Sample!A112,2)="CR","CARRIER9",IF(LEFT(Sample!A112,4)="DEL3","NIPTDEL3",Sample!A112))))))</f>
        <v>TS24</v>
      </c>
      <c r="O114" t="str">
        <f xml:space="preserve"> SUBSTITUTE( SUBSTITUTE( SUBSTITUTE( SUBSTITUTE( SUBSTITUTE( SUBSTITUTE( SUBSTITUTE( SUBSTITUTE( SampleImport!I114, "A", 1), "C", 2), "G", 3),"T", 4), 1, "T"), 2, "G"), 3, "C"), 4, "A")</f>
        <v>CTCGCCAT</v>
      </c>
    </row>
    <row r="115" spans="1:15" x14ac:dyDescent="0.35">
      <c r="A115" t="str">
        <f>Sample!B113&amp;"-"&amp;Sample!C113</f>
        <v>22-AAABLE28</v>
      </c>
      <c r="B115" t="str">
        <f>Sample!B113&amp;"-"&amp;Sample!C113</f>
        <v>22-AAABLE28</v>
      </c>
      <c r="C115" t="str">
        <f>Sample!A113</f>
        <v>T2931A</v>
      </c>
      <c r="F115" t="str">
        <f>Sample!K113</f>
        <v>S7794</v>
      </c>
      <c r="G115" t="str">
        <f>VLOOKUP(F115,'Index Sequence'!$A$2:$B$9808,2,FALSE)</f>
        <v>AAGATTGA</v>
      </c>
      <c r="H115" t="str">
        <f>Sample!L113</f>
        <v>S7594</v>
      </c>
      <c r="I115" t="str">
        <f t="shared" si="1"/>
        <v>CGAACCAC</v>
      </c>
      <c r="K115" t="str">
        <f>IF(AND(OR(LEFT(Sample!A113,1)="E",LEFT(Sample!A113,1)="H"),OR(LEFT(Sample!C113,2)="JI",LEFT(Sample!C113,1)="I")),"TS1",IF(AND(OR(LEFT(Sample!A113,1)="E",LEFT(Sample!A113,1)="H"),OR(LEFT(Sample!C113,2)="JX",LEFT(Sample!C113,1)="W",LEFT(Sample!C113,1)="X")),"TS95",IF(AND(OR(LEFT(Sample!A113,1)="E",LEFT(Sample!A113,1)="H"),OR(LEFT(Sample!C113,2)="JN",LEFT(Sample!C113,1)="N")),"TS3",IF(OR(LEFT(Sample!A113,1)="T",LEFT(Sample!A113,1)="B"),"TS24",IF(LEFT(Sample!A113,2)="CR","CARRIER9",IF(LEFT(Sample!A113,4)="DEL3","NIPTDEL3",Sample!A113))))))</f>
        <v>TS24</v>
      </c>
      <c r="O115" t="str">
        <f xml:space="preserve"> SUBSTITUTE( SUBSTITUTE( SUBSTITUTE( SUBSTITUTE( SUBSTITUTE( SUBSTITUTE( SUBSTITUTE( SUBSTITUTE( SampleImport!I115, "A", 1), "C", 2), "G", 3),"T", 4), 1, "T"), 2, "G"), 3, "C"), 4, "A")</f>
        <v>CACCAAGC</v>
      </c>
    </row>
    <row r="116" spans="1:15" x14ac:dyDescent="0.35">
      <c r="A116" t="str">
        <f>Sample!B114&amp;"-"&amp;Sample!C114</f>
        <v>23-AAABLE29</v>
      </c>
      <c r="B116" t="str">
        <f>Sample!B114&amp;"-"&amp;Sample!C114</f>
        <v>23-AAABLE29</v>
      </c>
      <c r="C116" t="str">
        <f>Sample!A114</f>
        <v>T2931A</v>
      </c>
      <c r="F116" t="str">
        <f>Sample!K114</f>
        <v>S7795</v>
      </c>
      <c r="G116" t="str">
        <f>VLOOKUP(F116,'Index Sequence'!$A$2:$B$9808,2,FALSE)</f>
        <v>GTGTGTTT</v>
      </c>
      <c r="H116" t="str">
        <f>Sample!L114</f>
        <v>S7595</v>
      </c>
      <c r="I116" t="str">
        <f t="shared" si="1"/>
        <v>TATTGTTC</v>
      </c>
      <c r="K116" t="str">
        <f>IF(AND(OR(LEFT(Sample!A114,1)="E",LEFT(Sample!A114,1)="H"),OR(LEFT(Sample!C114,2)="JI",LEFT(Sample!C114,1)="I")),"TS1",IF(AND(OR(LEFT(Sample!A114,1)="E",LEFT(Sample!A114,1)="H"),OR(LEFT(Sample!C114,2)="JX",LEFT(Sample!C114,1)="W",LEFT(Sample!C114,1)="X")),"TS95",IF(AND(OR(LEFT(Sample!A114,1)="E",LEFT(Sample!A114,1)="H"),OR(LEFT(Sample!C114,2)="JN",LEFT(Sample!C114,1)="N")),"TS3",IF(OR(LEFT(Sample!A114,1)="T",LEFT(Sample!A114,1)="B"),"TS24",IF(LEFT(Sample!A114,2)="CR","CARRIER9",IF(LEFT(Sample!A114,4)="DEL3","NIPTDEL3",Sample!A114))))))</f>
        <v>TS24</v>
      </c>
      <c r="O116" t="str">
        <f xml:space="preserve"> SUBSTITUTE( SUBSTITUTE( SUBSTITUTE( SUBSTITUTE( SUBSTITUTE( SUBSTITUTE( SUBSTITUTE( SUBSTITUTE( SampleImport!I116, "A", 1), "C", 2), "G", 3),"T", 4), 1, "T"), 2, "G"), 3, "C"), 4, "A")</f>
        <v>CTTGTTAT</v>
      </c>
    </row>
    <row r="117" spans="1:15" x14ac:dyDescent="0.35">
      <c r="A117" t="str">
        <f>Sample!B115&amp;"-"&amp;Sample!C115</f>
        <v>24-AAABLE30</v>
      </c>
      <c r="B117" t="str">
        <f>Sample!B115&amp;"-"&amp;Sample!C115</f>
        <v>24-AAABLE30</v>
      </c>
      <c r="C117" t="str">
        <f>Sample!A115</f>
        <v>T2931A</v>
      </c>
      <c r="F117" t="str">
        <f>Sample!K115</f>
        <v>S7796</v>
      </c>
      <c r="G117" t="str">
        <f>VLOOKUP(F117,'Index Sequence'!$A$2:$B$9808,2,FALSE)</f>
        <v>CGTCCGAC</v>
      </c>
      <c r="H117" t="str">
        <f>Sample!L115</f>
        <v>S7596</v>
      </c>
      <c r="I117" t="str">
        <f t="shared" si="1"/>
        <v>GTTGTGTG</v>
      </c>
      <c r="K117" t="str">
        <f>IF(AND(OR(LEFT(Sample!A115,1)="E",LEFT(Sample!A115,1)="H"),OR(LEFT(Sample!C115,2)="JI",LEFT(Sample!C115,1)="I")),"TS1",IF(AND(OR(LEFT(Sample!A115,1)="E",LEFT(Sample!A115,1)="H"),OR(LEFT(Sample!C115,2)="JX",LEFT(Sample!C115,1)="W",LEFT(Sample!C115,1)="X")),"TS95",IF(AND(OR(LEFT(Sample!A115,1)="E",LEFT(Sample!A115,1)="H"),OR(LEFT(Sample!C115,2)="JN",LEFT(Sample!C115,1)="N")),"TS3",IF(OR(LEFT(Sample!A115,1)="T",LEFT(Sample!A115,1)="B"),"TS24",IF(LEFT(Sample!A115,2)="CR","CARRIER9",IF(LEFT(Sample!A115,4)="DEL3","NIPTDEL3",Sample!A115))))))</f>
        <v>TS24</v>
      </c>
      <c r="O117" t="str">
        <f xml:space="preserve"> SUBSTITUTE( SUBSTITUTE( SUBSTITUTE( SUBSTITUTE( SUBSTITUTE( SUBSTITUTE( SUBSTITUTE( SUBSTITUTE( SampleImport!I117, "A", 1), "C", 2), "G", 3),"T", 4), 1, "T"), 2, "G"), 3, "C"), 4, "A")</f>
        <v>GTGTGTTG</v>
      </c>
    </row>
    <row r="118" spans="1:15" x14ac:dyDescent="0.35">
      <c r="A118" t="str">
        <f>Sample!B116&amp;"-"&amp;Sample!C116</f>
        <v>25-AAABLE31</v>
      </c>
      <c r="B118" t="str">
        <f>Sample!B116&amp;"-"&amp;Sample!C116</f>
        <v>25-AAABLE31</v>
      </c>
      <c r="C118" t="str">
        <f>Sample!A116</f>
        <v>T2931A</v>
      </c>
      <c r="F118" t="str">
        <f>Sample!K116</f>
        <v>S97145</v>
      </c>
      <c r="G118" t="str">
        <f>VLOOKUP(F118,'Index Sequence'!$A$2:$B$9808,2,FALSE)</f>
        <v>AGCGGAAT</v>
      </c>
      <c r="H118" t="str">
        <f>Sample!L116</f>
        <v>S95145</v>
      </c>
      <c r="I118" t="str">
        <f t="shared" si="1"/>
        <v>AGTGCAGT</v>
      </c>
      <c r="K118" t="str">
        <f>IF(AND(OR(LEFT(Sample!A116,1)="E",LEFT(Sample!A116,1)="H"),OR(LEFT(Sample!C116,2)="JI",LEFT(Sample!C116,1)="I")),"TS1",IF(AND(OR(LEFT(Sample!A116,1)="E",LEFT(Sample!A116,1)="H"),OR(LEFT(Sample!C116,2)="JX",LEFT(Sample!C116,1)="W",LEFT(Sample!C116,1)="X")),"TS95",IF(AND(OR(LEFT(Sample!A116,1)="E",LEFT(Sample!A116,1)="H"),OR(LEFT(Sample!C116,2)="JN",LEFT(Sample!C116,1)="N")),"TS3",IF(OR(LEFT(Sample!A116,1)="T",LEFT(Sample!A116,1)="B"),"TS24",IF(LEFT(Sample!A116,2)="CR","CARRIER9",IF(LEFT(Sample!A116,4)="DEL3","NIPTDEL3",Sample!A116))))))</f>
        <v>TS24</v>
      </c>
      <c r="O118" t="str">
        <f xml:space="preserve"> SUBSTITUTE( SUBSTITUTE( SUBSTITUTE( SUBSTITUTE( SUBSTITUTE( SUBSTITUTE( SUBSTITUTE( SUBSTITUTE( SampleImport!I118, "A", 1), "C", 2), "G", 3),"T", 4), 1, "T"), 2, "G"), 3, "C"), 4, "A")</f>
        <v>TGACGTGA</v>
      </c>
    </row>
    <row r="119" spans="1:15" x14ac:dyDescent="0.35">
      <c r="A119" t="str">
        <f>Sample!B117&amp;"-"&amp;Sample!C117</f>
        <v>26-AAABLE32</v>
      </c>
      <c r="B119" t="str">
        <f>Sample!B117&amp;"-"&amp;Sample!C117</f>
        <v>26-AAABLE32</v>
      </c>
      <c r="C119" t="str">
        <f>Sample!A117</f>
        <v>T2931A</v>
      </c>
      <c r="F119" t="str">
        <f>Sample!K117</f>
        <v>S97146</v>
      </c>
      <c r="G119" t="str">
        <f>VLOOKUP(F119,'Index Sequence'!$A$2:$B$9808,2,FALSE)</f>
        <v>GTGAGCTT</v>
      </c>
      <c r="H119" t="str">
        <f>Sample!L117</f>
        <v>S95146</v>
      </c>
      <c r="I119" t="str">
        <f t="shared" si="1"/>
        <v>TTGATCCG</v>
      </c>
      <c r="K119" t="str">
        <f>IF(AND(OR(LEFT(Sample!A117,1)="E",LEFT(Sample!A117,1)="H"),OR(LEFT(Sample!C117,2)="JI",LEFT(Sample!C117,1)="I")),"TS1",IF(AND(OR(LEFT(Sample!A117,1)="E",LEFT(Sample!A117,1)="H"),OR(LEFT(Sample!C117,2)="JX",LEFT(Sample!C117,1)="W",LEFT(Sample!C117,1)="X")),"TS95",IF(AND(OR(LEFT(Sample!A117,1)="E",LEFT(Sample!A117,1)="H"),OR(LEFT(Sample!C117,2)="JN",LEFT(Sample!C117,1)="N")),"TS3",IF(OR(LEFT(Sample!A117,1)="T",LEFT(Sample!A117,1)="B"),"TS24",IF(LEFT(Sample!A117,2)="CR","CARRIER9",IF(LEFT(Sample!A117,4)="DEL3","NIPTDEL3",Sample!A117))))))</f>
        <v>TS24</v>
      </c>
      <c r="O119" t="str">
        <f xml:space="preserve"> SUBSTITUTE( SUBSTITUTE( SUBSTITUTE( SUBSTITUTE( SUBSTITUTE( SUBSTITUTE( SUBSTITUTE( SUBSTITUTE( SampleImport!I119, "A", 1), "C", 2), "G", 3),"T", 4), 1, "T"), 2, "G"), 3, "C"), 4, "A")</f>
        <v>GCCTAGTT</v>
      </c>
    </row>
    <row r="120" spans="1:15" x14ac:dyDescent="0.35">
      <c r="A120" t="str">
        <f>Sample!B118&amp;"-"&amp;Sample!C118</f>
        <v>27-AAABLE33</v>
      </c>
      <c r="B120" t="str">
        <f>Sample!B118&amp;"-"&amp;Sample!C118</f>
        <v>27-AAABLE33</v>
      </c>
      <c r="C120" t="str">
        <f>Sample!A118</f>
        <v>T2931A</v>
      </c>
      <c r="F120" t="str">
        <f>Sample!K118</f>
        <v>S97147</v>
      </c>
      <c r="G120" t="str">
        <f>VLOOKUP(F120,'Index Sequence'!$A$2:$B$9808,2,FALSE)</f>
        <v>CGTGATCA</v>
      </c>
      <c r="H120" t="str">
        <f>Sample!L118</f>
        <v>S95147</v>
      </c>
      <c r="I120" t="str">
        <f t="shared" si="1"/>
        <v>TGCCATTC</v>
      </c>
      <c r="K120" t="str">
        <f>IF(AND(OR(LEFT(Sample!A118,1)="E",LEFT(Sample!A118,1)="H"),OR(LEFT(Sample!C118,2)="JI",LEFT(Sample!C118,1)="I")),"TS1",IF(AND(OR(LEFT(Sample!A118,1)="E",LEFT(Sample!A118,1)="H"),OR(LEFT(Sample!C118,2)="JX",LEFT(Sample!C118,1)="W",LEFT(Sample!C118,1)="X")),"TS95",IF(AND(OR(LEFT(Sample!A118,1)="E",LEFT(Sample!A118,1)="H"),OR(LEFT(Sample!C118,2)="JN",LEFT(Sample!C118,1)="N")),"TS3",IF(OR(LEFT(Sample!A118,1)="T",LEFT(Sample!A118,1)="B"),"TS24",IF(LEFT(Sample!A118,2)="CR","CARRIER9",IF(LEFT(Sample!A118,4)="DEL3","NIPTDEL3",Sample!A118))))))</f>
        <v>TS24</v>
      </c>
      <c r="O120" t="str">
        <f xml:space="preserve"> SUBSTITUTE( SUBSTITUTE( SUBSTITUTE( SUBSTITUTE( SUBSTITUTE( SUBSTITUTE( SUBSTITUTE( SUBSTITUTE( SampleImport!I120, "A", 1), "C", 2), "G", 3),"T", 4), 1, "T"), 2, "G"), 3, "C"), 4, "A")</f>
        <v>CTTACCGT</v>
      </c>
    </row>
    <row r="121" spans="1:15" x14ac:dyDescent="0.35">
      <c r="A121" t="str">
        <f>Sample!B119&amp;"-"&amp;Sample!C119</f>
        <v>1-ASAAAB89</v>
      </c>
      <c r="B121" t="str">
        <f>Sample!B119&amp;"-"&amp;Sample!C119</f>
        <v>1-ASAAAB89</v>
      </c>
      <c r="C121" t="str">
        <f>Sample!A119</f>
        <v>T2934A</v>
      </c>
      <c r="F121" t="str">
        <f>Sample!K119</f>
        <v>S97129</v>
      </c>
      <c r="G121" t="str">
        <f>VLOOKUP(F121,'Index Sequence'!$A$2:$B$9808,2,FALSE)</f>
        <v>CAGGTTAG</v>
      </c>
      <c r="H121" t="str">
        <f>Sample!L119</f>
        <v>S95129</v>
      </c>
      <c r="I121" t="str">
        <f t="shared" si="1"/>
        <v>GCTGGATT</v>
      </c>
      <c r="K121" t="str">
        <f>IF(AND(OR(LEFT(Sample!A119,1)="E",LEFT(Sample!A119,1)="H"),OR(LEFT(Sample!C119,2)="JI",LEFT(Sample!C119,1)="I")),"TS1",IF(AND(OR(LEFT(Sample!A119,1)="E",LEFT(Sample!A119,1)="H"),OR(LEFT(Sample!C119,2)="JX",LEFT(Sample!C119,1)="W",LEFT(Sample!C119,1)="X")),"TS95",IF(AND(OR(LEFT(Sample!A119,1)="E",LEFT(Sample!A119,1)="H"),OR(LEFT(Sample!C119,2)="JN",LEFT(Sample!C119,1)="N")),"TS3",IF(OR(LEFT(Sample!A119,1)="T",LEFT(Sample!A119,1)="B"),"TS24",IF(LEFT(Sample!A119,2)="CR","CARRIER9",IF(LEFT(Sample!A119,4)="DEL3","NIPTDEL3",Sample!A119))))))</f>
        <v>TS24</v>
      </c>
      <c r="O121" t="str">
        <f xml:space="preserve"> SUBSTITUTE( SUBSTITUTE( SUBSTITUTE( SUBSTITUTE( SUBSTITUTE( SUBSTITUTE( SUBSTITUTE( SUBSTITUTE( SampleImport!I121, "A", 1), "C", 2), "G", 3),"T", 4), 1, "T"), 2, "G"), 3, "C"), 4, "A")</f>
        <v>TTAGGTCG</v>
      </c>
    </row>
    <row r="122" spans="1:15" x14ac:dyDescent="0.35">
      <c r="A122" t="str">
        <f>Sample!B120&amp;"-"&amp;Sample!C120</f>
        <v>2-SAAAFY10</v>
      </c>
      <c r="B122" t="str">
        <f>Sample!B120&amp;"-"&amp;Sample!C120</f>
        <v>2-SAAAFY10</v>
      </c>
      <c r="C122" t="str">
        <f>Sample!A120</f>
        <v>T2934A</v>
      </c>
      <c r="F122" t="str">
        <f>Sample!K120</f>
        <v>S97130</v>
      </c>
      <c r="G122" t="str">
        <f>VLOOKUP(F122,'Index Sequence'!$A$2:$B$9808,2,FALSE)</f>
        <v>AGTTGGCT</v>
      </c>
      <c r="H122" t="str">
        <f>Sample!L120</f>
        <v>S95130</v>
      </c>
      <c r="I122" t="str">
        <f t="shared" si="1"/>
        <v>ATGGTTGC</v>
      </c>
      <c r="K122" t="str">
        <f>IF(AND(OR(LEFT(Sample!A120,1)="E",LEFT(Sample!A120,1)="H"),OR(LEFT(Sample!C120,2)="JI",LEFT(Sample!C120,1)="I")),"TS1",IF(AND(OR(LEFT(Sample!A120,1)="E",LEFT(Sample!A120,1)="H"),OR(LEFT(Sample!C120,2)="JX",LEFT(Sample!C120,1)="W",LEFT(Sample!C120,1)="X")),"TS95",IF(AND(OR(LEFT(Sample!A120,1)="E",LEFT(Sample!A120,1)="H"),OR(LEFT(Sample!C120,2)="JN",LEFT(Sample!C120,1)="N")),"TS3",IF(OR(LEFT(Sample!A120,1)="T",LEFT(Sample!A120,1)="B"),"TS24",IF(LEFT(Sample!A120,2)="CR","CARRIER9",IF(LEFT(Sample!A120,4)="DEL3","NIPTDEL3",Sample!A120))))))</f>
        <v>TS24</v>
      </c>
      <c r="O122" t="str">
        <f xml:space="preserve"> SUBSTITUTE( SUBSTITUTE( SUBSTITUTE( SUBSTITUTE( SUBSTITUTE( SUBSTITUTE( SUBSTITUTE( SUBSTITUTE( SampleImport!I122, "A", 1), "C", 2), "G", 3),"T", 4), 1, "T"), 2, "G"), 3, "C"), 4, "A")</f>
        <v>CGTTGGTA</v>
      </c>
    </row>
    <row r="123" spans="1:15" x14ac:dyDescent="0.35">
      <c r="A123" t="str">
        <f>Sample!B121&amp;"-"&amp;Sample!C121</f>
        <v>3-SAAAFY11</v>
      </c>
      <c r="B123" t="str">
        <f>Sample!B121&amp;"-"&amp;Sample!C121</f>
        <v>3-SAAAFY11</v>
      </c>
      <c r="C123" t="str">
        <f>Sample!A121</f>
        <v>T2934A</v>
      </c>
      <c r="F123" t="str">
        <f>Sample!K121</f>
        <v>S97131</v>
      </c>
      <c r="G123" t="str">
        <f>VLOOKUP(F123,'Index Sequence'!$A$2:$B$9808,2,FALSE)</f>
        <v>TCAACTGG</v>
      </c>
      <c r="H123" t="str">
        <f>Sample!L121</f>
        <v>S95131</v>
      </c>
      <c r="I123" t="str">
        <f t="shared" si="1"/>
        <v>CAGAATCG</v>
      </c>
      <c r="K123" t="str">
        <f>IF(AND(OR(LEFT(Sample!A121,1)="E",LEFT(Sample!A121,1)="H"),OR(LEFT(Sample!C121,2)="JI",LEFT(Sample!C121,1)="I")),"TS1",IF(AND(OR(LEFT(Sample!A121,1)="E",LEFT(Sample!A121,1)="H"),OR(LEFT(Sample!C121,2)="JX",LEFT(Sample!C121,1)="W",LEFT(Sample!C121,1)="X")),"TS95",IF(AND(OR(LEFT(Sample!A121,1)="E",LEFT(Sample!A121,1)="H"),OR(LEFT(Sample!C121,2)="JN",LEFT(Sample!C121,1)="N")),"TS3",IF(OR(LEFT(Sample!A121,1)="T",LEFT(Sample!A121,1)="B"),"TS24",IF(LEFT(Sample!A121,2)="CR","CARRIER9",IF(LEFT(Sample!A121,4)="DEL3","NIPTDEL3",Sample!A121))))))</f>
        <v>TS24</v>
      </c>
      <c r="O123" t="str">
        <f xml:space="preserve"> SUBSTITUTE( SUBSTITUTE( SUBSTITUTE( SUBSTITUTE( SUBSTITUTE( SUBSTITUTE( SUBSTITUTE( SUBSTITUTE( SampleImport!I123, "A", 1), "C", 2), "G", 3),"T", 4), 1, "T"), 2, "G"), 3, "C"), 4, "A")</f>
        <v>GCTAAGAC</v>
      </c>
    </row>
    <row r="124" spans="1:15" x14ac:dyDescent="0.35">
      <c r="A124" t="str">
        <f>Sample!B122&amp;"-"&amp;Sample!C122</f>
        <v>4-SAAAFY12</v>
      </c>
      <c r="B124" t="str">
        <f>Sample!B122&amp;"-"&amp;Sample!C122</f>
        <v>4-SAAAFY12</v>
      </c>
      <c r="C124" t="str">
        <f>Sample!A122</f>
        <v>T2934A</v>
      </c>
      <c r="F124" t="str">
        <f>Sample!K122</f>
        <v>S97132</v>
      </c>
      <c r="G124" t="str">
        <f>VLOOKUP(F124,'Index Sequence'!$A$2:$B$9808,2,FALSE)</f>
        <v>CTGCACTT</v>
      </c>
      <c r="H124" t="str">
        <f>Sample!L122</f>
        <v>S95132</v>
      </c>
      <c r="I124" t="str">
        <f t="shared" si="1"/>
        <v>GAACGCTT</v>
      </c>
      <c r="K124" t="str">
        <f>IF(AND(OR(LEFT(Sample!A122,1)="E",LEFT(Sample!A122,1)="H"),OR(LEFT(Sample!C122,2)="JI",LEFT(Sample!C122,1)="I")),"TS1",IF(AND(OR(LEFT(Sample!A122,1)="E",LEFT(Sample!A122,1)="H"),OR(LEFT(Sample!C122,2)="JX",LEFT(Sample!C122,1)="W",LEFT(Sample!C122,1)="X")),"TS95",IF(AND(OR(LEFT(Sample!A122,1)="E",LEFT(Sample!A122,1)="H"),OR(LEFT(Sample!C122,2)="JN",LEFT(Sample!C122,1)="N")),"TS3",IF(OR(LEFT(Sample!A122,1)="T",LEFT(Sample!A122,1)="B"),"TS24",IF(LEFT(Sample!A122,2)="CR","CARRIER9",IF(LEFT(Sample!A122,4)="DEL3","NIPTDEL3",Sample!A122))))))</f>
        <v>TS24</v>
      </c>
      <c r="O124" t="str">
        <f xml:space="preserve"> SUBSTITUTE( SUBSTITUTE( SUBSTITUTE( SUBSTITUTE( SUBSTITUTE( SUBSTITUTE( SUBSTITUTE( SUBSTITUTE( SampleImport!I124, "A", 1), "C", 2), "G", 3),"T", 4), 1, "T"), 2, "G"), 3, "C"), 4, "A")</f>
        <v>TTCGCAAG</v>
      </c>
    </row>
    <row r="125" spans="1:15" x14ac:dyDescent="0.35">
      <c r="A125" t="str">
        <f>Sample!B123&amp;"-"&amp;Sample!C123</f>
        <v>5-SAAAFY13</v>
      </c>
      <c r="B125" t="str">
        <f>Sample!B123&amp;"-"&amp;Sample!C123</f>
        <v>5-SAAAFY13</v>
      </c>
      <c r="C125" t="str">
        <f>Sample!A123</f>
        <v>T2934A</v>
      </c>
      <c r="F125" t="str">
        <f>Sample!K123</f>
        <v>S97133</v>
      </c>
      <c r="G125" t="str">
        <f>VLOOKUP(F125,'Index Sequence'!$A$2:$B$9808,2,FALSE)</f>
        <v>ACACGGTT</v>
      </c>
      <c r="H125" t="str">
        <f>Sample!L123</f>
        <v>S95133</v>
      </c>
      <c r="I125" t="str">
        <f t="shared" si="1"/>
        <v>TCGAACCA</v>
      </c>
      <c r="K125" t="str">
        <f>IF(AND(OR(LEFT(Sample!A123,1)="E",LEFT(Sample!A123,1)="H"),OR(LEFT(Sample!C123,2)="JI",LEFT(Sample!C123,1)="I")),"TS1",IF(AND(OR(LEFT(Sample!A123,1)="E",LEFT(Sample!A123,1)="H"),OR(LEFT(Sample!C123,2)="JX",LEFT(Sample!C123,1)="W",LEFT(Sample!C123,1)="X")),"TS95",IF(AND(OR(LEFT(Sample!A123,1)="E",LEFT(Sample!A123,1)="H"),OR(LEFT(Sample!C123,2)="JN",LEFT(Sample!C123,1)="N")),"TS3",IF(OR(LEFT(Sample!A123,1)="T",LEFT(Sample!A123,1)="B"),"TS24",IF(LEFT(Sample!A123,2)="CR","CARRIER9",IF(LEFT(Sample!A123,4)="DEL3","NIPTDEL3",Sample!A123))))))</f>
        <v>TS24</v>
      </c>
      <c r="O125" t="str">
        <f xml:space="preserve"> SUBSTITUTE( SUBSTITUTE( SUBSTITUTE( SUBSTITUTE( SUBSTITUTE( SUBSTITUTE( SUBSTITUTE( SUBSTITUTE( SampleImport!I125, "A", 1), "C", 2), "G", 3),"T", 4), 1, "T"), 2, "G"), 3, "C"), 4, "A")</f>
        <v>ACCAAGCT</v>
      </c>
    </row>
    <row r="126" spans="1:15" x14ac:dyDescent="0.35">
      <c r="A126" t="str">
        <f>Sample!B124&amp;"-"&amp;Sample!C124</f>
        <v>6-SAAAFY14</v>
      </c>
      <c r="B126" t="str">
        <f>Sample!B124&amp;"-"&amp;Sample!C124</f>
        <v>6-SAAAFY14</v>
      </c>
      <c r="C126" t="str">
        <f>Sample!A124</f>
        <v>T2934A</v>
      </c>
      <c r="F126" t="str">
        <f>Sample!K124</f>
        <v>S97134</v>
      </c>
      <c r="G126" t="str">
        <f>VLOOKUP(F126,'Index Sequence'!$A$2:$B$9808,2,FALSE)</f>
        <v>AATACGCG</v>
      </c>
      <c r="H126" t="str">
        <f>Sample!L124</f>
        <v>S95134</v>
      </c>
      <c r="I126" t="str">
        <f t="shared" si="1"/>
        <v>CTATCGCA</v>
      </c>
      <c r="K126" t="str">
        <f>IF(AND(OR(LEFT(Sample!A124,1)="E",LEFT(Sample!A124,1)="H"),OR(LEFT(Sample!C124,2)="JI",LEFT(Sample!C124,1)="I")),"TS1",IF(AND(OR(LEFT(Sample!A124,1)="E",LEFT(Sample!A124,1)="H"),OR(LEFT(Sample!C124,2)="JX",LEFT(Sample!C124,1)="W",LEFT(Sample!C124,1)="X")),"TS95",IF(AND(OR(LEFT(Sample!A124,1)="E",LEFT(Sample!A124,1)="H"),OR(LEFT(Sample!C124,2)="JN",LEFT(Sample!C124,1)="N")),"TS3",IF(OR(LEFT(Sample!A124,1)="T",LEFT(Sample!A124,1)="B"),"TS24",IF(LEFT(Sample!A124,2)="CR","CARRIER9",IF(LEFT(Sample!A124,4)="DEL3","NIPTDEL3",Sample!A124))))))</f>
        <v>TS24</v>
      </c>
      <c r="O126" t="str">
        <f xml:space="preserve"> SUBSTITUTE( SUBSTITUTE( SUBSTITUTE( SUBSTITUTE( SUBSTITUTE( SUBSTITUTE( SUBSTITUTE( SUBSTITUTE( SampleImport!I126, "A", 1), "C", 2), "G", 3),"T", 4), 1, "T"), 2, "G"), 3, "C"), 4, "A")</f>
        <v>ACGCTATC</v>
      </c>
    </row>
    <row r="127" spans="1:15" x14ac:dyDescent="0.35">
      <c r="A127" t="str">
        <f>Sample!B125&amp;"-"&amp;Sample!C125</f>
        <v>7-SAAAFY15</v>
      </c>
      <c r="B127" t="str">
        <f>Sample!B125&amp;"-"&amp;Sample!C125</f>
        <v>7-SAAAFY15</v>
      </c>
      <c r="C127" t="str">
        <f>Sample!A125</f>
        <v>T2934A</v>
      </c>
      <c r="F127" t="str">
        <f>Sample!K125</f>
        <v>S97135</v>
      </c>
      <c r="G127" t="str">
        <f>VLOOKUP(F127,'Index Sequence'!$A$2:$B$9808,2,FALSE)</f>
        <v>TGCGAACT</v>
      </c>
      <c r="H127" t="str">
        <f>Sample!L125</f>
        <v>S95135</v>
      </c>
      <c r="I127" t="str">
        <f t="shared" si="1"/>
        <v>TACGGTTG</v>
      </c>
      <c r="K127" t="str">
        <f>IF(AND(OR(LEFT(Sample!A125,1)="E",LEFT(Sample!A125,1)="H"),OR(LEFT(Sample!C125,2)="JI",LEFT(Sample!C125,1)="I")),"TS1",IF(AND(OR(LEFT(Sample!A125,1)="E",LEFT(Sample!A125,1)="H"),OR(LEFT(Sample!C125,2)="JX",LEFT(Sample!C125,1)="W",LEFT(Sample!C125,1)="X")),"TS95",IF(AND(OR(LEFT(Sample!A125,1)="E",LEFT(Sample!A125,1)="H"),OR(LEFT(Sample!C125,2)="JN",LEFT(Sample!C125,1)="N")),"TS3",IF(OR(LEFT(Sample!A125,1)="T",LEFT(Sample!A125,1)="B"),"TS24",IF(LEFT(Sample!A125,2)="CR","CARRIER9",IF(LEFT(Sample!A125,4)="DEL3","NIPTDEL3",Sample!A125))))))</f>
        <v>TS24</v>
      </c>
      <c r="O127" t="str">
        <f xml:space="preserve"> SUBSTITUTE( SUBSTITUTE( SUBSTITUTE( SUBSTITUTE( SUBSTITUTE( SUBSTITUTE( SUBSTITUTE( SUBSTITUTE( SampleImport!I127, "A", 1), "C", 2), "G", 3),"T", 4), 1, "T"), 2, "G"), 3, "C"), 4, "A")</f>
        <v>GTTGGCAT</v>
      </c>
    </row>
    <row r="128" spans="1:15" x14ac:dyDescent="0.35">
      <c r="A128" t="str">
        <f>Sample!B126&amp;"-"&amp;Sample!C126</f>
        <v>8-SAAAFY16</v>
      </c>
      <c r="B128" t="str">
        <f>Sample!B126&amp;"-"&amp;Sample!C126</f>
        <v>8-SAAAFY16</v>
      </c>
      <c r="C128" t="str">
        <f>Sample!A126</f>
        <v>T2934A</v>
      </c>
      <c r="F128" t="str">
        <f>Sample!K126</f>
        <v>S97136</v>
      </c>
      <c r="G128" t="str">
        <f>VLOOKUP(F128,'Index Sequence'!$A$2:$B$9808,2,FALSE)</f>
        <v>GCTGACTA</v>
      </c>
      <c r="H128" t="str">
        <f>Sample!L126</f>
        <v>S95136</v>
      </c>
      <c r="I128" t="str">
        <f t="shared" si="1"/>
        <v>GAGATGTC</v>
      </c>
      <c r="K128" t="str">
        <f>IF(AND(OR(LEFT(Sample!A126,1)="E",LEFT(Sample!A126,1)="H"),OR(LEFT(Sample!C126,2)="JI",LEFT(Sample!C126,1)="I")),"TS1",IF(AND(OR(LEFT(Sample!A126,1)="E",LEFT(Sample!A126,1)="H"),OR(LEFT(Sample!C126,2)="JX",LEFT(Sample!C126,1)="W",LEFT(Sample!C126,1)="X")),"TS95",IF(AND(OR(LEFT(Sample!A126,1)="E",LEFT(Sample!A126,1)="H"),OR(LEFT(Sample!C126,2)="JN",LEFT(Sample!C126,1)="N")),"TS3",IF(OR(LEFT(Sample!A126,1)="T",LEFT(Sample!A126,1)="B"),"TS24",IF(LEFT(Sample!A126,2)="CR","CARRIER9",IF(LEFT(Sample!A126,4)="DEL3","NIPTDEL3",Sample!A126))))))</f>
        <v>TS24</v>
      </c>
      <c r="O128" t="str">
        <f xml:space="preserve"> SUBSTITUTE( SUBSTITUTE( SUBSTITUTE( SUBSTITUTE( SUBSTITUTE( SUBSTITUTE( SUBSTITUTE( SUBSTITUTE( SampleImport!I128, "A", 1), "C", 2), "G", 3),"T", 4), 1, "T"), 2, "G"), 3, "C"), 4, "A")</f>
        <v>CTGTAGAG</v>
      </c>
    </row>
    <row r="129" spans="1:15" x14ac:dyDescent="0.35">
      <c r="A129" t="str">
        <f>Sample!B127&amp;"-"&amp;Sample!C127</f>
        <v>9-SAAAFY17</v>
      </c>
      <c r="B129" t="str">
        <f>Sample!B127&amp;"-"&amp;Sample!C127</f>
        <v>9-SAAAFY17</v>
      </c>
      <c r="C129" t="str">
        <f>Sample!A127</f>
        <v>T2934A</v>
      </c>
      <c r="F129" t="str">
        <f>Sample!K127</f>
        <v>S97137</v>
      </c>
      <c r="G129" t="str">
        <f>VLOOKUP(F129,'Index Sequence'!$A$2:$B$9808,2,FALSE)</f>
        <v>GTGGTGTT</v>
      </c>
      <c r="H129" t="str">
        <f>Sample!L127</f>
        <v>S95137</v>
      </c>
      <c r="I129" t="str">
        <f t="shared" si="1"/>
        <v>CTTACAGC</v>
      </c>
      <c r="K129" t="str">
        <f>IF(AND(OR(LEFT(Sample!A127,1)="E",LEFT(Sample!A127,1)="H"),OR(LEFT(Sample!C127,2)="JI",LEFT(Sample!C127,1)="I")),"TS1",IF(AND(OR(LEFT(Sample!A127,1)="E",LEFT(Sample!A127,1)="H"),OR(LEFT(Sample!C127,2)="JX",LEFT(Sample!C127,1)="W",LEFT(Sample!C127,1)="X")),"TS95",IF(AND(OR(LEFT(Sample!A127,1)="E",LEFT(Sample!A127,1)="H"),OR(LEFT(Sample!C127,2)="JN",LEFT(Sample!C127,1)="N")),"TS3",IF(OR(LEFT(Sample!A127,1)="T",LEFT(Sample!A127,1)="B"),"TS24",IF(LEFT(Sample!A127,2)="CR","CARRIER9",IF(LEFT(Sample!A127,4)="DEL3","NIPTDEL3",Sample!A127))))))</f>
        <v>TS24</v>
      </c>
      <c r="O129" t="str">
        <f xml:space="preserve"> SUBSTITUTE( SUBSTITUTE( SUBSTITUTE( SUBSTITUTE( SUBSTITUTE( SUBSTITUTE( SUBSTITUTE( SUBSTITUTE( SampleImport!I129, "A", 1), "C", 2), "G", 3),"T", 4), 1, "T"), 2, "G"), 3, "C"), 4, "A")</f>
        <v>CGACATTC</v>
      </c>
    </row>
    <row r="130" spans="1:15" x14ac:dyDescent="0.35">
      <c r="A130" t="str">
        <f>Sample!B128&amp;"-"&amp;Sample!C128</f>
        <v>10-AAABLE34</v>
      </c>
      <c r="B130" t="str">
        <f>Sample!B128&amp;"-"&amp;Sample!C128</f>
        <v>10-AAABLE34</v>
      </c>
      <c r="C130" t="str">
        <f>Sample!A128</f>
        <v>T2934A</v>
      </c>
      <c r="F130" t="str">
        <f>Sample!K128</f>
        <v>S97138</v>
      </c>
      <c r="G130" t="str">
        <f>VLOOKUP(F130,'Index Sequence'!$A$2:$B$9808,2,FALSE)</f>
        <v>GTGCTTAC</v>
      </c>
      <c r="H130" t="str">
        <f>Sample!L128</f>
        <v>S95138</v>
      </c>
      <c r="I130" t="str">
        <f t="shared" si="1"/>
        <v>AGGAGGAA</v>
      </c>
      <c r="K130" t="str">
        <f>IF(AND(OR(LEFT(Sample!A128,1)="E",LEFT(Sample!A128,1)="H"),OR(LEFT(Sample!C128,2)="JI",LEFT(Sample!C128,1)="I")),"TS1",IF(AND(OR(LEFT(Sample!A128,1)="E",LEFT(Sample!A128,1)="H"),OR(LEFT(Sample!C128,2)="JX",LEFT(Sample!C128,1)="W",LEFT(Sample!C128,1)="X")),"TS95",IF(AND(OR(LEFT(Sample!A128,1)="E",LEFT(Sample!A128,1)="H"),OR(LEFT(Sample!C128,2)="JN",LEFT(Sample!C128,1)="N")),"TS3",IF(OR(LEFT(Sample!A128,1)="T",LEFT(Sample!A128,1)="B"),"TS24",IF(LEFT(Sample!A128,2)="CR","CARRIER9",IF(LEFT(Sample!A128,4)="DEL3","NIPTDEL3",Sample!A128))))))</f>
        <v>TS24</v>
      </c>
      <c r="O130" t="str">
        <f xml:space="preserve"> SUBSTITUTE( SUBSTITUTE( SUBSTITUTE( SUBSTITUTE( SUBSTITUTE( SUBSTITUTE( SUBSTITUTE( SUBSTITUTE( SampleImport!I130, "A", 1), "C", 2), "G", 3),"T", 4), 1, "T"), 2, "G"), 3, "C"), 4, "A")</f>
        <v>AAGGAGGA</v>
      </c>
    </row>
    <row r="131" spans="1:15" x14ac:dyDescent="0.35">
      <c r="A131" t="str">
        <f>Sample!B129&amp;"-"&amp;Sample!C129</f>
        <v>11-AAABLE35</v>
      </c>
      <c r="B131" t="str">
        <f>Sample!B129&amp;"-"&amp;Sample!C129</f>
        <v>11-AAABLE35</v>
      </c>
      <c r="C131" t="str">
        <f>Sample!A129</f>
        <v>T2934A</v>
      </c>
      <c r="F131" t="str">
        <f>Sample!K129</f>
        <v>S97139</v>
      </c>
      <c r="G131" t="str">
        <f>VLOOKUP(F131,'Index Sequence'!$A$2:$B$9808,2,FALSE)</f>
        <v>TCAAGGAC</v>
      </c>
      <c r="H131" t="str">
        <f>Sample!L129</f>
        <v>S95139</v>
      </c>
      <c r="I131" t="str">
        <f t="shared" si="1"/>
        <v>GACGAATG</v>
      </c>
      <c r="K131" t="str">
        <f>IF(AND(OR(LEFT(Sample!A129,1)="E",LEFT(Sample!A129,1)="H"),OR(LEFT(Sample!C129,2)="JI",LEFT(Sample!C129,1)="I")),"TS1",IF(AND(OR(LEFT(Sample!A129,1)="E",LEFT(Sample!A129,1)="H"),OR(LEFT(Sample!C129,2)="JX",LEFT(Sample!C129,1)="W",LEFT(Sample!C129,1)="X")),"TS95",IF(AND(OR(LEFT(Sample!A129,1)="E",LEFT(Sample!A129,1)="H"),OR(LEFT(Sample!C129,2)="JN",LEFT(Sample!C129,1)="N")),"TS3",IF(OR(LEFT(Sample!A129,1)="T",LEFT(Sample!A129,1)="B"),"TS24",IF(LEFT(Sample!A129,2)="CR","CARRIER9",IF(LEFT(Sample!A129,4)="DEL3","NIPTDEL3",Sample!A129))))))</f>
        <v>TS24</v>
      </c>
      <c r="O131" t="str">
        <f xml:space="preserve"> SUBSTITUTE( SUBSTITUTE( SUBSTITUTE( SUBSTITUTE( SUBSTITUTE( SUBSTITUTE( SUBSTITUTE( SUBSTITUTE( SampleImport!I131, "A", 1), "C", 2), "G", 3),"T", 4), 1, "T"), 2, "G"), 3, "C"), 4, "A")</f>
        <v>GTAAGCAG</v>
      </c>
    </row>
    <row r="132" spans="1:15" x14ac:dyDescent="0.35">
      <c r="A132" t="str">
        <f>Sample!B130&amp;"-"&amp;Sample!C130</f>
        <v>12-AAABLE36</v>
      </c>
      <c r="B132" t="str">
        <f>Sample!B130&amp;"-"&amp;Sample!C130</f>
        <v>12-AAABLE36</v>
      </c>
      <c r="C132" t="str">
        <f>Sample!A130</f>
        <v>T2934A</v>
      </c>
      <c r="F132" t="str">
        <f>Sample!K130</f>
        <v>S97140</v>
      </c>
      <c r="G132" t="str">
        <f>VLOOKUP(F132,'Index Sequence'!$A$2:$B$9808,2,FALSE)</f>
        <v>TGAACCTG</v>
      </c>
      <c r="H132" t="str">
        <f>Sample!L130</f>
        <v>S95140</v>
      </c>
      <c r="I132" t="str">
        <f t="shared" si="1"/>
        <v>GAAGAGGT</v>
      </c>
      <c r="K132" t="str">
        <f>IF(AND(OR(LEFT(Sample!A130,1)="E",LEFT(Sample!A130,1)="H"),OR(LEFT(Sample!C130,2)="JI",LEFT(Sample!C130,1)="I")),"TS1",IF(AND(OR(LEFT(Sample!A130,1)="E",LEFT(Sample!A130,1)="H"),OR(LEFT(Sample!C130,2)="JX",LEFT(Sample!C130,1)="W",LEFT(Sample!C130,1)="X")),"TS95",IF(AND(OR(LEFT(Sample!A130,1)="E",LEFT(Sample!A130,1)="H"),OR(LEFT(Sample!C130,2)="JN",LEFT(Sample!C130,1)="N")),"TS3",IF(OR(LEFT(Sample!A130,1)="T",LEFT(Sample!A130,1)="B"),"TS24",IF(LEFT(Sample!A130,2)="CR","CARRIER9",IF(LEFT(Sample!A130,4)="DEL3","NIPTDEL3",Sample!A130))))))</f>
        <v>TS24</v>
      </c>
      <c r="O132" t="str">
        <f xml:space="preserve"> SUBSTITUTE( SUBSTITUTE( SUBSTITUTE( SUBSTITUTE( SUBSTITUTE( SUBSTITUTE( SUBSTITUTE( SUBSTITUTE( SampleImport!I132, "A", 1), "C", 2), "G", 3),"T", 4), 1, "T"), 2, "G"), 3, "C"), 4, "A")</f>
        <v>TGGAGAAG</v>
      </c>
    </row>
    <row r="133" spans="1:15" x14ac:dyDescent="0.35">
      <c r="A133" t="str">
        <f>Sample!B131&amp;"-"&amp;Sample!C131</f>
        <v>13-AAABLE37</v>
      </c>
      <c r="B133" t="str">
        <f>Sample!B131&amp;"-"&amp;Sample!C131</f>
        <v>13-AAABLE37</v>
      </c>
      <c r="C133" t="str">
        <f>Sample!A131</f>
        <v>T2934A</v>
      </c>
      <c r="F133" t="str">
        <f>Sample!K131</f>
        <v>S97141</v>
      </c>
      <c r="G133" t="str">
        <f>VLOOKUP(F133,'Index Sequence'!$A$2:$B$9808,2,FALSE)</f>
        <v>AGTGTTGG</v>
      </c>
      <c r="H133" t="str">
        <f>Sample!L131</f>
        <v>S95141</v>
      </c>
      <c r="I133" t="str">
        <f t="shared" si="1"/>
        <v>CGTCAATG</v>
      </c>
      <c r="K133" t="str">
        <f>IF(AND(OR(LEFT(Sample!A131,1)="E",LEFT(Sample!A131,1)="H"),OR(LEFT(Sample!C131,2)="JI",LEFT(Sample!C131,1)="I")),"TS1",IF(AND(OR(LEFT(Sample!A131,1)="E",LEFT(Sample!A131,1)="H"),OR(LEFT(Sample!C131,2)="JX",LEFT(Sample!C131,1)="W",LEFT(Sample!C131,1)="X")),"TS95",IF(AND(OR(LEFT(Sample!A131,1)="E",LEFT(Sample!A131,1)="H"),OR(LEFT(Sample!C131,2)="JN",LEFT(Sample!C131,1)="N")),"TS3",IF(OR(LEFT(Sample!A131,1)="T",LEFT(Sample!A131,1)="B"),"TS24",IF(LEFT(Sample!A131,2)="CR","CARRIER9",IF(LEFT(Sample!A131,4)="DEL3","NIPTDEL3",Sample!A131))))))</f>
        <v>TS24</v>
      </c>
      <c r="O133" t="str">
        <f xml:space="preserve"> SUBSTITUTE( SUBSTITUTE( SUBSTITUTE( SUBSTITUTE( SUBSTITUTE( SUBSTITUTE( SUBSTITUTE( SUBSTITUTE( SampleImport!I133, "A", 1), "C", 2), "G", 3),"T", 4), 1, "T"), 2, "G"), 3, "C"), 4, "A")</f>
        <v>GTAACTGC</v>
      </c>
    </row>
    <row r="134" spans="1:15" x14ac:dyDescent="0.35">
      <c r="A134" t="str">
        <f>Sample!B132&amp;"-"&amp;Sample!C132</f>
        <v>14-AAABLE38</v>
      </c>
      <c r="B134" t="str">
        <f>Sample!B132&amp;"-"&amp;Sample!C132</f>
        <v>14-AAABLE38</v>
      </c>
      <c r="C134" t="str">
        <f>Sample!A132</f>
        <v>T2934A</v>
      </c>
      <c r="F134" t="str">
        <f>Sample!K132</f>
        <v>S97142</v>
      </c>
      <c r="G134" t="str">
        <f>VLOOKUP(F134,'Index Sequence'!$A$2:$B$9808,2,FALSE)</f>
        <v>GTACTCTC</v>
      </c>
      <c r="H134" t="str">
        <f>Sample!L132</f>
        <v>S95142</v>
      </c>
      <c r="I134" t="str">
        <f t="shared" si="1"/>
        <v>TACCAGGA</v>
      </c>
      <c r="K134" t="str">
        <f>IF(AND(OR(LEFT(Sample!A132,1)="E",LEFT(Sample!A132,1)="H"),OR(LEFT(Sample!C132,2)="JI",LEFT(Sample!C132,1)="I")),"TS1",IF(AND(OR(LEFT(Sample!A132,1)="E",LEFT(Sample!A132,1)="H"),OR(LEFT(Sample!C132,2)="JX",LEFT(Sample!C132,1)="W",LEFT(Sample!C132,1)="X")),"TS95",IF(AND(OR(LEFT(Sample!A132,1)="E",LEFT(Sample!A132,1)="H"),OR(LEFT(Sample!C132,2)="JN",LEFT(Sample!C132,1)="N")),"TS3",IF(OR(LEFT(Sample!A132,1)="T",LEFT(Sample!A132,1)="B"),"TS24",IF(LEFT(Sample!A132,2)="CR","CARRIER9",IF(LEFT(Sample!A132,4)="DEL3","NIPTDEL3",Sample!A132))))))</f>
        <v>TS24</v>
      </c>
      <c r="O134" t="str">
        <f xml:space="preserve"> SUBSTITUTE( SUBSTITUTE( SUBSTITUTE( SUBSTITUTE( SUBSTITUTE( SUBSTITUTE( SUBSTITUTE( SUBSTITUTE( SampleImport!I134, "A", 1), "C", 2), "G", 3),"T", 4), 1, "T"), 2, "G"), 3, "C"), 4, "A")</f>
        <v>AGGACCAT</v>
      </c>
    </row>
    <row r="135" spans="1:15" x14ac:dyDescent="0.35">
      <c r="A135" t="str">
        <f>Sample!B133&amp;"-"&amp;Sample!C133</f>
        <v>15-AAABLE39</v>
      </c>
      <c r="B135" t="str">
        <f>Sample!B133&amp;"-"&amp;Sample!C133</f>
        <v>15-AAABLE39</v>
      </c>
      <c r="C135" t="str">
        <f>Sample!A133</f>
        <v>T2934A</v>
      </c>
      <c r="F135" t="str">
        <f>Sample!K133</f>
        <v>S97143</v>
      </c>
      <c r="G135" t="str">
        <f>VLOOKUP(F135,'Index Sequence'!$A$2:$B$9808,2,FALSE)</f>
        <v>CCGTATCT</v>
      </c>
      <c r="H135" t="str">
        <f>Sample!L133</f>
        <v>S95143</v>
      </c>
      <c r="I135" t="str">
        <f t="shared" si="1"/>
        <v>CGTACGAA</v>
      </c>
      <c r="K135" t="str">
        <f>IF(AND(OR(LEFT(Sample!A133,1)="E",LEFT(Sample!A133,1)="H"),OR(LEFT(Sample!C133,2)="JI",LEFT(Sample!C133,1)="I")),"TS1",IF(AND(OR(LEFT(Sample!A133,1)="E",LEFT(Sample!A133,1)="H"),OR(LEFT(Sample!C133,2)="JX",LEFT(Sample!C133,1)="W",LEFT(Sample!C133,1)="X")),"TS95",IF(AND(OR(LEFT(Sample!A133,1)="E",LEFT(Sample!A133,1)="H"),OR(LEFT(Sample!C133,2)="JN",LEFT(Sample!C133,1)="N")),"TS3",IF(OR(LEFT(Sample!A133,1)="T",LEFT(Sample!A133,1)="B"),"TS24",IF(LEFT(Sample!A133,2)="CR","CARRIER9",IF(LEFT(Sample!A133,4)="DEL3","NIPTDEL3",Sample!A133))))))</f>
        <v>TS24</v>
      </c>
      <c r="O135" t="str">
        <f xml:space="preserve"> SUBSTITUTE( SUBSTITUTE( SUBSTITUTE( SUBSTITUTE( SUBSTITUTE( SUBSTITUTE( SUBSTITUTE( SUBSTITUTE( SampleImport!I135, "A", 1), "C", 2), "G", 3),"T", 4), 1, "T"), 2, "G"), 3, "C"), 4, "A")</f>
        <v>AAGCATGC</v>
      </c>
    </row>
    <row r="136" spans="1:15" x14ac:dyDescent="0.35">
      <c r="A136" t="str">
        <f>Sample!B134&amp;"-"&amp;Sample!C134</f>
        <v>16-AAABLE40</v>
      </c>
      <c r="B136" t="str">
        <f>Sample!B134&amp;"-"&amp;Sample!C134</f>
        <v>16-AAABLE40</v>
      </c>
      <c r="C136" t="str">
        <f>Sample!A134</f>
        <v>T2934A</v>
      </c>
      <c r="F136" t="str">
        <f>Sample!K134</f>
        <v>S97144</v>
      </c>
      <c r="G136" t="str">
        <f>VLOOKUP(F136,'Index Sequence'!$A$2:$B$9808,2,FALSE)</f>
        <v>CGAAGAAC</v>
      </c>
      <c r="H136" t="str">
        <f>Sample!L134</f>
        <v>S95144</v>
      </c>
      <c r="I136" t="str">
        <f t="shared" si="1"/>
        <v>GACTTAGG</v>
      </c>
      <c r="K136" t="str">
        <f>IF(AND(OR(LEFT(Sample!A134,1)="E",LEFT(Sample!A134,1)="H"),OR(LEFT(Sample!C134,2)="JI",LEFT(Sample!C134,1)="I")),"TS1",IF(AND(OR(LEFT(Sample!A134,1)="E",LEFT(Sample!A134,1)="H"),OR(LEFT(Sample!C134,2)="JX",LEFT(Sample!C134,1)="W",LEFT(Sample!C134,1)="X")),"TS95",IF(AND(OR(LEFT(Sample!A134,1)="E",LEFT(Sample!A134,1)="H"),OR(LEFT(Sample!C134,2)="JN",LEFT(Sample!C134,1)="N")),"TS3",IF(OR(LEFT(Sample!A134,1)="T",LEFT(Sample!A134,1)="B"),"TS24",IF(LEFT(Sample!A134,2)="CR","CARRIER9",IF(LEFT(Sample!A134,4)="DEL3","NIPTDEL3",Sample!A134))))))</f>
        <v>TS24</v>
      </c>
      <c r="O136" t="str">
        <f xml:space="preserve"> SUBSTITUTE( SUBSTITUTE( SUBSTITUTE( SUBSTITUTE( SUBSTITUTE( SUBSTITUTE( SUBSTITUTE( SUBSTITUTE( SampleImport!I136, "A", 1), "C", 2), "G", 3),"T", 4), 1, "T"), 2, "G"), 3, "C"), 4, "A")</f>
        <v>GGATTCAG</v>
      </c>
    </row>
    <row r="137" spans="1:15" x14ac:dyDescent="0.35">
      <c r="A137" t="str">
        <f>Sample!B135&amp;"-"&amp;Sample!C135</f>
        <v>17-AAABLE41</v>
      </c>
      <c r="B137" t="str">
        <f>Sample!B135&amp;"-"&amp;Sample!C135</f>
        <v>17-AAABLE41</v>
      </c>
      <c r="C137" t="str">
        <f>Sample!A135</f>
        <v>T2934A</v>
      </c>
      <c r="F137" t="str">
        <f>Sample!K135</f>
        <v>S97151</v>
      </c>
      <c r="G137" t="str">
        <f>VLOOKUP(F137,'Index Sequence'!$A$2:$B$9808,2,FALSE)</f>
        <v>TTCGCAGT</v>
      </c>
      <c r="H137" t="str">
        <f>Sample!L135</f>
        <v>S95151</v>
      </c>
      <c r="I137" t="str">
        <f t="shared" si="1"/>
        <v>TGATCGGA</v>
      </c>
      <c r="K137" t="str">
        <f>IF(AND(OR(LEFT(Sample!A135,1)="E",LEFT(Sample!A135,1)="H"),OR(LEFT(Sample!C135,2)="JI",LEFT(Sample!C135,1)="I")),"TS1",IF(AND(OR(LEFT(Sample!A135,1)="E",LEFT(Sample!A135,1)="H"),OR(LEFT(Sample!C135,2)="JX",LEFT(Sample!C135,1)="W",LEFT(Sample!C135,1)="X")),"TS95",IF(AND(OR(LEFT(Sample!A135,1)="E",LEFT(Sample!A135,1)="H"),OR(LEFT(Sample!C135,2)="JN",LEFT(Sample!C135,1)="N")),"TS3",IF(OR(LEFT(Sample!A135,1)="T",LEFT(Sample!A135,1)="B"),"TS24",IF(LEFT(Sample!A135,2)="CR","CARRIER9",IF(LEFT(Sample!A135,4)="DEL3","NIPTDEL3",Sample!A135))))))</f>
        <v>TS24</v>
      </c>
      <c r="O137" t="str">
        <f xml:space="preserve"> SUBSTITUTE( SUBSTITUTE( SUBSTITUTE( SUBSTITUTE( SUBSTITUTE( SUBSTITUTE( SUBSTITUTE( SUBSTITUTE( SampleImport!I137, "A", 1), "C", 2), "G", 3),"T", 4), 1, "T"), 2, "G"), 3, "C"), 4, "A")</f>
        <v>AGGCTAGT</v>
      </c>
    </row>
    <row r="138" spans="1:15" x14ac:dyDescent="0.35">
      <c r="A138" t="str">
        <f>Sample!B136&amp;"-"&amp;Sample!C136</f>
        <v>18-AAABLE42</v>
      </c>
      <c r="B138" t="str">
        <f>Sample!B136&amp;"-"&amp;Sample!C136</f>
        <v>18-AAABLE42</v>
      </c>
      <c r="C138" t="str">
        <f>Sample!A136</f>
        <v>T2934A</v>
      </c>
      <c r="F138" t="str">
        <f>Sample!K136</f>
        <v>S97152</v>
      </c>
      <c r="G138" t="str">
        <f>VLOOKUP(F138,'Index Sequence'!$A$2:$B$9808,2,FALSE)</f>
        <v>ACGACAGA</v>
      </c>
      <c r="H138" t="str">
        <f>Sample!L136</f>
        <v>S95152</v>
      </c>
      <c r="I138" t="str">
        <f t="shared" si="1"/>
        <v>TAGTTGCG</v>
      </c>
      <c r="K138" t="str">
        <f>IF(AND(OR(LEFT(Sample!A136,1)="E",LEFT(Sample!A136,1)="H"),OR(LEFT(Sample!C136,2)="JI",LEFT(Sample!C136,1)="I")),"TS1",IF(AND(OR(LEFT(Sample!A136,1)="E",LEFT(Sample!A136,1)="H"),OR(LEFT(Sample!C136,2)="JX",LEFT(Sample!C136,1)="W",LEFT(Sample!C136,1)="X")),"TS95",IF(AND(OR(LEFT(Sample!A136,1)="E",LEFT(Sample!A136,1)="H"),OR(LEFT(Sample!C136,2)="JN",LEFT(Sample!C136,1)="N")),"TS3",IF(OR(LEFT(Sample!A136,1)="T",LEFT(Sample!A136,1)="B"),"TS24",IF(LEFT(Sample!A136,2)="CR","CARRIER9",IF(LEFT(Sample!A136,4)="DEL3","NIPTDEL3",Sample!A136))))))</f>
        <v>TS24</v>
      </c>
      <c r="O138" t="str">
        <f xml:space="preserve"> SUBSTITUTE( SUBSTITUTE( SUBSTITUTE( SUBSTITUTE( SUBSTITUTE( SUBSTITUTE( SUBSTITUTE( SUBSTITUTE( SampleImport!I138, "A", 1), "C", 2), "G", 3),"T", 4), 1, "T"), 2, "G"), 3, "C"), 4, "A")</f>
        <v>GCGTTGAT</v>
      </c>
    </row>
    <row r="139" spans="1:15" x14ac:dyDescent="0.35">
      <c r="A139" t="str">
        <f>Sample!B137&amp;"-"&amp;Sample!C137</f>
        <v>19-XAACLF30xxy</v>
      </c>
      <c r="B139" t="str">
        <f>Sample!B137&amp;"-"&amp;Sample!C137</f>
        <v>19-XAACLF30xxy</v>
      </c>
      <c r="C139" t="str">
        <f>Sample!A137</f>
        <v>T2934A</v>
      </c>
      <c r="F139" t="str">
        <f>Sample!K137</f>
        <v>S97272</v>
      </c>
      <c r="G139" t="str">
        <f>VLOOKUP(F139,'Index Sequence'!$A$2:$B$9808,2,FALSE)</f>
        <v>ACTGCTAG</v>
      </c>
      <c r="H139" t="str">
        <f>Sample!L137</f>
        <v>S95272</v>
      </c>
      <c r="I139" t="str">
        <f t="shared" si="1"/>
        <v>CCAGTGTT</v>
      </c>
      <c r="K139" t="str">
        <f>IF(AND(OR(LEFT(Sample!A137,1)="E",LEFT(Sample!A137,1)="H"),OR(LEFT(Sample!C137,2)="JI",LEFT(Sample!C137,1)="I")),"TS1",IF(AND(OR(LEFT(Sample!A137,1)="E",LEFT(Sample!A137,1)="H"),OR(LEFT(Sample!C137,2)="JX",LEFT(Sample!C137,1)="W",LEFT(Sample!C137,1)="X")),"TS95",IF(AND(OR(LEFT(Sample!A137,1)="E",LEFT(Sample!A137,1)="H"),OR(LEFT(Sample!C137,2)="JN",LEFT(Sample!C137,1)="N")),"TS3",IF(OR(LEFT(Sample!A137,1)="T",LEFT(Sample!A137,1)="B"),"TS24",IF(LEFT(Sample!A137,2)="CR","CARRIER9",IF(LEFT(Sample!A137,4)="DEL3","NIPTDEL3",Sample!A137))))))</f>
        <v>TS24</v>
      </c>
      <c r="O139" t="str">
        <f xml:space="preserve"> SUBSTITUTE( SUBSTITUTE( SUBSTITUTE( SUBSTITUTE( SUBSTITUTE( SUBSTITUTE( SUBSTITUTE( SUBSTITUTE( SampleImport!I139, "A", 1), "C", 2), "G", 3),"T", 4), 1, "T"), 2, "G"), 3, "C"), 4, "A")</f>
        <v>TTGTGACC</v>
      </c>
    </row>
    <row r="140" spans="1:15" x14ac:dyDescent="0.35">
      <c r="A140" t="str">
        <f>Sample!B138&amp;"-"&amp;Sample!C138</f>
        <v>1-SAAAFX86</v>
      </c>
      <c r="B140" t="str">
        <f>Sample!B138&amp;"-"&amp;Sample!C138</f>
        <v>1-SAAAFX86</v>
      </c>
      <c r="C140" t="str">
        <f>Sample!A138</f>
        <v>T2935A</v>
      </c>
      <c r="F140" t="str">
        <f>Sample!K138</f>
        <v>S97097</v>
      </c>
      <c r="G140" t="str">
        <f>VLOOKUP(F140,'Index Sequence'!$A$2:$B$9808,2,FALSE)</f>
        <v>GCCTATCA</v>
      </c>
      <c r="H140" t="str">
        <f>Sample!L138</f>
        <v>S95097</v>
      </c>
      <c r="I140" t="str">
        <f t="shared" si="1"/>
        <v>CGACCATT</v>
      </c>
      <c r="K140" t="str">
        <f>IF(AND(OR(LEFT(Sample!A138,1)="E",LEFT(Sample!A138,1)="H"),OR(LEFT(Sample!C138,2)="JI",LEFT(Sample!C138,1)="I")),"TS1",IF(AND(OR(LEFT(Sample!A138,1)="E",LEFT(Sample!A138,1)="H"),OR(LEFT(Sample!C138,2)="JX",LEFT(Sample!C138,1)="W",LEFT(Sample!C138,1)="X")),"TS95",IF(AND(OR(LEFT(Sample!A138,1)="E",LEFT(Sample!A138,1)="H"),OR(LEFT(Sample!C138,2)="JN",LEFT(Sample!C138,1)="N")),"TS3",IF(OR(LEFT(Sample!A138,1)="T",LEFT(Sample!A138,1)="B"),"TS24",IF(LEFT(Sample!A138,2)="CR","CARRIER9",IF(LEFT(Sample!A138,4)="DEL3","NIPTDEL3",Sample!A138))))))</f>
        <v>TS24</v>
      </c>
      <c r="O140" t="str">
        <f xml:space="preserve"> SUBSTITUTE( SUBSTITUTE( SUBSTITUTE( SUBSTITUTE( SUBSTITUTE( SUBSTITUTE( SUBSTITUTE( SUBSTITUTE( SampleImport!I140, "A", 1), "C", 2), "G", 3),"T", 4), 1, "T"), 2, "G"), 3, "C"), 4, "A")</f>
        <v>TTACCAGC</v>
      </c>
    </row>
    <row r="141" spans="1:15" x14ac:dyDescent="0.35">
      <c r="A141" t="str">
        <f>Sample!B139&amp;"-"&amp;Sample!C139</f>
        <v>2-SAAAFX87</v>
      </c>
      <c r="B141" t="str">
        <f>Sample!B139&amp;"-"&amp;Sample!C139</f>
        <v>2-SAAAFX87</v>
      </c>
      <c r="C141" t="str">
        <f>Sample!A139</f>
        <v>T2935A</v>
      </c>
      <c r="F141" t="str">
        <f>Sample!K139</f>
        <v>S97098</v>
      </c>
      <c r="G141" t="str">
        <f>VLOOKUP(F141,'Index Sequence'!$A$2:$B$9808,2,FALSE)</f>
        <v>CTTGGATG</v>
      </c>
      <c r="H141" t="str">
        <f>Sample!L139</f>
        <v>S95098</v>
      </c>
      <c r="I141" t="str">
        <f t="shared" si="1"/>
        <v>GATAGCGA</v>
      </c>
      <c r="K141" t="str">
        <f>IF(AND(OR(LEFT(Sample!A139,1)="E",LEFT(Sample!A139,1)="H"),OR(LEFT(Sample!C139,2)="JI",LEFT(Sample!C139,1)="I")),"TS1",IF(AND(OR(LEFT(Sample!A139,1)="E",LEFT(Sample!A139,1)="H"),OR(LEFT(Sample!C139,2)="JX",LEFT(Sample!C139,1)="W",LEFT(Sample!C139,1)="X")),"TS95",IF(AND(OR(LEFT(Sample!A139,1)="E",LEFT(Sample!A139,1)="H"),OR(LEFT(Sample!C139,2)="JN",LEFT(Sample!C139,1)="N")),"TS3",IF(OR(LEFT(Sample!A139,1)="T",LEFT(Sample!A139,1)="B"),"TS24",IF(LEFT(Sample!A139,2)="CR","CARRIER9",IF(LEFT(Sample!A139,4)="DEL3","NIPTDEL3",Sample!A139))))))</f>
        <v>TS24</v>
      </c>
      <c r="O141" t="str">
        <f xml:space="preserve"> SUBSTITUTE( SUBSTITUTE( SUBSTITUTE( SUBSTITUTE( SUBSTITUTE( SUBSTITUTE( SUBSTITUTE( SUBSTITUTE( SampleImport!I141, "A", 1), "C", 2), "G", 3),"T", 4), 1, "T"), 2, "G"), 3, "C"), 4, "A")</f>
        <v>AGCGATAG</v>
      </c>
    </row>
    <row r="142" spans="1:15" x14ac:dyDescent="0.35">
      <c r="A142" t="str">
        <f>Sample!B140&amp;"-"&amp;Sample!C140</f>
        <v>3-SAAAFX88</v>
      </c>
      <c r="B142" t="str">
        <f>Sample!B140&amp;"-"&amp;Sample!C140</f>
        <v>3-SAAAFX88</v>
      </c>
      <c r="C142" t="str">
        <f>Sample!A140</f>
        <v>T2935A</v>
      </c>
      <c r="F142" t="str">
        <f>Sample!K140</f>
        <v>S97099</v>
      </c>
      <c r="G142" t="str">
        <f>VLOOKUP(F142,'Index Sequence'!$A$2:$B$9808,2,FALSE)</f>
        <v>AGTCTCAC</v>
      </c>
      <c r="H142" t="str">
        <f>Sample!L140</f>
        <v>S95099</v>
      </c>
      <c r="I142" t="str">
        <f t="shared" si="1"/>
        <v>AATGGACG</v>
      </c>
      <c r="K142" t="str">
        <f>IF(AND(OR(LEFT(Sample!A140,1)="E",LEFT(Sample!A140,1)="H"),OR(LEFT(Sample!C140,2)="JI",LEFT(Sample!C140,1)="I")),"TS1",IF(AND(OR(LEFT(Sample!A140,1)="E",LEFT(Sample!A140,1)="H"),OR(LEFT(Sample!C140,2)="JX",LEFT(Sample!C140,1)="W",LEFT(Sample!C140,1)="X")),"TS95",IF(AND(OR(LEFT(Sample!A140,1)="E",LEFT(Sample!A140,1)="H"),OR(LEFT(Sample!C140,2)="JN",LEFT(Sample!C140,1)="N")),"TS3",IF(OR(LEFT(Sample!A140,1)="T",LEFT(Sample!A140,1)="B"),"TS24",IF(LEFT(Sample!A140,2)="CR","CARRIER9",IF(LEFT(Sample!A140,4)="DEL3","NIPTDEL3",Sample!A140))))))</f>
        <v>TS24</v>
      </c>
      <c r="O142" t="str">
        <f xml:space="preserve"> SUBSTITUTE( SUBSTITUTE( SUBSTITUTE( SUBSTITUTE( SUBSTITUTE( SUBSTITUTE( SUBSTITUTE( SUBSTITUTE( SampleImport!I142, "A", 1), "C", 2), "G", 3),"T", 4), 1, "T"), 2, "G"), 3, "C"), 4, "A")</f>
        <v>GCAGGTAA</v>
      </c>
    </row>
    <row r="143" spans="1:15" x14ac:dyDescent="0.35">
      <c r="A143" t="str">
        <f>Sample!B141&amp;"-"&amp;Sample!C141</f>
        <v>4-SAAAFX89</v>
      </c>
      <c r="B143" t="str">
        <f>Sample!B141&amp;"-"&amp;Sample!C141</f>
        <v>4-SAAAFX89</v>
      </c>
      <c r="C143" t="str">
        <f>Sample!A141</f>
        <v>T2935A</v>
      </c>
      <c r="F143" t="str">
        <f>Sample!K141</f>
        <v>S97100</v>
      </c>
      <c r="G143" t="str">
        <f>VLOOKUP(F143,'Index Sequence'!$A$2:$B$9808,2,FALSE)</f>
        <v>CTCATCAG</v>
      </c>
      <c r="H143" t="str">
        <f>Sample!L141</f>
        <v>S95100</v>
      </c>
      <c r="I143" t="str">
        <f t="shared" si="1"/>
        <v>CGCTAGTA</v>
      </c>
      <c r="K143" t="str">
        <f>IF(AND(OR(LEFT(Sample!A141,1)="E",LEFT(Sample!A141,1)="H"),OR(LEFT(Sample!C141,2)="JI",LEFT(Sample!C141,1)="I")),"TS1",IF(AND(OR(LEFT(Sample!A141,1)="E",LEFT(Sample!A141,1)="H"),OR(LEFT(Sample!C141,2)="JX",LEFT(Sample!C141,1)="W",LEFT(Sample!C141,1)="X")),"TS95",IF(AND(OR(LEFT(Sample!A141,1)="E",LEFT(Sample!A141,1)="H"),OR(LEFT(Sample!C141,2)="JN",LEFT(Sample!C141,1)="N")),"TS3",IF(OR(LEFT(Sample!A141,1)="T",LEFT(Sample!A141,1)="B"),"TS24",IF(LEFT(Sample!A141,2)="CR","CARRIER9",IF(LEFT(Sample!A141,4)="DEL3","NIPTDEL3",Sample!A141))))))</f>
        <v>TS24</v>
      </c>
      <c r="O143" t="str">
        <f xml:space="preserve"> SUBSTITUTE( SUBSTITUTE( SUBSTITUTE( SUBSTITUTE( SUBSTITUTE( SUBSTITUTE( SUBSTITUTE( SUBSTITUTE( SampleImport!I143, "A", 1), "C", 2), "G", 3),"T", 4), 1, "T"), 2, "G"), 3, "C"), 4, "A")</f>
        <v>ATGATCGC</v>
      </c>
    </row>
    <row r="144" spans="1:15" x14ac:dyDescent="0.35">
      <c r="A144" t="str">
        <f>Sample!B142&amp;"-"&amp;Sample!C142</f>
        <v>5-SAAAFX90</v>
      </c>
      <c r="B144" t="str">
        <f>Sample!B142&amp;"-"&amp;Sample!C142</f>
        <v>5-SAAAFX90</v>
      </c>
      <c r="C144" t="str">
        <f>Sample!A142</f>
        <v>T2935A</v>
      </c>
      <c r="F144" t="str">
        <f>Sample!K142</f>
        <v>S97101</v>
      </c>
      <c r="G144" t="str">
        <f>VLOOKUP(F144,'Index Sequence'!$A$2:$B$9808,2,FALSE)</f>
        <v>TGTACCGT</v>
      </c>
      <c r="H144" t="str">
        <f>Sample!L142</f>
        <v>S95101</v>
      </c>
      <c r="I144" t="str">
        <f t="shared" si="1"/>
        <v>TCTCTAGG</v>
      </c>
      <c r="K144" t="str">
        <f>IF(AND(OR(LEFT(Sample!A142,1)="E",LEFT(Sample!A142,1)="H"),OR(LEFT(Sample!C142,2)="JI",LEFT(Sample!C142,1)="I")),"TS1",IF(AND(OR(LEFT(Sample!A142,1)="E",LEFT(Sample!A142,1)="H"),OR(LEFT(Sample!C142,2)="JX",LEFT(Sample!C142,1)="W",LEFT(Sample!C142,1)="X")),"TS95",IF(AND(OR(LEFT(Sample!A142,1)="E",LEFT(Sample!A142,1)="H"),OR(LEFT(Sample!C142,2)="JN",LEFT(Sample!C142,1)="N")),"TS3",IF(OR(LEFT(Sample!A142,1)="T",LEFT(Sample!A142,1)="B"),"TS24",IF(LEFT(Sample!A142,2)="CR","CARRIER9",IF(LEFT(Sample!A142,4)="DEL3","NIPTDEL3",Sample!A142))))))</f>
        <v>TS24</v>
      </c>
      <c r="O144" t="str">
        <f xml:space="preserve"> SUBSTITUTE( SUBSTITUTE( SUBSTITUTE( SUBSTITUTE( SUBSTITUTE( SUBSTITUTE( SUBSTITUTE( SUBSTITUTE( SampleImport!I144, "A", 1), "C", 2), "G", 3),"T", 4), 1, "T"), 2, "G"), 3, "C"), 4, "A")</f>
        <v>GGATCTCT</v>
      </c>
    </row>
    <row r="145" spans="1:15" x14ac:dyDescent="0.35">
      <c r="A145" t="str">
        <f>Sample!B143&amp;"-"&amp;Sample!C143</f>
        <v>6-SAAAFX91</v>
      </c>
      <c r="B145" t="str">
        <f>Sample!B143&amp;"-"&amp;Sample!C143</f>
        <v>6-SAAAFX91</v>
      </c>
      <c r="C145" t="str">
        <f>Sample!A143</f>
        <v>T2935A</v>
      </c>
      <c r="F145" t="str">
        <f>Sample!K143</f>
        <v>S97102</v>
      </c>
      <c r="G145" t="str">
        <f>VLOOKUP(F145,'Index Sequence'!$A$2:$B$9808,2,FALSE)</f>
        <v>AAGTCGAG</v>
      </c>
      <c r="H145" t="str">
        <f>Sample!L143</f>
        <v>S95102</v>
      </c>
      <c r="I145" t="str">
        <f t="shared" si="1"/>
        <v>ACATTGCG</v>
      </c>
      <c r="K145" t="str">
        <f>IF(AND(OR(LEFT(Sample!A143,1)="E",LEFT(Sample!A143,1)="H"),OR(LEFT(Sample!C143,2)="JI",LEFT(Sample!C143,1)="I")),"TS1",IF(AND(OR(LEFT(Sample!A143,1)="E",LEFT(Sample!A143,1)="H"),OR(LEFT(Sample!C143,2)="JX",LEFT(Sample!C143,1)="W",LEFT(Sample!C143,1)="X")),"TS95",IF(AND(OR(LEFT(Sample!A143,1)="E",LEFT(Sample!A143,1)="H"),OR(LEFT(Sample!C143,2)="JN",LEFT(Sample!C143,1)="N")),"TS3",IF(OR(LEFT(Sample!A143,1)="T",LEFT(Sample!A143,1)="B"),"TS24",IF(LEFT(Sample!A143,2)="CR","CARRIER9",IF(LEFT(Sample!A143,4)="DEL3","NIPTDEL3",Sample!A143))))))</f>
        <v>TS24</v>
      </c>
      <c r="O145" t="str">
        <f xml:space="preserve"> SUBSTITUTE( SUBSTITUTE( SUBSTITUTE( SUBSTITUTE( SUBSTITUTE( SUBSTITUTE( SUBSTITUTE( SUBSTITUTE( SampleImport!I145, "A", 1), "C", 2), "G", 3),"T", 4), 1, "T"), 2, "G"), 3, "C"), 4, "A")</f>
        <v>GCGTTACA</v>
      </c>
    </row>
    <row r="146" spans="1:15" x14ac:dyDescent="0.35">
      <c r="A146" t="str">
        <f>Sample!B144&amp;"-"&amp;Sample!C144</f>
        <v>7-SAAAFX92</v>
      </c>
      <c r="B146" t="str">
        <f>Sample!B144&amp;"-"&amp;Sample!C144</f>
        <v>7-SAAAFX92</v>
      </c>
      <c r="C146" t="str">
        <f>Sample!A144</f>
        <v>T2935A</v>
      </c>
      <c r="F146" t="str">
        <f>Sample!K144</f>
        <v>S97103</v>
      </c>
      <c r="G146" t="str">
        <f>VLOOKUP(F146,'Index Sequence'!$A$2:$B$9808,2,FALSE)</f>
        <v>CACGTTGT</v>
      </c>
      <c r="H146" t="str">
        <f>Sample!L144</f>
        <v>S95103</v>
      </c>
      <c r="I146" t="str">
        <f t="shared" si="1"/>
        <v>TGAGGTGT</v>
      </c>
      <c r="K146" t="str">
        <f>IF(AND(OR(LEFT(Sample!A144,1)="E",LEFT(Sample!A144,1)="H"),OR(LEFT(Sample!C144,2)="JI",LEFT(Sample!C144,1)="I")),"TS1",IF(AND(OR(LEFT(Sample!A144,1)="E",LEFT(Sample!A144,1)="H"),OR(LEFT(Sample!C144,2)="JX",LEFT(Sample!C144,1)="W",LEFT(Sample!C144,1)="X")),"TS95",IF(AND(OR(LEFT(Sample!A144,1)="E",LEFT(Sample!A144,1)="H"),OR(LEFT(Sample!C144,2)="JN",LEFT(Sample!C144,1)="N")),"TS3",IF(OR(LEFT(Sample!A144,1)="T",LEFT(Sample!A144,1)="B"),"TS24",IF(LEFT(Sample!A144,2)="CR","CARRIER9",IF(LEFT(Sample!A144,4)="DEL3","NIPTDEL3",Sample!A144))))))</f>
        <v>TS24</v>
      </c>
      <c r="O146" t="str">
        <f xml:space="preserve"> SUBSTITUTE( SUBSTITUTE( SUBSTITUTE( SUBSTITUTE( SUBSTITUTE( SUBSTITUTE( SUBSTITUTE( SUBSTITUTE( SampleImport!I146, "A", 1), "C", 2), "G", 3),"T", 4), 1, "T"), 2, "G"), 3, "C"), 4, "A")</f>
        <v>TGTGGAGT</v>
      </c>
    </row>
    <row r="147" spans="1:15" x14ac:dyDescent="0.35">
      <c r="A147" t="str">
        <f>Sample!B145&amp;"-"&amp;Sample!C145</f>
        <v>8-SAAAFX93</v>
      </c>
      <c r="B147" t="str">
        <f>Sample!B145&amp;"-"&amp;Sample!C145</f>
        <v>8-SAAAFX93</v>
      </c>
      <c r="C147" t="str">
        <f>Sample!A145</f>
        <v>T2935A</v>
      </c>
      <c r="F147" t="str">
        <f>Sample!K145</f>
        <v>S97104</v>
      </c>
      <c r="G147" t="str">
        <f>VLOOKUP(F147,'Index Sequence'!$A$2:$B$9808,2,FALSE)</f>
        <v>TCACAGCA</v>
      </c>
      <c r="H147" t="str">
        <f>Sample!L145</f>
        <v>S95104</v>
      </c>
      <c r="I147" t="str">
        <f t="shared" si="1"/>
        <v>AATGCCTC</v>
      </c>
      <c r="K147" t="str">
        <f>IF(AND(OR(LEFT(Sample!A145,1)="E",LEFT(Sample!A145,1)="H"),OR(LEFT(Sample!C145,2)="JI",LEFT(Sample!C145,1)="I")),"TS1",IF(AND(OR(LEFT(Sample!A145,1)="E",LEFT(Sample!A145,1)="H"),OR(LEFT(Sample!C145,2)="JX",LEFT(Sample!C145,1)="W",LEFT(Sample!C145,1)="X")),"TS95",IF(AND(OR(LEFT(Sample!A145,1)="E",LEFT(Sample!A145,1)="H"),OR(LEFT(Sample!C145,2)="JN",LEFT(Sample!C145,1)="N")),"TS3",IF(OR(LEFT(Sample!A145,1)="T",LEFT(Sample!A145,1)="B"),"TS24",IF(LEFT(Sample!A145,2)="CR","CARRIER9",IF(LEFT(Sample!A145,4)="DEL3","NIPTDEL3",Sample!A145))))))</f>
        <v>TS24</v>
      </c>
      <c r="O147" t="str">
        <f xml:space="preserve"> SUBSTITUTE( SUBSTITUTE( SUBSTITUTE( SUBSTITUTE( SUBSTITUTE( SUBSTITUTE( SUBSTITUTE( SUBSTITUTE( SampleImport!I147, "A", 1), "C", 2), "G", 3),"T", 4), 1, "T"), 2, "G"), 3, "C"), 4, "A")</f>
        <v>CTCCGTAA</v>
      </c>
    </row>
    <row r="148" spans="1:15" x14ac:dyDescent="0.35">
      <c r="A148" t="str">
        <f>Sample!B146&amp;"-"&amp;Sample!C146</f>
        <v>9-SAAAFX94</v>
      </c>
      <c r="B148" t="str">
        <f>Sample!B146&amp;"-"&amp;Sample!C146</f>
        <v>9-SAAAFX94</v>
      </c>
      <c r="C148" t="str">
        <f>Sample!A146</f>
        <v>T2935A</v>
      </c>
      <c r="F148" t="str">
        <f>Sample!K146</f>
        <v>S97109</v>
      </c>
      <c r="G148" t="str">
        <f>VLOOKUP(F148,'Index Sequence'!$A$2:$B$9808,2,FALSE)</f>
        <v>CTTACCTG</v>
      </c>
      <c r="H148" t="str">
        <f>Sample!L146</f>
        <v>S95109</v>
      </c>
      <c r="I148" t="str">
        <f t="shared" si="1"/>
        <v>CTCATTGC</v>
      </c>
      <c r="K148" t="str">
        <f>IF(AND(OR(LEFT(Sample!A146,1)="E",LEFT(Sample!A146,1)="H"),OR(LEFT(Sample!C146,2)="JI",LEFT(Sample!C146,1)="I")),"TS1",IF(AND(OR(LEFT(Sample!A146,1)="E",LEFT(Sample!A146,1)="H"),OR(LEFT(Sample!C146,2)="JX",LEFT(Sample!C146,1)="W",LEFT(Sample!C146,1)="X")),"TS95",IF(AND(OR(LEFT(Sample!A146,1)="E",LEFT(Sample!A146,1)="H"),OR(LEFT(Sample!C146,2)="JN",LEFT(Sample!C146,1)="N")),"TS3",IF(OR(LEFT(Sample!A146,1)="T",LEFT(Sample!A146,1)="B"),"TS24",IF(LEFT(Sample!A146,2)="CR","CARRIER9",IF(LEFT(Sample!A146,4)="DEL3","NIPTDEL3",Sample!A146))))))</f>
        <v>TS24</v>
      </c>
      <c r="O148" t="str">
        <f xml:space="preserve"> SUBSTITUTE( SUBSTITUTE( SUBSTITUTE( SUBSTITUTE( SUBSTITUTE( SUBSTITUTE( SUBSTITUTE( SUBSTITUTE( SampleImport!I148, "A", 1), "C", 2), "G", 3),"T", 4), 1, "T"), 2, "G"), 3, "C"), 4, "A")</f>
        <v>CGTTACTC</v>
      </c>
    </row>
    <row r="149" spans="1:15" x14ac:dyDescent="0.35">
      <c r="A149" t="str">
        <f>Sample!B147&amp;"-"&amp;Sample!C147</f>
        <v>10-SAAAFX95</v>
      </c>
      <c r="B149" t="str">
        <f>Sample!B147&amp;"-"&amp;Sample!C147</f>
        <v>10-SAAAFX95</v>
      </c>
      <c r="C149" t="str">
        <f>Sample!A147</f>
        <v>T2935A</v>
      </c>
      <c r="F149" t="str">
        <f>Sample!K147</f>
        <v>S97110</v>
      </c>
      <c r="G149" t="str">
        <f>VLOOKUP(F149,'Index Sequence'!$A$2:$B$9808,2,FALSE)</f>
        <v>CTCGATAC</v>
      </c>
      <c r="H149" t="str">
        <f>Sample!L147</f>
        <v>S95110</v>
      </c>
      <c r="I149" t="str">
        <f t="shared" si="1"/>
        <v>ACCAGCTT</v>
      </c>
      <c r="K149" t="str">
        <f>IF(AND(OR(LEFT(Sample!A147,1)="E",LEFT(Sample!A147,1)="H"),OR(LEFT(Sample!C147,2)="JI",LEFT(Sample!C147,1)="I")),"TS1",IF(AND(OR(LEFT(Sample!A147,1)="E",LEFT(Sample!A147,1)="H"),OR(LEFT(Sample!C147,2)="JX",LEFT(Sample!C147,1)="W",LEFT(Sample!C147,1)="X")),"TS95",IF(AND(OR(LEFT(Sample!A147,1)="E",LEFT(Sample!A147,1)="H"),OR(LEFT(Sample!C147,2)="JN",LEFT(Sample!C147,1)="N")),"TS3",IF(OR(LEFT(Sample!A147,1)="T",LEFT(Sample!A147,1)="B"),"TS24",IF(LEFT(Sample!A147,2)="CR","CARRIER9",IF(LEFT(Sample!A147,4)="DEL3","NIPTDEL3",Sample!A147))))))</f>
        <v>TS24</v>
      </c>
      <c r="O149" t="str">
        <f xml:space="preserve"> SUBSTITUTE( SUBSTITUTE( SUBSTITUTE( SUBSTITUTE( SUBSTITUTE( SUBSTITUTE( SUBSTITUTE( SUBSTITUTE( SampleImport!I149, "A", 1), "C", 2), "G", 3),"T", 4), 1, "T"), 2, "G"), 3, "C"), 4, "A")</f>
        <v>TTCGACCA</v>
      </c>
    </row>
    <row r="150" spans="1:15" x14ac:dyDescent="0.35">
      <c r="A150" t="str">
        <f>Sample!B148&amp;"-"&amp;Sample!C148</f>
        <v>11-SAAAFX96</v>
      </c>
      <c r="B150" t="str">
        <f>Sample!B148&amp;"-"&amp;Sample!C148</f>
        <v>11-SAAAFX96</v>
      </c>
      <c r="C150" t="str">
        <f>Sample!A148</f>
        <v>T2935A</v>
      </c>
      <c r="F150" t="str">
        <f>Sample!K148</f>
        <v>S97111</v>
      </c>
      <c r="G150" t="str">
        <f>VLOOKUP(F150,'Index Sequence'!$A$2:$B$9808,2,FALSE)</f>
        <v>TCCGTGAA</v>
      </c>
      <c r="H150" t="str">
        <f>Sample!L148</f>
        <v>S95111</v>
      </c>
      <c r="I150" t="str">
        <f t="shared" si="1"/>
        <v>GAATCGTG</v>
      </c>
      <c r="K150" t="str">
        <f>IF(AND(OR(LEFT(Sample!A148,1)="E",LEFT(Sample!A148,1)="H"),OR(LEFT(Sample!C148,2)="JI",LEFT(Sample!C148,1)="I")),"TS1",IF(AND(OR(LEFT(Sample!A148,1)="E",LEFT(Sample!A148,1)="H"),OR(LEFT(Sample!C148,2)="JX",LEFT(Sample!C148,1)="W",LEFT(Sample!C148,1)="X")),"TS95",IF(AND(OR(LEFT(Sample!A148,1)="E",LEFT(Sample!A148,1)="H"),OR(LEFT(Sample!C148,2)="JN",LEFT(Sample!C148,1)="N")),"TS3",IF(OR(LEFT(Sample!A148,1)="T",LEFT(Sample!A148,1)="B"),"TS24",IF(LEFT(Sample!A148,2)="CR","CARRIER9",IF(LEFT(Sample!A148,4)="DEL3","NIPTDEL3",Sample!A148))))))</f>
        <v>TS24</v>
      </c>
      <c r="O150" t="str">
        <f xml:space="preserve"> SUBSTITUTE( SUBSTITUTE( SUBSTITUTE( SUBSTITUTE( SUBSTITUTE( SUBSTITUTE( SUBSTITUTE( SUBSTITUTE( SampleImport!I150, "A", 1), "C", 2), "G", 3),"T", 4), 1, "T"), 2, "G"), 3, "C"), 4, "A")</f>
        <v>GTGCTAAG</v>
      </c>
    </row>
    <row r="151" spans="1:15" x14ac:dyDescent="0.35">
      <c r="A151" t="str">
        <f>Sample!B149&amp;"-"&amp;Sample!C149</f>
        <v>12-SAAAFX97</v>
      </c>
      <c r="B151" t="str">
        <f>Sample!B149&amp;"-"&amp;Sample!C149</f>
        <v>12-SAAAFX97</v>
      </c>
      <c r="C151" t="str">
        <f>Sample!A149</f>
        <v>T2935A</v>
      </c>
      <c r="F151" t="str">
        <f>Sample!K149</f>
        <v>S97112</v>
      </c>
      <c r="G151" t="str">
        <f>VLOOKUP(F151,'Index Sequence'!$A$2:$B$9808,2,FALSE)</f>
        <v>TAGAGCTC</v>
      </c>
      <c r="H151" t="str">
        <f>Sample!L149</f>
        <v>S95112</v>
      </c>
      <c r="I151" t="str">
        <f t="shared" si="1"/>
        <v>AGGCTTCT</v>
      </c>
      <c r="K151" t="str">
        <f>IF(AND(OR(LEFT(Sample!A149,1)="E",LEFT(Sample!A149,1)="H"),OR(LEFT(Sample!C149,2)="JI",LEFT(Sample!C149,1)="I")),"TS1",IF(AND(OR(LEFT(Sample!A149,1)="E",LEFT(Sample!A149,1)="H"),OR(LEFT(Sample!C149,2)="JX",LEFT(Sample!C149,1)="W",LEFT(Sample!C149,1)="X")),"TS95",IF(AND(OR(LEFT(Sample!A149,1)="E",LEFT(Sample!A149,1)="H"),OR(LEFT(Sample!C149,2)="JN",LEFT(Sample!C149,1)="N")),"TS3",IF(OR(LEFT(Sample!A149,1)="T",LEFT(Sample!A149,1)="B"),"TS24",IF(LEFT(Sample!A149,2)="CR","CARRIER9",IF(LEFT(Sample!A149,4)="DEL3","NIPTDEL3",Sample!A149))))))</f>
        <v>TS24</v>
      </c>
      <c r="O151" t="str">
        <f xml:space="preserve"> SUBSTITUTE( SUBSTITUTE( SUBSTITUTE( SUBSTITUTE( SUBSTITUTE( SUBSTITUTE( SUBSTITUTE( SUBSTITUTE( SampleImport!I151, "A", 1), "C", 2), "G", 3),"T", 4), 1, "T"), 2, "G"), 3, "C"), 4, "A")</f>
        <v>TCTTCGGA</v>
      </c>
    </row>
    <row r="152" spans="1:15" x14ac:dyDescent="0.35">
      <c r="A152" t="str">
        <f>Sample!B150&amp;"-"&amp;Sample!C150</f>
        <v>13-SAAAFX98</v>
      </c>
      <c r="B152" t="str">
        <f>Sample!B150&amp;"-"&amp;Sample!C150</f>
        <v>13-SAAAFX98</v>
      </c>
      <c r="C152" t="str">
        <f>Sample!A150</f>
        <v>T2935A</v>
      </c>
      <c r="F152" t="str">
        <f>Sample!K150</f>
        <v>S97117</v>
      </c>
      <c r="G152" t="str">
        <f>VLOOKUP(F152,'Index Sequence'!$A$2:$B$9808,2,FALSE)</f>
        <v>CAACGGAT</v>
      </c>
      <c r="H152" t="str">
        <f>Sample!L150</f>
        <v>S95117</v>
      </c>
      <c r="I152" t="str">
        <f t="shared" ref="I152:I215" si="2" xml:space="preserve"> MID(O152,30,1) &amp; MID(O152,29,1) &amp; MID(O152,28,1) &amp; MID(O152,27,1) &amp; MID(O152,26,1) &amp; MID(O152,25,1) &amp; MID(O152,24,1) &amp; MID(O152,23,1) &amp; MID(O152,22,1) &amp; MID(O152,21,1) &amp; MID(O152,20,1) &amp; MID(O152,19,1) &amp; MID(O152,18,1) &amp; MID(O152,17,1) &amp; MID(O152,16,1) &amp; MID(O152,15,1) &amp; MID(O152,14,1) &amp; MID(O152,13,1) &amp; MID(O152,12,1) &amp; MID(O152,11,1) &amp; MID(O152,10,1) &amp; MID(O152,9,1) &amp; MID(O152,8,1) &amp; MID(O152,7,1) &amp; MID(O152,6,1) &amp; MID(O152,5,1) &amp; MID(O152,4,1) &amp; MID(O152,3,1) &amp; MID(O152,2,1) &amp; MID(O152,1,1)</f>
        <v>TAAGTGGC</v>
      </c>
      <c r="K152" t="str">
        <f>IF(AND(OR(LEFT(Sample!A150,1)="E",LEFT(Sample!A150,1)="H"),OR(LEFT(Sample!C150,2)="JI",LEFT(Sample!C150,1)="I")),"TS1",IF(AND(OR(LEFT(Sample!A150,1)="E",LEFT(Sample!A150,1)="H"),OR(LEFT(Sample!C150,2)="JX",LEFT(Sample!C150,1)="W",LEFT(Sample!C150,1)="X")),"TS95",IF(AND(OR(LEFT(Sample!A150,1)="E",LEFT(Sample!A150,1)="H"),OR(LEFT(Sample!C150,2)="JN",LEFT(Sample!C150,1)="N")),"TS3",IF(OR(LEFT(Sample!A150,1)="T",LEFT(Sample!A150,1)="B"),"TS24",IF(LEFT(Sample!A150,2)="CR","CARRIER9",IF(LEFT(Sample!A150,4)="DEL3","NIPTDEL3",Sample!A150))))))</f>
        <v>TS24</v>
      </c>
      <c r="O152" t="str">
        <f xml:space="preserve"> SUBSTITUTE( SUBSTITUTE( SUBSTITUTE( SUBSTITUTE( SUBSTITUTE( SUBSTITUTE( SUBSTITUTE( SUBSTITUTE( SampleImport!I152, "A", 1), "C", 2), "G", 3),"T", 4), 1, "T"), 2, "G"), 3, "C"), 4, "A")</f>
        <v>CGGTGAAT</v>
      </c>
    </row>
    <row r="153" spans="1:15" x14ac:dyDescent="0.35">
      <c r="A153" t="str">
        <f>Sample!B151&amp;"-"&amp;Sample!C151</f>
        <v>14-SAAAFX99</v>
      </c>
      <c r="B153" t="str">
        <f>Sample!B151&amp;"-"&amp;Sample!C151</f>
        <v>14-SAAAFX99</v>
      </c>
      <c r="C153" t="str">
        <f>Sample!A151</f>
        <v>T2935A</v>
      </c>
      <c r="F153" t="str">
        <f>Sample!K151</f>
        <v>S97118</v>
      </c>
      <c r="G153" t="str">
        <f>VLOOKUP(F153,'Index Sequence'!$A$2:$B$9808,2,FALSE)</f>
        <v>TGGCTATC</v>
      </c>
      <c r="H153" t="str">
        <f>Sample!L151</f>
        <v>S95118</v>
      </c>
      <c r="I153" t="str">
        <f t="shared" si="2"/>
        <v>ACGTGATG</v>
      </c>
      <c r="K153" t="str">
        <f>IF(AND(OR(LEFT(Sample!A151,1)="E",LEFT(Sample!A151,1)="H"),OR(LEFT(Sample!C151,2)="JI",LEFT(Sample!C151,1)="I")),"TS1",IF(AND(OR(LEFT(Sample!A151,1)="E",LEFT(Sample!A151,1)="H"),OR(LEFT(Sample!C151,2)="JX",LEFT(Sample!C151,1)="W",LEFT(Sample!C151,1)="X")),"TS95",IF(AND(OR(LEFT(Sample!A151,1)="E",LEFT(Sample!A151,1)="H"),OR(LEFT(Sample!C151,2)="JN",LEFT(Sample!C151,1)="N")),"TS3",IF(OR(LEFT(Sample!A151,1)="T",LEFT(Sample!A151,1)="B"),"TS24",IF(LEFT(Sample!A151,2)="CR","CARRIER9",IF(LEFT(Sample!A151,4)="DEL3","NIPTDEL3",Sample!A151))))))</f>
        <v>TS24</v>
      </c>
      <c r="O153" t="str">
        <f xml:space="preserve"> SUBSTITUTE( SUBSTITUTE( SUBSTITUTE( SUBSTITUTE( SUBSTITUTE( SUBSTITUTE( SUBSTITUTE( SUBSTITUTE( SampleImport!I153, "A", 1), "C", 2), "G", 3),"T", 4), 1, "T"), 2, "G"), 3, "C"), 4, "A")</f>
        <v>GTAGTGCA</v>
      </c>
    </row>
    <row r="154" spans="1:15" x14ac:dyDescent="0.35">
      <c r="A154" t="str">
        <f>Sample!B152&amp;"-"&amp;Sample!C152</f>
        <v>15-SAAAFY01</v>
      </c>
      <c r="B154" t="str">
        <f>Sample!B152&amp;"-"&amp;Sample!C152</f>
        <v>15-SAAAFY01</v>
      </c>
      <c r="C154" t="str">
        <f>Sample!A152</f>
        <v>T2935A</v>
      </c>
      <c r="F154" t="str">
        <f>Sample!K152</f>
        <v>S97119</v>
      </c>
      <c r="G154" t="str">
        <f>VLOOKUP(F154,'Index Sequence'!$A$2:$B$9808,2,FALSE)</f>
        <v>CGGTCATA</v>
      </c>
      <c r="H154" t="str">
        <f>Sample!L152</f>
        <v>S95119</v>
      </c>
      <c r="I154" t="str">
        <f t="shared" si="2"/>
        <v>GTAGAGCA</v>
      </c>
      <c r="K154" t="str">
        <f>IF(AND(OR(LEFT(Sample!A152,1)="E",LEFT(Sample!A152,1)="H"),OR(LEFT(Sample!C152,2)="JI",LEFT(Sample!C152,1)="I")),"TS1",IF(AND(OR(LEFT(Sample!A152,1)="E",LEFT(Sample!A152,1)="H"),OR(LEFT(Sample!C152,2)="JX",LEFT(Sample!C152,1)="W",LEFT(Sample!C152,1)="X")),"TS95",IF(AND(OR(LEFT(Sample!A152,1)="E",LEFT(Sample!A152,1)="H"),OR(LEFT(Sample!C152,2)="JN",LEFT(Sample!C152,1)="N")),"TS3",IF(OR(LEFT(Sample!A152,1)="T",LEFT(Sample!A152,1)="B"),"TS24",IF(LEFT(Sample!A152,2)="CR","CARRIER9",IF(LEFT(Sample!A152,4)="DEL3","NIPTDEL3",Sample!A152))))))</f>
        <v>TS24</v>
      </c>
      <c r="O154" t="str">
        <f xml:space="preserve"> SUBSTITUTE( SUBSTITUTE( SUBSTITUTE( SUBSTITUTE( SUBSTITUTE( SUBSTITUTE( SUBSTITUTE( SUBSTITUTE( SampleImport!I154, "A", 1), "C", 2), "G", 3),"T", 4), 1, "T"), 2, "G"), 3, "C"), 4, "A")</f>
        <v>ACGAGATG</v>
      </c>
    </row>
    <row r="155" spans="1:15" x14ac:dyDescent="0.35">
      <c r="A155" t="str">
        <f>Sample!B153&amp;"-"&amp;Sample!C153</f>
        <v>16-SAAAFY02</v>
      </c>
      <c r="B155" t="str">
        <f>Sample!B153&amp;"-"&amp;Sample!C153</f>
        <v>16-SAAAFY02</v>
      </c>
      <c r="C155" t="str">
        <f>Sample!A153</f>
        <v>T2935A</v>
      </c>
      <c r="F155" t="str">
        <f>Sample!K153</f>
        <v>S97120</v>
      </c>
      <c r="G155" t="str">
        <f>VLOOKUP(F155,'Index Sequence'!$A$2:$B$9808,2,FALSE)</f>
        <v>TCCAATCG</v>
      </c>
      <c r="H155" t="str">
        <f>Sample!L153</f>
        <v>S95120</v>
      </c>
      <c r="I155" t="str">
        <f t="shared" si="2"/>
        <v>GTCAGTTG</v>
      </c>
      <c r="K155" t="str">
        <f>IF(AND(OR(LEFT(Sample!A153,1)="E",LEFT(Sample!A153,1)="H"),OR(LEFT(Sample!C153,2)="JI",LEFT(Sample!C153,1)="I")),"TS1",IF(AND(OR(LEFT(Sample!A153,1)="E",LEFT(Sample!A153,1)="H"),OR(LEFT(Sample!C153,2)="JX",LEFT(Sample!C153,1)="W",LEFT(Sample!C153,1)="X")),"TS95",IF(AND(OR(LEFT(Sample!A153,1)="E",LEFT(Sample!A153,1)="H"),OR(LEFT(Sample!C153,2)="JN",LEFT(Sample!C153,1)="N")),"TS3",IF(OR(LEFT(Sample!A153,1)="T",LEFT(Sample!A153,1)="B"),"TS24",IF(LEFT(Sample!A153,2)="CR","CARRIER9",IF(LEFT(Sample!A153,4)="DEL3","NIPTDEL3",Sample!A153))))))</f>
        <v>TS24</v>
      </c>
      <c r="O155" t="str">
        <f xml:space="preserve"> SUBSTITUTE( SUBSTITUTE( SUBSTITUTE( SUBSTITUTE( SUBSTITUTE( SUBSTITUTE( SUBSTITUTE( SUBSTITUTE( SampleImport!I155, "A", 1), "C", 2), "G", 3),"T", 4), 1, "T"), 2, "G"), 3, "C"), 4, "A")</f>
        <v>GTTGACTG</v>
      </c>
    </row>
    <row r="156" spans="1:15" x14ac:dyDescent="0.35">
      <c r="A156" t="str">
        <f>Sample!B154&amp;"-"&amp;Sample!C154</f>
        <v>17-SAAAFY03</v>
      </c>
      <c r="B156" t="str">
        <f>Sample!B154&amp;"-"&amp;Sample!C154</f>
        <v>17-SAAAFY03</v>
      </c>
      <c r="C156" t="str">
        <f>Sample!A154</f>
        <v>T2935A</v>
      </c>
      <c r="F156" t="str">
        <f>Sample!K154</f>
        <v>S97121</v>
      </c>
      <c r="G156" t="str">
        <f>VLOOKUP(F156,'Index Sequence'!$A$2:$B$9808,2,FALSE)</f>
        <v>GAGCTTGT</v>
      </c>
      <c r="H156" t="str">
        <f>Sample!L154</f>
        <v>S95121</v>
      </c>
      <c r="I156" t="str">
        <f t="shared" si="2"/>
        <v>ATTCGAGG</v>
      </c>
      <c r="K156" t="str">
        <f>IF(AND(OR(LEFT(Sample!A154,1)="E",LEFT(Sample!A154,1)="H"),OR(LEFT(Sample!C154,2)="JI",LEFT(Sample!C154,1)="I")),"TS1",IF(AND(OR(LEFT(Sample!A154,1)="E",LEFT(Sample!A154,1)="H"),OR(LEFT(Sample!C154,2)="JX",LEFT(Sample!C154,1)="W",LEFT(Sample!C154,1)="X")),"TS95",IF(AND(OR(LEFT(Sample!A154,1)="E",LEFT(Sample!A154,1)="H"),OR(LEFT(Sample!C154,2)="JN",LEFT(Sample!C154,1)="N")),"TS3",IF(OR(LEFT(Sample!A154,1)="T",LEFT(Sample!A154,1)="B"),"TS24",IF(LEFT(Sample!A154,2)="CR","CARRIER9",IF(LEFT(Sample!A154,4)="DEL3","NIPTDEL3",Sample!A154))))))</f>
        <v>TS24</v>
      </c>
      <c r="O156" t="str">
        <f xml:space="preserve"> SUBSTITUTE( SUBSTITUTE( SUBSTITUTE( SUBSTITUTE( SUBSTITUTE( SUBSTITUTE( SUBSTITUTE( SUBSTITUTE( SampleImport!I156, "A", 1), "C", 2), "G", 3),"T", 4), 1, "T"), 2, "G"), 3, "C"), 4, "A")</f>
        <v>GGAGCTTA</v>
      </c>
    </row>
    <row r="157" spans="1:15" x14ac:dyDescent="0.35">
      <c r="A157" t="str">
        <f>Sample!B155&amp;"-"&amp;Sample!C155</f>
        <v>18-SAAAFY04</v>
      </c>
      <c r="B157" t="str">
        <f>Sample!B155&amp;"-"&amp;Sample!C155</f>
        <v>18-SAAAFY04</v>
      </c>
      <c r="C157" t="str">
        <f>Sample!A155</f>
        <v>T2935A</v>
      </c>
      <c r="F157" t="str">
        <f>Sample!K155</f>
        <v>S97122</v>
      </c>
      <c r="G157" t="str">
        <f>VLOOKUP(F157,'Index Sequence'!$A$2:$B$9808,2,FALSE)</f>
        <v>GAAGGTTC</v>
      </c>
      <c r="H157" t="str">
        <f>Sample!L155</f>
        <v>S95122</v>
      </c>
      <c r="I157" t="str">
        <f t="shared" si="2"/>
        <v>GATACTGG</v>
      </c>
      <c r="K157" t="str">
        <f>IF(AND(OR(LEFT(Sample!A155,1)="E",LEFT(Sample!A155,1)="H"),OR(LEFT(Sample!C155,2)="JI",LEFT(Sample!C155,1)="I")),"TS1",IF(AND(OR(LEFT(Sample!A155,1)="E",LEFT(Sample!A155,1)="H"),OR(LEFT(Sample!C155,2)="JX",LEFT(Sample!C155,1)="W",LEFT(Sample!C155,1)="X")),"TS95",IF(AND(OR(LEFT(Sample!A155,1)="E",LEFT(Sample!A155,1)="H"),OR(LEFT(Sample!C155,2)="JN",LEFT(Sample!C155,1)="N")),"TS3",IF(OR(LEFT(Sample!A155,1)="T",LEFT(Sample!A155,1)="B"),"TS24",IF(LEFT(Sample!A155,2)="CR","CARRIER9",IF(LEFT(Sample!A155,4)="DEL3","NIPTDEL3",Sample!A155))))))</f>
        <v>TS24</v>
      </c>
      <c r="O157" t="str">
        <f xml:space="preserve"> SUBSTITUTE( SUBSTITUTE( SUBSTITUTE( SUBSTITUTE( SUBSTITUTE( SUBSTITUTE( SUBSTITUTE( SUBSTITUTE( SampleImport!I157, "A", 1), "C", 2), "G", 3),"T", 4), 1, "T"), 2, "G"), 3, "C"), 4, "A")</f>
        <v>GGTCATAG</v>
      </c>
    </row>
    <row r="158" spans="1:15" x14ac:dyDescent="0.35">
      <c r="A158" t="str">
        <f>Sample!B156&amp;"-"&amp;Sample!C156</f>
        <v>19-SAAAFY05</v>
      </c>
      <c r="B158" t="str">
        <f>Sample!B156&amp;"-"&amp;Sample!C156</f>
        <v>19-SAAAFY05</v>
      </c>
      <c r="C158" t="str">
        <f>Sample!A156</f>
        <v>T2935A</v>
      </c>
      <c r="F158" t="str">
        <f>Sample!K156</f>
        <v>S97123</v>
      </c>
      <c r="G158" t="str">
        <f>VLOOKUP(F158,'Index Sequence'!$A$2:$B$9808,2,FALSE)</f>
        <v>ATCTCGCT</v>
      </c>
      <c r="H158" t="str">
        <f>Sample!L156</f>
        <v>S95123</v>
      </c>
      <c r="I158" t="str">
        <f t="shared" si="2"/>
        <v>GCCTTGTT</v>
      </c>
      <c r="K158" t="str">
        <f>IF(AND(OR(LEFT(Sample!A156,1)="E",LEFT(Sample!A156,1)="H"),OR(LEFT(Sample!C156,2)="JI",LEFT(Sample!C156,1)="I")),"TS1",IF(AND(OR(LEFT(Sample!A156,1)="E",LEFT(Sample!A156,1)="H"),OR(LEFT(Sample!C156,2)="JX",LEFT(Sample!C156,1)="W",LEFT(Sample!C156,1)="X")),"TS95",IF(AND(OR(LEFT(Sample!A156,1)="E",LEFT(Sample!A156,1)="H"),OR(LEFT(Sample!C156,2)="JN",LEFT(Sample!C156,1)="N")),"TS3",IF(OR(LEFT(Sample!A156,1)="T",LEFT(Sample!A156,1)="B"),"TS24",IF(LEFT(Sample!A156,2)="CR","CARRIER9",IF(LEFT(Sample!A156,4)="DEL3","NIPTDEL3",Sample!A156))))))</f>
        <v>TS24</v>
      </c>
      <c r="O158" t="str">
        <f xml:space="preserve"> SUBSTITUTE( SUBSTITUTE( SUBSTITUTE( SUBSTITUTE( SUBSTITUTE( SUBSTITUTE( SUBSTITUTE( SUBSTITUTE( SampleImport!I158, "A", 1), "C", 2), "G", 3),"T", 4), 1, "T"), 2, "G"), 3, "C"), 4, "A")</f>
        <v>TTGTTCCG</v>
      </c>
    </row>
    <row r="159" spans="1:15" x14ac:dyDescent="0.35">
      <c r="A159" t="str">
        <f>Sample!B157&amp;"-"&amp;Sample!C157</f>
        <v>20-SAAAFY06</v>
      </c>
      <c r="B159" t="str">
        <f>Sample!B157&amp;"-"&amp;Sample!C157</f>
        <v>20-SAAAFY06</v>
      </c>
      <c r="C159" t="str">
        <f>Sample!A157</f>
        <v>T2935A</v>
      </c>
      <c r="F159" t="str">
        <f>Sample!K157</f>
        <v>S97124</v>
      </c>
      <c r="G159" t="str">
        <f>VLOOKUP(F159,'Index Sequence'!$A$2:$B$9808,2,FALSE)</f>
        <v>AGTTACGG</v>
      </c>
      <c r="H159" t="str">
        <f>Sample!L157</f>
        <v>S95124</v>
      </c>
      <c r="I159" t="str">
        <f t="shared" si="2"/>
        <v>TTGGTCTC</v>
      </c>
      <c r="K159" t="str">
        <f>IF(AND(OR(LEFT(Sample!A157,1)="E",LEFT(Sample!A157,1)="H"),OR(LEFT(Sample!C157,2)="JI",LEFT(Sample!C157,1)="I")),"TS1",IF(AND(OR(LEFT(Sample!A157,1)="E",LEFT(Sample!A157,1)="H"),OR(LEFT(Sample!C157,2)="JX",LEFT(Sample!C157,1)="W",LEFT(Sample!C157,1)="X")),"TS95",IF(AND(OR(LEFT(Sample!A157,1)="E",LEFT(Sample!A157,1)="H"),OR(LEFT(Sample!C157,2)="JN",LEFT(Sample!C157,1)="N")),"TS3",IF(OR(LEFT(Sample!A157,1)="T",LEFT(Sample!A157,1)="B"),"TS24",IF(LEFT(Sample!A157,2)="CR","CARRIER9",IF(LEFT(Sample!A157,4)="DEL3","NIPTDEL3",Sample!A157))))))</f>
        <v>TS24</v>
      </c>
      <c r="O159" t="str">
        <f xml:space="preserve"> SUBSTITUTE( SUBSTITUTE( SUBSTITUTE( SUBSTITUTE( SUBSTITUTE( SUBSTITUTE( SUBSTITUTE( SUBSTITUTE( SampleImport!I159, "A", 1), "C", 2), "G", 3),"T", 4), 1, "T"), 2, "G"), 3, "C"), 4, "A")</f>
        <v>CTCTGGTT</v>
      </c>
    </row>
    <row r="160" spans="1:15" x14ac:dyDescent="0.35">
      <c r="A160" t="str">
        <f>Sample!B158&amp;"-"&amp;Sample!C158</f>
        <v>21-SAAAFY07</v>
      </c>
      <c r="B160" t="str">
        <f>Sample!B158&amp;"-"&amp;Sample!C158</f>
        <v>21-SAAAFY07</v>
      </c>
      <c r="C160" t="str">
        <f>Sample!A158</f>
        <v>T2935A</v>
      </c>
      <c r="F160" t="str">
        <f>Sample!K158</f>
        <v>S97125</v>
      </c>
      <c r="G160" t="str">
        <f>VLOOKUP(F160,'Index Sequence'!$A$2:$B$9808,2,FALSE)</f>
        <v>GTGTCTGA</v>
      </c>
      <c r="H160" t="str">
        <f>Sample!L158</f>
        <v>S95125</v>
      </c>
      <c r="I160" t="str">
        <f t="shared" si="2"/>
        <v>CCGACTAT</v>
      </c>
      <c r="K160" t="str">
        <f>IF(AND(OR(LEFT(Sample!A158,1)="E",LEFT(Sample!A158,1)="H"),OR(LEFT(Sample!C158,2)="JI",LEFT(Sample!C158,1)="I")),"TS1",IF(AND(OR(LEFT(Sample!A158,1)="E",LEFT(Sample!A158,1)="H"),OR(LEFT(Sample!C158,2)="JX",LEFT(Sample!C158,1)="W",LEFT(Sample!C158,1)="X")),"TS95",IF(AND(OR(LEFT(Sample!A158,1)="E",LEFT(Sample!A158,1)="H"),OR(LEFT(Sample!C158,2)="JN",LEFT(Sample!C158,1)="N")),"TS3",IF(OR(LEFT(Sample!A158,1)="T",LEFT(Sample!A158,1)="B"),"TS24",IF(LEFT(Sample!A158,2)="CR","CARRIER9",IF(LEFT(Sample!A158,4)="DEL3","NIPTDEL3",Sample!A158))))))</f>
        <v>TS24</v>
      </c>
      <c r="O160" t="str">
        <f xml:space="preserve"> SUBSTITUTE( SUBSTITUTE( SUBSTITUTE( SUBSTITUTE( SUBSTITUTE( SUBSTITUTE( SUBSTITUTE( SUBSTITUTE( SampleImport!I160, "A", 1), "C", 2), "G", 3),"T", 4), 1, "T"), 2, "G"), 3, "C"), 4, "A")</f>
        <v>TATCAGCC</v>
      </c>
    </row>
    <row r="161" spans="1:15" x14ac:dyDescent="0.35">
      <c r="A161" t="str">
        <f>Sample!B159&amp;"-"&amp;Sample!C159</f>
        <v>22-SAAAFY08</v>
      </c>
      <c r="B161" t="str">
        <f>Sample!B159&amp;"-"&amp;Sample!C159</f>
        <v>22-SAAAFY08</v>
      </c>
      <c r="C161" t="str">
        <f>Sample!A159</f>
        <v>T2935A</v>
      </c>
      <c r="F161" t="str">
        <f>Sample!K159</f>
        <v>S97126</v>
      </c>
      <c r="G161" t="str">
        <f>VLOOKUP(F161,'Index Sequence'!$A$2:$B$9808,2,FALSE)</f>
        <v>TGACTTCG</v>
      </c>
      <c r="H161" t="str">
        <f>Sample!L159</f>
        <v>S95126</v>
      </c>
      <c r="I161" t="str">
        <f t="shared" si="2"/>
        <v>GTCCTAAG</v>
      </c>
      <c r="K161" t="str">
        <f>IF(AND(OR(LEFT(Sample!A159,1)="E",LEFT(Sample!A159,1)="H"),OR(LEFT(Sample!C159,2)="JI",LEFT(Sample!C159,1)="I")),"TS1",IF(AND(OR(LEFT(Sample!A159,1)="E",LEFT(Sample!A159,1)="H"),OR(LEFT(Sample!C159,2)="JX",LEFT(Sample!C159,1)="W",LEFT(Sample!C159,1)="X")),"TS95",IF(AND(OR(LEFT(Sample!A159,1)="E",LEFT(Sample!A159,1)="H"),OR(LEFT(Sample!C159,2)="JN",LEFT(Sample!C159,1)="N")),"TS3",IF(OR(LEFT(Sample!A159,1)="T",LEFT(Sample!A159,1)="B"),"TS24",IF(LEFT(Sample!A159,2)="CR","CARRIER9",IF(LEFT(Sample!A159,4)="DEL3","NIPTDEL3",Sample!A159))))))</f>
        <v>TS24</v>
      </c>
      <c r="O161" t="str">
        <f xml:space="preserve"> SUBSTITUTE( SUBSTITUTE( SUBSTITUTE( SUBSTITUTE( SUBSTITUTE( SUBSTITUTE( SUBSTITUTE( SUBSTITUTE( SampleImport!I161, "A", 1), "C", 2), "G", 3),"T", 4), 1, "T"), 2, "G"), 3, "C"), 4, "A")</f>
        <v>GAATCCTG</v>
      </c>
    </row>
    <row r="162" spans="1:15" x14ac:dyDescent="0.35">
      <c r="A162" t="str">
        <f>Sample!B160&amp;"-"&amp;Sample!C160</f>
        <v>23-SAAAFY09</v>
      </c>
      <c r="B162" t="str">
        <f>Sample!B160&amp;"-"&amp;Sample!C160</f>
        <v>23-SAAAFY09</v>
      </c>
      <c r="C162" t="str">
        <f>Sample!A160</f>
        <v>T2935A</v>
      </c>
      <c r="F162" t="str">
        <f>Sample!K160</f>
        <v>S97127</v>
      </c>
      <c r="G162" t="str">
        <f>VLOOKUP(F162,'Index Sequence'!$A$2:$B$9808,2,FALSE)</f>
        <v>TGGATCAC</v>
      </c>
      <c r="H162" t="str">
        <f>Sample!L160</f>
        <v>S95127</v>
      </c>
      <c r="I162" t="str">
        <f t="shared" si="2"/>
        <v>ACCAATGC</v>
      </c>
      <c r="K162" t="str">
        <f>IF(AND(OR(LEFT(Sample!A160,1)="E",LEFT(Sample!A160,1)="H"),OR(LEFT(Sample!C160,2)="JI",LEFT(Sample!C160,1)="I")),"TS1",IF(AND(OR(LEFT(Sample!A160,1)="E",LEFT(Sample!A160,1)="H"),OR(LEFT(Sample!C160,2)="JX",LEFT(Sample!C160,1)="W",LEFT(Sample!C160,1)="X")),"TS95",IF(AND(OR(LEFT(Sample!A160,1)="E",LEFT(Sample!A160,1)="H"),OR(LEFT(Sample!C160,2)="JN",LEFT(Sample!C160,1)="N")),"TS3",IF(OR(LEFT(Sample!A160,1)="T",LEFT(Sample!A160,1)="B"),"TS24",IF(LEFT(Sample!A160,2)="CR","CARRIER9",IF(LEFT(Sample!A160,4)="DEL3","NIPTDEL3",Sample!A160))))))</f>
        <v>TS24</v>
      </c>
      <c r="O162" t="str">
        <f xml:space="preserve"> SUBSTITUTE( SUBSTITUTE( SUBSTITUTE( SUBSTITUTE( SUBSTITUTE( SUBSTITUTE( SUBSTITUTE( SUBSTITUTE( SampleImport!I162, "A", 1), "C", 2), "G", 3),"T", 4), 1, "T"), 2, "G"), 3, "C"), 4, "A")</f>
        <v>CGTAACCA</v>
      </c>
    </row>
    <row r="163" spans="1:15" x14ac:dyDescent="0.35">
      <c r="A163" t="str">
        <f>Sample!B161&amp;"-"&amp;Sample!C161</f>
        <v>24-IAABQW98t21</v>
      </c>
      <c r="B163" t="str">
        <f>Sample!B161&amp;"-"&amp;Sample!C161</f>
        <v>24-IAABQW98t21</v>
      </c>
      <c r="C163" t="str">
        <f>Sample!A161</f>
        <v>T2935A</v>
      </c>
      <c r="F163" t="str">
        <f>Sample!K161</f>
        <v>S97128</v>
      </c>
      <c r="G163" t="str">
        <f>VLOOKUP(F163,'Index Sequence'!$A$2:$B$9808,2,FALSE)</f>
        <v>ACACCAGT</v>
      </c>
      <c r="H163" t="str">
        <f>Sample!L161</f>
        <v>S95128</v>
      </c>
      <c r="I163" t="str">
        <f t="shared" si="2"/>
        <v>GATGCACT</v>
      </c>
      <c r="K163" t="str">
        <f>IF(AND(OR(LEFT(Sample!A161,1)="E",LEFT(Sample!A161,1)="H"),OR(LEFT(Sample!C161,2)="JI",LEFT(Sample!C161,1)="I")),"TS1",IF(AND(OR(LEFT(Sample!A161,1)="E",LEFT(Sample!A161,1)="H"),OR(LEFT(Sample!C161,2)="JX",LEFT(Sample!C161,1)="W",LEFT(Sample!C161,1)="X")),"TS95",IF(AND(OR(LEFT(Sample!A161,1)="E",LEFT(Sample!A161,1)="H"),OR(LEFT(Sample!C161,2)="JN",LEFT(Sample!C161,1)="N")),"TS3",IF(OR(LEFT(Sample!A161,1)="T",LEFT(Sample!A161,1)="B"),"TS24",IF(LEFT(Sample!A161,2)="CR","CARRIER9",IF(LEFT(Sample!A161,4)="DEL3","NIPTDEL3",Sample!A161))))))</f>
        <v>TS24</v>
      </c>
      <c r="O163" t="str">
        <f xml:space="preserve"> SUBSTITUTE( SUBSTITUTE( SUBSTITUTE( SUBSTITUTE( SUBSTITUTE( SUBSTITUTE( SUBSTITUTE( SUBSTITUTE( SampleImport!I163, "A", 1), "C", 2), "G", 3),"T", 4), 1, "T"), 2, "G"), 3, "C"), 4, "A")</f>
        <v>TCACGTAG</v>
      </c>
    </row>
    <row r="164" spans="1:15" x14ac:dyDescent="0.35">
      <c r="A164" t="str">
        <f>Sample!B162&amp;"-"&amp;Sample!C162</f>
        <v>1-IAABRG88</v>
      </c>
      <c r="B164" t="str">
        <f>Sample!B162&amp;"-"&amp;Sample!C162</f>
        <v>1-IAABRG88</v>
      </c>
      <c r="C164" t="str">
        <f>Sample!A162</f>
        <v>V2234A</v>
      </c>
      <c r="F164" t="str">
        <f>Sample!K162</f>
        <v>S5701</v>
      </c>
      <c r="G164" t="str">
        <f>VLOOKUP(F164,'Index Sequence'!$A$2:$B$9808,2,FALSE)</f>
        <v>TTACCGAC</v>
      </c>
      <c r="H164" t="str">
        <f>Sample!L162</f>
        <v>S5501</v>
      </c>
      <c r="I164" t="str">
        <f t="shared" si="2"/>
        <v>CGAATACG</v>
      </c>
      <c r="K164" t="str">
        <f>IF(AND(OR(LEFT(Sample!A162,1)="E",LEFT(Sample!A162,1)="H"),OR(LEFT(Sample!C162,2)="JI",LEFT(Sample!C162,1)="I")),"TS1",IF(AND(OR(LEFT(Sample!A162,1)="E",LEFT(Sample!A162,1)="H"),OR(LEFT(Sample!C162,2)="JX",LEFT(Sample!C162,1)="W",LEFT(Sample!C162,1)="X")),"TS95",IF(AND(OR(LEFT(Sample!A162,1)="E",LEFT(Sample!A162,1)="H"),OR(LEFT(Sample!C162,2)="JN",LEFT(Sample!C162,1)="N")),"TS3",IF(OR(LEFT(Sample!A162,1)="T",LEFT(Sample!A162,1)="B"),"TS24",IF(LEFT(Sample!A162,2)="CR","CARRIER9",IF(LEFT(Sample!A162,4)="DEL3","NIPTDEL3",Sample!A162))))))</f>
        <v>V2234A</v>
      </c>
      <c r="O164" t="str">
        <f xml:space="preserve"> SUBSTITUTE( SUBSTITUTE( SUBSTITUTE( SUBSTITUTE( SUBSTITUTE( SUBSTITUTE( SUBSTITUTE( SUBSTITUTE( SampleImport!I164, "A", 1), "C", 2), "G", 3),"T", 4), 1, "T"), 2, "G"), 3, "C"), 4, "A")</f>
        <v>GCATAAGC</v>
      </c>
    </row>
    <row r="165" spans="1:15" x14ac:dyDescent="0.35">
      <c r="A165" t="str">
        <f>Sample!B163&amp;"-"&amp;Sample!C163</f>
        <v>2-IAABRG89</v>
      </c>
      <c r="B165" t="str">
        <f>Sample!B163&amp;"-"&amp;Sample!C163</f>
        <v>2-IAABRG89</v>
      </c>
      <c r="C165" t="str">
        <f>Sample!A163</f>
        <v>V2234A</v>
      </c>
      <c r="F165" t="str">
        <f>Sample!K163</f>
        <v>S5702</v>
      </c>
      <c r="G165" t="str">
        <f>VLOOKUP(F165,'Index Sequence'!$A$2:$B$9808,2,FALSE)</f>
        <v>TCGTCTGA</v>
      </c>
      <c r="H165" t="str">
        <f>Sample!L163</f>
        <v>S5502</v>
      </c>
      <c r="I165" t="str">
        <f t="shared" si="2"/>
        <v>GTCCTTGA</v>
      </c>
      <c r="K165" t="str">
        <f>IF(AND(OR(LEFT(Sample!A163,1)="E",LEFT(Sample!A163,1)="H"),OR(LEFT(Sample!C163,2)="JI",LEFT(Sample!C163,1)="I")),"TS1",IF(AND(OR(LEFT(Sample!A163,1)="E",LEFT(Sample!A163,1)="H"),OR(LEFT(Sample!C163,2)="JX",LEFT(Sample!C163,1)="W",LEFT(Sample!C163,1)="X")),"TS95",IF(AND(OR(LEFT(Sample!A163,1)="E",LEFT(Sample!A163,1)="H"),OR(LEFT(Sample!C163,2)="JN",LEFT(Sample!C163,1)="N")),"TS3",IF(OR(LEFT(Sample!A163,1)="T",LEFT(Sample!A163,1)="B"),"TS24",IF(LEFT(Sample!A163,2)="CR","CARRIER9",IF(LEFT(Sample!A163,4)="DEL3","NIPTDEL3",Sample!A163))))))</f>
        <v>V2234A</v>
      </c>
      <c r="O165" t="str">
        <f xml:space="preserve"> SUBSTITUTE( SUBSTITUTE( SUBSTITUTE( SUBSTITUTE( SUBSTITUTE( SUBSTITUTE( SUBSTITUTE( SUBSTITUTE( SampleImport!I165, "A", 1), "C", 2), "G", 3),"T", 4), 1, "T"), 2, "G"), 3, "C"), 4, "A")</f>
        <v>AGTTCCTG</v>
      </c>
    </row>
    <row r="166" spans="1:15" x14ac:dyDescent="0.35">
      <c r="A166" t="str">
        <f>Sample!B164&amp;"-"&amp;Sample!C164</f>
        <v>3-IAABRG90</v>
      </c>
      <c r="B166" t="str">
        <f>Sample!B164&amp;"-"&amp;Sample!C164</f>
        <v>3-IAABRG90</v>
      </c>
      <c r="C166" t="str">
        <f>Sample!A164</f>
        <v>V2234A</v>
      </c>
      <c r="F166" t="str">
        <f>Sample!K164</f>
        <v>S5703</v>
      </c>
      <c r="G166" t="str">
        <f>VLOOKUP(F166,'Index Sequence'!$A$2:$B$9808,2,FALSE)</f>
        <v>TTCCAGGT</v>
      </c>
      <c r="H166" t="str">
        <f>Sample!L164</f>
        <v>S5503</v>
      </c>
      <c r="I166" t="str">
        <f t="shared" si="2"/>
        <v>CAGTGCTT</v>
      </c>
      <c r="K166" t="str">
        <f>IF(AND(OR(LEFT(Sample!A164,1)="E",LEFT(Sample!A164,1)="H"),OR(LEFT(Sample!C164,2)="JI",LEFT(Sample!C164,1)="I")),"TS1",IF(AND(OR(LEFT(Sample!A164,1)="E",LEFT(Sample!A164,1)="H"),OR(LEFT(Sample!C164,2)="JX",LEFT(Sample!C164,1)="W",LEFT(Sample!C164,1)="X")),"TS95",IF(AND(OR(LEFT(Sample!A164,1)="E",LEFT(Sample!A164,1)="H"),OR(LEFT(Sample!C164,2)="JN",LEFT(Sample!C164,1)="N")),"TS3",IF(OR(LEFT(Sample!A164,1)="T",LEFT(Sample!A164,1)="B"),"TS24",IF(LEFT(Sample!A164,2)="CR","CARRIER9",IF(LEFT(Sample!A164,4)="DEL3","NIPTDEL3",Sample!A164))))))</f>
        <v>V2234A</v>
      </c>
      <c r="O166" t="str">
        <f xml:space="preserve"> SUBSTITUTE( SUBSTITUTE( SUBSTITUTE( SUBSTITUTE( SUBSTITUTE( SUBSTITUTE( SUBSTITUTE( SUBSTITUTE( SampleImport!I166, "A", 1), "C", 2), "G", 3),"T", 4), 1, "T"), 2, "G"), 3, "C"), 4, "A")</f>
        <v>TTCGTGAC</v>
      </c>
    </row>
    <row r="167" spans="1:15" x14ac:dyDescent="0.35">
      <c r="A167" t="str">
        <f>Sample!B165&amp;"-"&amp;Sample!C165</f>
        <v>4-IAABRG91</v>
      </c>
      <c r="B167" t="str">
        <f>Sample!B165&amp;"-"&amp;Sample!C165</f>
        <v>4-IAABRG91</v>
      </c>
      <c r="C167" t="str">
        <f>Sample!A165</f>
        <v>V2234A</v>
      </c>
      <c r="F167" t="str">
        <f>Sample!K165</f>
        <v>S5704</v>
      </c>
      <c r="G167" t="str">
        <f>VLOOKUP(F167,'Index Sequence'!$A$2:$B$9808,2,FALSE)</f>
        <v>TACGGTCT</v>
      </c>
      <c r="H167" t="str">
        <f>Sample!L165</f>
        <v>S5504</v>
      </c>
      <c r="I167" t="str">
        <f t="shared" si="2"/>
        <v>TCCATTGC</v>
      </c>
      <c r="K167" t="str">
        <f>IF(AND(OR(LEFT(Sample!A165,1)="E",LEFT(Sample!A165,1)="H"),OR(LEFT(Sample!C165,2)="JI",LEFT(Sample!C165,1)="I")),"TS1",IF(AND(OR(LEFT(Sample!A165,1)="E",LEFT(Sample!A165,1)="H"),OR(LEFT(Sample!C165,2)="JX",LEFT(Sample!C165,1)="W",LEFT(Sample!C165,1)="X")),"TS95",IF(AND(OR(LEFT(Sample!A165,1)="E",LEFT(Sample!A165,1)="H"),OR(LEFT(Sample!C165,2)="JN",LEFT(Sample!C165,1)="N")),"TS3",IF(OR(LEFT(Sample!A165,1)="T",LEFT(Sample!A165,1)="B"),"TS24",IF(LEFT(Sample!A165,2)="CR","CARRIER9",IF(LEFT(Sample!A165,4)="DEL3","NIPTDEL3",Sample!A165))))))</f>
        <v>V2234A</v>
      </c>
      <c r="O167" t="str">
        <f xml:space="preserve"> SUBSTITUTE( SUBSTITUTE( SUBSTITUTE( SUBSTITUTE( SUBSTITUTE( SUBSTITUTE( SUBSTITUTE( SUBSTITUTE( SampleImport!I167, "A", 1), "C", 2), "G", 3),"T", 4), 1, "T"), 2, "G"), 3, "C"), 4, "A")</f>
        <v>CGTTACCT</v>
      </c>
    </row>
    <row r="168" spans="1:15" x14ac:dyDescent="0.35">
      <c r="A168" t="str">
        <f>Sample!B166&amp;"-"&amp;Sample!C166</f>
        <v>5-NAABNY59</v>
      </c>
      <c r="B168" t="str">
        <f>Sample!B166&amp;"-"&amp;Sample!C166</f>
        <v>5-NAABNY59</v>
      </c>
      <c r="C168" t="str">
        <f>Sample!A166</f>
        <v>V2234A</v>
      </c>
      <c r="F168" t="str">
        <f>Sample!K166</f>
        <v>S5705</v>
      </c>
      <c r="G168" t="str">
        <f>VLOOKUP(F168,'Index Sequence'!$A$2:$B$9808,2,FALSE)</f>
        <v>AAGACCGT</v>
      </c>
      <c r="H168" t="str">
        <f>Sample!L166</f>
        <v>S5505</v>
      </c>
      <c r="I168" t="str">
        <f t="shared" si="2"/>
        <v>GTCGATTG</v>
      </c>
      <c r="K168" t="str">
        <f>IF(AND(OR(LEFT(Sample!A166,1)="E",LEFT(Sample!A166,1)="H"),OR(LEFT(Sample!C166,2)="JI",LEFT(Sample!C166,1)="I")),"TS1",IF(AND(OR(LEFT(Sample!A166,1)="E",LEFT(Sample!A166,1)="H"),OR(LEFT(Sample!C166,2)="JX",LEFT(Sample!C166,1)="W",LEFT(Sample!C166,1)="X")),"TS95",IF(AND(OR(LEFT(Sample!A166,1)="E",LEFT(Sample!A166,1)="H"),OR(LEFT(Sample!C166,2)="JN",LEFT(Sample!C166,1)="N")),"TS3",IF(OR(LEFT(Sample!A166,1)="T",LEFT(Sample!A166,1)="B"),"TS24",IF(LEFT(Sample!A166,2)="CR","CARRIER9",IF(LEFT(Sample!A166,4)="DEL3","NIPTDEL3",Sample!A166))))))</f>
        <v>V2234A</v>
      </c>
      <c r="O168" t="str">
        <f xml:space="preserve"> SUBSTITUTE( SUBSTITUTE( SUBSTITUTE( SUBSTITUTE( SUBSTITUTE( SUBSTITUTE( SUBSTITUTE( SUBSTITUTE( SampleImport!I168, "A", 1), "C", 2), "G", 3),"T", 4), 1, "T"), 2, "G"), 3, "C"), 4, "A")</f>
        <v>GTTAGCTG</v>
      </c>
    </row>
    <row r="169" spans="1:15" x14ac:dyDescent="0.35">
      <c r="A169" t="str">
        <f>Sample!B167&amp;"-"&amp;Sample!C167</f>
        <v>6-NAABNY60</v>
      </c>
      <c r="B169" t="str">
        <f>Sample!B167&amp;"-"&amp;Sample!C167</f>
        <v>6-NAABNY60</v>
      </c>
      <c r="C169" t="str">
        <f>Sample!A167</f>
        <v>V2234A</v>
      </c>
      <c r="F169" t="str">
        <f>Sample!K167</f>
        <v>S5706</v>
      </c>
      <c r="G169" t="str">
        <f>VLOOKUP(F169,'Index Sequence'!$A$2:$B$9808,2,FALSE)</f>
        <v>CAGGTTCA</v>
      </c>
      <c r="H169" t="str">
        <f>Sample!L167</f>
        <v>S5506</v>
      </c>
      <c r="I169" t="str">
        <f t="shared" si="2"/>
        <v>ATAACGCC</v>
      </c>
      <c r="K169" t="str">
        <f>IF(AND(OR(LEFT(Sample!A167,1)="E",LEFT(Sample!A167,1)="H"),OR(LEFT(Sample!C167,2)="JI",LEFT(Sample!C167,1)="I")),"TS1",IF(AND(OR(LEFT(Sample!A167,1)="E",LEFT(Sample!A167,1)="H"),OR(LEFT(Sample!C167,2)="JX",LEFT(Sample!C167,1)="W",LEFT(Sample!C167,1)="X")),"TS95",IF(AND(OR(LEFT(Sample!A167,1)="E",LEFT(Sample!A167,1)="H"),OR(LEFT(Sample!C167,2)="JN",LEFT(Sample!C167,1)="N")),"TS3",IF(OR(LEFT(Sample!A167,1)="T",LEFT(Sample!A167,1)="B"),"TS24",IF(LEFT(Sample!A167,2)="CR","CARRIER9",IF(LEFT(Sample!A167,4)="DEL3","NIPTDEL3",Sample!A167))))))</f>
        <v>V2234A</v>
      </c>
      <c r="O169" t="str">
        <f xml:space="preserve"> SUBSTITUTE( SUBSTITUTE( SUBSTITUTE( SUBSTITUTE( SUBSTITUTE( SUBSTITUTE( SUBSTITUTE( SUBSTITUTE( SampleImport!I169, "A", 1), "C", 2), "G", 3),"T", 4), 1, "T"), 2, "G"), 3, "C"), 4, "A")</f>
        <v>CCGCAATA</v>
      </c>
    </row>
    <row r="170" spans="1:15" x14ac:dyDescent="0.35">
      <c r="A170" t="str">
        <f>Sample!B168&amp;"-"&amp;Sample!C168</f>
        <v>7-NAABNY61</v>
      </c>
      <c r="B170" t="str">
        <f>Sample!B168&amp;"-"&amp;Sample!C168</f>
        <v>7-NAABNY61</v>
      </c>
      <c r="C170" t="str">
        <f>Sample!A168</f>
        <v>V2234A</v>
      </c>
      <c r="F170" t="str">
        <f>Sample!K168</f>
        <v>S5707</v>
      </c>
      <c r="G170" t="str">
        <f>VLOOKUP(F170,'Index Sequence'!$A$2:$B$9808,2,FALSE)</f>
        <v>TAGGAGCT</v>
      </c>
      <c r="H170" t="str">
        <f>Sample!L168</f>
        <v>S5507</v>
      </c>
      <c r="I170" t="str">
        <f t="shared" si="2"/>
        <v>GCCTTAAC</v>
      </c>
      <c r="K170" t="str">
        <f>IF(AND(OR(LEFT(Sample!A168,1)="E",LEFT(Sample!A168,1)="H"),OR(LEFT(Sample!C168,2)="JI",LEFT(Sample!C168,1)="I")),"TS1",IF(AND(OR(LEFT(Sample!A168,1)="E",LEFT(Sample!A168,1)="H"),OR(LEFT(Sample!C168,2)="JX",LEFT(Sample!C168,1)="W",LEFT(Sample!C168,1)="X")),"TS95",IF(AND(OR(LEFT(Sample!A168,1)="E",LEFT(Sample!A168,1)="H"),OR(LEFT(Sample!C168,2)="JN",LEFT(Sample!C168,1)="N")),"TS3",IF(OR(LEFT(Sample!A168,1)="T",LEFT(Sample!A168,1)="B"),"TS24",IF(LEFT(Sample!A168,2)="CR","CARRIER9",IF(LEFT(Sample!A168,4)="DEL3","NIPTDEL3",Sample!A168))))))</f>
        <v>V2234A</v>
      </c>
      <c r="O170" t="str">
        <f xml:space="preserve"> SUBSTITUTE( SUBSTITUTE( SUBSTITUTE( SUBSTITUTE( SUBSTITUTE( SUBSTITUTE( SUBSTITUTE( SUBSTITUTE( SampleImport!I170, "A", 1), "C", 2), "G", 3),"T", 4), 1, "T"), 2, "G"), 3, "C"), 4, "A")</f>
        <v>CAATTCCG</v>
      </c>
    </row>
    <row r="171" spans="1:15" x14ac:dyDescent="0.35">
      <c r="A171" t="str">
        <f>Sample!B169&amp;"-"&amp;Sample!C169</f>
        <v>8-NAABNY62</v>
      </c>
      <c r="B171" t="str">
        <f>Sample!B169&amp;"-"&amp;Sample!C169</f>
        <v>8-NAABNY62</v>
      </c>
      <c r="C171" t="str">
        <f>Sample!A169</f>
        <v>V2234A</v>
      </c>
      <c r="F171" t="str">
        <f>Sample!K169</f>
        <v>S5708</v>
      </c>
      <c r="G171" t="str">
        <f>VLOOKUP(F171,'Index Sequence'!$A$2:$B$9808,2,FALSE)</f>
        <v>TACTCCAG</v>
      </c>
      <c r="H171" t="str">
        <f>Sample!L169</f>
        <v>S5508</v>
      </c>
      <c r="I171" t="str">
        <f t="shared" si="2"/>
        <v>GGTATAGG</v>
      </c>
      <c r="K171" t="str">
        <f>IF(AND(OR(LEFT(Sample!A169,1)="E",LEFT(Sample!A169,1)="H"),OR(LEFT(Sample!C169,2)="JI",LEFT(Sample!C169,1)="I")),"TS1",IF(AND(OR(LEFT(Sample!A169,1)="E",LEFT(Sample!A169,1)="H"),OR(LEFT(Sample!C169,2)="JX",LEFT(Sample!C169,1)="W",LEFT(Sample!C169,1)="X")),"TS95",IF(AND(OR(LEFT(Sample!A169,1)="E",LEFT(Sample!A169,1)="H"),OR(LEFT(Sample!C169,2)="JN",LEFT(Sample!C169,1)="N")),"TS3",IF(OR(LEFT(Sample!A169,1)="T",LEFT(Sample!A169,1)="B"),"TS24",IF(LEFT(Sample!A169,2)="CR","CARRIER9",IF(LEFT(Sample!A169,4)="DEL3","NIPTDEL3",Sample!A169))))))</f>
        <v>V2234A</v>
      </c>
      <c r="O171" t="str">
        <f xml:space="preserve"> SUBSTITUTE( SUBSTITUTE( SUBSTITUTE( SUBSTITUTE( SUBSTITUTE( SUBSTITUTE( SUBSTITUTE( SUBSTITUTE( SampleImport!I171, "A", 1), "C", 2), "G", 3),"T", 4), 1, "T"), 2, "G"), 3, "C"), 4, "A")</f>
        <v>GGATATGG</v>
      </c>
    </row>
    <row r="172" spans="1:15" x14ac:dyDescent="0.35">
      <c r="A172" t="str">
        <f>Sample!B170&amp;"-"&amp;Sample!C170</f>
        <v>9-NAABNY63</v>
      </c>
      <c r="B172" t="str">
        <f>Sample!B170&amp;"-"&amp;Sample!C170</f>
        <v>9-NAABNY63</v>
      </c>
      <c r="C172" t="str">
        <f>Sample!A170</f>
        <v>V2234A</v>
      </c>
      <c r="F172" t="str">
        <f>Sample!K170</f>
        <v>S5709</v>
      </c>
      <c r="G172" t="str">
        <f>VLOOKUP(F172,'Index Sequence'!$A$2:$B$9808,2,FALSE)</f>
        <v>AGTGACCT</v>
      </c>
      <c r="H172" t="str">
        <f>Sample!L170</f>
        <v>S5509</v>
      </c>
      <c r="I172" t="str">
        <f t="shared" si="2"/>
        <v>TCTAGGAG</v>
      </c>
      <c r="K172" t="str">
        <f>IF(AND(OR(LEFT(Sample!A170,1)="E",LEFT(Sample!A170,1)="H"),OR(LEFT(Sample!C170,2)="JI",LEFT(Sample!C170,1)="I")),"TS1",IF(AND(OR(LEFT(Sample!A170,1)="E",LEFT(Sample!A170,1)="H"),OR(LEFT(Sample!C170,2)="JX",LEFT(Sample!C170,1)="W",LEFT(Sample!C170,1)="X")),"TS95",IF(AND(OR(LEFT(Sample!A170,1)="E",LEFT(Sample!A170,1)="H"),OR(LEFT(Sample!C170,2)="JN",LEFT(Sample!C170,1)="N")),"TS3",IF(OR(LEFT(Sample!A170,1)="T",LEFT(Sample!A170,1)="B"),"TS24",IF(LEFT(Sample!A170,2)="CR","CARRIER9",IF(LEFT(Sample!A170,4)="DEL3","NIPTDEL3",Sample!A170))))))</f>
        <v>V2234A</v>
      </c>
      <c r="O172" t="str">
        <f xml:space="preserve"> SUBSTITUTE( SUBSTITUTE( SUBSTITUTE( SUBSTITUTE( SUBSTITUTE( SUBSTITUTE( SUBSTITUTE( SUBSTITUTE( SampleImport!I172, "A", 1), "C", 2), "G", 3),"T", 4), 1, "T"), 2, "G"), 3, "C"), 4, "A")</f>
        <v>GAGGATCT</v>
      </c>
    </row>
    <row r="173" spans="1:15" x14ac:dyDescent="0.35">
      <c r="A173" t="str">
        <f>Sample!B171&amp;"-"&amp;Sample!C171</f>
        <v>10-NAABNY64</v>
      </c>
      <c r="B173" t="str">
        <f>Sample!B171&amp;"-"&amp;Sample!C171</f>
        <v>10-NAABNY64</v>
      </c>
      <c r="C173" t="str">
        <f>Sample!A171</f>
        <v>V2234A</v>
      </c>
      <c r="F173" t="str">
        <f>Sample!K171</f>
        <v>S5710</v>
      </c>
      <c r="G173" t="str">
        <f>VLOOKUP(F173,'Index Sequence'!$A$2:$B$9808,2,FALSE)</f>
        <v>AGCCTATC</v>
      </c>
      <c r="H173" t="str">
        <f>Sample!L171</f>
        <v>S5510</v>
      </c>
      <c r="I173" t="str">
        <f t="shared" si="2"/>
        <v>TGCGTAAC</v>
      </c>
      <c r="K173" t="str">
        <f>IF(AND(OR(LEFT(Sample!A171,1)="E",LEFT(Sample!A171,1)="H"),OR(LEFT(Sample!C171,2)="JI",LEFT(Sample!C171,1)="I")),"TS1",IF(AND(OR(LEFT(Sample!A171,1)="E",LEFT(Sample!A171,1)="H"),OR(LEFT(Sample!C171,2)="JX",LEFT(Sample!C171,1)="W",LEFT(Sample!C171,1)="X")),"TS95",IF(AND(OR(LEFT(Sample!A171,1)="E",LEFT(Sample!A171,1)="H"),OR(LEFT(Sample!C171,2)="JN",LEFT(Sample!C171,1)="N")),"TS3",IF(OR(LEFT(Sample!A171,1)="T",LEFT(Sample!A171,1)="B"),"TS24",IF(LEFT(Sample!A171,2)="CR","CARRIER9",IF(LEFT(Sample!A171,4)="DEL3","NIPTDEL3",Sample!A171))))))</f>
        <v>V2234A</v>
      </c>
      <c r="O173" t="str">
        <f xml:space="preserve"> SUBSTITUTE( SUBSTITUTE( SUBSTITUTE( SUBSTITUTE( SUBSTITUTE( SUBSTITUTE( SUBSTITUTE( SUBSTITUTE( SampleImport!I173, "A", 1), "C", 2), "G", 3),"T", 4), 1, "T"), 2, "G"), 3, "C"), 4, "A")</f>
        <v>CAATGCGT</v>
      </c>
    </row>
    <row r="174" spans="1:15" x14ac:dyDescent="0.35">
      <c r="A174" t="str">
        <f>Sample!B172&amp;"-"&amp;Sample!C172</f>
        <v>11-NAABNY65</v>
      </c>
      <c r="B174" t="str">
        <f>Sample!B172&amp;"-"&amp;Sample!C172</f>
        <v>11-NAABNY65</v>
      </c>
      <c r="C174" t="str">
        <f>Sample!A172</f>
        <v>V2234A</v>
      </c>
      <c r="F174" t="str">
        <f>Sample!K172</f>
        <v>S5711</v>
      </c>
      <c r="G174" t="str">
        <f>VLOOKUP(F174,'Index Sequence'!$A$2:$B$9808,2,FALSE)</f>
        <v>TCATCTCC</v>
      </c>
      <c r="H174" t="str">
        <f>Sample!L172</f>
        <v>S5511</v>
      </c>
      <c r="I174" t="str">
        <f t="shared" si="2"/>
        <v>CTTGCTAG</v>
      </c>
      <c r="K174" t="str">
        <f>IF(AND(OR(LEFT(Sample!A172,1)="E",LEFT(Sample!A172,1)="H"),OR(LEFT(Sample!C172,2)="JI",LEFT(Sample!C172,1)="I")),"TS1",IF(AND(OR(LEFT(Sample!A172,1)="E",LEFT(Sample!A172,1)="H"),OR(LEFT(Sample!C172,2)="JX",LEFT(Sample!C172,1)="W",LEFT(Sample!C172,1)="X")),"TS95",IF(AND(OR(LEFT(Sample!A172,1)="E",LEFT(Sample!A172,1)="H"),OR(LEFT(Sample!C172,2)="JN",LEFT(Sample!C172,1)="N")),"TS3",IF(OR(LEFT(Sample!A172,1)="T",LEFT(Sample!A172,1)="B"),"TS24",IF(LEFT(Sample!A172,2)="CR","CARRIER9",IF(LEFT(Sample!A172,4)="DEL3","NIPTDEL3",Sample!A172))))))</f>
        <v>V2234A</v>
      </c>
      <c r="O174" t="str">
        <f xml:space="preserve"> SUBSTITUTE( SUBSTITUTE( SUBSTITUTE( SUBSTITUTE( SUBSTITUTE( SUBSTITUTE( SUBSTITUTE( SUBSTITUTE( SampleImport!I174, "A", 1), "C", 2), "G", 3),"T", 4), 1, "T"), 2, "G"), 3, "C"), 4, "A")</f>
        <v>GATCGTTC</v>
      </c>
    </row>
    <row r="175" spans="1:15" x14ac:dyDescent="0.35">
      <c r="A175" t="str">
        <f>Sample!B173&amp;"-"&amp;Sample!C173</f>
        <v>12-NAABNY66</v>
      </c>
      <c r="B175" t="str">
        <f>Sample!B173&amp;"-"&amp;Sample!C173</f>
        <v>12-NAABNY66</v>
      </c>
      <c r="C175" t="str">
        <f>Sample!A173</f>
        <v>V2234A</v>
      </c>
      <c r="F175" t="str">
        <f>Sample!K173</f>
        <v>S5712</v>
      </c>
      <c r="G175" t="str">
        <f>VLOOKUP(F175,'Index Sequence'!$A$2:$B$9808,2,FALSE)</f>
        <v>CCAGTATC</v>
      </c>
      <c r="H175" t="str">
        <f>Sample!L173</f>
        <v>S5512</v>
      </c>
      <c r="I175" t="str">
        <f t="shared" si="2"/>
        <v>AGCGAGAT</v>
      </c>
      <c r="K175" t="str">
        <f>IF(AND(OR(LEFT(Sample!A173,1)="E",LEFT(Sample!A173,1)="H"),OR(LEFT(Sample!C173,2)="JI",LEFT(Sample!C173,1)="I")),"TS1",IF(AND(OR(LEFT(Sample!A173,1)="E",LEFT(Sample!A173,1)="H"),OR(LEFT(Sample!C173,2)="JX",LEFT(Sample!C173,1)="W",LEFT(Sample!C173,1)="X")),"TS95",IF(AND(OR(LEFT(Sample!A173,1)="E",LEFT(Sample!A173,1)="H"),OR(LEFT(Sample!C173,2)="JN",LEFT(Sample!C173,1)="N")),"TS3",IF(OR(LEFT(Sample!A173,1)="T",LEFT(Sample!A173,1)="B"),"TS24",IF(LEFT(Sample!A173,2)="CR","CARRIER9",IF(LEFT(Sample!A173,4)="DEL3","NIPTDEL3",Sample!A173))))))</f>
        <v>V2234A</v>
      </c>
      <c r="O175" t="str">
        <f xml:space="preserve"> SUBSTITUTE( SUBSTITUTE( SUBSTITUTE( SUBSTITUTE( SUBSTITUTE( SUBSTITUTE( SUBSTITUTE( SUBSTITUTE( SampleImport!I175, "A", 1), "C", 2), "G", 3),"T", 4), 1, "T"), 2, "G"), 3, "C"), 4, "A")</f>
        <v>TAGAGCGA</v>
      </c>
    </row>
    <row r="176" spans="1:15" x14ac:dyDescent="0.35">
      <c r="A176" t="str">
        <f>Sample!B174&amp;"-"&amp;Sample!C174</f>
        <v>13-NAABNY67</v>
      </c>
      <c r="B176" t="str">
        <f>Sample!B174&amp;"-"&amp;Sample!C174</f>
        <v>13-NAABNY67</v>
      </c>
      <c r="C176" t="str">
        <f>Sample!A174</f>
        <v>V2234A</v>
      </c>
      <c r="F176" t="str">
        <f>Sample!K174</f>
        <v>S6705</v>
      </c>
      <c r="G176" t="str">
        <f>VLOOKUP(F176,'Index Sequence'!$A$2:$B$9808,2,FALSE)</f>
        <v>TCTTGTTT</v>
      </c>
      <c r="H176" t="str">
        <f>Sample!L174</f>
        <v>S6505</v>
      </c>
      <c r="I176" t="str">
        <f t="shared" si="2"/>
        <v>CCTTTCAC</v>
      </c>
      <c r="K176" t="str">
        <f>IF(AND(OR(LEFT(Sample!A174,1)="E",LEFT(Sample!A174,1)="H"),OR(LEFT(Sample!C174,2)="JI",LEFT(Sample!C174,1)="I")),"TS1",IF(AND(OR(LEFT(Sample!A174,1)="E",LEFT(Sample!A174,1)="H"),OR(LEFT(Sample!C174,2)="JX",LEFT(Sample!C174,1)="W",LEFT(Sample!C174,1)="X")),"TS95",IF(AND(OR(LEFT(Sample!A174,1)="E",LEFT(Sample!A174,1)="H"),OR(LEFT(Sample!C174,2)="JN",LEFT(Sample!C174,1)="N")),"TS3",IF(OR(LEFT(Sample!A174,1)="T",LEFT(Sample!A174,1)="B"),"TS24",IF(LEFT(Sample!A174,2)="CR","CARRIER9",IF(LEFT(Sample!A174,4)="DEL3","NIPTDEL3",Sample!A174))))))</f>
        <v>V2234A</v>
      </c>
      <c r="O176" t="str">
        <f xml:space="preserve"> SUBSTITUTE( SUBSTITUTE( SUBSTITUTE( SUBSTITUTE( SUBSTITUTE( SUBSTITUTE( SUBSTITUTE( SUBSTITUTE( SampleImport!I176, "A", 1), "C", 2), "G", 3),"T", 4), 1, "T"), 2, "G"), 3, "C"), 4, "A")</f>
        <v>CACTTTCC</v>
      </c>
    </row>
    <row r="177" spans="1:15" x14ac:dyDescent="0.35">
      <c r="A177" t="str">
        <f>Sample!B175&amp;"-"&amp;Sample!C175</f>
        <v>14-NAABNY68</v>
      </c>
      <c r="B177" t="str">
        <f>Sample!B175&amp;"-"&amp;Sample!C175</f>
        <v>14-NAABNY68</v>
      </c>
      <c r="C177" t="str">
        <f>Sample!A175</f>
        <v>V2234A</v>
      </c>
      <c r="F177" t="str">
        <f>Sample!K175</f>
        <v>S6706</v>
      </c>
      <c r="G177" t="str">
        <f>VLOOKUP(F177,'Index Sequence'!$A$2:$B$9808,2,FALSE)</f>
        <v>GGCTTACT</v>
      </c>
      <c r="H177" t="str">
        <f>Sample!L175</f>
        <v>S6506</v>
      </c>
      <c r="I177" t="str">
        <f t="shared" si="2"/>
        <v>CTTTCCCT</v>
      </c>
      <c r="K177" t="str">
        <f>IF(AND(OR(LEFT(Sample!A175,1)="E",LEFT(Sample!A175,1)="H"),OR(LEFT(Sample!C175,2)="JI",LEFT(Sample!C175,1)="I")),"TS1",IF(AND(OR(LEFT(Sample!A175,1)="E",LEFT(Sample!A175,1)="H"),OR(LEFT(Sample!C175,2)="JX",LEFT(Sample!C175,1)="W",LEFT(Sample!C175,1)="X")),"TS95",IF(AND(OR(LEFT(Sample!A175,1)="E",LEFT(Sample!A175,1)="H"),OR(LEFT(Sample!C175,2)="JN",LEFT(Sample!C175,1)="N")),"TS3",IF(OR(LEFT(Sample!A175,1)="T",LEFT(Sample!A175,1)="B"),"TS24",IF(LEFT(Sample!A175,2)="CR","CARRIER9",IF(LEFT(Sample!A175,4)="DEL3","NIPTDEL3",Sample!A175))))))</f>
        <v>V2234A</v>
      </c>
      <c r="O177" t="str">
        <f xml:space="preserve"> SUBSTITUTE( SUBSTITUTE( SUBSTITUTE( SUBSTITUTE( SUBSTITUTE( SUBSTITUTE( SUBSTITUTE( SUBSTITUTE( SampleImport!I177, "A", 1), "C", 2), "G", 3),"T", 4), 1, "T"), 2, "G"), 3, "C"), 4, "A")</f>
        <v>TCCCTTTC</v>
      </c>
    </row>
    <row r="178" spans="1:15" x14ac:dyDescent="0.35">
      <c r="A178" t="str">
        <f>Sample!B176&amp;"-"&amp;Sample!C176</f>
        <v>15-NAABNY69</v>
      </c>
      <c r="B178" t="str">
        <f>Sample!B176&amp;"-"&amp;Sample!C176</f>
        <v>15-NAABNY69</v>
      </c>
      <c r="C178" t="str">
        <f>Sample!A176</f>
        <v>V2234A</v>
      </c>
      <c r="F178" t="str">
        <f>Sample!K176</f>
        <v>S6707</v>
      </c>
      <c r="G178" t="str">
        <f>VLOOKUP(F178,'Index Sequence'!$A$2:$B$9808,2,FALSE)</f>
        <v>ACGATATG</v>
      </c>
      <c r="H178" t="str">
        <f>Sample!L176</f>
        <v>S6507</v>
      </c>
      <c r="I178" t="str">
        <f t="shared" si="2"/>
        <v>GACAATTC</v>
      </c>
      <c r="K178" t="str">
        <f>IF(AND(OR(LEFT(Sample!A176,1)="E",LEFT(Sample!A176,1)="H"),OR(LEFT(Sample!C176,2)="JI",LEFT(Sample!C176,1)="I")),"TS1",IF(AND(OR(LEFT(Sample!A176,1)="E",LEFT(Sample!A176,1)="H"),OR(LEFT(Sample!C176,2)="JX",LEFT(Sample!C176,1)="W",LEFT(Sample!C176,1)="X")),"TS95",IF(AND(OR(LEFT(Sample!A176,1)="E",LEFT(Sample!A176,1)="H"),OR(LEFT(Sample!C176,2)="JN",LEFT(Sample!C176,1)="N")),"TS3",IF(OR(LEFT(Sample!A176,1)="T",LEFT(Sample!A176,1)="B"),"TS24",IF(LEFT(Sample!A176,2)="CR","CARRIER9",IF(LEFT(Sample!A176,4)="DEL3","NIPTDEL3",Sample!A176))))))</f>
        <v>V2234A</v>
      </c>
      <c r="O178" t="str">
        <f xml:space="preserve"> SUBSTITUTE( SUBSTITUTE( SUBSTITUTE( SUBSTITUTE( SUBSTITUTE( SUBSTITUTE( SUBSTITUTE( SUBSTITUTE( SampleImport!I178, "A", 1), "C", 2), "G", 3),"T", 4), 1, "T"), 2, "G"), 3, "C"), 4, "A")</f>
        <v>CTTAACAG</v>
      </c>
    </row>
    <row r="179" spans="1:15" x14ac:dyDescent="0.35">
      <c r="A179" t="str">
        <f>Sample!B177&amp;"-"&amp;Sample!C177</f>
        <v>16-NAABNY70</v>
      </c>
      <c r="B179" t="str">
        <f>Sample!B177&amp;"-"&amp;Sample!C177</f>
        <v>16-NAABNY70</v>
      </c>
      <c r="C179" t="str">
        <f>Sample!A177</f>
        <v>V2234A</v>
      </c>
      <c r="F179" t="str">
        <f>Sample!K177</f>
        <v>S6708</v>
      </c>
      <c r="G179" t="str">
        <f>VLOOKUP(F179,'Index Sequence'!$A$2:$B$9808,2,FALSE)</f>
        <v>ATCCGCAG</v>
      </c>
      <c r="H179" t="str">
        <f>Sample!L177</f>
        <v>S6508</v>
      </c>
      <c r="I179" t="str">
        <f t="shared" si="2"/>
        <v>ACACGACT</v>
      </c>
      <c r="K179" t="str">
        <f>IF(AND(OR(LEFT(Sample!A177,1)="E",LEFT(Sample!A177,1)="H"),OR(LEFT(Sample!C177,2)="JI",LEFT(Sample!C177,1)="I")),"TS1",IF(AND(OR(LEFT(Sample!A177,1)="E",LEFT(Sample!A177,1)="H"),OR(LEFT(Sample!C177,2)="JX",LEFT(Sample!C177,1)="W",LEFT(Sample!C177,1)="X")),"TS95",IF(AND(OR(LEFT(Sample!A177,1)="E",LEFT(Sample!A177,1)="H"),OR(LEFT(Sample!C177,2)="JN",LEFT(Sample!C177,1)="N")),"TS3",IF(OR(LEFT(Sample!A177,1)="T",LEFT(Sample!A177,1)="B"),"TS24",IF(LEFT(Sample!A177,2)="CR","CARRIER9",IF(LEFT(Sample!A177,4)="DEL3","NIPTDEL3",Sample!A177))))))</f>
        <v>V2234A</v>
      </c>
      <c r="O179" t="str">
        <f xml:space="preserve"> SUBSTITUTE( SUBSTITUTE( SUBSTITUTE( SUBSTITUTE( SUBSTITUTE( SUBSTITUTE( SUBSTITUTE( SUBSTITUTE( SampleImport!I179, "A", 1), "C", 2), "G", 3),"T", 4), 1, "T"), 2, "G"), 3, "C"), 4, "A")</f>
        <v>TCAGCACA</v>
      </c>
    </row>
    <row r="180" spans="1:15" x14ac:dyDescent="0.35">
      <c r="A180" t="str">
        <f>Sample!B178&amp;"-"&amp;Sample!C178</f>
        <v>17-NAABNY71</v>
      </c>
      <c r="B180" t="str">
        <f>Sample!B178&amp;"-"&amp;Sample!C178</f>
        <v>17-NAABNY71</v>
      </c>
      <c r="C180" t="str">
        <f>Sample!A178</f>
        <v>V2234A</v>
      </c>
      <c r="F180" t="str">
        <f>Sample!K178</f>
        <v>S6709</v>
      </c>
      <c r="G180" t="str">
        <f>VLOOKUP(F180,'Index Sequence'!$A$2:$B$9808,2,FALSE)</f>
        <v>AAGCGACT</v>
      </c>
      <c r="H180" t="str">
        <f>Sample!L178</f>
        <v>S6509</v>
      </c>
      <c r="I180" t="str">
        <f t="shared" si="2"/>
        <v>ACGAATCC</v>
      </c>
      <c r="K180" t="str">
        <f>IF(AND(OR(LEFT(Sample!A178,1)="E",LEFT(Sample!A178,1)="H"),OR(LEFT(Sample!C178,2)="JI",LEFT(Sample!C178,1)="I")),"TS1",IF(AND(OR(LEFT(Sample!A178,1)="E",LEFT(Sample!A178,1)="H"),OR(LEFT(Sample!C178,2)="JX",LEFT(Sample!C178,1)="W",LEFT(Sample!C178,1)="X")),"TS95",IF(AND(OR(LEFT(Sample!A178,1)="E",LEFT(Sample!A178,1)="H"),OR(LEFT(Sample!C178,2)="JN",LEFT(Sample!C178,1)="N")),"TS3",IF(OR(LEFT(Sample!A178,1)="T",LEFT(Sample!A178,1)="B"),"TS24",IF(LEFT(Sample!A178,2)="CR","CARRIER9",IF(LEFT(Sample!A178,4)="DEL3","NIPTDEL3",Sample!A178))))))</f>
        <v>V2234A</v>
      </c>
      <c r="O180" t="str">
        <f xml:space="preserve"> SUBSTITUTE( SUBSTITUTE( SUBSTITUTE( SUBSTITUTE( SUBSTITUTE( SUBSTITUTE( SUBSTITUTE( SUBSTITUTE( SampleImport!I180, "A", 1), "C", 2), "G", 3),"T", 4), 1, "T"), 2, "G"), 3, "C"), 4, "A")</f>
        <v>CCTAAGCA</v>
      </c>
    </row>
    <row r="181" spans="1:15" x14ac:dyDescent="0.35">
      <c r="A181" t="str">
        <f>Sample!B179&amp;"-"&amp;Sample!C179</f>
        <v>18-NAABNY72</v>
      </c>
      <c r="B181" t="str">
        <f>Sample!B179&amp;"-"&amp;Sample!C179</f>
        <v>18-NAABNY72</v>
      </c>
      <c r="C181" t="str">
        <f>Sample!A179</f>
        <v>V2234A</v>
      </c>
      <c r="F181" t="str">
        <f>Sample!K179</f>
        <v>S6710</v>
      </c>
      <c r="G181" t="str">
        <f>VLOOKUP(F181,'Index Sequence'!$A$2:$B$9808,2,FALSE)</f>
        <v>TGATAGGC</v>
      </c>
      <c r="H181" t="str">
        <f>Sample!L179</f>
        <v>S6510</v>
      </c>
      <c r="I181" t="str">
        <f t="shared" si="2"/>
        <v>GTCTGAGT</v>
      </c>
      <c r="K181" t="str">
        <f>IF(AND(OR(LEFT(Sample!A179,1)="E",LEFT(Sample!A179,1)="H"),OR(LEFT(Sample!C179,2)="JI",LEFT(Sample!C179,1)="I")),"TS1",IF(AND(OR(LEFT(Sample!A179,1)="E",LEFT(Sample!A179,1)="H"),OR(LEFT(Sample!C179,2)="JX",LEFT(Sample!C179,1)="W",LEFT(Sample!C179,1)="X")),"TS95",IF(AND(OR(LEFT(Sample!A179,1)="E",LEFT(Sample!A179,1)="H"),OR(LEFT(Sample!C179,2)="JN",LEFT(Sample!C179,1)="N")),"TS3",IF(OR(LEFT(Sample!A179,1)="T",LEFT(Sample!A179,1)="B"),"TS24",IF(LEFT(Sample!A179,2)="CR","CARRIER9",IF(LEFT(Sample!A179,4)="DEL3","NIPTDEL3",Sample!A179))))))</f>
        <v>V2234A</v>
      </c>
      <c r="O181" t="str">
        <f xml:space="preserve"> SUBSTITUTE( SUBSTITUTE( SUBSTITUTE( SUBSTITUTE( SUBSTITUTE( SUBSTITUTE( SUBSTITUTE( SUBSTITUTE( SampleImport!I181, "A", 1), "C", 2), "G", 3),"T", 4), 1, "T"), 2, "G"), 3, "C"), 4, "A")</f>
        <v>TGAGTCTG</v>
      </c>
    </row>
    <row r="182" spans="1:15" x14ac:dyDescent="0.35">
      <c r="A182" t="str">
        <f>Sample!B180&amp;"-"&amp;Sample!C180</f>
        <v>19-NAABNY73</v>
      </c>
      <c r="B182" t="str">
        <f>Sample!B180&amp;"-"&amp;Sample!C180</f>
        <v>19-NAABNY73</v>
      </c>
      <c r="C182" t="str">
        <f>Sample!A180</f>
        <v>V2234A</v>
      </c>
      <c r="F182" t="str">
        <f>Sample!K180</f>
        <v>S6711</v>
      </c>
      <c r="G182" t="str">
        <f>VLOOKUP(F182,'Index Sequence'!$A$2:$B$9808,2,FALSE)</f>
        <v>AACACCAC</v>
      </c>
      <c r="H182" t="str">
        <f>Sample!L180</f>
        <v>S6511</v>
      </c>
      <c r="I182" t="str">
        <f t="shared" si="2"/>
        <v>GGTGTGAG</v>
      </c>
      <c r="K182" t="str">
        <f>IF(AND(OR(LEFT(Sample!A180,1)="E",LEFT(Sample!A180,1)="H"),OR(LEFT(Sample!C180,2)="JI",LEFT(Sample!C180,1)="I")),"TS1",IF(AND(OR(LEFT(Sample!A180,1)="E",LEFT(Sample!A180,1)="H"),OR(LEFT(Sample!C180,2)="JX",LEFT(Sample!C180,1)="W",LEFT(Sample!C180,1)="X")),"TS95",IF(AND(OR(LEFT(Sample!A180,1)="E",LEFT(Sample!A180,1)="H"),OR(LEFT(Sample!C180,2)="JN",LEFT(Sample!C180,1)="N")),"TS3",IF(OR(LEFT(Sample!A180,1)="T",LEFT(Sample!A180,1)="B"),"TS24",IF(LEFT(Sample!A180,2)="CR","CARRIER9",IF(LEFT(Sample!A180,4)="DEL3","NIPTDEL3",Sample!A180))))))</f>
        <v>V2234A</v>
      </c>
      <c r="O182" t="str">
        <f xml:space="preserve"> SUBSTITUTE( SUBSTITUTE( SUBSTITUTE( SUBSTITUTE( SUBSTITUTE( SUBSTITUTE( SUBSTITUTE( SUBSTITUTE( SampleImport!I182, "A", 1), "C", 2), "G", 3),"T", 4), 1, "T"), 2, "G"), 3, "C"), 4, "A")</f>
        <v>GAGTGTGG</v>
      </c>
    </row>
    <row r="183" spans="1:15" x14ac:dyDescent="0.35">
      <c r="A183" t="str">
        <f>Sample!B181&amp;"-"&amp;Sample!C181</f>
        <v>20-NAABNY74</v>
      </c>
      <c r="B183" t="str">
        <f>Sample!B181&amp;"-"&amp;Sample!C181</f>
        <v>20-NAABNY74</v>
      </c>
      <c r="C183" t="str">
        <f>Sample!A181</f>
        <v>V2234A</v>
      </c>
      <c r="F183" t="str">
        <f>Sample!K181</f>
        <v>S6712</v>
      </c>
      <c r="G183" t="str">
        <f>VLOOKUP(F183,'Index Sequence'!$A$2:$B$9808,2,FALSE)</f>
        <v>ACCTCTTC</v>
      </c>
      <c r="H183" t="str">
        <f>Sample!L181</f>
        <v>S6512</v>
      </c>
      <c r="I183" t="str">
        <f t="shared" si="2"/>
        <v>CTTGCATA</v>
      </c>
      <c r="K183" t="str">
        <f>IF(AND(OR(LEFT(Sample!A181,1)="E",LEFT(Sample!A181,1)="H"),OR(LEFT(Sample!C181,2)="JI",LEFT(Sample!C181,1)="I")),"TS1",IF(AND(OR(LEFT(Sample!A181,1)="E",LEFT(Sample!A181,1)="H"),OR(LEFT(Sample!C181,2)="JX",LEFT(Sample!C181,1)="W",LEFT(Sample!C181,1)="X")),"TS95",IF(AND(OR(LEFT(Sample!A181,1)="E",LEFT(Sample!A181,1)="H"),OR(LEFT(Sample!C181,2)="JN",LEFT(Sample!C181,1)="N")),"TS3",IF(OR(LEFT(Sample!A181,1)="T",LEFT(Sample!A181,1)="B"),"TS24",IF(LEFT(Sample!A181,2)="CR","CARRIER9",IF(LEFT(Sample!A181,4)="DEL3","NIPTDEL3",Sample!A181))))))</f>
        <v>V2234A</v>
      </c>
      <c r="O183" t="str">
        <f xml:space="preserve"> SUBSTITUTE( SUBSTITUTE( SUBSTITUTE( SUBSTITUTE( SUBSTITUTE( SUBSTITUTE( SUBSTITUTE( SUBSTITUTE( SampleImport!I183, "A", 1), "C", 2), "G", 3),"T", 4), 1, "T"), 2, "G"), 3, "C"), 4, "A")</f>
        <v>ATACGTTC</v>
      </c>
    </row>
    <row r="184" spans="1:15" x14ac:dyDescent="0.35">
      <c r="A184" t="str">
        <f>Sample!B182&amp;"-"&amp;Sample!C182</f>
        <v>21-NAABNY75</v>
      </c>
      <c r="B184" t="str">
        <f>Sample!B182&amp;"-"&amp;Sample!C182</f>
        <v>21-NAABNY75</v>
      </c>
      <c r="C184" t="str">
        <f>Sample!A182</f>
        <v>V2234A</v>
      </c>
      <c r="F184" t="str">
        <f>Sample!K182</f>
        <v>S6713</v>
      </c>
      <c r="G184" t="str">
        <f>VLOOKUP(F184,'Index Sequence'!$A$2:$B$9808,2,FALSE)</f>
        <v>GTCCGATC</v>
      </c>
      <c r="H184" t="str">
        <f>Sample!L182</f>
        <v>S6513</v>
      </c>
      <c r="I184" t="str">
        <f t="shared" si="2"/>
        <v>GCCAATCC</v>
      </c>
      <c r="K184" t="str">
        <f>IF(AND(OR(LEFT(Sample!A182,1)="E",LEFT(Sample!A182,1)="H"),OR(LEFT(Sample!C182,2)="JI",LEFT(Sample!C182,1)="I")),"TS1",IF(AND(OR(LEFT(Sample!A182,1)="E",LEFT(Sample!A182,1)="H"),OR(LEFT(Sample!C182,2)="JX",LEFT(Sample!C182,1)="W",LEFT(Sample!C182,1)="X")),"TS95",IF(AND(OR(LEFT(Sample!A182,1)="E",LEFT(Sample!A182,1)="H"),OR(LEFT(Sample!C182,2)="JN",LEFT(Sample!C182,1)="N")),"TS3",IF(OR(LEFT(Sample!A182,1)="T",LEFT(Sample!A182,1)="B"),"TS24",IF(LEFT(Sample!A182,2)="CR","CARRIER9",IF(LEFT(Sample!A182,4)="DEL3","NIPTDEL3",Sample!A182))))))</f>
        <v>V2234A</v>
      </c>
      <c r="O184" t="str">
        <f xml:space="preserve"> SUBSTITUTE( SUBSTITUTE( SUBSTITUTE( SUBSTITUTE( SUBSTITUTE( SUBSTITUTE( SUBSTITUTE( SUBSTITUTE( SampleImport!I184, "A", 1), "C", 2), "G", 3),"T", 4), 1, "T"), 2, "G"), 3, "C"), 4, "A")</f>
        <v>CCTAACCG</v>
      </c>
    </row>
    <row r="185" spans="1:15" x14ac:dyDescent="0.35">
      <c r="A185" t="str">
        <f>Sample!B183&amp;"-"&amp;Sample!C183</f>
        <v>22-NAABNY76</v>
      </c>
      <c r="B185" t="str">
        <f>Sample!B183&amp;"-"&amp;Sample!C183</f>
        <v>22-NAABNY76</v>
      </c>
      <c r="C185" t="str">
        <f>Sample!A183</f>
        <v>V2234A</v>
      </c>
      <c r="F185" t="str">
        <f>Sample!K183</f>
        <v>S6714</v>
      </c>
      <c r="G185" t="str">
        <f>VLOOKUP(F185,'Index Sequence'!$A$2:$B$9808,2,FALSE)</f>
        <v>GAGGACCA</v>
      </c>
      <c r="H185" t="str">
        <f>Sample!L183</f>
        <v>S6514</v>
      </c>
      <c r="I185" t="str">
        <f t="shared" si="2"/>
        <v>ATGCCGGT</v>
      </c>
      <c r="K185" t="str">
        <f>IF(AND(OR(LEFT(Sample!A183,1)="E",LEFT(Sample!A183,1)="H"),OR(LEFT(Sample!C183,2)="JI",LEFT(Sample!C183,1)="I")),"TS1",IF(AND(OR(LEFT(Sample!A183,1)="E",LEFT(Sample!A183,1)="H"),OR(LEFT(Sample!C183,2)="JX",LEFT(Sample!C183,1)="W",LEFT(Sample!C183,1)="X")),"TS95",IF(AND(OR(LEFT(Sample!A183,1)="E",LEFT(Sample!A183,1)="H"),OR(LEFT(Sample!C183,2)="JN",LEFT(Sample!C183,1)="N")),"TS3",IF(OR(LEFT(Sample!A183,1)="T",LEFT(Sample!A183,1)="B"),"TS24",IF(LEFT(Sample!A183,2)="CR","CARRIER9",IF(LEFT(Sample!A183,4)="DEL3","NIPTDEL3",Sample!A183))))))</f>
        <v>V2234A</v>
      </c>
      <c r="O185" t="str">
        <f xml:space="preserve"> SUBSTITUTE( SUBSTITUTE( SUBSTITUTE( SUBSTITUTE( SUBSTITUTE( SUBSTITUTE( SUBSTITUTE( SUBSTITUTE( SampleImport!I185, "A", 1), "C", 2), "G", 3),"T", 4), 1, "T"), 2, "G"), 3, "C"), 4, "A")</f>
        <v>TGGCCGTA</v>
      </c>
    </row>
    <row r="186" spans="1:15" x14ac:dyDescent="0.35">
      <c r="A186" t="str">
        <f>Sample!B184&amp;"-"&amp;Sample!C184</f>
        <v>23-NAABNY77</v>
      </c>
      <c r="B186" t="str">
        <f>Sample!B184&amp;"-"&amp;Sample!C184</f>
        <v>23-NAABNY77</v>
      </c>
      <c r="C186" t="str">
        <f>Sample!A184</f>
        <v>V2234A</v>
      </c>
      <c r="F186" t="str">
        <f>Sample!K184</f>
        <v>S6715</v>
      </c>
      <c r="G186" t="str">
        <f>VLOOKUP(F186,'Index Sequence'!$A$2:$B$9808,2,FALSE)</f>
        <v>CGCTCTTA</v>
      </c>
      <c r="H186" t="str">
        <f>Sample!L184</f>
        <v>S6515</v>
      </c>
      <c r="I186" t="str">
        <f t="shared" si="2"/>
        <v>CATACCGT</v>
      </c>
      <c r="K186" t="str">
        <f>IF(AND(OR(LEFT(Sample!A184,1)="E",LEFT(Sample!A184,1)="H"),OR(LEFT(Sample!C184,2)="JI",LEFT(Sample!C184,1)="I")),"TS1",IF(AND(OR(LEFT(Sample!A184,1)="E",LEFT(Sample!A184,1)="H"),OR(LEFT(Sample!C184,2)="JX",LEFT(Sample!C184,1)="W",LEFT(Sample!C184,1)="X")),"TS95",IF(AND(OR(LEFT(Sample!A184,1)="E",LEFT(Sample!A184,1)="H"),OR(LEFT(Sample!C184,2)="JN",LEFT(Sample!C184,1)="N")),"TS3",IF(OR(LEFT(Sample!A184,1)="T",LEFT(Sample!A184,1)="B"),"TS24",IF(LEFT(Sample!A184,2)="CR","CARRIER9",IF(LEFT(Sample!A184,4)="DEL3","NIPTDEL3",Sample!A184))))))</f>
        <v>V2234A</v>
      </c>
      <c r="O186" t="str">
        <f xml:space="preserve"> SUBSTITUTE( SUBSTITUTE( SUBSTITUTE( SUBSTITUTE( SUBSTITUTE( SUBSTITUTE( SUBSTITUTE( SUBSTITUTE( SampleImport!I186, "A", 1), "C", 2), "G", 3),"T", 4), 1, "T"), 2, "G"), 3, "C"), 4, "A")</f>
        <v>TGCCATAC</v>
      </c>
    </row>
    <row r="187" spans="1:15" x14ac:dyDescent="0.35">
      <c r="A187" t="str">
        <f>Sample!B185&amp;"-"&amp;Sample!C185</f>
        <v>24-NAABNY78</v>
      </c>
      <c r="B187" t="str">
        <f>Sample!B185&amp;"-"&amp;Sample!C185</f>
        <v>24-NAABNY78</v>
      </c>
      <c r="C187" t="str">
        <f>Sample!A185</f>
        <v>V2234A</v>
      </c>
      <c r="F187" t="str">
        <f>Sample!K185</f>
        <v>S6716</v>
      </c>
      <c r="G187" t="str">
        <f>VLOOKUP(F187,'Index Sequence'!$A$2:$B$9808,2,FALSE)</f>
        <v>CTGAGCTC</v>
      </c>
      <c r="H187" t="str">
        <f>Sample!L185</f>
        <v>S6516</v>
      </c>
      <c r="I187" t="str">
        <f t="shared" si="2"/>
        <v>ATCAGAGC</v>
      </c>
      <c r="K187" t="str">
        <f>IF(AND(OR(LEFT(Sample!A185,1)="E",LEFT(Sample!A185,1)="H"),OR(LEFT(Sample!C185,2)="JI",LEFT(Sample!C185,1)="I")),"TS1",IF(AND(OR(LEFT(Sample!A185,1)="E",LEFT(Sample!A185,1)="H"),OR(LEFT(Sample!C185,2)="JX",LEFT(Sample!C185,1)="W",LEFT(Sample!C185,1)="X")),"TS95",IF(AND(OR(LEFT(Sample!A185,1)="E",LEFT(Sample!A185,1)="H"),OR(LEFT(Sample!C185,2)="JN",LEFT(Sample!C185,1)="N")),"TS3",IF(OR(LEFT(Sample!A185,1)="T",LEFT(Sample!A185,1)="B"),"TS24",IF(LEFT(Sample!A185,2)="CR","CARRIER9",IF(LEFT(Sample!A185,4)="DEL3","NIPTDEL3",Sample!A185))))))</f>
        <v>V2234A</v>
      </c>
      <c r="O187" t="str">
        <f xml:space="preserve"> SUBSTITUTE( SUBSTITUTE( SUBSTITUTE( SUBSTITUTE( SUBSTITUTE( SUBSTITUTE( SUBSTITUTE( SUBSTITUTE( SampleImport!I187, "A", 1), "C", 2), "G", 3),"T", 4), 1, "T"), 2, "G"), 3, "C"), 4, "A")</f>
        <v>CGAGACTA</v>
      </c>
    </row>
    <row r="188" spans="1:15" x14ac:dyDescent="0.35">
      <c r="A188" t="str">
        <f>Sample!B186&amp;"-"&amp;Sample!C186</f>
        <v>1-IAABRG92</v>
      </c>
      <c r="B188" t="str">
        <f>Sample!B186&amp;"-"&amp;Sample!C186</f>
        <v>1-IAABRG92</v>
      </c>
      <c r="C188" t="str">
        <f>Sample!A186</f>
        <v>V2235A</v>
      </c>
      <c r="F188" t="str">
        <f>Sample!K186</f>
        <v>S6717</v>
      </c>
      <c r="G188" t="str">
        <f>VLOOKUP(F188,'Index Sequence'!$A$2:$B$9808,2,FALSE)</f>
        <v>ACGAATCC</v>
      </c>
      <c r="H188" t="str">
        <f>Sample!L186</f>
        <v>S6517</v>
      </c>
      <c r="I188" t="str">
        <f t="shared" si="2"/>
        <v>ATTACCCA</v>
      </c>
      <c r="K188" t="str">
        <f>IF(AND(OR(LEFT(Sample!A186,1)="E",LEFT(Sample!A186,1)="H"),OR(LEFT(Sample!C186,2)="JI",LEFT(Sample!C186,1)="I")),"TS1",IF(AND(OR(LEFT(Sample!A186,1)="E",LEFT(Sample!A186,1)="H"),OR(LEFT(Sample!C186,2)="JX",LEFT(Sample!C186,1)="W",LEFT(Sample!C186,1)="X")),"TS95",IF(AND(OR(LEFT(Sample!A186,1)="E",LEFT(Sample!A186,1)="H"),OR(LEFT(Sample!C186,2)="JN",LEFT(Sample!C186,1)="N")),"TS3",IF(OR(LEFT(Sample!A186,1)="T",LEFT(Sample!A186,1)="B"),"TS24",IF(LEFT(Sample!A186,2)="CR","CARRIER9",IF(LEFT(Sample!A186,4)="DEL3","NIPTDEL3",Sample!A186))))))</f>
        <v>V2235A</v>
      </c>
      <c r="O188" t="str">
        <f xml:space="preserve"> SUBSTITUTE( SUBSTITUTE( SUBSTITUTE( SUBSTITUTE( SUBSTITUTE( SUBSTITUTE( SUBSTITUTE( SUBSTITUTE( SampleImport!I188, "A", 1), "C", 2), "G", 3),"T", 4), 1, "T"), 2, "G"), 3, "C"), 4, "A")</f>
        <v>ACCCATTA</v>
      </c>
    </row>
    <row r="189" spans="1:15" x14ac:dyDescent="0.35">
      <c r="A189" t="str">
        <f>Sample!B187&amp;"-"&amp;Sample!C187</f>
        <v>2-IAABRG93</v>
      </c>
      <c r="B189" t="str">
        <f>Sample!B187&amp;"-"&amp;Sample!C187</f>
        <v>2-IAABRG93</v>
      </c>
      <c r="C189" t="str">
        <f>Sample!A187</f>
        <v>V2235A</v>
      </c>
      <c r="F189" t="str">
        <f>Sample!K187</f>
        <v>S6718</v>
      </c>
      <c r="G189" t="str">
        <f>VLOOKUP(F189,'Index Sequence'!$A$2:$B$9808,2,FALSE)</f>
        <v>GTCTGAGT</v>
      </c>
      <c r="H189" t="str">
        <f>Sample!L187</f>
        <v>S6518</v>
      </c>
      <c r="I189" t="str">
        <f t="shared" si="2"/>
        <v>GACTTGTG</v>
      </c>
      <c r="K189" t="str">
        <f>IF(AND(OR(LEFT(Sample!A187,1)="E",LEFT(Sample!A187,1)="H"),OR(LEFT(Sample!C187,2)="JI",LEFT(Sample!C187,1)="I")),"TS1",IF(AND(OR(LEFT(Sample!A187,1)="E",LEFT(Sample!A187,1)="H"),OR(LEFT(Sample!C187,2)="JX",LEFT(Sample!C187,1)="W",LEFT(Sample!C187,1)="X")),"TS95",IF(AND(OR(LEFT(Sample!A187,1)="E",LEFT(Sample!A187,1)="H"),OR(LEFT(Sample!C187,2)="JN",LEFT(Sample!C187,1)="N")),"TS3",IF(OR(LEFT(Sample!A187,1)="T",LEFT(Sample!A187,1)="B"),"TS24",IF(LEFT(Sample!A187,2)="CR","CARRIER9",IF(LEFT(Sample!A187,4)="DEL3","NIPTDEL3",Sample!A187))))))</f>
        <v>V2235A</v>
      </c>
      <c r="O189" t="str">
        <f xml:space="preserve"> SUBSTITUTE( SUBSTITUTE( SUBSTITUTE( SUBSTITUTE( SUBSTITUTE( SUBSTITUTE( SUBSTITUTE( SUBSTITUTE( SampleImport!I189, "A", 1), "C", 2), "G", 3),"T", 4), 1, "T"), 2, "G"), 3, "C"), 4, "A")</f>
        <v>GTGTTCAG</v>
      </c>
    </row>
    <row r="190" spans="1:15" x14ac:dyDescent="0.35">
      <c r="A190" t="str">
        <f>Sample!B188&amp;"-"&amp;Sample!C188</f>
        <v>3-IAABRG94</v>
      </c>
      <c r="B190" t="str">
        <f>Sample!B188&amp;"-"&amp;Sample!C188</f>
        <v>3-IAABRG94</v>
      </c>
      <c r="C190" t="str">
        <f>Sample!A188</f>
        <v>V2235A</v>
      </c>
      <c r="F190" t="str">
        <f>Sample!K188</f>
        <v>S6719</v>
      </c>
      <c r="G190" t="str">
        <f>VLOOKUP(F190,'Index Sequence'!$A$2:$B$9808,2,FALSE)</f>
        <v>CCTAAACT</v>
      </c>
      <c r="H190" t="str">
        <f>Sample!L188</f>
        <v>S6519</v>
      </c>
      <c r="I190" t="str">
        <f t="shared" si="2"/>
        <v>ACGAGGAG</v>
      </c>
      <c r="K190" t="str">
        <f>IF(AND(OR(LEFT(Sample!A188,1)="E",LEFT(Sample!A188,1)="H"),OR(LEFT(Sample!C188,2)="JI",LEFT(Sample!C188,1)="I")),"TS1",IF(AND(OR(LEFT(Sample!A188,1)="E",LEFT(Sample!A188,1)="H"),OR(LEFT(Sample!C188,2)="JX",LEFT(Sample!C188,1)="W",LEFT(Sample!C188,1)="X")),"TS95",IF(AND(OR(LEFT(Sample!A188,1)="E",LEFT(Sample!A188,1)="H"),OR(LEFT(Sample!C188,2)="JN",LEFT(Sample!C188,1)="N")),"TS3",IF(OR(LEFT(Sample!A188,1)="T",LEFT(Sample!A188,1)="B"),"TS24",IF(LEFT(Sample!A188,2)="CR","CARRIER9",IF(LEFT(Sample!A188,4)="DEL3","NIPTDEL3",Sample!A188))))))</f>
        <v>V2235A</v>
      </c>
      <c r="O190" t="str">
        <f xml:space="preserve"> SUBSTITUTE( SUBSTITUTE( SUBSTITUTE( SUBSTITUTE( SUBSTITUTE( SUBSTITUTE( SUBSTITUTE( SUBSTITUTE( SampleImport!I190, "A", 1), "C", 2), "G", 3),"T", 4), 1, "T"), 2, "G"), 3, "C"), 4, "A")</f>
        <v>GAGGAGCA</v>
      </c>
    </row>
    <row r="191" spans="1:15" x14ac:dyDescent="0.35">
      <c r="A191" t="str">
        <f>Sample!B189&amp;"-"&amp;Sample!C189</f>
        <v>4-IAABRG95</v>
      </c>
      <c r="B191" t="str">
        <f>Sample!B189&amp;"-"&amp;Sample!C189</f>
        <v>4-IAABRG95</v>
      </c>
      <c r="C191" t="str">
        <f>Sample!A189</f>
        <v>V2235A</v>
      </c>
      <c r="F191" t="str">
        <f>Sample!K189</f>
        <v>S6720</v>
      </c>
      <c r="G191" t="str">
        <f>VLOOKUP(F191,'Index Sequence'!$A$2:$B$9808,2,FALSE)</f>
        <v>TGTCACAC</v>
      </c>
      <c r="H191" t="str">
        <f>Sample!L189</f>
        <v>S6520</v>
      </c>
      <c r="I191" t="str">
        <f t="shared" si="2"/>
        <v>TAATCTCG</v>
      </c>
      <c r="K191" t="str">
        <f>IF(AND(OR(LEFT(Sample!A189,1)="E",LEFT(Sample!A189,1)="H"),OR(LEFT(Sample!C189,2)="JI",LEFT(Sample!C189,1)="I")),"TS1",IF(AND(OR(LEFT(Sample!A189,1)="E",LEFT(Sample!A189,1)="H"),OR(LEFT(Sample!C189,2)="JX",LEFT(Sample!C189,1)="W",LEFT(Sample!C189,1)="X")),"TS95",IF(AND(OR(LEFT(Sample!A189,1)="E",LEFT(Sample!A189,1)="H"),OR(LEFT(Sample!C189,2)="JN",LEFT(Sample!C189,1)="N")),"TS3",IF(OR(LEFT(Sample!A189,1)="T",LEFT(Sample!A189,1)="B"),"TS24",IF(LEFT(Sample!A189,2)="CR","CARRIER9",IF(LEFT(Sample!A189,4)="DEL3","NIPTDEL3",Sample!A189))))))</f>
        <v>V2235A</v>
      </c>
      <c r="O191" t="str">
        <f xml:space="preserve"> SUBSTITUTE( SUBSTITUTE( SUBSTITUTE( SUBSTITUTE( SUBSTITUTE( SUBSTITUTE( SUBSTITUTE( SUBSTITUTE( SampleImport!I191, "A", 1), "C", 2), "G", 3),"T", 4), 1, "T"), 2, "G"), 3, "C"), 4, "A")</f>
        <v>GCTCTAAT</v>
      </c>
    </row>
    <row r="192" spans="1:15" x14ac:dyDescent="0.35">
      <c r="A192" t="str">
        <f>Sample!B190&amp;"-"&amp;Sample!C190</f>
        <v>5-IAABRG96</v>
      </c>
      <c r="B192" t="str">
        <f>Sample!B190&amp;"-"&amp;Sample!C190</f>
        <v>5-IAABRG96</v>
      </c>
      <c r="C192" t="str">
        <f>Sample!A190</f>
        <v>V2235A</v>
      </c>
      <c r="F192" t="str">
        <f>Sample!K190</f>
        <v>S6721</v>
      </c>
      <c r="G192" t="str">
        <f>VLOOKUP(F192,'Index Sequence'!$A$2:$B$9808,2,FALSE)</f>
        <v>GATATGAA</v>
      </c>
      <c r="H192" t="str">
        <f>Sample!L190</f>
        <v>S6521</v>
      </c>
      <c r="I192" t="str">
        <f t="shared" si="2"/>
        <v>TACGGCAG</v>
      </c>
      <c r="K192" t="str">
        <f>IF(AND(OR(LEFT(Sample!A190,1)="E",LEFT(Sample!A190,1)="H"),OR(LEFT(Sample!C190,2)="JI",LEFT(Sample!C190,1)="I")),"TS1",IF(AND(OR(LEFT(Sample!A190,1)="E",LEFT(Sample!A190,1)="H"),OR(LEFT(Sample!C190,2)="JX",LEFT(Sample!C190,1)="W",LEFT(Sample!C190,1)="X")),"TS95",IF(AND(OR(LEFT(Sample!A190,1)="E",LEFT(Sample!A190,1)="H"),OR(LEFT(Sample!C190,2)="JN",LEFT(Sample!C190,1)="N")),"TS3",IF(OR(LEFT(Sample!A190,1)="T",LEFT(Sample!A190,1)="B"),"TS24",IF(LEFT(Sample!A190,2)="CR","CARRIER9",IF(LEFT(Sample!A190,4)="DEL3","NIPTDEL3",Sample!A190))))))</f>
        <v>V2235A</v>
      </c>
      <c r="O192" t="str">
        <f xml:space="preserve"> SUBSTITUTE( SUBSTITUTE( SUBSTITUTE( SUBSTITUTE( SUBSTITUTE( SUBSTITUTE( SUBSTITUTE( SUBSTITUTE( SampleImport!I192, "A", 1), "C", 2), "G", 3),"T", 4), 1, "T"), 2, "G"), 3, "C"), 4, "A")</f>
        <v>GACGGCAT</v>
      </c>
    </row>
    <row r="193" spans="1:15" x14ac:dyDescent="0.35">
      <c r="A193" t="str">
        <f>Sample!B191&amp;"-"&amp;Sample!C191</f>
        <v>6-IAABRG97</v>
      </c>
      <c r="B193" t="str">
        <f>Sample!B191&amp;"-"&amp;Sample!C191</f>
        <v>6-IAABRG97</v>
      </c>
      <c r="C193" t="str">
        <f>Sample!A191</f>
        <v>V2235A</v>
      </c>
      <c r="F193" t="str">
        <f>Sample!K191</f>
        <v>S6722</v>
      </c>
      <c r="G193" t="str">
        <f>VLOOKUP(F193,'Index Sequence'!$A$2:$B$9808,2,FALSE)</f>
        <v>AAGTGTGG</v>
      </c>
      <c r="H193" t="str">
        <f>Sample!L191</f>
        <v>S6522</v>
      </c>
      <c r="I193" t="str">
        <f t="shared" si="2"/>
        <v>TGCCCATC</v>
      </c>
      <c r="K193" t="str">
        <f>IF(AND(OR(LEFT(Sample!A191,1)="E",LEFT(Sample!A191,1)="H"),OR(LEFT(Sample!C191,2)="JI",LEFT(Sample!C191,1)="I")),"TS1",IF(AND(OR(LEFT(Sample!A191,1)="E",LEFT(Sample!A191,1)="H"),OR(LEFT(Sample!C191,2)="JX",LEFT(Sample!C191,1)="W",LEFT(Sample!C191,1)="X")),"TS95",IF(AND(OR(LEFT(Sample!A191,1)="E",LEFT(Sample!A191,1)="H"),OR(LEFT(Sample!C191,2)="JN",LEFT(Sample!C191,1)="N")),"TS3",IF(OR(LEFT(Sample!A191,1)="T",LEFT(Sample!A191,1)="B"),"TS24",IF(LEFT(Sample!A191,2)="CR","CARRIER9",IF(LEFT(Sample!A191,4)="DEL3","NIPTDEL3",Sample!A191))))))</f>
        <v>V2235A</v>
      </c>
      <c r="O193" t="str">
        <f xml:space="preserve"> SUBSTITUTE( SUBSTITUTE( SUBSTITUTE( SUBSTITUTE( SUBSTITUTE( SUBSTITUTE( SUBSTITUTE( SUBSTITUTE( SampleImport!I193, "A", 1), "C", 2), "G", 3),"T", 4), 1, "T"), 2, "G"), 3, "C"), 4, "A")</f>
        <v>CTACCCGT</v>
      </c>
    </row>
    <row r="194" spans="1:15" x14ac:dyDescent="0.35">
      <c r="A194" t="str">
        <f>Sample!B192&amp;"-"&amp;Sample!C192</f>
        <v>7-IAABRG98</v>
      </c>
      <c r="B194" t="str">
        <f>Sample!B192&amp;"-"&amp;Sample!C192</f>
        <v>7-IAABRG98</v>
      </c>
      <c r="C194" t="str">
        <f>Sample!A192</f>
        <v>V2235A</v>
      </c>
      <c r="F194" t="str">
        <f>Sample!K192</f>
        <v>S6723</v>
      </c>
      <c r="G194" t="str">
        <f>VLOOKUP(F194,'Index Sequence'!$A$2:$B$9808,2,FALSE)</f>
        <v>GTTGGCGT</v>
      </c>
      <c r="H194" t="str">
        <f>Sample!L192</f>
        <v>S6523</v>
      </c>
      <c r="I194" t="str">
        <f t="shared" si="2"/>
        <v>CAGCAGTC</v>
      </c>
      <c r="K194" t="str">
        <f>IF(AND(OR(LEFT(Sample!A192,1)="E",LEFT(Sample!A192,1)="H"),OR(LEFT(Sample!C192,2)="JI",LEFT(Sample!C192,1)="I")),"TS1",IF(AND(OR(LEFT(Sample!A192,1)="E",LEFT(Sample!A192,1)="H"),OR(LEFT(Sample!C192,2)="JX",LEFT(Sample!C192,1)="W",LEFT(Sample!C192,1)="X")),"TS95",IF(AND(OR(LEFT(Sample!A192,1)="E",LEFT(Sample!A192,1)="H"),OR(LEFT(Sample!C192,2)="JN",LEFT(Sample!C192,1)="N")),"TS3",IF(OR(LEFT(Sample!A192,1)="T",LEFT(Sample!A192,1)="B"),"TS24",IF(LEFT(Sample!A192,2)="CR","CARRIER9",IF(LEFT(Sample!A192,4)="DEL3","NIPTDEL3",Sample!A192))))))</f>
        <v>V2235A</v>
      </c>
      <c r="O194" t="str">
        <f xml:space="preserve"> SUBSTITUTE( SUBSTITUTE( SUBSTITUTE( SUBSTITUTE( SUBSTITUTE( SUBSTITUTE( SUBSTITUTE( SUBSTITUTE( SampleImport!I194, "A", 1), "C", 2), "G", 3),"T", 4), 1, "T"), 2, "G"), 3, "C"), 4, "A")</f>
        <v>CTGACGAC</v>
      </c>
    </row>
    <row r="195" spans="1:15" x14ac:dyDescent="0.35">
      <c r="A195" t="str">
        <f>Sample!B193&amp;"-"&amp;Sample!C193</f>
        <v>8-IAABRG99</v>
      </c>
      <c r="B195" t="str">
        <f>Sample!B193&amp;"-"&amp;Sample!C193</f>
        <v>8-IAABRG99</v>
      </c>
      <c r="C195" t="str">
        <f>Sample!A193</f>
        <v>V2235A</v>
      </c>
      <c r="F195" t="str">
        <f>Sample!K193</f>
        <v>S6724</v>
      </c>
      <c r="G195" t="str">
        <f>VLOOKUP(F195,'Index Sequence'!$A$2:$B$9808,2,FALSE)</f>
        <v>TAGCTGGC</v>
      </c>
      <c r="H195" t="str">
        <f>Sample!L193</f>
        <v>S6524</v>
      </c>
      <c r="I195" t="str">
        <f t="shared" si="2"/>
        <v>TACCGGCT</v>
      </c>
      <c r="K195" t="str">
        <f>IF(AND(OR(LEFT(Sample!A193,1)="E",LEFT(Sample!A193,1)="H"),OR(LEFT(Sample!C193,2)="JI",LEFT(Sample!C193,1)="I")),"TS1",IF(AND(OR(LEFT(Sample!A193,1)="E",LEFT(Sample!A193,1)="H"),OR(LEFT(Sample!C193,2)="JX",LEFT(Sample!C193,1)="W",LEFT(Sample!C193,1)="X")),"TS95",IF(AND(OR(LEFT(Sample!A193,1)="E",LEFT(Sample!A193,1)="H"),OR(LEFT(Sample!C193,2)="JN",LEFT(Sample!C193,1)="N")),"TS3",IF(OR(LEFT(Sample!A193,1)="T",LEFT(Sample!A193,1)="B"),"TS24",IF(LEFT(Sample!A193,2)="CR","CARRIER9",IF(LEFT(Sample!A193,4)="DEL3","NIPTDEL3",Sample!A193))))))</f>
        <v>V2235A</v>
      </c>
      <c r="O195" t="str">
        <f xml:space="preserve"> SUBSTITUTE( SUBSTITUTE( SUBSTITUTE( SUBSTITUTE( SUBSTITUTE( SUBSTITUTE( SUBSTITUTE( SUBSTITUTE( SampleImport!I195, "A", 1), "C", 2), "G", 3),"T", 4), 1, "T"), 2, "G"), 3, "C"), 4, "A")</f>
        <v>TCGGCCAT</v>
      </c>
    </row>
    <row r="196" spans="1:15" x14ac:dyDescent="0.35">
      <c r="A196" t="str">
        <f>Sample!B194&amp;"-"&amp;Sample!C194</f>
        <v>9-IAABRH01</v>
      </c>
      <c r="B196" t="str">
        <f>Sample!B194&amp;"-"&amp;Sample!C194</f>
        <v>9-IAABRH01</v>
      </c>
      <c r="C196" t="str">
        <f>Sample!A194</f>
        <v>V2235A</v>
      </c>
      <c r="F196" t="str">
        <f>Sample!K194</f>
        <v>S6725</v>
      </c>
      <c r="G196" t="str">
        <f>VLOOKUP(F196,'Index Sequence'!$A$2:$B$9808,2,FALSE)</f>
        <v>ATTACCCA</v>
      </c>
      <c r="H196" t="str">
        <f>Sample!L194</f>
        <v>S6525</v>
      </c>
      <c r="I196" t="str">
        <f t="shared" si="2"/>
        <v>CACTGTAG</v>
      </c>
      <c r="K196" t="str">
        <f>IF(AND(OR(LEFT(Sample!A194,1)="E",LEFT(Sample!A194,1)="H"),OR(LEFT(Sample!C194,2)="JI",LEFT(Sample!C194,1)="I")),"TS1",IF(AND(OR(LEFT(Sample!A194,1)="E",LEFT(Sample!A194,1)="H"),OR(LEFT(Sample!C194,2)="JX",LEFT(Sample!C194,1)="W",LEFT(Sample!C194,1)="X")),"TS95",IF(AND(OR(LEFT(Sample!A194,1)="E",LEFT(Sample!A194,1)="H"),OR(LEFT(Sample!C194,2)="JN",LEFT(Sample!C194,1)="N")),"TS3",IF(OR(LEFT(Sample!A194,1)="T",LEFT(Sample!A194,1)="B"),"TS24",IF(LEFT(Sample!A194,2)="CR","CARRIER9",IF(LEFT(Sample!A194,4)="DEL3","NIPTDEL3",Sample!A194))))))</f>
        <v>V2235A</v>
      </c>
      <c r="O196" t="str">
        <f xml:space="preserve"> SUBSTITUTE( SUBSTITUTE( SUBSTITUTE( SUBSTITUTE( SUBSTITUTE( SUBSTITUTE( SUBSTITUTE( SUBSTITUTE( SampleImport!I196, "A", 1), "C", 2), "G", 3),"T", 4), 1, "T"), 2, "G"), 3, "C"), 4, "A")</f>
        <v>GATGTCAC</v>
      </c>
    </row>
    <row r="197" spans="1:15" x14ac:dyDescent="0.35">
      <c r="A197" t="str">
        <f>Sample!B195&amp;"-"&amp;Sample!C195</f>
        <v>10-IAABRH02</v>
      </c>
      <c r="B197" t="str">
        <f>Sample!B195&amp;"-"&amp;Sample!C195</f>
        <v>10-IAABRH02</v>
      </c>
      <c r="C197" t="str">
        <f>Sample!A195</f>
        <v>V2235A</v>
      </c>
      <c r="F197" t="str">
        <f>Sample!K195</f>
        <v>S6726</v>
      </c>
      <c r="G197" t="str">
        <f>VLOOKUP(F197,'Index Sequence'!$A$2:$B$9808,2,FALSE)</f>
        <v>GACTTGTG</v>
      </c>
      <c r="H197" t="str">
        <f>Sample!L195</f>
        <v>S6526</v>
      </c>
      <c r="I197" t="str">
        <f t="shared" si="2"/>
        <v>GTGCACGA</v>
      </c>
      <c r="K197" t="str">
        <f>IF(AND(OR(LEFT(Sample!A195,1)="E",LEFT(Sample!A195,1)="H"),OR(LEFT(Sample!C195,2)="JI",LEFT(Sample!C195,1)="I")),"TS1",IF(AND(OR(LEFT(Sample!A195,1)="E",LEFT(Sample!A195,1)="H"),OR(LEFT(Sample!C195,2)="JX",LEFT(Sample!C195,1)="W",LEFT(Sample!C195,1)="X")),"TS95",IF(AND(OR(LEFT(Sample!A195,1)="E",LEFT(Sample!A195,1)="H"),OR(LEFT(Sample!C195,2)="JN",LEFT(Sample!C195,1)="N")),"TS3",IF(OR(LEFT(Sample!A195,1)="T",LEFT(Sample!A195,1)="B"),"TS24",IF(LEFT(Sample!A195,2)="CR","CARRIER9",IF(LEFT(Sample!A195,4)="DEL3","NIPTDEL3",Sample!A195))))))</f>
        <v>V2235A</v>
      </c>
      <c r="O197" t="str">
        <f xml:space="preserve"> SUBSTITUTE( SUBSTITUTE( SUBSTITUTE( SUBSTITUTE( SUBSTITUTE( SUBSTITUTE( SUBSTITUTE( SUBSTITUTE( SampleImport!I197, "A", 1), "C", 2), "G", 3),"T", 4), 1, "T"), 2, "G"), 3, "C"), 4, "A")</f>
        <v>AGCACGTG</v>
      </c>
    </row>
    <row r="198" spans="1:15" x14ac:dyDescent="0.35">
      <c r="A198" t="str">
        <f>Sample!B196&amp;"-"&amp;Sample!C196</f>
        <v>11-IAABRH03</v>
      </c>
      <c r="B198" t="str">
        <f>Sample!B196&amp;"-"&amp;Sample!C196</f>
        <v>11-IAABRH03</v>
      </c>
      <c r="C198" t="str">
        <f>Sample!A196</f>
        <v>V2235A</v>
      </c>
      <c r="F198" t="str">
        <f>Sample!K196</f>
        <v>S6727</v>
      </c>
      <c r="G198" t="str">
        <f>VLOOKUP(F198,'Index Sequence'!$A$2:$B$9808,2,FALSE)</f>
        <v>CAGGTAAG</v>
      </c>
      <c r="H198" t="str">
        <f>Sample!L196</f>
        <v>S6527</v>
      </c>
      <c r="I198" t="str">
        <f t="shared" si="2"/>
        <v>CTCGAAAT</v>
      </c>
      <c r="K198" t="str">
        <f>IF(AND(OR(LEFT(Sample!A196,1)="E",LEFT(Sample!A196,1)="H"),OR(LEFT(Sample!C196,2)="JI",LEFT(Sample!C196,1)="I")),"TS1",IF(AND(OR(LEFT(Sample!A196,1)="E",LEFT(Sample!A196,1)="H"),OR(LEFT(Sample!C196,2)="JX",LEFT(Sample!C196,1)="W",LEFT(Sample!C196,1)="X")),"TS95",IF(AND(OR(LEFT(Sample!A196,1)="E",LEFT(Sample!A196,1)="H"),OR(LEFT(Sample!C196,2)="JN",LEFT(Sample!C196,1)="N")),"TS3",IF(OR(LEFT(Sample!A196,1)="T",LEFT(Sample!A196,1)="B"),"TS24",IF(LEFT(Sample!A196,2)="CR","CARRIER9",IF(LEFT(Sample!A196,4)="DEL3","NIPTDEL3",Sample!A196))))))</f>
        <v>V2235A</v>
      </c>
      <c r="O198" t="str">
        <f xml:space="preserve"> SUBSTITUTE( SUBSTITUTE( SUBSTITUTE( SUBSTITUTE( SUBSTITUTE( SUBSTITUTE( SUBSTITUTE( SUBSTITUTE( SampleImport!I198, "A", 1), "C", 2), "G", 3),"T", 4), 1, "T"), 2, "G"), 3, "C"), 4, "A")</f>
        <v>TAAAGCTC</v>
      </c>
    </row>
    <row r="199" spans="1:15" x14ac:dyDescent="0.35">
      <c r="A199" t="str">
        <f>Sample!B197&amp;"-"&amp;Sample!C197</f>
        <v>12-IAABRH04</v>
      </c>
      <c r="B199" t="str">
        <f>Sample!B197&amp;"-"&amp;Sample!C197</f>
        <v>12-IAABRH04</v>
      </c>
      <c r="C199" t="str">
        <f>Sample!A197</f>
        <v>V2235A</v>
      </c>
      <c r="F199" t="str">
        <f>Sample!K197</f>
        <v>S6728</v>
      </c>
      <c r="G199" t="str">
        <f>VLOOKUP(F199,'Index Sequence'!$A$2:$B$9808,2,FALSE)</f>
        <v>AAGGAGAC</v>
      </c>
      <c r="H199" t="str">
        <f>Sample!L197</f>
        <v>S6528</v>
      </c>
      <c r="I199" t="str">
        <f t="shared" si="2"/>
        <v>CTCACAAC</v>
      </c>
      <c r="K199" t="str">
        <f>IF(AND(OR(LEFT(Sample!A197,1)="E",LEFT(Sample!A197,1)="H"),OR(LEFT(Sample!C197,2)="JI",LEFT(Sample!C197,1)="I")),"TS1",IF(AND(OR(LEFT(Sample!A197,1)="E",LEFT(Sample!A197,1)="H"),OR(LEFT(Sample!C197,2)="JX",LEFT(Sample!C197,1)="W",LEFT(Sample!C197,1)="X")),"TS95",IF(AND(OR(LEFT(Sample!A197,1)="E",LEFT(Sample!A197,1)="H"),OR(LEFT(Sample!C197,2)="JN",LEFT(Sample!C197,1)="N")),"TS3",IF(OR(LEFT(Sample!A197,1)="T",LEFT(Sample!A197,1)="B"),"TS24",IF(LEFT(Sample!A197,2)="CR","CARRIER9",IF(LEFT(Sample!A197,4)="DEL3","NIPTDEL3",Sample!A197))))))</f>
        <v>V2235A</v>
      </c>
      <c r="O199" t="str">
        <f xml:space="preserve"> SUBSTITUTE( SUBSTITUTE( SUBSTITUTE( SUBSTITUTE( SUBSTITUTE( SUBSTITUTE( SUBSTITUTE( SUBSTITUTE( SampleImport!I199, "A", 1), "C", 2), "G", 3),"T", 4), 1, "T"), 2, "G"), 3, "C"), 4, "A")</f>
        <v>CAACACTC</v>
      </c>
    </row>
    <row r="200" spans="1:15" x14ac:dyDescent="0.35">
      <c r="A200" t="str">
        <f>Sample!B198&amp;"-"&amp;Sample!C198</f>
        <v>13-IAABRH05</v>
      </c>
      <c r="B200" t="str">
        <f>Sample!B198&amp;"-"&amp;Sample!C198</f>
        <v>13-IAABRH05</v>
      </c>
      <c r="C200" t="str">
        <f>Sample!A198</f>
        <v>V2235A</v>
      </c>
      <c r="F200" t="str">
        <f>Sample!K198</f>
        <v>S6729</v>
      </c>
      <c r="G200" t="str">
        <f>VLOOKUP(F200,'Index Sequence'!$A$2:$B$9808,2,FALSE)</f>
        <v>AGTCAGGT</v>
      </c>
      <c r="H200" t="str">
        <f>Sample!L198</f>
        <v>S6529</v>
      </c>
      <c r="I200" t="str">
        <f t="shared" si="2"/>
        <v>GTAACCAC</v>
      </c>
      <c r="K200" t="str">
        <f>IF(AND(OR(LEFT(Sample!A198,1)="E",LEFT(Sample!A198,1)="H"),OR(LEFT(Sample!C198,2)="JI",LEFT(Sample!C198,1)="I")),"TS1",IF(AND(OR(LEFT(Sample!A198,1)="E",LEFT(Sample!A198,1)="H"),OR(LEFT(Sample!C198,2)="JX",LEFT(Sample!C198,1)="W",LEFT(Sample!C198,1)="X")),"TS95",IF(AND(OR(LEFT(Sample!A198,1)="E",LEFT(Sample!A198,1)="H"),OR(LEFT(Sample!C198,2)="JN",LEFT(Sample!C198,1)="N")),"TS3",IF(OR(LEFT(Sample!A198,1)="T",LEFT(Sample!A198,1)="B"),"TS24",IF(LEFT(Sample!A198,2)="CR","CARRIER9",IF(LEFT(Sample!A198,4)="DEL3","NIPTDEL3",Sample!A198))))))</f>
        <v>V2235A</v>
      </c>
      <c r="O200" t="str">
        <f xml:space="preserve"> SUBSTITUTE( SUBSTITUTE( SUBSTITUTE( SUBSTITUTE( SUBSTITUTE( SUBSTITUTE( SUBSTITUTE( SUBSTITUTE( SampleImport!I200, "A", 1), "C", 2), "G", 3),"T", 4), 1, "T"), 2, "G"), 3, "C"), 4, "A")</f>
        <v>CACCAATG</v>
      </c>
    </row>
    <row r="201" spans="1:15" x14ac:dyDescent="0.35">
      <c r="A201" t="str">
        <f>Sample!B199&amp;"-"&amp;Sample!C199</f>
        <v>14-IAABRH06</v>
      </c>
      <c r="B201" t="str">
        <f>Sample!B199&amp;"-"&amp;Sample!C199</f>
        <v>14-IAABRH06</v>
      </c>
      <c r="C201" t="str">
        <f>Sample!A199</f>
        <v>V2235A</v>
      </c>
      <c r="F201" t="str">
        <f>Sample!K199</f>
        <v>S6730</v>
      </c>
      <c r="G201" t="str">
        <f>VLOOKUP(F201,'Index Sequence'!$A$2:$B$9808,2,FALSE)</f>
        <v>ACCGTAAG</v>
      </c>
      <c r="H201" t="str">
        <f>Sample!L199</f>
        <v>S6530</v>
      </c>
      <c r="I201" t="str">
        <f t="shared" si="2"/>
        <v>CATATCCA</v>
      </c>
      <c r="K201" t="str">
        <f>IF(AND(OR(LEFT(Sample!A199,1)="E",LEFT(Sample!A199,1)="H"),OR(LEFT(Sample!C199,2)="JI",LEFT(Sample!C199,1)="I")),"TS1",IF(AND(OR(LEFT(Sample!A199,1)="E",LEFT(Sample!A199,1)="H"),OR(LEFT(Sample!C199,2)="JX",LEFT(Sample!C199,1)="W",LEFT(Sample!C199,1)="X")),"TS95",IF(AND(OR(LEFT(Sample!A199,1)="E",LEFT(Sample!A199,1)="H"),OR(LEFT(Sample!C199,2)="JN",LEFT(Sample!C199,1)="N")),"TS3",IF(OR(LEFT(Sample!A199,1)="T",LEFT(Sample!A199,1)="B"),"TS24",IF(LEFT(Sample!A199,2)="CR","CARRIER9",IF(LEFT(Sample!A199,4)="DEL3","NIPTDEL3",Sample!A199))))))</f>
        <v>V2235A</v>
      </c>
      <c r="O201" t="str">
        <f xml:space="preserve"> SUBSTITUTE( SUBSTITUTE( SUBSTITUTE( SUBSTITUTE( SUBSTITUTE( SUBSTITUTE( SUBSTITUTE( SUBSTITUTE( SampleImport!I201, "A", 1), "C", 2), "G", 3),"T", 4), 1, "T"), 2, "G"), 3, "C"), 4, "A")</f>
        <v>ACCTATAC</v>
      </c>
    </row>
    <row r="202" spans="1:15" x14ac:dyDescent="0.35">
      <c r="A202" t="str">
        <f>Sample!B200&amp;"-"&amp;Sample!C200</f>
        <v>15-IAABRH07</v>
      </c>
      <c r="B202" t="str">
        <f>Sample!B200&amp;"-"&amp;Sample!C200</f>
        <v>15-IAABRH07</v>
      </c>
      <c r="C202" t="str">
        <f>Sample!A200</f>
        <v>V2235A</v>
      </c>
      <c r="F202" t="str">
        <f>Sample!K200</f>
        <v>S6731</v>
      </c>
      <c r="G202" t="str">
        <f>VLOOKUP(F202,'Index Sequence'!$A$2:$B$9808,2,FALSE)</f>
        <v>TATGACGT</v>
      </c>
      <c r="H202" t="str">
        <f>Sample!L200</f>
        <v>S6531</v>
      </c>
      <c r="I202" t="str">
        <f t="shared" si="2"/>
        <v>CGCTAATC</v>
      </c>
      <c r="K202" t="str">
        <f>IF(AND(OR(LEFT(Sample!A200,1)="E",LEFT(Sample!A200,1)="H"),OR(LEFT(Sample!C200,2)="JI",LEFT(Sample!C200,1)="I")),"TS1",IF(AND(OR(LEFT(Sample!A200,1)="E",LEFT(Sample!A200,1)="H"),OR(LEFT(Sample!C200,2)="JX",LEFT(Sample!C200,1)="W",LEFT(Sample!C200,1)="X")),"TS95",IF(AND(OR(LEFT(Sample!A200,1)="E",LEFT(Sample!A200,1)="H"),OR(LEFT(Sample!C200,2)="JN",LEFT(Sample!C200,1)="N")),"TS3",IF(OR(LEFT(Sample!A200,1)="T",LEFT(Sample!A200,1)="B"),"TS24",IF(LEFT(Sample!A200,2)="CR","CARRIER9",IF(LEFT(Sample!A200,4)="DEL3","NIPTDEL3",Sample!A200))))))</f>
        <v>V2235A</v>
      </c>
      <c r="O202" t="str">
        <f xml:space="preserve"> SUBSTITUTE( SUBSTITUTE( SUBSTITUTE( SUBSTITUTE( SUBSTITUTE( SUBSTITUTE( SUBSTITUTE( SUBSTITUTE( SampleImport!I202, "A", 1), "C", 2), "G", 3),"T", 4), 1, "T"), 2, "G"), 3, "C"), 4, "A")</f>
        <v>CTAATCGC</v>
      </c>
    </row>
    <row r="203" spans="1:15" x14ac:dyDescent="0.35">
      <c r="A203" t="str">
        <f>Sample!B201&amp;"-"&amp;Sample!C201</f>
        <v>16-IAABRH08</v>
      </c>
      <c r="B203" t="str">
        <f>Sample!B201&amp;"-"&amp;Sample!C201</f>
        <v>16-IAABRH08</v>
      </c>
      <c r="C203" t="str">
        <f>Sample!A201</f>
        <v>V2235A</v>
      </c>
      <c r="F203" t="str">
        <f>Sample!K201</f>
        <v>S6732</v>
      </c>
      <c r="G203" t="str">
        <f>VLOOKUP(F203,'Index Sequence'!$A$2:$B$9808,2,FALSE)</f>
        <v>TTGGGTAC</v>
      </c>
      <c r="H203" t="str">
        <f>Sample!L201</f>
        <v>S6532</v>
      </c>
      <c r="I203" t="str">
        <f t="shared" si="2"/>
        <v>CTTCCAAC</v>
      </c>
      <c r="K203" t="str">
        <f>IF(AND(OR(LEFT(Sample!A201,1)="E",LEFT(Sample!A201,1)="H"),OR(LEFT(Sample!C201,2)="JI",LEFT(Sample!C201,1)="I")),"TS1",IF(AND(OR(LEFT(Sample!A201,1)="E",LEFT(Sample!A201,1)="H"),OR(LEFT(Sample!C201,2)="JX",LEFT(Sample!C201,1)="W",LEFT(Sample!C201,1)="X")),"TS95",IF(AND(OR(LEFT(Sample!A201,1)="E",LEFT(Sample!A201,1)="H"),OR(LEFT(Sample!C201,2)="JN",LEFT(Sample!C201,1)="N")),"TS3",IF(OR(LEFT(Sample!A201,1)="T",LEFT(Sample!A201,1)="B"),"TS24",IF(LEFT(Sample!A201,2)="CR","CARRIER9",IF(LEFT(Sample!A201,4)="DEL3","NIPTDEL3",Sample!A201))))))</f>
        <v>V2235A</v>
      </c>
      <c r="O203" t="str">
        <f xml:space="preserve"> SUBSTITUTE( SUBSTITUTE( SUBSTITUTE( SUBSTITUTE( SUBSTITUTE( SUBSTITUTE( SUBSTITUTE( SUBSTITUTE( SampleImport!I203, "A", 1), "C", 2), "G", 3),"T", 4), 1, "T"), 2, "G"), 3, "C"), 4, "A")</f>
        <v>CAACCTTC</v>
      </c>
    </row>
    <row r="204" spans="1:15" x14ac:dyDescent="0.35">
      <c r="A204" t="str">
        <f>Sample!B202&amp;"-"&amp;Sample!C202</f>
        <v>17-IAABRH09</v>
      </c>
      <c r="B204" t="str">
        <f>Sample!B202&amp;"-"&amp;Sample!C202</f>
        <v>17-IAABRH09</v>
      </c>
      <c r="C204" t="str">
        <f>Sample!A202</f>
        <v>V2235A</v>
      </c>
      <c r="F204" t="str">
        <f>Sample!K202</f>
        <v>S6733</v>
      </c>
      <c r="G204" t="str">
        <f>VLOOKUP(F204,'Index Sequence'!$A$2:$B$9808,2,FALSE)</f>
        <v>TTCAATAG</v>
      </c>
      <c r="H204" t="str">
        <f>Sample!L202</f>
        <v>S6533</v>
      </c>
      <c r="I204" t="str">
        <f t="shared" si="2"/>
        <v>TCCCACGA</v>
      </c>
      <c r="K204" t="str">
        <f>IF(AND(OR(LEFT(Sample!A202,1)="E",LEFT(Sample!A202,1)="H"),OR(LEFT(Sample!C202,2)="JI",LEFT(Sample!C202,1)="I")),"TS1",IF(AND(OR(LEFT(Sample!A202,1)="E",LEFT(Sample!A202,1)="H"),OR(LEFT(Sample!C202,2)="JX",LEFT(Sample!C202,1)="W",LEFT(Sample!C202,1)="X")),"TS95",IF(AND(OR(LEFT(Sample!A202,1)="E",LEFT(Sample!A202,1)="H"),OR(LEFT(Sample!C202,2)="JN",LEFT(Sample!C202,1)="N")),"TS3",IF(OR(LEFT(Sample!A202,1)="T",LEFT(Sample!A202,1)="B"),"TS24",IF(LEFT(Sample!A202,2)="CR","CARRIER9",IF(LEFT(Sample!A202,4)="DEL3","NIPTDEL3",Sample!A202))))))</f>
        <v>V2235A</v>
      </c>
      <c r="O204" t="str">
        <f xml:space="preserve"> SUBSTITUTE( SUBSTITUTE( SUBSTITUTE( SUBSTITUTE( SUBSTITUTE( SUBSTITUTE( SUBSTITUTE( SUBSTITUTE( SampleImport!I204, "A", 1), "C", 2), "G", 3),"T", 4), 1, "T"), 2, "G"), 3, "C"), 4, "A")</f>
        <v>AGCACCCT</v>
      </c>
    </row>
    <row r="205" spans="1:15" x14ac:dyDescent="0.35">
      <c r="A205" t="str">
        <f>Sample!B203&amp;"-"&amp;Sample!C203</f>
        <v>18-IAABRH10</v>
      </c>
      <c r="B205" t="str">
        <f>Sample!B203&amp;"-"&amp;Sample!C203</f>
        <v>18-IAABRH10</v>
      </c>
      <c r="C205" t="str">
        <f>Sample!A203</f>
        <v>V2235A</v>
      </c>
      <c r="F205" t="str">
        <f>Sample!K203</f>
        <v>S6734</v>
      </c>
      <c r="G205" t="str">
        <f>VLOOKUP(F205,'Index Sequence'!$A$2:$B$9808,2,FALSE)</f>
        <v>GTTTGCTC</v>
      </c>
      <c r="H205" t="str">
        <f>Sample!L203</f>
        <v>S6534</v>
      </c>
      <c r="I205" t="str">
        <f t="shared" si="2"/>
        <v>ACCAACAG</v>
      </c>
      <c r="K205" t="str">
        <f>IF(AND(OR(LEFT(Sample!A203,1)="E",LEFT(Sample!A203,1)="H"),OR(LEFT(Sample!C203,2)="JI",LEFT(Sample!C203,1)="I")),"TS1",IF(AND(OR(LEFT(Sample!A203,1)="E",LEFT(Sample!A203,1)="H"),OR(LEFT(Sample!C203,2)="JX",LEFT(Sample!C203,1)="W",LEFT(Sample!C203,1)="X")),"TS95",IF(AND(OR(LEFT(Sample!A203,1)="E",LEFT(Sample!A203,1)="H"),OR(LEFT(Sample!C203,2)="JN",LEFT(Sample!C203,1)="N")),"TS3",IF(OR(LEFT(Sample!A203,1)="T",LEFT(Sample!A203,1)="B"),"TS24",IF(LEFT(Sample!A203,2)="CR","CARRIER9",IF(LEFT(Sample!A203,4)="DEL3","NIPTDEL3",Sample!A203))))))</f>
        <v>V2235A</v>
      </c>
      <c r="O205" t="str">
        <f xml:space="preserve"> SUBSTITUTE( SUBSTITUTE( SUBSTITUTE( SUBSTITUTE( SUBSTITUTE( SUBSTITUTE( SUBSTITUTE( SUBSTITUTE( SampleImport!I205, "A", 1), "C", 2), "G", 3),"T", 4), 1, "T"), 2, "G"), 3, "C"), 4, "A")</f>
        <v>GACAACCA</v>
      </c>
    </row>
    <row r="206" spans="1:15" x14ac:dyDescent="0.35">
      <c r="A206" t="str">
        <f>Sample!B204&amp;"-"&amp;Sample!C204</f>
        <v>19-IAABRH11</v>
      </c>
      <c r="B206" t="str">
        <f>Sample!B204&amp;"-"&amp;Sample!C204</f>
        <v>19-IAABRH11</v>
      </c>
      <c r="C206" t="str">
        <f>Sample!A204</f>
        <v>V2235A</v>
      </c>
      <c r="F206" t="str">
        <f>Sample!K204</f>
        <v>S6735</v>
      </c>
      <c r="G206" t="str">
        <f>VLOOKUP(F206,'Index Sequence'!$A$2:$B$9808,2,FALSE)</f>
        <v>AGAAGCCT</v>
      </c>
      <c r="H206" t="str">
        <f>Sample!L204</f>
        <v>S6535</v>
      </c>
      <c r="I206" t="str">
        <f t="shared" si="2"/>
        <v>GTCAGTAT</v>
      </c>
      <c r="K206" t="str">
        <f>IF(AND(OR(LEFT(Sample!A204,1)="E",LEFT(Sample!A204,1)="H"),OR(LEFT(Sample!C204,2)="JI",LEFT(Sample!C204,1)="I")),"TS1",IF(AND(OR(LEFT(Sample!A204,1)="E",LEFT(Sample!A204,1)="H"),OR(LEFT(Sample!C204,2)="JX",LEFT(Sample!C204,1)="W",LEFT(Sample!C204,1)="X")),"TS95",IF(AND(OR(LEFT(Sample!A204,1)="E",LEFT(Sample!A204,1)="H"),OR(LEFT(Sample!C204,2)="JN",LEFT(Sample!C204,1)="N")),"TS3",IF(OR(LEFT(Sample!A204,1)="T",LEFT(Sample!A204,1)="B"),"TS24",IF(LEFT(Sample!A204,2)="CR","CARRIER9",IF(LEFT(Sample!A204,4)="DEL3","NIPTDEL3",Sample!A204))))))</f>
        <v>V2235A</v>
      </c>
      <c r="O206" t="str">
        <f xml:space="preserve"> SUBSTITUTE( SUBSTITUTE( SUBSTITUTE( SUBSTITUTE( SUBSTITUTE( SUBSTITUTE( SUBSTITUTE( SUBSTITUTE( SampleImport!I206, "A", 1), "C", 2), "G", 3),"T", 4), 1, "T"), 2, "G"), 3, "C"), 4, "A")</f>
        <v>TATGACTG</v>
      </c>
    </row>
    <row r="207" spans="1:15" x14ac:dyDescent="0.35">
      <c r="A207" t="str">
        <f>Sample!B205&amp;"-"&amp;Sample!C205</f>
        <v>20-NAABNY79</v>
      </c>
      <c r="B207" t="str">
        <f>Sample!B205&amp;"-"&amp;Sample!C205</f>
        <v>20-NAABNY79</v>
      </c>
      <c r="C207" t="str">
        <f>Sample!A205</f>
        <v>V2235A</v>
      </c>
      <c r="F207" t="str">
        <f>Sample!K205</f>
        <v>S6736</v>
      </c>
      <c r="G207" t="str">
        <f>VLOOKUP(F207,'Index Sequence'!$A$2:$B$9808,2,FALSE)</f>
        <v>CTAGGTTG</v>
      </c>
      <c r="H207" t="str">
        <f>Sample!L205</f>
        <v>S6536</v>
      </c>
      <c r="I207" t="str">
        <f t="shared" si="2"/>
        <v>ATTCGAGC</v>
      </c>
      <c r="K207" t="str">
        <f>IF(AND(OR(LEFT(Sample!A205,1)="E",LEFT(Sample!A205,1)="H"),OR(LEFT(Sample!C205,2)="JI",LEFT(Sample!C205,1)="I")),"TS1",IF(AND(OR(LEFT(Sample!A205,1)="E",LEFT(Sample!A205,1)="H"),OR(LEFT(Sample!C205,2)="JX",LEFT(Sample!C205,1)="W",LEFT(Sample!C205,1)="X")),"TS95",IF(AND(OR(LEFT(Sample!A205,1)="E",LEFT(Sample!A205,1)="H"),OR(LEFT(Sample!C205,2)="JN",LEFT(Sample!C205,1)="N")),"TS3",IF(OR(LEFT(Sample!A205,1)="T",LEFT(Sample!A205,1)="B"),"TS24",IF(LEFT(Sample!A205,2)="CR","CARRIER9",IF(LEFT(Sample!A205,4)="DEL3","NIPTDEL3",Sample!A205))))))</f>
        <v>V2235A</v>
      </c>
      <c r="O207" t="str">
        <f xml:space="preserve"> SUBSTITUTE( SUBSTITUTE( SUBSTITUTE( SUBSTITUTE( SUBSTITUTE( SUBSTITUTE( SUBSTITUTE( SUBSTITUTE( SampleImport!I207, "A", 1), "C", 2), "G", 3),"T", 4), 1, "T"), 2, "G"), 3, "C"), 4, "A")</f>
        <v>CGAGCTTA</v>
      </c>
    </row>
    <row r="208" spans="1:15" x14ac:dyDescent="0.35">
      <c r="A208" t="str">
        <f>Sample!B206&amp;"-"&amp;Sample!C206</f>
        <v>21-NAABNY80</v>
      </c>
      <c r="B208" t="str">
        <f>Sample!B206&amp;"-"&amp;Sample!C206</f>
        <v>21-NAABNY80</v>
      </c>
      <c r="C208" t="str">
        <f>Sample!A206</f>
        <v>V2235A</v>
      </c>
      <c r="F208" t="str">
        <f>Sample!K206</f>
        <v>S6737</v>
      </c>
      <c r="G208" t="str">
        <f>VLOOKUP(F208,'Index Sequence'!$A$2:$B$9808,2,FALSE)</f>
        <v>TGTGTCAG</v>
      </c>
      <c r="H208" t="str">
        <f>Sample!L206</f>
        <v>S6537</v>
      </c>
      <c r="I208" t="str">
        <f t="shared" si="2"/>
        <v>CACCTGTA</v>
      </c>
      <c r="K208" t="str">
        <f>IF(AND(OR(LEFT(Sample!A206,1)="E",LEFT(Sample!A206,1)="H"),OR(LEFT(Sample!C206,2)="JI",LEFT(Sample!C206,1)="I")),"TS1",IF(AND(OR(LEFT(Sample!A206,1)="E",LEFT(Sample!A206,1)="H"),OR(LEFT(Sample!C206,2)="JX",LEFT(Sample!C206,1)="W",LEFT(Sample!C206,1)="X")),"TS95",IF(AND(OR(LEFT(Sample!A206,1)="E",LEFT(Sample!A206,1)="H"),OR(LEFT(Sample!C206,2)="JN",LEFT(Sample!C206,1)="N")),"TS3",IF(OR(LEFT(Sample!A206,1)="T",LEFT(Sample!A206,1)="B"),"TS24",IF(LEFT(Sample!A206,2)="CR","CARRIER9",IF(LEFT(Sample!A206,4)="DEL3","NIPTDEL3",Sample!A206))))))</f>
        <v>V2235A</v>
      </c>
      <c r="O208" t="str">
        <f xml:space="preserve"> SUBSTITUTE( SUBSTITUTE( SUBSTITUTE( SUBSTITUTE( SUBSTITUTE( SUBSTITUTE( SUBSTITUTE( SUBSTITUTE( SampleImport!I208, "A", 1), "C", 2), "G", 3),"T", 4), 1, "T"), 2, "G"), 3, "C"), 4, "A")</f>
        <v>ATGTCCAC</v>
      </c>
    </row>
    <row r="209" spans="1:15" x14ac:dyDescent="0.35">
      <c r="A209" t="str">
        <f>Sample!B207&amp;"-"&amp;Sample!C207</f>
        <v>22-NAABNY81</v>
      </c>
      <c r="B209" t="str">
        <f>Sample!B207&amp;"-"&amp;Sample!C207</f>
        <v>22-NAABNY81</v>
      </c>
      <c r="C209" t="str">
        <f>Sample!A207</f>
        <v>V2235A</v>
      </c>
      <c r="F209" t="str">
        <f>Sample!K207</f>
        <v>S6738</v>
      </c>
      <c r="G209" t="str">
        <f>VLOOKUP(F209,'Index Sequence'!$A$2:$B$9808,2,FALSE)</f>
        <v>AGAACCAG</v>
      </c>
      <c r="H209" t="str">
        <f>Sample!L207</f>
        <v>S6538</v>
      </c>
      <c r="I209" t="str">
        <f t="shared" si="2"/>
        <v>CCGACTCT</v>
      </c>
      <c r="K209" t="str">
        <f>IF(AND(OR(LEFT(Sample!A207,1)="E",LEFT(Sample!A207,1)="H"),OR(LEFT(Sample!C207,2)="JI",LEFT(Sample!C207,1)="I")),"TS1",IF(AND(OR(LEFT(Sample!A207,1)="E",LEFT(Sample!A207,1)="H"),OR(LEFT(Sample!C207,2)="JX",LEFT(Sample!C207,1)="W",LEFT(Sample!C207,1)="X")),"TS95",IF(AND(OR(LEFT(Sample!A207,1)="E",LEFT(Sample!A207,1)="H"),OR(LEFT(Sample!C207,2)="JN",LEFT(Sample!C207,1)="N")),"TS3",IF(OR(LEFT(Sample!A207,1)="T",LEFT(Sample!A207,1)="B"),"TS24",IF(LEFT(Sample!A207,2)="CR","CARRIER9",IF(LEFT(Sample!A207,4)="DEL3","NIPTDEL3",Sample!A207))))))</f>
        <v>V2235A</v>
      </c>
      <c r="O209" t="str">
        <f xml:space="preserve"> SUBSTITUTE( SUBSTITUTE( SUBSTITUTE( SUBSTITUTE( SUBSTITUTE( SUBSTITUTE( SUBSTITUTE( SUBSTITUTE( SampleImport!I209, "A", 1), "C", 2), "G", 3),"T", 4), 1, "T"), 2, "G"), 3, "C"), 4, "A")</f>
        <v>TCTCAGCC</v>
      </c>
    </row>
    <row r="210" spans="1:15" x14ac:dyDescent="0.35">
      <c r="A210" t="str">
        <f>Sample!B208&amp;"-"&amp;Sample!C208</f>
        <v>23-NAABNY82</v>
      </c>
      <c r="B210" t="str">
        <f>Sample!B208&amp;"-"&amp;Sample!C208</f>
        <v>23-NAABNY82</v>
      </c>
      <c r="C210" t="str">
        <f>Sample!A208</f>
        <v>V2235A</v>
      </c>
      <c r="F210" t="str">
        <f>Sample!K208</f>
        <v>S6739</v>
      </c>
      <c r="G210" t="str">
        <f>VLOOKUP(F210,'Index Sequence'!$A$2:$B$9808,2,FALSE)</f>
        <v>ATTGGACA</v>
      </c>
      <c r="H210" t="str">
        <f>Sample!L208</f>
        <v>S6539</v>
      </c>
      <c r="I210" t="str">
        <f t="shared" si="2"/>
        <v>TTGCTGGA</v>
      </c>
      <c r="K210" t="str">
        <f>IF(AND(OR(LEFT(Sample!A208,1)="E",LEFT(Sample!A208,1)="H"),OR(LEFT(Sample!C208,2)="JI",LEFT(Sample!C208,1)="I")),"TS1",IF(AND(OR(LEFT(Sample!A208,1)="E",LEFT(Sample!A208,1)="H"),OR(LEFT(Sample!C208,2)="JX",LEFT(Sample!C208,1)="W",LEFT(Sample!C208,1)="X")),"TS95",IF(AND(OR(LEFT(Sample!A208,1)="E",LEFT(Sample!A208,1)="H"),OR(LEFT(Sample!C208,2)="JN",LEFT(Sample!C208,1)="N")),"TS3",IF(OR(LEFT(Sample!A208,1)="T",LEFT(Sample!A208,1)="B"),"TS24",IF(LEFT(Sample!A208,2)="CR","CARRIER9",IF(LEFT(Sample!A208,4)="DEL3","NIPTDEL3",Sample!A208))))))</f>
        <v>V2235A</v>
      </c>
      <c r="O210" t="str">
        <f xml:space="preserve"> SUBSTITUTE( SUBSTITUTE( SUBSTITUTE( SUBSTITUTE( SUBSTITUTE( SUBSTITUTE( SUBSTITUTE( SUBSTITUTE( SampleImport!I210, "A", 1), "C", 2), "G", 3),"T", 4), 1, "T"), 2, "G"), 3, "C"), 4, "A")</f>
        <v>AGGTCGTT</v>
      </c>
    </row>
    <row r="211" spans="1:15" x14ac:dyDescent="0.35">
      <c r="A211" t="str">
        <f>Sample!B209&amp;"-"&amp;Sample!C209</f>
        <v>24-NAABNY83</v>
      </c>
      <c r="B211" t="str">
        <f>Sample!B209&amp;"-"&amp;Sample!C209</f>
        <v>24-NAABNY83</v>
      </c>
      <c r="C211" t="str">
        <f>Sample!A209</f>
        <v>V2235A</v>
      </c>
      <c r="F211" t="str">
        <f>Sample!K209</f>
        <v>S6740</v>
      </c>
      <c r="G211" t="str">
        <f>VLOOKUP(F211,'Index Sequence'!$A$2:$B$9808,2,FALSE)</f>
        <v>ACCCGTTG</v>
      </c>
      <c r="H211" t="str">
        <f>Sample!L209</f>
        <v>S6540</v>
      </c>
      <c r="I211" t="str">
        <f t="shared" si="2"/>
        <v>CAGCTTCG</v>
      </c>
      <c r="K211" t="str">
        <f>IF(AND(OR(LEFT(Sample!A209,1)="E",LEFT(Sample!A209,1)="H"),OR(LEFT(Sample!C209,2)="JI",LEFT(Sample!C209,1)="I")),"TS1",IF(AND(OR(LEFT(Sample!A209,1)="E",LEFT(Sample!A209,1)="H"),OR(LEFT(Sample!C209,2)="JX",LEFT(Sample!C209,1)="W",LEFT(Sample!C209,1)="X")),"TS95",IF(AND(OR(LEFT(Sample!A209,1)="E",LEFT(Sample!A209,1)="H"),OR(LEFT(Sample!C209,2)="JN",LEFT(Sample!C209,1)="N")),"TS3",IF(OR(LEFT(Sample!A209,1)="T",LEFT(Sample!A209,1)="B"),"TS24",IF(LEFT(Sample!A209,2)="CR","CARRIER9",IF(LEFT(Sample!A209,4)="DEL3","NIPTDEL3",Sample!A209))))))</f>
        <v>V2235A</v>
      </c>
      <c r="O211" t="str">
        <f xml:space="preserve"> SUBSTITUTE( SUBSTITUTE( SUBSTITUTE( SUBSTITUTE( SUBSTITUTE( SUBSTITUTE( SUBSTITUTE( SUBSTITUTE( SampleImport!I211, "A", 1), "C", 2), "G", 3),"T", 4), 1, "T"), 2, "G"), 3, "C"), 4, "A")</f>
        <v>GCTTCGAC</v>
      </c>
    </row>
    <row r="212" spans="1:15" x14ac:dyDescent="0.35">
      <c r="A212" t="str">
        <f>Sample!B210&amp;"-"&amp;Sample!C210</f>
        <v>8-XAGBRW02t13</v>
      </c>
      <c r="B212" t="str">
        <f>Sample!B210&amp;"-"&amp;Sample!C210</f>
        <v>8-XAGBRW02t13</v>
      </c>
      <c r="C212" t="str">
        <f>Sample!A210</f>
        <v>EK831</v>
      </c>
      <c r="F212" t="str">
        <f>Sample!K210</f>
        <v>S97373</v>
      </c>
      <c r="G212" t="str">
        <f>VLOOKUP(F212,'Index Sequence'!$A$2:$B$9808,2,FALSE)</f>
        <v>CGATAGAG</v>
      </c>
      <c r="H212" t="str">
        <f>Sample!L210</f>
        <v>S95373</v>
      </c>
      <c r="I212" t="str">
        <f t="shared" si="2"/>
        <v>ATGGCGAA</v>
      </c>
      <c r="K212" t="str">
        <f>IF(AND(OR(LEFT(Sample!A210,1)="E",LEFT(Sample!A210,1)="H"),OR(LEFT(Sample!C210,2)="JI",LEFT(Sample!C210,1)="I")),"TS1",IF(AND(OR(LEFT(Sample!A210,1)="E",LEFT(Sample!A210,1)="H"),OR(LEFT(Sample!C210,2)="JX",LEFT(Sample!C210,1)="W",LEFT(Sample!C210,1)="X")),"TS95",IF(AND(OR(LEFT(Sample!A210,1)="E",LEFT(Sample!A210,1)="H"),OR(LEFT(Sample!C210,2)="JN",LEFT(Sample!C210,1)="N")),"TS3",IF(OR(LEFT(Sample!A210,1)="T",LEFT(Sample!A210,1)="B"),"TS24",IF(LEFT(Sample!A210,2)="CR","CARRIER9",IF(LEFT(Sample!A210,4)="DEL3","NIPTDEL3",Sample!A210))))))</f>
        <v>TS95</v>
      </c>
      <c r="O212" t="str">
        <f xml:space="preserve"> SUBSTITUTE( SUBSTITUTE( SUBSTITUTE( SUBSTITUTE( SUBSTITUTE( SUBSTITUTE( SUBSTITUTE( SUBSTITUTE( SampleImport!I212, "A", 1), "C", 2), "G", 3),"T", 4), 1, "T"), 2, "G"), 3, "C"), 4, "A")</f>
        <v>AAGCGGTA</v>
      </c>
    </row>
    <row r="213" spans="1:15" x14ac:dyDescent="0.35">
      <c r="A213" t="str">
        <f>Sample!B211&amp;"-"&amp;Sample!C211</f>
        <v>9-SAAAFJ38t18</v>
      </c>
      <c r="B213" t="str">
        <f>Sample!B211&amp;"-"&amp;Sample!C211</f>
        <v>9-SAAAFJ38t18</v>
      </c>
      <c r="C213" t="str">
        <f>Sample!A211</f>
        <v>EK831</v>
      </c>
      <c r="F213" t="str">
        <f>Sample!K211</f>
        <v>S97374</v>
      </c>
      <c r="G213" t="str">
        <f>VLOOKUP(F213,'Index Sequence'!$A$2:$B$9808,2,FALSE)</f>
        <v>TGGAGAGT</v>
      </c>
      <c r="H213" t="str">
        <f>Sample!L211</f>
        <v>S95374</v>
      </c>
      <c r="I213" t="str">
        <f t="shared" si="2"/>
        <v>TCCTACCT</v>
      </c>
      <c r="K213" t="str">
        <f>IF(AND(OR(LEFT(Sample!A211,1)="E",LEFT(Sample!A211,1)="H"),OR(LEFT(Sample!C211,2)="JI",LEFT(Sample!C211,1)="I")),"TS1",IF(AND(OR(LEFT(Sample!A211,1)="E",LEFT(Sample!A211,1)="H"),OR(LEFT(Sample!C211,2)="JX",LEFT(Sample!C211,1)="W",LEFT(Sample!C211,1)="X")),"TS95",IF(AND(OR(LEFT(Sample!A211,1)="E",LEFT(Sample!A211,1)="H"),OR(LEFT(Sample!C211,2)="JN",LEFT(Sample!C211,1)="N")),"TS3",IF(OR(LEFT(Sample!A211,1)="T",LEFT(Sample!A211,1)="B"),"TS24",IF(LEFT(Sample!A211,2)="CR","CARRIER9",IF(LEFT(Sample!A211,4)="DEL3","NIPTDEL3",Sample!A211))))))</f>
        <v>EK831</v>
      </c>
      <c r="O213" t="str">
        <f xml:space="preserve"> SUBSTITUTE( SUBSTITUTE( SUBSTITUTE( SUBSTITUTE( SUBSTITUTE( SUBSTITUTE( SUBSTITUTE( SUBSTITUTE( SampleImport!I213, "A", 1), "C", 2), "G", 3),"T", 4), 1, "T"), 2, "G"), 3, "C"), 4, "A")</f>
        <v>TCCATCCT</v>
      </c>
    </row>
    <row r="214" spans="1:15" x14ac:dyDescent="0.35">
      <c r="A214" t="str">
        <f>Sample!B212&amp;"-"&amp;Sample!C212</f>
        <v>10-SAAAFJ60t21</v>
      </c>
      <c r="B214" t="str">
        <f>Sample!B212&amp;"-"&amp;Sample!C212</f>
        <v>10-SAAAFJ60t21</v>
      </c>
      <c r="C214" t="str">
        <f>Sample!A212</f>
        <v>EK831</v>
      </c>
      <c r="F214" t="str">
        <f>Sample!K212</f>
        <v>S97376</v>
      </c>
      <c r="G214" t="str">
        <f>VLOOKUP(F214,'Index Sequence'!$A$2:$B$9808,2,FALSE)</f>
        <v>CTGGAGTA</v>
      </c>
      <c r="H214" t="str">
        <f>Sample!L212</f>
        <v>S95376</v>
      </c>
      <c r="I214" t="str">
        <f t="shared" si="2"/>
        <v>CTACTTGG</v>
      </c>
      <c r="K214" t="str">
        <f>IF(AND(OR(LEFT(Sample!A212,1)="E",LEFT(Sample!A212,1)="H"),OR(LEFT(Sample!C212,2)="JI",LEFT(Sample!C212,1)="I")),"TS1",IF(AND(OR(LEFT(Sample!A212,1)="E",LEFT(Sample!A212,1)="H"),OR(LEFT(Sample!C212,2)="JX",LEFT(Sample!C212,1)="W",LEFT(Sample!C212,1)="X")),"TS95",IF(AND(OR(LEFT(Sample!A212,1)="E",LEFT(Sample!A212,1)="H"),OR(LEFT(Sample!C212,2)="JN",LEFT(Sample!C212,1)="N")),"TS3",IF(OR(LEFT(Sample!A212,1)="T",LEFT(Sample!A212,1)="B"),"TS24",IF(LEFT(Sample!A212,2)="CR","CARRIER9",IF(LEFT(Sample!A212,4)="DEL3","NIPTDEL3",Sample!A212))))))</f>
        <v>EK831</v>
      </c>
      <c r="O214" t="str">
        <f xml:space="preserve"> SUBSTITUTE( SUBSTITUTE( SUBSTITUTE( SUBSTITUTE( SUBSTITUTE( SUBSTITUTE( SUBSTITUTE( SUBSTITUTE( SampleImport!I214, "A", 1), "C", 2), "G", 3),"T", 4), 1, "T"), 2, "G"), 3, "C"), 4, "A")</f>
        <v>GGTTCATC</v>
      </c>
    </row>
    <row r="215" spans="1:15" x14ac:dyDescent="0.35">
      <c r="A215" t="str">
        <f>Sample!B213&amp;"-"&amp;Sample!C213</f>
        <v>1-WGAAAC75</v>
      </c>
      <c r="B215" t="str">
        <f>Sample!B213&amp;"-"&amp;Sample!C213</f>
        <v>1-WGAAAC75</v>
      </c>
      <c r="C215" t="str">
        <f>Sample!A213</f>
        <v>WGS</v>
      </c>
      <c r="F215" t="str">
        <f>Sample!K213</f>
        <v>S8705</v>
      </c>
      <c r="G215" t="str">
        <f>VLOOKUP(F215,'Index Sequence'!$A$2:$B$9808,2,FALSE)</f>
        <v>AAATCCTC</v>
      </c>
      <c r="H215" t="str">
        <f>Sample!L213</f>
        <v>S8505</v>
      </c>
      <c r="I215" t="str">
        <f t="shared" si="2"/>
        <v>AACCCGCC</v>
      </c>
      <c r="K215" t="str">
        <f>IF(AND(OR(LEFT(Sample!A213,1)="E",LEFT(Sample!A213,1)="H"),OR(LEFT(Sample!C213,2)="JI",LEFT(Sample!C213,1)="I")),"TS1",IF(AND(OR(LEFT(Sample!A213,1)="E",LEFT(Sample!A213,1)="H"),OR(LEFT(Sample!C213,2)="JX",LEFT(Sample!C213,1)="W",LEFT(Sample!C213,1)="X")),"TS95",IF(AND(OR(LEFT(Sample!A213,1)="E",LEFT(Sample!A213,1)="H"),OR(LEFT(Sample!C213,2)="JN",LEFT(Sample!C213,1)="N")),"TS3",IF(OR(LEFT(Sample!A213,1)="T",LEFT(Sample!A213,1)="B"),"TS24",IF(LEFT(Sample!A213,2)="CR","CARRIER9",IF(LEFT(Sample!A213,4)="DEL3","NIPTDEL3",Sample!A213))))))</f>
        <v>WGS</v>
      </c>
      <c r="O215" t="str">
        <f xml:space="preserve"> SUBSTITUTE( SUBSTITUTE( SUBSTITUTE( SUBSTITUTE( SUBSTITUTE( SUBSTITUTE( SUBSTITUTE( SUBSTITUTE( SampleImport!I215, "A", 1), "C", 2), "G", 3),"T", 4), 1, "T"), 2, "G"), 3, "C"), 4, "A")</f>
        <v>CCGCCCAA</v>
      </c>
    </row>
    <row r="216" spans="1:15" x14ac:dyDescent="0.35">
      <c r="A216" t="str">
        <f>Sample!B214&amp;"-"&amp;Sample!C214</f>
        <v>2-WGGAAD10</v>
      </c>
      <c r="B216" t="str">
        <f>Sample!B214&amp;"-"&amp;Sample!C214</f>
        <v>2-WGGAAD10</v>
      </c>
      <c r="C216" t="str">
        <f>Sample!A214</f>
        <v>WGS</v>
      </c>
      <c r="F216" t="str">
        <f>Sample!K214</f>
        <v>S8706</v>
      </c>
      <c r="G216" t="str">
        <f>VLOOKUP(F216,'Index Sequence'!$A$2:$B$9808,2,FALSE)</f>
        <v>TACAGATG</v>
      </c>
      <c r="H216" t="str">
        <f>Sample!L214</f>
        <v>S8506</v>
      </c>
      <c r="I216" t="str">
        <f t="shared" ref="I216:I279" si="3" xml:space="preserve"> MID(O216,30,1) &amp; MID(O216,29,1) &amp; MID(O216,28,1) &amp; MID(O216,27,1) &amp; MID(O216,26,1) &amp; MID(O216,25,1) &amp; MID(O216,24,1) &amp; MID(O216,23,1) &amp; MID(O216,22,1) &amp; MID(O216,21,1) &amp; MID(O216,20,1) &amp; MID(O216,19,1) &amp; MID(O216,18,1) &amp; MID(O216,17,1) &amp; MID(O216,16,1) &amp; MID(O216,15,1) &amp; MID(O216,14,1) &amp; MID(O216,13,1) &amp; MID(O216,12,1) &amp; MID(O216,11,1) &amp; MID(O216,10,1) &amp; MID(O216,9,1) &amp; MID(O216,8,1) &amp; MID(O216,7,1) &amp; MID(O216,6,1) &amp; MID(O216,5,1) &amp; MID(O216,4,1) &amp; MID(O216,3,1) &amp; MID(O216,2,1) &amp; MID(O216,1,1)</f>
        <v>CGAACGTG</v>
      </c>
      <c r="K216" t="str">
        <f>IF(AND(OR(LEFT(Sample!A214,1)="E",LEFT(Sample!A214,1)="H"),OR(LEFT(Sample!C214,2)="JI",LEFT(Sample!C214,1)="I")),"TS1",IF(AND(OR(LEFT(Sample!A214,1)="E",LEFT(Sample!A214,1)="H"),OR(LEFT(Sample!C214,2)="JX",LEFT(Sample!C214,1)="W",LEFT(Sample!C214,1)="X")),"TS95",IF(AND(OR(LEFT(Sample!A214,1)="E",LEFT(Sample!A214,1)="H"),OR(LEFT(Sample!C214,2)="JN",LEFT(Sample!C214,1)="N")),"TS3",IF(OR(LEFT(Sample!A214,1)="T",LEFT(Sample!A214,1)="B"),"TS24",IF(LEFT(Sample!A214,2)="CR","CARRIER9",IF(LEFT(Sample!A214,4)="DEL3","NIPTDEL3",Sample!A214))))))</f>
        <v>WGS</v>
      </c>
      <c r="O216" t="str">
        <f xml:space="preserve"> SUBSTITUTE( SUBSTITUTE( SUBSTITUTE( SUBSTITUTE( SUBSTITUTE( SUBSTITUTE( SUBSTITUTE( SUBSTITUTE( SampleImport!I216, "A", 1), "C", 2), "G", 3),"T", 4), 1, "T"), 2, "G"), 3, "C"), 4, "A")</f>
        <v>GTGCAAGC</v>
      </c>
    </row>
    <row r="217" spans="1:15" x14ac:dyDescent="0.35">
      <c r="A217" t="str">
        <f>Sample!B215&amp;"-"&amp;Sample!C215</f>
        <v>-</v>
      </c>
      <c r="B217" t="str">
        <f>Sample!B215&amp;"-"&amp;Sample!C215</f>
        <v>-</v>
      </c>
      <c r="C217">
        <f>Sample!A215</f>
        <v>0</v>
      </c>
      <c r="F217">
        <f>Sample!K215</f>
        <v>0</v>
      </c>
      <c r="G217" t="e">
        <f>VLOOKUP(F217,'Index Sequence'!$A$2:$B$9808,2,FALSE)</f>
        <v>#N/A</v>
      </c>
      <c r="H217">
        <f>Sample!L215</f>
        <v>0</v>
      </c>
      <c r="I217" t="str">
        <f t="shared" si="3"/>
        <v/>
      </c>
      <c r="K217">
        <f>IF(AND(OR(LEFT(Sample!A215,1)="E",LEFT(Sample!A215,1)="H"),OR(LEFT(Sample!C215,2)="JI",LEFT(Sample!C215,1)="I")),"TS1",IF(AND(OR(LEFT(Sample!A215,1)="E",LEFT(Sample!A215,1)="H"),OR(LEFT(Sample!C215,2)="JX",LEFT(Sample!C215,1)="W",LEFT(Sample!C215,1)="X")),"TS95",IF(AND(OR(LEFT(Sample!A215,1)="E",LEFT(Sample!A215,1)="H"),OR(LEFT(Sample!C215,2)="JN",LEFT(Sample!C215,1)="N")),"TS3",IF(OR(LEFT(Sample!A215,1)="T",LEFT(Sample!A215,1)="B"),"TS24",IF(LEFT(Sample!A215,2)="CR","CARRIER9",IF(LEFT(Sample!A215,4)="DEL3","NIPTDEL3",Sample!A215))))))</f>
        <v>0</v>
      </c>
      <c r="O217" t="str">
        <f xml:space="preserve"> SUBSTITUTE( SUBSTITUTE( SUBSTITUTE( SUBSTITUTE( SUBSTITUTE( SUBSTITUTE( SUBSTITUTE( SUBSTITUTE( SampleImport!I217, "A", 1), "C", 2), "G", 3),"T", 4), 1, "T"), 2, "G"), 3, "C"), 4, "A")</f>
        <v/>
      </c>
    </row>
    <row r="218" spans="1:15" x14ac:dyDescent="0.35">
      <c r="A218" t="str">
        <f>Sample!B216&amp;"-"&amp;Sample!C216</f>
        <v>-</v>
      </c>
      <c r="B218" t="str">
        <f>Sample!B216&amp;"-"&amp;Sample!C216</f>
        <v>-</v>
      </c>
      <c r="C218">
        <f>Sample!A216</f>
        <v>0</v>
      </c>
      <c r="F218">
        <f>Sample!K216</f>
        <v>0</v>
      </c>
      <c r="G218" t="e">
        <f>VLOOKUP(F218,'Index Sequence'!$A$2:$B$9808,2,FALSE)</f>
        <v>#N/A</v>
      </c>
      <c r="H218">
        <f>Sample!L216</f>
        <v>0</v>
      </c>
      <c r="I218" t="str">
        <f t="shared" si="3"/>
        <v/>
      </c>
      <c r="K218">
        <f>IF(AND(OR(LEFT(Sample!A216,1)="E",LEFT(Sample!A216,1)="H"),OR(LEFT(Sample!C216,2)="JI",LEFT(Sample!C216,1)="I")),"TS1",IF(AND(OR(LEFT(Sample!A216,1)="E",LEFT(Sample!A216,1)="H"),OR(LEFT(Sample!C216,2)="JX",LEFT(Sample!C216,1)="W",LEFT(Sample!C216,1)="X")),"TS95",IF(AND(OR(LEFT(Sample!A216,1)="E",LEFT(Sample!A216,1)="H"),OR(LEFT(Sample!C216,2)="JN",LEFT(Sample!C216,1)="N")),"TS3",IF(OR(LEFT(Sample!A216,1)="T",LEFT(Sample!A216,1)="B"),"TS24",IF(LEFT(Sample!A216,2)="CR","CARRIER9",IF(LEFT(Sample!A216,4)="DEL3","NIPTDEL3",Sample!A216))))))</f>
        <v>0</v>
      </c>
      <c r="O218" t="str">
        <f xml:space="preserve"> SUBSTITUTE( SUBSTITUTE( SUBSTITUTE( SUBSTITUTE( SUBSTITUTE( SUBSTITUTE( SUBSTITUTE( SUBSTITUTE( SampleImport!I218, "A", 1), "C", 2), "G", 3),"T", 4), 1, "T"), 2, "G"), 3, "C"), 4, "A")</f>
        <v/>
      </c>
    </row>
    <row r="219" spans="1:15" x14ac:dyDescent="0.35">
      <c r="A219" t="str">
        <f>Sample!B217&amp;"-"&amp;Sample!C217</f>
        <v>-</v>
      </c>
      <c r="B219" t="str">
        <f>Sample!B217&amp;"-"&amp;Sample!C217</f>
        <v>-</v>
      </c>
      <c r="C219">
        <f>Sample!A217</f>
        <v>0</v>
      </c>
      <c r="F219">
        <f>Sample!K217</f>
        <v>0</v>
      </c>
      <c r="G219" t="e">
        <f>VLOOKUP(F219,'Index Sequence'!$A$2:$B$9808,2,FALSE)</f>
        <v>#N/A</v>
      </c>
      <c r="H219">
        <f>Sample!L217</f>
        <v>0</v>
      </c>
      <c r="I219" t="str">
        <f t="shared" si="3"/>
        <v/>
      </c>
      <c r="K219">
        <f>IF(AND(OR(LEFT(Sample!A217,1)="E",LEFT(Sample!A217,1)="H"),OR(LEFT(Sample!C217,2)="JI",LEFT(Sample!C217,1)="I")),"TS1",IF(AND(OR(LEFT(Sample!A217,1)="E",LEFT(Sample!A217,1)="H"),OR(LEFT(Sample!C217,2)="JX",LEFT(Sample!C217,1)="W",LEFT(Sample!C217,1)="X")),"TS95",IF(AND(OR(LEFT(Sample!A217,1)="E",LEFT(Sample!A217,1)="H"),OR(LEFT(Sample!C217,2)="JN",LEFT(Sample!C217,1)="N")),"TS3",IF(OR(LEFT(Sample!A217,1)="T",LEFT(Sample!A217,1)="B"),"TS24",IF(LEFT(Sample!A217,2)="CR","CARRIER9",IF(LEFT(Sample!A217,4)="DEL3","NIPTDEL3",Sample!A217))))))</f>
        <v>0</v>
      </c>
      <c r="O219" t="str">
        <f xml:space="preserve"> SUBSTITUTE( SUBSTITUTE( SUBSTITUTE( SUBSTITUTE( SUBSTITUTE( SUBSTITUTE( SUBSTITUTE( SUBSTITUTE( SampleImport!I219, "A", 1), "C", 2), "G", 3),"T", 4), 1, "T"), 2, "G"), 3, "C"), 4, "A")</f>
        <v/>
      </c>
    </row>
    <row r="220" spans="1:15" x14ac:dyDescent="0.35">
      <c r="A220" t="str">
        <f>Sample!B218&amp;"-"&amp;Sample!C218</f>
        <v>-</v>
      </c>
      <c r="B220" t="str">
        <f>Sample!B218&amp;"-"&amp;Sample!C218</f>
        <v>-</v>
      </c>
      <c r="C220">
        <f>Sample!A218</f>
        <v>0</v>
      </c>
      <c r="F220">
        <f>Sample!K218</f>
        <v>0</v>
      </c>
      <c r="G220" t="e">
        <f>VLOOKUP(F220,'Index Sequence'!$A$2:$B$9808,2,FALSE)</f>
        <v>#N/A</v>
      </c>
      <c r="H220">
        <f>Sample!L218</f>
        <v>0</v>
      </c>
      <c r="I220" t="str">
        <f t="shared" si="3"/>
        <v/>
      </c>
      <c r="K220">
        <f>IF(AND(OR(LEFT(Sample!A218,1)="E",LEFT(Sample!A218,1)="H"),OR(LEFT(Sample!C218,2)="JI",LEFT(Sample!C218,1)="I")),"TS1",IF(AND(OR(LEFT(Sample!A218,1)="E",LEFT(Sample!A218,1)="H"),OR(LEFT(Sample!C218,2)="JX",LEFT(Sample!C218,1)="W",LEFT(Sample!C218,1)="X")),"TS95",IF(AND(OR(LEFT(Sample!A218,1)="E",LEFT(Sample!A218,1)="H"),OR(LEFT(Sample!C218,2)="JN",LEFT(Sample!C218,1)="N")),"TS3",IF(OR(LEFT(Sample!A218,1)="T",LEFT(Sample!A218,1)="B"),"TS24",IF(LEFT(Sample!A218,2)="CR","CARRIER9",IF(LEFT(Sample!A218,4)="DEL3","NIPTDEL3",Sample!A218))))))</f>
        <v>0</v>
      </c>
      <c r="O220" t="str">
        <f xml:space="preserve"> SUBSTITUTE( SUBSTITUTE( SUBSTITUTE( SUBSTITUTE( SUBSTITUTE( SUBSTITUTE( SUBSTITUTE( SUBSTITUTE( SampleImport!I220, "A", 1), "C", 2), "G", 3),"T", 4), 1, "T"), 2, "G"), 3, "C"), 4, "A")</f>
        <v/>
      </c>
    </row>
    <row r="221" spans="1:15" x14ac:dyDescent="0.35">
      <c r="A221" t="str">
        <f>Sample!B219&amp;"-"&amp;Sample!C219</f>
        <v>-</v>
      </c>
      <c r="B221" t="str">
        <f>Sample!B219&amp;"-"&amp;Sample!C219</f>
        <v>-</v>
      </c>
      <c r="C221">
        <f>Sample!A219</f>
        <v>0</v>
      </c>
      <c r="F221">
        <f>Sample!K219</f>
        <v>0</v>
      </c>
      <c r="G221" t="e">
        <f>VLOOKUP(F221,'Index Sequence'!$A$2:$B$9808,2,FALSE)</f>
        <v>#N/A</v>
      </c>
      <c r="H221">
        <f>Sample!L219</f>
        <v>0</v>
      </c>
      <c r="I221" t="str">
        <f t="shared" si="3"/>
        <v/>
      </c>
      <c r="K221">
        <f>IF(AND(OR(LEFT(Sample!A219,1)="E",LEFT(Sample!A219,1)="H"),OR(LEFT(Sample!C219,2)="JI",LEFT(Sample!C219,1)="I")),"TS1",IF(AND(OR(LEFT(Sample!A219,1)="E",LEFT(Sample!A219,1)="H"),OR(LEFT(Sample!C219,2)="JX",LEFT(Sample!C219,1)="W",LEFT(Sample!C219,1)="X")),"TS95",IF(AND(OR(LEFT(Sample!A219,1)="E",LEFT(Sample!A219,1)="H"),OR(LEFT(Sample!C219,2)="JN",LEFT(Sample!C219,1)="N")),"TS3",IF(OR(LEFT(Sample!A219,1)="T",LEFT(Sample!A219,1)="B"),"TS24",IF(LEFT(Sample!A219,2)="CR","CARRIER9",IF(LEFT(Sample!A219,4)="DEL3","NIPTDEL3",Sample!A219))))))</f>
        <v>0</v>
      </c>
      <c r="O221" t="str">
        <f xml:space="preserve"> SUBSTITUTE( SUBSTITUTE( SUBSTITUTE( SUBSTITUTE( SUBSTITUTE( SUBSTITUTE( SUBSTITUTE( SUBSTITUTE( SampleImport!I221, "A", 1), "C", 2), "G", 3),"T", 4), 1, "T"), 2, "G"), 3, "C"), 4, "A")</f>
        <v/>
      </c>
    </row>
    <row r="222" spans="1:15" x14ac:dyDescent="0.35">
      <c r="A222" t="str">
        <f>Sample!B220&amp;"-"&amp;Sample!C220</f>
        <v>-</v>
      </c>
      <c r="B222" t="str">
        <f>Sample!B220&amp;"-"&amp;Sample!C220</f>
        <v>-</v>
      </c>
      <c r="C222">
        <f>Sample!A220</f>
        <v>0</v>
      </c>
      <c r="F222">
        <f>Sample!K220</f>
        <v>0</v>
      </c>
      <c r="G222" t="e">
        <f>VLOOKUP(F222,'Index Sequence'!$A$2:$B$9808,2,FALSE)</f>
        <v>#N/A</v>
      </c>
      <c r="H222">
        <f>Sample!L220</f>
        <v>0</v>
      </c>
      <c r="I222" t="str">
        <f t="shared" si="3"/>
        <v/>
      </c>
      <c r="K222">
        <f>IF(AND(OR(LEFT(Sample!A220,1)="E",LEFT(Sample!A220,1)="H"),OR(LEFT(Sample!C220,2)="JI",LEFT(Sample!C220,1)="I")),"TS1",IF(AND(OR(LEFT(Sample!A220,1)="E",LEFT(Sample!A220,1)="H"),OR(LEFT(Sample!C220,2)="JX",LEFT(Sample!C220,1)="W",LEFT(Sample!C220,1)="X")),"TS95",IF(AND(OR(LEFT(Sample!A220,1)="E",LEFT(Sample!A220,1)="H"),OR(LEFT(Sample!C220,2)="JN",LEFT(Sample!C220,1)="N")),"TS3",IF(OR(LEFT(Sample!A220,1)="T",LEFT(Sample!A220,1)="B"),"TS24",IF(LEFT(Sample!A220,2)="CR","CARRIER9",IF(LEFT(Sample!A220,4)="DEL3","NIPTDEL3",Sample!A220))))))</f>
        <v>0</v>
      </c>
      <c r="O222" t="str">
        <f xml:space="preserve"> SUBSTITUTE( SUBSTITUTE( SUBSTITUTE( SUBSTITUTE( SUBSTITUTE( SUBSTITUTE( SUBSTITUTE( SUBSTITUTE( SampleImport!I222, "A", 1), "C", 2), "G", 3),"T", 4), 1, "T"), 2, "G"), 3, "C"), 4, "A")</f>
        <v/>
      </c>
    </row>
    <row r="223" spans="1:15" x14ac:dyDescent="0.35">
      <c r="A223" t="str">
        <f>Sample!B221&amp;"-"&amp;Sample!C221</f>
        <v>-</v>
      </c>
      <c r="B223" t="str">
        <f>Sample!B221&amp;"-"&amp;Sample!C221</f>
        <v>-</v>
      </c>
      <c r="C223">
        <f>Sample!A221</f>
        <v>0</v>
      </c>
      <c r="F223">
        <f>Sample!K221</f>
        <v>0</v>
      </c>
      <c r="G223" t="e">
        <f>VLOOKUP(F223,'Index Sequence'!$A$2:$B$9808,2,FALSE)</f>
        <v>#N/A</v>
      </c>
      <c r="H223">
        <f>Sample!L221</f>
        <v>0</v>
      </c>
      <c r="I223" t="str">
        <f t="shared" si="3"/>
        <v/>
      </c>
      <c r="K223">
        <f>IF(AND(OR(LEFT(Sample!A221,1)="E",LEFT(Sample!A221,1)="H"),OR(LEFT(Sample!C221,2)="JI",LEFT(Sample!C221,1)="I")),"TS1",IF(AND(OR(LEFT(Sample!A221,1)="E",LEFT(Sample!A221,1)="H"),OR(LEFT(Sample!C221,2)="JX",LEFT(Sample!C221,1)="W",LEFT(Sample!C221,1)="X")),"TS95",IF(AND(OR(LEFT(Sample!A221,1)="E",LEFT(Sample!A221,1)="H"),OR(LEFT(Sample!C221,2)="JN",LEFT(Sample!C221,1)="N")),"TS3",IF(OR(LEFT(Sample!A221,1)="T",LEFT(Sample!A221,1)="B"),"TS24",IF(LEFT(Sample!A221,2)="CR","CARRIER9",IF(LEFT(Sample!A221,4)="DEL3","NIPTDEL3",Sample!A221))))))</f>
        <v>0</v>
      </c>
      <c r="O223" t="str">
        <f xml:space="preserve"> SUBSTITUTE( SUBSTITUTE( SUBSTITUTE( SUBSTITUTE( SUBSTITUTE( SUBSTITUTE( SUBSTITUTE( SUBSTITUTE( SampleImport!I223, "A", 1), "C", 2), "G", 3),"T", 4), 1, "T"), 2, "G"), 3, "C"), 4, "A")</f>
        <v/>
      </c>
    </row>
    <row r="224" spans="1:15" x14ac:dyDescent="0.35">
      <c r="A224" t="str">
        <f>Sample!B222&amp;"-"&amp;Sample!C222</f>
        <v>-</v>
      </c>
      <c r="B224" t="str">
        <f>Sample!B222&amp;"-"&amp;Sample!C222</f>
        <v>-</v>
      </c>
      <c r="C224">
        <f>Sample!A222</f>
        <v>0</v>
      </c>
      <c r="F224">
        <f>Sample!K222</f>
        <v>0</v>
      </c>
      <c r="G224" t="e">
        <f>VLOOKUP(F224,'Index Sequence'!$A$2:$B$9808,2,FALSE)</f>
        <v>#N/A</v>
      </c>
      <c r="H224">
        <f>Sample!L222</f>
        <v>0</v>
      </c>
      <c r="I224" t="str">
        <f t="shared" si="3"/>
        <v/>
      </c>
      <c r="K224">
        <f>IF(AND(OR(LEFT(Sample!A222,1)="E",LEFT(Sample!A222,1)="H"),OR(LEFT(Sample!C222,2)="JI",LEFT(Sample!C222,1)="I")),"TS1",IF(AND(OR(LEFT(Sample!A222,1)="E",LEFT(Sample!A222,1)="H"),OR(LEFT(Sample!C222,2)="JX",LEFT(Sample!C222,1)="W",LEFT(Sample!C222,1)="X")),"TS95",IF(AND(OR(LEFT(Sample!A222,1)="E",LEFT(Sample!A222,1)="H"),OR(LEFT(Sample!C222,2)="JN",LEFT(Sample!C222,1)="N")),"TS3",IF(OR(LEFT(Sample!A222,1)="T",LEFT(Sample!A222,1)="B"),"TS24",IF(LEFT(Sample!A222,2)="CR","CARRIER9",IF(LEFT(Sample!A222,4)="DEL3","NIPTDEL3",Sample!A222))))))</f>
        <v>0</v>
      </c>
      <c r="O224" t="str">
        <f xml:space="preserve"> SUBSTITUTE( SUBSTITUTE( SUBSTITUTE( SUBSTITUTE( SUBSTITUTE( SUBSTITUTE( SUBSTITUTE( SUBSTITUTE( SampleImport!I224, "A", 1), "C", 2), "G", 3),"T", 4), 1, "T"), 2, "G"), 3, "C"), 4, "A")</f>
        <v/>
      </c>
    </row>
    <row r="225" spans="1:15" x14ac:dyDescent="0.35">
      <c r="A225" t="str">
        <f>Sample!B223&amp;"-"&amp;Sample!C223</f>
        <v>-</v>
      </c>
      <c r="B225" t="str">
        <f>Sample!B223&amp;"-"&amp;Sample!C223</f>
        <v>-</v>
      </c>
      <c r="C225">
        <f>Sample!A223</f>
        <v>0</v>
      </c>
      <c r="F225">
        <f>Sample!K223</f>
        <v>0</v>
      </c>
      <c r="G225" t="e">
        <f>VLOOKUP(F225,'Index Sequence'!$A$2:$B$9808,2,FALSE)</f>
        <v>#N/A</v>
      </c>
      <c r="H225">
        <f>Sample!L223</f>
        <v>0</v>
      </c>
      <c r="I225" t="str">
        <f t="shared" si="3"/>
        <v/>
      </c>
      <c r="K225">
        <f>IF(AND(OR(LEFT(Sample!A223,1)="E",LEFT(Sample!A223,1)="H"),OR(LEFT(Sample!C223,2)="JI",LEFT(Sample!C223,1)="I")),"TS1",IF(AND(OR(LEFT(Sample!A223,1)="E",LEFT(Sample!A223,1)="H"),OR(LEFT(Sample!C223,2)="JX",LEFT(Sample!C223,1)="W",LEFT(Sample!C223,1)="X")),"TS95",IF(AND(OR(LEFT(Sample!A223,1)="E",LEFT(Sample!A223,1)="H"),OR(LEFT(Sample!C223,2)="JN",LEFT(Sample!C223,1)="N")),"TS3",IF(OR(LEFT(Sample!A223,1)="T",LEFT(Sample!A223,1)="B"),"TS24",IF(LEFT(Sample!A223,2)="CR","CARRIER9",IF(LEFT(Sample!A223,4)="DEL3","NIPTDEL3",Sample!A223))))))</f>
        <v>0</v>
      </c>
      <c r="O225" t="str">
        <f xml:space="preserve"> SUBSTITUTE( SUBSTITUTE( SUBSTITUTE( SUBSTITUTE( SUBSTITUTE( SUBSTITUTE( SUBSTITUTE( SUBSTITUTE( SampleImport!I225, "A", 1), "C", 2), "G", 3),"T", 4), 1, "T"), 2, "G"), 3, "C"), 4, "A")</f>
        <v/>
      </c>
    </row>
    <row r="226" spans="1:15" x14ac:dyDescent="0.35">
      <c r="A226" t="str">
        <f>Sample!B224&amp;"-"&amp;Sample!C224</f>
        <v>-</v>
      </c>
      <c r="B226" t="str">
        <f>Sample!B224&amp;"-"&amp;Sample!C224</f>
        <v>-</v>
      </c>
      <c r="C226">
        <f>Sample!A224</f>
        <v>0</v>
      </c>
      <c r="F226">
        <f>Sample!K224</f>
        <v>0</v>
      </c>
      <c r="G226" t="e">
        <f>VLOOKUP(F226,'Index Sequence'!$A$2:$B$9808,2,FALSE)</f>
        <v>#N/A</v>
      </c>
      <c r="H226">
        <f>Sample!L224</f>
        <v>0</v>
      </c>
      <c r="I226" t="str">
        <f t="shared" si="3"/>
        <v/>
      </c>
      <c r="K226">
        <f>IF(AND(OR(LEFT(Sample!A224,1)="E",LEFT(Sample!A224,1)="H"),OR(LEFT(Sample!C224,2)="JI",LEFT(Sample!C224,1)="I")),"TS1",IF(AND(OR(LEFT(Sample!A224,1)="E",LEFT(Sample!A224,1)="H"),OR(LEFT(Sample!C224,2)="JX",LEFT(Sample!C224,1)="W",LEFT(Sample!C224,1)="X")),"TS95",IF(AND(OR(LEFT(Sample!A224,1)="E",LEFT(Sample!A224,1)="H"),OR(LEFT(Sample!C224,2)="JN",LEFT(Sample!C224,1)="N")),"TS3",IF(OR(LEFT(Sample!A224,1)="T",LEFT(Sample!A224,1)="B"),"TS24",IF(LEFT(Sample!A224,2)="CR","CARRIER9",IF(LEFT(Sample!A224,4)="DEL3","NIPTDEL3",Sample!A224))))))</f>
        <v>0</v>
      </c>
      <c r="O226" t="str">
        <f xml:space="preserve"> SUBSTITUTE( SUBSTITUTE( SUBSTITUTE( SUBSTITUTE( SUBSTITUTE( SUBSTITUTE( SUBSTITUTE( SUBSTITUTE( SampleImport!I226, "A", 1), "C", 2), "G", 3),"T", 4), 1, "T"), 2, "G"), 3, "C"), 4, "A")</f>
        <v/>
      </c>
    </row>
    <row r="227" spans="1:15" x14ac:dyDescent="0.35">
      <c r="A227" t="str">
        <f>Sample!B225&amp;"-"&amp;Sample!C225</f>
        <v>-</v>
      </c>
      <c r="B227" t="str">
        <f>Sample!B225&amp;"-"&amp;Sample!C225</f>
        <v>-</v>
      </c>
      <c r="C227">
        <f>Sample!A225</f>
        <v>0</v>
      </c>
      <c r="F227">
        <f>Sample!K225</f>
        <v>0</v>
      </c>
      <c r="G227" t="e">
        <f>VLOOKUP(F227,'Index Sequence'!$A$2:$B$9808,2,FALSE)</f>
        <v>#N/A</v>
      </c>
      <c r="H227">
        <f>Sample!L225</f>
        <v>0</v>
      </c>
      <c r="I227" t="str">
        <f t="shared" si="3"/>
        <v/>
      </c>
      <c r="K227">
        <f>IF(AND(OR(LEFT(Sample!A225,1)="E",LEFT(Sample!A225,1)="H"),OR(LEFT(Sample!C225,2)="JI",LEFT(Sample!C225,1)="I")),"TS1",IF(AND(OR(LEFT(Sample!A225,1)="E",LEFT(Sample!A225,1)="H"),OR(LEFT(Sample!C225,2)="JX",LEFT(Sample!C225,1)="W",LEFT(Sample!C225,1)="X")),"TS95",IF(AND(OR(LEFT(Sample!A225,1)="E",LEFT(Sample!A225,1)="H"),OR(LEFT(Sample!C225,2)="JN",LEFT(Sample!C225,1)="N")),"TS3",IF(OR(LEFT(Sample!A225,1)="T",LEFT(Sample!A225,1)="B"),"TS24",IF(LEFT(Sample!A225,2)="CR","CARRIER9",IF(LEFT(Sample!A225,4)="DEL3","NIPTDEL3",Sample!A225))))))</f>
        <v>0</v>
      </c>
      <c r="O227" t="str">
        <f xml:space="preserve"> SUBSTITUTE( SUBSTITUTE( SUBSTITUTE( SUBSTITUTE( SUBSTITUTE( SUBSTITUTE( SUBSTITUTE( SUBSTITUTE( SampleImport!I227, "A", 1), "C", 2), "G", 3),"T", 4), 1, "T"), 2, "G"), 3, "C"), 4, "A")</f>
        <v/>
      </c>
    </row>
    <row r="228" spans="1:15" x14ac:dyDescent="0.35">
      <c r="A228" t="str">
        <f>Sample!B226&amp;"-"&amp;Sample!C226</f>
        <v>-</v>
      </c>
      <c r="B228" t="str">
        <f>Sample!B226&amp;"-"&amp;Sample!C226</f>
        <v>-</v>
      </c>
      <c r="C228">
        <f>Sample!A226</f>
        <v>0</v>
      </c>
      <c r="F228">
        <f>Sample!K226</f>
        <v>0</v>
      </c>
      <c r="G228" t="e">
        <f>VLOOKUP(F228,'Index Sequence'!$A$2:$B$9808,2,FALSE)</f>
        <v>#N/A</v>
      </c>
      <c r="H228">
        <f>Sample!L226</f>
        <v>0</v>
      </c>
      <c r="I228" t="str">
        <f t="shared" si="3"/>
        <v/>
      </c>
      <c r="K228">
        <f>IF(AND(OR(LEFT(Sample!A226,1)="E",LEFT(Sample!A226,1)="H"),OR(LEFT(Sample!C226,2)="JI",LEFT(Sample!C226,1)="I")),"TS1",IF(AND(OR(LEFT(Sample!A226,1)="E",LEFT(Sample!A226,1)="H"),OR(LEFT(Sample!C226,2)="JX",LEFT(Sample!C226,1)="W",LEFT(Sample!C226,1)="X")),"TS95",IF(AND(OR(LEFT(Sample!A226,1)="E",LEFT(Sample!A226,1)="H"),OR(LEFT(Sample!C226,2)="JN",LEFT(Sample!C226,1)="N")),"TS3",IF(OR(LEFT(Sample!A226,1)="T",LEFT(Sample!A226,1)="B"),"TS24",IF(LEFT(Sample!A226,2)="CR","CARRIER9",IF(LEFT(Sample!A226,4)="DEL3","NIPTDEL3",Sample!A226))))))</f>
        <v>0</v>
      </c>
      <c r="O228" t="str">
        <f xml:space="preserve"> SUBSTITUTE( SUBSTITUTE( SUBSTITUTE( SUBSTITUTE( SUBSTITUTE( SUBSTITUTE( SUBSTITUTE( SUBSTITUTE( SampleImport!I228, "A", 1), "C", 2), "G", 3),"T", 4), 1, "T"), 2, "G"), 3, "C"), 4, "A")</f>
        <v/>
      </c>
    </row>
    <row r="229" spans="1:15" x14ac:dyDescent="0.35">
      <c r="A229" t="str">
        <f>Sample!B227&amp;"-"&amp;Sample!C227</f>
        <v>-</v>
      </c>
      <c r="B229" t="str">
        <f>Sample!B227&amp;"-"&amp;Sample!C227</f>
        <v>-</v>
      </c>
      <c r="C229">
        <f>Sample!A227</f>
        <v>0</v>
      </c>
      <c r="F229">
        <f>Sample!K227</f>
        <v>0</v>
      </c>
      <c r="G229" t="e">
        <f>VLOOKUP(F229,'Index Sequence'!$A$2:$B$9808,2,FALSE)</f>
        <v>#N/A</v>
      </c>
      <c r="H229">
        <f>Sample!L227</f>
        <v>0</v>
      </c>
      <c r="I229" t="str">
        <f t="shared" si="3"/>
        <v/>
      </c>
      <c r="K229">
        <f>IF(AND(OR(LEFT(Sample!A227,1)="E",LEFT(Sample!A227,1)="H"),OR(LEFT(Sample!C227,2)="JI",LEFT(Sample!C227,1)="I")),"TS1",IF(AND(OR(LEFT(Sample!A227,1)="E",LEFT(Sample!A227,1)="H"),OR(LEFT(Sample!C227,2)="JX",LEFT(Sample!C227,1)="W",LEFT(Sample!C227,1)="X")),"TS95",IF(AND(OR(LEFT(Sample!A227,1)="E",LEFT(Sample!A227,1)="H"),OR(LEFT(Sample!C227,2)="JN",LEFT(Sample!C227,1)="N")),"TS3",IF(OR(LEFT(Sample!A227,1)="T",LEFT(Sample!A227,1)="B"),"TS24",IF(LEFT(Sample!A227,2)="CR","CARRIER9",IF(LEFT(Sample!A227,4)="DEL3","NIPTDEL3",Sample!A227))))))</f>
        <v>0</v>
      </c>
      <c r="O229" t="str">
        <f xml:space="preserve"> SUBSTITUTE( SUBSTITUTE( SUBSTITUTE( SUBSTITUTE( SUBSTITUTE( SUBSTITUTE( SUBSTITUTE( SUBSTITUTE( SampleImport!I229, "A", 1), "C", 2), "G", 3),"T", 4), 1, "T"), 2, "G"), 3, "C"), 4, "A")</f>
        <v/>
      </c>
    </row>
    <row r="230" spans="1:15" x14ac:dyDescent="0.35">
      <c r="A230" t="str">
        <f>Sample!B228&amp;"-"&amp;Sample!C228</f>
        <v>-</v>
      </c>
      <c r="B230" t="str">
        <f>Sample!B228&amp;"-"&amp;Sample!C228</f>
        <v>-</v>
      </c>
      <c r="C230">
        <f>Sample!A228</f>
        <v>0</v>
      </c>
      <c r="F230">
        <f>Sample!K228</f>
        <v>0</v>
      </c>
      <c r="G230" t="e">
        <f>VLOOKUP(F230,'Index Sequence'!$A$2:$B$9808,2,FALSE)</f>
        <v>#N/A</v>
      </c>
      <c r="H230">
        <f>Sample!L228</f>
        <v>0</v>
      </c>
      <c r="I230" t="str">
        <f t="shared" si="3"/>
        <v/>
      </c>
      <c r="K230">
        <f>IF(AND(OR(LEFT(Sample!A228,1)="E",LEFT(Sample!A228,1)="H"),OR(LEFT(Sample!C228,2)="JI",LEFT(Sample!C228,1)="I")),"TS1",IF(AND(OR(LEFT(Sample!A228,1)="E",LEFT(Sample!A228,1)="H"),OR(LEFT(Sample!C228,2)="JX",LEFT(Sample!C228,1)="W",LEFT(Sample!C228,1)="X")),"TS95",IF(AND(OR(LEFT(Sample!A228,1)="E",LEFT(Sample!A228,1)="H"),OR(LEFT(Sample!C228,2)="JN",LEFT(Sample!C228,1)="N")),"TS3",IF(OR(LEFT(Sample!A228,1)="T",LEFT(Sample!A228,1)="B"),"TS24",IF(LEFT(Sample!A228,2)="CR","CARRIER9",IF(LEFT(Sample!A228,4)="DEL3","NIPTDEL3",Sample!A228))))))</f>
        <v>0</v>
      </c>
      <c r="O230" t="str">
        <f xml:space="preserve"> SUBSTITUTE( SUBSTITUTE( SUBSTITUTE( SUBSTITUTE( SUBSTITUTE( SUBSTITUTE( SUBSTITUTE( SUBSTITUTE( SampleImport!I230, "A", 1), "C", 2), "G", 3),"T", 4), 1, "T"), 2, "G"), 3, "C"), 4, "A")</f>
        <v/>
      </c>
    </row>
    <row r="231" spans="1:15" x14ac:dyDescent="0.35">
      <c r="A231" t="str">
        <f>Sample!B229&amp;"-"&amp;Sample!C229</f>
        <v>-</v>
      </c>
      <c r="B231" t="str">
        <f>Sample!B229&amp;"-"&amp;Sample!C229</f>
        <v>-</v>
      </c>
      <c r="C231">
        <f>Sample!A229</f>
        <v>0</v>
      </c>
      <c r="F231">
        <f>Sample!K229</f>
        <v>0</v>
      </c>
      <c r="G231" t="e">
        <f>VLOOKUP(F231,'Index Sequence'!$A$2:$B$9808,2,FALSE)</f>
        <v>#N/A</v>
      </c>
      <c r="H231">
        <f>Sample!L229</f>
        <v>0</v>
      </c>
      <c r="I231" t="str">
        <f t="shared" si="3"/>
        <v/>
      </c>
      <c r="K231">
        <f>IF(AND(OR(LEFT(Sample!A229,1)="E",LEFT(Sample!A229,1)="H"),OR(LEFT(Sample!C229,2)="JI",LEFT(Sample!C229,1)="I")),"TS1",IF(AND(OR(LEFT(Sample!A229,1)="E",LEFT(Sample!A229,1)="H"),OR(LEFT(Sample!C229,2)="JX",LEFT(Sample!C229,1)="W",LEFT(Sample!C229,1)="X")),"TS95",IF(AND(OR(LEFT(Sample!A229,1)="E",LEFT(Sample!A229,1)="H"),OR(LEFT(Sample!C229,2)="JN",LEFT(Sample!C229,1)="N")),"TS3",IF(OR(LEFT(Sample!A229,1)="T",LEFT(Sample!A229,1)="B"),"TS24",IF(LEFT(Sample!A229,2)="CR","CARRIER9",IF(LEFT(Sample!A229,4)="DEL3","NIPTDEL3",Sample!A229))))))</f>
        <v>0</v>
      </c>
      <c r="O231" t="str">
        <f xml:space="preserve"> SUBSTITUTE( SUBSTITUTE( SUBSTITUTE( SUBSTITUTE( SUBSTITUTE( SUBSTITUTE( SUBSTITUTE( SUBSTITUTE( SampleImport!I231, "A", 1), "C", 2), "G", 3),"T", 4), 1, "T"), 2, "G"), 3, "C"), 4, "A")</f>
        <v/>
      </c>
    </row>
    <row r="232" spans="1:15" x14ac:dyDescent="0.35">
      <c r="A232" t="str">
        <f>Sample!B230&amp;"-"&amp;Sample!C230</f>
        <v>-</v>
      </c>
      <c r="B232" t="str">
        <f>Sample!B230&amp;"-"&amp;Sample!C230</f>
        <v>-</v>
      </c>
      <c r="C232">
        <f>Sample!A230</f>
        <v>0</v>
      </c>
      <c r="F232">
        <f>Sample!K230</f>
        <v>0</v>
      </c>
      <c r="G232" t="e">
        <f>VLOOKUP(F232,'Index Sequence'!$A$2:$B$9808,2,FALSE)</f>
        <v>#N/A</v>
      </c>
      <c r="H232">
        <f>Sample!L230</f>
        <v>0</v>
      </c>
      <c r="I232" t="str">
        <f t="shared" si="3"/>
        <v/>
      </c>
      <c r="K232">
        <f>IF(AND(OR(LEFT(Sample!A230,1)="E",LEFT(Sample!A230,1)="H"),OR(LEFT(Sample!C230,2)="JI",LEFT(Sample!C230,1)="I")),"TS1",IF(AND(OR(LEFT(Sample!A230,1)="E",LEFT(Sample!A230,1)="H"),OR(LEFT(Sample!C230,2)="JX",LEFT(Sample!C230,1)="W",LEFT(Sample!C230,1)="X")),"TS95",IF(AND(OR(LEFT(Sample!A230,1)="E",LEFT(Sample!A230,1)="H"),OR(LEFT(Sample!C230,2)="JN",LEFT(Sample!C230,1)="N")),"TS3",IF(OR(LEFT(Sample!A230,1)="T",LEFT(Sample!A230,1)="B"),"TS24",IF(LEFT(Sample!A230,2)="CR","CARRIER9",IF(LEFT(Sample!A230,4)="DEL3","NIPTDEL3",Sample!A230))))))</f>
        <v>0</v>
      </c>
      <c r="O232" t="str">
        <f xml:space="preserve"> SUBSTITUTE( SUBSTITUTE( SUBSTITUTE( SUBSTITUTE( SUBSTITUTE( SUBSTITUTE( SUBSTITUTE( SUBSTITUTE( SampleImport!I232, "A", 1), "C", 2), "G", 3),"T", 4), 1, "T"), 2, "G"), 3, "C"), 4, "A")</f>
        <v/>
      </c>
    </row>
    <row r="233" spans="1:15" x14ac:dyDescent="0.35">
      <c r="A233" t="str">
        <f>Sample!B231&amp;"-"&amp;Sample!C231</f>
        <v>-</v>
      </c>
      <c r="B233" t="str">
        <f>Sample!B231&amp;"-"&amp;Sample!C231</f>
        <v>-</v>
      </c>
      <c r="C233">
        <f>Sample!A231</f>
        <v>0</v>
      </c>
      <c r="F233">
        <f>Sample!K231</f>
        <v>0</v>
      </c>
      <c r="G233" t="e">
        <f>VLOOKUP(F233,'Index Sequence'!$A$2:$B$9808,2,FALSE)</f>
        <v>#N/A</v>
      </c>
      <c r="H233">
        <f>Sample!L231</f>
        <v>0</v>
      </c>
      <c r="I233" t="str">
        <f t="shared" si="3"/>
        <v/>
      </c>
      <c r="K233">
        <f>IF(AND(OR(LEFT(Sample!A231,1)="E",LEFT(Sample!A231,1)="H"),OR(LEFT(Sample!C231,2)="JI",LEFT(Sample!C231,1)="I")),"TS1",IF(AND(OR(LEFT(Sample!A231,1)="E",LEFT(Sample!A231,1)="H"),OR(LEFT(Sample!C231,2)="JX",LEFT(Sample!C231,1)="W",LEFT(Sample!C231,1)="X")),"TS95",IF(AND(OR(LEFT(Sample!A231,1)="E",LEFT(Sample!A231,1)="H"),OR(LEFT(Sample!C231,2)="JN",LEFT(Sample!C231,1)="N")),"TS3",IF(OR(LEFT(Sample!A231,1)="T",LEFT(Sample!A231,1)="B"),"TS24",IF(LEFT(Sample!A231,2)="CR","CARRIER9",IF(LEFT(Sample!A231,4)="DEL3","NIPTDEL3",Sample!A231))))))</f>
        <v>0</v>
      </c>
      <c r="O233" t="str">
        <f xml:space="preserve"> SUBSTITUTE( SUBSTITUTE( SUBSTITUTE( SUBSTITUTE( SUBSTITUTE( SUBSTITUTE( SUBSTITUTE( SUBSTITUTE( SampleImport!I233, "A", 1), "C", 2), "G", 3),"T", 4), 1, "T"), 2, "G"), 3, "C"), 4, "A")</f>
        <v/>
      </c>
    </row>
    <row r="234" spans="1:15" x14ac:dyDescent="0.35">
      <c r="A234" t="str">
        <f>Sample!B232&amp;"-"&amp;Sample!C232</f>
        <v>-</v>
      </c>
      <c r="B234" t="str">
        <f>Sample!B232&amp;"-"&amp;Sample!C232</f>
        <v>-</v>
      </c>
      <c r="C234">
        <f>Sample!A232</f>
        <v>0</v>
      </c>
      <c r="F234">
        <f>Sample!K232</f>
        <v>0</v>
      </c>
      <c r="G234" t="e">
        <f>VLOOKUP(F234,'Index Sequence'!$A$2:$B$9808,2,FALSE)</f>
        <v>#N/A</v>
      </c>
      <c r="H234">
        <f>Sample!L232</f>
        <v>0</v>
      </c>
      <c r="I234" t="str">
        <f t="shared" si="3"/>
        <v/>
      </c>
      <c r="K234">
        <f>IF(AND(OR(LEFT(Sample!A232,1)="E",LEFT(Sample!A232,1)="H"),OR(LEFT(Sample!C232,2)="JI",LEFT(Sample!C232,1)="I")),"TS1",IF(AND(OR(LEFT(Sample!A232,1)="E",LEFT(Sample!A232,1)="H"),OR(LEFT(Sample!C232,2)="JX",LEFT(Sample!C232,1)="W",LEFT(Sample!C232,1)="X")),"TS95",IF(AND(OR(LEFT(Sample!A232,1)="E",LEFT(Sample!A232,1)="H"),OR(LEFT(Sample!C232,2)="JN",LEFT(Sample!C232,1)="N")),"TS3",IF(OR(LEFT(Sample!A232,1)="T",LEFT(Sample!A232,1)="B"),"TS24",IF(LEFT(Sample!A232,2)="CR","CARRIER9",IF(LEFT(Sample!A232,4)="DEL3","NIPTDEL3",Sample!A232))))))</f>
        <v>0</v>
      </c>
      <c r="O234" t="str">
        <f xml:space="preserve"> SUBSTITUTE( SUBSTITUTE( SUBSTITUTE( SUBSTITUTE( SUBSTITUTE( SUBSTITUTE( SUBSTITUTE( SUBSTITUTE( SampleImport!I234, "A", 1), "C", 2), "G", 3),"T", 4), 1, "T"), 2, "G"), 3, "C"), 4, "A")</f>
        <v/>
      </c>
    </row>
    <row r="235" spans="1:15" x14ac:dyDescent="0.35">
      <c r="A235" t="str">
        <f>Sample!B233&amp;"-"&amp;Sample!C233</f>
        <v>-</v>
      </c>
      <c r="B235" t="str">
        <f>Sample!B233&amp;"-"&amp;Sample!C233</f>
        <v>-</v>
      </c>
      <c r="C235">
        <f>Sample!A233</f>
        <v>0</v>
      </c>
      <c r="F235">
        <f>Sample!K233</f>
        <v>0</v>
      </c>
      <c r="G235" t="e">
        <f>VLOOKUP(F235,'Index Sequence'!$A$2:$B$9808,2,FALSE)</f>
        <v>#N/A</v>
      </c>
      <c r="H235">
        <f>Sample!L233</f>
        <v>0</v>
      </c>
      <c r="I235" t="str">
        <f t="shared" si="3"/>
        <v/>
      </c>
      <c r="K235">
        <f>IF(AND(OR(LEFT(Sample!A233,1)="E",LEFT(Sample!A233,1)="H"),OR(LEFT(Sample!C233,2)="JI",LEFT(Sample!C233,1)="I")),"TS1",IF(AND(OR(LEFT(Sample!A233,1)="E",LEFT(Sample!A233,1)="H"),OR(LEFT(Sample!C233,2)="JX",LEFT(Sample!C233,1)="W",LEFT(Sample!C233,1)="X")),"TS95",IF(AND(OR(LEFT(Sample!A233,1)="E",LEFT(Sample!A233,1)="H"),OR(LEFT(Sample!C233,2)="JN",LEFT(Sample!C233,1)="N")),"TS3",IF(OR(LEFT(Sample!A233,1)="T",LEFT(Sample!A233,1)="B"),"TS24",IF(LEFT(Sample!A233,2)="CR","CARRIER9",IF(LEFT(Sample!A233,4)="DEL3","NIPTDEL3",Sample!A233))))))</f>
        <v>0</v>
      </c>
      <c r="O235" t="str">
        <f xml:space="preserve"> SUBSTITUTE( SUBSTITUTE( SUBSTITUTE( SUBSTITUTE( SUBSTITUTE( SUBSTITUTE( SUBSTITUTE( SUBSTITUTE( SampleImport!I235, "A", 1), "C", 2), "G", 3),"T", 4), 1, "T"), 2, "G"), 3, "C"), 4, "A")</f>
        <v/>
      </c>
    </row>
    <row r="236" spans="1:15" x14ac:dyDescent="0.35">
      <c r="A236" t="str">
        <f>Sample!B234&amp;"-"&amp;Sample!C234</f>
        <v>-</v>
      </c>
      <c r="B236" t="str">
        <f>Sample!B234&amp;"-"&amp;Sample!C234</f>
        <v>-</v>
      </c>
      <c r="C236">
        <f>Sample!A234</f>
        <v>0</v>
      </c>
      <c r="F236">
        <f>Sample!K234</f>
        <v>0</v>
      </c>
      <c r="G236" t="e">
        <f>VLOOKUP(F236,'Index Sequence'!$A$2:$B$9808,2,FALSE)</f>
        <v>#N/A</v>
      </c>
      <c r="H236">
        <f>Sample!L234</f>
        <v>0</v>
      </c>
      <c r="I236" t="str">
        <f t="shared" si="3"/>
        <v/>
      </c>
      <c r="K236">
        <f>IF(AND(OR(LEFT(Sample!A234,1)="E",LEFT(Sample!A234,1)="H"),OR(LEFT(Sample!C234,2)="JI",LEFT(Sample!C234,1)="I")),"TS1",IF(AND(OR(LEFT(Sample!A234,1)="E",LEFT(Sample!A234,1)="H"),OR(LEFT(Sample!C234,2)="JX",LEFT(Sample!C234,1)="W",LEFT(Sample!C234,1)="X")),"TS95",IF(AND(OR(LEFT(Sample!A234,1)="E",LEFT(Sample!A234,1)="H"),OR(LEFT(Sample!C234,2)="JN",LEFT(Sample!C234,1)="N")),"TS3",IF(OR(LEFT(Sample!A234,1)="T",LEFT(Sample!A234,1)="B"),"TS24",IF(LEFT(Sample!A234,2)="CR","CARRIER9",IF(LEFT(Sample!A234,4)="DEL3","NIPTDEL3",Sample!A234))))))</f>
        <v>0</v>
      </c>
      <c r="O236" t="str">
        <f xml:space="preserve"> SUBSTITUTE( SUBSTITUTE( SUBSTITUTE( SUBSTITUTE( SUBSTITUTE( SUBSTITUTE( SUBSTITUTE( SUBSTITUTE( SampleImport!I236, "A", 1), "C", 2), "G", 3),"T", 4), 1, "T"), 2, "G"), 3, "C"), 4, "A")</f>
        <v/>
      </c>
    </row>
    <row r="237" spans="1:15" x14ac:dyDescent="0.35">
      <c r="A237" t="str">
        <f>Sample!B235&amp;"-"&amp;Sample!C235</f>
        <v>-</v>
      </c>
      <c r="B237" t="str">
        <f>Sample!B235&amp;"-"&amp;Sample!C235</f>
        <v>-</v>
      </c>
      <c r="C237">
        <f>Sample!A235</f>
        <v>0</v>
      </c>
      <c r="F237">
        <f>Sample!K235</f>
        <v>0</v>
      </c>
      <c r="G237" t="e">
        <f>VLOOKUP(F237,'Index Sequence'!$A$2:$B$9808,2,FALSE)</f>
        <v>#N/A</v>
      </c>
      <c r="H237">
        <f>Sample!L235</f>
        <v>0</v>
      </c>
      <c r="I237" t="str">
        <f t="shared" si="3"/>
        <v/>
      </c>
      <c r="K237">
        <f>IF(AND(OR(LEFT(Sample!A235,1)="E",LEFT(Sample!A235,1)="H"),OR(LEFT(Sample!C235,2)="JI",LEFT(Sample!C235,1)="I")),"TS1",IF(AND(OR(LEFT(Sample!A235,1)="E",LEFT(Sample!A235,1)="H"),OR(LEFT(Sample!C235,2)="JX",LEFT(Sample!C235,1)="W",LEFT(Sample!C235,1)="X")),"TS95",IF(AND(OR(LEFT(Sample!A235,1)="E",LEFT(Sample!A235,1)="H"),OR(LEFT(Sample!C235,2)="JN",LEFT(Sample!C235,1)="N")),"TS3",IF(OR(LEFT(Sample!A235,1)="T",LEFT(Sample!A235,1)="B"),"TS24",IF(LEFT(Sample!A235,2)="CR","CARRIER9",IF(LEFT(Sample!A235,4)="DEL3","NIPTDEL3",Sample!A235))))))</f>
        <v>0</v>
      </c>
      <c r="O237" t="str">
        <f xml:space="preserve"> SUBSTITUTE( SUBSTITUTE( SUBSTITUTE( SUBSTITUTE( SUBSTITUTE( SUBSTITUTE( SUBSTITUTE( SUBSTITUTE( SampleImport!I237, "A", 1), "C", 2), "G", 3),"T", 4), 1, "T"), 2, "G"), 3, "C"), 4, "A")</f>
        <v/>
      </c>
    </row>
    <row r="238" spans="1:15" x14ac:dyDescent="0.35">
      <c r="A238" t="str">
        <f>Sample!B236&amp;"-"&amp;Sample!C236</f>
        <v>-</v>
      </c>
      <c r="B238" t="str">
        <f>Sample!B236&amp;"-"&amp;Sample!C236</f>
        <v>-</v>
      </c>
      <c r="C238">
        <f>Sample!A236</f>
        <v>0</v>
      </c>
      <c r="F238">
        <f>Sample!K236</f>
        <v>0</v>
      </c>
      <c r="G238" t="e">
        <f>VLOOKUP(F238,'Index Sequence'!$A$2:$B$9808,2,FALSE)</f>
        <v>#N/A</v>
      </c>
      <c r="H238">
        <f>Sample!L236</f>
        <v>0</v>
      </c>
      <c r="I238" t="str">
        <f t="shared" si="3"/>
        <v/>
      </c>
      <c r="K238">
        <f>IF(AND(OR(LEFT(Sample!A236,1)="E",LEFT(Sample!A236,1)="H"),OR(LEFT(Sample!C236,2)="JI",LEFT(Sample!C236,1)="I")),"TS1",IF(AND(OR(LEFT(Sample!A236,1)="E",LEFT(Sample!A236,1)="H"),OR(LEFT(Sample!C236,2)="JX",LEFT(Sample!C236,1)="W",LEFT(Sample!C236,1)="X")),"TS95",IF(AND(OR(LEFT(Sample!A236,1)="E",LEFT(Sample!A236,1)="H"),OR(LEFT(Sample!C236,2)="JN",LEFT(Sample!C236,1)="N")),"TS3",IF(OR(LEFT(Sample!A236,1)="T",LEFT(Sample!A236,1)="B"),"TS24",IF(LEFT(Sample!A236,2)="CR","CARRIER9",IF(LEFT(Sample!A236,4)="DEL3","NIPTDEL3",Sample!A236))))))</f>
        <v>0</v>
      </c>
      <c r="O238" t="str">
        <f xml:space="preserve"> SUBSTITUTE( SUBSTITUTE( SUBSTITUTE( SUBSTITUTE( SUBSTITUTE( SUBSTITUTE( SUBSTITUTE( SUBSTITUTE( SampleImport!I238, "A", 1), "C", 2), "G", 3),"T", 4), 1, "T"), 2, "G"), 3, "C"), 4, "A")</f>
        <v/>
      </c>
    </row>
    <row r="239" spans="1:15" x14ac:dyDescent="0.35">
      <c r="A239" t="str">
        <f>Sample!B237&amp;"-"&amp;Sample!C237</f>
        <v>-</v>
      </c>
      <c r="B239" t="str">
        <f>Sample!B237&amp;"-"&amp;Sample!C237</f>
        <v>-</v>
      </c>
      <c r="C239">
        <f>Sample!A237</f>
        <v>0</v>
      </c>
      <c r="F239">
        <f>Sample!K237</f>
        <v>0</v>
      </c>
      <c r="G239" t="e">
        <f>VLOOKUP(F239,'Index Sequence'!$A$2:$B$9808,2,FALSE)</f>
        <v>#N/A</v>
      </c>
      <c r="H239">
        <f>Sample!L237</f>
        <v>0</v>
      </c>
      <c r="I239" t="str">
        <f t="shared" si="3"/>
        <v/>
      </c>
      <c r="K239">
        <f>IF(AND(OR(LEFT(Sample!A237,1)="E",LEFT(Sample!A237,1)="H"),OR(LEFT(Sample!C237,2)="JI",LEFT(Sample!C237,1)="I")),"TS1",IF(AND(OR(LEFT(Sample!A237,1)="E",LEFT(Sample!A237,1)="H"),OR(LEFT(Sample!C237,2)="JX",LEFT(Sample!C237,1)="W",LEFT(Sample!C237,1)="X")),"TS95",IF(AND(OR(LEFT(Sample!A237,1)="E",LEFT(Sample!A237,1)="H"),OR(LEFT(Sample!C237,2)="JN",LEFT(Sample!C237,1)="N")),"TS3",IF(OR(LEFT(Sample!A237,1)="T",LEFT(Sample!A237,1)="B"),"TS24",IF(LEFT(Sample!A237,2)="CR","CARRIER9",IF(LEFT(Sample!A237,4)="DEL3","NIPTDEL3",Sample!A237))))))</f>
        <v>0</v>
      </c>
      <c r="O239" t="str">
        <f xml:space="preserve"> SUBSTITUTE( SUBSTITUTE( SUBSTITUTE( SUBSTITUTE( SUBSTITUTE( SUBSTITUTE( SUBSTITUTE( SUBSTITUTE( SampleImport!I239, "A", 1), "C", 2), "G", 3),"T", 4), 1, "T"), 2, "G"), 3, "C"), 4, "A")</f>
        <v/>
      </c>
    </row>
    <row r="240" spans="1:15" x14ac:dyDescent="0.35">
      <c r="A240" t="str">
        <f>Sample!B238&amp;"-"&amp;Sample!C238</f>
        <v>-</v>
      </c>
      <c r="B240" t="str">
        <f>Sample!B238&amp;"-"&amp;Sample!C238</f>
        <v>-</v>
      </c>
      <c r="C240">
        <f>Sample!A238</f>
        <v>0</v>
      </c>
      <c r="F240">
        <f>Sample!K238</f>
        <v>0</v>
      </c>
      <c r="G240" t="e">
        <f>VLOOKUP(F240,'Index Sequence'!$A$2:$B$9808,2,FALSE)</f>
        <v>#N/A</v>
      </c>
      <c r="H240">
        <f>Sample!L238</f>
        <v>0</v>
      </c>
      <c r="I240" t="str">
        <f t="shared" si="3"/>
        <v/>
      </c>
      <c r="K240">
        <f>IF(AND(OR(LEFT(Sample!A238,1)="E",LEFT(Sample!A238,1)="H"),OR(LEFT(Sample!C238,2)="JI",LEFT(Sample!C238,1)="I")),"TS1",IF(AND(OR(LEFT(Sample!A238,1)="E",LEFT(Sample!A238,1)="H"),OR(LEFT(Sample!C238,2)="JX",LEFT(Sample!C238,1)="W",LEFT(Sample!C238,1)="X")),"TS95",IF(AND(OR(LEFT(Sample!A238,1)="E",LEFT(Sample!A238,1)="H"),OR(LEFT(Sample!C238,2)="JN",LEFT(Sample!C238,1)="N")),"TS3",IF(OR(LEFT(Sample!A238,1)="T",LEFT(Sample!A238,1)="B"),"TS24",IF(LEFT(Sample!A238,2)="CR","CARRIER9",IF(LEFT(Sample!A238,4)="DEL3","NIPTDEL3",Sample!A238))))))</f>
        <v>0</v>
      </c>
      <c r="O240" t="str">
        <f xml:space="preserve"> SUBSTITUTE( SUBSTITUTE( SUBSTITUTE( SUBSTITUTE( SUBSTITUTE( SUBSTITUTE( SUBSTITUTE( SUBSTITUTE( SampleImport!I240, "A", 1), "C", 2), "G", 3),"T", 4), 1, "T"), 2, "G"), 3, "C"), 4, "A")</f>
        <v/>
      </c>
    </row>
    <row r="241" spans="1:15" x14ac:dyDescent="0.35">
      <c r="A241" t="str">
        <f>Sample!B239&amp;"-"&amp;Sample!C239</f>
        <v>-</v>
      </c>
      <c r="B241" t="str">
        <f>Sample!B239&amp;"-"&amp;Sample!C239</f>
        <v>-</v>
      </c>
      <c r="C241">
        <f>Sample!A239</f>
        <v>0</v>
      </c>
      <c r="F241">
        <f>Sample!K239</f>
        <v>0</v>
      </c>
      <c r="G241" t="e">
        <f>VLOOKUP(F241,'Index Sequence'!$A$2:$B$9808,2,FALSE)</f>
        <v>#N/A</v>
      </c>
      <c r="H241">
        <f>Sample!L239</f>
        <v>0</v>
      </c>
      <c r="I241" t="str">
        <f t="shared" si="3"/>
        <v/>
      </c>
      <c r="K241">
        <f>IF(AND(OR(LEFT(Sample!A239,1)="E",LEFT(Sample!A239,1)="H"),OR(LEFT(Sample!C239,2)="JI",LEFT(Sample!C239,1)="I")),"TS1",IF(AND(OR(LEFT(Sample!A239,1)="E",LEFT(Sample!A239,1)="H"),OR(LEFT(Sample!C239,2)="JX",LEFT(Sample!C239,1)="W",LEFT(Sample!C239,1)="X")),"TS95",IF(AND(OR(LEFT(Sample!A239,1)="E",LEFT(Sample!A239,1)="H"),OR(LEFT(Sample!C239,2)="JN",LEFT(Sample!C239,1)="N")),"TS3",IF(OR(LEFT(Sample!A239,1)="T",LEFT(Sample!A239,1)="B"),"TS24",IF(LEFT(Sample!A239,2)="CR","CARRIER9",IF(LEFT(Sample!A239,4)="DEL3","NIPTDEL3",Sample!A239))))))</f>
        <v>0</v>
      </c>
      <c r="O241" t="str">
        <f xml:space="preserve"> SUBSTITUTE( SUBSTITUTE( SUBSTITUTE( SUBSTITUTE( SUBSTITUTE( SUBSTITUTE( SUBSTITUTE( SUBSTITUTE( SampleImport!I241, "A", 1), "C", 2), "G", 3),"T", 4), 1, "T"), 2, "G"), 3, "C"), 4, "A")</f>
        <v/>
      </c>
    </row>
    <row r="242" spans="1:15" x14ac:dyDescent="0.35">
      <c r="A242" t="str">
        <f>Sample!B240&amp;"-"&amp;Sample!C240</f>
        <v>-</v>
      </c>
      <c r="B242" t="str">
        <f>Sample!B240&amp;"-"&amp;Sample!C240</f>
        <v>-</v>
      </c>
      <c r="C242">
        <f>Sample!A240</f>
        <v>0</v>
      </c>
      <c r="F242">
        <f>Sample!K240</f>
        <v>0</v>
      </c>
      <c r="G242" t="e">
        <f>VLOOKUP(F242,'Index Sequence'!$A$2:$B$9808,2,FALSE)</f>
        <v>#N/A</v>
      </c>
      <c r="H242">
        <f>Sample!L240</f>
        <v>0</v>
      </c>
      <c r="I242" t="str">
        <f t="shared" si="3"/>
        <v/>
      </c>
      <c r="K242">
        <f>IF(AND(OR(LEFT(Sample!A240,1)="E",LEFT(Sample!A240,1)="H"),OR(LEFT(Sample!C240,2)="JI",LEFT(Sample!C240,1)="I")),"TS1",IF(AND(OR(LEFT(Sample!A240,1)="E",LEFT(Sample!A240,1)="H"),OR(LEFT(Sample!C240,2)="JX",LEFT(Sample!C240,1)="W",LEFT(Sample!C240,1)="X")),"TS95",IF(AND(OR(LEFT(Sample!A240,1)="E",LEFT(Sample!A240,1)="H"),OR(LEFT(Sample!C240,2)="JN",LEFT(Sample!C240,1)="N")),"TS3",IF(OR(LEFT(Sample!A240,1)="T",LEFT(Sample!A240,1)="B"),"TS24",IF(LEFT(Sample!A240,2)="CR","CARRIER9",IF(LEFT(Sample!A240,4)="DEL3","NIPTDEL3",Sample!A240))))))</f>
        <v>0</v>
      </c>
      <c r="O242" t="str">
        <f xml:space="preserve"> SUBSTITUTE( SUBSTITUTE( SUBSTITUTE( SUBSTITUTE( SUBSTITUTE( SUBSTITUTE( SUBSTITUTE( SUBSTITUTE( SampleImport!I242, "A", 1), "C", 2), "G", 3),"T", 4), 1, "T"), 2, "G"), 3, "C"), 4, "A")</f>
        <v/>
      </c>
    </row>
    <row r="243" spans="1:15" x14ac:dyDescent="0.35">
      <c r="A243" t="str">
        <f>Sample!B241&amp;"-"&amp;Sample!C241</f>
        <v>-</v>
      </c>
      <c r="B243" t="str">
        <f>Sample!B241&amp;"-"&amp;Sample!C241</f>
        <v>-</v>
      </c>
      <c r="C243">
        <f>Sample!A241</f>
        <v>0</v>
      </c>
      <c r="F243">
        <f>Sample!K241</f>
        <v>0</v>
      </c>
      <c r="G243" t="e">
        <f>VLOOKUP(F243,'Index Sequence'!$A$2:$B$9808,2,FALSE)</f>
        <v>#N/A</v>
      </c>
      <c r="H243">
        <f>Sample!L241</f>
        <v>0</v>
      </c>
      <c r="I243" t="str">
        <f t="shared" si="3"/>
        <v/>
      </c>
      <c r="K243">
        <f>IF(AND(OR(LEFT(Sample!A241,1)="E",LEFT(Sample!A241,1)="H"),OR(LEFT(Sample!C241,2)="JI",LEFT(Sample!C241,1)="I")),"TS1",IF(AND(OR(LEFT(Sample!A241,1)="E",LEFT(Sample!A241,1)="H"),OR(LEFT(Sample!C241,2)="JX",LEFT(Sample!C241,1)="W",LEFT(Sample!C241,1)="X")),"TS95",IF(AND(OR(LEFT(Sample!A241,1)="E",LEFT(Sample!A241,1)="H"),OR(LEFT(Sample!C241,2)="JN",LEFT(Sample!C241,1)="N")),"TS3",IF(OR(LEFT(Sample!A241,1)="T",LEFT(Sample!A241,1)="B"),"TS24",IF(LEFT(Sample!A241,2)="CR","CARRIER9",IF(LEFT(Sample!A241,4)="DEL3","NIPTDEL3",Sample!A241))))))</f>
        <v>0</v>
      </c>
      <c r="O243" t="str">
        <f xml:space="preserve"> SUBSTITUTE( SUBSTITUTE( SUBSTITUTE( SUBSTITUTE( SUBSTITUTE( SUBSTITUTE( SUBSTITUTE( SUBSTITUTE( SampleImport!I243, "A", 1), "C", 2), "G", 3),"T", 4), 1, "T"), 2, "G"), 3, "C"), 4, "A")</f>
        <v/>
      </c>
    </row>
    <row r="244" spans="1:15" x14ac:dyDescent="0.35">
      <c r="A244" t="str">
        <f>Sample!B242&amp;"-"&amp;Sample!C242</f>
        <v>-</v>
      </c>
      <c r="B244" t="str">
        <f>Sample!B242&amp;"-"&amp;Sample!C242</f>
        <v>-</v>
      </c>
      <c r="C244">
        <f>Sample!A242</f>
        <v>0</v>
      </c>
      <c r="F244">
        <f>Sample!K242</f>
        <v>0</v>
      </c>
      <c r="G244" t="e">
        <f>VLOOKUP(F244,'Index Sequence'!$A$2:$B$9808,2,FALSE)</f>
        <v>#N/A</v>
      </c>
      <c r="H244">
        <f>Sample!L242</f>
        <v>0</v>
      </c>
      <c r="I244" t="str">
        <f t="shared" si="3"/>
        <v/>
      </c>
      <c r="K244">
        <f>IF(AND(OR(LEFT(Sample!A242,1)="E",LEFT(Sample!A242,1)="H"),OR(LEFT(Sample!C242,2)="JI",LEFT(Sample!C242,1)="I")),"TS1",IF(AND(OR(LEFT(Sample!A242,1)="E",LEFT(Sample!A242,1)="H"),OR(LEFT(Sample!C242,2)="JX",LEFT(Sample!C242,1)="W",LEFT(Sample!C242,1)="X")),"TS95",IF(AND(OR(LEFT(Sample!A242,1)="E",LEFT(Sample!A242,1)="H"),OR(LEFT(Sample!C242,2)="JN",LEFT(Sample!C242,1)="N")),"TS3",IF(OR(LEFT(Sample!A242,1)="T",LEFT(Sample!A242,1)="B"),"TS24",IF(LEFT(Sample!A242,2)="CR","CARRIER9",IF(LEFT(Sample!A242,4)="DEL3","NIPTDEL3",Sample!A242))))))</f>
        <v>0</v>
      </c>
      <c r="O244" t="str">
        <f xml:space="preserve"> SUBSTITUTE( SUBSTITUTE( SUBSTITUTE( SUBSTITUTE( SUBSTITUTE( SUBSTITUTE( SUBSTITUTE( SUBSTITUTE( SampleImport!I244, "A", 1), "C", 2), "G", 3),"T", 4), 1, "T"), 2, "G"), 3, "C"), 4, "A")</f>
        <v/>
      </c>
    </row>
    <row r="245" spans="1:15" x14ac:dyDescent="0.35">
      <c r="A245" t="str">
        <f>Sample!B243&amp;"-"&amp;Sample!C243</f>
        <v>-</v>
      </c>
      <c r="B245" t="str">
        <f>Sample!B243&amp;"-"&amp;Sample!C243</f>
        <v>-</v>
      </c>
      <c r="C245">
        <f>Sample!A243</f>
        <v>0</v>
      </c>
      <c r="F245">
        <f>Sample!K243</f>
        <v>0</v>
      </c>
      <c r="G245" t="e">
        <f>VLOOKUP(F245,'Index Sequence'!$A$2:$B$9808,2,FALSE)</f>
        <v>#N/A</v>
      </c>
      <c r="H245">
        <f>Sample!L243</f>
        <v>0</v>
      </c>
      <c r="I245" t="str">
        <f t="shared" si="3"/>
        <v/>
      </c>
      <c r="K245">
        <f>IF(AND(OR(LEFT(Sample!A243,1)="E",LEFT(Sample!A243,1)="H"),OR(LEFT(Sample!C243,2)="JI",LEFT(Sample!C243,1)="I")),"TS1",IF(AND(OR(LEFT(Sample!A243,1)="E",LEFT(Sample!A243,1)="H"),OR(LEFT(Sample!C243,2)="JX",LEFT(Sample!C243,1)="W",LEFT(Sample!C243,1)="X")),"TS95",IF(AND(OR(LEFT(Sample!A243,1)="E",LEFT(Sample!A243,1)="H"),OR(LEFT(Sample!C243,2)="JN",LEFT(Sample!C243,1)="N")),"TS3",IF(OR(LEFT(Sample!A243,1)="T",LEFT(Sample!A243,1)="B"),"TS24",IF(LEFT(Sample!A243,2)="CR","CARRIER9",IF(LEFT(Sample!A243,4)="DEL3","NIPTDEL3",Sample!A243))))))</f>
        <v>0</v>
      </c>
      <c r="O245" t="str">
        <f xml:space="preserve"> SUBSTITUTE( SUBSTITUTE( SUBSTITUTE( SUBSTITUTE( SUBSTITUTE( SUBSTITUTE( SUBSTITUTE( SUBSTITUTE( SampleImport!I245, "A", 1), "C", 2), "G", 3),"T", 4), 1, "T"), 2, "G"), 3, "C"), 4, "A")</f>
        <v/>
      </c>
    </row>
    <row r="246" spans="1:15" x14ac:dyDescent="0.35">
      <c r="A246" t="str">
        <f>Sample!B244&amp;"-"&amp;Sample!C244</f>
        <v>-</v>
      </c>
      <c r="B246" t="str">
        <f>Sample!B244&amp;"-"&amp;Sample!C244</f>
        <v>-</v>
      </c>
      <c r="C246">
        <f>Sample!A244</f>
        <v>0</v>
      </c>
      <c r="F246">
        <f>Sample!K244</f>
        <v>0</v>
      </c>
      <c r="G246" t="e">
        <f>VLOOKUP(F246,'Index Sequence'!$A$2:$B$9808,2,FALSE)</f>
        <v>#N/A</v>
      </c>
      <c r="H246">
        <f>Sample!L244</f>
        <v>0</v>
      </c>
      <c r="I246" t="str">
        <f t="shared" si="3"/>
        <v/>
      </c>
      <c r="K246">
        <f>IF(AND(OR(LEFT(Sample!A244,1)="E",LEFT(Sample!A244,1)="H"),OR(LEFT(Sample!C244,2)="JI",LEFT(Sample!C244,1)="I")),"TS1",IF(AND(OR(LEFT(Sample!A244,1)="E",LEFT(Sample!A244,1)="H"),OR(LEFT(Sample!C244,2)="JX",LEFT(Sample!C244,1)="W",LEFT(Sample!C244,1)="X")),"TS95",IF(AND(OR(LEFT(Sample!A244,1)="E",LEFT(Sample!A244,1)="H"),OR(LEFT(Sample!C244,2)="JN",LEFT(Sample!C244,1)="N")),"TS3",IF(OR(LEFT(Sample!A244,1)="T",LEFT(Sample!A244,1)="B"),"TS24",IF(LEFT(Sample!A244,2)="CR","CARRIER9",IF(LEFT(Sample!A244,4)="DEL3","NIPTDEL3",Sample!A244))))))</f>
        <v>0</v>
      </c>
      <c r="O246" t="str">
        <f xml:space="preserve"> SUBSTITUTE( SUBSTITUTE( SUBSTITUTE( SUBSTITUTE( SUBSTITUTE( SUBSTITUTE( SUBSTITUTE( SUBSTITUTE( SampleImport!I246, "A", 1), "C", 2), "G", 3),"T", 4), 1, "T"), 2, "G"), 3, "C"), 4, "A")</f>
        <v/>
      </c>
    </row>
    <row r="247" spans="1:15" x14ac:dyDescent="0.35">
      <c r="A247" t="str">
        <f>Sample!B245&amp;"-"&amp;Sample!C245</f>
        <v>-</v>
      </c>
      <c r="B247" t="str">
        <f>Sample!B245&amp;"-"&amp;Sample!C245</f>
        <v>-</v>
      </c>
      <c r="C247">
        <f>Sample!A245</f>
        <v>0</v>
      </c>
      <c r="F247">
        <f>Sample!K245</f>
        <v>0</v>
      </c>
      <c r="G247" t="e">
        <f>VLOOKUP(F247,'Index Sequence'!$A$2:$B$9808,2,FALSE)</f>
        <v>#N/A</v>
      </c>
      <c r="H247">
        <f>Sample!L245</f>
        <v>0</v>
      </c>
      <c r="I247" t="str">
        <f t="shared" si="3"/>
        <v/>
      </c>
      <c r="K247">
        <f>IF(AND(OR(LEFT(Sample!A245,1)="E",LEFT(Sample!A245,1)="H"),OR(LEFT(Sample!C245,2)="JI",LEFT(Sample!C245,1)="I")),"TS1",IF(AND(OR(LEFT(Sample!A245,1)="E",LEFT(Sample!A245,1)="H"),OR(LEFT(Sample!C245,2)="JX",LEFT(Sample!C245,1)="W",LEFT(Sample!C245,1)="X")),"TS95",IF(AND(OR(LEFT(Sample!A245,1)="E",LEFT(Sample!A245,1)="H"),OR(LEFT(Sample!C245,2)="JN",LEFT(Sample!C245,1)="N")),"TS3",IF(OR(LEFT(Sample!A245,1)="T",LEFT(Sample!A245,1)="B"),"TS24",IF(LEFT(Sample!A245,2)="CR","CARRIER9",IF(LEFT(Sample!A245,4)="DEL3","NIPTDEL3",Sample!A245))))))</f>
        <v>0</v>
      </c>
      <c r="O247" t="str">
        <f xml:space="preserve"> SUBSTITUTE( SUBSTITUTE( SUBSTITUTE( SUBSTITUTE( SUBSTITUTE( SUBSTITUTE( SUBSTITUTE( SUBSTITUTE( SampleImport!I247, "A", 1), "C", 2), "G", 3),"T", 4), 1, "T"), 2, "G"), 3, "C"), 4, "A")</f>
        <v/>
      </c>
    </row>
    <row r="248" spans="1:15" x14ac:dyDescent="0.35">
      <c r="A248" t="str">
        <f>Sample!B246&amp;"-"&amp;Sample!C246</f>
        <v>-</v>
      </c>
      <c r="B248" t="str">
        <f>Sample!B246&amp;"-"&amp;Sample!C246</f>
        <v>-</v>
      </c>
      <c r="C248">
        <f>Sample!A246</f>
        <v>0</v>
      </c>
      <c r="F248">
        <f>Sample!K246</f>
        <v>0</v>
      </c>
      <c r="G248" t="e">
        <f>VLOOKUP(F248,'Index Sequence'!$A$2:$B$9808,2,FALSE)</f>
        <v>#N/A</v>
      </c>
      <c r="H248">
        <f>Sample!L246</f>
        <v>0</v>
      </c>
      <c r="I248" t="str">
        <f t="shared" si="3"/>
        <v/>
      </c>
      <c r="K248">
        <f>IF(AND(OR(LEFT(Sample!A246,1)="E",LEFT(Sample!A246,1)="H"),OR(LEFT(Sample!C246,2)="JI",LEFT(Sample!C246,1)="I")),"TS1",IF(AND(OR(LEFT(Sample!A246,1)="E",LEFT(Sample!A246,1)="H"),OR(LEFT(Sample!C246,2)="JX",LEFT(Sample!C246,1)="W",LEFT(Sample!C246,1)="X")),"TS95",IF(AND(OR(LEFT(Sample!A246,1)="E",LEFT(Sample!A246,1)="H"),OR(LEFT(Sample!C246,2)="JN",LEFT(Sample!C246,1)="N")),"TS3",IF(OR(LEFT(Sample!A246,1)="T",LEFT(Sample!A246,1)="B"),"TS24",IF(LEFT(Sample!A246,2)="CR","CARRIER9",IF(LEFT(Sample!A246,4)="DEL3","NIPTDEL3",Sample!A246))))))</f>
        <v>0</v>
      </c>
      <c r="O248" t="str">
        <f xml:space="preserve"> SUBSTITUTE( SUBSTITUTE( SUBSTITUTE( SUBSTITUTE( SUBSTITUTE( SUBSTITUTE( SUBSTITUTE( SUBSTITUTE( SampleImport!I248, "A", 1), "C", 2), "G", 3),"T", 4), 1, "T"), 2, "G"), 3, "C"), 4, "A")</f>
        <v/>
      </c>
    </row>
    <row r="249" spans="1:15" x14ac:dyDescent="0.35">
      <c r="A249" t="str">
        <f>Sample!B247&amp;"-"&amp;Sample!C247</f>
        <v>-</v>
      </c>
      <c r="B249" t="str">
        <f>Sample!B247&amp;"-"&amp;Sample!C247</f>
        <v>-</v>
      </c>
      <c r="C249">
        <f>Sample!A247</f>
        <v>0</v>
      </c>
      <c r="F249">
        <f>Sample!K247</f>
        <v>0</v>
      </c>
      <c r="G249" t="e">
        <f>VLOOKUP(F249,'Index Sequence'!$A$2:$B$9808,2,FALSE)</f>
        <v>#N/A</v>
      </c>
      <c r="H249">
        <f>Sample!L247</f>
        <v>0</v>
      </c>
      <c r="I249" t="str">
        <f t="shared" si="3"/>
        <v/>
      </c>
      <c r="K249">
        <f>IF(AND(OR(LEFT(Sample!A247,1)="E",LEFT(Sample!A247,1)="H"),OR(LEFT(Sample!C247,2)="JI",LEFT(Sample!C247,1)="I")),"TS1",IF(AND(OR(LEFT(Sample!A247,1)="E",LEFT(Sample!A247,1)="H"),OR(LEFT(Sample!C247,2)="JX",LEFT(Sample!C247,1)="W",LEFT(Sample!C247,1)="X")),"TS95",IF(AND(OR(LEFT(Sample!A247,1)="E",LEFT(Sample!A247,1)="H"),OR(LEFT(Sample!C247,2)="JN",LEFT(Sample!C247,1)="N")),"TS3",IF(OR(LEFT(Sample!A247,1)="T",LEFT(Sample!A247,1)="B"),"TS24",IF(LEFT(Sample!A247,2)="CR","CARRIER9",IF(LEFT(Sample!A247,4)="DEL3","NIPTDEL3",Sample!A247))))))</f>
        <v>0</v>
      </c>
      <c r="O249" t="str">
        <f xml:space="preserve"> SUBSTITUTE( SUBSTITUTE( SUBSTITUTE( SUBSTITUTE( SUBSTITUTE( SUBSTITUTE( SUBSTITUTE( SUBSTITUTE( SampleImport!I249, "A", 1), "C", 2), "G", 3),"T", 4), 1, "T"), 2, "G"), 3, "C"), 4, "A")</f>
        <v/>
      </c>
    </row>
    <row r="250" spans="1:15" x14ac:dyDescent="0.35">
      <c r="A250" t="str">
        <f>Sample!B248&amp;"-"&amp;Sample!C248</f>
        <v>-</v>
      </c>
      <c r="B250" t="str">
        <f>Sample!B248&amp;"-"&amp;Sample!C248</f>
        <v>-</v>
      </c>
      <c r="C250">
        <f>Sample!A248</f>
        <v>0</v>
      </c>
      <c r="F250">
        <f>Sample!K248</f>
        <v>0</v>
      </c>
      <c r="G250" t="e">
        <f>VLOOKUP(F250,'Index Sequence'!$A$2:$B$9808,2,FALSE)</f>
        <v>#N/A</v>
      </c>
      <c r="H250">
        <f>Sample!L248</f>
        <v>0</v>
      </c>
      <c r="I250" t="str">
        <f t="shared" si="3"/>
        <v/>
      </c>
      <c r="K250">
        <f>IF(AND(OR(LEFT(Sample!A248,1)="E",LEFT(Sample!A248,1)="H"),OR(LEFT(Sample!C248,2)="JI",LEFT(Sample!C248,1)="I")),"TS1",IF(AND(OR(LEFT(Sample!A248,1)="E",LEFT(Sample!A248,1)="H"),OR(LEFT(Sample!C248,2)="JX",LEFT(Sample!C248,1)="W",LEFT(Sample!C248,1)="X")),"TS95",IF(AND(OR(LEFT(Sample!A248,1)="E",LEFT(Sample!A248,1)="H"),OR(LEFT(Sample!C248,2)="JN",LEFT(Sample!C248,1)="N")),"TS3",IF(OR(LEFT(Sample!A248,1)="T",LEFT(Sample!A248,1)="B"),"TS24",IF(LEFT(Sample!A248,2)="CR","CARRIER9",IF(LEFT(Sample!A248,4)="DEL3","NIPTDEL3",Sample!A248))))))</f>
        <v>0</v>
      </c>
      <c r="O250" t="str">
        <f xml:space="preserve"> SUBSTITUTE( SUBSTITUTE( SUBSTITUTE( SUBSTITUTE( SUBSTITUTE( SUBSTITUTE( SUBSTITUTE( SUBSTITUTE( SampleImport!I250, "A", 1), "C", 2), "G", 3),"T", 4), 1, "T"), 2, "G"), 3, "C"), 4, "A")</f>
        <v/>
      </c>
    </row>
    <row r="251" spans="1:15" x14ac:dyDescent="0.35">
      <c r="A251" t="str">
        <f>Sample!B249&amp;"-"&amp;Sample!C249</f>
        <v>-</v>
      </c>
      <c r="B251" t="str">
        <f>Sample!B249&amp;"-"&amp;Sample!C249</f>
        <v>-</v>
      </c>
      <c r="C251">
        <f>Sample!A249</f>
        <v>0</v>
      </c>
      <c r="F251">
        <f>Sample!K249</f>
        <v>0</v>
      </c>
      <c r="G251" t="e">
        <f>VLOOKUP(F251,'Index Sequence'!$A$2:$B$9808,2,FALSE)</f>
        <v>#N/A</v>
      </c>
      <c r="H251">
        <f>Sample!L249</f>
        <v>0</v>
      </c>
      <c r="I251" t="str">
        <f t="shared" si="3"/>
        <v/>
      </c>
      <c r="K251">
        <f>IF(AND(OR(LEFT(Sample!A249,1)="E",LEFT(Sample!A249,1)="H"),OR(LEFT(Sample!C249,2)="JI",LEFT(Sample!C249,1)="I")),"TS1",IF(AND(OR(LEFT(Sample!A249,1)="E",LEFT(Sample!A249,1)="H"),OR(LEFT(Sample!C249,2)="JX",LEFT(Sample!C249,1)="W",LEFT(Sample!C249,1)="X")),"TS95",IF(AND(OR(LEFT(Sample!A249,1)="E",LEFT(Sample!A249,1)="H"),OR(LEFT(Sample!C249,2)="JN",LEFT(Sample!C249,1)="N")),"TS3",IF(OR(LEFT(Sample!A249,1)="T",LEFT(Sample!A249,1)="B"),"TS24",IF(LEFT(Sample!A249,2)="CR","CARRIER9",IF(LEFT(Sample!A249,4)="DEL3","NIPTDEL3",Sample!A249))))))</f>
        <v>0</v>
      </c>
      <c r="O251" t="str">
        <f xml:space="preserve"> SUBSTITUTE( SUBSTITUTE( SUBSTITUTE( SUBSTITUTE( SUBSTITUTE( SUBSTITUTE( SUBSTITUTE( SUBSTITUTE( SampleImport!I251, "A", 1), "C", 2), "G", 3),"T", 4), 1, "T"), 2, "G"), 3, "C"), 4, "A")</f>
        <v/>
      </c>
    </row>
    <row r="252" spans="1:15" x14ac:dyDescent="0.35">
      <c r="A252" t="str">
        <f>Sample!B250&amp;"-"&amp;Sample!C250</f>
        <v>-</v>
      </c>
      <c r="B252" t="str">
        <f>Sample!B250&amp;"-"&amp;Sample!C250</f>
        <v>-</v>
      </c>
      <c r="C252">
        <f>Sample!A250</f>
        <v>0</v>
      </c>
      <c r="F252">
        <f>Sample!K250</f>
        <v>0</v>
      </c>
      <c r="G252" t="e">
        <f>VLOOKUP(F252,'Index Sequence'!$A$2:$B$9808,2,FALSE)</f>
        <v>#N/A</v>
      </c>
      <c r="H252">
        <f>Sample!L250</f>
        <v>0</v>
      </c>
      <c r="I252" t="str">
        <f t="shared" si="3"/>
        <v/>
      </c>
      <c r="K252">
        <f>IF(AND(OR(LEFT(Sample!A250,1)="E",LEFT(Sample!A250,1)="H"),OR(LEFT(Sample!C250,2)="JI",LEFT(Sample!C250,1)="I")),"TS1",IF(AND(OR(LEFT(Sample!A250,1)="E",LEFT(Sample!A250,1)="H"),OR(LEFT(Sample!C250,2)="JX",LEFT(Sample!C250,1)="W",LEFT(Sample!C250,1)="X")),"TS95",IF(AND(OR(LEFT(Sample!A250,1)="E",LEFT(Sample!A250,1)="H"),OR(LEFT(Sample!C250,2)="JN",LEFT(Sample!C250,1)="N")),"TS3",IF(OR(LEFT(Sample!A250,1)="T",LEFT(Sample!A250,1)="B"),"TS24",IF(LEFT(Sample!A250,2)="CR","CARRIER9",IF(LEFT(Sample!A250,4)="DEL3","NIPTDEL3",Sample!A250))))))</f>
        <v>0</v>
      </c>
      <c r="O252" t="str">
        <f xml:space="preserve"> SUBSTITUTE( SUBSTITUTE( SUBSTITUTE( SUBSTITUTE( SUBSTITUTE( SUBSTITUTE( SUBSTITUTE( SUBSTITUTE( SampleImport!I252, "A", 1), "C", 2), "G", 3),"T", 4), 1, "T"), 2, "G"), 3, "C"), 4, "A")</f>
        <v/>
      </c>
    </row>
    <row r="253" spans="1:15" x14ac:dyDescent="0.35">
      <c r="A253" t="str">
        <f>Sample!B251&amp;"-"&amp;Sample!C251</f>
        <v>-</v>
      </c>
      <c r="B253" t="str">
        <f>Sample!B251&amp;"-"&amp;Sample!C251</f>
        <v>-</v>
      </c>
      <c r="C253">
        <f>Sample!A251</f>
        <v>0</v>
      </c>
      <c r="F253">
        <f>Sample!K251</f>
        <v>0</v>
      </c>
      <c r="G253" t="e">
        <f>VLOOKUP(F253,'Index Sequence'!$A$2:$B$9808,2,FALSE)</f>
        <v>#N/A</v>
      </c>
      <c r="H253">
        <f>Sample!L251</f>
        <v>0</v>
      </c>
      <c r="I253" t="str">
        <f t="shared" si="3"/>
        <v/>
      </c>
      <c r="K253">
        <f>IF(AND(OR(LEFT(Sample!A251,1)="E",LEFT(Sample!A251,1)="H"),OR(LEFT(Sample!C251,2)="JI",LEFT(Sample!C251,1)="I")),"TS1",IF(AND(OR(LEFT(Sample!A251,1)="E",LEFT(Sample!A251,1)="H"),OR(LEFT(Sample!C251,2)="JX",LEFT(Sample!C251,1)="W",LEFT(Sample!C251,1)="X")),"TS95",IF(AND(OR(LEFT(Sample!A251,1)="E",LEFT(Sample!A251,1)="H"),OR(LEFT(Sample!C251,2)="JN",LEFT(Sample!C251,1)="N")),"TS3",IF(OR(LEFT(Sample!A251,1)="T",LEFT(Sample!A251,1)="B"),"TS24",IF(LEFT(Sample!A251,2)="CR","CARRIER9",IF(LEFT(Sample!A251,4)="DEL3","NIPTDEL3",Sample!A251))))))</f>
        <v>0</v>
      </c>
      <c r="O253" t="str">
        <f xml:space="preserve"> SUBSTITUTE( SUBSTITUTE( SUBSTITUTE( SUBSTITUTE( SUBSTITUTE( SUBSTITUTE( SUBSTITUTE( SUBSTITUTE( SampleImport!I253, "A", 1), "C", 2), "G", 3),"T", 4), 1, "T"), 2, "G"), 3, "C"), 4, "A")</f>
        <v/>
      </c>
    </row>
    <row r="254" spans="1:15" x14ac:dyDescent="0.35">
      <c r="A254" t="str">
        <f>Sample!B252&amp;"-"&amp;Sample!C252</f>
        <v>-</v>
      </c>
      <c r="B254" t="str">
        <f>Sample!B252&amp;"-"&amp;Sample!C252</f>
        <v>-</v>
      </c>
      <c r="C254">
        <f>Sample!A252</f>
        <v>0</v>
      </c>
      <c r="F254">
        <f>Sample!K252</f>
        <v>0</v>
      </c>
      <c r="G254" t="e">
        <f>VLOOKUP(F254,'Index Sequence'!$A$2:$B$9808,2,FALSE)</f>
        <v>#N/A</v>
      </c>
      <c r="H254">
        <f>Sample!L252</f>
        <v>0</v>
      </c>
      <c r="I254" t="str">
        <f t="shared" si="3"/>
        <v/>
      </c>
      <c r="K254">
        <f>IF(AND(OR(LEFT(Sample!A252,1)="E",LEFT(Sample!A252,1)="H"),OR(LEFT(Sample!C252,2)="JI",LEFT(Sample!C252,1)="I")),"TS1",IF(AND(OR(LEFT(Sample!A252,1)="E",LEFT(Sample!A252,1)="H"),OR(LEFT(Sample!C252,2)="JX",LEFT(Sample!C252,1)="W",LEFT(Sample!C252,1)="X")),"TS95",IF(AND(OR(LEFT(Sample!A252,1)="E",LEFT(Sample!A252,1)="H"),OR(LEFT(Sample!C252,2)="JN",LEFT(Sample!C252,1)="N")),"TS3",IF(OR(LEFT(Sample!A252,1)="T",LEFT(Sample!A252,1)="B"),"TS24",IF(LEFT(Sample!A252,2)="CR","CARRIER9",IF(LEFT(Sample!A252,4)="DEL3","NIPTDEL3",Sample!A252))))))</f>
        <v>0</v>
      </c>
      <c r="O254" t="str">
        <f xml:space="preserve"> SUBSTITUTE( SUBSTITUTE( SUBSTITUTE( SUBSTITUTE( SUBSTITUTE( SUBSTITUTE( SUBSTITUTE( SUBSTITUTE( SampleImport!I254, "A", 1), "C", 2), "G", 3),"T", 4), 1, "T"), 2, "G"), 3, "C"), 4, "A")</f>
        <v/>
      </c>
    </row>
    <row r="255" spans="1:15" x14ac:dyDescent="0.35">
      <c r="A255" t="str">
        <f>Sample!B253&amp;"-"&amp;Sample!C253</f>
        <v>-</v>
      </c>
      <c r="B255" t="str">
        <f>Sample!B253&amp;"-"&amp;Sample!C253</f>
        <v>-</v>
      </c>
      <c r="C255">
        <f>Sample!A253</f>
        <v>0</v>
      </c>
      <c r="F255">
        <f>Sample!K253</f>
        <v>0</v>
      </c>
      <c r="G255" t="e">
        <f>VLOOKUP(F255,'Index Sequence'!$A$2:$B$9808,2,FALSE)</f>
        <v>#N/A</v>
      </c>
      <c r="H255">
        <f>Sample!L253</f>
        <v>0</v>
      </c>
      <c r="I255" t="str">
        <f t="shared" si="3"/>
        <v/>
      </c>
      <c r="K255">
        <f>IF(AND(OR(LEFT(Sample!A253,1)="E",LEFT(Sample!A253,1)="H"),OR(LEFT(Sample!C253,2)="JI",LEFT(Sample!C253,1)="I")),"TS1",IF(AND(OR(LEFT(Sample!A253,1)="E",LEFT(Sample!A253,1)="H"),OR(LEFT(Sample!C253,2)="JX",LEFT(Sample!C253,1)="W",LEFT(Sample!C253,1)="X")),"TS95",IF(AND(OR(LEFT(Sample!A253,1)="E",LEFT(Sample!A253,1)="H"),OR(LEFT(Sample!C253,2)="JN",LEFT(Sample!C253,1)="N")),"TS3",IF(OR(LEFT(Sample!A253,1)="T",LEFT(Sample!A253,1)="B"),"TS24",IF(LEFT(Sample!A253,2)="CR","CARRIER9",IF(LEFT(Sample!A253,4)="DEL3","NIPTDEL3",Sample!A253))))))</f>
        <v>0</v>
      </c>
      <c r="O255" t="str">
        <f xml:space="preserve"> SUBSTITUTE( SUBSTITUTE( SUBSTITUTE( SUBSTITUTE( SUBSTITUTE( SUBSTITUTE( SUBSTITUTE( SUBSTITUTE( SampleImport!I255, "A", 1), "C", 2), "G", 3),"T", 4), 1, "T"), 2, "G"), 3, "C"), 4, "A")</f>
        <v/>
      </c>
    </row>
    <row r="256" spans="1:15" x14ac:dyDescent="0.35">
      <c r="A256" t="str">
        <f>Sample!B254&amp;"-"&amp;Sample!C254</f>
        <v>-</v>
      </c>
      <c r="B256" t="str">
        <f>Sample!B254&amp;"-"&amp;Sample!C254</f>
        <v>-</v>
      </c>
      <c r="C256">
        <f>Sample!A254</f>
        <v>0</v>
      </c>
      <c r="F256">
        <f>Sample!K254</f>
        <v>0</v>
      </c>
      <c r="G256" t="e">
        <f>VLOOKUP(F256,'Index Sequence'!$A$2:$B$9808,2,FALSE)</f>
        <v>#N/A</v>
      </c>
      <c r="H256">
        <f>Sample!L254</f>
        <v>0</v>
      </c>
      <c r="I256" t="str">
        <f t="shared" si="3"/>
        <v/>
      </c>
      <c r="K256">
        <f>IF(AND(OR(LEFT(Sample!A254,1)="E",LEFT(Sample!A254,1)="H"),OR(LEFT(Sample!C254,2)="JI",LEFT(Sample!C254,1)="I")),"TS1",IF(AND(OR(LEFT(Sample!A254,1)="E",LEFT(Sample!A254,1)="H"),OR(LEFT(Sample!C254,2)="JX",LEFT(Sample!C254,1)="W",LEFT(Sample!C254,1)="X")),"TS95",IF(AND(OR(LEFT(Sample!A254,1)="E",LEFT(Sample!A254,1)="H"),OR(LEFT(Sample!C254,2)="JN",LEFT(Sample!C254,1)="N")),"TS3",IF(OR(LEFT(Sample!A254,1)="T",LEFT(Sample!A254,1)="B"),"TS24",IF(LEFT(Sample!A254,2)="CR","CARRIER9",IF(LEFT(Sample!A254,4)="DEL3","NIPTDEL3",Sample!A254))))))</f>
        <v>0</v>
      </c>
      <c r="O256" t="str">
        <f xml:space="preserve"> SUBSTITUTE( SUBSTITUTE( SUBSTITUTE( SUBSTITUTE( SUBSTITUTE( SUBSTITUTE( SUBSTITUTE( SUBSTITUTE( SampleImport!I256, "A", 1), "C", 2), "G", 3),"T", 4), 1, "T"), 2, "G"), 3, "C"), 4, "A")</f>
        <v/>
      </c>
    </row>
    <row r="257" spans="1:15" x14ac:dyDescent="0.35">
      <c r="A257" t="str">
        <f>Sample!B255&amp;"-"&amp;Sample!C255</f>
        <v>-</v>
      </c>
      <c r="B257" t="str">
        <f>Sample!B255&amp;"-"&amp;Sample!C255</f>
        <v>-</v>
      </c>
      <c r="C257">
        <f>Sample!A255</f>
        <v>0</v>
      </c>
      <c r="F257">
        <f>Sample!K255</f>
        <v>0</v>
      </c>
      <c r="G257" t="e">
        <f>VLOOKUP(F257,'Index Sequence'!$A$2:$B$9808,2,FALSE)</f>
        <v>#N/A</v>
      </c>
      <c r="H257">
        <f>Sample!L255</f>
        <v>0</v>
      </c>
      <c r="I257" t="str">
        <f t="shared" si="3"/>
        <v/>
      </c>
      <c r="K257">
        <f>IF(AND(OR(LEFT(Sample!A255,1)="E",LEFT(Sample!A255,1)="H"),OR(LEFT(Sample!C255,2)="JI",LEFT(Sample!C255,1)="I")),"TS1",IF(AND(OR(LEFT(Sample!A255,1)="E",LEFT(Sample!A255,1)="H"),OR(LEFT(Sample!C255,2)="JX",LEFT(Sample!C255,1)="W",LEFT(Sample!C255,1)="X")),"TS95",IF(AND(OR(LEFT(Sample!A255,1)="E",LEFT(Sample!A255,1)="H"),OR(LEFT(Sample!C255,2)="JN",LEFT(Sample!C255,1)="N")),"TS3",IF(OR(LEFT(Sample!A255,1)="T",LEFT(Sample!A255,1)="B"),"TS24",IF(LEFT(Sample!A255,2)="CR","CARRIER9",IF(LEFT(Sample!A255,4)="DEL3","NIPTDEL3",Sample!A255))))))</f>
        <v>0</v>
      </c>
      <c r="O257" t="str">
        <f xml:space="preserve"> SUBSTITUTE( SUBSTITUTE( SUBSTITUTE( SUBSTITUTE( SUBSTITUTE( SUBSTITUTE( SUBSTITUTE( SUBSTITUTE( SampleImport!I257, "A", 1), "C", 2), "G", 3),"T", 4), 1, "T"), 2, "G"), 3, "C"), 4, "A")</f>
        <v/>
      </c>
    </row>
    <row r="258" spans="1:15" x14ac:dyDescent="0.35">
      <c r="A258" t="str">
        <f>Sample!B256&amp;"-"&amp;Sample!C256</f>
        <v>-</v>
      </c>
      <c r="B258" t="str">
        <f>Sample!B256&amp;"-"&amp;Sample!C256</f>
        <v>-</v>
      </c>
      <c r="C258">
        <f>Sample!A256</f>
        <v>0</v>
      </c>
      <c r="F258">
        <f>Sample!K256</f>
        <v>0</v>
      </c>
      <c r="G258" t="e">
        <f>VLOOKUP(F258,'Index Sequence'!$A$2:$B$9808,2,FALSE)</f>
        <v>#N/A</v>
      </c>
      <c r="H258">
        <f>Sample!L256</f>
        <v>0</v>
      </c>
      <c r="I258" t="str">
        <f t="shared" si="3"/>
        <v/>
      </c>
      <c r="K258">
        <f>IF(AND(OR(LEFT(Sample!A256,1)="E",LEFT(Sample!A256,1)="H"),OR(LEFT(Sample!C256,2)="JI",LEFT(Sample!C256,1)="I")),"TS1",IF(AND(OR(LEFT(Sample!A256,1)="E",LEFT(Sample!A256,1)="H"),OR(LEFT(Sample!C256,2)="JX",LEFT(Sample!C256,1)="W",LEFT(Sample!C256,1)="X")),"TS95",IF(AND(OR(LEFT(Sample!A256,1)="E",LEFT(Sample!A256,1)="H"),OR(LEFT(Sample!C256,2)="JN",LEFT(Sample!C256,1)="N")),"TS3",IF(OR(LEFT(Sample!A256,1)="T",LEFT(Sample!A256,1)="B"),"TS24",IF(LEFT(Sample!A256,2)="CR","CARRIER9",IF(LEFT(Sample!A256,4)="DEL3","NIPTDEL3",Sample!A256))))))</f>
        <v>0</v>
      </c>
      <c r="O258" t="str">
        <f xml:space="preserve"> SUBSTITUTE( SUBSTITUTE( SUBSTITUTE( SUBSTITUTE( SUBSTITUTE( SUBSTITUTE( SUBSTITUTE( SUBSTITUTE( SampleImport!I258, "A", 1), "C", 2), "G", 3),"T", 4), 1, "T"), 2, "G"), 3, "C"), 4, "A")</f>
        <v/>
      </c>
    </row>
    <row r="259" spans="1:15" x14ac:dyDescent="0.35">
      <c r="A259" t="str">
        <f>Sample!B257&amp;"-"&amp;Sample!C257</f>
        <v>-</v>
      </c>
      <c r="B259" t="str">
        <f>Sample!B257&amp;"-"&amp;Sample!C257</f>
        <v>-</v>
      </c>
      <c r="C259">
        <f>Sample!A257</f>
        <v>0</v>
      </c>
      <c r="F259">
        <f>Sample!K257</f>
        <v>0</v>
      </c>
      <c r="G259" t="e">
        <f>VLOOKUP(F259,'Index Sequence'!$A$2:$B$9808,2,FALSE)</f>
        <v>#N/A</v>
      </c>
      <c r="H259">
        <f>Sample!L257</f>
        <v>0</v>
      </c>
      <c r="I259" t="str">
        <f t="shared" si="3"/>
        <v/>
      </c>
      <c r="K259">
        <f>IF(AND(OR(LEFT(Sample!A257,1)="E",LEFT(Sample!A257,1)="H"),OR(LEFT(Sample!C257,2)="JI",LEFT(Sample!C257,1)="I")),"TS1",IF(AND(OR(LEFT(Sample!A257,1)="E",LEFT(Sample!A257,1)="H"),OR(LEFT(Sample!C257,2)="JX",LEFT(Sample!C257,1)="W",LEFT(Sample!C257,1)="X")),"TS95",IF(AND(OR(LEFT(Sample!A257,1)="E",LEFT(Sample!A257,1)="H"),OR(LEFT(Sample!C257,2)="JN",LEFT(Sample!C257,1)="N")),"TS3",IF(OR(LEFT(Sample!A257,1)="T",LEFT(Sample!A257,1)="B"),"TS24",IF(LEFT(Sample!A257,2)="CR","CARRIER9",IF(LEFT(Sample!A257,4)="DEL3","NIPTDEL3",Sample!A257))))))</f>
        <v>0</v>
      </c>
      <c r="O259" t="str">
        <f xml:space="preserve"> SUBSTITUTE( SUBSTITUTE( SUBSTITUTE( SUBSTITUTE( SUBSTITUTE( SUBSTITUTE( SUBSTITUTE( SUBSTITUTE( SampleImport!I259, "A", 1), "C", 2), "G", 3),"T", 4), 1, "T"), 2, "G"), 3, "C"), 4, "A")</f>
        <v/>
      </c>
    </row>
    <row r="260" spans="1:15" x14ac:dyDescent="0.35">
      <c r="A260" t="str">
        <f>Sample!B258&amp;"-"&amp;Sample!C258</f>
        <v>-</v>
      </c>
      <c r="B260" t="str">
        <f>Sample!B258&amp;"-"&amp;Sample!C258</f>
        <v>-</v>
      </c>
      <c r="C260">
        <f>Sample!A258</f>
        <v>0</v>
      </c>
      <c r="F260">
        <f>Sample!K258</f>
        <v>0</v>
      </c>
      <c r="G260" t="e">
        <f>VLOOKUP(F260,'Index Sequence'!$A$2:$B$9808,2,FALSE)</f>
        <v>#N/A</v>
      </c>
      <c r="H260">
        <f>Sample!L258</f>
        <v>0</v>
      </c>
      <c r="I260" t="str">
        <f t="shared" si="3"/>
        <v/>
      </c>
      <c r="K260">
        <f>IF(AND(OR(LEFT(Sample!A258,1)="E",LEFT(Sample!A258,1)="H"),OR(LEFT(Sample!C258,2)="JI",LEFT(Sample!C258,1)="I")),"TS1",IF(AND(OR(LEFT(Sample!A258,1)="E",LEFT(Sample!A258,1)="H"),OR(LEFT(Sample!C258,2)="JX",LEFT(Sample!C258,1)="W",LEFT(Sample!C258,1)="X")),"TS95",IF(AND(OR(LEFT(Sample!A258,1)="E",LEFT(Sample!A258,1)="H"),OR(LEFT(Sample!C258,2)="JN",LEFT(Sample!C258,1)="N")),"TS3",IF(OR(LEFT(Sample!A258,1)="T",LEFT(Sample!A258,1)="B"),"TS24",IF(LEFT(Sample!A258,2)="CR","CARRIER9",IF(LEFT(Sample!A258,4)="DEL3","NIPTDEL3",Sample!A258))))))</f>
        <v>0</v>
      </c>
      <c r="O260" t="str">
        <f xml:space="preserve"> SUBSTITUTE( SUBSTITUTE( SUBSTITUTE( SUBSTITUTE( SUBSTITUTE( SUBSTITUTE( SUBSTITUTE( SUBSTITUTE( SampleImport!I260, "A", 1), "C", 2), "G", 3),"T", 4), 1, "T"), 2, "G"), 3, "C"), 4, "A")</f>
        <v/>
      </c>
    </row>
    <row r="261" spans="1:15" x14ac:dyDescent="0.35">
      <c r="A261" t="str">
        <f>Sample!B259&amp;"-"&amp;Sample!C259</f>
        <v>-</v>
      </c>
      <c r="B261" t="str">
        <f>Sample!B259&amp;"-"&amp;Sample!C259</f>
        <v>-</v>
      </c>
      <c r="C261">
        <f>Sample!A259</f>
        <v>0</v>
      </c>
      <c r="F261">
        <f>Sample!K259</f>
        <v>0</v>
      </c>
      <c r="G261" t="e">
        <f>VLOOKUP(F261,'Index Sequence'!$A$2:$B$9808,2,FALSE)</f>
        <v>#N/A</v>
      </c>
      <c r="H261">
        <f>Sample!L259</f>
        <v>0</v>
      </c>
      <c r="I261" t="str">
        <f t="shared" si="3"/>
        <v/>
      </c>
      <c r="K261">
        <f>IF(AND(OR(LEFT(Sample!A259,1)="E",LEFT(Sample!A259,1)="H"),OR(LEFT(Sample!C259,2)="JI",LEFT(Sample!C259,1)="I")),"TS1",IF(AND(OR(LEFT(Sample!A259,1)="E",LEFT(Sample!A259,1)="H"),OR(LEFT(Sample!C259,2)="JX",LEFT(Sample!C259,1)="W",LEFT(Sample!C259,1)="X")),"TS95",IF(AND(OR(LEFT(Sample!A259,1)="E",LEFT(Sample!A259,1)="H"),OR(LEFT(Sample!C259,2)="JN",LEFT(Sample!C259,1)="N")),"TS3",IF(OR(LEFT(Sample!A259,1)="T",LEFT(Sample!A259,1)="B"),"TS24",IF(LEFT(Sample!A259,2)="CR","CARRIER9",IF(LEFT(Sample!A259,4)="DEL3","NIPTDEL3",Sample!A259))))))</f>
        <v>0</v>
      </c>
      <c r="O261" t="str">
        <f xml:space="preserve"> SUBSTITUTE( SUBSTITUTE( SUBSTITUTE( SUBSTITUTE( SUBSTITUTE( SUBSTITUTE( SUBSTITUTE( SUBSTITUTE( SampleImport!I261, "A", 1), "C", 2), "G", 3),"T", 4), 1, "T"), 2, "G"), 3, "C"), 4, "A")</f>
        <v/>
      </c>
    </row>
    <row r="262" spans="1:15" x14ac:dyDescent="0.35">
      <c r="A262" t="str">
        <f>Sample!B260&amp;"-"&amp;Sample!C260</f>
        <v>-</v>
      </c>
      <c r="B262" t="str">
        <f>Sample!B260&amp;"-"&amp;Sample!C260</f>
        <v>-</v>
      </c>
      <c r="C262">
        <f>Sample!A260</f>
        <v>0</v>
      </c>
      <c r="F262">
        <f>Sample!K260</f>
        <v>0</v>
      </c>
      <c r="G262" t="e">
        <f>VLOOKUP(F262,'Index Sequence'!$A$2:$B$9808,2,FALSE)</f>
        <v>#N/A</v>
      </c>
      <c r="H262">
        <f>Sample!L260</f>
        <v>0</v>
      </c>
      <c r="I262" t="str">
        <f t="shared" si="3"/>
        <v/>
      </c>
      <c r="K262">
        <f>IF(AND(OR(LEFT(Sample!A260,1)="E",LEFT(Sample!A260,1)="H"),OR(LEFT(Sample!C260,2)="JI",LEFT(Sample!C260,1)="I")),"TS1",IF(AND(OR(LEFT(Sample!A260,1)="E",LEFT(Sample!A260,1)="H"),OR(LEFT(Sample!C260,2)="JX",LEFT(Sample!C260,1)="W",LEFT(Sample!C260,1)="X")),"TS95",IF(AND(OR(LEFT(Sample!A260,1)="E",LEFT(Sample!A260,1)="H"),OR(LEFT(Sample!C260,2)="JN",LEFT(Sample!C260,1)="N")),"TS3",IF(OR(LEFT(Sample!A260,1)="T",LEFT(Sample!A260,1)="B"),"TS24",IF(LEFT(Sample!A260,2)="CR","CARRIER9",IF(LEFT(Sample!A260,4)="DEL3","NIPTDEL3",Sample!A260))))))</f>
        <v>0</v>
      </c>
      <c r="O262" t="str">
        <f xml:space="preserve"> SUBSTITUTE( SUBSTITUTE( SUBSTITUTE( SUBSTITUTE( SUBSTITUTE( SUBSTITUTE( SUBSTITUTE( SUBSTITUTE( SampleImport!I262, "A", 1), "C", 2), "G", 3),"T", 4), 1, "T"), 2, "G"), 3, "C"), 4, "A")</f>
        <v/>
      </c>
    </row>
    <row r="263" spans="1:15" x14ac:dyDescent="0.35">
      <c r="A263" t="str">
        <f>Sample!B261&amp;"-"&amp;Sample!C261</f>
        <v>-</v>
      </c>
      <c r="B263" t="str">
        <f>Sample!B261&amp;"-"&amp;Sample!C261</f>
        <v>-</v>
      </c>
      <c r="C263">
        <f>Sample!A261</f>
        <v>0</v>
      </c>
      <c r="F263">
        <f>Sample!K261</f>
        <v>0</v>
      </c>
      <c r="G263" t="e">
        <f>VLOOKUP(F263,'Index Sequence'!$A$2:$B$9808,2,FALSE)</f>
        <v>#N/A</v>
      </c>
      <c r="H263">
        <f>Sample!L261</f>
        <v>0</v>
      </c>
      <c r="I263" t="str">
        <f t="shared" si="3"/>
        <v/>
      </c>
      <c r="K263">
        <f>IF(AND(OR(LEFT(Sample!A261,1)="E",LEFT(Sample!A261,1)="H"),OR(LEFT(Sample!C261,2)="JI",LEFT(Sample!C261,1)="I")),"TS1",IF(AND(OR(LEFT(Sample!A261,1)="E",LEFT(Sample!A261,1)="H"),OR(LEFT(Sample!C261,2)="JX",LEFT(Sample!C261,1)="W",LEFT(Sample!C261,1)="X")),"TS95",IF(AND(OR(LEFT(Sample!A261,1)="E",LEFT(Sample!A261,1)="H"),OR(LEFT(Sample!C261,2)="JN",LEFT(Sample!C261,1)="N")),"TS3",IF(OR(LEFT(Sample!A261,1)="T",LEFT(Sample!A261,1)="B"),"TS24",IF(LEFT(Sample!A261,2)="CR","CARRIER9",IF(LEFT(Sample!A261,4)="DEL3","NIPTDEL3",Sample!A261))))))</f>
        <v>0</v>
      </c>
      <c r="O263" t="str">
        <f xml:space="preserve"> SUBSTITUTE( SUBSTITUTE( SUBSTITUTE( SUBSTITUTE( SUBSTITUTE( SUBSTITUTE( SUBSTITUTE( SUBSTITUTE( SampleImport!I263, "A", 1), "C", 2), "G", 3),"T", 4), 1, "T"), 2, "G"), 3, "C"), 4, "A")</f>
        <v/>
      </c>
    </row>
    <row r="264" spans="1:15" x14ac:dyDescent="0.35">
      <c r="A264" t="str">
        <f>Sample!B262&amp;"-"&amp;Sample!C262</f>
        <v>-</v>
      </c>
      <c r="B264" t="str">
        <f>Sample!B262&amp;"-"&amp;Sample!C262</f>
        <v>-</v>
      </c>
      <c r="C264">
        <f>Sample!A262</f>
        <v>0</v>
      </c>
      <c r="F264">
        <f>Sample!K262</f>
        <v>0</v>
      </c>
      <c r="G264" t="e">
        <f>VLOOKUP(F264,'Index Sequence'!$A$2:$B$9808,2,FALSE)</f>
        <v>#N/A</v>
      </c>
      <c r="H264">
        <f>Sample!L262</f>
        <v>0</v>
      </c>
      <c r="I264" t="str">
        <f t="shared" si="3"/>
        <v/>
      </c>
      <c r="K264">
        <f>IF(AND(OR(LEFT(Sample!A262,1)="E",LEFT(Sample!A262,1)="H"),OR(LEFT(Sample!C262,2)="JI",LEFT(Sample!C262,1)="I")),"TS1",IF(AND(OR(LEFT(Sample!A262,1)="E",LEFT(Sample!A262,1)="H"),OR(LEFT(Sample!C262,2)="JX",LEFT(Sample!C262,1)="W",LEFT(Sample!C262,1)="X")),"TS95",IF(AND(OR(LEFT(Sample!A262,1)="E",LEFT(Sample!A262,1)="H"),OR(LEFT(Sample!C262,2)="JN",LEFT(Sample!C262,1)="N")),"TS3",IF(OR(LEFT(Sample!A262,1)="T",LEFT(Sample!A262,1)="B"),"TS24",IF(LEFT(Sample!A262,2)="CR","CARRIER9",IF(LEFT(Sample!A262,4)="DEL3","NIPTDEL3",Sample!A262))))))</f>
        <v>0</v>
      </c>
      <c r="O264" t="str">
        <f xml:space="preserve"> SUBSTITUTE( SUBSTITUTE( SUBSTITUTE( SUBSTITUTE( SUBSTITUTE( SUBSTITUTE( SUBSTITUTE( SUBSTITUTE( SampleImport!I264, "A", 1), "C", 2), "G", 3),"T", 4), 1, "T"), 2, "G"), 3, "C"), 4, "A")</f>
        <v/>
      </c>
    </row>
    <row r="265" spans="1:15" x14ac:dyDescent="0.35">
      <c r="A265" t="str">
        <f>Sample!B263&amp;"-"&amp;Sample!C263</f>
        <v>-</v>
      </c>
      <c r="B265" t="str">
        <f>Sample!B263&amp;"-"&amp;Sample!C263</f>
        <v>-</v>
      </c>
      <c r="C265">
        <f>Sample!A263</f>
        <v>0</v>
      </c>
      <c r="F265">
        <f>Sample!K263</f>
        <v>0</v>
      </c>
      <c r="G265" t="e">
        <f>VLOOKUP(F265,'Index Sequence'!$A$2:$B$9808,2,FALSE)</f>
        <v>#N/A</v>
      </c>
      <c r="H265">
        <f>Sample!L263</f>
        <v>0</v>
      </c>
      <c r="I265" t="str">
        <f t="shared" si="3"/>
        <v/>
      </c>
      <c r="K265">
        <f>IF(AND(OR(LEFT(Sample!A263,1)="E",LEFT(Sample!A263,1)="H"),OR(LEFT(Sample!C263,2)="JI",LEFT(Sample!C263,1)="I")),"TS1",IF(AND(OR(LEFT(Sample!A263,1)="E",LEFT(Sample!A263,1)="H"),OR(LEFT(Sample!C263,2)="JX",LEFT(Sample!C263,1)="W",LEFT(Sample!C263,1)="X")),"TS95",IF(AND(OR(LEFT(Sample!A263,1)="E",LEFT(Sample!A263,1)="H"),OR(LEFT(Sample!C263,2)="JN",LEFT(Sample!C263,1)="N")),"TS3",IF(OR(LEFT(Sample!A263,1)="T",LEFT(Sample!A263,1)="B"),"TS24",IF(LEFT(Sample!A263,2)="CR","CARRIER9",IF(LEFT(Sample!A263,4)="DEL3","NIPTDEL3",Sample!A263))))))</f>
        <v>0</v>
      </c>
      <c r="O265" t="str">
        <f xml:space="preserve"> SUBSTITUTE( SUBSTITUTE( SUBSTITUTE( SUBSTITUTE( SUBSTITUTE( SUBSTITUTE( SUBSTITUTE( SUBSTITUTE( SampleImport!I265, "A", 1), "C", 2), "G", 3),"T", 4), 1, "T"), 2, "G"), 3, "C"), 4, "A")</f>
        <v/>
      </c>
    </row>
    <row r="266" spans="1:15" x14ac:dyDescent="0.35">
      <c r="A266" t="str">
        <f>Sample!B264&amp;"-"&amp;Sample!C264</f>
        <v>-</v>
      </c>
      <c r="B266" t="str">
        <f>Sample!B264&amp;"-"&amp;Sample!C264</f>
        <v>-</v>
      </c>
      <c r="C266">
        <f>Sample!A264</f>
        <v>0</v>
      </c>
      <c r="F266">
        <f>Sample!K264</f>
        <v>0</v>
      </c>
      <c r="G266" t="e">
        <f>VLOOKUP(F266,'Index Sequence'!$A$2:$B$9808,2,FALSE)</f>
        <v>#N/A</v>
      </c>
      <c r="H266">
        <f>Sample!L264</f>
        <v>0</v>
      </c>
      <c r="I266" t="str">
        <f t="shared" si="3"/>
        <v/>
      </c>
      <c r="K266">
        <f>IF(AND(OR(LEFT(Sample!A264,1)="E",LEFT(Sample!A264,1)="H"),OR(LEFT(Sample!C264,2)="JI",LEFT(Sample!C264,1)="I")),"TS1",IF(AND(OR(LEFT(Sample!A264,1)="E",LEFT(Sample!A264,1)="H"),OR(LEFT(Sample!C264,2)="JX",LEFT(Sample!C264,1)="W",LEFT(Sample!C264,1)="X")),"TS95",IF(AND(OR(LEFT(Sample!A264,1)="E",LEFT(Sample!A264,1)="H"),OR(LEFT(Sample!C264,2)="JN",LEFT(Sample!C264,1)="N")),"TS3",IF(OR(LEFT(Sample!A264,1)="T",LEFT(Sample!A264,1)="B"),"TS24",IF(LEFT(Sample!A264,2)="CR","CARRIER9",IF(LEFT(Sample!A264,4)="DEL3","NIPTDEL3",Sample!A264))))))</f>
        <v>0</v>
      </c>
      <c r="O266" t="str">
        <f xml:space="preserve"> SUBSTITUTE( SUBSTITUTE( SUBSTITUTE( SUBSTITUTE( SUBSTITUTE( SUBSTITUTE( SUBSTITUTE( SUBSTITUTE( SampleImport!I266, "A", 1), "C", 2), "G", 3),"T", 4), 1, "T"), 2, "G"), 3, "C"), 4, "A")</f>
        <v/>
      </c>
    </row>
    <row r="267" spans="1:15" x14ac:dyDescent="0.35">
      <c r="A267" t="str">
        <f>Sample!B265&amp;"-"&amp;Sample!C265</f>
        <v>-</v>
      </c>
      <c r="B267" t="str">
        <f>Sample!B265&amp;"-"&amp;Sample!C265</f>
        <v>-</v>
      </c>
      <c r="C267">
        <f>Sample!A265</f>
        <v>0</v>
      </c>
      <c r="F267">
        <f>Sample!K265</f>
        <v>0</v>
      </c>
      <c r="G267" t="e">
        <f>VLOOKUP(F267,'Index Sequence'!$A$2:$B$9808,2,FALSE)</f>
        <v>#N/A</v>
      </c>
      <c r="H267">
        <f>Sample!L265</f>
        <v>0</v>
      </c>
      <c r="I267" t="str">
        <f t="shared" si="3"/>
        <v/>
      </c>
      <c r="K267">
        <f>IF(AND(OR(LEFT(Sample!A265,1)="E",LEFT(Sample!A265,1)="H"),OR(LEFT(Sample!C265,2)="JI",LEFT(Sample!C265,1)="I")),"TS1",IF(AND(OR(LEFT(Sample!A265,1)="E",LEFT(Sample!A265,1)="H"),OR(LEFT(Sample!C265,2)="JX",LEFT(Sample!C265,1)="W",LEFT(Sample!C265,1)="X")),"TS95",IF(AND(OR(LEFT(Sample!A265,1)="E",LEFT(Sample!A265,1)="H"),OR(LEFT(Sample!C265,2)="JN",LEFT(Sample!C265,1)="N")),"TS3",IF(OR(LEFT(Sample!A265,1)="T",LEFT(Sample!A265,1)="B"),"TS24",IF(LEFT(Sample!A265,2)="CR","CARRIER9",IF(LEFT(Sample!A265,4)="DEL3","NIPTDEL3",Sample!A265))))))</f>
        <v>0</v>
      </c>
      <c r="O267" t="str">
        <f xml:space="preserve"> SUBSTITUTE( SUBSTITUTE( SUBSTITUTE( SUBSTITUTE( SUBSTITUTE( SUBSTITUTE( SUBSTITUTE( SUBSTITUTE( SampleImport!I267, "A", 1), "C", 2), "G", 3),"T", 4), 1, "T"), 2, "G"), 3, "C"), 4, "A")</f>
        <v/>
      </c>
    </row>
    <row r="268" spans="1:15" x14ac:dyDescent="0.35">
      <c r="A268" t="str">
        <f>Sample!B266&amp;"-"&amp;Sample!C266</f>
        <v>-</v>
      </c>
      <c r="B268" t="str">
        <f>Sample!B266&amp;"-"&amp;Sample!C266</f>
        <v>-</v>
      </c>
      <c r="C268">
        <f>Sample!A266</f>
        <v>0</v>
      </c>
      <c r="F268">
        <f>Sample!K266</f>
        <v>0</v>
      </c>
      <c r="G268" t="e">
        <f>VLOOKUP(F268,'Index Sequence'!$A$2:$B$9808,2,FALSE)</f>
        <v>#N/A</v>
      </c>
      <c r="H268">
        <f>Sample!L266</f>
        <v>0</v>
      </c>
      <c r="I268" t="str">
        <f t="shared" si="3"/>
        <v/>
      </c>
      <c r="K268">
        <f>IF(AND(OR(LEFT(Sample!A266,1)="E",LEFT(Sample!A266,1)="H"),OR(LEFT(Sample!C266,2)="JI",LEFT(Sample!C266,1)="I")),"TS1",IF(AND(OR(LEFT(Sample!A266,1)="E",LEFT(Sample!A266,1)="H"),OR(LEFT(Sample!C266,2)="JX",LEFT(Sample!C266,1)="W",LEFT(Sample!C266,1)="X")),"TS95",IF(AND(OR(LEFT(Sample!A266,1)="E",LEFT(Sample!A266,1)="H"),OR(LEFT(Sample!C266,2)="JN",LEFT(Sample!C266,1)="N")),"TS3",IF(OR(LEFT(Sample!A266,1)="T",LEFT(Sample!A266,1)="B"),"TS24",IF(LEFT(Sample!A266,2)="CR","CARRIER9",IF(LEFT(Sample!A266,4)="DEL3","NIPTDEL3",Sample!A266))))))</f>
        <v>0</v>
      </c>
      <c r="O268" t="str">
        <f xml:space="preserve"> SUBSTITUTE( SUBSTITUTE( SUBSTITUTE( SUBSTITUTE( SUBSTITUTE( SUBSTITUTE( SUBSTITUTE( SUBSTITUTE( SampleImport!I268, "A", 1), "C", 2), "G", 3),"T", 4), 1, "T"), 2, "G"), 3, "C"), 4, "A")</f>
        <v/>
      </c>
    </row>
    <row r="269" spans="1:15" x14ac:dyDescent="0.35">
      <c r="A269" t="str">
        <f>Sample!B267&amp;"-"&amp;Sample!C267</f>
        <v>-</v>
      </c>
      <c r="B269" t="str">
        <f>Sample!B267&amp;"-"&amp;Sample!C267</f>
        <v>-</v>
      </c>
      <c r="C269">
        <f>Sample!A267</f>
        <v>0</v>
      </c>
      <c r="F269">
        <f>Sample!K267</f>
        <v>0</v>
      </c>
      <c r="G269" t="e">
        <f>VLOOKUP(F269,'Index Sequence'!$A$2:$B$9808,2,FALSE)</f>
        <v>#N/A</v>
      </c>
      <c r="H269">
        <f>Sample!L267</f>
        <v>0</v>
      </c>
      <c r="I269" t="str">
        <f t="shared" si="3"/>
        <v/>
      </c>
      <c r="K269">
        <f>IF(AND(OR(LEFT(Sample!A267,1)="E",LEFT(Sample!A267,1)="H"),OR(LEFT(Sample!C267,2)="JI",LEFT(Sample!C267,1)="I")),"TS1",IF(AND(OR(LEFT(Sample!A267,1)="E",LEFT(Sample!A267,1)="H"),OR(LEFT(Sample!C267,2)="JX",LEFT(Sample!C267,1)="W",LEFT(Sample!C267,1)="X")),"TS95",IF(AND(OR(LEFT(Sample!A267,1)="E",LEFT(Sample!A267,1)="H"),OR(LEFT(Sample!C267,2)="JN",LEFT(Sample!C267,1)="N")),"TS3",IF(OR(LEFT(Sample!A267,1)="T",LEFT(Sample!A267,1)="B"),"TS24",IF(LEFT(Sample!A267,2)="CR","CARRIER9",IF(LEFT(Sample!A267,4)="DEL3","NIPTDEL3",Sample!A267))))))</f>
        <v>0</v>
      </c>
      <c r="O269" t="str">
        <f xml:space="preserve"> SUBSTITUTE( SUBSTITUTE( SUBSTITUTE( SUBSTITUTE( SUBSTITUTE( SUBSTITUTE( SUBSTITUTE( SUBSTITUTE( SampleImport!I269, "A", 1), "C", 2), "G", 3),"T", 4), 1, "T"), 2, "G"), 3, "C"), 4, "A")</f>
        <v/>
      </c>
    </row>
    <row r="270" spans="1:15" x14ac:dyDescent="0.35">
      <c r="A270" t="str">
        <f>Sample!B268&amp;"-"&amp;Sample!C268</f>
        <v>-</v>
      </c>
      <c r="B270" t="str">
        <f>Sample!B268&amp;"-"&amp;Sample!C268</f>
        <v>-</v>
      </c>
      <c r="C270">
        <f>Sample!A268</f>
        <v>0</v>
      </c>
      <c r="F270">
        <f>Sample!K268</f>
        <v>0</v>
      </c>
      <c r="G270" t="e">
        <f>VLOOKUP(F270,'Index Sequence'!$A$2:$B$9808,2,FALSE)</f>
        <v>#N/A</v>
      </c>
      <c r="H270">
        <f>Sample!L268</f>
        <v>0</v>
      </c>
      <c r="I270" t="str">
        <f t="shared" si="3"/>
        <v/>
      </c>
      <c r="K270">
        <f>IF(AND(OR(LEFT(Sample!A268,1)="E",LEFT(Sample!A268,1)="H"),OR(LEFT(Sample!C268,2)="JI",LEFT(Sample!C268,1)="I")),"TS1",IF(AND(OR(LEFT(Sample!A268,1)="E",LEFT(Sample!A268,1)="H"),OR(LEFT(Sample!C268,2)="JX",LEFT(Sample!C268,1)="W",LEFT(Sample!C268,1)="X")),"TS95",IF(AND(OR(LEFT(Sample!A268,1)="E",LEFT(Sample!A268,1)="H"),OR(LEFT(Sample!C268,2)="JN",LEFT(Sample!C268,1)="N")),"TS3",IF(OR(LEFT(Sample!A268,1)="T",LEFT(Sample!A268,1)="B"),"TS24",IF(LEFT(Sample!A268,2)="CR","CARRIER9",IF(LEFT(Sample!A268,4)="DEL3","NIPTDEL3",Sample!A268))))))</f>
        <v>0</v>
      </c>
      <c r="O270" t="str">
        <f xml:space="preserve"> SUBSTITUTE( SUBSTITUTE( SUBSTITUTE( SUBSTITUTE( SUBSTITUTE( SUBSTITUTE( SUBSTITUTE( SUBSTITUTE( SampleImport!I270, "A", 1), "C", 2), "G", 3),"T", 4), 1, "T"), 2, "G"), 3, "C"), 4, "A")</f>
        <v/>
      </c>
    </row>
    <row r="271" spans="1:15" x14ac:dyDescent="0.35">
      <c r="A271" t="str">
        <f>Sample!B269&amp;"-"&amp;Sample!C269</f>
        <v>-</v>
      </c>
      <c r="B271" t="str">
        <f>Sample!B269&amp;"-"&amp;Sample!C269</f>
        <v>-</v>
      </c>
      <c r="C271">
        <f>Sample!A269</f>
        <v>0</v>
      </c>
      <c r="F271">
        <f>Sample!K269</f>
        <v>0</v>
      </c>
      <c r="G271" t="e">
        <f>VLOOKUP(F271,'Index Sequence'!$A$2:$B$9808,2,FALSE)</f>
        <v>#N/A</v>
      </c>
      <c r="H271">
        <f>Sample!L269</f>
        <v>0</v>
      </c>
      <c r="I271" t="str">
        <f t="shared" si="3"/>
        <v/>
      </c>
      <c r="K271">
        <f>IF(AND(OR(LEFT(Sample!A269,1)="E",LEFT(Sample!A269,1)="H"),OR(LEFT(Sample!C269,2)="JI",LEFT(Sample!C269,1)="I")),"TS1",IF(AND(OR(LEFT(Sample!A269,1)="E",LEFT(Sample!A269,1)="H"),OR(LEFT(Sample!C269,2)="JX",LEFT(Sample!C269,1)="W",LEFT(Sample!C269,1)="X")),"TS95",IF(AND(OR(LEFT(Sample!A269,1)="E",LEFT(Sample!A269,1)="H"),OR(LEFT(Sample!C269,2)="JN",LEFT(Sample!C269,1)="N")),"TS3",IF(OR(LEFT(Sample!A269,1)="T",LEFT(Sample!A269,1)="B"),"TS24",IF(LEFT(Sample!A269,2)="CR","CARRIER9",IF(LEFT(Sample!A269,4)="DEL3","NIPTDEL3",Sample!A269))))))</f>
        <v>0</v>
      </c>
      <c r="O271" t="str">
        <f xml:space="preserve"> SUBSTITUTE( SUBSTITUTE( SUBSTITUTE( SUBSTITUTE( SUBSTITUTE( SUBSTITUTE( SUBSTITUTE( SUBSTITUTE( SampleImport!I271, "A", 1), "C", 2), "G", 3),"T", 4), 1, "T"), 2, "G"), 3, "C"), 4, "A")</f>
        <v/>
      </c>
    </row>
    <row r="272" spans="1:15" x14ac:dyDescent="0.35">
      <c r="A272" t="str">
        <f>Sample!B270&amp;"-"&amp;Sample!C270</f>
        <v>-</v>
      </c>
      <c r="B272" t="str">
        <f>Sample!B270&amp;"-"&amp;Sample!C270</f>
        <v>-</v>
      </c>
      <c r="C272">
        <f>Sample!A270</f>
        <v>0</v>
      </c>
      <c r="F272">
        <f>Sample!K270</f>
        <v>0</v>
      </c>
      <c r="G272" t="e">
        <f>VLOOKUP(F272,'Index Sequence'!$A$2:$B$9808,2,FALSE)</f>
        <v>#N/A</v>
      </c>
      <c r="H272">
        <f>Sample!L270</f>
        <v>0</v>
      </c>
      <c r="I272" t="str">
        <f t="shared" si="3"/>
        <v/>
      </c>
      <c r="K272">
        <f>IF(AND(OR(LEFT(Sample!A270,1)="E",LEFT(Sample!A270,1)="H"),OR(LEFT(Sample!C270,2)="JI",LEFT(Sample!C270,1)="I")),"TS1",IF(AND(OR(LEFT(Sample!A270,1)="E",LEFT(Sample!A270,1)="H"),OR(LEFT(Sample!C270,2)="JX",LEFT(Sample!C270,1)="W",LEFT(Sample!C270,1)="X")),"TS95",IF(AND(OR(LEFT(Sample!A270,1)="E",LEFT(Sample!A270,1)="H"),OR(LEFT(Sample!C270,2)="JN",LEFT(Sample!C270,1)="N")),"TS3",IF(OR(LEFT(Sample!A270,1)="T",LEFT(Sample!A270,1)="B"),"TS24",IF(LEFT(Sample!A270,2)="CR","CARRIER9",IF(LEFT(Sample!A270,4)="DEL3","NIPTDEL3",Sample!A270))))))</f>
        <v>0</v>
      </c>
      <c r="O272" t="str">
        <f xml:space="preserve"> SUBSTITUTE( SUBSTITUTE( SUBSTITUTE( SUBSTITUTE( SUBSTITUTE( SUBSTITUTE( SUBSTITUTE( SUBSTITUTE( SampleImport!I272, "A", 1), "C", 2), "G", 3),"T", 4), 1, "T"), 2, "G"), 3, "C"), 4, "A")</f>
        <v/>
      </c>
    </row>
    <row r="273" spans="1:15" x14ac:dyDescent="0.35">
      <c r="A273" t="str">
        <f>Sample!B271&amp;"-"&amp;Sample!C271</f>
        <v>-</v>
      </c>
      <c r="B273" t="str">
        <f>Sample!B271&amp;"-"&amp;Sample!C271</f>
        <v>-</v>
      </c>
      <c r="C273">
        <f>Sample!A271</f>
        <v>0</v>
      </c>
      <c r="F273">
        <f>Sample!K271</f>
        <v>0</v>
      </c>
      <c r="G273" t="e">
        <f>VLOOKUP(F273,'Index Sequence'!$A$2:$B$9808,2,FALSE)</f>
        <v>#N/A</v>
      </c>
      <c r="H273">
        <f>Sample!L271</f>
        <v>0</v>
      </c>
      <c r="I273" t="str">
        <f t="shared" si="3"/>
        <v/>
      </c>
      <c r="K273">
        <f>IF(AND(OR(LEFT(Sample!A271,1)="E",LEFT(Sample!A271,1)="H"),OR(LEFT(Sample!C271,2)="JI",LEFT(Sample!C271,1)="I")),"TS1",IF(AND(OR(LEFT(Sample!A271,1)="E",LEFT(Sample!A271,1)="H"),OR(LEFT(Sample!C271,2)="JX",LEFT(Sample!C271,1)="W",LEFT(Sample!C271,1)="X")),"TS95",IF(AND(OR(LEFT(Sample!A271,1)="E",LEFT(Sample!A271,1)="H"),OR(LEFT(Sample!C271,2)="JN",LEFT(Sample!C271,1)="N")),"TS3",IF(OR(LEFT(Sample!A271,1)="T",LEFT(Sample!A271,1)="B"),"TS24",IF(LEFT(Sample!A271,2)="CR","CARRIER9",IF(LEFT(Sample!A271,4)="DEL3","NIPTDEL3",Sample!A271))))))</f>
        <v>0</v>
      </c>
      <c r="O273" t="str">
        <f xml:space="preserve"> SUBSTITUTE( SUBSTITUTE( SUBSTITUTE( SUBSTITUTE( SUBSTITUTE( SUBSTITUTE( SUBSTITUTE( SUBSTITUTE( SampleImport!I273, "A", 1), "C", 2), "G", 3),"T", 4), 1, "T"), 2, "G"), 3, "C"), 4, "A")</f>
        <v/>
      </c>
    </row>
    <row r="274" spans="1:15" x14ac:dyDescent="0.35">
      <c r="A274" t="str">
        <f>Sample!B272&amp;"-"&amp;Sample!C272</f>
        <v>-</v>
      </c>
      <c r="B274" t="str">
        <f>Sample!B272&amp;"-"&amp;Sample!C272</f>
        <v>-</v>
      </c>
      <c r="C274">
        <f>Sample!A272</f>
        <v>0</v>
      </c>
      <c r="F274">
        <f>Sample!K272</f>
        <v>0</v>
      </c>
      <c r="G274" t="e">
        <f>VLOOKUP(F274,'Index Sequence'!$A$2:$B$9808,2,FALSE)</f>
        <v>#N/A</v>
      </c>
      <c r="H274">
        <f>Sample!L272</f>
        <v>0</v>
      </c>
      <c r="I274" t="str">
        <f t="shared" si="3"/>
        <v/>
      </c>
      <c r="K274">
        <f>IF(AND(OR(LEFT(Sample!A272,1)="E",LEFT(Sample!A272,1)="H"),OR(LEFT(Sample!C272,2)="JI",LEFT(Sample!C272,1)="I")),"TS1",IF(AND(OR(LEFT(Sample!A272,1)="E",LEFT(Sample!A272,1)="H"),OR(LEFT(Sample!C272,2)="JX",LEFT(Sample!C272,1)="W",LEFT(Sample!C272,1)="X")),"TS95",IF(AND(OR(LEFT(Sample!A272,1)="E",LEFT(Sample!A272,1)="H"),OR(LEFT(Sample!C272,2)="JN",LEFT(Sample!C272,1)="N")),"TS3",IF(OR(LEFT(Sample!A272,1)="T",LEFT(Sample!A272,1)="B"),"TS24",IF(LEFT(Sample!A272,2)="CR","CARRIER9",IF(LEFT(Sample!A272,4)="DEL3","NIPTDEL3",Sample!A272))))))</f>
        <v>0</v>
      </c>
      <c r="O274" t="str">
        <f xml:space="preserve"> SUBSTITUTE( SUBSTITUTE( SUBSTITUTE( SUBSTITUTE( SUBSTITUTE( SUBSTITUTE( SUBSTITUTE( SUBSTITUTE( SampleImport!I274, "A", 1), "C", 2), "G", 3),"T", 4), 1, "T"), 2, "G"), 3, "C"), 4, "A")</f>
        <v/>
      </c>
    </row>
    <row r="275" spans="1:15" x14ac:dyDescent="0.35">
      <c r="A275" t="str">
        <f>Sample!B273&amp;"-"&amp;Sample!C273</f>
        <v>-</v>
      </c>
      <c r="B275" t="str">
        <f>Sample!B273&amp;"-"&amp;Sample!C273</f>
        <v>-</v>
      </c>
      <c r="C275">
        <f>Sample!A273</f>
        <v>0</v>
      </c>
      <c r="F275">
        <f>Sample!K273</f>
        <v>0</v>
      </c>
      <c r="G275" t="e">
        <f>VLOOKUP(F275,'Index Sequence'!$A$2:$B$9808,2,FALSE)</f>
        <v>#N/A</v>
      </c>
      <c r="H275">
        <f>Sample!L273</f>
        <v>0</v>
      </c>
      <c r="I275" t="str">
        <f t="shared" si="3"/>
        <v/>
      </c>
      <c r="K275">
        <f>IF(AND(OR(LEFT(Sample!A273,1)="E",LEFT(Sample!A273,1)="H"),OR(LEFT(Sample!C273,2)="JI",LEFT(Sample!C273,1)="I")),"TS1",IF(AND(OR(LEFT(Sample!A273,1)="E",LEFT(Sample!A273,1)="H"),OR(LEFT(Sample!C273,2)="JX",LEFT(Sample!C273,1)="W",LEFT(Sample!C273,1)="X")),"TS95",IF(AND(OR(LEFT(Sample!A273,1)="E",LEFT(Sample!A273,1)="H"),OR(LEFT(Sample!C273,2)="JN",LEFT(Sample!C273,1)="N")),"TS3",IF(OR(LEFT(Sample!A273,1)="T",LEFT(Sample!A273,1)="B"),"TS24",IF(LEFT(Sample!A273,2)="CR","CARRIER9",IF(LEFT(Sample!A273,4)="DEL3","NIPTDEL3",Sample!A273))))))</f>
        <v>0</v>
      </c>
      <c r="O275" t="str">
        <f xml:space="preserve"> SUBSTITUTE( SUBSTITUTE( SUBSTITUTE( SUBSTITUTE( SUBSTITUTE( SUBSTITUTE( SUBSTITUTE( SUBSTITUTE( SampleImport!I275, "A", 1), "C", 2), "G", 3),"T", 4), 1, "T"), 2, "G"), 3, "C"), 4, "A")</f>
        <v/>
      </c>
    </row>
    <row r="276" spans="1:15" x14ac:dyDescent="0.35">
      <c r="A276" t="str">
        <f>Sample!B274&amp;"-"&amp;Sample!C274</f>
        <v>-</v>
      </c>
      <c r="B276" t="str">
        <f>Sample!B274&amp;"-"&amp;Sample!C274</f>
        <v>-</v>
      </c>
      <c r="C276">
        <f>Sample!A274</f>
        <v>0</v>
      </c>
      <c r="F276">
        <f>Sample!K274</f>
        <v>0</v>
      </c>
      <c r="G276" t="e">
        <f>VLOOKUP(F276,'Index Sequence'!$A$2:$B$9808,2,FALSE)</f>
        <v>#N/A</v>
      </c>
      <c r="H276">
        <f>Sample!L274</f>
        <v>0</v>
      </c>
      <c r="I276" t="str">
        <f t="shared" si="3"/>
        <v/>
      </c>
      <c r="K276">
        <f>IF(AND(OR(LEFT(Sample!A274,1)="E",LEFT(Sample!A274,1)="H"),OR(LEFT(Sample!C274,2)="JI",LEFT(Sample!C274,1)="I")),"TS1",IF(AND(OR(LEFT(Sample!A274,1)="E",LEFT(Sample!A274,1)="H"),OR(LEFT(Sample!C274,2)="JX",LEFT(Sample!C274,1)="W",LEFT(Sample!C274,1)="X")),"TS95",IF(AND(OR(LEFT(Sample!A274,1)="E",LEFT(Sample!A274,1)="H"),OR(LEFT(Sample!C274,2)="JN",LEFT(Sample!C274,1)="N")),"TS3",IF(OR(LEFT(Sample!A274,1)="T",LEFT(Sample!A274,1)="B"),"TS24",IF(LEFT(Sample!A274,2)="CR","CARRIER9",IF(LEFT(Sample!A274,4)="DEL3","NIPTDEL3",Sample!A274))))))</f>
        <v>0</v>
      </c>
      <c r="O276" t="str">
        <f xml:space="preserve"> SUBSTITUTE( SUBSTITUTE( SUBSTITUTE( SUBSTITUTE( SUBSTITUTE( SUBSTITUTE( SUBSTITUTE( SUBSTITUTE( SampleImport!I276, "A", 1), "C", 2), "G", 3),"T", 4), 1, "T"), 2, "G"), 3, "C"), 4, "A")</f>
        <v/>
      </c>
    </row>
    <row r="277" spans="1:15" x14ac:dyDescent="0.35">
      <c r="A277" t="str">
        <f>Sample!B275&amp;"-"&amp;Sample!C275</f>
        <v>-</v>
      </c>
      <c r="B277" t="str">
        <f>Sample!B275&amp;"-"&amp;Sample!C275</f>
        <v>-</v>
      </c>
      <c r="C277">
        <f>Sample!A275</f>
        <v>0</v>
      </c>
      <c r="F277">
        <f>Sample!K275</f>
        <v>0</v>
      </c>
      <c r="G277" t="e">
        <f>VLOOKUP(F277,'Index Sequence'!$A$2:$B$9808,2,FALSE)</f>
        <v>#N/A</v>
      </c>
      <c r="H277">
        <f>Sample!L275</f>
        <v>0</v>
      </c>
      <c r="I277" t="str">
        <f t="shared" si="3"/>
        <v/>
      </c>
      <c r="K277">
        <f>IF(AND(OR(LEFT(Sample!A275,1)="E",LEFT(Sample!A275,1)="H"),OR(LEFT(Sample!C275,2)="JI",LEFT(Sample!C275,1)="I")),"TS1",IF(AND(OR(LEFT(Sample!A275,1)="E",LEFT(Sample!A275,1)="H"),OR(LEFT(Sample!C275,2)="JX",LEFT(Sample!C275,1)="W",LEFT(Sample!C275,1)="X")),"TS95",IF(AND(OR(LEFT(Sample!A275,1)="E",LEFT(Sample!A275,1)="H"),OR(LEFT(Sample!C275,2)="JN",LEFT(Sample!C275,1)="N")),"TS3",IF(OR(LEFT(Sample!A275,1)="T",LEFT(Sample!A275,1)="B"),"TS24",IF(LEFT(Sample!A275,2)="CR","CARRIER9",IF(LEFT(Sample!A275,4)="DEL3","NIPTDEL3",Sample!A275))))))</f>
        <v>0</v>
      </c>
      <c r="O277" t="str">
        <f xml:space="preserve"> SUBSTITUTE( SUBSTITUTE( SUBSTITUTE( SUBSTITUTE( SUBSTITUTE( SUBSTITUTE( SUBSTITUTE( SUBSTITUTE( SampleImport!I277, "A", 1), "C", 2), "G", 3),"T", 4), 1, "T"), 2, "G"), 3, "C"), 4, "A")</f>
        <v/>
      </c>
    </row>
    <row r="278" spans="1:15" x14ac:dyDescent="0.35">
      <c r="A278" t="str">
        <f>Sample!B276&amp;"-"&amp;Sample!C276</f>
        <v>-</v>
      </c>
      <c r="B278" t="str">
        <f>Sample!B276&amp;"-"&amp;Sample!C276</f>
        <v>-</v>
      </c>
      <c r="C278">
        <f>Sample!A276</f>
        <v>0</v>
      </c>
      <c r="F278">
        <f>Sample!K276</f>
        <v>0</v>
      </c>
      <c r="G278" t="e">
        <f>VLOOKUP(F278,'Index Sequence'!$A$2:$B$9808,2,FALSE)</f>
        <v>#N/A</v>
      </c>
      <c r="H278">
        <f>Sample!L276</f>
        <v>0</v>
      </c>
      <c r="I278" t="str">
        <f t="shared" si="3"/>
        <v/>
      </c>
      <c r="K278">
        <f>IF(AND(OR(LEFT(Sample!A276,1)="E",LEFT(Sample!A276,1)="H"),OR(LEFT(Sample!C276,2)="JI",LEFT(Sample!C276,1)="I")),"TS1",IF(AND(OR(LEFT(Sample!A276,1)="E",LEFT(Sample!A276,1)="H"),OR(LEFT(Sample!C276,2)="JX",LEFT(Sample!C276,1)="W",LEFT(Sample!C276,1)="X")),"TS95",IF(AND(OR(LEFT(Sample!A276,1)="E",LEFT(Sample!A276,1)="H"),OR(LEFT(Sample!C276,2)="JN",LEFT(Sample!C276,1)="N")),"TS3",IF(OR(LEFT(Sample!A276,1)="T",LEFT(Sample!A276,1)="B"),"TS24",IF(LEFT(Sample!A276,2)="CR","CARRIER9",IF(LEFT(Sample!A276,4)="DEL3","NIPTDEL3",Sample!A276))))))</f>
        <v>0</v>
      </c>
      <c r="O278" t="str">
        <f xml:space="preserve"> SUBSTITUTE( SUBSTITUTE( SUBSTITUTE( SUBSTITUTE( SUBSTITUTE( SUBSTITUTE( SUBSTITUTE( SUBSTITUTE( SampleImport!I278, "A", 1), "C", 2), "G", 3),"T", 4), 1, "T"), 2, "G"), 3, "C"), 4, "A")</f>
        <v/>
      </c>
    </row>
    <row r="279" spans="1:15" x14ac:dyDescent="0.35">
      <c r="A279" t="str">
        <f>Sample!B277&amp;"-"&amp;Sample!C277</f>
        <v>-</v>
      </c>
      <c r="B279" t="str">
        <f>Sample!B277&amp;"-"&amp;Sample!C277</f>
        <v>-</v>
      </c>
      <c r="C279">
        <f>Sample!A277</f>
        <v>0</v>
      </c>
      <c r="F279">
        <f>Sample!K277</f>
        <v>0</v>
      </c>
      <c r="G279" t="e">
        <f>VLOOKUP(F279,'Index Sequence'!$A$2:$B$9808,2,FALSE)</f>
        <v>#N/A</v>
      </c>
      <c r="H279">
        <f>Sample!L277</f>
        <v>0</v>
      </c>
      <c r="I279" t="str">
        <f t="shared" si="3"/>
        <v/>
      </c>
      <c r="K279">
        <f>IF(AND(OR(LEFT(Sample!A277,1)="E",LEFT(Sample!A277,1)="H"),OR(LEFT(Sample!C277,2)="JI",LEFT(Sample!C277,1)="I")),"TS1",IF(AND(OR(LEFT(Sample!A277,1)="E",LEFT(Sample!A277,1)="H"),OR(LEFT(Sample!C277,2)="JX",LEFT(Sample!C277,1)="W",LEFT(Sample!C277,1)="X")),"TS95",IF(AND(OR(LEFT(Sample!A277,1)="E",LEFT(Sample!A277,1)="H"),OR(LEFT(Sample!C277,2)="JN",LEFT(Sample!C277,1)="N")),"TS3",IF(OR(LEFT(Sample!A277,1)="T",LEFT(Sample!A277,1)="B"),"TS24",IF(LEFT(Sample!A277,2)="CR","CARRIER9",IF(LEFT(Sample!A277,4)="DEL3","NIPTDEL3",Sample!A277))))))</f>
        <v>0</v>
      </c>
      <c r="O279" t="str">
        <f xml:space="preserve"> SUBSTITUTE( SUBSTITUTE( SUBSTITUTE( SUBSTITUTE( SUBSTITUTE( SUBSTITUTE( SUBSTITUTE( SUBSTITUTE( SampleImport!I279, "A", 1), "C", 2), "G", 3),"T", 4), 1, "T"), 2, "G"), 3, "C"), 4, "A")</f>
        <v/>
      </c>
    </row>
    <row r="280" spans="1:15" x14ac:dyDescent="0.35">
      <c r="A280" t="str">
        <f>Sample!B278&amp;"-"&amp;Sample!C278</f>
        <v>-</v>
      </c>
      <c r="B280" t="str">
        <f>Sample!B278&amp;"-"&amp;Sample!C278</f>
        <v>-</v>
      </c>
      <c r="C280">
        <f>Sample!A278</f>
        <v>0</v>
      </c>
      <c r="F280">
        <f>Sample!K278</f>
        <v>0</v>
      </c>
      <c r="G280" t="e">
        <f>VLOOKUP(F280,'Index Sequence'!$A$2:$B$9808,2,FALSE)</f>
        <v>#N/A</v>
      </c>
      <c r="H280">
        <f>Sample!L278</f>
        <v>0</v>
      </c>
      <c r="I280" t="str">
        <f t="shared" ref="I280:I343" si="4" xml:space="preserve"> MID(O280,30,1) &amp; MID(O280,29,1) &amp; MID(O280,28,1) &amp; MID(O280,27,1) &amp; MID(O280,26,1) &amp; MID(O280,25,1) &amp; MID(O280,24,1) &amp; MID(O280,23,1) &amp; MID(O280,22,1) &amp; MID(O280,21,1) &amp; MID(O280,20,1) &amp; MID(O280,19,1) &amp; MID(O280,18,1) &amp; MID(O280,17,1) &amp; MID(O280,16,1) &amp; MID(O280,15,1) &amp; MID(O280,14,1) &amp; MID(O280,13,1) &amp; MID(O280,12,1) &amp; MID(O280,11,1) &amp; MID(O280,10,1) &amp; MID(O280,9,1) &amp; MID(O280,8,1) &amp; MID(O280,7,1) &amp; MID(O280,6,1) &amp; MID(O280,5,1) &amp; MID(O280,4,1) &amp; MID(O280,3,1) &amp; MID(O280,2,1) &amp; MID(O280,1,1)</f>
        <v/>
      </c>
      <c r="K280">
        <f>IF(AND(OR(LEFT(Sample!A278,1)="E",LEFT(Sample!A278,1)="H"),OR(LEFT(Sample!C278,2)="JI",LEFT(Sample!C278,1)="I")),"TS1",IF(AND(OR(LEFT(Sample!A278,1)="E",LEFT(Sample!A278,1)="H"),OR(LEFT(Sample!C278,2)="JX",LEFT(Sample!C278,1)="W",LEFT(Sample!C278,1)="X")),"TS95",IF(AND(OR(LEFT(Sample!A278,1)="E",LEFT(Sample!A278,1)="H"),OR(LEFT(Sample!C278,2)="JN",LEFT(Sample!C278,1)="N")),"TS3",IF(OR(LEFT(Sample!A278,1)="T",LEFT(Sample!A278,1)="B"),"TS24",IF(LEFT(Sample!A278,2)="CR","CARRIER9",IF(LEFT(Sample!A278,4)="DEL3","NIPTDEL3",Sample!A278))))))</f>
        <v>0</v>
      </c>
      <c r="O280" t="str">
        <f xml:space="preserve"> SUBSTITUTE( SUBSTITUTE( SUBSTITUTE( SUBSTITUTE( SUBSTITUTE( SUBSTITUTE( SUBSTITUTE( SUBSTITUTE( SampleImport!I280, "A", 1), "C", 2), "G", 3),"T", 4), 1, "T"), 2, "G"), 3, "C"), 4, "A")</f>
        <v/>
      </c>
    </row>
    <row r="281" spans="1:15" x14ac:dyDescent="0.35">
      <c r="A281" t="str">
        <f>Sample!B279&amp;"-"&amp;Sample!C279</f>
        <v>-</v>
      </c>
      <c r="B281" t="str">
        <f>Sample!B279&amp;"-"&amp;Sample!C279</f>
        <v>-</v>
      </c>
      <c r="C281">
        <f>Sample!A279</f>
        <v>0</v>
      </c>
      <c r="F281">
        <f>Sample!K279</f>
        <v>0</v>
      </c>
      <c r="G281" t="e">
        <f>VLOOKUP(F281,'Index Sequence'!$A$2:$B$9808,2,FALSE)</f>
        <v>#N/A</v>
      </c>
      <c r="H281">
        <f>Sample!L279</f>
        <v>0</v>
      </c>
      <c r="I281" t="str">
        <f t="shared" si="4"/>
        <v/>
      </c>
      <c r="K281">
        <f>IF(AND(OR(LEFT(Sample!A279,1)="E",LEFT(Sample!A279,1)="H"),OR(LEFT(Sample!C279,2)="JI",LEFT(Sample!C279,1)="I")),"TS1",IF(AND(OR(LEFT(Sample!A279,1)="E",LEFT(Sample!A279,1)="H"),OR(LEFT(Sample!C279,2)="JX",LEFT(Sample!C279,1)="W",LEFT(Sample!C279,1)="X")),"TS95",IF(AND(OR(LEFT(Sample!A279,1)="E",LEFT(Sample!A279,1)="H"),OR(LEFT(Sample!C279,2)="JN",LEFT(Sample!C279,1)="N")),"TS3",IF(OR(LEFT(Sample!A279,1)="T",LEFT(Sample!A279,1)="B"),"TS24",IF(LEFT(Sample!A279,2)="CR","CARRIER9",IF(LEFT(Sample!A279,4)="DEL3","NIPTDEL3",Sample!A279))))))</f>
        <v>0</v>
      </c>
      <c r="O281" t="str">
        <f xml:space="preserve"> SUBSTITUTE( SUBSTITUTE( SUBSTITUTE( SUBSTITUTE( SUBSTITUTE( SUBSTITUTE( SUBSTITUTE( SUBSTITUTE( SampleImport!I281, "A", 1), "C", 2), "G", 3),"T", 4), 1, "T"), 2, "G"), 3, "C"), 4, "A")</f>
        <v/>
      </c>
    </row>
    <row r="282" spans="1:15" x14ac:dyDescent="0.35">
      <c r="A282" t="str">
        <f>Sample!B280&amp;"-"&amp;Sample!C280</f>
        <v>-</v>
      </c>
      <c r="B282" t="str">
        <f>Sample!B280&amp;"-"&amp;Sample!C280</f>
        <v>-</v>
      </c>
      <c r="C282">
        <f>Sample!A280</f>
        <v>0</v>
      </c>
      <c r="F282">
        <f>Sample!K280</f>
        <v>0</v>
      </c>
      <c r="G282" t="e">
        <f>VLOOKUP(F282,'Index Sequence'!$A$2:$B$9808,2,FALSE)</f>
        <v>#N/A</v>
      </c>
      <c r="H282">
        <f>Sample!L280</f>
        <v>0</v>
      </c>
      <c r="I282" t="str">
        <f t="shared" si="4"/>
        <v/>
      </c>
      <c r="K282">
        <f>IF(AND(OR(LEFT(Sample!A280,1)="E",LEFT(Sample!A280,1)="H"),OR(LEFT(Sample!C280,2)="JI",LEFT(Sample!C280,1)="I")),"TS1",IF(AND(OR(LEFT(Sample!A280,1)="E",LEFT(Sample!A280,1)="H"),OR(LEFT(Sample!C280,2)="JX",LEFT(Sample!C280,1)="W",LEFT(Sample!C280,1)="X")),"TS95",IF(AND(OR(LEFT(Sample!A280,1)="E",LEFT(Sample!A280,1)="H"),OR(LEFT(Sample!C280,2)="JN",LEFT(Sample!C280,1)="N")),"TS3",IF(OR(LEFT(Sample!A280,1)="T",LEFT(Sample!A280,1)="B"),"TS24",IF(LEFT(Sample!A280,2)="CR","CARRIER9",IF(LEFT(Sample!A280,4)="DEL3","NIPTDEL3",Sample!A280))))))</f>
        <v>0</v>
      </c>
      <c r="O282" t="str">
        <f xml:space="preserve"> SUBSTITUTE( SUBSTITUTE( SUBSTITUTE( SUBSTITUTE( SUBSTITUTE( SUBSTITUTE( SUBSTITUTE( SUBSTITUTE( SampleImport!I282, "A", 1), "C", 2), "G", 3),"T", 4), 1, "T"), 2, "G"), 3, "C"), 4, "A")</f>
        <v/>
      </c>
    </row>
    <row r="283" spans="1:15" x14ac:dyDescent="0.35">
      <c r="A283" t="str">
        <f>Sample!B281&amp;"-"&amp;Sample!C281</f>
        <v>-</v>
      </c>
      <c r="B283" t="str">
        <f>Sample!B281&amp;"-"&amp;Sample!C281</f>
        <v>-</v>
      </c>
      <c r="C283">
        <f>Sample!A281</f>
        <v>0</v>
      </c>
      <c r="F283">
        <f>Sample!K281</f>
        <v>0</v>
      </c>
      <c r="G283" t="e">
        <f>VLOOKUP(F283,'Index Sequence'!$A$2:$B$9808,2,FALSE)</f>
        <v>#N/A</v>
      </c>
      <c r="H283">
        <f>Sample!L281</f>
        <v>0</v>
      </c>
      <c r="I283" t="str">
        <f t="shared" si="4"/>
        <v/>
      </c>
      <c r="K283">
        <f>IF(AND(OR(LEFT(Sample!A281,1)="E",LEFT(Sample!A281,1)="H"),OR(LEFT(Sample!C281,2)="JI",LEFT(Sample!C281,1)="I")),"TS1",IF(AND(OR(LEFT(Sample!A281,1)="E",LEFT(Sample!A281,1)="H"),OR(LEFT(Sample!C281,2)="JX",LEFT(Sample!C281,1)="W",LEFT(Sample!C281,1)="X")),"TS95",IF(AND(OR(LEFT(Sample!A281,1)="E",LEFT(Sample!A281,1)="H"),OR(LEFT(Sample!C281,2)="JN",LEFT(Sample!C281,1)="N")),"TS3",IF(OR(LEFT(Sample!A281,1)="T",LEFT(Sample!A281,1)="B"),"TS24",IF(LEFT(Sample!A281,2)="CR","CARRIER9",IF(LEFT(Sample!A281,4)="DEL3","NIPTDEL3",Sample!A281))))))</f>
        <v>0</v>
      </c>
      <c r="O283" t="str">
        <f xml:space="preserve"> SUBSTITUTE( SUBSTITUTE( SUBSTITUTE( SUBSTITUTE( SUBSTITUTE( SUBSTITUTE( SUBSTITUTE( SUBSTITUTE( SampleImport!I283, "A", 1), "C", 2), "G", 3),"T", 4), 1, "T"), 2, "G"), 3, "C"), 4, "A")</f>
        <v/>
      </c>
    </row>
    <row r="284" spans="1:15" x14ac:dyDescent="0.35">
      <c r="A284" t="str">
        <f>Sample!B282&amp;"-"&amp;Sample!C282</f>
        <v>-</v>
      </c>
      <c r="B284" t="str">
        <f>Sample!B282&amp;"-"&amp;Sample!C282</f>
        <v>-</v>
      </c>
      <c r="C284">
        <f>Sample!A282</f>
        <v>0</v>
      </c>
      <c r="F284">
        <f>Sample!K282</f>
        <v>0</v>
      </c>
      <c r="G284" t="e">
        <f>VLOOKUP(F284,'Index Sequence'!$A$2:$B$9808,2,FALSE)</f>
        <v>#N/A</v>
      </c>
      <c r="H284">
        <f>Sample!L282</f>
        <v>0</v>
      </c>
      <c r="I284" t="str">
        <f t="shared" si="4"/>
        <v/>
      </c>
      <c r="K284">
        <f>IF(AND(OR(LEFT(Sample!A282,1)="E",LEFT(Sample!A282,1)="H"),OR(LEFT(Sample!C282,2)="JI",LEFT(Sample!C282,1)="I")),"TS1",IF(AND(OR(LEFT(Sample!A282,1)="E",LEFT(Sample!A282,1)="H"),OR(LEFT(Sample!C282,2)="JX",LEFT(Sample!C282,1)="W",LEFT(Sample!C282,1)="X")),"TS95",IF(AND(OR(LEFT(Sample!A282,1)="E",LEFT(Sample!A282,1)="H"),OR(LEFT(Sample!C282,2)="JN",LEFT(Sample!C282,1)="N")),"TS3",IF(OR(LEFT(Sample!A282,1)="T",LEFT(Sample!A282,1)="B"),"TS24",IF(LEFT(Sample!A282,2)="CR","CARRIER9",IF(LEFT(Sample!A282,4)="DEL3","NIPTDEL3",Sample!A282))))))</f>
        <v>0</v>
      </c>
      <c r="O284" t="str">
        <f xml:space="preserve"> SUBSTITUTE( SUBSTITUTE( SUBSTITUTE( SUBSTITUTE( SUBSTITUTE( SUBSTITUTE( SUBSTITUTE( SUBSTITUTE( SampleImport!I284, "A", 1), "C", 2), "G", 3),"T", 4), 1, "T"), 2, "G"), 3, "C"), 4, "A")</f>
        <v/>
      </c>
    </row>
    <row r="285" spans="1:15" x14ac:dyDescent="0.35">
      <c r="A285" t="str">
        <f>Sample!B283&amp;"-"&amp;Sample!C283</f>
        <v>-</v>
      </c>
      <c r="B285" t="str">
        <f>Sample!B283&amp;"-"&amp;Sample!C283</f>
        <v>-</v>
      </c>
      <c r="C285">
        <f>Sample!A283</f>
        <v>0</v>
      </c>
      <c r="F285">
        <f>Sample!K283</f>
        <v>0</v>
      </c>
      <c r="G285" t="e">
        <f>VLOOKUP(F285,'Index Sequence'!$A$2:$B$9808,2,FALSE)</f>
        <v>#N/A</v>
      </c>
      <c r="H285">
        <f>Sample!L283</f>
        <v>0</v>
      </c>
      <c r="I285" t="str">
        <f t="shared" si="4"/>
        <v/>
      </c>
      <c r="K285">
        <f>IF(AND(OR(LEFT(Sample!A283,1)="E",LEFT(Sample!A283,1)="H"),OR(LEFT(Sample!C283,2)="JI",LEFT(Sample!C283,1)="I")),"TS1",IF(AND(OR(LEFT(Sample!A283,1)="E",LEFT(Sample!A283,1)="H"),OR(LEFT(Sample!C283,2)="JX",LEFT(Sample!C283,1)="W",LEFT(Sample!C283,1)="X")),"TS95",IF(AND(OR(LEFT(Sample!A283,1)="E",LEFT(Sample!A283,1)="H"),OR(LEFT(Sample!C283,2)="JN",LEFT(Sample!C283,1)="N")),"TS3",IF(OR(LEFT(Sample!A283,1)="T",LEFT(Sample!A283,1)="B"),"TS24",IF(LEFT(Sample!A283,2)="CR","CARRIER9",IF(LEFT(Sample!A283,4)="DEL3","NIPTDEL3",Sample!A283))))))</f>
        <v>0</v>
      </c>
      <c r="O285" t="str">
        <f xml:space="preserve"> SUBSTITUTE( SUBSTITUTE( SUBSTITUTE( SUBSTITUTE( SUBSTITUTE( SUBSTITUTE( SUBSTITUTE( SUBSTITUTE( SampleImport!I285, "A", 1), "C", 2), "G", 3),"T", 4), 1, "T"), 2, "G"), 3, "C"), 4, "A")</f>
        <v/>
      </c>
    </row>
    <row r="286" spans="1:15" x14ac:dyDescent="0.35">
      <c r="A286" t="str">
        <f>Sample!B284&amp;"-"&amp;Sample!C284</f>
        <v>-</v>
      </c>
      <c r="B286" t="str">
        <f>Sample!B284&amp;"-"&amp;Sample!C284</f>
        <v>-</v>
      </c>
      <c r="C286">
        <f>Sample!A284</f>
        <v>0</v>
      </c>
      <c r="F286">
        <f>Sample!K284</f>
        <v>0</v>
      </c>
      <c r="G286" t="e">
        <f>VLOOKUP(F286,'Index Sequence'!$A$2:$B$9808,2,FALSE)</f>
        <v>#N/A</v>
      </c>
      <c r="H286">
        <f>Sample!L284</f>
        <v>0</v>
      </c>
      <c r="I286" t="str">
        <f t="shared" si="4"/>
        <v/>
      </c>
      <c r="K286">
        <f>IF(AND(OR(LEFT(Sample!A284,1)="E",LEFT(Sample!A284,1)="H"),OR(LEFT(Sample!C284,2)="JI",LEFT(Sample!C284,1)="I")),"TS1",IF(AND(OR(LEFT(Sample!A284,1)="E",LEFT(Sample!A284,1)="H"),OR(LEFT(Sample!C284,2)="JX",LEFT(Sample!C284,1)="W",LEFT(Sample!C284,1)="X")),"TS95",IF(AND(OR(LEFT(Sample!A284,1)="E",LEFT(Sample!A284,1)="H"),OR(LEFT(Sample!C284,2)="JN",LEFT(Sample!C284,1)="N")),"TS3",IF(OR(LEFT(Sample!A284,1)="T",LEFT(Sample!A284,1)="B"),"TS24",IF(LEFT(Sample!A284,2)="CR","CARRIER9",IF(LEFT(Sample!A284,4)="DEL3","NIPTDEL3",Sample!A284))))))</f>
        <v>0</v>
      </c>
      <c r="O286" t="str">
        <f xml:space="preserve"> SUBSTITUTE( SUBSTITUTE( SUBSTITUTE( SUBSTITUTE( SUBSTITUTE( SUBSTITUTE( SUBSTITUTE( SUBSTITUTE( SampleImport!I286, "A", 1), "C", 2), "G", 3),"T", 4), 1, "T"), 2, "G"), 3, "C"), 4, "A")</f>
        <v/>
      </c>
    </row>
    <row r="287" spans="1:15" x14ac:dyDescent="0.35">
      <c r="A287" t="str">
        <f>Sample!B285&amp;"-"&amp;Sample!C285</f>
        <v>-</v>
      </c>
      <c r="B287" t="str">
        <f>Sample!B285&amp;"-"&amp;Sample!C285</f>
        <v>-</v>
      </c>
      <c r="C287">
        <f>Sample!A285</f>
        <v>0</v>
      </c>
      <c r="F287">
        <f>Sample!K285</f>
        <v>0</v>
      </c>
      <c r="G287" t="e">
        <f>VLOOKUP(F287,'Index Sequence'!$A$2:$B$9808,2,FALSE)</f>
        <v>#N/A</v>
      </c>
      <c r="H287">
        <f>Sample!L285</f>
        <v>0</v>
      </c>
      <c r="I287" t="str">
        <f t="shared" si="4"/>
        <v/>
      </c>
      <c r="K287">
        <f>IF(AND(OR(LEFT(Sample!A285,1)="E",LEFT(Sample!A285,1)="H"),OR(LEFT(Sample!C285,2)="JI",LEFT(Sample!C285,1)="I")),"TS1",IF(AND(OR(LEFT(Sample!A285,1)="E",LEFT(Sample!A285,1)="H"),OR(LEFT(Sample!C285,2)="JX",LEFT(Sample!C285,1)="W",LEFT(Sample!C285,1)="X")),"TS95",IF(AND(OR(LEFT(Sample!A285,1)="E",LEFT(Sample!A285,1)="H"),OR(LEFT(Sample!C285,2)="JN",LEFT(Sample!C285,1)="N")),"TS3",IF(OR(LEFT(Sample!A285,1)="T",LEFT(Sample!A285,1)="B"),"TS24",IF(LEFT(Sample!A285,2)="CR","CARRIER9",IF(LEFT(Sample!A285,4)="DEL3","NIPTDEL3",Sample!A285))))))</f>
        <v>0</v>
      </c>
      <c r="O287" t="str">
        <f xml:space="preserve"> SUBSTITUTE( SUBSTITUTE( SUBSTITUTE( SUBSTITUTE( SUBSTITUTE( SUBSTITUTE( SUBSTITUTE( SUBSTITUTE( SampleImport!I287, "A", 1), "C", 2), "G", 3),"T", 4), 1, "T"), 2, "G"), 3, "C"), 4, "A")</f>
        <v/>
      </c>
    </row>
    <row r="288" spans="1:15" x14ac:dyDescent="0.35">
      <c r="A288" t="str">
        <f>Sample!B286&amp;"-"&amp;Sample!C286</f>
        <v>-</v>
      </c>
      <c r="B288" t="str">
        <f>Sample!B286&amp;"-"&amp;Sample!C286</f>
        <v>-</v>
      </c>
      <c r="C288">
        <f>Sample!A286</f>
        <v>0</v>
      </c>
      <c r="F288">
        <f>Sample!K286</f>
        <v>0</v>
      </c>
      <c r="G288" t="e">
        <f>VLOOKUP(F288,'Index Sequence'!$A$2:$B$9808,2,FALSE)</f>
        <v>#N/A</v>
      </c>
      <c r="H288">
        <f>Sample!L286</f>
        <v>0</v>
      </c>
      <c r="I288" t="str">
        <f t="shared" si="4"/>
        <v/>
      </c>
      <c r="K288">
        <f>IF(AND(OR(LEFT(Sample!A286,1)="E",LEFT(Sample!A286,1)="H"),OR(LEFT(Sample!C286,2)="JI",LEFT(Sample!C286,1)="I")),"TS1",IF(AND(OR(LEFT(Sample!A286,1)="E",LEFT(Sample!A286,1)="H"),OR(LEFT(Sample!C286,2)="JX",LEFT(Sample!C286,1)="W",LEFT(Sample!C286,1)="X")),"TS95",IF(AND(OR(LEFT(Sample!A286,1)="E",LEFT(Sample!A286,1)="H"),OR(LEFT(Sample!C286,2)="JN",LEFT(Sample!C286,1)="N")),"TS3",IF(OR(LEFT(Sample!A286,1)="T",LEFT(Sample!A286,1)="B"),"TS24",IF(LEFT(Sample!A286,2)="CR","CARRIER9",IF(LEFT(Sample!A286,4)="DEL3","NIPTDEL3",Sample!A286))))))</f>
        <v>0</v>
      </c>
      <c r="O288" t="str">
        <f xml:space="preserve"> SUBSTITUTE( SUBSTITUTE( SUBSTITUTE( SUBSTITUTE( SUBSTITUTE( SUBSTITUTE( SUBSTITUTE( SUBSTITUTE( SampleImport!I288, "A", 1), "C", 2), "G", 3),"T", 4), 1, "T"), 2, "G"), 3, "C"), 4, "A")</f>
        <v/>
      </c>
    </row>
    <row r="289" spans="1:15" x14ac:dyDescent="0.35">
      <c r="A289" t="str">
        <f>Sample!B287&amp;"-"&amp;Sample!C287</f>
        <v>-</v>
      </c>
      <c r="B289" t="str">
        <f>Sample!B287&amp;"-"&amp;Sample!C287</f>
        <v>-</v>
      </c>
      <c r="C289">
        <f>Sample!A287</f>
        <v>0</v>
      </c>
      <c r="F289">
        <f>Sample!K287</f>
        <v>0</v>
      </c>
      <c r="G289" t="e">
        <f>VLOOKUP(F289,'Index Sequence'!$A$2:$B$9808,2,FALSE)</f>
        <v>#N/A</v>
      </c>
      <c r="H289">
        <f>Sample!L287</f>
        <v>0</v>
      </c>
      <c r="I289" t="str">
        <f t="shared" si="4"/>
        <v/>
      </c>
      <c r="K289">
        <f>IF(AND(OR(LEFT(Sample!A287,1)="E",LEFT(Sample!A287,1)="H"),OR(LEFT(Sample!C287,2)="JI",LEFT(Sample!C287,1)="I")),"TS1",IF(AND(OR(LEFT(Sample!A287,1)="E",LEFT(Sample!A287,1)="H"),OR(LEFT(Sample!C287,2)="JX",LEFT(Sample!C287,1)="W",LEFT(Sample!C287,1)="X")),"TS95",IF(AND(OR(LEFT(Sample!A287,1)="E",LEFT(Sample!A287,1)="H"),OR(LEFT(Sample!C287,2)="JN",LEFT(Sample!C287,1)="N")),"TS3",IF(OR(LEFT(Sample!A287,1)="T",LEFT(Sample!A287,1)="B"),"TS24",IF(LEFT(Sample!A287,2)="CR","CARRIER9",IF(LEFT(Sample!A287,4)="DEL3","NIPTDEL3",Sample!A287))))))</f>
        <v>0</v>
      </c>
      <c r="O289" t="str">
        <f xml:space="preserve"> SUBSTITUTE( SUBSTITUTE( SUBSTITUTE( SUBSTITUTE( SUBSTITUTE( SUBSTITUTE( SUBSTITUTE( SUBSTITUTE( SampleImport!I289, "A", 1), "C", 2), "G", 3),"T", 4), 1, "T"), 2, "G"), 3, "C"), 4, "A")</f>
        <v/>
      </c>
    </row>
    <row r="290" spans="1:15" x14ac:dyDescent="0.35">
      <c r="A290" t="str">
        <f>Sample!B288&amp;"-"&amp;Sample!C288</f>
        <v>-</v>
      </c>
      <c r="B290" t="str">
        <f>Sample!B288&amp;"-"&amp;Sample!C288</f>
        <v>-</v>
      </c>
      <c r="C290">
        <f>Sample!A288</f>
        <v>0</v>
      </c>
      <c r="F290">
        <f>Sample!K288</f>
        <v>0</v>
      </c>
      <c r="G290" t="e">
        <f>VLOOKUP(F290,'Index Sequence'!$A$2:$B$9808,2,FALSE)</f>
        <v>#N/A</v>
      </c>
      <c r="H290">
        <f>Sample!L288</f>
        <v>0</v>
      </c>
      <c r="I290" t="str">
        <f t="shared" si="4"/>
        <v/>
      </c>
      <c r="K290">
        <f>IF(AND(OR(LEFT(Sample!A288,1)="E",LEFT(Sample!A288,1)="H"),OR(LEFT(Sample!C288,2)="JI",LEFT(Sample!C288,1)="I")),"TS1",IF(AND(OR(LEFT(Sample!A288,1)="E",LEFT(Sample!A288,1)="H"),OR(LEFT(Sample!C288,2)="JX",LEFT(Sample!C288,1)="W",LEFT(Sample!C288,1)="X")),"TS95",IF(AND(OR(LEFT(Sample!A288,1)="E",LEFT(Sample!A288,1)="H"),OR(LEFT(Sample!C288,2)="JN",LEFT(Sample!C288,1)="N")),"TS3",IF(OR(LEFT(Sample!A288,1)="T",LEFT(Sample!A288,1)="B"),"TS24",IF(LEFT(Sample!A288,2)="CR","CARRIER9",IF(LEFT(Sample!A288,4)="DEL3","NIPTDEL3",Sample!A288))))))</f>
        <v>0</v>
      </c>
      <c r="O290" t="str">
        <f xml:space="preserve"> SUBSTITUTE( SUBSTITUTE( SUBSTITUTE( SUBSTITUTE( SUBSTITUTE( SUBSTITUTE( SUBSTITUTE( SUBSTITUTE( SampleImport!I290, "A", 1), "C", 2), "G", 3),"T", 4), 1, "T"), 2, "G"), 3, "C"), 4, "A")</f>
        <v/>
      </c>
    </row>
    <row r="291" spans="1:15" x14ac:dyDescent="0.35">
      <c r="A291" t="str">
        <f>Sample!B289&amp;"-"&amp;Sample!C289</f>
        <v>-</v>
      </c>
      <c r="B291" t="str">
        <f>Sample!B289&amp;"-"&amp;Sample!C289</f>
        <v>-</v>
      </c>
      <c r="C291">
        <f>Sample!A289</f>
        <v>0</v>
      </c>
      <c r="F291">
        <f>Sample!K289</f>
        <v>0</v>
      </c>
      <c r="G291" t="e">
        <f>VLOOKUP(F291,'Index Sequence'!$A$2:$B$9808,2,FALSE)</f>
        <v>#N/A</v>
      </c>
      <c r="H291">
        <f>Sample!L289</f>
        <v>0</v>
      </c>
      <c r="I291" t="str">
        <f t="shared" si="4"/>
        <v/>
      </c>
      <c r="K291">
        <f>IF(AND(OR(LEFT(Sample!A289,1)="E",LEFT(Sample!A289,1)="H"),OR(LEFT(Sample!C289,2)="JI",LEFT(Sample!C289,1)="I")),"TS1",IF(AND(OR(LEFT(Sample!A289,1)="E",LEFT(Sample!A289,1)="H"),OR(LEFT(Sample!C289,2)="JX",LEFT(Sample!C289,1)="W",LEFT(Sample!C289,1)="X")),"TS95",IF(AND(OR(LEFT(Sample!A289,1)="E",LEFT(Sample!A289,1)="H"),OR(LEFT(Sample!C289,2)="JN",LEFT(Sample!C289,1)="N")),"TS3",IF(OR(LEFT(Sample!A289,1)="T",LEFT(Sample!A289,1)="B"),"TS24",IF(LEFT(Sample!A289,2)="CR","CARRIER9",IF(LEFT(Sample!A289,4)="DEL3","NIPTDEL3",Sample!A289))))))</f>
        <v>0</v>
      </c>
      <c r="O291" t="str">
        <f xml:space="preserve"> SUBSTITUTE( SUBSTITUTE( SUBSTITUTE( SUBSTITUTE( SUBSTITUTE( SUBSTITUTE( SUBSTITUTE( SUBSTITUTE( SampleImport!I291, "A", 1), "C", 2), "G", 3),"T", 4), 1, "T"), 2, "G"), 3, "C"), 4, "A")</f>
        <v/>
      </c>
    </row>
    <row r="292" spans="1:15" x14ac:dyDescent="0.35">
      <c r="A292" t="str">
        <f>Sample!B290&amp;"-"&amp;Sample!C290</f>
        <v>-</v>
      </c>
      <c r="B292" t="str">
        <f>Sample!B290&amp;"-"&amp;Sample!C290</f>
        <v>-</v>
      </c>
      <c r="C292">
        <f>Sample!A290</f>
        <v>0</v>
      </c>
      <c r="F292">
        <f>Sample!K290</f>
        <v>0</v>
      </c>
      <c r="G292" t="e">
        <f>VLOOKUP(F292,'Index Sequence'!$A$2:$B$9808,2,FALSE)</f>
        <v>#N/A</v>
      </c>
      <c r="H292">
        <f>Sample!L290</f>
        <v>0</v>
      </c>
      <c r="I292" t="str">
        <f t="shared" si="4"/>
        <v/>
      </c>
      <c r="K292">
        <f>IF(AND(OR(LEFT(Sample!A290,1)="E",LEFT(Sample!A290,1)="H"),OR(LEFT(Sample!C290,2)="JI",LEFT(Sample!C290,1)="I")),"TS1",IF(AND(OR(LEFT(Sample!A290,1)="E",LEFT(Sample!A290,1)="H"),OR(LEFT(Sample!C290,2)="JX",LEFT(Sample!C290,1)="W",LEFT(Sample!C290,1)="X")),"TS95",IF(AND(OR(LEFT(Sample!A290,1)="E",LEFT(Sample!A290,1)="H"),OR(LEFT(Sample!C290,2)="JN",LEFT(Sample!C290,1)="N")),"TS3",IF(OR(LEFT(Sample!A290,1)="T",LEFT(Sample!A290,1)="B"),"TS24",IF(LEFT(Sample!A290,2)="CR","CARRIER9",IF(LEFT(Sample!A290,4)="DEL3","NIPTDEL3",Sample!A290))))))</f>
        <v>0</v>
      </c>
      <c r="O292" t="str">
        <f xml:space="preserve"> SUBSTITUTE( SUBSTITUTE( SUBSTITUTE( SUBSTITUTE( SUBSTITUTE( SUBSTITUTE( SUBSTITUTE( SUBSTITUTE( SampleImport!I292, "A", 1), "C", 2), "G", 3),"T", 4), 1, "T"), 2, "G"), 3, "C"), 4, "A")</f>
        <v/>
      </c>
    </row>
    <row r="293" spans="1:15" x14ac:dyDescent="0.35">
      <c r="A293" t="str">
        <f>Sample!B291&amp;"-"&amp;Sample!C291</f>
        <v>-</v>
      </c>
      <c r="B293" t="str">
        <f>Sample!B291&amp;"-"&amp;Sample!C291</f>
        <v>-</v>
      </c>
      <c r="C293">
        <f>Sample!A291</f>
        <v>0</v>
      </c>
      <c r="F293">
        <f>Sample!K291</f>
        <v>0</v>
      </c>
      <c r="G293" t="e">
        <f>VLOOKUP(F293,'Index Sequence'!$A$2:$B$9808,2,FALSE)</f>
        <v>#N/A</v>
      </c>
      <c r="H293">
        <f>Sample!L291</f>
        <v>0</v>
      </c>
      <c r="I293" t="str">
        <f t="shared" si="4"/>
        <v/>
      </c>
      <c r="K293">
        <f>IF(AND(OR(LEFT(Sample!A291,1)="E",LEFT(Sample!A291,1)="H"),OR(LEFT(Sample!C291,2)="JI",LEFT(Sample!C291,1)="I")),"TS1",IF(AND(OR(LEFT(Sample!A291,1)="E",LEFT(Sample!A291,1)="H"),OR(LEFT(Sample!C291,2)="JX",LEFT(Sample!C291,1)="W",LEFT(Sample!C291,1)="X")),"TS95",IF(AND(OR(LEFT(Sample!A291,1)="E",LEFT(Sample!A291,1)="H"),OR(LEFT(Sample!C291,2)="JN",LEFT(Sample!C291,1)="N")),"TS3",IF(OR(LEFT(Sample!A291,1)="T",LEFT(Sample!A291,1)="B"),"TS24",IF(LEFT(Sample!A291,2)="CR","CARRIER9",IF(LEFT(Sample!A291,4)="DEL3","NIPTDEL3",Sample!A291))))))</f>
        <v>0</v>
      </c>
      <c r="O293" t="str">
        <f xml:space="preserve"> SUBSTITUTE( SUBSTITUTE( SUBSTITUTE( SUBSTITUTE( SUBSTITUTE( SUBSTITUTE( SUBSTITUTE( SUBSTITUTE( SampleImport!I293, "A", 1), "C", 2), "G", 3),"T", 4), 1, "T"), 2, "G"), 3, "C"), 4, "A")</f>
        <v/>
      </c>
    </row>
    <row r="294" spans="1:15" x14ac:dyDescent="0.35">
      <c r="A294" t="str">
        <f>Sample!B292&amp;"-"&amp;Sample!C292</f>
        <v>-</v>
      </c>
      <c r="B294" t="str">
        <f>Sample!B292&amp;"-"&amp;Sample!C292</f>
        <v>-</v>
      </c>
      <c r="C294">
        <f>Sample!A292</f>
        <v>0</v>
      </c>
      <c r="F294">
        <f>Sample!K292</f>
        <v>0</v>
      </c>
      <c r="G294" t="e">
        <f>VLOOKUP(F294,'Index Sequence'!$A$2:$B$9808,2,FALSE)</f>
        <v>#N/A</v>
      </c>
      <c r="H294">
        <f>Sample!L292</f>
        <v>0</v>
      </c>
      <c r="I294" t="str">
        <f t="shared" si="4"/>
        <v/>
      </c>
      <c r="K294">
        <f>IF(AND(OR(LEFT(Sample!A292,1)="E",LEFT(Sample!A292,1)="H"),OR(LEFT(Sample!C292,2)="JI",LEFT(Sample!C292,1)="I")),"TS1",IF(AND(OR(LEFT(Sample!A292,1)="E",LEFT(Sample!A292,1)="H"),OR(LEFT(Sample!C292,2)="JX",LEFT(Sample!C292,1)="W",LEFT(Sample!C292,1)="X")),"TS95",IF(AND(OR(LEFT(Sample!A292,1)="E",LEFT(Sample!A292,1)="H"),OR(LEFT(Sample!C292,2)="JN",LEFT(Sample!C292,1)="N")),"TS3",IF(OR(LEFT(Sample!A292,1)="T",LEFT(Sample!A292,1)="B"),"TS24",IF(LEFT(Sample!A292,2)="CR","CARRIER9",IF(LEFT(Sample!A292,4)="DEL3","NIPTDEL3",Sample!A292))))))</f>
        <v>0</v>
      </c>
      <c r="O294" t="str">
        <f xml:space="preserve"> SUBSTITUTE( SUBSTITUTE( SUBSTITUTE( SUBSTITUTE( SUBSTITUTE( SUBSTITUTE( SUBSTITUTE( SUBSTITUTE( SampleImport!I294, "A", 1), "C", 2), "G", 3),"T", 4), 1, "T"), 2, "G"), 3, "C"), 4, "A")</f>
        <v/>
      </c>
    </row>
    <row r="295" spans="1:15" x14ac:dyDescent="0.35">
      <c r="A295" t="str">
        <f>Sample!B293&amp;"-"&amp;Sample!C293</f>
        <v>-</v>
      </c>
      <c r="B295" t="str">
        <f>Sample!B293&amp;"-"&amp;Sample!C293</f>
        <v>-</v>
      </c>
      <c r="C295">
        <f>Sample!A293</f>
        <v>0</v>
      </c>
      <c r="F295">
        <f>Sample!K293</f>
        <v>0</v>
      </c>
      <c r="G295" t="e">
        <f>VLOOKUP(F295,'Index Sequence'!$A$2:$B$9808,2,FALSE)</f>
        <v>#N/A</v>
      </c>
      <c r="H295">
        <f>Sample!L293</f>
        <v>0</v>
      </c>
      <c r="I295" t="str">
        <f t="shared" si="4"/>
        <v/>
      </c>
      <c r="K295">
        <f>IF(AND(OR(LEFT(Sample!A293,1)="E",LEFT(Sample!A293,1)="H"),OR(LEFT(Sample!C293,2)="JI",LEFT(Sample!C293,1)="I")),"TS1",IF(AND(OR(LEFT(Sample!A293,1)="E",LEFT(Sample!A293,1)="H"),OR(LEFT(Sample!C293,2)="JX",LEFT(Sample!C293,1)="W",LEFT(Sample!C293,1)="X")),"TS95",IF(AND(OR(LEFT(Sample!A293,1)="E",LEFT(Sample!A293,1)="H"),OR(LEFT(Sample!C293,2)="JN",LEFT(Sample!C293,1)="N")),"TS3",IF(OR(LEFT(Sample!A293,1)="T",LEFT(Sample!A293,1)="B"),"TS24",IF(LEFT(Sample!A293,2)="CR","CARRIER9",IF(LEFT(Sample!A293,4)="DEL3","NIPTDEL3",Sample!A293))))))</f>
        <v>0</v>
      </c>
      <c r="O295" t="str">
        <f xml:space="preserve"> SUBSTITUTE( SUBSTITUTE( SUBSTITUTE( SUBSTITUTE( SUBSTITUTE( SUBSTITUTE( SUBSTITUTE( SUBSTITUTE( SampleImport!I295, "A", 1), "C", 2), "G", 3),"T", 4), 1, "T"), 2, "G"), 3, "C"), 4, "A")</f>
        <v/>
      </c>
    </row>
    <row r="296" spans="1:15" x14ac:dyDescent="0.35">
      <c r="A296" t="str">
        <f>Sample!B294&amp;"-"&amp;Sample!C294</f>
        <v>-</v>
      </c>
      <c r="B296" t="str">
        <f>Sample!B294&amp;"-"&amp;Sample!C294</f>
        <v>-</v>
      </c>
      <c r="C296">
        <f>Sample!A294</f>
        <v>0</v>
      </c>
      <c r="F296">
        <f>Sample!K294</f>
        <v>0</v>
      </c>
      <c r="G296" t="e">
        <f>VLOOKUP(F296,'Index Sequence'!$A$2:$B$9808,2,FALSE)</f>
        <v>#N/A</v>
      </c>
      <c r="H296">
        <f>Sample!L294</f>
        <v>0</v>
      </c>
      <c r="I296" t="str">
        <f t="shared" si="4"/>
        <v/>
      </c>
      <c r="K296">
        <f>IF(AND(OR(LEFT(Sample!A294,1)="E",LEFT(Sample!A294,1)="H"),OR(LEFT(Sample!C294,2)="JI",LEFT(Sample!C294,1)="I")),"TS1",IF(AND(OR(LEFT(Sample!A294,1)="E",LEFT(Sample!A294,1)="H"),OR(LEFT(Sample!C294,2)="JX",LEFT(Sample!C294,1)="W",LEFT(Sample!C294,1)="X")),"TS95",IF(AND(OR(LEFT(Sample!A294,1)="E",LEFT(Sample!A294,1)="H"),OR(LEFT(Sample!C294,2)="JN",LEFT(Sample!C294,1)="N")),"TS3",IF(OR(LEFT(Sample!A294,1)="T",LEFT(Sample!A294,1)="B"),"TS24",IF(LEFT(Sample!A294,2)="CR","CARRIER9",IF(LEFT(Sample!A294,4)="DEL3","NIPTDEL3",Sample!A294))))))</f>
        <v>0</v>
      </c>
      <c r="O296" t="str">
        <f xml:space="preserve"> SUBSTITUTE( SUBSTITUTE( SUBSTITUTE( SUBSTITUTE( SUBSTITUTE( SUBSTITUTE( SUBSTITUTE( SUBSTITUTE( SampleImport!I296, "A", 1), "C", 2), "G", 3),"T", 4), 1, "T"), 2, "G"), 3, "C"), 4, "A")</f>
        <v/>
      </c>
    </row>
    <row r="297" spans="1:15" x14ac:dyDescent="0.35">
      <c r="A297" t="str">
        <f>Sample!B295&amp;"-"&amp;Sample!C295</f>
        <v>-</v>
      </c>
      <c r="B297" t="str">
        <f>Sample!B295&amp;"-"&amp;Sample!C295</f>
        <v>-</v>
      </c>
      <c r="C297">
        <f>Sample!A295</f>
        <v>0</v>
      </c>
      <c r="F297">
        <f>Sample!K295</f>
        <v>0</v>
      </c>
      <c r="G297" t="e">
        <f>VLOOKUP(F297,'Index Sequence'!$A$2:$B$9808,2,FALSE)</f>
        <v>#N/A</v>
      </c>
      <c r="H297">
        <f>Sample!L295</f>
        <v>0</v>
      </c>
      <c r="I297" t="str">
        <f t="shared" si="4"/>
        <v/>
      </c>
      <c r="K297">
        <f>IF(AND(OR(LEFT(Sample!A295,1)="E",LEFT(Sample!A295,1)="H"),OR(LEFT(Sample!C295,2)="JI",LEFT(Sample!C295,1)="I")),"TS1",IF(AND(OR(LEFT(Sample!A295,1)="E",LEFT(Sample!A295,1)="H"),OR(LEFT(Sample!C295,2)="JX",LEFT(Sample!C295,1)="W",LEFT(Sample!C295,1)="X")),"TS95",IF(AND(OR(LEFT(Sample!A295,1)="E",LEFT(Sample!A295,1)="H"),OR(LEFT(Sample!C295,2)="JN",LEFT(Sample!C295,1)="N")),"TS3",IF(OR(LEFT(Sample!A295,1)="T",LEFT(Sample!A295,1)="B"),"TS24",IF(LEFT(Sample!A295,2)="CR","CARRIER9",IF(LEFT(Sample!A295,4)="DEL3","NIPTDEL3",Sample!A295))))))</f>
        <v>0</v>
      </c>
      <c r="O297" t="str">
        <f xml:space="preserve"> SUBSTITUTE( SUBSTITUTE( SUBSTITUTE( SUBSTITUTE( SUBSTITUTE( SUBSTITUTE( SUBSTITUTE( SUBSTITUTE( SampleImport!I297, "A", 1), "C", 2), "G", 3),"T", 4), 1, "T"), 2, "G"), 3, "C"), 4, "A")</f>
        <v/>
      </c>
    </row>
    <row r="298" spans="1:15" x14ac:dyDescent="0.35">
      <c r="A298" t="str">
        <f>Sample!B296&amp;"-"&amp;Sample!C296</f>
        <v>-</v>
      </c>
      <c r="B298" t="str">
        <f>Sample!B296&amp;"-"&amp;Sample!C296</f>
        <v>-</v>
      </c>
      <c r="C298">
        <f>Sample!A296</f>
        <v>0</v>
      </c>
      <c r="F298">
        <f>Sample!K296</f>
        <v>0</v>
      </c>
      <c r="G298" t="e">
        <f>VLOOKUP(F298,'Index Sequence'!$A$2:$B$9808,2,FALSE)</f>
        <v>#N/A</v>
      </c>
      <c r="H298">
        <f>Sample!L296</f>
        <v>0</v>
      </c>
      <c r="I298" t="str">
        <f t="shared" si="4"/>
        <v/>
      </c>
      <c r="K298">
        <f>IF(AND(OR(LEFT(Sample!A296,1)="E",LEFT(Sample!A296,1)="H"),OR(LEFT(Sample!C296,2)="JI",LEFT(Sample!C296,1)="I")),"TS1",IF(AND(OR(LEFT(Sample!A296,1)="E",LEFT(Sample!A296,1)="H"),OR(LEFT(Sample!C296,2)="JX",LEFT(Sample!C296,1)="W",LEFT(Sample!C296,1)="X")),"TS95",IF(AND(OR(LEFT(Sample!A296,1)="E",LEFT(Sample!A296,1)="H"),OR(LEFT(Sample!C296,2)="JN",LEFT(Sample!C296,1)="N")),"TS3",IF(OR(LEFT(Sample!A296,1)="T",LEFT(Sample!A296,1)="B"),"TS24",IF(LEFT(Sample!A296,2)="CR","CARRIER9",IF(LEFT(Sample!A296,4)="DEL3","NIPTDEL3",Sample!A296))))))</f>
        <v>0</v>
      </c>
      <c r="O298" t="str">
        <f xml:space="preserve"> SUBSTITUTE( SUBSTITUTE( SUBSTITUTE( SUBSTITUTE( SUBSTITUTE( SUBSTITUTE( SUBSTITUTE( SUBSTITUTE( SampleImport!I298, "A", 1), "C", 2), "G", 3),"T", 4), 1, "T"), 2, "G"), 3, "C"), 4, "A")</f>
        <v/>
      </c>
    </row>
    <row r="299" spans="1:15" x14ac:dyDescent="0.35">
      <c r="A299" t="str">
        <f>Sample!B297&amp;"-"&amp;Sample!C297</f>
        <v>-</v>
      </c>
      <c r="B299" t="str">
        <f>Sample!B297&amp;"-"&amp;Sample!C297</f>
        <v>-</v>
      </c>
      <c r="C299">
        <f>Sample!A297</f>
        <v>0</v>
      </c>
      <c r="F299">
        <f>Sample!K297</f>
        <v>0</v>
      </c>
      <c r="G299" t="e">
        <f>VLOOKUP(F299,'Index Sequence'!$A$2:$B$9808,2,FALSE)</f>
        <v>#N/A</v>
      </c>
      <c r="H299">
        <f>Sample!L297</f>
        <v>0</v>
      </c>
      <c r="I299" t="str">
        <f t="shared" si="4"/>
        <v/>
      </c>
      <c r="K299">
        <f>IF(AND(OR(LEFT(Sample!A297,1)="E",LEFT(Sample!A297,1)="H"),OR(LEFT(Sample!C297,2)="JI",LEFT(Sample!C297,1)="I")),"TS1",IF(AND(OR(LEFT(Sample!A297,1)="E",LEFT(Sample!A297,1)="H"),OR(LEFT(Sample!C297,2)="JX",LEFT(Sample!C297,1)="W",LEFT(Sample!C297,1)="X")),"TS95",IF(AND(OR(LEFT(Sample!A297,1)="E",LEFT(Sample!A297,1)="H"),OR(LEFT(Sample!C297,2)="JN",LEFT(Sample!C297,1)="N")),"TS3",IF(OR(LEFT(Sample!A297,1)="T",LEFT(Sample!A297,1)="B"),"TS24",IF(LEFT(Sample!A297,2)="CR","CARRIER9",IF(LEFT(Sample!A297,4)="DEL3","NIPTDEL3",Sample!A297))))))</f>
        <v>0</v>
      </c>
      <c r="O299" t="str">
        <f xml:space="preserve"> SUBSTITUTE( SUBSTITUTE( SUBSTITUTE( SUBSTITUTE( SUBSTITUTE( SUBSTITUTE( SUBSTITUTE( SUBSTITUTE( SampleImport!I299, "A", 1), "C", 2), "G", 3),"T", 4), 1, "T"), 2, "G"), 3, "C"), 4, "A")</f>
        <v/>
      </c>
    </row>
    <row r="300" spans="1:15" x14ac:dyDescent="0.35">
      <c r="A300" t="str">
        <f>Sample!B298&amp;"-"&amp;Sample!C298</f>
        <v>-</v>
      </c>
      <c r="B300" t="str">
        <f>Sample!B298&amp;"-"&amp;Sample!C298</f>
        <v>-</v>
      </c>
      <c r="C300">
        <f>Sample!A298</f>
        <v>0</v>
      </c>
      <c r="F300">
        <f>Sample!K298</f>
        <v>0</v>
      </c>
      <c r="G300" t="e">
        <f>VLOOKUP(F300,'Index Sequence'!$A$2:$B$9808,2,FALSE)</f>
        <v>#N/A</v>
      </c>
      <c r="H300">
        <f>Sample!L298</f>
        <v>0</v>
      </c>
      <c r="I300" t="str">
        <f t="shared" si="4"/>
        <v/>
      </c>
      <c r="K300">
        <f>IF(AND(OR(LEFT(Sample!A298,1)="E",LEFT(Sample!A298,1)="H"),OR(LEFT(Sample!C298,2)="JI",LEFT(Sample!C298,1)="I")),"TS1",IF(AND(OR(LEFT(Sample!A298,1)="E",LEFT(Sample!A298,1)="H"),OR(LEFT(Sample!C298,2)="JX",LEFT(Sample!C298,1)="W",LEFT(Sample!C298,1)="X")),"TS95",IF(AND(OR(LEFT(Sample!A298,1)="E",LEFT(Sample!A298,1)="H"),OR(LEFT(Sample!C298,2)="JN",LEFT(Sample!C298,1)="N")),"TS3",IF(OR(LEFT(Sample!A298,1)="T",LEFT(Sample!A298,1)="B"),"TS24",IF(LEFT(Sample!A298,2)="CR","CARRIER9",IF(LEFT(Sample!A298,4)="DEL3","NIPTDEL3",Sample!A298))))))</f>
        <v>0</v>
      </c>
      <c r="O300" t="str">
        <f xml:space="preserve"> SUBSTITUTE( SUBSTITUTE( SUBSTITUTE( SUBSTITUTE( SUBSTITUTE( SUBSTITUTE( SUBSTITUTE( SUBSTITUTE( SampleImport!I300, "A", 1), "C", 2), "G", 3),"T", 4), 1, "T"), 2, "G"), 3, "C"), 4, "A")</f>
        <v/>
      </c>
    </row>
    <row r="301" spans="1:15" x14ac:dyDescent="0.35">
      <c r="A301" t="str">
        <f>Sample!B299&amp;"-"&amp;Sample!C299</f>
        <v>-</v>
      </c>
      <c r="B301" t="str">
        <f>Sample!B299&amp;"-"&amp;Sample!C299</f>
        <v>-</v>
      </c>
      <c r="C301">
        <f>Sample!A299</f>
        <v>0</v>
      </c>
      <c r="F301">
        <f>Sample!K299</f>
        <v>0</v>
      </c>
      <c r="G301" t="e">
        <f>VLOOKUP(F301,'Index Sequence'!$A$2:$B$9808,2,FALSE)</f>
        <v>#N/A</v>
      </c>
      <c r="H301">
        <f>Sample!L299</f>
        <v>0</v>
      </c>
      <c r="I301" t="str">
        <f t="shared" si="4"/>
        <v/>
      </c>
      <c r="K301">
        <f>IF(AND(OR(LEFT(Sample!A299,1)="E",LEFT(Sample!A299,1)="H"),OR(LEFT(Sample!C299,2)="JI",LEFT(Sample!C299,1)="I")),"TS1",IF(AND(OR(LEFT(Sample!A299,1)="E",LEFT(Sample!A299,1)="H"),OR(LEFT(Sample!C299,2)="JX",LEFT(Sample!C299,1)="W",LEFT(Sample!C299,1)="X")),"TS95",IF(AND(OR(LEFT(Sample!A299,1)="E",LEFT(Sample!A299,1)="H"),OR(LEFT(Sample!C299,2)="JN",LEFT(Sample!C299,1)="N")),"TS3",IF(OR(LEFT(Sample!A299,1)="T",LEFT(Sample!A299,1)="B"),"TS24",IF(LEFT(Sample!A299,2)="CR","CARRIER9",IF(LEFT(Sample!A299,4)="DEL3","NIPTDEL3",Sample!A299))))))</f>
        <v>0</v>
      </c>
      <c r="O301" t="str">
        <f xml:space="preserve"> SUBSTITUTE( SUBSTITUTE( SUBSTITUTE( SUBSTITUTE( SUBSTITUTE( SUBSTITUTE( SUBSTITUTE( SUBSTITUTE( SampleImport!I301, "A", 1), "C", 2), "G", 3),"T", 4), 1, "T"), 2, "G"), 3, "C"), 4, "A")</f>
        <v/>
      </c>
    </row>
    <row r="302" spans="1:15" x14ac:dyDescent="0.35">
      <c r="A302" t="str">
        <f>Sample!B300&amp;"-"&amp;Sample!C300</f>
        <v>-</v>
      </c>
      <c r="B302" t="str">
        <f>Sample!B300&amp;"-"&amp;Sample!C300</f>
        <v>-</v>
      </c>
      <c r="C302">
        <f>Sample!A300</f>
        <v>0</v>
      </c>
      <c r="F302">
        <f>Sample!K300</f>
        <v>0</v>
      </c>
      <c r="G302" t="e">
        <f>VLOOKUP(F302,'Index Sequence'!$A$2:$B$9808,2,FALSE)</f>
        <v>#N/A</v>
      </c>
      <c r="H302">
        <f>Sample!L300</f>
        <v>0</v>
      </c>
      <c r="I302" t="str">
        <f t="shared" si="4"/>
        <v/>
      </c>
      <c r="K302">
        <f>IF(AND(OR(LEFT(Sample!A300,1)="E",LEFT(Sample!A300,1)="H"),OR(LEFT(Sample!C300,2)="JI",LEFT(Sample!C300,1)="I")),"TS1",IF(AND(OR(LEFT(Sample!A300,1)="E",LEFT(Sample!A300,1)="H"),OR(LEFT(Sample!C300,2)="JX",LEFT(Sample!C300,1)="W",LEFT(Sample!C300,1)="X")),"TS95",IF(AND(OR(LEFT(Sample!A300,1)="E",LEFT(Sample!A300,1)="H"),OR(LEFT(Sample!C300,2)="JN",LEFT(Sample!C300,1)="N")),"TS3",IF(OR(LEFT(Sample!A300,1)="T",LEFT(Sample!A300,1)="B"),"TS24",IF(LEFT(Sample!A300,2)="CR","CARRIER9",IF(LEFT(Sample!A300,4)="DEL3","NIPTDEL3",Sample!A300))))))</f>
        <v>0</v>
      </c>
      <c r="O302" t="str">
        <f xml:space="preserve"> SUBSTITUTE( SUBSTITUTE( SUBSTITUTE( SUBSTITUTE( SUBSTITUTE( SUBSTITUTE( SUBSTITUTE( SUBSTITUTE( SampleImport!I302, "A", 1), "C", 2), "G", 3),"T", 4), 1, "T"), 2, "G"), 3, "C"), 4, "A")</f>
        <v/>
      </c>
    </row>
    <row r="303" spans="1:15" x14ac:dyDescent="0.35">
      <c r="A303" t="str">
        <f>Sample!B301&amp;"-"&amp;Sample!C301</f>
        <v>-</v>
      </c>
      <c r="B303" t="str">
        <f>Sample!B301&amp;"-"&amp;Sample!C301</f>
        <v>-</v>
      </c>
      <c r="C303">
        <f>Sample!A301</f>
        <v>0</v>
      </c>
      <c r="F303">
        <f>Sample!K301</f>
        <v>0</v>
      </c>
      <c r="G303" t="e">
        <f>VLOOKUP(F303,'Index Sequence'!$A$2:$B$9808,2,FALSE)</f>
        <v>#N/A</v>
      </c>
      <c r="H303">
        <f>Sample!L301</f>
        <v>0</v>
      </c>
      <c r="I303" t="str">
        <f t="shared" si="4"/>
        <v/>
      </c>
      <c r="K303">
        <f>IF(AND(OR(LEFT(Sample!A301,1)="E",LEFT(Sample!A301,1)="H"),OR(LEFT(Sample!C301,2)="JI",LEFT(Sample!C301,1)="I")),"TS1",IF(AND(OR(LEFT(Sample!A301,1)="E",LEFT(Sample!A301,1)="H"),OR(LEFT(Sample!C301,2)="JX",LEFT(Sample!C301,1)="W",LEFT(Sample!C301,1)="X")),"TS95",IF(AND(OR(LEFT(Sample!A301,1)="E",LEFT(Sample!A301,1)="H"),OR(LEFT(Sample!C301,2)="JN",LEFT(Sample!C301,1)="N")),"TS3",IF(OR(LEFT(Sample!A301,1)="T",LEFT(Sample!A301,1)="B"),"TS24",IF(LEFT(Sample!A301,2)="CR","CARRIER9",IF(LEFT(Sample!A301,4)="DEL3","NIPTDEL3",Sample!A301))))))</f>
        <v>0</v>
      </c>
      <c r="O303" t="str">
        <f xml:space="preserve"> SUBSTITUTE( SUBSTITUTE( SUBSTITUTE( SUBSTITUTE( SUBSTITUTE( SUBSTITUTE( SUBSTITUTE( SUBSTITUTE( SampleImport!I303, "A", 1), "C", 2), "G", 3),"T", 4), 1, "T"), 2, "G"), 3, "C"), 4, "A")</f>
        <v/>
      </c>
    </row>
    <row r="304" spans="1:15" x14ac:dyDescent="0.35">
      <c r="A304" t="str">
        <f>Sample!B302&amp;"-"&amp;Sample!C302</f>
        <v>-</v>
      </c>
      <c r="B304" t="str">
        <f>Sample!B302&amp;"-"&amp;Sample!C302</f>
        <v>-</v>
      </c>
      <c r="C304">
        <f>Sample!A302</f>
        <v>0</v>
      </c>
      <c r="F304">
        <f>Sample!K302</f>
        <v>0</v>
      </c>
      <c r="G304" t="e">
        <f>VLOOKUP(F304,'Index Sequence'!$A$2:$B$9808,2,FALSE)</f>
        <v>#N/A</v>
      </c>
      <c r="H304">
        <f>Sample!L302</f>
        <v>0</v>
      </c>
      <c r="I304" t="str">
        <f t="shared" si="4"/>
        <v/>
      </c>
      <c r="K304">
        <f>IF(AND(OR(LEFT(Sample!A302,1)="E",LEFT(Sample!A302,1)="H"),OR(LEFT(Sample!C302,2)="JI",LEFT(Sample!C302,1)="I")),"TS1",IF(AND(OR(LEFT(Sample!A302,1)="E",LEFT(Sample!A302,1)="H"),OR(LEFT(Sample!C302,2)="JX",LEFT(Sample!C302,1)="W",LEFT(Sample!C302,1)="X")),"TS95",IF(AND(OR(LEFT(Sample!A302,1)="E",LEFT(Sample!A302,1)="H"),OR(LEFT(Sample!C302,2)="JN",LEFT(Sample!C302,1)="N")),"TS3",IF(OR(LEFT(Sample!A302,1)="T",LEFT(Sample!A302,1)="B"),"TS24",IF(LEFT(Sample!A302,2)="CR","CARRIER9",IF(LEFT(Sample!A302,4)="DEL3","NIPTDEL3",Sample!A302))))))</f>
        <v>0</v>
      </c>
      <c r="O304" t="str">
        <f xml:space="preserve"> SUBSTITUTE( SUBSTITUTE( SUBSTITUTE( SUBSTITUTE( SUBSTITUTE( SUBSTITUTE( SUBSTITUTE( SUBSTITUTE( SampleImport!I304, "A", 1), "C", 2), "G", 3),"T", 4), 1, "T"), 2, "G"), 3, "C"), 4, "A")</f>
        <v/>
      </c>
    </row>
    <row r="305" spans="1:15" x14ac:dyDescent="0.35">
      <c r="A305" t="str">
        <f>Sample!B303&amp;"-"&amp;Sample!C303</f>
        <v>-</v>
      </c>
      <c r="B305" t="str">
        <f>Sample!B303&amp;"-"&amp;Sample!C303</f>
        <v>-</v>
      </c>
      <c r="C305">
        <f>Sample!A303</f>
        <v>0</v>
      </c>
      <c r="F305">
        <f>Sample!K303</f>
        <v>0</v>
      </c>
      <c r="G305" t="e">
        <f>VLOOKUP(F305,'Index Sequence'!$A$2:$B$9808,2,FALSE)</f>
        <v>#N/A</v>
      </c>
      <c r="H305">
        <f>Sample!L303</f>
        <v>0</v>
      </c>
      <c r="I305" t="str">
        <f t="shared" si="4"/>
        <v/>
      </c>
      <c r="K305">
        <f>IF(AND(OR(LEFT(Sample!A303,1)="E",LEFT(Sample!A303,1)="H"),OR(LEFT(Sample!C303,2)="JI",LEFT(Sample!C303,1)="I")),"TS1",IF(AND(OR(LEFT(Sample!A303,1)="E",LEFT(Sample!A303,1)="H"),OR(LEFT(Sample!C303,2)="JX",LEFT(Sample!C303,1)="W",LEFT(Sample!C303,1)="X")),"TS95",IF(AND(OR(LEFT(Sample!A303,1)="E",LEFT(Sample!A303,1)="H"),OR(LEFT(Sample!C303,2)="JN",LEFT(Sample!C303,1)="N")),"TS3",IF(OR(LEFT(Sample!A303,1)="T",LEFT(Sample!A303,1)="B"),"TS24",IF(LEFT(Sample!A303,2)="CR","CARRIER9",IF(LEFT(Sample!A303,4)="DEL3","NIPTDEL3",Sample!A303))))))</f>
        <v>0</v>
      </c>
      <c r="O305" t="str">
        <f xml:space="preserve"> SUBSTITUTE( SUBSTITUTE( SUBSTITUTE( SUBSTITUTE( SUBSTITUTE( SUBSTITUTE( SUBSTITUTE( SUBSTITUTE( SampleImport!I305, "A", 1), "C", 2), "G", 3),"T", 4), 1, "T"), 2, "G"), 3, "C"), 4, "A")</f>
        <v/>
      </c>
    </row>
    <row r="306" spans="1:15" x14ac:dyDescent="0.35">
      <c r="A306" t="str">
        <f>Sample!B304&amp;"-"&amp;Sample!C304</f>
        <v>-</v>
      </c>
      <c r="B306" t="str">
        <f>Sample!B304&amp;"-"&amp;Sample!C304</f>
        <v>-</v>
      </c>
      <c r="C306">
        <f>Sample!A304</f>
        <v>0</v>
      </c>
      <c r="F306">
        <f>Sample!K304</f>
        <v>0</v>
      </c>
      <c r="G306" t="e">
        <f>VLOOKUP(F306,'Index Sequence'!$A$2:$B$9808,2,FALSE)</f>
        <v>#N/A</v>
      </c>
      <c r="H306">
        <f>Sample!L304</f>
        <v>0</v>
      </c>
      <c r="I306" t="str">
        <f t="shared" si="4"/>
        <v/>
      </c>
      <c r="K306">
        <f>IF(AND(OR(LEFT(Sample!A304,1)="E",LEFT(Sample!A304,1)="H"),OR(LEFT(Sample!C304,2)="JI",LEFT(Sample!C304,1)="I")),"TS1",IF(AND(OR(LEFT(Sample!A304,1)="E",LEFT(Sample!A304,1)="H"),OR(LEFT(Sample!C304,2)="JX",LEFT(Sample!C304,1)="W",LEFT(Sample!C304,1)="X")),"TS95",IF(AND(OR(LEFT(Sample!A304,1)="E",LEFT(Sample!A304,1)="H"),OR(LEFT(Sample!C304,2)="JN",LEFT(Sample!C304,1)="N")),"TS3",IF(OR(LEFT(Sample!A304,1)="T",LEFT(Sample!A304,1)="B"),"TS24",IF(LEFT(Sample!A304,2)="CR","CARRIER9",IF(LEFT(Sample!A304,4)="DEL3","NIPTDEL3",Sample!A304))))))</f>
        <v>0</v>
      </c>
      <c r="O306" t="str">
        <f xml:space="preserve"> SUBSTITUTE( SUBSTITUTE( SUBSTITUTE( SUBSTITUTE( SUBSTITUTE( SUBSTITUTE( SUBSTITUTE( SUBSTITUTE( SampleImport!I306, "A", 1), "C", 2), "G", 3),"T", 4), 1, "T"), 2, "G"), 3, "C"), 4, "A")</f>
        <v/>
      </c>
    </row>
    <row r="307" spans="1:15" x14ac:dyDescent="0.35">
      <c r="A307" t="str">
        <f>Sample!B305&amp;"-"&amp;Sample!C305</f>
        <v>-</v>
      </c>
      <c r="B307" t="str">
        <f>Sample!B305&amp;"-"&amp;Sample!C305</f>
        <v>-</v>
      </c>
      <c r="C307">
        <f>Sample!A305</f>
        <v>0</v>
      </c>
      <c r="F307">
        <f>Sample!K305</f>
        <v>0</v>
      </c>
      <c r="G307" t="e">
        <f>VLOOKUP(F307,'Index Sequence'!$A$2:$B$9808,2,FALSE)</f>
        <v>#N/A</v>
      </c>
      <c r="H307">
        <f>Sample!L305</f>
        <v>0</v>
      </c>
      <c r="I307" t="str">
        <f t="shared" si="4"/>
        <v/>
      </c>
      <c r="K307">
        <f>IF(AND(OR(LEFT(Sample!A305,1)="E",LEFT(Sample!A305,1)="H"),OR(LEFT(Sample!C305,2)="JI",LEFT(Sample!C305,1)="I")),"TS1",IF(AND(OR(LEFT(Sample!A305,1)="E",LEFT(Sample!A305,1)="H"),OR(LEFT(Sample!C305,2)="JX",LEFT(Sample!C305,1)="W",LEFT(Sample!C305,1)="X")),"TS95",IF(AND(OR(LEFT(Sample!A305,1)="E",LEFT(Sample!A305,1)="H"),OR(LEFT(Sample!C305,2)="JN",LEFT(Sample!C305,1)="N")),"TS3",IF(OR(LEFT(Sample!A305,1)="T",LEFT(Sample!A305,1)="B"),"TS24",IF(LEFT(Sample!A305,2)="CR","CARRIER9",IF(LEFT(Sample!A305,4)="DEL3","NIPTDEL3",Sample!A305))))))</f>
        <v>0</v>
      </c>
      <c r="O307" t="str">
        <f xml:space="preserve"> SUBSTITUTE( SUBSTITUTE( SUBSTITUTE( SUBSTITUTE( SUBSTITUTE( SUBSTITUTE( SUBSTITUTE( SUBSTITUTE( SampleImport!I307, "A", 1), "C", 2), "G", 3),"T", 4), 1, "T"), 2, "G"), 3, "C"), 4, "A")</f>
        <v/>
      </c>
    </row>
    <row r="308" spans="1:15" x14ac:dyDescent="0.35">
      <c r="A308" t="str">
        <f>Sample!B306&amp;"-"&amp;Sample!C306</f>
        <v>-</v>
      </c>
      <c r="B308" t="str">
        <f>Sample!B306&amp;"-"&amp;Sample!C306</f>
        <v>-</v>
      </c>
      <c r="C308">
        <f>Sample!A306</f>
        <v>0</v>
      </c>
      <c r="F308">
        <f>Sample!K306</f>
        <v>0</v>
      </c>
      <c r="G308" t="e">
        <f>VLOOKUP(F308,'Index Sequence'!$A$2:$B$9808,2,FALSE)</f>
        <v>#N/A</v>
      </c>
      <c r="H308">
        <f>Sample!L306</f>
        <v>0</v>
      </c>
      <c r="I308" t="str">
        <f t="shared" si="4"/>
        <v/>
      </c>
      <c r="K308">
        <f>IF(AND(OR(LEFT(Sample!A306,1)="E",LEFT(Sample!A306,1)="H"),OR(LEFT(Sample!C306,2)="JI",LEFT(Sample!C306,1)="I")),"TS1",IF(AND(OR(LEFT(Sample!A306,1)="E",LEFT(Sample!A306,1)="H"),OR(LEFT(Sample!C306,2)="JX",LEFT(Sample!C306,1)="W",LEFT(Sample!C306,1)="X")),"TS95",IF(AND(OR(LEFT(Sample!A306,1)="E",LEFT(Sample!A306,1)="H"),OR(LEFT(Sample!C306,2)="JN",LEFT(Sample!C306,1)="N")),"TS3",IF(OR(LEFT(Sample!A306,1)="T",LEFT(Sample!A306,1)="B"),"TS24",IF(LEFT(Sample!A306,2)="CR","CARRIER9",IF(LEFT(Sample!A306,4)="DEL3","NIPTDEL3",Sample!A306))))))</f>
        <v>0</v>
      </c>
      <c r="O308" t="str">
        <f xml:space="preserve"> SUBSTITUTE( SUBSTITUTE( SUBSTITUTE( SUBSTITUTE( SUBSTITUTE( SUBSTITUTE( SUBSTITUTE( SUBSTITUTE( SampleImport!I308, "A", 1), "C", 2), "G", 3),"T", 4), 1, "T"), 2, "G"), 3, "C"), 4, "A")</f>
        <v/>
      </c>
    </row>
    <row r="309" spans="1:15" x14ac:dyDescent="0.35">
      <c r="A309" t="str">
        <f>Sample!B307&amp;"-"&amp;Sample!C307</f>
        <v>-</v>
      </c>
      <c r="B309" t="str">
        <f>Sample!B307&amp;"-"&amp;Sample!C307</f>
        <v>-</v>
      </c>
      <c r="C309">
        <f>Sample!A307</f>
        <v>0</v>
      </c>
      <c r="F309">
        <f>Sample!K307</f>
        <v>0</v>
      </c>
      <c r="G309" t="e">
        <f>VLOOKUP(F309,'Index Sequence'!$A$2:$B$9808,2,FALSE)</f>
        <v>#N/A</v>
      </c>
      <c r="H309">
        <f>Sample!L307</f>
        <v>0</v>
      </c>
      <c r="I309" t="str">
        <f t="shared" si="4"/>
        <v/>
      </c>
      <c r="K309">
        <f>IF(AND(OR(LEFT(Sample!A307,1)="E",LEFT(Sample!A307,1)="H"),OR(LEFT(Sample!C307,2)="JI",LEFT(Sample!C307,1)="I")),"TS1",IF(AND(OR(LEFT(Sample!A307,1)="E",LEFT(Sample!A307,1)="H"),OR(LEFT(Sample!C307,2)="JX",LEFT(Sample!C307,1)="W",LEFT(Sample!C307,1)="X")),"TS95",IF(AND(OR(LEFT(Sample!A307,1)="E",LEFT(Sample!A307,1)="H"),OR(LEFT(Sample!C307,2)="JN",LEFT(Sample!C307,1)="N")),"TS3",IF(OR(LEFT(Sample!A307,1)="T",LEFT(Sample!A307,1)="B"),"TS24",IF(LEFT(Sample!A307,2)="CR","CARRIER9",IF(LEFT(Sample!A307,4)="DEL3","NIPTDEL3",Sample!A307))))))</f>
        <v>0</v>
      </c>
      <c r="O309" t="str">
        <f xml:space="preserve"> SUBSTITUTE( SUBSTITUTE( SUBSTITUTE( SUBSTITUTE( SUBSTITUTE( SUBSTITUTE( SUBSTITUTE( SUBSTITUTE( SampleImport!I309, "A", 1), "C", 2), "G", 3),"T", 4), 1, "T"), 2, "G"), 3, "C"), 4, "A")</f>
        <v/>
      </c>
    </row>
    <row r="310" spans="1:15" x14ac:dyDescent="0.35">
      <c r="A310" t="str">
        <f>Sample!B308&amp;"-"&amp;Sample!C308</f>
        <v>-</v>
      </c>
      <c r="B310" t="str">
        <f>Sample!B308&amp;"-"&amp;Sample!C308</f>
        <v>-</v>
      </c>
      <c r="C310">
        <f>Sample!A308</f>
        <v>0</v>
      </c>
      <c r="F310">
        <f>Sample!K308</f>
        <v>0</v>
      </c>
      <c r="G310" t="e">
        <f>VLOOKUP(F310,'Index Sequence'!$A$2:$B$9808,2,FALSE)</f>
        <v>#N/A</v>
      </c>
      <c r="H310">
        <f>Sample!L308</f>
        <v>0</v>
      </c>
      <c r="I310" t="str">
        <f t="shared" si="4"/>
        <v/>
      </c>
      <c r="K310">
        <f>IF(AND(OR(LEFT(Sample!A308,1)="E",LEFT(Sample!A308,1)="H"),OR(LEFT(Sample!C308,2)="JI",LEFT(Sample!C308,1)="I")),"TS1",IF(AND(OR(LEFT(Sample!A308,1)="E",LEFT(Sample!A308,1)="H"),OR(LEFT(Sample!C308,2)="JX",LEFT(Sample!C308,1)="W",LEFT(Sample!C308,1)="X")),"TS95",IF(AND(OR(LEFT(Sample!A308,1)="E",LEFT(Sample!A308,1)="H"),OR(LEFT(Sample!C308,2)="JN",LEFT(Sample!C308,1)="N")),"TS3",IF(OR(LEFT(Sample!A308,1)="T",LEFT(Sample!A308,1)="B"),"TS24",IF(LEFT(Sample!A308,2)="CR","CARRIER9",IF(LEFT(Sample!A308,4)="DEL3","NIPTDEL3",Sample!A308))))))</f>
        <v>0</v>
      </c>
      <c r="O310" t="str">
        <f xml:space="preserve"> SUBSTITUTE( SUBSTITUTE( SUBSTITUTE( SUBSTITUTE( SUBSTITUTE( SUBSTITUTE( SUBSTITUTE( SUBSTITUTE( SampleImport!I310, "A", 1), "C", 2), "G", 3),"T", 4), 1, "T"), 2, "G"), 3, "C"), 4, "A")</f>
        <v/>
      </c>
    </row>
    <row r="311" spans="1:15" x14ac:dyDescent="0.35">
      <c r="A311" t="str">
        <f>Sample!B309&amp;"-"&amp;Sample!C309</f>
        <v>-</v>
      </c>
      <c r="B311" t="str">
        <f>Sample!B309&amp;"-"&amp;Sample!C309</f>
        <v>-</v>
      </c>
      <c r="C311">
        <f>Sample!A309</f>
        <v>0</v>
      </c>
      <c r="F311">
        <f>Sample!K309</f>
        <v>0</v>
      </c>
      <c r="G311" t="e">
        <f>VLOOKUP(F311,'Index Sequence'!$A$2:$B$9808,2,FALSE)</f>
        <v>#N/A</v>
      </c>
      <c r="H311">
        <f>Sample!L309</f>
        <v>0</v>
      </c>
      <c r="I311" t="str">
        <f t="shared" si="4"/>
        <v/>
      </c>
      <c r="K311">
        <f>IF(AND(OR(LEFT(Sample!A309,1)="E",LEFT(Sample!A309,1)="H"),OR(LEFT(Sample!C309,2)="JI",LEFT(Sample!C309,1)="I")),"TS1",IF(AND(OR(LEFT(Sample!A309,1)="E",LEFT(Sample!A309,1)="H"),OR(LEFT(Sample!C309,2)="JX",LEFT(Sample!C309,1)="W",LEFT(Sample!C309,1)="X")),"TS95",IF(AND(OR(LEFT(Sample!A309,1)="E",LEFT(Sample!A309,1)="H"),OR(LEFT(Sample!C309,2)="JN",LEFT(Sample!C309,1)="N")),"TS3",IF(OR(LEFT(Sample!A309,1)="T",LEFT(Sample!A309,1)="B"),"TS24",IF(LEFT(Sample!A309,2)="CR","CARRIER9",IF(LEFT(Sample!A309,4)="DEL3","NIPTDEL3",Sample!A309))))))</f>
        <v>0</v>
      </c>
      <c r="O311" t="str">
        <f xml:space="preserve"> SUBSTITUTE( SUBSTITUTE( SUBSTITUTE( SUBSTITUTE( SUBSTITUTE( SUBSTITUTE( SUBSTITUTE( SUBSTITUTE( SampleImport!I311, "A", 1), "C", 2), "G", 3),"T", 4), 1, "T"), 2, "G"), 3, "C"), 4, "A")</f>
        <v/>
      </c>
    </row>
    <row r="312" spans="1:15" x14ac:dyDescent="0.35">
      <c r="A312" t="str">
        <f>Sample!B310&amp;"-"&amp;Sample!C310</f>
        <v>-</v>
      </c>
      <c r="B312" t="str">
        <f>Sample!B310&amp;"-"&amp;Sample!C310</f>
        <v>-</v>
      </c>
      <c r="C312">
        <f>Sample!A310</f>
        <v>0</v>
      </c>
      <c r="F312">
        <f>Sample!K310</f>
        <v>0</v>
      </c>
      <c r="G312" t="e">
        <f>VLOOKUP(F312,'Index Sequence'!$A$2:$B$9808,2,FALSE)</f>
        <v>#N/A</v>
      </c>
      <c r="H312">
        <f>Sample!L310</f>
        <v>0</v>
      </c>
      <c r="I312" t="str">
        <f t="shared" si="4"/>
        <v/>
      </c>
      <c r="K312">
        <f>IF(AND(OR(LEFT(Sample!A310,1)="E",LEFT(Sample!A310,1)="H"),OR(LEFT(Sample!C310,2)="JI",LEFT(Sample!C310,1)="I")),"TS1",IF(AND(OR(LEFT(Sample!A310,1)="E",LEFT(Sample!A310,1)="H"),OR(LEFT(Sample!C310,2)="JX",LEFT(Sample!C310,1)="W",LEFT(Sample!C310,1)="X")),"TS95",IF(AND(OR(LEFT(Sample!A310,1)="E",LEFT(Sample!A310,1)="H"),OR(LEFT(Sample!C310,2)="JN",LEFT(Sample!C310,1)="N")),"TS3",IF(OR(LEFT(Sample!A310,1)="T",LEFT(Sample!A310,1)="B"),"TS24",IF(LEFT(Sample!A310,2)="CR","CARRIER9",IF(LEFT(Sample!A310,4)="DEL3","NIPTDEL3",Sample!A310))))))</f>
        <v>0</v>
      </c>
      <c r="O312" t="str">
        <f xml:space="preserve"> SUBSTITUTE( SUBSTITUTE( SUBSTITUTE( SUBSTITUTE( SUBSTITUTE( SUBSTITUTE( SUBSTITUTE( SUBSTITUTE( SampleImport!I312, "A", 1), "C", 2), "G", 3),"T", 4), 1, "T"), 2, "G"), 3, "C"), 4, "A")</f>
        <v/>
      </c>
    </row>
    <row r="313" spans="1:15" x14ac:dyDescent="0.35">
      <c r="A313" t="str">
        <f>Sample!B311&amp;"-"&amp;Sample!C311</f>
        <v>-</v>
      </c>
      <c r="B313" t="str">
        <f>Sample!B311&amp;"-"&amp;Sample!C311</f>
        <v>-</v>
      </c>
      <c r="C313">
        <f>Sample!A311</f>
        <v>0</v>
      </c>
      <c r="F313">
        <f>Sample!K311</f>
        <v>0</v>
      </c>
      <c r="G313" t="e">
        <f>VLOOKUP(F313,'Index Sequence'!$A$2:$B$9808,2,FALSE)</f>
        <v>#N/A</v>
      </c>
      <c r="H313">
        <f>Sample!L311</f>
        <v>0</v>
      </c>
      <c r="I313" t="str">
        <f t="shared" si="4"/>
        <v/>
      </c>
      <c r="K313">
        <f>IF(AND(OR(LEFT(Sample!A311,1)="E",LEFT(Sample!A311,1)="H"),OR(LEFT(Sample!C311,2)="JI",LEFT(Sample!C311,1)="I")),"TS1",IF(AND(OR(LEFT(Sample!A311,1)="E",LEFT(Sample!A311,1)="H"),OR(LEFT(Sample!C311,2)="JX",LEFT(Sample!C311,1)="W",LEFT(Sample!C311,1)="X")),"TS95",IF(AND(OR(LEFT(Sample!A311,1)="E",LEFT(Sample!A311,1)="H"),OR(LEFT(Sample!C311,2)="JN",LEFT(Sample!C311,1)="N")),"TS3",IF(OR(LEFT(Sample!A311,1)="T",LEFT(Sample!A311,1)="B"),"TS24",IF(LEFT(Sample!A311,2)="CR","CARRIER9",IF(LEFT(Sample!A311,4)="DEL3","NIPTDEL3",Sample!A311))))))</f>
        <v>0</v>
      </c>
      <c r="O313" t="str">
        <f xml:space="preserve"> SUBSTITUTE( SUBSTITUTE( SUBSTITUTE( SUBSTITUTE( SUBSTITUTE( SUBSTITUTE( SUBSTITUTE( SUBSTITUTE( SampleImport!I313, "A", 1), "C", 2), "G", 3),"T", 4), 1, "T"), 2, "G"), 3, "C"), 4, "A")</f>
        <v/>
      </c>
    </row>
    <row r="314" spans="1:15" x14ac:dyDescent="0.35">
      <c r="A314" t="str">
        <f>Sample!B312&amp;"-"&amp;Sample!C312</f>
        <v>-</v>
      </c>
      <c r="B314" t="str">
        <f>Sample!B312&amp;"-"&amp;Sample!C312</f>
        <v>-</v>
      </c>
      <c r="C314">
        <f>Sample!A312</f>
        <v>0</v>
      </c>
      <c r="F314">
        <f>Sample!K312</f>
        <v>0</v>
      </c>
      <c r="G314" t="e">
        <f>VLOOKUP(F314,'Index Sequence'!$A$2:$B$9808,2,FALSE)</f>
        <v>#N/A</v>
      </c>
      <c r="H314">
        <f>Sample!L312</f>
        <v>0</v>
      </c>
      <c r="I314" t="str">
        <f t="shared" si="4"/>
        <v/>
      </c>
      <c r="K314">
        <f>IF(AND(OR(LEFT(Sample!A312,1)="E",LEFT(Sample!A312,1)="H"),OR(LEFT(Sample!C312,2)="JI",LEFT(Sample!C312,1)="I")),"TS1",IF(AND(OR(LEFT(Sample!A312,1)="E",LEFT(Sample!A312,1)="H"),OR(LEFT(Sample!C312,2)="JX",LEFT(Sample!C312,1)="W",LEFT(Sample!C312,1)="X")),"TS95",IF(AND(OR(LEFT(Sample!A312,1)="E",LEFT(Sample!A312,1)="H"),OR(LEFT(Sample!C312,2)="JN",LEFT(Sample!C312,1)="N")),"TS3",IF(OR(LEFT(Sample!A312,1)="T",LEFT(Sample!A312,1)="B"),"TS24",IF(LEFT(Sample!A312,2)="CR","CARRIER9",IF(LEFT(Sample!A312,4)="DEL3","NIPTDEL3",Sample!A312))))))</f>
        <v>0</v>
      </c>
      <c r="O314" t="str">
        <f xml:space="preserve"> SUBSTITUTE( SUBSTITUTE( SUBSTITUTE( SUBSTITUTE( SUBSTITUTE( SUBSTITUTE( SUBSTITUTE( SUBSTITUTE( SampleImport!I314, "A", 1), "C", 2), "G", 3),"T", 4), 1, "T"), 2, "G"), 3, "C"), 4, "A")</f>
        <v/>
      </c>
    </row>
    <row r="315" spans="1:15" x14ac:dyDescent="0.35">
      <c r="A315" t="str">
        <f>Sample!B313&amp;"-"&amp;Sample!C313</f>
        <v>-</v>
      </c>
      <c r="B315" t="str">
        <f>Sample!B313&amp;"-"&amp;Sample!C313</f>
        <v>-</v>
      </c>
      <c r="C315">
        <f>Sample!A313</f>
        <v>0</v>
      </c>
      <c r="F315">
        <f>Sample!K313</f>
        <v>0</v>
      </c>
      <c r="G315" t="e">
        <f>VLOOKUP(F315,'Index Sequence'!$A$2:$B$9808,2,FALSE)</f>
        <v>#N/A</v>
      </c>
      <c r="H315">
        <f>Sample!L313</f>
        <v>0</v>
      </c>
      <c r="I315" t="str">
        <f t="shared" si="4"/>
        <v/>
      </c>
      <c r="K315">
        <f>IF(AND(OR(LEFT(Sample!A313,1)="E",LEFT(Sample!A313,1)="H"),OR(LEFT(Sample!C313,2)="JI",LEFT(Sample!C313,1)="I")),"TS1",IF(AND(OR(LEFT(Sample!A313,1)="E",LEFT(Sample!A313,1)="H"),OR(LEFT(Sample!C313,2)="JX",LEFT(Sample!C313,1)="W",LEFT(Sample!C313,1)="X")),"TS95",IF(AND(OR(LEFT(Sample!A313,1)="E",LEFT(Sample!A313,1)="H"),OR(LEFT(Sample!C313,2)="JN",LEFT(Sample!C313,1)="N")),"TS3",IF(OR(LEFT(Sample!A313,1)="T",LEFT(Sample!A313,1)="B"),"TS24",IF(LEFT(Sample!A313,2)="CR","CARRIER9",IF(LEFT(Sample!A313,4)="DEL3","NIPTDEL3",Sample!A313))))))</f>
        <v>0</v>
      </c>
      <c r="O315" t="str">
        <f xml:space="preserve"> SUBSTITUTE( SUBSTITUTE( SUBSTITUTE( SUBSTITUTE( SUBSTITUTE( SUBSTITUTE( SUBSTITUTE( SUBSTITUTE( SampleImport!I315, "A", 1), "C", 2), "G", 3),"T", 4), 1, "T"), 2, "G"), 3, "C"), 4, "A")</f>
        <v/>
      </c>
    </row>
    <row r="316" spans="1:15" x14ac:dyDescent="0.35">
      <c r="A316" t="str">
        <f>Sample!B314&amp;"-"&amp;Sample!C314</f>
        <v>-</v>
      </c>
      <c r="B316" t="str">
        <f>Sample!B314&amp;"-"&amp;Sample!C314</f>
        <v>-</v>
      </c>
      <c r="C316">
        <f>Sample!A314</f>
        <v>0</v>
      </c>
      <c r="F316">
        <f>Sample!K314</f>
        <v>0</v>
      </c>
      <c r="G316" t="e">
        <f>VLOOKUP(F316,'Index Sequence'!$A$2:$B$9808,2,FALSE)</f>
        <v>#N/A</v>
      </c>
      <c r="H316">
        <f>Sample!L314</f>
        <v>0</v>
      </c>
      <c r="I316" t="str">
        <f t="shared" si="4"/>
        <v/>
      </c>
      <c r="K316">
        <f>IF(AND(OR(LEFT(Sample!A314,1)="E",LEFT(Sample!A314,1)="H"),OR(LEFT(Sample!C314,2)="JI",LEFT(Sample!C314,1)="I")),"TS1",IF(AND(OR(LEFT(Sample!A314,1)="E",LEFT(Sample!A314,1)="H"),OR(LEFT(Sample!C314,2)="JX",LEFT(Sample!C314,1)="W",LEFT(Sample!C314,1)="X")),"TS95",IF(AND(OR(LEFT(Sample!A314,1)="E",LEFT(Sample!A314,1)="H"),OR(LEFT(Sample!C314,2)="JN",LEFT(Sample!C314,1)="N")),"TS3",IF(OR(LEFT(Sample!A314,1)="T",LEFT(Sample!A314,1)="B"),"TS24",IF(LEFT(Sample!A314,2)="CR","CARRIER9",IF(LEFT(Sample!A314,4)="DEL3","NIPTDEL3",Sample!A314))))))</f>
        <v>0</v>
      </c>
      <c r="O316" t="str">
        <f xml:space="preserve"> SUBSTITUTE( SUBSTITUTE( SUBSTITUTE( SUBSTITUTE( SUBSTITUTE( SUBSTITUTE( SUBSTITUTE( SUBSTITUTE( SampleImport!I316, "A", 1), "C", 2), "G", 3),"T", 4), 1, "T"), 2, "G"), 3, "C"), 4, "A")</f>
        <v/>
      </c>
    </row>
    <row r="317" spans="1:15" x14ac:dyDescent="0.35">
      <c r="A317" t="str">
        <f>Sample!B315&amp;"-"&amp;Sample!C315</f>
        <v>-</v>
      </c>
      <c r="B317" t="str">
        <f>Sample!B315&amp;"-"&amp;Sample!C315</f>
        <v>-</v>
      </c>
      <c r="C317">
        <f>Sample!A315</f>
        <v>0</v>
      </c>
      <c r="F317">
        <f>Sample!K315</f>
        <v>0</v>
      </c>
      <c r="G317" t="e">
        <f>VLOOKUP(F317,'Index Sequence'!$A$2:$B$9808,2,FALSE)</f>
        <v>#N/A</v>
      </c>
      <c r="H317">
        <f>Sample!L315</f>
        <v>0</v>
      </c>
      <c r="I317" t="str">
        <f t="shared" si="4"/>
        <v/>
      </c>
      <c r="K317">
        <f>IF(AND(OR(LEFT(Sample!A315,1)="E",LEFT(Sample!A315,1)="H"),OR(LEFT(Sample!C315,2)="JI",LEFT(Sample!C315,1)="I")),"TS1",IF(AND(OR(LEFT(Sample!A315,1)="E",LEFT(Sample!A315,1)="H"),OR(LEFT(Sample!C315,2)="JX",LEFT(Sample!C315,1)="W",LEFT(Sample!C315,1)="X")),"TS95",IF(AND(OR(LEFT(Sample!A315,1)="E",LEFT(Sample!A315,1)="H"),OR(LEFT(Sample!C315,2)="JN",LEFT(Sample!C315,1)="N")),"TS3",IF(OR(LEFT(Sample!A315,1)="T",LEFT(Sample!A315,1)="B"),"TS24",IF(LEFT(Sample!A315,2)="CR","CARRIER9",IF(LEFT(Sample!A315,4)="DEL3","NIPTDEL3",Sample!A315))))))</f>
        <v>0</v>
      </c>
      <c r="O317" t="str">
        <f xml:space="preserve"> SUBSTITUTE( SUBSTITUTE( SUBSTITUTE( SUBSTITUTE( SUBSTITUTE( SUBSTITUTE( SUBSTITUTE( SUBSTITUTE( SampleImport!I317, "A", 1), "C", 2), "G", 3),"T", 4), 1, "T"), 2, "G"), 3, "C"), 4, "A")</f>
        <v/>
      </c>
    </row>
    <row r="318" spans="1:15" x14ac:dyDescent="0.35">
      <c r="A318" t="str">
        <f>Sample!B316&amp;"-"&amp;Sample!C316</f>
        <v>-</v>
      </c>
      <c r="B318" t="str">
        <f>Sample!B316&amp;"-"&amp;Sample!C316</f>
        <v>-</v>
      </c>
      <c r="C318">
        <f>Sample!A316</f>
        <v>0</v>
      </c>
      <c r="F318">
        <f>Sample!K316</f>
        <v>0</v>
      </c>
      <c r="G318" t="e">
        <f>VLOOKUP(F318,'Index Sequence'!$A$2:$B$9808,2,FALSE)</f>
        <v>#N/A</v>
      </c>
      <c r="H318">
        <f>Sample!L316</f>
        <v>0</v>
      </c>
      <c r="I318" t="str">
        <f t="shared" si="4"/>
        <v/>
      </c>
      <c r="K318">
        <f>IF(AND(OR(LEFT(Sample!A316,1)="E",LEFT(Sample!A316,1)="H"),OR(LEFT(Sample!C316,2)="JI",LEFT(Sample!C316,1)="I")),"TS1",IF(AND(OR(LEFT(Sample!A316,1)="E",LEFT(Sample!A316,1)="H"),OR(LEFT(Sample!C316,2)="JX",LEFT(Sample!C316,1)="W",LEFT(Sample!C316,1)="X")),"TS95",IF(AND(OR(LEFT(Sample!A316,1)="E",LEFT(Sample!A316,1)="H"),OR(LEFT(Sample!C316,2)="JN",LEFT(Sample!C316,1)="N")),"TS3",IF(OR(LEFT(Sample!A316,1)="T",LEFT(Sample!A316,1)="B"),"TS24",IF(LEFT(Sample!A316,2)="CR","CARRIER9",IF(LEFT(Sample!A316,4)="DEL3","NIPTDEL3",Sample!A316))))))</f>
        <v>0</v>
      </c>
      <c r="O318" t="str">
        <f xml:space="preserve"> SUBSTITUTE( SUBSTITUTE( SUBSTITUTE( SUBSTITUTE( SUBSTITUTE( SUBSTITUTE( SUBSTITUTE( SUBSTITUTE( SampleImport!I318, "A", 1), "C", 2), "G", 3),"T", 4), 1, "T"), 2, "G"), 3, "C"), 4, "A")</f>
        <v/>
      </c>
    </row>
    <row r="319" spans="1:15" x14ac:dyDescent="0.35">
      <c r="A319" t="str">
        <f>Sample!B317&amp;"-"&amp;Sample!C317</f>
        <v>-</v>
      </c>
      <c r="B319" t="str">
        <f>Sample!B317&amp;"-"&amp;Sample!C317</f>
        <v>-</v>
      </c>
      <c r="C319">
        <f>Sample!A317</f>
        <v>0</v>
      </c>
      <c r="F319">
        <f>Sample!K317</f>
        <v>0</v>
      </c>
      <c r="G319" t="e">
        <f>VLOOKUP(F319,'Index Sequence'!$A$2:$B$9808,2,FALSE)</f>
        <v>#N/A</v>
      </c>
      <c r="H319">
        <f>Sample!L317</f>
        <v>0</v>
      </c>
      <c r="I319" t="str">
        <f t="shared" si="4"/>
        <v/>
      </c>
      <c r="K319">
        <f>IF(AND(OR(LEFT(Sample!A317,1)="E",LEFT(Sample!A317,1)="H"),OR(LEFT(Sample!C317,2)="JI",LEFT(Sample!C317,1)="I")),"TS1",IF(AND(OR(LEFT(Sample!A317,1)="E",LEFT(Sample!A317,1)="H"),OR(LEFT(Sample!C317,2)="JX",LEFT(Sample!C317,1)="W",LEFT(Sample!C317,1)="X")),"TS95",IF(AND(OR(LEFT(Sample!A317,1)="E",LEFT(Sample!A317,1)="H"),OR(LEFT(Sample!C317,2)="JN",LEFT(Sample!C317,1)="N")),"TS3",IF(OR(LEFT(Sample!A317,1)="T",LEFT(Sample!A317,1)="B"),"TS24",IF(LEFT(Sample!A317,2)="CR","CARRIER9",IF(LEFT(Sample!A317,4)="DEL3","NIPTDEL3",Sample!A317))))))</f>
        <v>0</v>
      </c>
      <c r="O319" t="str">
        <f xml:space="preserve"> SUBSTITUTE( SUBSTITUTE( SUBSTITUTE( SUBSTITUTE( SUBSTITUTE( SUBSTITUTE( SUBSTITUTE( SUBSTITUTE( SampleImport!I319, "A", 1), "C", 2), "G", 3),"T", 4), 1, "T"), 2, "G"), 3, "C"), 4, "A")</f>
        <v/>
      </c>
    </row>
    <row r="320" spans="1:15" x14ac:dyDescent="0.35">
      <c r="A320" t="str">
        <f>Sample!B318&amp;"-"&amp;Sample!C318</f>
        <v>-</v>
      </c>
      <c r="B320" t="str">
        <f>Sample!B318&amp;"-"&amp;Sample!C318</f>
        <v>-</v>
      </c>
      <c r="C320">
        <f>Sample!A318</f>
        <v>0</v>
      </c>
      <c r="F320">
        <f>Sample!K318</f>
        <v>0</v>
      </c>
      <c r="G320" t="e">
        <f>VLOOKUP(F320,'Index Sequence'!$A$2:$B$9808,2,FALSE)</f>
        <v>#N/A</v>
      </c>
      <c r="H320">
        <f>Sample!L318</f>
        <v>0</v>
      </c>
      <c r="I320" t="str">
        <f t="shared" si="4"/>
        <v/>
      </c>
      <c r="K320">
        <f>IF(AND(OR(LEFT(Sample!A318,1)="E",LEFT(Sample!A318,1)="H"),OR(LEFT(Sample!C318,2)="JI",LEFT(Sample!C318,1)="I")),"TS1",IF(AND(OR(LEFT(Sample!A318,1)="E",LEFT(Sample!A318,1)="H"),OR(LEFT(Sample!C318,2)="JX",LEFT(Sample!C318,1)="W",LEFT(Sample!C318,1)="X")),"TS95",IF(AND(OR(LEFT(Sample!A318,1)="E",LEFT(Sample!A318,1)="H"),OR(LEFT(Sample!C318,2)="JN",LEFT(Sample!C318,1)="N")),"TS3",IF(OR(LEFT(Sample!A318,1)="T",LEFT(Sample!A318,1)="B"),"TS24",IF(LEFT(Sample!A318,2)="CR","CARRIER9",IF(LEFT(Sample!A318,4)="DEL3","NIPTDEL3",Sample!A318))))))</f>
        <v>0</v>
      </c>
      <c r="O320" t="str">
        <f xml:space="preserve"> SUBSTITUTE( SUBSTITUTE( SUBSTITUTE( SUBSTITUTE( SUBSTITUTE( SUBSTITUTE( SUBSTITUTE( SUBSTITUTE( SampleImport!I320, "A", 1), "C", 2), "G", 3),"T", 4), 1, "T"), 2, "G"), 3, "C"), 4, "A")</f>
        <v/>
      </c>
    </row>
    <row r="321" spans="1:15" x14ac:dyDescent="0.35">
      <c r="A321" t="str">
        <f>Sample!B319&amp;"-"&amp;Sample!C319</f>
        <v>-</v>
      </c>
      <c r="B321" t="str">
        <f>Sample!B319&amp;"-"&amp;Sample!C319</f>
        <v>-</v>
      </c>
      <c r="C321">
        <f>Sample!A319</f>
        <v>0</v>
      </c>
      <c r="F321">
        <f>Sample!K319</f>
        <v>0</v>
      </c>
      <c r="G321" t="e">
        <f>VLOOKUP(F321,'Index Sequence'!$A$2:$B$9808,2,FALSE)</f>
        <v>#N/A</v>
      </c>
      <c r="H321">
        <f>Sample!L319</f>
        <v>0</v>
      </c>
      <c r="I321" t="str">
        <f t="shared" si="4"/>
        <v/>
      </c>
      <c r="K321">
        <f>IF(AND(OR(LEFT(Sample!A319,1)="E",LEFT(Sample!A319,1)="H"),OR(LEFT(Sample!C319,2)="JI",LEFT(Sample!C319,1)="I")),"TS1",IF(AND(OR(LEFT(Sample!A319,1)="E",LEFT(Sample!A319,1)="H"),OR(LEFT(Sample!C319,2)="JX",LEFT(Sample!C319,1)="W",LEFT(Sample!C319,1)="X")),"TS95",IF(AND(OR(LEFT(Sample!A319,1)="E",LEFT(Sample!A319,1)="H"),OR(LEFT(Sample!C319,2)="JN",LEFT(Sample!C319,1)="N")),"TS3",IF(OR(LEFT(Sample!A319,1)="T",LEFT(Sample!A319,1)="B"),"TS24",IF(LEFT(Sample!A319,2)="CR","CARRIER9",IF(LEFT(Sample!A319,4)="DEL3","NIPTDEL3",Sample!A319))))))</f>
        <v>0</v>
      </c>
      <c r="O321" t="str">
        <f xml:space="preserve"> SUBSTITUTE( SUBSTITUTE( SUBSTITUTE( SUBSTITUTE( SUBSTITUTE( SUBSTITUTE( SUBSTITUTE( SUBSTITUTE( SampleImport!I321, "A", 1), "C", 2), "G", 3),"T", 4), 1, "T"), 2, "G"), 3, "C"), 4, "A")</f>
        <v/>
      </c>
    </row>
    <row r="322" spans="1:15" x14ac:dyDescent="0.35">
      <c r="A322" t="str">
        <f>Sample!B320&amp;"-"&amp;Sample!C320</f>
        <v>-</v>
      </c>
      <c r="B322" t="str">
        <f>Sample!B320&amp;"-"&amp;Sample!C320</f>
        <v>-</v>
      </c>
      <c r="C322">
        <f>Sample!A320</f>
        <v>0</v>
      </c>
      <c r="F322">
        <f>Sample!K320</f>
        <v>0</v>
      </c>
      <c r="G322" t="e">
        <f>VLOOKUP(F322,'Index Sequence'!$A$2:$B$9808,2,FALSE)</f>
        <v>#N/A</v>
      </c>
      <c r="H322">
        <f>Sample!L320</f>
        <v>0</v>
      </c>
      <c r="I322" t="str">
        <f t="shared" si="4"/>
        <v/>
      </c>
      <c r="K322">
        <f>IF(AND(OR(LEFT(Sample!A320,1)="E",LEFT(Sample!A320,1)="H"),OR(LEFT(Sample!C320,2)="JI",LEFT(Sample!C320,1)="I")),"TS1",IF(AND(OR(LEFT(Sample!A320,1)="E",LEFT(Sample!A320,1)="H"),OR(LEFT(Sample!C320,2)="JX",LEFT(Sample!C320,1)="W",LEFT(Sample!C320,1)="X")),"TS95",IF(AND(OR(LEFT(Sample!A320,1)="E",LEFT(Sample!A320,1)="H"),OR(LEFT(Sample!C320,2)="JN",LEFT(Sample!C320,1)="N")),"TS3",IF(OR(LEFT(Sample!A320,1)="T",LEFT(Sample!A320,1)="B"),"TS24",IF(LEFT(Sample!A320,2)="CR","CARRIER9",IF(LEFT(Sample!A320,4)="DEL3","NIPTDEL3",Sample!A320))))))</f>
        <v>0</v>
      </c>
      <c r="O322" t="str">
        <f xml:space="preserve"> SUBSTITUTE( SUBSTITUTE( SUBSTITUTE( SUBSTITUTE( SUBSTITUTE( SUBSTITUTE( SUBSTITUTE( SUBSTITUTE( SampleImport!I322, "A", 1), "C", 2), "G", 3),"T", 4), 1, "T"), 2, "G"), 3, "C"), 4, "A")</f>
        <v/>
      </c>
    </row>
    <row r="323" spans="1:15" x14ac:dyDescent="0.35">
      <c r="A323" t="str">
        <f>Sample!B321&amp;"-"&amp;Sample!C321</f>
        <v>-</v>
      </c>
      <c r="B323" t="str">
        <f>Sample!B321&amp;"-"&amp;Sample!C321</f>
        <v>-</v>
      </c>
      <c r="C323">
        <f>Sample!A321</f>
        <v>0</v>
      </c>
      <c r="F323">
        <f>Sample!K321</f>
        <v>0</v>
      </c>
      <c r="G323" t="e">
        <f>VLOOKUP(F323,'Index Sequence'!$A$2:$B$9808,2,FALSE)</f>
        <v>#N/A</v>
      </c>
      <c r="H323">
        <f>Sample!L321</f>
        <v>0</v>
      </c>
      <c r="I323" t="str">
        <f t="shared" si="4"/>
        <v/>
      </c>
      <c r="K323">
        <f>IF(AND(OR(LEFT(Sample!A321,1)="E",LEFT(Sample!A321,1)="H"),OR(LEFT(Sample!C321,2)="JI",LEFT(Sample!C321,1)="I")),"TS1",IF(AND(OR(LEFT(Sample!A321,1)="E",LEFT(Sample!A321,1)="H"),OR(LEFT(Sample!C321,2)="JX",LEFT(Sample!C321,1)="W",LEFT(Sample!C321,1)="X")),"TS95",IF(AND(OR(LEFT(Sample!A321,1)="E",LEFT(Sample!A321,1)="H"),OR(LEFT(Sample!C321,2)="JN",LEFT(Sample!C321,1)="N")),"TS3",IF(OR(LEFT(Sample!A321,1)="T",LEFT(Sample!A321,1)="B"),"TS24",IF(LEFT(Sample!A321,2)="CR","CARRIER9",IF(LEFT(Sample!A321,4)="DEL3","NIPTDEL3",Sample!A321))))))</f>
        <v>0</v>
      </c>
      <c r="O323" t="str">
        <f xml:space="preserve"> SUBSTITUTE( SUBSTITUTE( SUBSTITUTE( SUBSTITUTE( SUBSTITUTE( SUBSTITUTE( SUBSTITUTE( SUBSTITUTE( SampleImport!I323, "A", 1), "C", 2), "G", 3),"T", 4), 1, "T"), 2, "G"), 3, "C"), 4, "A")</f>
        <v/>
      </c>
    </row>
    <row r="324" spans="1:15" x14ac:dyDescent="0.35">
      <c r="A324" t="str">
        <f>Sample!B322&amp;"-"&amp;Sample!C322</f>
        <v>-</v>
      </c>
      <c r="B324" t="str">
        <f>Sample!B322&amp;"-"&amp;Sample!C322</f>
        <v>-</v>
      </c>
      <c r="C324">
        <f>Sample!A322</f>
        <v>0</v>
      </c>
      <c r="F324">
        <f>Sample!K322</f>
        <v>0</v>
      </c>
      <c r="G324" t="e">
        <f>VLOOKUP(F324,'Index Sequence'!$A$2:$B$9808,2,FALSE)</f>
        <v>#N/A</v>
      </c>
      <c r="H324">
        <f>Sample!L322</f>
        <v>0</v>
      </c>
      <c r="I324" t="str">
        <f t="shared" si="4"/>
        <v/>
      </c>
      <c r="K324">
        <f>IF(AND(OR(LEFT(Sample!A322,1)="E",LEFT(Sample!A322,1)="H"),OR(LEFT(Sample!C322,2)="JI",LEFT(Sample!C322,1)="I")),"TS1",IF(AND(OR(LEFT(Sample!A322,1)="E",LEFT(Sample!A322,1)="H"),OR(LEFT(Sample!C322,2)="JX",LEFT(Sample!C322,1)="W",LEFT(Sample!C322,1)="X")),"TS95",IF(AND(OR(LEFT(Sample!A322,1)="E",LEFT(Sample!A322,1)="H"),OR(LEFT(Sample!C322,2)="JN",LEFT(Sample!C322,1)="N")),"TS3",IF(OR(LEFT(Sample!A322,1)="T",LEFT(Sample!A322,1)="B"),"TS24",IF(LEFT(Sample!A322,2)="CR","CARRIER9",IF(LEFT(Sample!A322,4)="DEL3","NIPTDEL3",Sample!A322))))))</f>
        <v>0</v>
      </c>
      <c r="O324" t="str">
        <f xml:space="preserve"> SUBSTITUTE( SUBSTITUTE( SUBSTITUTE( SUBSTITUTE( SUBSTITUTE( SUBSTITUTE( SUBSTITUTE( SUBSTITUTE( SampleImport!I324, "A", 1), "C", 2), "G", 3),"T", 4), 1, "T"), 2, "G"), 3, "C"), 4, "A")</f>
        <v/>
      </c>
    </row>
    <row r="325" spans="1:15" x14ac:dyDescent="0.35">
      <c r="A325" t="str">
        <f>Sample!B323&amp;"-"&amp;Sample!C323</f>
        <v>-</v>
      </c>
      <c r="B325" t="str">
        <f>Sample!B323&amp;"-"&amp;Sample!C323</f>
        <v>-</v>
      </c>
      <c r="C325">
        <f>Sample!A323</f>
        <v>0</v>
      </c>
      <c r="F325">
        <f>Sample!K323</f>
        <v>0</v>
      </c>
      <c r="G325" t="e">
        <f>VLOOKUP(F325,'Index Sequence'!$A$2:$B$9808,2,FALSE)</f>
        <v>#N/A</v>
      </c>
      <c r="H325">
        <f>Sample!L323</f>
        <v>0</v>
      </c>
      <c r="I325" t="str">
        <f t="shared" si="4"/>
        <v/>
      </c>
      <c r="K325">
        <f>IF(AND(OR(LEFT(Sample!A323,1)="E",LEFT(Sample!A323,1)="H"),OR(LEFT(Sample!C323,2)="JI",LEFT(Sample!C323,1)="I")),"TS1",IF(AND(OR(LEFT(Sample!A323,1)="E",LEFT(Sample!A323,1)="H"),OR(LEFT(Sample!C323,2)="JX",LEFT(Sample!C323,1)="W",LEFT(Sample!C323,1)="X")),"TS95",IF(AND(OR(LEFT(Sample!A323,1)="E",LEFT(Sample!A323,1)="H"),OR(LEFT(Sample!C323,2)="JN",LEFT(Sample!C323,1)="N")),"TS3",IF(OR(LEFT(Sample!A323,1)="T",LEFT(Sample!A323,1)="B"),"TS24",IF(LEFT(Sample!A323,2)="CR","CARRIER9",IF(LEFT(Sample!A323,4)="DEL3","NIPTDEL3",Sample!A323))))))</f>
        <v>0</v>
      </c>
      <c r="O325" t="str">
        <f xml:space="preserve"> SUBSTITUTE( SUBSTITUTE( SUBSTITUTE( SUBSTITUTE( SUBSTITUTE( SUBSTITUTE( SUBSTITUTE( SUBSTITUTE( SampleImport!I325, "A", 1), "C", 2), "G", 3),"T", 4), 1, "T"), 2, "G"), 3, "C"), 4, "A")</f>
        <v/>
      </c>
    </row>
    <row r="326" spans="1:15" x14ac:dyDescent="0.35">
      <c r="A326" t="str">
        <f>Sample!B324&amp;"-"&amp;Sample!C324</f>
        <v>-</v>
      </c>
      <c r="B326" t="str">
        <f>Sample!B324&amp;"-"&amp;Sample!C324</f>
        <v>-</v>
      </c>
      <c r="C326">
        <f>Sample!A324</f>
        <v>0</v>
      </c>
      <c r="F326">
        <f>Sample!K324</f>
        <v>0</v>
      </c>
      <c r="G326" t="e">
        <f>VLOOKUP(F326,'Index Sequence'!$A$2:$B$9808,2,FALSE)</f>
        <v>#N/A</v>
      </c>
      <c r="H326">
        <f>Sample!L324</f>
        <v>0</v>
      </c>
      <c r="I326" t="str">
        <f t="shared" si="4"/>
        <v/>
      </c>
      <c r="K326">
        <f>IF(AND(OR(LEFT(Sample!A324,1)="E",LEFT(Sample!A324,1)="H"),OR(LEFT(Sample!C324,2)="JI",LEFT(Sample!C324,1)="I")),"TS1",IF(AND(OR(LEFT(Sample!A324,1)="E",LEFT(Sample!A324,1)="H"),OR(LEFT(Sample!C324,2)="JX",LEFT(Sample!C324,1)="W",LEFT(Sample!C324,1)="X")),"TS95",IF(AND(OR(LEFT(Sample!A324,1)="E",LEFT(Sample!A324,1)="H"),OR(LEFT(Sample!C324,2)="JN",LEFT(Sample!C324,1)="N")),"TS3",IF(OR(LEFT(Sample!A324,1)="T",LEFT(Sample!A324,1)="B"),"TS24",IF(LEFT(Sample!A324,2)="CR","CARRIER9",IF(LEFT(Sample!A324,4)="DEL3","NIPTDEL3",Sample!A324))))))</f>
        <v>0</v>
      </c>
      <c r="O326" t="str">
        <f xml:space="preserve"> SUBSTITUTE( SUBSTITUTE( SUBSTITUTE( SUBSTITUTE( SUBSTITUTE( SUBSTITUTE( SUBSTITUTE( SUBSTITUTE( SampleImport!I326, "A", 1), "C", 2), "G", 3),"T", 4), 1, "T"), 2, "G"), 3, "C"), 4, "A")</f>
        <v/>
      </c>
    </row>
    <row r="327" spans="1:15" x14ac:dyDescent="0.35">
      <c r="A327" t="str">
        <f>Sample!B325&amp;"-"&amp;Sample!C325</f>
        <v>-</v>
      </c>
      <c r="B327" t="str">
        <f>Sample!B325&amp;"-"&amp;Sample!C325</f>
        <v>-</v>
      </c>
      <c r="C327">
        <f>Sample!A325</f>
        <v>0</v>
      </c>
      <c r="F327">
        <f>Sample!K325</f>
        <v>0</v>
      </c>
      <c r="G327" t="e">
        <f>VLOOKUP(F327,'Index Sequence'!$A$2:$B$9808,2,FALSE)</f>
        <v>#N/A</v>
      </c>
      <c r="H327">
        <f>Sample!L325</f>
        <v>0</v>
      </c>
      <c r="I327" t="str">
        <f t="shared" si="4"/>
        <v/>
      </c>
      <c r="K327">
        <f>IF(AND(OR(LEFT(Sample!A325,1)="E",LEFT(Sample!A325,1)="H"),OR(LEFT(Sample!C325,2)="JI",LEFT(Sample!C325,1)="I")),"TS1",IF(AND(OR(LEFT(Sample!A325,1)="E",LEFT(Sample!A325,1)="H"),OR(LEFT(Sample!C325,2)="JX",LEFT(Sample!C325,1)="W",LEFT(Sample!C325,1)="X")),"TS95",IF(AND(OR(LEFT(Sample!A325,1)="E",LEFT(Sample!A325,1)="H"),OR(LEFT(Sample!C325,2)="JN",LEFT(Sample!C325,1)="N")),"TS3",IF(OR(LEFT(Sample!A325,1)="T",LEFT(Sample!A325,1)="B"),"TS24",IF(LEFT(Sample!A325,2)="CR","CARRIER9",IF(LEFT(Sample!A325,4)="DEL3","NIPTDEL3",Sample!A325))))))</f>
        <v>0</v>
      </c>
      <c r="O327" t="str">
        <f xml:space="preserve"> SUBSTITUTE( SUBSTITUTE( SUBSTITUTE( SUBSTITUTE( SUBSTITUTE( SUBSTITUTE( SUBSTITUTE( SUBSTITUTE( SampleImport!I327, "A", 1), "C", 2), "G", 3),"T", 4), 1, "T"), 2, "G"), 3, "C"), 4, "A")</f>
        <v/>
      </c>
    </row>
    <row r="328" spans="1:15" x14ac:dyDescent="0.35">
      <c r="A328" t="str">
        <f>Sample!B326&amp;"-"&amp;Sample!C326</f>
        <v>-</v>
      </c>
      <c r="B328" t="str">
        <f>Sample!B326&amp;"-"&amp;Sample!C326</f>
        <v>-</v>
      </c>
      <c r="C328">
        <f>Sample!A326</f>
        <v>0</v>
      </c>
      <c r="F328">
        <f>Sample!K326</f>
        <v>0</v>
      </c>
      <c r="G328" t="e">
        <f>VLOOKUP(F328,'Index Sequence'!$A$2:$B$9808,2,FALSE)</f>
        <v>#N/A</v>
      </c>
      <c r="H328">
        <f>Sample!L326</f>
        <v>0</v>
      </c>
      <c r="I328" t="str">
        <f t="shared" si="4"/>
        <v/>
      </c>
      <c r="K328">
        <f>IF(AND(OR(LEFT(Sample!A326,1)="E",LEFT(Sample!A326,1)="H"),OR(LEFT(Sample!C326,2)="JI",LEFT(Sample!C326,1)="I")),"TS1",IF(AND(OR(LEFT(Sample!A326,1)="E",LEFT(Sample!A326,1)="H"),OR(LEFT(Sample!C326,2)="JX",LEFT(Sample!C326,1)="W",LEFT(Sample!C326,1)="X")),"TS95",IF(AND(OR(LEFT(Sample!A326,1)="E",LEFT(Sample!A326,1)="H"),OR(LEFT(Sample!C326,2)="JN",LEFT(Sample!C326,1)="N")),"TS3",IF(OR(LEFT(Sample!A326,1)="T",LEFT(Sample!A326,1)="B"),"TS24",IF(LEFT(Sample!A326,2)="CR","CARRIER9",IF(LEFT(Sample!A326,4)="DEL3","NIPTDEL3",Sample!A326))))))</f>
        <v>0</v>
      </c>
      <c r="O328" t="str">
        <f xml:space="preserve"> SUBSTITUTE( SUBSTITUTE( SUBSTITUTE( SUBSTITUTE( SUBSTITUTE( SUBSTITUTE( SUBSTITUTE( SUBSTITUTE( SampleImport!I328, "A", 1), "C", 2), "G", 3),"T", 4), 1, "T"), 2, "G"), 3, "C"), 4, "A")</f>
        <v/>
      </c>
    </row>
    <row r="329" spans="1:15" x14ac:dyDescent="0.35">
      <c r="A329" t="str">
        <f>Sample!B327&amp;"-"&amp;Sample!C327</f>
        <v>-</v>
      </c>
      <c r="B329" t="str">
        <f>Sample!B327&amp;"-"&amp;Sample!C327</f>
        <v>-</v>
      </c>
      <c r="C329">
        <f>Sample!A327</f>
        <v>0</v>
      </c>
      <c r="F329">
        <f>Sample!K327</f>
        <v>0</v>
      </c>
      <c r="G329" t="e">
        <f>VLOOKUP(F329,'Index Sequence'!$A$2:$B$9808,2,FALSE)</f>
        <v>#N/A</v>
      </c>
      <c r="H329">
        <f>Sample!L327</f>
        <v>0</v>
      </c>
      <c r="I329" t="str">
        <f t="shared" si="4"/>
        <v/>
      </c>
      <c r="K329">
        <f>IF(AND(OR(LEFT(Sample!A327,1)="E",LEFT(Sample!A327,1)="H"),OR(LEFT(Sample!C327,2)="JI",LEFT(Sample!C327,1)="I")),"TS1",IF(AND(OR(LEFT(Sample!A327,1)="E",LEFT(Sample!A327,1)="H"),OR(LEFT(Sample!C327,2)="JX",LEFT(Sample!C327,1)="W",LEFT(Sample!C327,1)="X")),"TS95",IF(AND(OR(LEFT(Sample!A327,1)="E",LEFT(Sample!A327,1)="H"),OR(LEFT(Sample!C327,2)="JN",LEFT(Sample!C327,1)="N")),"TS3",IF(OR(LEFT(Sample!A327,1)="T",LEFT(Sample!A327,1)="B"),"TS24",IF(LEFT(Sample!A327,2)="CR","CARRIER9",IF(LEFT(Sample!A327,4)="DEL3","NIPTDEL3",Sample!A327))))))</f>
        <v>0</v>
      </c>
      <c r="O329" t="str">
        <f xml:space="preserve"> SUBSTITUTE( SUBSTITUTE( SUBSTITUTE( SUBSTITUTE( SUBSTITUTE( SUBSTITUTE( SUBSTITUTE( SUBSTITUTE( SampleImport!I329, "A", 1), "C", 2), "G", 3),"T", 4), 1, "T"), 2, "G"), 3, "C"), 4, "A")</f>
        <v/>
      </c>
    </row>
    <row r="330" spans="1:15" x14ac:dyDescent="0.35">
      <c r="A330" t="str">
        <f>Sample!B328&amp;"-"&amp;Sample!C328</f>
        <v>-</v>
      </c>
      <c r="B330" t="str">
        <f>Sample!B328&amp;"-"&amp;Sample!C328</f>
        <v>-</v>
      </c>
      <c r="C330">
        <f>Sample!A328</f>
        <v>0</v>
      </c>
      <c r="F330">
        <f>Sample!K328</f>
        <v>0</v>
      </c>
      <c r="G330" t="e">
        <f>VLOOKUP(F330,'Index Sequence'!$A$2:$B$9808,2,FALSE)</f>
        <v>#N/A</v>
      </c>
      <c r="H330">
        <f>Sample!L328</f>
        <v>0</v>
      </c>
      <c r="I330" t="str">
        <f t="shared" si="4"/>
        <v/>
      </c>
      <c r="K330">
        <f>IF(AND(OR(LEFT(Sample!A328,1)="E",LEFT(Sample!A328,1)="H"),OR(LEFT(Sample!C328,2)="JI",LEFT(Sample!C328,1)="I")),"TS1",IF(AND(OR(LEFT(Sample!A328,1)="E",LEFT(Sample!A328,1)="H"),OR(LEFT(Sample!C328,2)="JX",LEFT(Sample!C328,1)="W",LEFT(Sample!C328,1)="X")),"TS95",IF(AND(OR(LEFT(Sample!A328,1)="E",LEFT(Sample!A328,1)="H"),OR(LEFT(Sample!C328,2)="JN",LEFT(Sample!C328,1)="N")),"TS3",IF(OR(LEFT(Sample!A328,1)="T",LEFT(Sample!A328,1)="B"),"TS24",IF(LEFT(Sample!A328,2)="CR","CARRIER9",IF(LEFT(Sample!A328,4)="DEL3","NIPTDEL3",Sample!A328))))))</f>
        <v>0</v>
      </c>
      <c r="O330" t="str">
        <f xml:space="preserve"> SUBSTITUTE( SUBSTITUTE( SUBSTITUTE( SUBSTITUTE( SUBSTITUTE( SUBSTITUTE( SUBSTITUTE( SUBSTITUTE( SampleImport!I330, "A", 1), "C", 2), "G", 3),"T", 4), 1, "T"), 2, "G"), 3, "C"), 4, "A")</f>
        <v/>
      </c>
    </row>
    <row r="331" spans="1:15" x14ac:dyDescent="0.35">
      <c r="A331" t="str">
        <f>Sample!B329&amp;"-"&amp;Sample!C329</f>
        <v>-</v>
      </c>
      <c r="B331" t="str">
        <f>Sample!B329&amp;"-"&amp;Sample!C329</f>
        <v>-</v>
      </c>
      <c r="C331">
        <f>Sample!A329</f>
        <v>0</v>
      </c>
      <c r="F331">
        <f>Sample!K329</f>
        <v>0</v>
      </c>
      <c r="G331" t="e">
        <f>VLOOKUP(F331,'Index Sequence'!$A$2:$B$9808,2,FALSE)</f>
        <v>#N/A</v>
      </c>
      <c r="H331">
        <f>Sample!L329</f>
        <v>0</v>
      </c>
      <c r="I331" t="str">
        <f t="shared" si="4"/>
        <v/>
      </c>
      <c r="K331">
        <f>IF(AND(OR(LEFT(Sample!A329,1)="E",LEFT(Sample!A329,1)="H"),OR(LEFT(Sample!C329,2)="JI",LEFT(Sample!C329,1)="I")),"TS1",IF(AND(OR(LEFT(Sample!A329,1)="E",LEFT(Sample!A329,1)="H"),OR(LEFT(Sample!C329,2)="JX",LEFT(Sample!C329,1)="W",LEFT(Sample!C329,1)="X")),"TS95",IF(AND(OR(LEFT(Sample!A329,1)="E",LEFT(Sample!A329,1)="H"),OR(LEFT(Sample!C329,2)="JN",LEFT(Sample!C329,1)="N")),"TS3",IF(OR(LEFT(Sample!A329,1)="T",LEFT(Sample!A329,1)="B"),"TS24",IF(LEFT(Sample!A329,2)="CR","CARRIER9",IF(LEFT(Sample!A329,4)="DEL3","NIPTDEL3",Sample!A329))))))</f>
        <v>0</v>
      </c>
      <c r="O331" t="str">
        <f xml:space="preserve"> SUBSTITUTE( SUBSTITUTE( SUBSTITUTE( SUBSTITUTE( SUBSTITUTE( SUBSTITUTE( SUBSTITUTE( SUBSTITUTE( SampleImport!I331, "A", 1), "C", 2), "G", 3),"T", 4), 1, "T"), 2, "G"), 3, "C"), 4, "A")</f>
        <v/>
      </c>
    </row>
    <row r="332" spans="1:15" x14ac:dyDescent="0.35">
      <c r="A332" t="str">
        <f>Sample!B330&amp;"-"&amp;Sample!C330</f>
        <v>-</v>
      </c>
      <c r="B332" t="str">
        <f>Sample!B330&amp;"-"&amp;Sample!C330</f>
        <v>-</v>
      </c>
      <c r="C332">
        <f>Sample!A330</f>
        <v>0</v>
      </c>
      <c r="F332">
        <f>Sample!K330</f>
        <v>0</v>
      </c>
      <c r="G332" t="e">
        <f>VLOOKUP(F332,'Index Sequence'!$A$2:$B$9808,2,FALSE)</f>
        <v>#N/A</v>
      </c>
      <c r="H332">
        <f>Sample!L330</f>
        <v>0</v>
      </c>
      <c r="I332" t="str">
        <f t="shared" si="4"/>
        <v/>
      </c>
      <c r="K332">
        <f>IF(AND(OR(LEFT(Sample!A330,1)="E",LEFT(Sample!A330,1)="H"),OR(LEFT(Sample!C330,2)="JI",LEFT(Sample!C330,1)="I")),"TS1",IF(AND(OR(LEFT(Sample!A330,1)="E",LEFT(Sample!A330,1)="H"),OR(LEFT(Sample!C330,2)="JX",LEFT(Sample!C330,1)="W",LEFT(Sample!C330,1)="X")),"TS95",IF(AND(OR(LEFT(Sample!A330,1)="E",LEFT(Sample!A330,1)="H"),OR(LEFT(Sample!C330,2)="JN",LEFT(Sample!C330,1)="N")),"TS3",IF(OR(LEFT(Sample!A330,1)="T",LEFT(Sample!A330,1)="B"),"TS24",IF(LEFT(Sample!A330,2)="CR","CARRIER9",IF(LEFT(Sample!A330,4)="DEL3","NIPTDEL3",Sample!A330))))))</f>
        <v>0</v>
      </c>
      <c r="O332" t="str">
        <f xml:space="preserve"> SUBSTITUTE( SUBSTITUTE( SUBSTITUTE( SUBSTITUTE( SUBSTITUTE( SUBSTITUTE( SUBSTITUTE( SUBSTITUTE( SampleImport!I332, "A", 1), "C", 2), "G", 3),"T", 4), 1, "T"), 2, "G"), 3, "C"), 4, "A")</f>
        <v/>
      </c>
    </row>
    <row r="333" spans="1:15" x14ac:dyDescent="0.35">
      <c r="A333" t="str">
        <f>Sample!B331&amp;"-"&amp;Sample!C331</f>
        <v>-</v>
      </c>
      <c r="B333" t="str">
        <f>Sample!B331&amp;"-"&amp;Sample!C331</f>
        <v>-</v>
      </c>
      <c r="C333">
        <f>Sample!A331</f>
        <v>0</v>
      </c>
      <c r="F333">
        <f>Sample!K331</f>
        <v>0</v>
      </c>
      <c r="G333" t="e">
        <f>VLOOKUP(F333,'Index Sequence'!$A$2:$B$9808,2,FALSE)</f>
        <v>#N/A</v>
      </c>
      <c r="H333">
        <f>Sample!L331</f>
        <v>0</v>
      </c>
      <c r="I333" t="str">
        <f t="shared" si="4"/>
        <v/>
      </c>
      <c r="K333">
        <f>IF(AND(OR(LEFT(Sample!A331,1)="E",LEFT(Sample!A331,1)="H"),OR(LEFT(Sample!C331,2)="JI",LEFT(Sample!C331,1)="I")),"TS1",IF(AND(OR(LEFT(Sample!A331,1)="E",LEFT(Sample!A331,1)="H"),OR(LEFT(Sample!C331,2)="JX",LEFT(Sample!C331,1)="W",LEFT(Sample!C331,1)="X")),"TS95",IF(AND(OR(LEFT(Sample!A331,1)="E",LEFT(Sample!A331,1)="H"),OR(LEFT(Sample!C331,2)="JN",LEFT(Sample!C331,1)="N")),"TS3",IF(OR(LEFT(Sample!A331,1)="T",LEFT(Sample!A331,1)="B"),"TS24",IF(LEFT(Sample!A331,2)="CR","CARRIER9",IF(LEFT(Sample!A331,4)="DEL3","NIPTDEL3",Sample!A331))))))</f>
        <v>0</v>
      </c>
      <c r="O333" t="str">
        <f xml:space="preserve"> SUBSTITUTE( SUBSTITUTE( SUBSTITUTE( SUBSTITUTE( SUBSTITUTE( SUBSTITUTE( SUBSTITUTE( SUBSTITUTE( SampleImport!I333, "A", 1), "C", 2), "G", 3),"T", 4), 1, "T"), 2, "G"), 3, "C"), 4, "A")</f>
        <v/>
      </c>
    </row>
    <row r="334" spans="1:15" x14ac:dyDescent="0.35">
      <c r="A334" t="str">
        <f>Sample!B332&amp;"-"&amp;Sample!C332</f>
        <v>-</v>
      </c>
      <c r="B334" t="str">
        <f>Sample!B332&amp;"-"&amp;Sample!C332</f>
        <v>-</v>
      </c>
      <c r="C334">
        <f>Sample!A332</f>
        <v>0</v>
      </c>
      <c r="F334">
        <f>Sample!K332</f>
        <v>0</v>
      </c>
      <c r="G334" t="e">
        <f>VLOOKUP(F334,'Index Sequence'!$A$2:$B$9808,2,FALSE)</f>
        <v>#N/A</v>
      </c>
      <c r="H334">
        <f>Sample!L332</f>
        <v>0</v>
      </c>
      <c r="I334" t="str">
        <f t="shared" si="4"/>
        <v/>
      </c>
      <c r="K334">
        <f>IF(AND(OR(LEFT(Sample!A332,1)="E",LEFT(Sample!A332,1)="H"),OR(LEFT(Sample!C332,2)="JI",LEFT(Sample!C332,1)="I")),"TS1",IF(AND(OR(LEFT(Sample!A332,1)="E",LEFT(Sample!A332,1)="H"),OR(LEFT(Sample!C332,2)="JX",LEFT(Sample!C332,1)="W",LEFT(Sample!C332,1)="X")),"TS95",IF(AND(OR(LEFT(Sample!A332,1)="E",LEFT(Sample!A332,1)="H"),OR(LEFT(Sample!C332,2)="JN",LEFT(Sample!C332,1)="N")),"TS3",IF(OR(LEFT(Sample!A332,1)="T",LEFT(Sample!A332,1)="B"),"TS24",IF(LEFT(Sample!A332,2)="CR","CARRIER9",IF(LEFT(Sample!A332,4)="DEL3","NIPTDEL3",Sample!A332))))))</f>
        <v>0</v>
      </c>
      <c r="O334" t="str">
        <f xml:space="preserve"> SUBSTITUTE( SUBSTITUTE( SUBSTITUTE( SUBSTITUTE( SUBSTITUTE( SUBSTITUTE( SUBSTITUTE( SUBSTITUTE( SampleImport!I334, "A", 1), "C", 2), "G", 3),"T", 4), 1, "T"), 2, "G"), 3, "C"), 4, "A")</f>
        <v/>
      </c>
    </row>
    <row r="335" spans="1:15" x14ac:dyDescent="0.35">
      <c r="A335" t="str">
        <f>Sample!B333&amp;"-"&amp;Sample!C333</f>
        <v>-</v>
      </c>
      <c r="B335" t="str">
        <f>Sample!B333&amp;"-"&amp;Sample!C333</f>
        <v>-</v>
      </c>
      <c r="C335">
        <f>Sample!A333</f>
        <v>0</v>
      </c>
      <c r="F335">
        <f>Sample!K333</f>
        <v>0</v>
      </c>
      <c r="G335" t="e">
        <f>VLOOKUP(F335,'Index Sequence'!$A$2:$B$9808,2,FALSE)</f>
        <v>#N/A</v>
      </c>
      <c r="H335">
        <f>Sample!L333</f>
        <v>0</v>
      </c>
      <c r="I335" t="str">
        <f t="shared" si="4"/>
        <v/>
      </c>
      <c r="K335">
        <f>IF(AND(OR(LEFT(Sample!A333,1)="E",LEFT(Sample!A333,1)="H"),OR(LEFT(Sample!C333,2)="JI",LEFT(Sample!C333,1)="I")),"TS1",IF(AND(OR(LEFT(Sample!A333,1)="E",LEFT(Sample!A333,1)="H"),OR(LEFT(Sample!C333,2)="JX",LEFT(Sample!C333,1)="W",LEFT(Sample!C333,1)="X")),"TS95",IF(AND(OR(LEFT(Sample!A333,1)="E",LEFT(Sample!A333,1)="H"),OR(LEFT(Sample!C333,2)="JN",LEFT(Sample!C333,1)="N")),"TS3",IF(OR(LEFT(Sample!A333,1)="T",LEFT(Sample!A333,1)="B"),"TS24",IF(LEFT(Sample!A333,2)="CR","CARRIER9",IF(LEFT(Sample!A333,4)="DEL3","NIPTDEL3",Sample!A333))))))</f>
        <v>0</v>
      </c>
      <c r="O335" t="str">
        <f xml:space="preserve"> SUBSTITUTE( SUBSTITUTE( SUBSTITUTE( SUBSTITUTE( SUBSTITUTE( SUBSTITUTE( SUBSTITUTE( SUBSTITUTE( SampleImport!I335, "A", 1), "C", 2), "G", 3),"T", 4), 1, "T"), 2, "G"), 3, "C"), 4, "A")</f>
        <v/>
      </c>
    </row>
    <row r="336" spans="1:15" x14ac:dyDescent="0.35">
      <c r="A336" t="str">
        <f>Sample!B334&amp;"-"&amp;Sample!C334</f>
        <v>-</v>
      </c>
      <c r="B336" t="str">
        <f>Sample!B334&amp;"-"&amp;Sample!C334</f>
        <v>-</v>
      </c>
      <c r="C336">
        <f>Sample!A334</f>
        <v>0</v>
      </c>
      <c r="F336">
        <f>Sample!K334</f>
        <v>0</v>
      </c>
      <c r="G336" t="e">
        <f>VLOOKUP(F336,'Index Sequence'!$A$2:$B$9808,2,FALSE)</f>
        <v>#N/A</v>
      </c>
      <c r="H336">
        <f>Sample!L334</f>
        <v>0</v>
      </c>
      <c r="I336" t="str">
        <f t="shared" si="4"/>
        <v/>
      </c>
      <c r="K336">
        <f>IF(AND(OR(LEFT(Sample!A334,1)="E",LEFT(Sample!A334,1)="H"),OR(LEFT(Sample!C334,2)="JI",LEFT(Sample!C334,1)="I")),"TS1",IF(AND(OR(LEFT(Sample!A334,1)="E",LEFT(Sample!A334,1)="H"),OR(LEFT(Sample!C334,2)="JX",LEFT(Sample!C334,1)="W",LEFT(Sample!C334,1)="X")),"TS95",IF(AND(OR(LEFT(Sample!A334,1)="E",LEFT(Sample!A334,1)="H"),OR(LEFT(Sample!C334,2)="JN",LEFT(Sample!C334,1)="N")),"TS3",IF(OR(LEFT(Sample!A334,1)="T",LEFT(Sample!A334,1)="B"),"TS24",IF(LEFT(Sample!A334,2)="CR","CARRIER9",IF(LEFT(Sample!A334,4)="DEL3","NIPTDEL3",Sample!A334))))))</f>
        <v>0</v>
      </c>
      <c r="O336" t="str">
        <f xml:space="preserve"> SUBSTITUTE( SUBSTITUTE( SUBSTITUTE( SUBSTITUTE( SUBSTITUTE( SUBSTITUTE( SUBSTITUTE( SUBSTITUTE( SampleImport!I336, "A", 1), "C", 2), "G", 3),"T", 4), 1, "T"), 2, "G"), 3, "C"), 4, "A")</f>
        <v/>
      </c>
    </row>
    <row r="337" spans="1:15" x14ac:dyDescent="0.35">
      <c r="A337" t="str">
        <f>Sample!B335&amp;"-"&amp;Sample!C335</f>
        <v>-</v>
      </c>
      <c r="B337" t="str">
        <f>Sample!B335&amp;"-"&amp;Sample!C335</f>
        <v>-</v>
      </c>
      <c r="C337">
        <f>Sample!A335</f>
        <v>0</v>
      </c>
      <c r="F337">
        <f>Sample!K335</f>
        <v>0</v>
      </c>
      <c r="G337" t="e">
        <f>VLOOKUP(F337,'Index Sequence'!$A$2:$B$9808,2,FALSE)</f>
        <v>#N/A</v>
      </c>
      <c r="H337">
        <f>Sample!L335</f>
        <v>0</v>
      </c>
      <c r="I337" t="str">
        <f t="shared" si="4"/>
        <v/>
      </c>
      <c r="K337">
        <f>IF(AND(OR(LEFT(Sample!A335,1)="E",LEFT(Sample!A335,1)="H"),OR(LEFT(Sample!C335,2)="JI",LEFT(Sample!C335,1)="I")),"TS1",IF(AND(OR(LEFT(Sample!A335,1)="E",LEFT(Sample!A335,1)="H"),OR(LEFT(Sample!C335,2)="JX",LEFT(Sample!C335,1)="W",LEFT(Sample!C335,1)="X")),"TS95",IF(AND(OR(LEFT(Sample!A335,1)="E",LEFT(Sample!A335,1)="H"),OR(LEFT(Sample!C335,2)="JN",LEFT(Sample!C335,1)="N")),"TS3",IF(OR(LEFT(Sample!A335,1)="T",LEFT(Sample!A335,1)="B"),"TS24",IF(LEFT(Sample!A335,2)="CR","CARRIER9",IF(LEFT(Sample!A335,4)="DEL3","NIPTDEL3",Sample!A335))))))</f>
        <v>0</v>
      </c>
      <c r="O337" t="str">
        <f xml:space="preserve"> SUBSTITUTE( SUBSTITUTE( SUBSTITUTE( SUBSTITUTE( SUBSTITUTE( SUBSTITUTE( SUBSTITUTE( SUBSTITUTE( SampleImport!I337, "A", 1), "C", 2), "G", 3),"T", 4), 1, "T"), 2, "G"), 3, "C"), 4, "A")</f>
        <v/>
      </c>
    </row>
    <row r="338" spans="1:15" x14ac:dyDescent="0.35">
      <c r="A338" t="str">
        <f>Sample!B336&amp;"-"&amp;Sample!C336</f>
        <v>-</v>
      </c>
      <c r="B338" t="str">
        <f>Sample!B336&amp;"-"&amp;Sample!C336</f>
        <v>-</v>
      </c>
      <c r="C338">
        <f>Sample!A336</f>
        <v>0</v>
      </c>
      <c r="F338">
        <f>Sample!K336</f>
        <v>0</v>
      </c>
      <c r="G338" t="e">
        <f>VLOOKUP(F338,'Index Sequence'!$A$2:$B$9808,2,FALSE)</f>
        <v>#N/A</v>
      </c>
      <c r="H338">
        <f>Sample!L336</f>
        <v>0</v>
      </c>
      <c r="I338" t="str">
        <f t="shared" si="4"/>
        <v/>
      </c>
      <c r="K338">
        <f>IF(AND(OR(LEFT(Sample!A336,1)="E",LEFT(Sample!A336,1)="H"),OR(LEFT(Sample!C336,2)="JI",LEFT(Sample!C336,1)="I")),"TS1",IF(AND(OR(LEFT(Sample!A336,1)="E",LEFT(Sample!A336,1)="H"),OR(LEFT(Sample!C336,2)="JX",LEFT(Sample!C336,1)="W",LEFT(Sample!C336,1)="X")),"TS95",IF(AND(OR(LEFT(Sample!A336,1)="E",LEFT(Sample!A336,1)="H"),OR(LEFT(Sample!C336,2)="JN",LEFT(Sample!C336,1)="N")),"TS3",IF(OR(LEFT(Sample!A336,1)="T",LEFT(Sample!A336,1)="B"),"TS24",IF(LEFT(Sample!A336,2)="CR","CARRIER9",IF(LEFT(Sample!A336,4)="DEL3","NIPTDEL3",Sample!A336))))))</f>
        <v>0</v>
      </c>
      <c r="O338" t="str">
        <f xml:space="preserve"> SUBSTITUTE( SUBSTITUTE( SUBSTITUTE( SUBSTITUTE( SUBSTITUTE( SUBSTITUTE( SUBSTITUTE( SUBSTITUTE( SampleImport!I338, "A", 1), "C", 2), "G", 3),"T", 4), 1, "T"), 2, "G"), 3, "C"), 4, "A")</f>
        <v/>
      </c>
    </row>
    <row r="339" spans="1:15" x14ac:dyDescent="0.35">
      <c r="A339" t="str">
        <f>Sample!B337&amp;"-"&amp;Sample!C337</f>
        <v>-</v>
      </c>
      <c r="B339" t="str">
        <f>Sample!B337&amp;"-"&amp;Sample!C337</f>
        <v>-</v>
      </c>
      <c r="C339">
        <f>Sample!A337</f>
        <v>0</v>
      </c>
      <c r="F339">
        <f>Sample!K337</f>
        <v>0</v>
      </c>
      <c r="G339" t="e">
        <f>VLOOKUP(F339,'Index Sequence'!$A$2:$B$9808,2,FALSE)</f>
        <v>#N/A</v>
      </c>
      <c r="H339">
        <f>Sample!L337</f>
        <v>0</v>
      </c>
      <c r="I339" t="str">
        <f t="shared" si="4"/>
        <v/>
      </c>
      <c r="K339">
        <f>IF(AND(OR(LEFT(Sample!A337,1)="E",LEFT(Sample!A337,1)="H"),OR(LEFT(Sample!C337,2)="JI",LEFT(Sample!C337,1)="I")),"TS1",IF(AND(OR(LEFT(Sample!A337,1)="E",LEFT(Sample!A337,1)="H"),OR(LEFT(Sample!C337,2)="JX",LEFT(Sample!C337,1)="W",LEFT(Sample!C337,1)="X")),"TS95",IF(AND(OR(LEFT(Sample!A337,1)="E",LEFT(Sample!A337,1)="H"),OR(LEFT(Sample!C337,2)="JN",LEFT(Sample!C337,1)="N")),"TS3",IF(OR(LEFT(Sample!A337,1)="T",LEFT(Sample!A337,1)="B"),"TS24",IF(LEFT(Sample!A337,2)="CR","CARRIER9",IF(LEFT(Sample!A337,4)="DEL3","NIPTDEL3",Sample!A337))))))</f>
        <v>0</v>
      </c>
      <c r="O339" t="str">
        <f xml:space="preserve"> SUBSTITUTE( SUBSTITUTE( SUBSTITUTE( SUBSTITUTE( SUBSTITUTE( SUBSTITUTE( SUBSTITUTE( SUBSTITUTE( SampleImport!I339, "A", 1), "C", 2), "G", 3),"T", 4), 1, "T"), 2, "G"), 3, "C"), 4, "A")</f>
        <v/>
      </c>
    </row>
    <row r="340" spans="1:15" x14ac:dyDescent="0.35">
      <c r="A340" t="str">
        <f>Sample!B338&amp;"-"&amp;Sample!C338</f>
        <v>-</v>
      </c>
      <c r="B340" t="str">
        <f>Sample!B338&amp;"-"&amp;Sample!C338</f>
        <v>-</v>
      </c>
      <c r="C340">
        <f>Sample!A338</f>
        <v>0</v>
      </c>
      <c r="F340">
        <f>Sample!K338</f>
        <v>0</v>
      </c>
      <c r="G340" t="e">
        <f>VLOOKUP(F340,'Index Sequence'!$A$2:$B$9808,2,FALSE)</f>
        <v>#N/A</v>
      </c>
      <c r="H340">
        <f>Sample!L338</f>
        <v>0</v>
      </c>
      <c r="I340" t="str">
        <f t="shared" si="4"/>
        <v/>
      </c>
      <c r="K340">
        <f>IF(AND(OR(LEFT(Sample!A338,1)="E",LEFT(Sample!A338,1)="H"),OR(LEFT(Sample!C338,2)="JI",LEFT(Sample!C338,1)="I")),"TS1",IF(AND(OR(LEFT(Sample!A338,1)="E",LEFT(Sample!A338,1)="H"),OR(LEFT(Sample!C338,2)="JX",LEFT(Sample!C338,1)="W",LEFT(Sample!C338,1)="X")),"TS95",IF(AND(OR(LEFT(Sample!A338,1)="E",LEFT(Sample!A338,1)="H"),OR(LEFT(Sample!C338,2)="JN",LEFT(Sample!C338,1)="N")),"TS3",IF(OR(LEFT(Sample!A338,1)="T",LEFT(Sample!A338,1)="B"),"TS24",IF(LEFT(Sample!A338,2)="CR","CARRIER9",IF(LEFT(Sample!A338,4)="DEL3","NIPTDEL3",Sample!A338))))))</f>
        <v>0</v>
      </c>
      <c r="O340" t="str">
        <f xml:space="preserve"> SUBSTITUTE( SUBSTITUTE( SUBSTITUTE( SUBSTITUTE( SUBSTITUTE( SUBSTITUTE( SUBSTITUTE( SUBSTITUTE( SampleImport!I340, "A", 1), "C", 2), "G", 3),"T", 4), 1, "T"), 2, "G"), 3, "C"), 4, "A")</f>
        <v/>
      </c>
    </row>
    <row r="341" spans="1:15" x14ac:dyDescent="0.35">
      <c r="A341" t="str">
        <f>Sample!B339&amp;"-"&amp;Sample!C339</f>
        <v>-</v>
      </c>
      <c r="B341" t="str">
        <f>Sample!B339&amp;"-"&amp;Sample!C339</f>
        <v>-</v>
      </c>
      <c r="C341">
        <f>Sample!A339</f>
        <v>0</v>
      </c>
      <c r="F341">
        <f>Sample!K339</f>
        <v>0</v>
      </c>
      <c r="G341" t="e">
        <f>VLOOKUP(F341,'Index Sequence'!$A$2:$B$9808,2,FALSE)</f>
        <v>#N/A</v>
      </c>
      <c r="H341">
        <f>Sample!L339</f>
        <v>0</v>
      </c>
      <c r="I341" t="str">
        <f t="shared" si="4"/>
        <v/>
      </c>
      <c r="K341">
        <f>IF(AND(OR(LEFT(Sample!A339,1)="E",LEFT(Sample!A339,1)="H"),OR(LEFT(Sample!C339,2)="JI",LEFT(Sample!C339,1)="I")),"TS1",IF(AND(OR(LEFT(Sample!A339,1)="E",LEFT(Sample!A339,1)="H"),OR(LEFT(Sample!C339,2)="JX",LEFT(Sample!C339,1)="W",LEFT(Sample!C339,1)="X")),"TS95",IF(AND(OR(LEFT(Sample!A339,1)="E",LEFT(Sample!A339,1)="H"),OR(LEFT(Sample!C339,2)="JN",LEFT(Sample!C339,1)="N")),"TS3",IF(OR(LEFT(Sample!A339,1)="T",LEFT(Sample!A339,1)="B"),"TS24",IF(LEFT(Sample!A339,2)="CR","CARRIER9",IF(LEFT(Sample!A339,4)="DEL3","NIPTDEL3",Sample!A339))))))</f>
        <v>0</v>
      </c>
      <c r="O341" t="str">
        <f xml:space="preserve"> SUBSTITUTE( SUBSTITUTE( SUBSTITUTE( SUBSTITUTE( SUBSTITUTE( SUBSTITUTE( SUBSTITUTE( SUBSTITUTE( SampleImport!I341, "A", 1), "C", 2), "G", 3),"T", 4), 1, "T"), 2, "G"), 3, "C"), 4, "A")</f>
        <v/>
      </c>
    </row>
    <row r="342" spans="1:15" x14ac:dyDescent="0.35">
      <c r="A342" t="str">
        <f>Sample!B340&amp;"-"&amp;Sample!C340</f>
        <v>-</v>
      </c>
      <c r="B342" t="str">
        <f>Sample!B340&amp;"-"&amp;Sample!C340</f>
        <v>-</v>
      </c>
      <c r="C342">
        <f>Sample!A340</f>
        <v>0</v>
      </c>
      <c r="F342">
        <f>Sample!K340</f>
        <v>0</v>
      </c>
      <c r="G342" t="e">
        <f>VLOOKUP(F342,'Index Sequence'!$A$2:$B$9808,2,FALSE)</f>
        <v>#N/A</v>
      </c>
      <c r="H342">
        <f>Sample!L340</f>
        <v>0</v>
      </c>
      <c r="I342" t="str">
        <f t="shared" si="4"/>
        <v/>
      </c>
      <c r="K342">
        <f>IF(AND(OR(LEFT(Sample!A340,1)="E",LEFT(Sample!A340,1)="H"),OR(LEFT(Sample!C340,2)="JI",LEFT(Sample!C340,1)="I")),"TS1",IF(AND(OR(LEFT(Sample!A340,1)="E",LEFT(Sample!A340,1)="H"),OR(LEFT(Sample!C340,2)="JX",LEFT(Sample!C340,1)="W",LEFT(Sample!C340,1)="X")),"TS95",IF(AND(OR(LEFT(Sample!A340,1)="E",LEFT(Sample!A340,1)="H"),OR(LEFT(Sample!C340,2)="JN",LEFT(Sample!C340,1)="N")),"TS3",IF(OR(LEFT(Sample!A340,1)="T",LEFT(Sample!A340,1)="B"),"TS24",IF(LEFT(Sample!A340,2)="CR","CARRIER9",IF(LEFT(Sample!A340,4)="DEL3","NIPTDEL3",Sample!A340))))))</f>
        <v>0</v>
      </c>
      <c r="O342" t="str">
        <f xml:space="preserve"> SUBSTITUTE( SUBSTITUTE( SUBSTITUTE( SUBSTITUTE( SUBSTITUTE( SUBSTITUTE( SUBSTITUTE( SUBSTITUTE( SampleImport!I342, "A", 1), "C", 2), "G", 3),"T", 4), 1, "T"), 2, "G"), 3, "C"), 4, "A")</f>
        <v/>
      </c>
    </row>
    <row r="343" spans="1:15" x14ac:dyDescent="0.35">
      <c r="A343" t="str">
        <f>Sample!B341&amp;"-"&amp;Sample!C341</f>
        <v>-</v>
      </c>
      <c r="B343" t="str">
        <f>Sample!B341&amp;"-"&amp;Sample!C341</f>
        <v>-</v>
      </c>
      <c r="C343">
        <f>Sample!A341</f>
        <v>0</v>
      </c>
      <c r="F343">
        <f>Sample!K341</f>
        <v>0</v>
      </c>
      <c r="G343" t="e">
        <f>VLOOKUP(F343,'Index Sequence'!$A$2:$B$9808,2,FALSE)</f>
        <v>#N/A</v>
      </c>
      <c r="H343">
        <f>Sample!L341</f>
        <v>0</v>
      </c>
      <c r="I343" t="str">
        <f t="shared" si="4"/>
        <v/>
      </c>
      <c r="K343">
        <f>IF(AND(OR(LEFT(Sample!A341,1)="E",LEFT(Sample!A341,1)="H"),OR(LEFT(Sample!C341,2)="JI",LEFT(Sample!C341,1)="I")),"TS1",IF(AND(OR(LEFT(Sample!A341,1)="E",LEFT(Sample!A341,1)="H"),OR(LEFT(Sample!C341,2)="JX",LEFT(Sample!C341,1)="W",LEFT(Sample!C341,1)="X")),"TS95",IF(AND(OR(LEFT(Sample!A341,1)="E",LEFT(Sample!A341,1)="H"),OR(LEFT(Sample!C341,2)="JN",LEFT(Sample!C341,1)="N")),"TS3",IF(OR(LEFT(Sample!A341,1)="T",LEFT(Sample!A341,1)="B"),"TS24",IF(LEFT(Sample!A341,2)="CR","CARRIER9",IF(LEFT(Sample!A341,4)="DEL3","NIPTDEL3",Sample!A341))))))</f>
        <v>0</v>
      </c>
      <c r="O343" t="str">
        <f xml:space="preserve"> SUBSTITUTE( SUBSTITUTE( SUBSTITUTE( SUBSTITUTE( SUBSTITUTE( SUBSTITUTE( SUBSTITUTE( SUBSTITUTE( SampleImport!I343, "A", 1), "C", 2), "G", 3),"T", 4), 1, "T"), 2, "G"), 3, "C"), 4, "A")</f>
        <v/>
      </c>
    </row>
    <row r="344" spans="1:15" x14ac:dyDescent="0.35">
      <c r="A344" t="str">
        <f>Sample!B342&amp;"-"&amp;Sample!C342</f>
        <v>-</v>
      </c>
      <c r="B344" t="str">
        <f>Sample!B342&amp;"-"&amp;Sample!C342</f>
        <v>-</v>
      </c>
      <c r="C344">
        <f>Sample!A342</f>
        <v>0</v>
      </c>
      <c r="F344">
        <f>Sample!K342</f>
        <v>0</v>
      </c>
      <c r="G344" t="e">
        <f>VLOOKUP(F344,'Index Sequence'!$A$2:$B$9808,2,FALSE)</f>
        <v>#N/A</v>
      </c>
      <c r="H344">
        <f>Sample!L342</f>
        <v>0</v>
      </c>
      <c r="I344" t="str">
        <f t="shared" ref="I344:I360" si="5" xml:space="preserve"> MID(O344,30,1) &amp; MID(O344,29,1) &amp; MID(O344,28,1) &amp; MID(O344,27,1) &amp; MID(O344,26,1) &amp; MID(O344,25,1) &amp; MID(O344,24,1) &amp; MID(O344,23,1) &amp; MID(O344,22,1) &amp; MID(O344,21,1) &amp; MID(O344,20,1) &amp; MID(O344,19,1) &amp; MID(O344,18,1) &amp; MID(O344,17,1) &amp; MID(O344,16,1) &amp; MID(O344,15,1) &amp; MID(O344,14,1) &amp; MID(O344,13,1) &amp; MID(O344,12,1) &amp; MID(O344,11,1) &amp; MID(O344,10,1) &amp; MID(O344,9,1) &amp; MID(O344,8,1) &amp; MID(O344,7,1) &amp; MID(O344,6,1) &amp; MID(O344,5,1) &amp; MID(O344,4,1) &amp; MID(O344,3,1) &amp; MID(O344,2,1) &amp; MID(O344,1,1)</f>
        <v/>
      </c>
      <c r="K344">
        <f>IF(AND(OR(LEFT(Sample!A342,1)="E",LEFT(Sample!A342,1)="H"),OR(LEFT(Sample!C342,2)="JI",LEFT(Sample!C342,1)="I")),"TS1",IF(AND(OR(LEFT(Sample!A342,1)="E",LEFT(Sample!A342,1)="H"),OR(LEFT(Sample!C342,2)="JX",LEFT(Sample!C342,1)="W",LEFT(Sample!C342,1)="X")),"TS95",IF(AND(OR(LEFT(Sample!A342,1)="E",LEFT(Sample!A342,1)="H"),OR(LEFT(Sample!C342,2)="JN",LEFT(Sample!C342,1)="N")),"TS3",IF(OR(LEFT(Sample!A342,1)="T",LEFT(Sample!A342,1)="B"),"TS24",IF(LEFT(Sample!A342,2)="CR","CARRIER9",IF(LEFT(Sample!A342,4)="DEL3","NIPTDEL3",Sample!A342))))))</f>
        <v>0</v>
      </c>
      <c r="O344" t="str">
        <f xml:space="preserve"> SUBSTITUTE( SUBSTITUTE( SUBSTITUTE( SUBSTITUTE( SUBSTITUTE( SUBSTITUTE( SUBSTITUTE( SUBSTITUTE( SampleImport!I344, "A", 1), "C", 2), "G", 3),"T", 4), 1, "T"), 2, "G"), 3, "C"), 4, "A")</f>
        <v/>
      </c>
    </row>
    <row r="345" spans="1:15" x14ac:dyDescent="0.35">
      <c r="A345" t="str">
        <f>Sample!B343&amp;"-"&amp;Sample!C343</f>
        <v>-</v>
      </c>
      <c r="B345" t="str">
        <f>Sample!B343&amp;"-"&amp;Sample!C343</f>
        <v>-</v>
      </c>
      <c r="C345">
        <f>Sample!A343</f>
        <v>0</v>
      </c>
      <c r="F345">
        <f>Sample!K343</f>
        <v>0</v>
      </c>
      <c r="G345" t="e">
        <f>VLOOKUP(F345,'Index Sequence'!$A$2:$B$9808,2,FALSE)</f>
        <v>#N/A</v>
      </c>
      <c r="H345">
        <f>Sample!L343</f>
        <v>0</v>
      </c>
      <c r="I345" t="str">
        <f t="shared" si="5"/>
        <v/>
      </c>
      <c r="K345">
        <f>IF(AND(OR(LEFT(Sample!A343,1)="E",LEFT(Sample!A343,1)="H"),OR(LEFT(Sample!C343,2)="JI",LEFT(Sample!C343,1)="I")),"TS1",IF(AND(OR(LEFT(Sample!A343,1)="E",LEFT(Sample!A343,1)="H"),OR(LEFT(Sample!C343,2)="JX",LEFT(Sample!C343,1)="W",LEFT(Sample!C343,1)="X")),"TS95",IF(AND(OR(LEFT(Sample!A343,1)="E",LEFT(Sample!A343,1)="H"),OR(LEFT(Sample!C343,2)="JN",LEFT(Sample!C343,1)="N")),"TS3",IF(OR(LEFT(Sample!A343,1)="T",LEFT(Sample!A343,1)="B"),"TS24",IF(LEFT(Sample!A343,2)="CR","CARRIER9",IF(LEFT(Sample!A343,4)="DEL3","NIPTDEL3",Sample!A343))))))</f>
        <v>0</v>
      </c>
      <c r="O345" t="str">
        <f xml:space="preserve"> SUBSTITUTE( SUBSTITUTE( SUBSTITUTE( SUBSTITUTE( SUBSTITUTE( SUBSTITUTE( SUBSTITUTE( SUBSTITUTE( SampleImport!I345, "A", 1), "C", 2), "G", 3),"T", 4), 1, "T"), 2, "G"), 3, "C"), 4, "A")</f>
        <v/>
      </c>
    </row>
    <row r="346" spans="1:15" x14ac:dyDescent="0.35">
      <c r="A346" t="str">
        <f>Sample!B344&amp;"-"&amp;Sample!C344</f>
        <v>-</v>
      </c>
      <c r="B346" t="str">
        <f>Sample!B344&amp;"-"&amp;Sample!C344</f>
        <v>-</v>
      </c>
      <c r="C346">
        <f>Sample!A344</f>
        <v>0</v>
      </c>
      <c r="F346">
        <f>Sample!K344</f>
        <v>0</v>
      </c>
      <c r="G346" t="e">
        <f>VLOOKUP(F346,'Index Sequence'!$A$2:$B$9808,2,FALSE)</f>
        <v>#N/A</v>
      </c>
      <c r="H346">
        <f>Sample!L344</f>
        <v>0</v>
      </c>
      <c r="I346" t="str">
        <f t="shared" si="5"/>
        <v/>
      </c>
      <c r="K346">
        <f>IF(AND(OR(LEFT(Sample!A344,1)="E",LEFT(Sample!A344,1)="H"),OR(LEFT(Sample!C344,2)="JI",LEFT(Sample!C344,1)="I")),"TS1",IF(AND(OR(LEFT(Sample!A344,1)="E",LEFT(Sample!A344,1)="H"),OR(LEFT(Sample!C344,2)="JX",LEFT(Sample!C344,1)="W",LEFT(Sample!C344,1)="X")),"TS95",IF(AND(OR(LEFT(Sample!A344,1)="E",LEFT(Sample!A344,1)="H"),OR(LEFT(Sample!C344,2)="JN",LEFT(Sample!C344,1)="N")),"TS3",IF(OR(LEFT(Sample!A344,1)="T",LEFT(Sample!A344,1)="B"),"TS24",IF(LEFT(Sample!A344,2)="CR","CARRIER9",IF(LEFT(Sample!A344,4)="DEL3","NIPTDEL3",Sample!A344))))))</f>
        <v>0</v>
      </c>
      <c r="O346" t="str">
        <f xml:space="preserve"> SUBSTITUTE( SUBSTITUTE( SUBSTITUTE( SUBSTITUTE( SUBSTITUTE( SUBSTITUTE( SUBSTITUTE( SUBSTITUTE( SampleImport!I346, "A", 1), "C", 2), "G", 3),"T", 4), 1, "T"), 2, "G"), 3, "C"), 4, "A")</f>
        <v/>
      </c>
    </row>
    <row r="347" spans="1:15" x14ac:dyDescent="0.35">
      <c r="A347" t="str">
        <f>Sample!B345&amp;"-"&amp;Sample!C345</f>
        <v>-</v>
      </c>
      <c r="B347" t="str">
        <f>Sample!B345&amp;"-"&amp;Sample!C345</f>
        <v>-</v>
      </c>
      <c r="C347">
        <f>Sample!A345</f>
        <v>0</v>
      </c>
      <c r="F347">
        <f>Sample!K345</f>
        <v>0</v>
      </c>
      <c r="G347" t="e">
        <f>VLOOKUP(F347,'Index Sequence'!$A$2:$B$9808,2,FALSE)</f>
        <v>#N/A</v>
      </c>
      <c r="H347">
        <f>Sample!L345</f>
        <v>0</v>
      </c>
      <c r="I347" t="str">
        <f t="shared" si="5"/>
        <v/>
      </c>
      <c r="K347">
        <f>IF(AND(OR(LEFT(Sample!A345,1)="E",LEFT(Sample!A345,1)="H"),OR(LEFT(Sample!C345,2)="JI",LEFT(Sample!C345,1)="I")),"TS1",IF(AND(OR(LEFT(Sample!A345,1)="E",LEFT(Sample!A345,1)="H"),OR(LEFT(Sample!C345,2)="JX",LEFT(Sample!C345,1)="W",LEFT(Sample!C345,1)="X")),"TS95",IF(AND(OR(LEFT(Sample!A345,1)="E",LEFT(Sample!A345,1)="H"),OR(LEFT(Sample!C345,2)="JN",LEFT(Sample!C345,1)="N")),"TS3",IF(OR(LEFT(Sample!A345,1)="T",LEFT(Sample!A345,1)="B"),"TS24",IF(LEFT(Sample!A345,2)="CR","CARRIER9",IF(LEFT(Sample!A345,4)="DEL3","NIPTDEL3",Sample!A345))))))</f>
        <v>0</v>
      </c>
      <c r="O347" t="str">
        <f xml:space="preserve"> SUBSTITUTE( SUBSTITUTE( SUBSTITUTE( SUBSTITUTE( SUBSTITUTE( SUBSTITUTE( SUBSTITUTE( SUBSTITUTE( SampleImport!I347, "A", 1), "C", 2), "G", 3),"T", 4), 1, "T"), 2, "G"), 3, "C"), 4, "A")</f>
        <v/>
      </c>
    </row>
    <row r="348" spans="1:15" x14ac:dyDescent="0.35">
      <c r="A348" t="str">
        <f>Sample!B346&amp;"-"&amp;Sample!C346</f>
        <v>-</v>
      </c>
      <c r="B348" t="str">
        <f>Sample!B346&amp;"-"&amp;Sample!C346</f>
        <v>-</v>
      </c>
      <c r="C348">
        <f>Sample!A346</f>
        <v>0</v>
      </c>
      <c r="F348">
        <f>Sample!K346</f>
        <v>0</v>
      </c>
      <c r="G348" t="e">
        <f>VLOOKUP(F348,'Index Sequence'!$A$2:$B$9808,2,FALSE)</f>
        <v>#N/A</v>
      </c>
      <c r="H348">
        <f>Sample!L346</f>
        <v>0</v>
      </c>
      <c r="I348" t="str">
        <f t="shared" si="5"/>
        <v/>
      </c>
      <c r="K348">
        <f>IF(AND(OR(LEFT(Sample!A346,1)="E",LEFT(Sample!A346,1)="H"),OR(LEFT(Sample!C346,2)="JI",LEFT(Sample!C346,1)="I")),"TS1",IF(AND(OR(LEFT(Sample!A346,1)="E",LEFT(Sample!A346,1)="H"),OR(LEFT(Sample!C346,2)="JX",LEFT(Sample!C346,1)="W",LEFT(Sample!C346,1)="X")),"TS95",IF(AND(OR(LEFT(Sample!A346,1)="E",LEFT(Sample!A346,1)="H"),OR(LEFT(Sample!C346,2)="JN",LEFT(Sample!C346,1)="N")),"TS3",IF(OR(LEFT(Sample!A346,1)="T",LEFT(Sample!A346,1)="B"),"TS24",IF(LEFT(Sample!A346,2)="CR","CARRIER9",IF(LEFT(Sample!A346,4)="DEL3","NIPTDEL3",Sample!A346))))))</f>
        <v>0</v>
      </c>
      <c r="O348" t="str">
        <f xml:space="preserve"> SUBSTITUTE( SUBSTITUTE( SUBSTITUTE( SUBSTITUTE( SUBSTITUTE( SUBSTITUTE( SUBSTITUTE( SUBSTITUTE( SampleImport!I348, "A", 1), "C", 2), "G", 3),"T", 4), 1, "T"), 2, "G"), 3, "C"), 4, "A")</f>
        <v/>
      </c>
    </row>
    <row r="349" spans="1:15" x14ac:dyDescent="0.35">
      <c r="A349" t="str">
        <f>Sample!B347&amp;"-"&amp;Sample!C347</f>
        <v>-</v>
      </c>
      <c r="B349" t="str">
        <f>Sample!B347&amp;"-"&amp;Sample!C347</f>
        <v>-</v>
      </c>
      <c r="C349">
        <f>Sample!A347</f>
        <v>0</v>
      </c>
      <c r="F349">
        <f>Sample!K347</f>
        <v>0</v>
      </c>
      <c r="G349" t="e">
        <f>VLOOKUP(F349,'Index Sequence'!$A$2:$B$9808,2,FALSE)</f>
        <v>#N/A</v>
      </c>
      <c r="H349">
        <f>Sample!L347</f>
        <v>0</v>
      </c>
      <c r="I349" t="str">
        <f t="shared" si="5"/>
        <v/>
      </c>
      <c r="K349">
        <f>IF(AND(OR(LEFT(Sample!A347,1)="E",LEFT(Sample!A347,1)="H"),OR(LEFT(Sample!C347,2)="JI",LEFT(Sample!C347,1)="I")),"TS1",IF(AND(OR(LEFT(Sample!A347,1)="E",LEFT(Sample!A347,1)="H"),OR(LEFT(Sample!C347,2)="JX",LEFT(Sample!C347,1)="W",LEFT(Sample!C347,1)="X")),"TS95",IF(AND(OR(LEFT(Sample!A347,1)="E",LEFT(Sample!A347,1)="H"),OR(LEFT(Sample!C347,2)="JN",LEFT(Sample!C347,1)="N")),"TS3",IF(OR(LEFT(Sample!A347,1)="T",LEFT(Sample!A347,1)="B"),"TS24",IF(LEFT(Sample!A347,2)="CR","CARRIER9",IF(LEFT(Sample!A347,4)="DEL3","NIPTDEL3",Sample!A347))))))</f>
        <v>0</v>
      </c>
      <c r="O349" t="str">
        <f xml:space="preserve"> SUBSTITUTE( SUBSTITUTE( SUBSTITUTE( SUBSTITUTE( SUBSTITUTE( SUBSTITUTE( SUBSTITUTE( SUBSTITUTE( SampleImport!I349, "A", 1), "C", 2), "G", 3),"T", 4), 1, "T"), 2, "G"), 3, "C"), 4, "A")</f>
        <v/>
      </c>
    </row>
    <row r="350" spans="1:15" x14ac:dyDescent="0.35">
      <c r="A350" t="str">
        <f>Sample!B348&amp;"-"&amp;Sample!C348</f>
        <v>-</v>
      </c>
      <c r="B350" t="str">
        <f>Sample!B348&amp;"-"&amp;Sample!C348</f>
        <v>-</v>
      </c>
      <c r="C350">
        <f>Sample!A348</f>
        <v>0</v>
      </c>
      <c r="F350">
        <f>Sample!K348</f>
        <v>0</v>
      </c>
      <c r="G350" t="e">
        <f>VLOOKUP(F350,'Index Sequence'!$A$2:$B$9808,2,FALSE)</f>
        <v>#N/A</v>
      </c>
      <c r="H350">
        <f>Sample!L348</f>
        <v>0</v>
      </c>
      <c r="I350" t="str">
        <f t="shared" si="5"/>
        <v/>
      </c>
      <c r="K350">
        <f>IF(AND(OR(LEFT(Sample!A348,1)="E",LEFT(Sample!A348,1)="H"),OR(LEFT(Sample!C348,2)="JI",LEFT(Sample!C348,1)="I")),"TS1",IF(AND(OR(LEFT(Sample!A348,1)="E",LEFT(Sample!A348,1)="H"),OR(LEFT(Sample!C348,2)="JX",LEFT(Sample!C348,1)="W",LEFT(Sample!C348,1)="X")),"TS95",IF(AND(OR(LEFT(Sample!A348,1)="E",LEFT(Sample!A348,1)="H"),OR(LEFT(Sample!C348,2)="JN",LEFT(Sample!C348,1)="N")),"TS3",IF(OR(LEFT(Sample!A348,1)="T",LEFT(Sample!A348,1)="B"),"TS24",IF(LEFT(Sample!A348,2)="CR","CARRIER9",IF(LEFT(Sample!A348,4)="DEL3","NIPTDEL3",Sample!A348))))))</f>
        <v>0</v>
      </c>
      <c r="O350" t="str">
        <f xml:space="preserve"> SUBSTITUTE( SUBSTITUTE( SUBSTITUTE( SUBSTITUTE( SUBSTITUTE( SUBSTITUTE( SUBSTITUTE( SUBSTITUTE( SampleImport!I350, "A", 1), "C", 2), "G", 3),"T", 4), 1, "T"), 2, "G"), 3, "C"), 4, "A")</f>
        <v/>
      </c>
    </row>
    <row r="351" spans="1:15" x14ac:dyDescent="0.35">
      <c r="A351" t="str">
        <f>Sample!B349&amp;"-"&amp;Sample!C349</f>
        <v>-</v>
      </c>
      <c r="B351" t="str">
        <f>Sample!B349&amp;"-"&amp;Sample!C349</f>
        <v>-</v>
      </c>
      <c r="C351">
        <f>Sample!A349</f>
        <v>0</v>
      </c>
      <c r="F351">
        <f>Sample!K349</f>
        <v>0</v>
      </c>
      <c r="G351" t="e">
        <f>VLOOKUP(F351,'Index Sequence'!$A$2:$B$9808,2,FALSE)</f>
        <v>#N/A</v>
      </c>
      <c r="H351">
        <f>Sample!L349</f>
        <v>0</v>
      </c>
      <c r="I351" t="str">
        <f t="shared" si="5"/>
        <v/>
      </c>
      <c r="K351">
        <f>IF(AND(OR(LEFT(Sample!A349,1)="E",LEFT(Sample!A349,1)="H"),OR(LEFT(Sample!C349,2)="JI",LEFT(Sample!C349,1)="I")),"TS1",IF(AND(OR(LEFT(Sample!A349,1)="E",LEFT(Sample!A349,1)="H"),OR(LEFT(Sample!C349,2)="JX",LEFT(Sample!C349,1)="W",LEFT(Sample!C349,1)="X")),"TS95",IF(AND(OR(LEFT(Sample!A349,1)="E",LEFT(Sample!A349,1)="H"),OR(LEFT(Sample!C349,2)="JN",LEFT(Sample!C349,1)="N")),"TS3",IF(OR(LEFT(Sample!A349,1)="T",LEFT(Sample!A349,1)="B"),"TS24",IF(LEFT(Sample!A349,2)="CR","CARRIER9",IF(LEFT(Sample!A349,4)="DEL3","NIPTDEL3",Sample!A349))))))</f>
        <v>0</v>
      </c>
      <c r="O351" t="str">
        <f xml:space="preserve"> SUBSTITUTE( SUBSTITUTE( SUBSTITUTE( SUBSTITUTE( SUBSTITUTE( SUBSTITUTE( SUBSTITUTE( SUBSTITUTE( SampleImport!I351, "A", 1), "C", 2), "G", 3),"T", 4), 1, "T"), 2, "G"), 3, "C"), 4, "A")</f>
        <v/>
      </c>
    </row>
    <row r="352" spans="1:15" x14ac:dyDescent="0.35">
      <c r="A352" t="str">
        <f>Sample!B350&amp;"-"&amp;Sample!C350</f>
        <v>-</v>
      </c>
      <c r="B352" t="str">
        <f>Sample!B350&amp;"-"&amp;Sample!C350</f>
        <v>-</v>
      </c>
      <c r="C352">
        <f>Sample!A350</f>
        <v>0</v>
      </c>
      <c r="F352">
        <f>Sample!K350</f>
        <v>0</v>
      </c>
      <c r="G352" t="e">
        <f>VLOOKUP(F352,'Index Sequence'!$A$2:$B$9808,2,FALSE)</f>
        <v>#N/A</v>
      </c>
      <c r="H352">
        <f>Sample!L350</f>
        <v>0</v>
      </c>
      <c r="I352" t="str">
        <f t="shared" si="5"/>
        <v/>
      </c>
      <c r="K352">
        <f>IF(AND(OR(LEFT(Sample!A350,1)="E",LEFT(Sample!A350,1)="H"),OR(LEFT(Sample!C350,2)="JI",LEFT(Sample!C350,1)="I")),"TS1",IF(AND(OR(LEFT(Sample!A350,1)="E",LEFT(Sample!A350,1)="H"),OR(LEFT(Sample!C350,2)="JX",LEFT(Sample!C350,1)="W",LEFT(Sample!C350,1)="X")),"TS95",IF(AND(OR(LEFT(Sample!A350,1)="E",LEFT(Sample!A350,1)="H"),OR(LEFT(Sample!C350,2)="JN",LEFT(Sample!C350,1)="N")),"TS3",IF(OR(LEFT(Sample!A350,1)="T",LEFT(Sample!A350,1)="B"),"TS24",IF(LEFT(Sample!A350,2)="CR","CARRIER9",IF(LEFT(Sample!A350,4)="DEL3","NIPTDEL3",Sample!A350))))))</f>
        <v>0</v>
      </c>
      <c r="O352" t="str">
        <f xml:space="preserve"> SUBSTITUTE( SUBSTITUTE( SUBSTITUTE( SUBSTITUTE( SUBSTITUTE( SUBSTITUTE( SUBSTITUTE( SUBSTITUTE( SampleImport!I352, "A", 1), "C", 2), "G", 3),"T", 4), 1, "T"), 2, "G"), 3, "C"), 4, "A")</f>
        <v/>
      </c>
    </row>
    <row r="353" spans="1:15" x14ac:dyDescent="0.35">
      <c r="A353" t="str">
        <f>Sample!B351&amp;"-"&amp;Sample!C351</f>
        <v>-</v>
      </c>
      <c r="B353" t="str">
        <f>Sample!B351&amp;"-"&amp;Sample!C351</f>
        <v>-</v>
      </c>
      <c r="C353">
        <f>Sample!A351</f>
        <v>0</v>
      </c>
      <c r="F353">
        <f>Sample!K351</f>
        <v>0</v>
      </c>
      <c r="G353" t="e">
        <f>VLOOKUP(F353,'Index Sequence'!$A$2:$B$9808,2,FALSE)</f>
        <v>#N/A</v>
      </c>
      <c r="H353">
        <f>Sample!L351</f>
        <v>0</v>
      </c>
      <c r="I353" t="str">
        <f t="shared" si="5"/>
        <v/>
      </c>
      <c r="K353">
        <f>IF(AND(OR(LEFT(Sample!A351,1)="E",LEFT(Sample!A351,1)="H"),OR(LEFT(Sample!C351,2)="JI",LEFT(Sample!C351,1)="I")),"TS1",IF(AND(OR(LEFT(Sample!A351,1)="E",LEFT(Sample!A351,1)="H"),OR(LEFT(Sample!C351,2)="JX",LEFT(Sample!C351,1)="W",LEFT(Sample!C351,1)="X")),"TS95",IF(AND(OR(LEFT(Sample!A351,1)="E",LEFT(Sample!A351,1)="H"),OR(LEFT(Sample!C351,2)="JN",LEFT(Sample!C351,1)="N")),"TS3",IF(OR(LEFT(Sample!A351,1)="T",LEFT(Sample!A351,1)="B"),"TS24",IF(LEFT(Sample!A351,2)="CR","CARRIER9",IF(LEFT(Sample!A351,4)="DEL3","NIPTDEL3",Sample!A351))))))</f>
        <v>0</v>
      </c>
      <c r="O353" t="str">
        <f xml:space="preserve"> SUBSTITUTE( SUBSTITUTE( SUBSTITUTE( SUBSTITUTE( SUBSTITUTE( SUBSTITUTE( SUBSTITUTE( SUBSTITUTE( SampleImport!I353, "A", 1), "C", 2), "G", 3),"T", 4), 1, "T"), 2, "G"), 3, "C"), 4, "A")</f>
        <v/>
      </c>
    </row>
    <row r="354" spans="1:15" x14ac:dyDescent="0.35">
      <c r="A354" t="str">
        <f>Sample!B352&amp;"-"&amp;Sample!C352</f>
        <v>-</v>
      </c>
      <c r="B354" t="str">
        <f>Sample!B352&amp;"-"&amp;Sample!C352</f>
        <v>-</v>
      </c>
      <c r="C354">
        <f>Sample!A352</f>
        <v>0</v>
      </c>
      <c r="F354">
        <f>Sample!K352</f>
        <v>0</v>
      </c>
      <c r="G354" t="e">
        <f>VLOOKUP(F354,'Index Sequence'!$A$2:$B$9808,2,FALSE)</f>
        <v>#N/A</v>
      </c>
      <c r="H354">
        <f>Sample!L352</f>
        <v>0</v>
      </c>
      <c r="I354" t="str">
        <f t="shared" si="5"/>
        <v/>
      </c>
      <c r="K354">
        <f>IF(AND(OR(LEFT(Sample!A352,1)="E",LEFT(Sample!A352,1)="H"),OR(LEFT(Sample!C352,2)="JI",LEFT(Sample!C352,1)="I")),"TS1",IF(AND(OR(LEFT(Sample!A352,1)="E",LEFT(Sample!A352,1)="H"),OR(LEFT(Sample!C352,2)="JX",LEFT(Sample!C352,1)="W",LEFT(Sample!C352,1)="X")),"TS95",IF(AND(OR(LEFT(Sample!A352,1)="E",LEFT(Sample!A352,1)="H"),OR(LEFT(Sample!C352,2)="JN",LEFT(Sample!C352,1)="N")),"TS3",IF(OR(LEFT(Sample!A352,1)="T",LEFT(Sample!A352,1)="B"),"TS24",IF(LEFT(Sample!A352,2)="CR","CARRIER9",IF(LEFT(Sample!A352,4)="DEL3","NIPTDEL3",Sample!A352))))))</f>
        <v>0</v>
      </c>
      <c r="O354" t="str">
        <f xml:space="preserve"> SUBSTITUTE( SUBSTITUTE( SUBSTITUTE( SUBSTITUTE( SUBSTITUTE( SUBSTITUTE( SUBSTITUTE( SUBSTITUTE( SampleImport!I354, "A", 1), "C", 2), "G", 3),"T", 4), 1, "T"), 2, "G"), 3, "C"), 4, "A")</f>
        <v/>
      </c>
    </row>
    <row r="355" spans="1:15" x14ac:dyDescent="0.35">
      <c r="A355" t="str">
        <f>Sample!B353&amp;"-"&amp;Sample!C353</f>
        <v>-</v>
      </c>
      <c r="B355" t="str">
        <f>Sample!B353&amp;"-"&amp;Sample!C353</f>
        <v>-</v>
      </c>
      <c r="C355">
        <f>Sample!A353</f>
        <v>0</v>
      </c>
      <c r="F355">
        <f>Sample!K353</f>
        <v>0</v>
      </c>
      <c r="G355" t="e">
        <f>VLOOKUP(F355,'Index Sequence'!$A$2:$B$9808,2,FALSE)</f>
        <v>#N/A</v>
      </c>
      <c r="H355">
        <f>Sample!L353</f>
        <v>0</v>
      </c>
      <c r="I355" t="str">
        <f t="shared" si="5"/>
        <v/>
      </c>
      <c r="K355">
        <f>IF(AND(OR(LEFT(Sample!A353,1)="E",LEFT(Sample!A353,1)="H"),OR(LEFT(Sample!C353,2)="JI",LEFT(Sample!C353,1)="I")),"TS1",IF(AND(OR(LEFT(Sample!A353,1)="E",LEFT(Sample!A353,1)="H"),OR(LEFT(Sample!C353,2)="JX",LEFT(Sample!C353,1)="W",LEFT(Sample!C353,1)="X")),"TS95",IF(AND(OR(LEFT(Sample!A353,1)="E",LEFT(Sample!A353,1)="H"),OR(LEFT(Sample!C353,2)="JN",LEFT(Sample!C353,1)="N")),"TS3",IF(OR(LEFT(Sample!A353,1)="T",LEFT(Sample!A353,1)="B"),"TS24",IF(LEFT(Sample!A353,2)="CR","CARRIER9",IF(LEFT(Sample!A353,4)="DEL3","NIPTDEL3",Sample!A353))))))</f>
        <v>0</v>
      </c>
      <c r="O355" t="str">
        <f xml:space="preserve"> SUBSTITUTE( SUBSTITUTE( SUBSTITUTE( SUBSTITUTE( SUBSTITUTE( SUBSTITUTE( SUBSTITUTE( SUBSTITUTE( SampleImport!I355, "A", 1), "C", 2), "G", 3),"T", 4), 1, "T"), 2, "G"), 3, "C"), 4, "A")</f>
        <v/>
      </c>
    </row>
    <row r="356" spans="1:15" x14ac:dyDescent="0.35">
      <c r="A356" t="str">
        <f>Sample!B354&amp;"-"&amp;Sample!C354</f>
        <v>-</v>
      </c>
      <c r="B356" t="str">
        <f>Sample!B354&amp;"-"&amp;Sample!C354</f>
        <v>-</v>
      </c>
      <c r="C356">
        <f>Sample!A354</f>
        <v>0</v>
      </c>
      <c r="F356">
        <f>Sample!K354</f>
        <v>0</v>
      </c>
      <c r="G356" t="e">
        <f>VLOOKUP(F356,'Index Sequence'!$A$2:$B$9808,2,FALSE)</f>
        <v>#N/A</v>
      </c>
      <c r="H356">
        <f>Sample!L354</f>
        <v>0</v>
      </c>
      <c r="I356" t="str">
        <f t="shared" si="5"/>
        <v/>
      </c>
      <c r="K356">
        <f>IF(AND(OR(LEFT(Sample!A354,1)="E",LEFT(Sample!A354,1)="H"),OR(LEFT(Sample!C354,2)="JI",LEFT(Sample!C354,1)="I")),"TS1",IF(AND(OR(LEFT(Sample!A354,1)="E",LEFT(Sample!A354,1)="H"),OR(LEFT(Sample!C354,2)="JX",LEFT(Sample!C354,1)="W",LEFT(Sample!C354,1)="X")),"TS95",IF(AND(OR(LEFT(Sample!A354,1)="E",LEFT(Sample!A354,1)="H"),OR(LEFT(Sample!C354,2)="JN",LEFT(Sample!C354,1)="N")),"TS3",IF(OR(LEFT(Sample!A354,1)="T",LEFT(Sample!A354,1)="B"),"TS24",IF(LEFT(Sample!A354,2)="CR","CARRIER9",IF(LEFT(Sample!A354,4)="DEL3","NIPTDEL3",Sample!A354))))))</f>
        <v>0</v>
      </c>
      <c r="O356" t="str">
        <f xml:space="preserve"> SUBSTITUTE( SUBSTITUTE( SUBSTITUTE( SUBSTITUTE( SUBSTITUTE( SUBSTITUTE( SUBSTITUTE( SUBSTITUTE( SampleImport!I356, "A", 1), "C", 2), "G", 3),"T", 4), 1, "T"), 2, "G"), 3, "C"), 4, "A")</f>
        <v/>
      </c>
    </row>
    <row r="357" spans="1:15" x14ac:dyDescent="0.35">
      <c r="A357" t="str">
        <f>Sample!B355&amp;"-"&amp;Sample!C355</f>
        <v>-</v>
      </c>
      <c r="B357" t="str">
        <f>Sample!B355&amp;"-"&amp;Sample!C355</f>
        <v>-</v>
      </c>
      <c r="C357">
        <f>Sample!A355</f>
        <v>0</v>
      </c>
      <c r="F357">
        <f>Sample!K355</f>
        <v>0</v>
      </c>
      <c r="G357" t="e">
        <f>VLOOKUP(F357,'Index Sequence'!$A$2:$B$9808,2,FALSE)</f>
        <v>#N/A</v>
      </c>
      <c r="H357">
        <f>Sample!L355</f>
        <v>0</v>
      </c>
      <c r="I357" t="str">
        <f t="shared" si="5"/>
        <v/>
      </c>
      <c r="K357">
        <f>IF(AND(OR(LEFT(Sample!A355,1)="E",LEFT(Sample!A355,1)="H"),OR(LEFT(Sample!C355,2)="JI",LEFT(Sample!C355,1)="I")),"TS1",IF(AND(OR(LEFT(Sample!A355,1)="E",LEFT(Sample!A355,1)="H"),OR(LEFT(Sample!C355,2)="JX",LEFT(Sample!C355,1)="W",LEFT(Sample!C355,1)="X")),"TS95",IF(AND(OR(LEFT(Sample!A355,1)="E",LEFT(Sample!A355,1)="H"),OR(LEFT(Sample!C355,2)="JN",LEFT(Sample!C355,1)="N")),"TS3",IF(OR(LEFT(Sample!A355,1)="T",LEFT(Sample!A355,1)="B"),"TS24",IF(LEFT(Sample!A355,2)="CR","CARRIER9",IF(LEFT(Sample!A355,4)="DEL3","NIPTDEL3",Sample!A355))))))</f>
        <v>0</v>
      </c>
      <c r="O357" t="str">
        <f xml:space="preserve"> SUBSTITUTE( SUBSTITUTE( SUBSTITUTE( SUBSTITUTE( SUBSTITUTE( SUBSTITUTE( SUBSTITUTE( SUBSTITUTE( SampleImport!I357, "A", 1), "C", 2), "G", 3),"T", 4), 1, "T"), 2, "G"), 3, "C"), 4, "A")</f>
        <v/>
      </c>
    </row>
    <row r="358" spans="1:15" x14ac:dyDescent="0.35">
      <c r="A358" t="str">
        <f>Sample!B356&amp;"-"&amp;Sample!C356</f>
        <v>-</v>
      </c>
      <c r="B358" t="str">
        <f>Sample!B356&amp;"-"&amp;Sample!C356</f>
        <v>-</v>
      </c>
      <c r="C358">
        <f>Sample!A356</f>
        <v>0</v>
      </c>
      <c r="F358">
        <f>Sample!K356</f>
        <v>0</v>
      </c>
      <c r="G358" t="e">
        <f>VLOOKUP(F358,'Index Sequence'!$A$2:$B$9808,2,FALSE)</f>
        <v>#N/A</v>
      </c>
      <c r="H358">
        <f>Sample!L356</f>
        <v>0</v>
      </c>
      <c r="I358" t="str">
        <f t="shared" si="5"/>
        <v/>
      </c>
      <c r="K358">
        <f>IF(AND(OR(LEFT(Sample!A356,1)="E",LEFT(Sample!A356,1)="H"),OR(LEFT(Sample!C356,2)="JI",LEFT(Sample!C356,1)="I")),"TS1",IF(AND(OR(LEFT(Sample!A356,1)="E",LEFT(Sample!A356,1)="H"),OR(LEFT(Sample!C356,2)="JX",LEFT(Sample!C356,1)="W",LEFT(Sample!C356,1)="X")),"TS95",IF(AND(OR(LEFT(Sample!A356,1)="E",LEFT(Sample!A356,1)="H"),OR(LEFT(Sample!C356,2)="JN",LEFT(Sample!C356,1)="N")),"TS3",IF(OR(LEFT(Sample!A356,1)="T",LEFT(Sample!A356,1)="B"),"TS24",IF(LEFT(Sample!A356,2)="CR","CARRIER9",IF(LEFT(Sample!A356,4)="DEL3","NIPTDEL3",Sample!A356))))))</f>
        <v>0</v>
      </c>
      <c r="O358" t="str">
        <f xml:space="preserve"> SUBSTITUTE( SUBSTITUTE( SUBSTITUTE( SUBSTITUTE( SUBSTITUTE( SUBSTITUTE( SUBSTITUTE( SUBSTITUTE( SampleImport!I358, "A", 1), "C", 2), "G", 3),"T", 4), 1, "T"), 2, "G"), 3, "C"), 4, "A")</f>
        <v/>
      </c>
    </row>
    <row r="359" spans="1:15" x14ac:dyDescent="0.35">
      <c r="A359" t="str">
        <f>Sample!B357&amp;"-"&amp;Sample!C357</f>
        <v>-</v>
      </c>
      <c r="B359" t="str">
        <f>Sample!B357&amp;"-"&amp;Sample!C357</f>
        <v>-</v>
      </c>
      <c r="C359">
        <f>Sample!A357</f>
        <v>0</v>
      </c>
      <c r="F359">
        <f>Sample!K357</f>
        <v>0</v>
      </c>
      <c r="G359" t="e">
        <f>VLOOKUP(F359,'Index Sequence'!$A$2:$B$9808,2,FALSE)</f>
        <v>#N/A</v>
      </c>
      <c r="H359">
        <f>Sample!L357</f>
        <v>0</v>
      </c>
      <c r="I359" t="str">
        <f t="shared" si="5"/>
        <v/>
      </c>
      <c r="K359">
        <f>IF(AND(OR(LEFT(Sample!A357,1)="E",LEFT(Sample!A357,1)="H"),OR(LEFT(Sample!C357,2)="JI",LEFT(Sample!C357,1)="I")),"TS1",IF(AND(OR(LEFT(Sample!A357,1)="E",LEFT(Sample!A357,1)="H"),OR(LEFT(Sample!C357,2)="JX",LEFT(Sample!C357,1)="W",LEFT(Sample!C357,1)="X")),"TS95",IF(AND(OR(LEFT(Sample!A357,1)="E",LEFT(Sample!A357,1)="H"),OR(LEFT(Sample!C357,2)="JN",LEFT(Sample!C357,1)="N")),"TS3",IF(OR(LEFT(Sample!A357,1)="T",LEFT(Sample!A357,1)="B"),"TS24",IF(LEFT(Sample!A357,2)="CR","CARRIER9",IF(LEFT(Sample!A357,4)="DEL3","NIPTDEL3",Sample!A357))))))</f>
        <v>0</v>
      </c>
      <c r="O359" t="str">
        <f xml:space="preserve"> SUBSTITUTE( SUBSTITUTE( SUBSTITUTE( SUBSTITUTE( SUBSTITUTE( SUBSTITUTE( SUBSTITUTE( SUBSTITUTE( SampleImport!I359, "A", 1), "C", 2), "G", 3),"T", 4), 1, "T"), 2, "G"), 3, "C"), 4, "A")</f>
        <v/>
      </c>
    </row>
    <row r="360" spans="1:15" x14ac:dyDescent="0.35">
      <c r="A360" t="str">
        <f>Sample!B358&amp;"-"&amp;Sample!C358</f>
        <v>-</v>
      </c>
      <c r="B360" t="str">
        <f>Sample!B358&amp;"-"&amp;Sample!C358</f>
        <v>-</v>
      </c>
      <c r="C360">
        <f>Sample!A358</f>
        <v>0</v>
      </c>
      <c r="F360">
        <f>Sample!K358</f>
        <v>0</v>
      </c>
      <c r="G360" t="e">
        <f>VLOOKUP(F360,'Index Sequence'!$A$2:$B$9808,2,FALSE)</f>
        <v>#N/A</v>
      </c>
      <c r="H360">
        <f>Sample!L358</f>
        <v>0</v>
      </c>
      <c r="I360" t="str">
        <f t="shared" si="5"/>
        <v/>
      </c>
      <c r="K360">
        <f>IF(AND(OR(LEFT(Sample!A358,1)="E",LEFT(Sample!A358,1)="H"),OR(LEFT(Sample!C358,2)="JI",LEFT(Sample!C358,1)="I")),"TS1",IF(AND(OR(LEFT(Sample!A358,1)="E",LEFT(Sample!A358,1)="H"),OR(LEFT(Sample!C358,2)="JX",LEFT(Sample!C358,1)="W",LEFT(Sample!C358,1)="X")),"TS95",IF(AND(OR(LEFT(Sample!A358,1)="E",LEFT(Sample!A358,1)="H"),OR(LEFT(Sample!C358,2)="JN",LEFT(Sample!C358,1)="N")),"TS3",IF(OR(LEFT(Sample!A358,1)="T",LEFT(Sample!A358,1)="B"),"TS24",IF(LEFT(Sample!A358,2)="CR","CARRIER9",IF(LEFT(Sample!A358,4)="DEL3","NIPTDEL3",Sample!A358))))))</f>
        <v>0</v>
      </c>
      <c r="O360" t="str">
        <f xml:space="preserve"> SUBSTITUTE( SUBSTITUTE( SUBSTITUTE( SUBSTITUTE( SUBSTITUTE( SUBSTITUTE( SUBSTITUTE( SUBSTITUTE( SampleImport!I360, "A", 1), "C", 2), "G", 3),"T", 4), 1, "T"), 2, "G"), 3, "C"), 4, "A")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161"/>
  <sheetViews>
    <sheetView workbookViewId="0"/>
  </sheetViews>
  <sheetFormatPr defaultColWidth="16.453125" defaultRowHeight="14.5" x14ac:dyDescent="0.35"/>
  <cols>
    <col min="1" max="26" width="10.1796875" style="1" customWidth="1"/>
    <col min="27" max="16384" width="16.453125" style="1"/>
  </cols>
  <sheetData>
    <row r="1" spans="1:5" ht="12.75" customHeight="1" x14ac:dyDescent="0.45">
      <c r="A1" s="4" t="s">
        <v>103</v>
      </c>
      <c r="B1" s="5"/>
      <c r="C1" s="5"/>
      <c r="D1" s="6"/>
      <c r="E1" s="5"/>
    </row>
    <row r="2" spans="1:5" ht="12.75" customHeight="1" x14ac:dyDescent="0.35"/>
    <row r="3" spans="1:5" ht="12.75" customHeight="1" x14ac:dyDescent="0.35">
      <c r="A3" s="7" t="s">
        <v>104</v>
      </c>
      <c r="B3" s="8"/>
    </row>
    <row r="4" spans="1:5" ht="12.75" customHeight="1" x14ac:dyDescent="0.35">
      <c r="A4" s="8"/>
      <c r="B4" s="7" t="s">
        <v>105</v>
      </c>
      <c r="C4" s="7" t="s">
        <v>106</v>
      </c>
      <c r="D4" s="9" t="s">
        <v>107</v>
      </c>
      <c r="E4" s="7" t="s">
        <v>62</v>
      </c>
    </row>
    <row r="5" spans="1:5" ht="12.75" customHeight="1" x14ac:dyDescent="0.35">
      <c r="A5" s="10" t="s">
        <v>108</v>
      </c>
      <c r="B5" s="11" t="s">
        <v>1</v>
      </c>
      <c r="C5" s="12" t="s">
        <v>109</v>
      </c>
      <c r="D5" s="12"/>
      <c r="E5" s="13"/>
    </row>
    <row r="6" spans="1:5" ht="12.75" customHeight="1" x14ac:dyDescent="0.35">
      <c r="A6" s="14"/>
      <c r="B6" s="11" t="s">
        <v>3</v>
      </c>
      <c r="C6" s="12" t="s">
        <v>110</v>
      </c>
      <c r="D6" s="12" t="s">
        <v>4</v>
      </c>
      <c r="E6" s="13" t="s">
        <v>111</v>
      </c>
    </row>
    <row r="7" spans="1:5" ht="12.75" customHeight="1" x14ac:dyDescent="0.35">
      <c r="A7" s="14"/>
      <c r="B7" s="11" t="s">
        <v>5</v>
      </c>
      <c r="C7" s="12" t="s">
        <v>112</v>
      </c>
      <c r="D7" s="12"/>
      <c r="E7" s="13" t="s">
        <v>113</v>
      </c>
    </row>
    <row r="8" spans="1:5" ht="12.75" customHeight="1" x14ac:dyDescent="0.35">
      <c r="A8" s="14"/>
      <c r="B8" s="11" t="s">
        <v>6</v>
      </c>
      <c r="C8" s="12" t="s">
        <v>114</v>
      </c>
      <c r="D8" s="12" t="s">
        <v>7</v>
      </c>
      <c r="E8" s="13" t="s">
        <v>115</v>
      </c>
    </row>
    <row r="9" spans="1:5" ht="12.75" customHeight="1" x14ac:dyDescent="0.35">
      <c r="A9" s="14"/>
      <c r="B9" s="11" t="s">
        <v>8</v>
      </c>
      <c r="C9" s="12" t="s">
        <v>114</v>
      </c>
      <c r="D9" s="12" t="s">
        <v>9</v>
      </c>
      <c r="E9" s="13" t="s">
        <v>116</v>
      </c>
    </row>
    <row r="10" spans="1:5" ht="12.75" customHeight="1" x14ac:dyDescent="0.35">
      <c r="A10" s="14"/>
      <c r="B10" s="11" t="s">
        <v>10</v>
      </c>
      <c r="C10" s="12" t="s">
        <v>110</v>
      </c>
      <c r="D10" s="12" t="s">
        <v>117</v>
      </c>
      <c r="E10" s="13"/>
    </row>
    <row r="11" spans="1:5" ht="12.75" customHeight="1" x14ac:dyDescent="0.35">
      <c r="A11" s="14"/>
    </row>
    <row r="12" spans="1:5" ht="12.75" customHeight="1" x14ac:dyDescent="0.35">
      <c r="A12" s="14"/>
      <c r="B12" s="11" t="s">
        <v>14</v>
      </c>
      <c r="C12" s="12" t="s">
        <v>118</v>
      </c>
      <c r="D12" s="12">
        <v>75</v>
      </c>
      <c r="E12" s="13"/>
    </row>
    <row r="13" spans="1:5" ht="12.75" customHeight="1" x14ac:dyDescent="0.35">
      <c r="A13" s="14"/>
      <c r="B13" s="11" t="s">
        <v>15</v>
      </c>
      <c r="C13" s="12" t="s">
        <v>119</v>
      </c>
      <c r="D13" s="12" t="s">
        <v>120</v>
      </c>
      <c r="E13" s="13" t="s">
        <v>121</v>
      </c>
    </row>
    <row r="14" spans="1:5" ht="12.75" customHeight="1" x14ac:dyDescent="0.35">
      <c r="A14" s="14"/>
      <c r="B14" s="11" t="s">
        <v>17</v>
      </c>
      <c r="C14" s="12" t="s">
        <v>110</v>
      </c>
      <c r="D14" s="12" t="s">
        <v>18</v>
      </c>
      <c r="E14" s="13" t="s">
        <v>122</v>
      </c>
    </row>
    <row r="15" spans="1:5" ht="12.75" customHeight="1" x14ac:dyDescent="0.35">
      <c r="A15" s="14"/>
      <c r="B15" s="11" t="s">
        <v>19</v>
      </c>
      <c r="C15" s="12" t="s">
        <v>110</v>
      </c>
      <c r="D15" s="12" t="s">
        <v>20</v>
      </c>
      <c r="E15" s="13"/>
    </row>
    <row r="16" spans="1:5" ht="12.75" customHeight="1" x14ac:dyDescent="0.35">
      <c r="A16" s="14"/>
      <c r="B16" s="11" t="s">
        <v>21</v>
      </c>
      <c r="C16" s="12" t="s">
        <v>110</v>
      </c>
      <c r="D16" s="12"/>
      <c r="E16" s="13"/>
    </row>
    <row r="17" spans="1:5" ht="12.75" customHeight="1" x14ac:dyDescent="0.35">
      <c r="A17" s="15"/>
      <c r="B17" s="11" t="s">
        <v>22</v>
      </c>
      <c r="C17" s="12" t="s">
        <v>109</v>
      </c>
      <c r="D17" s="12"/>
      <c r="E17" s="13"/>
    </row>
    <row r="18" spans="1:5" ht="12.75" customHeight="1" x14ac:dyDescent="0.35"/>
    <row r="19" spans="1:5" ht="12.75" customHeight="1" x14ac:dyDescent="0.35">
      <c r="A19" s="7" t="s">
        <v>123</v>
      </c>
      <c r="B19" s="8"/>
    </row>
    <row r="20" spans="1:5" ht="12.75" customHeight="1" x14ac:dyDescent="0.35">
      <c r="A20" s="7"/>
      <c r="B20" s="7" t="s">
        <v>105</v>
      </c>
      <c r="C20" s="7" t="s">
        <v>106</v>
      </c>
      <c r="D20" s="9" t="s">
        <v>107</v>
      </c>
      <c r="E20" s="7" t="s">
        <v>62</v>
      </c>
    </row>
    <row r="21" spans="1:5" ht="12.75" customHeight="1" x14ac:dyDescent="0.35">
      <c r="A21" s="16" t="s">
        <v>124</v>
      </c>
      <c r="B21" s="17" t="s">
        <v>26</v>
      </c>
      <c r="C21" s="18" t="s">
        <v>110</v>
      </c>
      <c r="D21" s="12" t="s">
        <v>125</v>
      </c>
      <c r="E21" s="13" t="s">
        <v>126</v>
      </c>
    </row>
    <row r="22" spans="1:5" ht="12.75" customHeight="1" x14ac:dyDescent="0.35">
      <c r="A22" s="19"/>
      <c r="B22" s="17" t="s">
        <v>127</v>
      </c>
      <c r="C22" s="18" t="s">
        <v>128</v>
      </c>
      <c r="D22" s="12" t="s">
        <v>129</v>
      </c>
      <c r="E22" s="13" t="s">
        <v>130</v>
      </c>
    </row>
    <row r="23" spans="1:5" ht="12.75" customHeight="1" x14ac:dyDescent="0.35">
      <c r="A23" s="19"/>
      <c r="B23" s="17" t="s">
        <v>131</v>
      </c>
      <c r="C23" s="18" t="s">
        <v>110</v>
      </c>
      <c r="D23" s="12" t="s">
        <v>132</v>
      </c>
      <c r="E23" s="13" t="s">
        <v>133</v>
      </c>
    </row>
    <row r="24" spans="1:5" ht="12.75" customHeight="1" x14ac:dyDescent="0.35">
      <c r="A24" s="19"/>
      <c r="B24" s="17" t="s">
        <v>29</v>
      </c>
      <c r="C24" s="18" t="s">
        <v>110</v>
      </c>
      <c r="D24" s="12" t="s">
        <v>134</v>
      </c>
      <c r="E24" s="13"/>
    </row>
    <row r="25" spans="1:5" ht="12.75" customHeight="1" x14ac:dyDescent="0.35">
      <c r="A25" s="19"/>
      <c r="B25" s="17" t="s">
        <v>135</v>
      </c>
      <c r="C25" s="18" t="s">
        <v>110</v>
      </c>
      <c r="D25" s="12" t="s">
        <v>136</v>
      </c>
      <c r="E25" s="13" t="s">
        <v>137</v>
      </c>
    </row>
    <row r="26" spans="1:5" ht="12.75" customHeight="1" x14ac:dyDescent="0.35">
      <c r="A26" s="19"/>
      <c r="B26" s="17" t="s">
        <v>138</v>
      </c>
      <c r="C26" s="18" t="s">
        <v>110</v>
      </c>
      <c r="D26" s="12" t="s">
        <v>139</v>
      </c>
      <c r="E26" s="13" t="s">
        <v>140</v>
      </c>
    </row>
    <row r="27" spans="1:5" ht="12.75" customHeight="1" x14ac:dyDescent="0.35">
      <c r="A27" s="19"/>
      <c r="B27" s="17" t="s">
        <v>141</v>
      </c>
      <c r="C27" s="18" t="s">
        <v>112</v>
      </c>
      <c r="D27" s="12"/>
      <c r="E27" s="13" t="s">
        <v>142</v>
      </c>
    </row>
    <row r="28" spans="1:5" ht="12.75" customHeight="1" x14ac:dyDescent="0.35">
      <c r="A28" s="19"/>
      <c r="B28" s="17" t="s">
        <v>143</v>
      </c>
      <c r="C28" s="18" t="s">
        <v>110</v>
      </c>
      <c r="D28" s="12" t="s">
        <v>139</v>
      </c>
      <c r="E28" s="13" t="s">
        <v>144</v>
      </c>
    </row>
    <row r="29" spans="1:5" ht="12.75" customHeight="1" x14ac:dyDescent="0.35">
      <c r="A29" s="19"/>
      <c r="B29" s="17" t="s">
        <v>145</v>
      </c>
      <c r="C29" s="18" t="s">
        <v>112</v>
      </c>
      <c r="D29" s="12"/>
      <c r="E29" s="13" t="s">
        <v>146</v>
      </c>
    </row>
    <row r="30" spans="1:5" ht="12.75" customHeight="1" x14ac:dyDescent="0.35">
      <c r="A30" s="20"/>
      <c r="B30" s="17" t="s">
        <v>22</v>
      </c>
      <c r="C30" s="18" t="s">
        <v>109</v>
      </c>
      <c r="D30" s="12"/>
      <c r="E30" s="13"/>
    </row>
    <row r="31" spans="1:5" ht="12.75" customHeight="1" x14ac:dyDescent="0.35">
      <c r="A31" s="21" t="s">
        <v>147</v>
      </c>
      <c r="B31" s="22" t="s">
        <v>148</v>
      </c>
      <c r="C31" s="23" t="s">
        <v>110</v>
      </c>
      <c r="D31" s="12" t="s">
        <v>149</v>
      </c>
      <c r="E31" s="13"/>
    </row>
    <row r="32" spans="1:5" ht="12.75" customHeight="1" x14ac:dyDescent="0.35">
      <c r="A32" s="24"/>
      <c r="B32" s="25" t="s">
        <v>36</v>
      </c>
      <c r="C32" s="26" t="s">
        <v>128</v>
      </c>
      <c r="D32" s="12" t="s">
        <v>150</v>
      </c>
      <c r="E32" s="13" t="s">
        <v>151</v>
      </c>
    </row>
    <row r="33" spans="1:5" ht="12.75" customHeight="1" x14ac:dyDescent="0.35">
      <c r="A33" s="24"/>
      <c r="B33" s="25" t="s">
        <v>152</v>
      </c>
      <c r="C33" s="26" t="s">
        <v>128</v>
      </c>
      <c r="D33" s="27" t="s">
        <v>153</v>
      </c>
      <c r="E33" s="13" t="s">
        <v>154</v>
      </c>
    </row>
    <row r="34" spans="1:5" ht="12.75" customHeight="1" x14ac:dyDescent="0.35">
      <c r="A34" s="24"/>
      <c r="B34" s="25" t="s">
        <v>37</v>
      </c>
      <c r="C34" s="26" t="s">
        <v>128</v>
      </c>
      <c r="D34" s="12" t="s">
        <v>155</v>
      </c>
      <c r="E34" s="13" t="s">
        <v>151</v>
      </c>
    </row>
    <row r="35" spans="1:5" ht="12.75" customHeight="1" x14ac:dyDescent="0.35">
      <c r="A35" s="24"/>
      <c r="B35" s="25" t="s">
        <v>156</v>
      </c>
      <c r="C35" s="26" t="s">
        <v>128</v>
      </c>
      <c r="D35" s="28" t="s">
        <v>157</v>
      </c>
      <c r="E35" s="13" t="s">
        <v>154</v>
      </c>
    </row>
    <row r="36" spans="1:5" ht="12.75" customHeight="1" x14ac:dyDescent="0.35">
      <c r="A36" s="24"/>
      <c r="B36" s="25" t="s">
        <v>158</v>
      </c>
      <c r="C36" s="26" t="s">
        <v>118</v>
      </c>
      <c r="D36" s="12">
        <v>2</v>
      </c>
      <c r="E36" s="13" t="s">
        <v>159</v>
      </c>
    </row>
    <row r="37" spans="1:5" ht="12.75" customHeight="1" x14ac:dyDescent="0.35">
      <c r="A37" s="24"/>
      <c r="B37" s="25" t="s">
        <v>160</v>
      </c>
      <c r="C37" s="26" t="s">
        <v>110</v>
      </c>
      <c r="D37" s="12" t="s">
        <v>161</v>
      </c>
      <c r="E37" s="29" t="s">
        <v>162</v>
      </c>
    </row>
    <row r="38" spans="1:5" ht="12.75" customHeight="1" x14ac:dyDescent="0.35">
      <c r="A38" s="24"/>
      <c r="B38" s="25" t="s">
        <v>163</v>
      </c>
      <c r="C38" s="26" t="s">
        <v>118</v>
      </c>
      <c r="D38" s="30"/>
      <c r="E38" s="29" t="s">
        <v>164</v>
      </c>
    </row>
    <row r="39" spans="1:5" ht="12.75" customHeight="1" x14ac:dyDescent="0.35">
      <c r="A39" s="24"/>
      <c r="B39" s="25" t="s">
        <v>165</v>
      </c>
      <c r="C39" s="26" t="s">
        <v>110</v>
      </c>
      <c r="D39" s="12"/>
      <c r="E39" s="13" t="s">
        <v>166</v>
      </c>
    </row>
    <row r="40" spans="1:5" ht="12.75" customHeight="1" x14ac:dyDescent="0.35">
      <c r="A40" s="24"/>
      <c r="B40" s="25" t="s">
        <v>167</v>
      </c>
      <c r="C40" s="26" t="s">
        <v>114</v>
      </c>
      <c r="D40" s="12" t="s">
        <v>168</v>
      </c>
      <c r="E40" s="13" t="s">
        <v>169</v>
      </c>
    </row>
    <row r="41" spans="1:5" ht="12.75" customHeight="1" x14ac:dyDescent="0.35">
      <c r="A41" s="24"/>
      <c r="B41" s="31" t="s">
        <v>12</v>
      </c>
      <c r="C41" s="26" t="s">
        <v>114</v>
      </c>
      <c r="D41" s="32" t="s">
        <v>170</v>
      </c>
      <c r="E41" s="13" t="s">
        <v>171</v>
      </c>
    </row>
    <row r="42" spans="1:5" ht="12.75" customHeight="1" x14ac:dyDescent="0.35">
      <c r="A42" s="24"/>
      <c r="B42" s="25" t="s">
        <v>172</v>
      </c>
      <c r="C42" s="26" t="s">
        <v>110</v>
      </c>
      <c r="D42" s="12" t="s">
        <v>173</v>
      </c>
      <c r="E42" s="13" t="s">
        <v>174</v>
      </c>
    </row>
    <row r="43" spans="1:5" ht="12.75" customHeight="1" x14ac:dyDescent="0.35">
      <c r="A43" s="24"/>
      <c r="B43" s="25" t="s">
        <v>41</v>
      </c>
      <c r="C43" s="26" t="s">
        <v>110</v>
      </c>
      <c r="D43" s="12" t="s">
        <v>175</v>
      </c>
      <c r="E43" s="13" t="s">
        <v>176</v>
      </c>
    </row>
    <row r="44" spans="1:5" ht="12.75" customHeight="1" x14ac:dyDescent="0.35">
      <c r="A44" s="24"/>
      <c r="B44" s="25" t="s">
        <v>38</v>
      </c>
      <c r="C44" s="26" t="s">
        <v>118</v>
      </c>
      <c r="D44" s="12">
        <v>18</v>
      </c>
      <c r="E44" s="13" t="s">
        <v>177</v>
      </c>
    </row>
    <row r="45" spans="1:5" ht="12.75" customHeight="1" x14ac:dyDescent="0.35">
      <c r="A45" s="24"/>
      <c r="B45" s="25" t="s">
        <v>178</v>
      </c>
      <c r="C45" s="26" t="s">
        <v>128</v>
      </c>
      <c r="D45" s="12" t="s">
        <v>179</v>
      </c>
      <c r="E45" s="13" t="s">
        <v>180</v>
      </c>
    </row>
    <row r="46" spans="1:5" ht="12.75" customHeight="1" x14ac:dyDescent="0.35">
      <c r="A46" s="33"/>
      <c r="B46" s="25" t="s">
        <v>181</v>
      </c>
      <c r="C46" s="26" t="s">
        <v>118</v>
      </c>
      <c r="D46" s="12">
        <v>18</v>
      </c>
      <c r="E46" s="13"/>
    </row>
    <row r="47" spans="1:5" ht="12.75" customHeight="1" x14ac:dyDescent="0.35">
      <c r="A47" s="34" t="s">
        <v>182</v>
      </c>
      <c r="B47" s="17" t="s">
        <v>183</v>
      </c>
      <c r="C47" s="17"/>
      <c r="D47" s="12"/>
      <c r="E47" s="13"/>
    </row>
    <row r="48" spans="1:5" ht="12.75" customHeight="1" x14ac:dyDescent="0.35">
      <c r="E48" s="35"/>
    </row>
    <row r="49" spans="1:5" ht="12.75" customHeight="1" x14ac:dyDescent="0.35">
      <c r="C49" s="36"/>
    </row>
    <row r="50" spans="1:5" ht="12.75" customHeight="1" x14ac:dyDescent="0.35">
      <c r="A50" s="1" t="s">
        <v>184</v>
      </c>
      <c r="B50" s="1" t="s">
        <v>185</v>
      </c>
      <c r="C50" s="36"/>
      <c r="D50" s="37" t="s">
        <v>186</v>
      </c>
      <c r="E50" s="1" t="s">
        <v>187</v>
      </c>
    </row>
    <row r="51" spans="1:5" ht="12.75" customHeight="1" x14ac:dyDescent="0.35">
      <c r="B51" s="1" t="s">
        <v>188</v>
      </c>
      <c r="C51" s="36"/>
      <c r="D51" s="37" t="s">
        <v>189</v>
      </c>
      <c r="E51" s="1" t="s">
        <v>190</v>
      </c>
    </row>
    <row r="52" spans="1:5" ht="12.75" customHeight="1" x14ac:dyDescent="0.35">
      <c r="C52" s="36"/>
    </row>
    <row r="53" spans="1:5" ht="12.75" customHeight="1" x14ac:dyDescent="0.35">
      <c r="C53" s="36"/>
    </row>
    <row r="54" spans="1:5" ht="12.75" customHeight="1" x14ac:dyDescent="0.35">
      <c r="C54" s="36"/>
    </row>
    <row r="55" spans="1:5" ht="12.75" customHeight="1" x14ac:dyDescent="0.35">
      <c r="C55" s="36"/>
    </row>
    <row r="56" spans="1:5" ht="12.75" customHeight="1" x14ac:dyDescent="0.35">
      <c r="C56" s="36"/>
    </row>
    <row r="57" spans="1:5" ht="12.75" customHeight="1" x14ac:dyDescent="0.35">
      <c r="C57" s="36"/>
    </row>
    <row r="58" spans="1:5" ht="12.75" customHeight="1" x14ac:dyDescent="0.35">
      <c r="C58" s="36"/>
    </row>
    <row r="59" spans="1:5" ht="12.75" customHeight="1" x14ac:dyDescent="0.35">
      <c r="C59" s="36"/>
    </row>
    <row r="60" spans="1:5" ht="12.75" customHeight="1" x14ac:dyDescent="0.35">
      <c r="C60" s="36"/>
    </row>
    <row r="61" spans="1:5" ht="12.75" customHeight="1" x14ac:dyDescent="0.35">
      <c r="C61" s="36"/>
    </row>
    <row r="62" spans="1:5" ht="12.75" customHeight="1" x14ac:dyDescent="0.35">
      <c r="C62" s="36"/>
    </row>
    <row r="63" spans="1:5" ht="12.75" customHeight="1" x14ac:dyDescent="0.35">
      <c r="C63" s="36"/>
    </row>
    <row r="64" spans="1:5" ht="12.75" customHeight="1" x14ac:dyDescent="0.35">
      <c r="C64" s="36"/>
    </row>
    <row r="65" spans="3:3" x14ac:dyDescent="0.35">
      <c r="C65" s="36"/>
    </row>
    <row r="66" spans="3:3" x14ac:dyDescent="0.35">
      <c r="C66" s="36"/>
    </row>
    <row r="67" spans="3:3" x14ac:dyDescent="0.35">
      <c r="C67" s="36"/>
    </row>
    <row r="68" spans="3:3" x14ac:dyDescent="0.35">
      <c r="C68" s="36"/>
    </row>
    <row r="69" spans="3:3" x14ac:dyDescent="0.35">
      <c r="C69" s="36"/>
    </row>
    <row r="70" spans="3:3" x14ac:dyDescent="0.35">
      <c r="C70" s="36"/>
    </row>
    <row r="71" spans="3:3" x14ac:dyDescent="0.35">
      <c r="C71" s="36"/>
    </row>
    <row r="72" spans="3:3" x14ac:dyDescent="0.35">
      <c r="C72" s="36"/>
    </row>
    <row r="73" spans="3:3" x14ac:dyDescent="0.35">
      <c r="C73" s="36"/>
    </row>
    <row r="74" spans="3:3" x14ac:dyDescent="0.35">
      <c r="C74" s="36"/>
    </row>
    <row r="75" spans="3:3" x14ac:dyDescent="0.35">
      <c r="C75" s="36"/>
    </row>
    <row r="76" spans="3:3" x14ac:dyDescent="0.35">
      <c r="C76" s="36"/>
    </row>
    <row r="77" spans="3:3" x14ac:dyDescent="0.35">
      <c r="C77" s="36"/>
    </row>
    <row r="78" spans="3:3" x14ac:dyDescent="0.35">
      <c r="C78" s="36"/>
    </row>
    <row r="79" spans="3:3" x14ac:dyDescent="0.35">
      <c r="C79" s="36"/>
    </row>
    <row r="80" spans="3:3" x14ac:dyDescent="0.35">
      <c r="C80" s="36"/>
    </row>
    <row r="81" spans="3:3" x14ac:dyDescent="0.35">
      <c r="C81" s="36"/>
    </row>
    <row r="82" spans="3:3" x14ac:dyDescent="0.35">
      <c r="C82" s="36"/>
    </row>
    <row r="83" spans="3:3" x14ac:dyDescent="0.35">
      <c r="C83" s="36"/>
    </row>
    <row r="84" spans="3:3" x14ac:dyDescent="0.35">
      <c r="C84" s="36"/>
    </row>
    <row r="85" spans="3:3" x14ac:dyDescent="0.35">
      <c r="C85" s="36"/>
    </row>
    <row r="86" spans="3:3" x14ac:dyDescent="0.35">
      <c r="C86" s="36"/>
    </row>
    <row r="87" spans="3:3" x14ac:dyDescent="0.35">
      <c r="C87" s="36"/>
    </row>
    <row r="88" spans="3:3" x14ac:dyDescent="0.35">
      <c r="C88" s="36"/>
    </row>
    <row r="89" spans="3:3" x14ac:dyDescent="0.35">
      <c r="C89" s="36"/>
    </row>
    <row r="90" spans="3:3" x14ac:dyDescent="0.35">
      <c r="C90" s="36"/>
    </row>
    <row r="91" spans="3:3" x14ac:dyDescent="0.35">
      <c r="C91" s="36"/>
    </row>
    <row r="92" spans="3:3" x14ac:dyDescent="0.35">
      <c r="C92" s="36"/>
    </row>
    <row r="93" spans="3:3" x14ac:dyDescent="0.35">
      <c r="C93" s="36"/>
    </row>
    <row r="94" spans="3:3" x14ac:dyDescent="0.35">
      <c r="C94" s="36"/>
    </row>
    <row r="95" spans="3:3" x14ac:dyDescent="0.35">
      <c r="C95" s="36"/>
    </row>
    <row r="96" spans="3:3" x14ac:dyDescent="0.35">
      <c r="C96" s="36"/>
    </row>
    <row r="97" spans="3:3" x14ac:dyDescent="0.35">
      <c r="C97" s="38"/>
    </row>
    <row r="98" spans="3:3" x14ac:dyDescent="0.35">
      <c r="C98" s="38"/>
    </row>
    <row r="99" spans="3:3" x14ac:dyDescent="0.35">
      <c r="C99" s="38"/>
    </row>
    <row r="100" spans="3:3" x14ac:dyDescent="0.35">
      <c r="C100" s="38"/>
    </row>
    <row r="101" spans="3:3" x14ac:dyDescent="0.35">
      <c r="C101" s="38"/>
    </row>
    <row r="102" spans="3:3" x14ac:dyDescent="0.35">
      <c r="C102" s="38"/>
    </row>
    <row r="103" spans="3:3" x14ac:dyDescent="0.35">
      <c r="C103" s="38"/>
    </row>
    <row r="104" spans="3:3" x14ac:dyDescent="0.35">
      <c r="C104" s="38"/>
    </row>
    <row r="105" spans="3:3" x14ac:dyDescent="0.35">
      <c r="C105" s="38"/>
    </row>
    <row r="106" spans="3:3" x14ac:dyDescent="0.35">
      <c r="C106" s="38"/>
    </row>
    <row r="107" spans="3:3" x14ac:dyDescent="0.35">
      <c r="C107" s="38"/>
    </row>
    <row r="108" spans="3:3" x14ac:dyDescent="0.35">
      <c r="C108" s="38"/>
    </row>
    <row r="109" spans="3:3" x14ac:dyDescent="0.35">
      <c r="C109" s="38"/>
    </row>
    <row r="110" spans="3:3" x14ac:dyDescent="0.35">
      <c r="C110" s="38"/>
    </row>
    <row r="111" spans="3:3" x14ac:dyDescent="0.35">
      <c r="C111" s="38"/>
    </row>
    <row r="112" spans="3:3" x14ac:dyDescent="0.35">
      <c r="C112" s="36"/>
    </row>
    <row r="113" spans="3:3" x14ac:dyDescent="0.35">
      <c r="C113" s="36"/>
    </row>
    <row r="114" spans="3:3" x14ac:dyDescent="0.35">
      <c r="C114" s="36"/>
    </row>
    <row r="115" spans="3:3" x14ac:dyDescent="0.35">
      <c r="C115" s="36"/>
    </row>
    <row r="116" spans="3:3" x14ac:dyDescent="0.35">
      <c r="C116" s="36"/>
    </row>
    <row r="117" spans="3:3" x14ac:dyDescent="0.35">
      <c r="C117" s="36"/>
    </row>
    <row r="118" spans="3:3" x14ac:dyDescent="0.35">
      <c r="C118" s="36"/>
    </row>
    <row r="119" spans="3:3" x14ac:dyDescent="0.35">
      <c r="C119" s="36"/>
    </row>
    <row r="120" spans="3:3" x14ac:dyDescent="0.35">
      <c r="C120" s="36"/>
    </row>
    <row r="121" spans="3:3" x14ac:dyDescent="0.35">
      <c r="C121" s="36"/>
    </row>
    <row r="122" spans="3:3" x14ac:dyDescent="0.35">
      <c r="C122" s="36"/>
    </row>
    <row r="123" spans="3:3" x14ac:dyDescent="0.35">
      <c r="C123" s="36"/>
    </row>
    <row r="124" spans="3:3" x14ac:dyDescent="0.35">
      <c r="C124" s="36"/>
    </row>
    <row r="125" spans="3:3" x14ac:dyDescent="0.35">
      <c r="C125" s="36"/>
    </row>
    <row r="126" spans="3:3" x14ac:dyDescent="0.35">
      <c r="C126" s="36"/>
    </row>
    <row r="127" spans="3:3" x14ac:dyDescent="0.35">
      <c r="C127" s="36"/>
    </row>
    <row r="128" spans="3:3" x14ac:dyDescent="0.35">
      <c r="C128" s="36"/>
    </row>
    <row r="129" spans="3:3" x14ac:dyDescent="0.35">
      <c r="C129" s="36"/>
    </row>
    <row r="130" spans="3:3" x14ac:dyDescent="0.35">
      <c r="C130" s="36"/>
    </row>
    <row r="131" spans="3:3" x14ac:dyDescent="0.35">
      <c r="C131" s="36"/>
    </row>
    <row r="132" spans="3:3" x14ac:dyDescent="0.35">
      <c r="C132" s="36"/>
    </row>
    <row r="133" spans="3:3" x14ac:dyDescent="0.35">
      <c r="C133" s="36"/>
    </row>
    <row r="134" spans="3:3" x14ac:dyDescent="0.35">
      <c r="C134" s="36"/>
    </row>
    <row r="135" spans="3:3" x14ac:dyDescent="0.35">
      <c r="C135" s="36"/>
    </row>
    <row r="136" spans="3:3" x14ac:dyDescent="0.35">
      <c r="C136" s="36"/>
    </row>
    <row r="137" spans="3:3" x14ac:dyDescent="0.35">
      <c r="C137" s="36"/>
    </row>
    <row r="138" spans="3:3" x14ac:dyDescent="0.35">
      <c r="C138" s="36"/>
    </row>
    <row r="139" spans="3:3" x14ac:dyDescent="0.35">
      <c r="C139" s="36"/>
    </row>
    <row r="140" spans="3:3" x14ac:dyDescent="0.35">
      <c r="C140" s="36"/>
    </row>
    <row r="141" spans="3:3" x14ac:dyDescent="0.35">
      <c r="C141" s="36"/>
    </row>
    <row r="142" spans="3:3" x14ac:dyDescent="0.35">
      <c r="C142" s="36"/>
    </row>
    <row r="143" spans="3:3" x14ac:dyDescent="0.35">
      <c r="C143" s="36"/>
    </row>
    <row r="144" spans="3:3" x14ac:dyDescent="0.35">
      <c r="C144" s="36"/>
    </row>
    <row r="145" spans="3:3" x14ac:dyDescent="0.35">
      <c r="C145" s="36"/>
    </row>
    <row r="146" spans="3:3" x14ac:dyDescent="0.35">
      <c r="C146" s="36"/>
    </row>
    <row r="147" spans="3:3" x14ac:dyDescent="0.35">
      <c r="C147" s="36"/>
    </row>
    <row r="148" spans="3:3" x14ac:dyDescent="0.35">
      <c r="C148" s="36"/>
    </row>
    <row r="149" spans="3:3" x14ac:dyDescent="0.35">
      <c r="C149" s="36"/>
    </row>
    <row r="150" spans="3:3" x14ac:dyDescent="0.35">
      <c r="C150" s="36"/>
    </row>
    <row r="151" spans="3:3" x14ac:dyDescent="0.35">
      <c r="C151" s="36"/>
    </row>
    <row r="152" spans="3:3" x14ac:dyDescent="0.35">
      <c r="C152" s="36"/>
    </row>
    <row r="153" spans="3:3" x14ac:dyDescent="0.35">
      <c r="C153" s="36"/>
    </row>
    <row r="154" spans="3:3" x14ac:dyDescent="0.35">
      <c r="C154" s="36"/>
    </row>
    <row r="155" spans="3:3" x14ac:dyDescent="0.35">
      <c r="C155" s="36"/>
    </row>
    <row r="156" spans="3:3" x14ac:dyDescent="0.35">
      <c r="C156" s="36"/>
    </row>
    <row r="157" spans="3:3" x14ac:dyDescent="0.35">
      <c r="C157" s="36"/>
    </row>
    <row r="158" spans="3:3" x14ac:dyDescent="0.35">
      <c r="C158" s="36"/>
    </row>
    <row r="159" spans="3:3" x14ac:dyDescent="0.35">
      <c r="C159" s="36"/>
    </row>
    <row r="160" spans="3:3" x14ac:dyDescent="0.35">
      <c r="C160" s="36"/>
    </row>
    <row r="161" spans="3:3" x14ac:dyDescent="0.35">
      <c r="C161" s="3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F442-8DB1-4E9E-BAC3-B08381ED719F}">
  <sheetPr codeName="Sheet4"/>
  <dimension ref="A1:F3062"/>
  <sheetViews>
    <sheetView topLeftCell="A3035" workbookViewId="0">
      <selection activeCell="A3042" sqref="A3042:E3062"/>
    </sheetView>
  </sheetViews>
  <sheetFormatPr defaultColWidth="16.453125" defaultRowHeight="14.5" x14ac:dyDescent="0.35"/>
  <cols>
    <col min="1" max="1" width="10.1796875" style="1" customWidth="1"/>
    <col min="2" max="2" width="13.453125" style="1" customWidth="1"/>
    <col min="3" max="3" width="19" customWidth="1"/>
    <col min="4" max="4" width="10.1796875" style="1" customWidth="1"/>
    <col min="5" max="5" width="19.26953125" style="1" bestFit="1" customWidth="1"/>
    <col min="6" max="6" width="11.26953125" style="1" customWidth="1"/>
    <col min="7" max="26" width="10.1796875" style="1" customWidth="1"/>
    <col min="27" max="16384" width="16.453125" style="1"/>
  </cols>
  <sheetData>
    <row r="1" spans="1:6" ht="12.75" customHeight="1" x14ac:dyDescent="0.35">
      <c r="A1" s="81" t="s">
        <v>191</v>
      </c>
      <c r="B1" s="81" t="s">
        <v>192</v>
      </c>
      <c r="C1" t="s">
        <v>193</v>
      </c>
    </row>
    <row r="2" spans="1:6" ht="12.75" customHeight="1" x14ac:dyDescent="0.35">
      <c r="A2" s="81" t="s">
        <v>150</v>
      </c>
      <c r="B2" s="81" t="s">
        <v>194</v>
      </c>
      <c r="C2">
        <v>1</v>
      </c>
      <c r="D2" s="82"/>
      <c r="E2" s="81" t="s">
        <v>195</v>
      </c>
      <c r="F2" s="32"/>
    </row>
    <row r="3" spans="1:6" ht="12.75" customHeight="1" x14ac:dyDescent="0.35">
      <c r="A3" s="81" t="s">
        <v>196</v>
      </c>
      <c r="B3" s="81" t="s">
        <v>197</v>
      </c>
      <c r="C3">
        <v>1</v>
      </c>
      <c r="D3" s="82"/>
      <c r="E3" s="81" t="s">
        <v>195</v>
      </c>
      <c r="F3" s="32"/>
    </row>
    <row r="4" spans="1:6" ht="12.75" customHeight="1" x14ac:dyDescent="0.35">
      <c r="A4" s="81" t="s">
        <v>198</v>
      </c>
      <c r="B4" s="81" t="s">
        <v>199</v>
      </c>
      <c r="C4">
        <v>1</v>
      </c>
      <c r="D4" s="82"/>
      <c r="E4" s="81" t="s">
        <v>195</v>
      </c>
      <c r="F4" s="32"/>
    </row>
    <row r="5" spans="1:6" ht="12.75" customHeight="1" x14ac:dyDescent="0.35">
      <c r="A5" s="81" t="s">
        <v>200</v>
      </c>
      <c r="B5" s="81" t="s">
        <v>201</v>
      </c>
      <c r="C5">
        <v>1</v>
      </c>
      <c r="D5" s="82"/>
      <c r="E5" s="81" t="s">
        <v>195</v>
      </c>
      <c r="F5" s="32"/>
    </row>
    <row r="6" spans="1:6" ht="12.75" customHeight="1" x14ac:dyDescent="0.35">
      <c r="A6" s="81" t="s">
        <v>202</v>
      </c>
      <c r="B6" s="81" t="s">
        <v>203</v>
      </c>
      <c r="C6">
        <v>1</v>
      </c>
      <c r="D6" s="82"/>
      <c r="E6" s="81" t="s">
        <v>195</v>
      </c>
      <c r="F6" s="32"/>
    </row>
    <row r="7" spans="1:6" ht="12.75" customHeight="1" x14ac:dyDescent="0.35">
      <c r="A7" s="81" t="s">
        <v>204</v>
      </c>
      <c r="B7" s="81" t="s">
        <v>205</v>
      </c>
      <c r="C7">
        <v>1</v>
      </c>
      <c r="D7" s="82"/>
      <c r="E7" s="81" t="s">
        <v>195</v>
      </c>
      <c r="F7" s="32"/>
    </row>
    <row r="8" spans="1:6" ht="12.75" customHeight="1" x14ac:dyDescent="0.35">
      <c r="A8" s="81" t="s">
        <v>206</v>
      </c>
      <c r="B8" s="81" t="s">
        <v>207</v>
      </c>
      <c r="C8">
        <v>1</v>
      </c>
      <c r="D8" s="82"/>
      <c r="E8" s="81" t="s">
        <v>195</v>
      </c>
      <c r="F8" s="32"/>
    </row>
    <row r="9" spans="1:6" ht="12.75" customHeight="1" x14ac:dyDescent="0.35">
      <c r="A9" s="81" t="s">
        <v>208</v>
      </c>
      <c r="B9" s="81" t="s">
        <v>209</v>
      </c>
      <c r="C9">
        <v>1</v>
      </c>
      <c r="D9" s="82"/>
      <c r="E9" s="81" t="s">
        <v>195</v>
      </c>
      <c r="F9" s="32"/>
    </row>
    <row r="10" spans="1:6" ht="12.75" customHeight="1" x14ac:dyDescent="0.35">
      <c r="A10" s="81" t="s">
        <v>210</v>
      </c>
      <c r="B10" s="81" t="s">
        <v>211</v>
      </c>
      <c r="C10">
        <v>1</v>
      </c>
      <c r="D10" s="82"/>
      <c r="E10" s="81" t="s">
        <v>195</v>
      </c>
      <c r="F10" s="32"/>
    </row>
    <row r="11" spans="1:6" ht="12.75" customHeight="1" x14ac:dyDescent="0.35">
      <c r="A11" s="81" t="s">
        <v>212</v>
      </c>
      <c r="B11" s="81" t="s">
        <v>213</v>
      </c>
      <c r="C11">
        <v>1</v>
      </c>
      <c r="D11" s="82"/>
      <c r="E11" s="81" t="s">
        <v>195</v>
      </c>
      <c r="F11" s="32"/>
    </row>
    <row r="12" spans="1:6" ht="12.75" customHeight="1" x14ac:dyDescent="0.35">
      <c r="A12" s="81" t="s">
        <v>214</v>
      </c>
      <c r="B12" s="81" t="s">
        <v>215</v>
      </c>
      <c r="C12">
        <v>1</v>
      </c>
      <c r="D12" s="82"/>
      <c r="E12" s="81" t="s">
        <v>195</v>
      </c>
      <c r="F12" s="32"/>
    </row>
    <row r="13" spans="1:6" ht="12.75" customHeight="1" x14ac:dyDescent="0.35">
      <c r="A13" s="81" t="s">
        <v>216</v>
      </c>
      <c r="B13" s="81" t="s">
        <v>217</v>
      </c>
      <c r="C13">
        <v>1</v>
      </c>
      <c r="D13" s="82"/>
      <c r="E13" s="81" t="s">
        <v>195</v>
      </c>
      <c r="F13" s="32"/>
    </row>
    <row r="14" spans="1:6" ht="12.75" customHeight="1" x14ac:dyDescent="0.35">
      <c r="A14" s="39" t="s">
        <v>218</v>
      </c>
      <c r="B14" s="81" t="s">
        <v>219</v>
      </c>
      <c r="C14">
        <v>1</v>
      </c>
      <c r="D14" s="82"/>
      <c r="E14" s="81" t="s">
        <v>195</v>
      </c>
      <c r="F14" s="32"/>
    </row>
    <row r="15" spans="1:6" ht="12.75" customHeight="1" x14ac:dyDescent="0.35">
      <c r="A15" s="39" t="s">
        <v>220</v>
      </c>
      <c r="B15" s="81" t="s">
        <v>221</v>
      </c>
      <c r="C15">
        <v>1</v>
      </c>
      <c r="D15" s="82"/>
      <c r="E15" s="81" t="s">
        <v>195</v>
      </c>
      <c r="F15" s="32"/>
    </row>
    <row r="16" spans="1:6" ht="12.75" customHeight="1" x14ac:dyDescent="0.35">
      <c r="A16" s="39" t="s">
        <v>222</v>
      </c>
      <c r="B16" s="81" t="s">
        <v>223</v>
      </c>
      <c r="C16">
        <v>1</v>
      </c>
      <c r="D16" s="82"/>
      <c r="E16" s="81" t="s">
        <v>195</v>
      </c>
      <c r="F16" s="32"/>
    </row>
    <row r="17" spans="1:6" ht="12.75" customHeight="1" x14ac:dyDescent="0.35">
      <c r="A17" s="39" t="s">
        <v>224</v>
      </c>
      <c r="B17" s="81" t="s">
        <v>225</v>
      </c>
      <c r="C17">
        <v>1</v>
      </c>
      <c r="D17" s="82"/>
      <c r="E17" s="81" t="s">
        <v>195</v>
      </c>
      <c r="F17" s="32"/>
    </row>
    <row r="18" spans="1:6" ht="12.75" customHeight="1" x14ac:dyDescent="0.35">
      <c r="A18" s="39" t="s">
        <v>226</v>
      </c>
      <c r="B18" s="81" t="s">
        <v>227</v>
      </c>
      <c r="C18">
        <v>1</v>
      </c>
      <c r="D18" s="82"/>
      <c r="E18" s="81" t="s">
        <v>195</v>
      </c>
      <c r="F18" s="32"/>
    </row>
    <row r="19" spans="1:6" ht="12.75" customHeight="1" x14ac:dyDescent="0.35">
      <c r="A19" s="39" t="s">
        <v>228</v>
      </c>
      <c r="B19" s="81" t="s">
        <v>229</v>
      </c>
      <c r="C19">
        <v>1</v>
      </c>
      <c r="D19" s="82"/>
      <c r="E19" s="81" t="s">
        <v>195</v>
      </c>
      <c r="F19" s="32"/>
    </row>
    <row r="20" spans="1:6" ht="12.75" customHeight="1" x14ac:dyDescent="0.35">
      <c r="A20" s="39" t="s">
        <v>230</v>
      </c>
      <c r="B20" s="81" t="s">
        <v>231</v>
      </c>
      <c r="C20">
        <v>1</v>
      </c>
      <c r="D20" s="82"/>
      <c r="E20" s="81" t="s">
        <v>195</v>
      </c>
      <c r="F20" s="32"/>
    </row>
    <row r="21" spans="1:6" ht="12.75" customHeight="1" x14ac:dyDescent="0.35">
      <c r="A21" s="39" t="s">
        <v>232</v>
      </c>
      <c r="B21" s="81" t="s">
        <v>233</v>
      </c>
      <c r="C21">
        <v>1</v>
      </c>
      <c r="D21" s="82"/>
      <c r="E21" s="81" t="s">
        <v>195</v>
      </c>
      <c r="F21" s="32"/>
    </row>
    <row r="22" spans="1:6" ht="12.75" customHeight="1" x14ac:dyDescent="0.35">
      <c r="A22" s="39" t="s">
        <v>234</v>
      </c>
      <c r="B22" s="81" t="s">
        <v>235</v>
      </c>
      <c r="C22">
        <v>1</v>
      </c>
      <c r="D22" s="82"/>
      <c r="E22" s="81" t="s">
        <v>195</v>
      </c>
      <c r="F22" s="32"/>
    </row>
    <row r="23" spans="1:6" ht="12.75" customHeight="1" x14ac:dyDescent="0.35">
      <c r="A23" s="39" t="s">
        <v>236</v>
      </c>
      <c r="B23" s="81" t="s">
        <v>237</v>
      </c>
      <c r="C23">
        <v>1</v>
      </c>
      <c r="D23" s="82"/>
      <c r="E23" s="81" t="s">
        <v>195</v>
      </c>
      <c r="F23" s="32"/>
    </row>
    <row r="24" spans="1:6" ht="12.75" customHeight="1" x14ac:dyDescent="0.35">
      <c r="A24" s="39" t="s">
        <v>238</v>
      </c>
      <c r="B24" s="81" t="s">
        <v>239</v>
      </c>
      <c r="C24">
        <v>1</v>
      </c>
      <c r="D24" s="82"/>
      <c r="E24" s="81" t="s">
        <v>195</v>
      </c>
      <c r="F24" s="32"/>
    </row>
    <row r="25" spans="1:6" ht="12.75" customHeight="1" x14ac:dyDescent="0.35">
      <c r="A25" s="39" t="s">
        <v>240</v>
      </c>
      <c r="B25" s="81" t="s">
        <v>241</v>
      </c>
      <c r="C25">
        <v>1</v>
      </c>
      <c r="D25" s="82"/>
      <c r="E25" s="81" t="s">
        <v>195</v>
      </c>
      <c r="F25" s="32"/>
    </row>
    <row r="26" spans="1:6" ht="12.75" customHeight="1" x14ac:dyDescent="0.35">
      <c r="B26" s="81" t="s">
        <v>242</v>
      </c>
      <c r="F26" s="32"/>
    </row>
    <row r="27" spans="1:6" ht="12.75" customHeight="1" x14ac:dyDescent="0.35">
      <c r="A27" s="81" t="s">
        <v>155</v>
      </c>
      <c r="B27" s="81" t="s">
        <v>243</v>
      </c>
      <c r="C27">
        <v>2</v>
      </c>
      <c r="D27" s="82"/>
      <c r="E27" s="81" t="s">
        <v>195</v>
      </c>
      <c r="F27" s="32"/>
    </row>
    <row r="28" spans="1:6" ht="12.75" customHeight="1" x14ac:dyDescent="0.35">
      <c r="A28" s="81" t="s">
        <v>244</v>
      </c>
      <c r="B28" s="81" t="s">
        <v>245</v>
      </c>
      <c r="C28">
        <v>2</v>
      </c>
      <c r="D28" s="82"/>
      <c r="E28" s="81" t="s">
        <v>195</v>
      </c>
      <c r="F28" s="32"/>
    </row>
    <row r="29" spans="1:6" ht="12.75" customHeight="1" x14ac:dyDescent="0.35">
      <c r="A29" s="81" t="s">
        <v>246</v>
      </c>
      <c r="B29" s="81" t="s">
        <v>247</v>
      </c>
      <c r="C29">
        <v>2</v>
      </c>
      <c r="D29" s="82"/>
      <c r="E29" s="81" t="s">
        <v>195</v>
      </c>
      <c r="F29" s="32"/>
    </row>
    <row r="30" spans="1:6" ht="12.75" customHeight="1" x14ac:dyDescent="0.35">
      <c r="A30" s="81" t="s">
        <v>248</v>
      </c>
      <c r="B30" s="81" t="s">
        <v>249</v>
      </c>
      <c r="C30">
        <v>2</v>
      </c>
      <c r="D30" s="82"/>
      <c r="E30" s="81" t="s">
        <v>195</v>
      </c>
      <c r="F30" s="32"/>
    </row>
    <row r="31" spans="1:6" ht="12.75" customHeight="1" x14ac:dyDescent="0.35">
      <c r="A31" s="81" t="s">
        <v>250</v>
      </c>
      <c r="B31" s="81" t="s">
        <v>251</v>
      </c>
      <c r="C31">
        <v>2</v>
      </c>
      <c r="D31" s="82"/>
      <c r="E31" s="81" t="s">
        <v>195</v>
      </c>
      <c r="F31" s="32"/>
    </row>
    <row r="32" spans="1:6" ht="12.75" customHeight="1" x14ac:dyDescent="0.35">
      <c r="A32" s="81" t="s">
        <v>252</v>
      </c>
      <c r="B32" s="81" t="s">
        <v>253</v>
      </c>
      <c r="C32">
        <v>2</v>
      </c>
      <c r="D32" s="82"/>
      <c r="E32" s="81" t="s">
        <v>195</v>
      </c>
      <c r="F32" s="32"/>
    </row>
    <row r="33" spans="1:6" ht="12.75" customHeight="1" x14ac:dyDescent="0.35">
      <c r="A33" s="81" t="s">
        <v>254</v>
      </c>
      <c r="B33" s="81" t="s">
        <v>255</v>
      </c>
      <c r="C33">
        <v>2</v>
      </c>
      <c r="D33" s="82"/>
      <c r="E33" s="81" t="s">
        <v>195</v>
      </c>
      <c r="F33" s="32"/>
    </row>
    <row r="34" spans="1:6" ht="12.75" customHeight="1" x14ac:dyDescent="0.35">
      <c r="A34" s="81" t="s">
        <v>256</v>
      </c>
      <c r="B34" s="81" t="s">
        <v>257</v>
      </c>
      <c r="C34">
        <v>2</v>
      </c>
      <c r="D34" s="82"/>
      <c r="E34" s="81" t="s">
        <v>195</v>
      </c>
      <c r="F34" s="32"/>
    </row>
    <row r="35" spans="1:6" ht="12.75" customHeight="1" x14ac:dyDescent="0.35">
      <c r="A35" s="39" t="s">
        <v>258</v>
      </c>
      <c r="B35" s="81" t="s">
        <v>259</v>
      </c>
      <c r="C35">
        <v>2</v>
      </c>
      <c r="D35" s="82"/>
      <c r="E35" s="81" t="s">
        <v>195</v>
      </c>
      <c r="F35" s="32"/>
    </row>
    <row r="36" spans="1:6" ht="12.75" customHeight="1" x14ac:dyDescent="0.35">
      <c r="A36" s="39" t="s">
        <v>260</v>
      </c>
      <c r="B36" s="81" t="s">
        <v>261</v>
      </c>
      <c r="C36">
        <v>2</v>
      </c>
      <c r="D36" s="82"/>
      <c r="E36" s="81" t="s">
        <v>195</v>
      </c>
      <c r="F36" s="32"/>
    </row>
    <row r="37" spans="1:6" ht="12.75" customHeight="1" x14ac:dyDescent="0.35">
      <c r="A37" s="39" t="s">
        <v>262</v>
      </c>
      <c r="B37" s="81" t="s">
        <v>263</v>
      </c>
      <c r="C37">
        <v>2</v>
      </c>
      <c r="D37" s="82"/>
      <c r="E37" s="81" t="s">
        <v>195</v>
      </c>
      <c r="F37" s="32"/>
    </row>
    <row r="38" spans="1:6" ht="12.75" customHeight="1" x14ac:dyDescent="0.35">
      <c r="A38" s="39" t="s">
        <v>264</v>
      </c>
      <c r="B38" s="81" t="s">
        <v>265</v>
      </c>
      <c r="C38">
        <v>2</v>
      </c>
      <c r="D38" s="82"/>
      <c r="E38" s="81" t="s">
        <v>195</v>
      </c>
      <c r="F38" s="32"/>
    </row>
    <row r="39" spans="1:6" ht="12.75" customHeight="1" x14ac:dyDescent="0.35">
      <c r="A39" s="39" t="s">
        <v>266</v>
      </c>
      <c r="B39" s="81" t="s">
        <v>267</v>
      </c>
      <c r="C39">
        <v>2</v>
      </c>
      <c r="D39" s="82"/>
      <c r="E39" s="81" t="s">
        <v>195</v>
      </c>
      <c r="F39" s="32"/>
    </row>
    <row r="40" spans="1:6" ht="12.75" customHeight="1" x14ac:dyDescent="0.35">
      <c r="A40" s="39" t="s">
        <v>268</v>
      </c>
      <c r="B40" s="81" t="s">
        <v>269</v>
      </c>
      <c r="C40">
        <v>2</v>
      </c>
      <c r="D40" s="82"/>
      <c r="E40" s="81" t="s">
        <v>195</v>
      </c>
      <c r="F40" s="32"/>
    </row>
    <row r="41" spans="1:6" ht="12.75" customHeight="1" x14ac:dyDescent="0.35">
      <c r="A41" s="39" t="s">
        <v>270</v>
      </c>
      <c r="B41" s="81" t="s">
        <v>271</v>
      </c>
      <c r="C41">
        <v>2</v>
      </c>
      <c r="D41" s="82"/>
      <c r="E41" s="81" t="s">
        <v>195</v>
      </c>
      <c r="F41" s="32"/>
    </row>
    <row r="42" spans="1:6" ht="12.75" customHeight="1" x14ac:dyDescent="0.35">
      <c r="A42" s="39" t="s">
        <v>272</v>
      </c>
      <c r="B42" s="81" t="s">
        <v>273</v>
      </c>
      <c r="C42">
        <v>2</v>
      </c>
      <c r="D42" s="82"/>
      <c r="E42" s="81" t="s">
        <v>195</v>
      </c>
      <c r="F42" s="32"/>
    </row>
    <row r="43" spans="1:6" ht="12.75" customHeight="1" x14ac:dyDescent="0.35">
      <c r="A43" s="83"/>
      <c r="B43" s="39" t="s">
        <v>242</v>
      </c>
      <c r="F43" s="32"/>
    </row>
    <row r="44" spans="1:6" ht="12.75" customHeight="1" x14ac:dyDescent="0.35">
      <c r="A44" s="81" t="s">
        <v>274</v>
      </c>
      <c r="B44" s="81" t="s">
        <v>275</v>
      </c>
      <c r="C44">
        <v>1</v>
      </c>
      <c r="E44" s="81" t="s">
        <v>276</v>
      </c>
      <c r="F44" s="32"/>
    </row>
    <row r="45" spans="1:6" ht="12.75" customHeight="1" x14ac:dyDescent="0.35">
      <c r="A45" s="81" t="s">
        <v>277</v>
      </c>
      <c r="B45" s="81" t="s">
        <v>278</v>
      </c>
      <c r="C45">
        <v>1</v>
      </c>
      <c r="E45" s="81" t="s">
        <v>276</v>
      </c>
      <c r="F45" s="32"/>
    </row>
    <row r="46" spans="1:6" ht="12.75" customHeight="1" x14ac:dyDescent="0.35">
      <c r="A46" s="81" t="s">
        <v>279</v>
      </c>
      <c r="B46" s="81" t="s">
        <v>280</v>
      </c>
      <c r="C46">
        <v>1</v>
      </c>
      <c r="E46" s="81" t="s">
        <v>276</v>
      </c>
      <c r="F46" s="32"/>
    </row>
    <row r="47" spans="1:6" ht="12.75" customHeight="1" x14ac:dyDescent="0.35">
      <c r="A47" s="81" t="s">
        <v>281</v>
      </c>
      <c r="B47" s="81" t="s">
        <v>282</v>
      </c>
      <c r="C47">
        <v>1</v>
      </c>
      <c r="E47" s="81" t="s">
        <v>276</v>
      </c>
      <c r="F47" s="32"/>
    </row>
    <row r="48" spans="1:6" ht="12.75" customHeight="1" x14ac:dyDescent="0.35">
      <c r="A48" s="81" t="s">
        <v>283</v>
      </c>
      <c r="B48" s="81" t="s">
        <v>284</v>
      </c>
      <c r="C48">
        <v>1</v>
      </c>
      <c r="E48" s="81" t="s">
        <v>276</v>
      </c>
      <c r="F48" s="32"/>
    </row>
    <row r="49" spans="1:6" ht="12.75" customHeight="1" x14ac:dyDescent="0.35">
      <c r="A49" s="81" t="s">
        <v>285</v>
      </c>
      <c r="B49" s="81" t="s">
        <v>286</v>
      </c>
      <c r="C49">
        <v>1</v>
      </c>
      <c r="E49" s="81" t="s">
        <v>276</v>
      </c>
      <c r="F49" s="32"/>
    </row>
    <row r="50" spans="1:6" ht="12.75" customHeight="1" x14ac:dyDescent="0.35">
      <c r="A50" s="81" t="s">
        <v>287</v>
      </c>
      <c r="B50" s="81" t="s">
        <v>288</v>
      </c>
      <c r="C50">
        <v>1</v>
      </c>
      <c r="E50" s="81" t="s">
        <v>276</v>
      </c>
      <c r="F50" s="32"/>
    </row>
    <row r="51" spans="1:6" ht="12.75" customHeight="1" x14ac:dyDescent="0.35">
      <c r="A51" s="81" t="s">
        <v>289</v>
      </c>
      <c r="B51" s="81" t="s">
        <v>290</v>
      </c>
      <c r="C51">
        <v>1</v>
      </c>
      <c r="E51" s="81" t="s">
        <v>276</v>
      </c>
      <c r="F51" s="32"/>
    </row>
    <row r="52" spans="1:6" ht="12.75" customHeight="1" x14ac:dyDescent="0.35">
      <c r="A52" s="81" t="s">
        <v>291</v>
      </c>
      <c r="B52" s="81" t="s">
        <v>292</v>
      </c>
      <c r="C52">
        <v>1</v>
      </c>
      <c r="E52" s="81" t="s">
        <v>276</v>
      </c>
      <c r="F52" s="32"/>
    </row>
    <row r="53" spans="1:6" ht="12.75" customHeight="1" x14ac:dyDescent="0.35">
      <c r="A53" s="81" t="s">
        <v>293</v>
      </c>
      <c r="B53" s="81" t="s">
        <v>294</v>
      </c>
      <c r="C53">
        <v>1</v>
      </c>
      <c r="E53" s="81" t="s">
        <v>276</v>
      </c>
      <c r="F53" s="32"/>
    </row>
    <row r="54" spans="1:6" ht="12.75" customHeight="1" x14ac:dyDescent="0.35">
      <c r="A54" s="81" t="s">
        <v>295</v>
      </c>
      <c r="B54" s="81" t="s">
        <v>296</v>
      </c>
      <c r="C54">
        <v>1</v>
      </c>
      <c r="E54" s="81" t="s">
        <v>276</v>
      </c>
      <c r="F54" s="32"/>
    </row>
    <row r="55" spans="1:6" ht="12.75" customHeight="1" x14ac:dyDescent="0.35">
      <c r="A55" s="81" t="s">
        <v>297</v>
      </c>
      <c r="B55" s="81" t="s">
        <v>298</v>
      </c>
      <c r="C55">
        <v>1</v>
      </c>
      <c r="E55" s="81" t="s">
        <v>276</v>
      </c>
      <c r="F55" s="32"/>
    </row>
    <row r="56" spans="1:6" ht="12.75" customHeight="1" x14ac:dyDescent="0.35">
      <c r="A56" s="81" t="s">
        <v>299</v>
      </c>
      <c r="B56" s="81" t="s">
        <v>300</v>
      </c>
      <c r="C56">
        <v>1</v>
      </c>
      <c r="E56" s="81" t="s">
        <v>276</v>
      </c>
      <c r="F56" s="32"/>
    </row>
    <row r="57" spans="1:6" ht="12.75" customHeight="1" x14ac:dyDescent="0.35">
      <c r="A57" s="81" t="s">
        <v>301</v>
      </c>
      <c r="B57" s="81" t="s">
        <v>302</v>
      </c>
      <c r="C57">
        <v>1</v>
      </c>
      <c r="E57" s="81" t="s">
        <v>276</v>
      </c>
      <c r="F57" s="32"/>
    </row>
    <row r="58" spans="1:6" ht="12.75" customHeight="1" x14ac:dyDescent="0.35">
      <c r="A58" s="81" t="s">
        <v>303</v>
      </c>
      <c r="B58" s="81" t="s">
        <v>304</v>
      </c>
      <c r="C58">
        <v>1</v>
      </c>
      <c r="E58" s="81" t="s">
        <v>276</v>
      </c>
      <c r="F58" s="32"/>
    </row>
    <row r="59" spans="1:6" ht="12.75" customHeight="1" x14ac:dyDescent="0.35">
      <c r="A59" s="81" t="s">
        <v>305</v>
      </c>
      <c r="B59" s="81" t="s">
        <v>306</v>
      </c>
      <c r="C59">
        <v>1</v>
      </c>
      <c r="E59" s="81" t="s">
        <v>276</v>
      </c>
      <c r="F59" s="32"/>
    </row>
    <row r="60" spans="1:6" ht="12.75" customHeight="1" x14ac:dyDescent="0.35">
      <c r="A60" s="81" t="s">
        <v>307</v>
      </c>
      <c r="B60" s="81" t="s">
        <v>308</v>
      </c>
      <c r="C60">
        <v>1</v>
      </c>
      <c r="E60" s="81" t="s">
        <v>276</v>
      </c>
      <c r="F60" s="32"/>
    </row>
    <row r="61" spans="1:6" ht="12.75" customHeight="1" x14ac:dyDescent="0.35">
      <c r="A61" s="81" t="s">
        <v>309</v>
      </c>
      <c r="B61" s="81" t="s">
        <v>310</v>
      </c>
      <c r="C61">
        <v>1</v>
      </c>
      <c r="E61" s="81" t="s">
        <v>276</v>
      </c>
      <c r="F61" s="32"/>
    </row>
    <row r="62" spans="1:6" ht="12.75" customHeight="1" x14ac:dyDescent="0.35">
      <c r="A62" s="81" t="s">
        <v>311</v>
      </c>
      <c r="B62" s="81" t="s">
        <v>312</v>
      </c>
      <c r="C62">
        <v>1</v>
      </c>
      <c r="E62" s="81" t="s">
        <v>276</v>
      </c>
      <c r="F62" s="32"/>
    </row>
    <row r="63" spans="1:6" ht="12.75" customHeight="1" x14ac:dyDescent="0.35">
      <c r="A63" s="81" t="s">
        <v>313</v>
      </c>
      <c r="B63" s="81" t="s">
        <v>314</v>
      </c>
      <c r="C63">
        <v>1</v>
      </c>
      <c r="E63" s="81" t="s">
        <v>276</v>
      </c>
      <c r="F63" s="32"/>
    </row>
    <row r="64" spans="1:6" ht="12.75" customHeight="1" x14ac:dyDescent="0.35">
      <c r="A64" s="81" t="s">
        <v>315</v>
      </c>
      <c r="B64" s="81" t="s">
        <v>316</v>
      </c>
      <c r="C64">
        <v>1</v>
      </c>
      <c r="E64" s="81" t="s">
        <v>276</v>
      </c>
      <c r="F64" s="32"/>
    </row>
    <row r="65" spans="1:6" ht="12.75" customHeight="1" x14ac:dyDescent="0.35">
      <c r="A65" s="81" t="s">
        <v>317</v>
      </c>
      <c r="B65" s="81" t="s">
        <v>318</v>
      </c>
      <c r="C65">
        <v>1</v>
      </c>
      <c r="E65" s="81" t="s">
        <v>276</v>
      </c>
      <c r="F65" s="32"/>
    </row>
    <row r="66" spans="1:6" ht="12.75" customHeight="1" x14ac:dyDescent="0.35">
      <c r="A66" s="81" t="s">
        <v>319</v>
      </c>
      <c r="B66" s="81" t="s">
        <v>320</v>
      </c>
      <c r="C66">
        <v>1</v>
      </c>
      <c r="E66" s="81" t="s">
        <v>276</v>
      </c>
      <c r="F66" s="32"/>
    </row>
    <row r="67" spans="1:6" ht="12.75" customHeight="1" x14ac:dyDescent="0.35">
      <c r="A67" s="81" t="s">
        <v>321</v>
      </c>
      <c r="B67" s="81" t="s">
        <v>322</v>
      </c>
      <c r="C67">
        <v>1</v>
      </c>
      <c r="E67" s="81" t="s">
        <v>276</v>
      </c>
      <c r="F67" s="32"/>
    </row>
    <row r="68" spans="1:6" ht="12.75" customHeight="1" x14ac:dyDescent="0.35">
      <c r="A68" s="81" t="s">
        <v>323</v>
      </c>
      <c r="B68" s="81" t="s">
        <v>324</v>
      </c>
      <c r="C68">
        <v>1</v>
      </c>
      <c r="E68" s="81" t="s">
        <v>276</v>
      </c>
      <c r="F68" s="32"/>
    </row>
    <row r="69" spans="1:6" ht="12.75" customHeight="1" x14ac:dyDescent="0.35">
      <c r="A69" s="81" t="s">
        <v>325</v>
      </c>
      <c r="B69" s="81" t="s">
        <v>326</v>
      </c>
      <c r="C69">
        <v>1</v>
      </c>
      <c r="E69" s="81" t="s">
        <v>276</v>
      </c>
      <c r="F69" s="32"/>
    </row>
    <row r="70" spans="1:6" ht="12.75" customHeight="1" x14ac:dyDescent="0.35">
      <c r="A70" s="81" t="s">
        <v>327</v>
      </c>
      <c r="B70" s="81" t="s">
        <v>328</v>
      </c>
      <c r="C70">
        <v>1</v>
      </c>
      <c r="E70" s="81" t="s">
        <v>276</v>
      </c>
      <c r="F70" s="32"/>
    </row>
    <row r="71" spans="1:6" ht="12.75" customHeight="1" x14ac:dyDescent="0.35">
      <c r="A71" s="81" t="s">
        <v>329</v>
      </c>
      <c r="B71" s="81" t="s">
        <v>330</v>
      </c>
      <c r="C71">
        <v>1</v>
      </c>
      <c r="E71" s="81" t="s">
        <v>276</v>
      </c>
      <c r="F71" s="32"/>
    </row>
    <row r="72" spans="1:6" ht="12.75" customHeight="1" x14ac:dyDescent="0.35">
      <c r="A72" s="81" t="s">
        <v>331</v>
      </c>
      <c r="B72" s="81" t="s">
        <v>332</v>
      </c>
      <c r="C72">
        <v>1</v>
      </c>
      <c r="E72" s="81" t="s">
        <v>276</v>
      </c>
      <c r="F72" s="32"/>
    </row>
    <row r="73" spans="1:6" ht="12.75" customHeight="1" x14ac:dyDescent="0.35">
      <c r="A73" s="81" t="s">
        <v>333</v>
      </c>
      <c r="B73" s="81" t="s">
        <v>334</v>
      </c>
      <c r="C73">
        <v>1</v>
      </c>
      <c r="E73" s="81" t="s">
        <v>276</v>
      </c>
      <c r="F73" s="32"/>
    </row>
    <row r="74" spans="1:6" ht="12.75" customHeight="1" x14ac:dyDescent="0.35">
      <c r="A74" s="81" t="s">
        <v>335</v>
      </c>
      <c r="B74" s="81" t="s">
        <v>336</v>
      </c>
      <c r="C74">
        <v>1</v>
      </c>
      <c r="E74" s="81" t="s">
        <v>276</v>
      </c>
      <c r="F74" s="32"/>
    </row>
    <row r="75" spans="1:6" ht="12.75" customHeight="1" x14ac:dyDescent="0.35">
      <c r="A75" s="81" t="s">
        <v>337</v>
      </c>
      <c r="B75" s="81" t="s">
        <v>338</v>
      </c>
      <c r="C75">
        <v>1</v>
      </c>
      <c r="E75" s="81" t="s">
        <v>276</v>
      </c>
      <c r="F75" s="32"/>
    </row>
    <row r="76" spans="1:6" ht="12.75" customHeight="1" x14ac:dyDescent="0.35">
      <c r="A76" s="81" t="s">
        <v>339</v>
      </c>
      <c r="B76" s="81" t="s">
        <v>340</v>
      </c>
      <c r="C76">
        <v>1</v>
      </c>
      <c r="E76" s="81" t="s">
        <v>276</v>
      </c>
      <c r="F76" s="32"/>
    </row>
    <row r="77" spans="1:6" ht="12.75" customHeight="1" x14ac:dyDescent="0.35">
      <c r="A77" s="81" t="s">
        <v>341</v>
      </c>
      <c r="B77" s="81" t="s">
        <v>342</v>
      </c>
      <c r="C77">
        <v>1</v>
      </c>
      <c r="E77" s="81" t="s">
        <v>276</v>
      </c>
      <c r="F77" s="32"/>
    </row>
    <row r="78" spans="1:6" ht="12.75" customHeight="1" x14ac:dyDescent="0.35">
      <c r="A78" s="81" t="s">
        <v>343</v>
      </c>
      <c r="B78" s="81" t="s">
        <v>344</v>
      </c>
      <c r="C78">
        <v>1</v>
      </c>
      <c r="E78" s="81" t="s">
        <v>276</v>
      </c>
      <c r="F78" s="32"/>
    </row>
    <row r="79" spans="1:6" ht="12.75" customHeight="1" x14ac:dyDescent="0.35">
      <c r="A79" s="81" t="s">
        <v>345</v>
      </c>
      <c r="B79" s="81" t="s">
        <v>346</v>
      </c>
      <c r="C79">
        <v>1</v>
      </c>
      <c r="E79" s="81" t="s">
        <v>276</v>
      </c>
      <c r="F79" s="32"/>
    </row>
    <row r="80" spans="1:6" ht="12.75" customHeight="1" x14ac:dyDescent="0.35">
      <c r="A80" s="81" t="s">
        <v>347</v>
      </c>
      <c r="B80" s="81" t="s">
        <v>348</v>
      </c>
      <c r="C80">
        <v>1</v>
      </c>
      <c r="E80" s="81" t="s">
        <v>276</v>
      </c>
      <c r="F80" s="32"/>
    </row>
    <row r="81" spans="1:6" ht="12.75" customHeight="1" x14ac:dyDescent="0.35">
      <c r="A81" s="81" t="s">
        <v>349</v>
      </c>
      <c r="B81" s="81" t="s">
        <v>350</v>
      </c>
      <c r="C81">
        <v>1</v>
      </c>
      <c r="E81" s="81" t="s">
        <v>276</v>
      </c>
      <c r="F81" s="32"/>
    </row>
    <row r="82" spans="1:6" ht="12.75" customHeight="1" x14ac:dyDescent="0.35">
      <c r="A82" s="81" t="s">
        <v>351</v>
      </c>
      <c r="B82" s="81" t="s">
        <v>352</v>
      </c>
      <c r="C82">
        <v>1</v>
      </c>
      <c r="E82" s="81" t="s">
        <v>276</v>
      </c>
      <c r="F82" s="32"/>
    </row>
    <row r="83" spans="1:6" ht="12.75" customHeight="1" x14ac:dyDescent="0.35">
      <c r="A83" s="81" t="s">
        <v>353</v>
      </c>
      <c r="B83" s="81" t="s">
        <v>354</v>
      </c>
      <c r="C83">
        <v>1</v>
      </c>
      <c r="E83" s="81" t="s">
        <v>276</v>
      </c>
      <c r="F83" s="32"/>
    </row>
    <row r="84" spans="1:6" ht="12.75" customHeight="1" x14ac:dyDescent="0.35">
      <c r="A84" s="81" t="s">
        <v>355</v>
      </c>
      <c r="B84" s="81" t="s">
        <v>356</v>
      </c>
      <c r="C84">
        <v>1</v>
      </c>
      <c r="E84" s="81" t="s">
        <v>276</v>
      </c>
      <c r="F84" s="32"/>
    </row>
    <row r="85" spans="1:6" ht="12.75" customHeight="1" x14ac:dyDescent="0.35">
      <c r="A85" s="81" t="s">
        <v>357</v>
      </c>
      <c r="B85" s="81" t="s">
        <v>358</v>
      </c>
      <c r="C85">
        <v>1</v>
      </c>
      <c r="E85" s="81" t="s">
        <v>276</v>
      </c>
      <c r="F85" s="32"/>
    </row>
    <row r="86" spans="1:6" ht="12.75" customHeight="1" x14ac:dyDescent="0.35">
      <c r="A86" s="81" t="s">
        <v>359</v>
      </c>
      <c r="B86" s="81" t="s">
        <v>360</v>
      </c>
      <c r="C86">
        <v>1</v>
      </c>
      <c r="E86" s="81" t="s">
        <v>276</v>
      </c>
      <c r="F86" s="32"/>
    </row>
    <row r="87" spans="1:6" ht="12.75" customHeight="1" x14ac:dyDescent="0.35">
      <c r="A87" s="81" t="s">
        <v>361</v>
      </c>
      <c r="B87" s="81" t="s">
        <v>362</v>
      </c>
      <c r="C87">
        <v>1</v>
      </c>
      <c r="E87" s="81" t="s">
        <v>276</v>
      </c>
      <c r="F87" s="32"/>
    </row>
    <row r="88" spans="1:6" ht="12.75" customHeight="1" x14ac:dyDescent="0.35">
      <c r="A88" s="81" t="s">
        <v>363</v>
      </c>
      <c r="B88" s="81" t="s">
        <v>364</v>
      </c>
      <c r="C88">
        <v>1</v>
      </c>
      <c r="E88" s="81" t="s">
        <v>276</v>
      </c>
      <c r="F88" s="32"/>
    </row>
    <row r="89" spans="1:6" ht="12.75" customHeight="1" x14ac:dyDescent="0.35">
      <c r="A89" s="81" t="s">
        <v>365</v>
      </c>
      <c r="B89" s="81" t="s">
        <v>366</v>
      </c>
      <c r="C89">
        <v>1</v>
      </c>
      <c r="E89" s="81" t="s">
        <v>276</v>
      </c>
      <c r="F89" s="32"/>
    </row>
    <row r="90" spans="1:6" ht="12.75" customHeight="1" x14ac:dyDescent="0.35">
      <c r="A90" s="81" t="s">
        <v>367</v>
      </c>
      <c r="B90" s="81" t="s">
        <v>368</v>
      </c>
      <c r="C90">
        <v>1</v>
      </c>
      <c r="E90" s="81" t="s">
        <v>276</v>
      </c>
      <c r="F90" s="32"/>
    </row>
    <row r="91" spans="1:6" ht="12.75" customHeight="1" x14ac:dyDescent="0.35">
      <c r="A91" s="81" t="s">
        <v>369</v>
      </c>
      <c r="B91" s="81" t="s">
        <v>370</v>
      </c>
      <c r="C91">
        <v>1</v>
      </c>
      <c r="E91" s="81" t="s">
        <v>276</v>
      </c>
      <c r="F91" s="32"/>
    </row>
    <row r="92" spans="1:6" ht="12.75" customHeight="1" x14ac:dyDescent="0.35">
      <c r="A92" s="81" t="s">
        <v>371</v>
      </c>
      <c r="B92" s="81" t="s">
        <v>372</v>
      </c>
      <c r="C92">
        <v>1</v>
      </c>
      <c r="E92" s="81" t="s">
        <v>276</v>
      </c>
      <c r="F92" s="32"/>
    </row>
    <row r="93" spans="1:6" ht="12.75" customHeight="1" x14ac:dyDescent="0.35">
      <c r="A93" s="81" t="s">
        <v>373</v>
      </c>
      <c r="B93" s="81" t="s">
        <v>374</v>
      </c>
      <c r="C93">
        <v>1</v>
      </c>
      <c r="E93" s="81" t="s">
        <v>276</v>
      </c>
      <c r="F93" s="32"/>
    </row>
    <row r="94" spans="1:6" ht="12.75" customHeight="1" x14ac:dyDescent="0.35">
      <c r="A94" s="81" t="s">
        <v>375</v>
      </c>
      <c r="B94" s="81" t="s">
        <v>376</v>
      </c>
      <c r="C94">
        <v>1</v>
      </c>
      <c r="E94" s="81" t="s">
        <v>276</v>
      </c>
      <c r="F94" s="32"/>
    </row>
    <row r="95" spans="1:6" ht="12.75" customHeight="1" x14ac:dyDescent="0.35">
      <c r="A95" s="81" t="s">
        <v>377</v>
      </c>
      <c r="B95" s="81" t="s">
        <v>378</v>
      </c>
      <c r="C95">
        <v>1</v>
      </c>
      <c r="E95" s="81" t="s">
        <v>276</v>
      </c>
      <c r="F95" s="32"/>
    </row>
    <row r="96" spans="1:6" ht="12.75" customHeight="1" x14ac:dyDescent="0.35">
      <c r="A96" s="81" t="s">
        <v>379</v>
      </c>
      <c r="B96" s="81" t="s">
        <v>380</v>
      </c>
      <c r="C96">
        <v>1</v>
      </c>
      <c r="E96" s="81" t="s">
        <v>276</v>
      </c>
      <c r="F96" s="32"/>
    </row>
    <row r="97" spans="1:6" ht="12.75" customHeight="1" x14ac:dyDescent="0.35">
      <c r="A97" s="81" t="s">
        <v>381</v>
      </c>
      <c r="B97" s="81" t="s">
        <v>382</v>
      </c>
      <c r="C97">
        <v>1</v>
      </c>
      <c r="E97" s="81" t="s">
        <v>276</v>
      </c>
      <c r="F97" s="32"/>
    </row>
    <row r="98" spans="1:6" ht="12.75" customHeight="1" x14ac:dyDescent="0.35">
      <c r="A98" s="81" t="s">
        <v>383</v>
      </c>
      <c r="B98" s="81" t="s">
        <v>384</v>
      </c>
      <c r="C98">
        <v>1</v>
      </c>
      <c r="E98" s="81" t="s">
        <v>276</v>
      </c>
      <c r="F98" s="32"/>
    </row>
    <row r="99" spans="1:6" ht="12.75" customHeight="1" x14ac:dyDescent="0.35">
      <c r="A99" s="81" t="s">
        <v>385</v>
      </c>
      <c r="B99" s="81" t="s">
        <v>386</v>
      </c>
      <c r="C99">
        <v>1</v>
      </c>
      <c r="E99" s="81" t="s">
        <v>276</v>
      </c>
      <c r="F99" s="32"/>
    </row>
    <row r="100" spans="1:6" ht="12.75" customHeight="1" x14ac:dyDescent="0.35">
      <c r="A100" s="81" t="s">
        <v>387</v>
      </c>
      <c r="B100" s="81" t="s">
        <v>388</v>
      </c>
      <c r="C100">
        <v>1</v>
      </c>
      <c r="E100" s="81" t="s">
        <v>276</v>
      </c>
      <c r="F100" s="32"/>
    </row>
    <row r="101" spans="1:6" ht="12.75" customHeight="1" x14ac:dyDescent="0.35">
      <c r="A101" s="81" t="s">
        <v>389</v>
      </c>
      <c r="B101" s="81" t="s">
        <v>390</v>
      </c>
      <c r="C101">
        <v>1</v>
      </c>
      <c r="E101" s="81" t="s">
        <v>276</v>
      </c>
      <c r="F101" s="32"/>
    </row>
    <row r="102" spans="1:6" ht="12.75" customHeight="1" x14ac:dyDescent="0.35">
      <c r="A102" s="81" t="s">
        <v>391</v>
      </c>
      <c r="B102" s="81" t="s">
        <v>392</v>
      </c>
      <c r="C102">
        <v>1</v>
      </c>
      <c r="E102" s="81" t="s">
        <v>276</v>
      </c>
      <c r="F102" s="32"/>
    </row>
    <row r="103" spans="1:6" ht="12.75" customHeight="1" x14ac:dyDescent="0.35">
      <c r="A103" s="81" t="s">
        <v>393</v>
      </c>
      <c r="B103" s="81" t="s">
        <v>394</v>
      </c>
      <c r="C103">
        <v>1</v>
      </c>
      <c r="E103" s="81" t="s">
        <v>276</v>
      </c>
      <c r="F103" s="32"/>
    </row>
    <row r="104" spans="1:6" ht="12.75" customHeight="1" x14ac:dyDescent="0.35">
      <c r="A104" s="81" t="s">
        <v>395</v>
      </c>
      <c r="B104" s="81" t="s">
        <v>396</v>
      </c>
      <c r="C104">
        <v>1</v>
      </c>
      <c r="E104" s="81" t="s">
        <v>276</v>
      </c>
      <c r="F104" s="32"/>
    </row>
    <row r="105" spans="1:6" ht="12.75" customHeight="1" x14ac:dyDescent="0.35">
      <c r="A105" s="81" t="s">
        <v>397</v>
      </c>
      <c r="B105" s="81" t="s">
        <v>398</v>
      </c>
      <c r="C105">
        <v>1</v>
      </c>
      <c r="E105" s="81" t="s">
        <v>276</v>
      </c>
      <c r="F105" s="32"/>
    </row>
    <row r="106" spans="1:6" ht="12.75" customHeight="1" x14ac:dyDescent="0.35">
      <c r="A106" s="81" t="s">
        <v>399</v>
      </c>
      <c r="B106" s="81" t="s">
        <v>400</v>
      </c>
      <c r="C106">
        <v>1</v>
      </c>
      <c r="E106" s="81" t="s">
        <v>276</v>
      </c>
      <c r="F106" s="32"/>
    </row>
    <row r="107" spans="1:6" ht="12.75" customHeight="1" x14ac:dyDescent="0.35">
      <c r="A107" s="81" t="s">
        <v>401</v>
      </c>
      <c r="B107" s="81" t="s">
        <v>402</v>
      </c>
      <c r="C107">
        <v>1</v>
      </c>
      <c r="E107" s="81" t="s">
        <v>276</v>
      </c>
      <c r="F107" s="32"/>
    </row>
    <row r="108" spans="1:6" ht="12.75" customHeight="1" x14ac:dyDescent="0.35">
      <c r="A108" s="81" t="s">
        <v>403</v>
      </c>
      <c r="B108" s="81" t="s">
        <v>404</v>
      </c>
      <c r="C108">
        <v>1</v>
      </c>
      <c r="E108" s="81" t="s">
        <v>276</v>
      </c>
      <c r="F108" s="32"/>
    </row>
    <row r="109" spans="1:6" ht="12.75" customHeight="1" x14ac:dyDescent="0.35">
      <c r="A109" s="81" t="s">
        <v>405</v>
      </c>
      <c r="B109" s="81" t="s">
        <v>406</v>
      </c>
      <c r="C109">
        <v>1</v>
      </c>
      <c r="E109" s="81" t="s">
        <v>276</v>
      </c>
      <c r="F109" s="32"/>
    </row>
    <row r="110" spans="1:6" ht="12.75" customHeight="1" x14ac:dyDescent="0.35">
      <c r="A110" s="81" t="s">
        <v>407</v>
      </c>
      <c r="B110" s="81" t="s">
        <v>408</v>
      </c>
      <c r="C110">
        <v>1</v>
      </c>
      <c r="E110" s="81" t="s">
        <v>276</v>
      </c>
      <c r="F110" s="32"/>
    </row>
    <row r="111" spans="1:6" ht="12.75" customHeight="1" x14ac:dyDescent="0.35">
      <c r="A111" s="81" t="s">
        <v>409</v>
      </c>
      <c r="B111" s="81" t="s">
        <v>410</v>
      </c>
      <c r="C111">
        <v>1</v>
      </c>
      <c r="E111" s="81" t="s">
        <v>276</v>
      </c>
      <c r="F111" s="32"/>
    </row>
    <row r="112" spans="1:6" ht="12.75" customHeight="1" x14ac:dyDescent="0.35">
      <c r="A112" s="81" t="s">
        <v>411</v>
      </c>
      <c r="B112" s="81" t="s">
        <v>412</v>
      </c>
      <c r="C112">
        <v>1</v>
      </c>
      <c r="E112" s="81" t="s">
        <v>276</v>
      </c>
      <c r="F112" s="32"/>
    </row>
    <row r="113" spans="1:6" ht="12.75" customHeight="1" x14ac:dyDescent="0.35">
      <c r="A113" s="81" t="s">
        <v>413</v>
      </c>
      <c r="B113" s="81" t="s">
        <v>414</v>
      </c>
      <c r="C113">
        <v>1</v>
      </c>
      <c r="E113" s="81" t="s">
        <v>276</v>
      </c>
      <c r="F113" s="32"/>
    </row>
    <row r="114" spans="1:6" ht="12.75" customHeight="1" x14ac:dyDescent="0.35">
      <c r="A114" s="81" t="s">
        <v>415</v>
      </c>
      <c r="B114" s="81" t="s">
        <v>416</v>
      </c>
      <c r="C114">
        <v>1</v>
      </c>
      <c r="E114" s="81" t="s">
        <v>276</v>
      </c>
      <c r="F114" s="32"/>
    </row>
    <row r="115" spans="1:6" ht="12.75" customHeight="1" x14ac:dyDescent="0.35">
      <c r="A115" s="81" t="s">
        <v>417</v>
      </c>
      <c r="B115" s="81" t="s">
        <v>418</v>
      </c>
      <c r="C115">
        <v>1</v>
      </c>
      <c r="E115" s="81" t="s">
        <v>276</v>
      </c>
      <c r="F115" s="32"/>
    </row>
    <row r="116" spans="1:6" ht="12.75" customHeight="1" x14ac:dyDescent="0.35">
      <c r="A116" s="81" t="s">
        <v>419</v>
      </c>
      <c r="B116" s="81" t="s">
        <v>420</v>
      </c>
      <c r="C116">
        <v>1</v>
      </c>
      <c r="E116" s="81" t="s">
        <v>276</v>
      </c>
      <c r="F116" s="32"/>
    </row>
    <row r="117" spans="1:6" ht="12.75" customHeight="1" x14ac:dyDescent="0.35">
      <c r="A117" s="81" t="s">
        <v>421</v>
      </c>
      <c r="B117" s="81" t="s">
        <v>422</v>
      </c>
      <c r="C117">
        <v>1</v>
      </c>
      <c r="E117" s="81" t="s">
        <v>276</v>
      </c>
      <c r="F117" s="32"/>
    </row>
    <row r="118" spans="1:6" ht="12.75" customHeight="1" x14ac:dyDescent="0.35">
      <c r="A118" s="81" t="s">
        <v>423</v>
      </c>
      <c r="B118" s="81" t="s">
        <v>424</v>
      </c>
      <c r="C118">
        <v>1</v>
      </c>
      <c r="E118" s="81" t="s">
        <v>276</v>
      </c>
      <c r="F118" s="32"/>
    </row>
    <row r="119" spans="1:6" ht="12.75" customHeight="1" x14ac:dyDescent="0.35">
      <c r="A119" s="81" t="s">
        <v>425</v>
      </c>
      <c r="B119" s="81" t="s">
        <v>426</v>
      </c>
      <c r="C119">
        <v>1</v>
      </c>
      <c r="E119" s="81" t="s">
        <v>276</v>
      </c>
      <c r="F119" s="32"/>
    </row>
    <row r="120" spans="1:6" ht="12.75" customHeight="1" x14ac:dyDescent="0.35">
      <c r="A120" s="81" t="s">
        <v>427</v>
      </c>
      <c r="B120" s="81" t="s">
        <v>428</v>
      </c>
      <c r="C120">
        <v>1</v>
      </c>
      <c r="E120" s="81" t="s">
        <v>276</v>
      </c>
      <c r="F120" s="32"/>
    </row>
    <row r="121" spans="1:6" ht="12.75" customHeight="1" x14ac:dyDescent="0.35">
      <c r="A121" s="81" t="s">
        <v>429</v>
      </c>
      <c r="B121" s="81" t="s">
        <v>430</v>
      </c>
      <c r="C121">
        <v>1</v>
      </c>
      <c r="E121" s="81" t="s">
        <v>276</v>
      </c>
      <c r="F121" s="32"/>
    </row>
    <row r="122" spans="1:6" ht="12.75" customHeight="1" x14ac:dyDescent="0.35">
      <c r="A122" s="81" t="s">
        <v>431</v>
      </c>
      <c r="B122" s="81" t="s">
        <v>432</v>
      </c>
      <c r="C122">
        <v>1</v>
      </c>
      <c r="E122" s="81" t="s">
        <v>276</v>
      </c>
      <c r="F122" s="32"/>
    </row>
    <row r="123" spans="1:6" ht="12.75" customHeight="1" x14ac:dyDescent="0.35">
      <c r="A123" s="81" t="s">
        <v>433</v>
      </c>
      <c r="B123" s="81" t="s">
        <v>434</v>
      </c>
      <c r="C123">
        <v>1</v>
      </c>
      <c r="E123" s="81" t="s">
        <v>276</v>
      </c>
      <c r="F123" s="32"/>
    </row>
    <row r="124" spans="1:6" ht="12.75" customHeight="1" x14ac:dyDescent="0.35">
      <c r="A124" s="81" t="s">
        <v>435</v>
      </c>
      <c r="B124" s="81" t="s">
        <v>436</v>
      </c>
      <c r="C124">
        <v>1</v>
      </c>
      <c r="E124" s="81" t="s">
        <v>276</v>
      </c>
      <c r="F124" s="32"/>
    </row>
    <row r="125" spans="1:6" ht="12.75" customHeight="1" x14ac:dyDescent="0.35">
      <c r="A125" s="81" t="s">
        <v>437</v>
      </c>
      <c r="B125" s="81" t="s">
        <v>438</v>
      </c>
      <c r="C125">
        <v>1</v>
      </c>
      <c r="E125" s="81" t="s">
        <v>276</v>
      </c>
      <c r="F125" s="32"/>
    </row>
    <row r="126" spans="1:6" ht="12.75" customHeight="1" x14ac:dyDescent="0.35">
      <c r="A126" s="81" t="s">
        <v>439</v>
      </c>
      <c r="B126" s="81" t="s">
        <v>440</v>
      </c>
      <c r="C126">
        <v>1</v>
      </c>
      <c r="E126" s="81" t="s">
        <v>276</v>
      </c>
      <c r="F126" s="32"/>
    </row>
    <row r="127" spans="1:6" ht="12.75" customHeight="1" x14ac:dyDescent="0.35">
      <c r="A127" s="81" t="s">
        <v>441</v>
      </c>
      <c r="B127" s="81" t="s">
        <v>442</v>
      </c>
      <c r="C127">
        <v>1</v>
      </c>
      <c r="E127" s="81" t="s">
        <v>276</v>
      </c>
      <c r="F127" s="32"/>
    </row>
    <row r="128" spans="1:6" ht="12.75" customHeight="1" x14ac:dyDescent="0.35">
      <c r="A128" s="81" t="s">
        <v>443</v>
      </c>
      <c r="B128" s="81" t="s">
        <v>444</v>
      </c>
      <c r="C128">
        <v>1</v>
      </c>
      <c r="E128" s="81" t="s">
        <v>276</v>
      </c>
      <c r="F128" s="32"/>
    </row>
    <row r="129" spans="1:6" ht="12.75" customHeight="1" x14ac:dyDescent="0.35">
      <c r="A129" s="81" t="s">
        <v>445</v>
      </c>
      <c r="B129" s="81" t="s">
        <v>446</v>
      </c>
      <c r="C129">
        <v>1</v>
      </c>
      <c r="E129" s="81" t="s">
        <v>276</v>
      </c>
      <c r="F129" s="32"/>
    </row>
    <row r="130" spans="1:6" ht="12.75" customHeight="1" x14ac:dyDescent="0.35">
      <c r="A130" s="81" t="s">
        <v>447</v>
      </c>
      <c r="B130" s="81" t="s">
        <v>448</v>
      </c>
      <c r="C130">
        <v>1</v>
      </c>
      <c r="E130" s="81" t="s">
        <v>276</v>
      </c>
      <c r="F130" s="32"/>
    </row>
    <row r="131" spans="1:6" ht="12.75" customHeight="1" x14ac:dyDescent="0.35">
      <c r="A131" s="81" t="s">
        <v>449</v>
      </c>
      <c r="B131" s="81" t="s">
        <v>450</v>
      </c>
      <c r="C131">
        <v>1</v>
      </c>
      <c r="E131" s="81" t="s">
        <v>276</v>
      </c>
      <c r="F131" s="32"/>
    </row>
    <row r="132" spans="1:6" ht="12.75" customHeight="1" x14ac:dyDescent="0.35">
      <c r="A132" s="81" t="s">
        <v>451</v>
      </c>
      <c r="B132" s="81" t="s">
        <v>452</v>
      </c>
      <c r="C132">
        <v>1</v>
      </c>
      <c r="E132" s="81" t="s">
        <v>276</v>
      </c>
      <c r="F132" s="32"/>
    </row>
    <row r="133" spans="1:6" ht="12.75" customHeight="1" x14ac:dyDescent="0.35">
      <c r="A133" s="81" t="s">
        <v>453</v>
      </c>
      <c r="B133" s="81" t="s">
        <v>454</v>
      </c>
      <c r="C133">
        <v>1</v>
      </c>
      <c r="E133" s="81" t="s">
        <v>276</v>
      </c>
      <c r="F133" s="32"/>
    </row>
    <row r="134" spans="1:6" ht="12.75" customHeight="1" x14ac:dyDescent="0.35">
      <c r="A134" s="81" t="s">
        <v>455</v>
      </c>
      <c r="B134" s="81" t="s">
        <v>456</v>
      </c>
      <c r="C134">
        <v>1</v>
      </c>
      <c r="E134" s="81" t="s">
        <v>276</v>
      </c>
      <c r="F134" s="32"/>
    </row>
    <row r="135" spans="1:6" ht="12.75" customHeight="1" x14ac:dyDescent="0.35">
      <c r="A135" s="81" t="s">
        <v>457</v>
      </c>
      <c r="B135" s="81" t="s">
        <v>458</v>
      </c>
      <c r="C135">
        <v>1</v>
      </c>
      <c r="E135" s="81" t="s">
        <v>276</v>
      </c>
      <c r="F135" s="32"/>
    </row>
    <row r="136" spans="1:6" ht="12.75" customHeight="1" x14ac:dyDescent="0.35">
      <c r="A136" s="81" t="s">
        <v>459</v>
      </c>
      <c r="B136" s="81" t="s">
        <v>460</v>
      </c>
      <c r="C136">
        <v>1</v>
      </c>
      <c r="E136" s="81" t="s">
        <v>276</v>
      </c>
      <c r="F136" s="32"/>
    </row>
    <row r="137" spans="1:6" ht="12.75" customHeight="1" x14ac:dyDescent="0.35">
      <c r="A137" s="81" t="s">
        <v>461</v>
      </c>
      <c r="B137" s="81" t="s">
        <v>462</v>
      </c>
      <c r="C137">
        <v>1</v>
      </c>
      <c r="E137" s="81" t="s">
        <v>276</v>
      </c>
      <c r="F137" s="32"/>
    </row>
    <row r="138" spans="1:6" ht="12.75" customHeight="1" x14ac:dyDescent="0.35">
      <c r="A138" s="81" t="s">
        <v>463</v>
      </c>
      <c r="B138" s="81" t="s">
        <v>464</v>
      </c>
      <c r="C138">
        <v>1</v>
      </c>
      <c r="E138" s="81" t="s">
        <v>276</v>
      </c>
      <c r="F138" s="32"/>
    </row>
    <row r="139" spans="1:6" ht="12.75" customHeight="1" x14ac:dyDescent="0.35">
      <c r="A139" s="81" t="s">
        <v>465</v>
      </c>
      <c r="B139" s="81" t="s">
        <v>466</v>
      </c>
      <c r="C139">
        <v>1</v>
      </c>
      <c r="E139" s="81" t="s">
        <v>276</v>
      </c>
      <c r="F139" s="32"/>
    </row>
    <row r="140" spans="1:6" ht="12.75" customHeight="1" x14ac:dyDescent="0.35">
      <c r="B140" s="32" t="s">
        <v>242</v>
      </c>
      <c r="E140" s="81"/>
      <c r="F140" s="32"/>
    </row>
    <row r="141" spans="1:6" ht="12.75" customHeight="1" x14ac:dyDescent="0.35">
      <c r="A141" s="83" t="s">
        <v>467</v>
      </c>
      <c r="B141" s="39" t="s">
        <v>468</v>
      </c>
      <c r="C141">
        <v>2</v>
      </c>
      <c r="E141" s="81" t="s">
        <v>276</v>
      </c>
      <c r="F141" s="32"/>
    </row>
    <row r="142" spans="1:6" ht="12.75" customHeight="1" x14ac:dyDescent="0.35">
      <c r="A142" s="83" t="s">
        <v>469</v>
      </c>
      <c r="B142" s="39" t="s">
        <v>470</v>
      </c>
      <c r="C142">
        <v>2</v>
      </c>
      <c r="E142" s="81" t="s">
        <v>276</v>
      </c>
      <c r="F142" s="32"/>
    </row>
    <row r="143" spans="1:6" ht="12.75" customHeight="1" x14ac:dyDescent="0.35">
      <c r="A143" s="83" t="s">
        <v>471</v>
      </c>
      <c r="B143" s="39" t="s">
        <v>472</v>
      </c>
      <c r="C143">
        <v>2</v>
      </c>
      <c r="E143" s="81" t="s">
        <v>276</v>
      </c>
      <c r="F143" s="32"/>
    </row>
    <row r="144" spans="1:6" ht="12.75" customHeight="1" x14ac:dyDescent="0.35">
      <c r="A144" s="83" t="s">
        <v>473</v>
      </c>
      <c r="B144" s="39" t="s">
        <v>474</v>
      </c>
      <c r="C144">
        <v>2</v>
      </c>
      <c r="E144" s="81" t="s">
        <v>276</v>
      </c>
      <c r="F144" s="32"/>
    </row>
    <row r="145" spans="1:6" ht="12.75" customHeight="1" x14ac:dyDescent="0.35">
      <c r="A145" s="83" t="s">
        <v>475</v>
      </c>
      <c r="B145" s="39" t="s">
        <v>476</v>
      </c>
      <c r="C145">
        <v>2</v>
      </c>
      <c r="E145" s="81" t="s">
        <v>276</v>
      </c>
      <c r="F145" s="32"/>
    </row>
    <row r="146" spans="1:6" ht="12.75" customHeight="1" x14ac:dyDescent="0.35">
      <c r="A146" s="83" t="s">
        <v>477</v>
      </c>
      <c r="B146" s="39" t="s">
        <v>478</v>
      </c>
      <c r="C146">
        <v>2</v>
      </c>
      <c r="E146" s="81" t="s">
        <v>276</v>
      </c>
      <c r="F146" s="32"/>
    </row>
    <row r="147" spans="1:6" ht="12.75" customHeight="1" x14ac:dyDescent="0.35">
      <c r="A147" s="83" t="s">
        <v>479</v>
      </c>
      <c r="B147" s="39" t="s">
        <v>480</v>
      </c>
      <c r="C147">
        <v>2</v>
      </c>
      <c r="E147" s="81" t="s">
        <v>276</v>
      </c>
      <c r="F147" s="32"/>
    </row>
    <row r="148" spans="1:6" ht="12.75" customHeight="1" x14ac:dyDescent="0.35">
      <c r="A148" s="83" t="s">
        <v>481</v>
      </c>
      <c r="B148" s="39" t="s">
        <v>482</v>
      </c>
      <c r="C148">
        <v>2</v>
      </c>
      <c r="E148" s="81" t="s">
        <v>276</v>
      </c>
      <c r="F148" s="32"/>
    </row>
    <row r="149" spans="1:6" ht="12.75" customHeight="1" x14ac:dyDescent="0.35">
      <c r="A149" s="83" t="s">
        <v>483</v>
      </c>
      <c r="B149" s="39" t="s">
        <v>484</v>
      </c>
      <c r="C149">
        <v>2</v>
      </c>
      <c r="E149" s="81" t="s">
        <v>276</v>
      </c>
      <c r="F149" s="32"/>
    </row>
    <row r="150" spans="1:6" ht="12.75" customHeight="1" x14ac:dyDescent="0.35">
      <c r="A150" s="83" t="s">
        <v>485</v>
      </c>
      <c r="B150" s="39" t="s">
        <v>486</v>
      </c>
      <c r="C150">
        <v>2</v>
      </c>
      <c r="E150" s="81" t="s">
        <v>276</v>
      </c>
      <c r="F150" s="32"/>
    </row>
    <row r="151" spans="1:6" ht="12.75" customHeight="1" x14ac:dyDescent="0.35">
      <c r="A151" s="83" t="s">
        <v>487</v>
      </c>
      <c r="B151" s="39" t="s">
        <v>488</v>
      </c>
      <c r="C151">
        <v>2</v>
      </c>
      <c r="E151" s="81" t="s">
        <v>276</v>
      </c>
      <c r="F151" s="32"/>
    </row>
    <row r="152" spans="1:6" ht="12.75" customHeight="1" x14ac:dyDescent="0.35">
      <c r="A152" s="83" t="s">
        <v>489</v>
      </c>
      <c r="B152" s="39" t="s">
        <v>490</v>
      </c>
      <c r="C152">
        <v>2</v>
      </c>
      <c r="E152" s="81" t="s">
        <v>276</v>
      </c>
      <c r="F152" s="32"/>
    </row>
    <row r="153" spans="1:6" ht="12.75" customHeight="1" x14ac:dyDescent="0.35">
      <c r="A153" s="83" t="s">
        <v>491</v>
      </c>
      <c r="B153" s="39" t="s">
        <v>492</v>
      </c>
      <c r="C153">
        <v>2</v>
      </c>
      <c r="E153" s="81" t="s">
        <v>276</v>
      </c>
      <c r="F153" s="32"/>
    </row>
    <row r="154" spans="1:6" ht="12.75" customHeight="1" x14ac:dyDescent="0.35">
      <c r="A154" s="83" t="s">
        <v>493</v>
      </c>
      <c r="B154" s="39" t="s">
        <v>494</v>
      </c>
      <c r="C154">
        <v>2</v>
      </c>
      <c r="E154" s="81" t="s">
        <v>276</v>
      </c>
      <c r="F154" s="32"/>
    </row>
    <row r="155" spans="1:6" ht="12.75" customHeight="1" x14ac:dyDescent="0.35">
      <c r="A155" s="83" t="s">
        <v>495</v>
      </c>
      <c r="B155" s="39" t="s">
        <v>496</v>
      </c>
      <c r="C155">
        <v>2</v>
      </c>
      <c r="E155" s="81" t="s">
        <v>276</v>
      </c>
      <c r="F155" s="32"/>
    </row>
    <row r="156" spans="1:6" ht="12.75" customHeight="1" x14ac:dyDescent="0.35">
      <c r="A156" s="83" t="s">
        <v>497</v>
      </c>
      <c r="B156" s="39" t="s">
        <v>498</v>
      </c>
      <c r="C156">
        <v>2</v>
      </c>
      <c r="E156" s="81" t="s">
        <v>276</v>
      </c>
      <c r="F156" s="32"/>
    </row>
    <row r="157" spans="1:6" ht="12.75" customHeight="1" x14ac:dyDescent="0.35">
      <c r="A157" s="83" t="s">
        <v>499</v>
      </c>
      <c r="B157" s="39" t="s">
        <v>500</v>
      </c>
      <c r="C157">
        <v>2</v>
      </c>
      <c r="E157" s="81" t="s">
        <v>276</v>
      </c>
      <c r="F157" s="32"/>
    </row>
    <row r="158" spans="1:6" ht="12.75" customHeight="1" x14ac:dyDescent="0.35">
      <c r="A158" s="83" t="s">
        <v>501</v>
      </c>
      <c r="B158" s="39" t="s">
        <v>502</v>
      </c>
      <c r="C158">
        <v>2</v>
      </c>
      <c r="E158" s="81" t="s">
        <v>276</v>
      </c>
      <c r="F158" s="32"/>
    </row>
    <row r="159" spans="1:6" ht="12.75" customHeight="1" x14ac:dyDescent="0.35">
      <c r="A159" s="83" t="s">
        <v>503</v>
      </c>
      <c r="B159" s="39" t="s">
        <v>504</v>
      </c>
      <c r="C159">
        <v>2</v>
      </c>
      <c r="E159" s="81" t="s">
        <v>276</v>
      </c>
      <c r="F159" s="32"/>
    </row>
    <row r="160" spans="1:6" ht="12.75" customHeight="1" x14ac:dyDescent="0.35">
      <c r="A160" s="83" t="s">
        <v>505</v>
      </c>
      <c r="B160" s="39" t="s">
        <v>506</v>
      </c>
      <c r="C160">
        <v>2</v>
      </c>
      <c r="E160" s="81" t="s">
        <v>276</v>
      </c>
      <c r="F160" s="32"/>
    </row>
    <row r="161" spans="1:6" ht="12.75" customHeight="1" x14ac:dyDescent="0.35">
      <c r="A161" s="83" t="s">
        <v>507</v>
      </c>
      <c r="B161" s="39" t="s">
        <v>508</v>
      </c>
      <c r="C161">
        <v>2</v>
      </c>
      <c r="E161" s="81" t="s">
        <v>276</v>
      </c>
      <c r="F161" s="32"/>
    </row>
    <row r="162" spans="1:6" ht="12.75" customHeight="1" x14ac:dyDescent="0.35">
      <c r="A162" s="83" t="s">
        <v>509</v>
      </c>
      <c r="B162" s="39" t="s">
        <v>510</v>
      </c>
      <c r="C162">
        <v>2</v>
      </c>
      <c r="E162" s="81" t="s">
        <v>276</v>
      </c>
      <c r="F162" s="32"/>
    </row>
    <row r="163" spans="1:6" ht="12.75" customHeight="1" x14ac:dyDescent="0.35">
      <c r="A163" s="83" t="s">
        <v>511</v>
      </c>
      <c r="B163" s="39" t="s">
        <v>512</v>
      </c>
      <c r="C163">
        <v>2</v>
      </c>
      <c r="E163" s="81" t="s">
        <v>276</v>
      </c>
      <c r="F163" s="32"/>
    </row>
    <row r="164" spans="1:6" ht="12.75" customHeight="1" x14ac:dyDescent="0.35">
      <c r="A164" s="83" t="s">
        <v>513</v>
      </c>
      <c r="B164" s="39" t="s">
        <v>514</v>
      </c>
      <c r="C164">
        <v>2</v>
      </c>
      <c r="E164" s="81" t="s">
        <v>276</v>
      </c>
      <c r="F164" s="32"/>
    </row>
    <row r="165" spans="1:6" ht="12.75" customHeight="1" x14ac:dyDescent="0.35">
      <c r="A165" s="83" t="s">
        <v>515</v>
      </c>
      <c r="B165" s="39" t="s">
        <v>516</v>
      </c>
      <c r="C165">
        <v>2</v>
      </c>
      <c r="E165" s="81" t="s">
        <v>276</v>
      </c>
      <c r="F165" s="32"/>
    </row>
    <row r="166" spans="1:6" ht="12.75" customHeight="1" x14ac:dyDescent="0.35">
      <c r="A166" s="83" t="s">
        <v>517</v>
      </c>
      <c r="B166" s="39" t="s">
        <v>518</v>
      </c>
      <c r="C166">
        <v>2</v>
      </c>
      <c r="E166" s="81" t="s">
        <v>276</v>
      </c>
      <c r="F166" s="32"/>
    </row>
    <row r="167" spans="1:6" ht="12.75" customHeight="1" x14ac:dyDescent="0.35">
      <c r="A167" s="83" t="s">
        <v>519</v>
      </c>
      <c r="B167" s="39" t="s">
        <v>520</v>
      </c>
      <c r="C167">
        <v>2</v>
      </c>
      <c r="E167" s="81" t="s">
        <v>276</v>
      </c>
      <c r="F167" s="32"/>
    </row>
    <row r="168" spans="1:6" ht="12.75" customHeight="1" x14ac:dyDescent="0.35">
      <c r="A168" s="83" t="s">
        <v>521</v>
      </c>
      <c r="B168" s="39" t="s">
        <v>522</v>
      </c>
      <c r="C168">
        <v>2</v>
      </c>
      <c r="E168" s="81" t="s">
        <v>276</v>
      </c>
      <c r="F168" s="32"/>
    </row>
    <row r="169" spans="1:6" ht="12.75" customHeight="1" x14ac:dyDescent="0.35">
      <c r="A169" s="83" t="s">
        <v>523</v>
      </c>
      <c r="B169" s="39" t="s">
        <v>524</v>
      </c>
      <c r="C169">
        <v>2</v>
      </c>
      <c r="E169" s="81" t="s">
        <v>276</v>
      </c>
      <c r="F169" s="32"/>
    </row>
    <row r="170" spans="1:6" ht="12.75" customHeight="1" x14ac:dyDescent="0.35">
      <c r="A170" s="83" t="s">
        <v>525</v>
      </c>
      <c r="B170" s="39" t="s">
        <v>526</v>
      </c>
      <c r="C170">
        <v>2</v>
      </c>
      <c r="E170" s="81" t="s">
        <v>276</v>
      </c>
      <c r="F170" s="32"/>
    </row>
    <row r="171" spans="1:6" ht="12.75" customHeight="1" x14ac:dyDescent="0.35">
      <c r="A171" s="83" t="s">
        <v>527</v>
      </c>
      <c r="B171" s="39" t="s">
        <v>528</v>
      </c>
      <c r="C171">
        <v>2</v>
      </c>
      <c r="E171" s="81" t="s">
        <v>276</v>
      </c>
      <c r="F171" s="32"/>
    </row>
    <row r="172" spans="1:6" ht="12.75" customHeight="1" x14ac:dyDescent="0.35">
      <c r="A172" s="83" t="s">
        <v>529</v>
      </c>
      <c r="B172" s="39" t="s">
        <v>530</v>
      </c>
      <c r="C172">
        <v>2</v>
      </c>
      <c r="E172" s="81" t="s">
        <v>276</v>
      </c>
      <c r="F172" s="32"/>
    </row>
    <row r="173" spans="1:6" ht="12.75" customHeight="1" x14ac:dyDescent="0.35">
      <c r="A173" s="83" t="s">
        <v>531</v>
      </c>
      <c r="B173" s="39" t="s">
        <v>532</v>
      </c>
      <c r="C173">
        <v>2</v>
      </c>
      <c r="E173" s="81" t="s">
        <v>276</v>
      </c>
      <c r="F173" s="32"/>
    </row>
    <row r="174" spans="1:6" ht="12.75" customHeight="1" x14ac:dyDescent="0.35">
      <c r="A174" s="83" t="s">
        <v>533</v>
      </c>
      <c r="B174" s="39" t="s">
        <v>534</v>
      </c>
      <c r="C174">
        <v>2</v>
      </c>
      <c r="E174" s="81" t="s">
        <v>276</v>
      </c>
      <c r="F174" s="32"/>
    </row>
    <row r="175" spans="1:6" ht="12.75" customHeight="1" x14ac:dyDescent="0.35">
      <c r="A175" s="83" t="s">
        <v>535</v>
      </c>
      <c r="B175" s="39" t="s">
        <v>536</v>
      </c>
      <c r="C175">
        <v>2</v>
      </c>
      <c r="E175" s="81" t="s">
        <v>276</v>
      </c>
      <c r="F175" s="32"/>
    </row>
    <row r="176" spans="1:6" ht="12.75" customHeight="1" x14ac:dyDescent="0.35">
      <c r="A176" s="83" t="s">
        <v>537</v>
      </c>
      <c r="B176" s="39" t="s">
        <v>538</v>
      </c>
      <c r="C176">
        <v>2</v>
      </c>
      <c r="E176" s="81" t="s">
        <v>276</v>
      </c>
      <c r="F176" s="32"/>
    </row>
    <row r="177" spans="1:6" ht="12.75" customHeight="1" x14ac:dyDescent="0.35">
      <c r="A177" s="83" t="s">
        <v>539</v>
      </c>
      <c r="B177" s="39" t="s">
        <v>540</v>
      </c>
      <c r="C177">
        <v>2</v>
      </c>
      <c r="E177" s="81" t="s">
        <v>276</v>
      </c>
      <c r="F177" s="32"/>
    </row>
    <row r="178" spans="1:6" ht="12.75" customHeight="1" x14ac:dyDescent="0.35">
      <c r="A178" s="83" t="s">
        <v>541</v>
      </c>
      <c r="B178" s="39" t="s">
        <v>542</v>
      </c>
      <c r="C178">
        <v>2</v>
      </c>
      <c r="E178" s="81" t="s">
        <v>276</v>
      </c>
      <c r="F178" s="32"/>
    </row>
    <row r="179" spans="1:6" ht="12.75" customHeight="1" x14ac:dyDescent="0.35">
      <c r="A179" s="83" t="s">
        <v>543</v>
      </c>
      <c r="B179" s="39" t="s">
        <v>544</v>
      </c>
      <c r="C179">
        <v>2</v>
      </c>
      <c r="E179" s="81" t="s">
        <v>276</v>
      </c>
      <c r="F179" s="32"/>
    </row>
    <row r="180" spans="1:6" ht="12.75" customHeight="1" x14ac:dyDescent="0.35">
      <c r="A180" s="83" t="s">
        <v>545</v>
      </c>
      <c r="B180" s="39" t="s">
        <v>546</v>
      </c>
      <c r="C180">
        <v>2</v>
      </c>
      <c r="E180" s="81" t="s">
        <v>276</v>
      </c>
      <c r="F180" s="32"/>
    </row>
    <row r="181" spans="1:6" ht="12.75" customHeight="1" x14ac:dyDescent="0.35">
      <c r="A181" s="83" t="s">
        <v>547</v>
      </c>
      <c r="B181" s="39" t="s">
        <v>548</v>
      </c>
      <c r="C181">
        <v>2</v>
      </c>
      <c r="E181" s="81" t="s">
        <v>276</v>
      </c>
      <c r="F181" s="32"/>
    </row>
    <row r="182" spans="1:6" ht="12.75" customHeight="1" x14ac:dyDescent="0.35">
      <c r="A182" s="83" t="s">
        <v>549</v>
      </c>
      <c r="B182" s="39" t="s">
        <v>550</v>
      </c>
      <c r="C182">
        <v>2</v>
      </c>
      <c r="E182" s="81" t="s">
        <v>276</v>
      </c>
      <c r="F182" s="32"/>
    </row>
    <row r="183" spans="1:6" ht="12.75" customHeight="1" x14ac:dyDescent="0.35">
      <c r="A183" s="83" t="s">
        <v>551</v>
      </c>
      <c r="B183" s="39" t="s">
        <v>552</v>
      </c>
      <c r="C183">
        <v>2</v>
      </c>
      <c r="E183" s="81" t="s">
        <v>276</v>
      </c>
      <c r="F183" s="32"/>
    </row>
    <row r="184" spans="1:6" ht="12.75" customHeight="1" x14ac:dyDescent="0.35">
      <c r="A184" s="83" t="s">
        <v>553</v>
      </c>
      <c r="B184" s="39" t="s">
        <v>554</v>
      </c>
      <c r="C184">
        <v>2</v>
      </c>
      <c r="E184" s="81" t="s">
        <v>276</v>
      </c>
      <c r="F184" s="32"/>
    </row>
    <row r="185" spans="1:6" ht="12.75" customHeight="1" x14ac:dyDescent="0.35">
      <c r="A185" s="83" t="s">
        <v>555</v>
      </c>
      <c r="B185" s="39" t="s">
        <v>556</v>
      </c>
      <c r="C185">
        <v>2</v>
      </c>
      <c r="E185" s="81" t="s">
        <v>276</v>
      </c>
      <c r="F185" s="32"/>
    </row>
    <row r="186" spans="1:6" ht="12.75" customHeight="1" x14ac:dyDescent="0.35">
      <c r="A186" s="83" t="s">
        <v>557</v>
      </c>
      <c r="B186" s="39" t="s">
        <v>558</v>
      </c>
      <c r="C186">
        <v>2</v>
      </c>
      <c r="E186" s="81" t="s">
        <v>276</v>
      </c>
      <c r="F186" s="32"/>
    </row>
    <row r="187" spans="1:6" ht="12.75" customHeight="1" x14ac:dyDescent="0.35">
      <c r="A187" s="83" t="s">
        <v>559</v>
      </c>
      <c r="B187" s="39" t="s">
        <v>560</v>
      </c>
      <c r="C187">
        <v>2</v>
      </c>
      <c r="E187" s="81" t="s">
        <v>276</v>
      </c>
      <c r="F187" s="32"/>
    </row>
    <row r="188" spans="1:6" ht="12.75" customHeight="1" x14ac:dyDescent="0.35">
      <c r="A188" s="83" t="s">
        <v>561</v>
      </c>
      <c r="B188" s="39" t="s">
        <v>562</v>
      </c>
      <c r="C188">
        <v>2</v>
      </c>
      <c r="E188" s="81" t="s">
        <v>276</v>
      </c>
      <c r="F188" s="32"/>
    </row>
    <row r="189" spans="1:6" ht="12.75" customHeight="1" x14ac:dyDescent="0.35">
      <c r="A189" s="83" t="s">
        <v>563</v>
      </c>
      <c r="B189" s="39" t="s">
        <v>564</v>
      </c>
      <c r="C189">
        <v>2</v>
      </c>
      <c r="E189" s="81" t="s">
        <v>276</v>
      </c>
      <c r="F189" s="32"/>
    </row>
    <row r="190" spans="1:6" ht="12.75" customHeight="1" x14ac:dyDescent="0.35">
      <c r="A190" s="83" t="s">
        <v>565</v>
      </c>
      <c r="B190" s="39" t="s">
        <v>566</v>
      </c>
      <c r="C190">
        <v>2</v>
      </c>
      <c r="E190" s="81" t="s">
        <v>276</v>
      </c>
      <c r="F190" s="32"/>
    </row>
    <row r="191" spans="1:6" ht="12.75" customHeight="1" x14ac:dyDescent="0.35">
      <c r="A191" s="83" t="s">
        <v>567</v>
      </c>
      <c r="B191" s="39" t="s">
        <v>568</v>
      </c>
      <c r="C191">
        <v>2</v>
      </c>
      <c r="E191" s="81" t="s">
        <v>276</v>
      </c>
      <c r="F191" s="32"/>
    </row>
    <row r="192" spans="1:6" ht="12.75" customHeight="1" x14ac:dyDescent="0.35">
      <c r="A192" s="83" t="s">
        <v>569</v>
      </c>
      <c r="B192" s="39" t="s">
        <v>570</v>
      </c>
      <c r="C192">
        <v>2</v>
      </c>
      <c r="E192" s="81" t="s">
        <v>276</v>
      </c>
      <c r="F192" s="32"/>
    </row>
    <row r="193" spans="1:6" ht="12.75" customHeight="1" x14ac:dyDescent="0.35">
      <c r="A193" s="83" t="s">
        <v>571</v>
      </c>
      <c r="B193" s="39" t="s">
        <v>572</v>
      </c>
      <c r="C193">
        <v>2</v>
      </c>
      <c r="E193" s="81" t="s">
        <v>276</v>
      </c>
      <c r="F193" s="32"/>
    </row>
    <row r="194" spans="1:6" ht="12.75" customHeight="1" x14ac:dyDescent="0.35">
      <c r="A194" s="83" t="s">
        <v>573</v>
      </c>
      <c r="B194" s="39" t="s">
        <v>574</v>
      </c>
      <c r="C194">
        <v>2</v>
      </c>
      <c r="E194" s="81" t="s">
        <v>276</v>
      </c>
      <c r="F194" s="32"/>
    </row>
    <row r="195" spans="1:6" ht="12.75" customHeight="1" x14ac:dyDescent="0.35">
      <c r="A195" s="83" t="s">
        <v>575</v>
      </c>
      <c r="B195" s="39" t="s">
        <v>576</v>
      </c>
      <c r="C195">
        <v>2</v>
      </c>
      <c r="E195" s="81" t="s">
        <v>276</v>
      </c>
      <c r="F195" s="32"/>
    </row>
    <row r="196" spans="1:6" ht="12.75" customHeight="1" x14ac:dyDescent="0.35">
      <c r="A196" s="83" t="s">
        <v>577</v>
      </c>
      <c r="B196" s="39" t="s">
        <v>578</v>
      </c>
      <c r="C196">
        <v>2</v>
      </c>
      <c r="E196" s="81" t="s">
        <v>276</v>
      </c>
      <c r="F196" s="32"/>
    </row>
    <row r="197" spans="1:6" ht="12.75" customHeight="1" x14ac:dyDescent="0.35">
      <c r="A197" s="83" t="s">
        <v>579</v>
      </c>
      <c r="B197" s="39" t="s">
        <v>580</v>
      </c>
      <c r="C197">
        <v>2</v>
      </c>
      <c r="E197" s="81" t="s">
        <v>276</v>
      </c>
      <c r="F197" s="32"/>
    </row>
    <row r="198" spans="1:6" ht="12.75" customHeight="1" x14ac:dyDescent="0.35">
      <c r="A198" s="83" t="s">
        <v>581</v>
      </c>
      <c r="B198" s="39" t="s">
        <v>582</v>
      </c>
      <c r="C198">
        <v>2</v>
      </c>
      <c r="E198" s="81" t="s">
        <v>276</v>
      </c>
      <c r="F198" s="32"/>
    </row>
    <row r="199" spans="1:6" ht="12.75" customHeight="1" x14ac:dyDescent="0.35">
      <c r="A199" s="83" t="s">
        <v>583</v>
      </c>
      <c r="B199" s="39" t="s">
        <v>584</v>
      </c>
      <c r="C199">
        <v>2</v>
      </c>
      <c r="E199" s="81" t="s">
        <v>276</v>
      </c>
      <c r="F199" s="32"/>
    </row>
    <row r="200" spans="1:6" ht="12.75" customHeight="1" x14ac:dyDescent="0.35">
      <c r="A200" s="83" t="s">
        <v>585</v>
      </c>
      <c r="B200" s="39" t="s">
        <v>586</v>
      </c>
      <c r="C200">
        <v>2</v>
      </c>
      <c r="E200" s="81" t="s">
        <v>276</v>
      </c>
      <c r="F200" s="32"/>
    </row>
    <row r="201" spans="1:6" ht="12.75" customHeight="1" x14ac:dyDescent="0.35">
      <c r="A201" s="83" t="s">
        <v>587</v>
      </c>
      <c r="B201" s="39" t="s">
        <v>588</v>
      </c>
      <c r="C201">
        <v>2</v>
      </c>
      <c r="E201" s="81" t="s">
        <v>276</v>
      </c>
      <c r="F201" s="32"/>
    </row>
    <row r="202" spans="1:6" ht="12.75" customHeight="1" x14ac:dyDescent="0.35">
      <c r="A202" s="83" t="s">
        <v>589</v>
      </c>
      <c r="B202" s="39" t="s">
        <v>590</v>
      </c>
      <c r="C202">
        <v>2</v>
      </c>
      <c r="E202" s="81" t="s">
        <v>276</v>
      </c>
      <c r="F202" s="32"/>
    </row>
    <row r="203" spans="1:6" ht="12.75" customHeight="1" x14ac:dyDescent="0.35">
      <c r="A203" s="83" t="s">
        <v>591</v>
      </c>
      <c r="B203" s="39" t="s">
        <v>592</v>
      </c>
      <c r="C203">
        <v>2</v>
      </c>
      <c r="E203" s="81" t="s">
        <v>276</v>
      </c>
      <c r="F203" s="32"/>
    </row>
    <row r="204" spans="1:6" ht="12.75" customHeight="1" x14ac:dyDescent="0.35">
      <c r="A204" s="83" t="s">
        <v>593</v>
      </c>
      <c r="B204" s="39" t="s">
        <v>594</v>
      </c>
      <c r="C204">
        <v>2</v>
      </c>
      <c r="E204" s="81" t="s">
        <v>276</v>
      </c>
      <c r="F204" s="32"/>
    </row>
    <row r="205" spans="1:6" ht="12.75" customHeight="1" x14ac:dyDescent="0.35">
      <c r="A205" s="83" t="s">
        <v>595</v>
      </c>
      <c r="B205" s="39" t="s">
        <v>596</v>
      </c>
      <c r="C205">
        <v>2</v>
      </c>
      <c r="E205" s="81" t="s">
        <v>276</v>
      </c>
      <c r="F205" s="32"/>
    </row>
    <row r="206" spans="1:6" ht="12.75" customHeight="1" x14ac:dyDescent="0.35">
      <c r="A206" s="83" t="s">
        <v>597</v>
      </c>
      <c r="B206" s="39" t="s">
        <v>598</v>
      </c>
      <c r="C206">
        <v>2</v>
      </c>
      <c r="E206" s="81" t="s">
        <v>276</v>
      </c>
      <c r="F206" s="32"/>
    </row>
    <row r="207" spans="1:6" ht="12.75" customHeight="1" x14ac:dyDescent="0.35">
      <c r="A207" s="83" t="s">
        <v>599</v>
      </c>
      <c r="B207" s="39" t="s">
        <v>600</v>
      </c>
      <c r="C207">
        <v>2</v>
      </c>
      <c r="E207" s="81" t="s">
        <v>276</v>
      </c>
      <c r="F207" s="32"/>
    </row>
    <row r="208" spans="1:6" ht="12.75" customHeight="1" x14ac:dyDescent="0.35">
      <c r="A208" s="83" t="s">
        <v>601</v>
      </c>
      <c r="B208" s="39" t="s">
        <v>602</v>
      </c>
      <c r="C208">
        <v>2</v>
      </c>
      <c r="E208" s="81" t="s">
        <v>276</v>
      </c>
      <c r="F208" s="32"/>
    </row>
    <row r="209" spans="1:6" ht="12.75" customHeight="1" x14ac:dyDescent="0.35">
      <c r="A209" s="83" t="s">
        <v>603</v>
      </c>
      <c r="B209" s="39" t="s">
        <v>604</v>
      </c>
      <c r="C209">
        <v>2</v>
      </c>
      <c r="E209" s="81" t="s">
        <v>276</v>
      </c>
      <c r="F209" s="32"/>
    </row>
    <row r="210" spans="1:6" ht="12.75" customHeight="1" x14ac:dyDescent="0.35">
      <c r="A210" s="83" t="s">
        <v>605</v>
      </c>
      <c r="B210" s="39" t="s">
        <v>606</v>
      </c>
      <c r="C210">
        <v>2</v>
      </c>
      <c r="E210" s="81" t="s">
        <v>276</v>
      </c>
      <c r="F210" s="32"/>
    </row>
    <row r="211" spans="1:6" ht="12.75" customHeight="1" x14ac:dyDescent="0.35">
      <c r="A211" s="83" t="s">
        <v>607</v>
      </c>
      <c r="B211" s="39" t="s">
        <v>336</v>
      </c>
      <c r="C211">
        <v>2</v>
      </c>
      <c r="E211" s="81" t="s">
        <v>276</v>
      </c>
      <c r="F211" s="32"/>
    </row>
    <row r="212" spans="1:6" ht="12.75" customHeight="1" x14ac:dyDescent="0.35">
      <c r="A212" s="83" t="s">
        <v>608</v>
      </c>
      <c r="B212" s="39" t="s">
        <v>609</v>
      </c>
      <c r="C212">
        <v>2</v>
      </c>
      <c r="E212" s="81" t="s">
        <v>276</v>
      </c>
      <c r="F212" s="32"/>
    </row>
    <row r="213" spans="1:6" ht="12.75" customHeight="1" x14ac:dyDescent="0.35">
      <c r="A213" s="83" t="s">
        <v>610</v>
      </c>
      <c r="B213" s="39" t="s">
        <v>611</v>
      </c>
      <c r="C213">
        <v>2</v>
      </c>
      <c r="E213" s="81" t="s">
        <v>276</v>
      </c>
      <c r="F213" s="32"/>
    </row>
    <row r="214" spans="1:6" ht="12.75" customHeight="1" x14ac:dyDescent="0.35">
      <c r="A214" s="83" t="s">
        <v>612</v>
      </c>
      <c r="B214" s="39" t="s">
        <v>613</v>
      </c>
      <c r="C214">
        <v>2</v>
      </c>
      <c r="E214" s="81" t="s">
        <v>276</v>
      </c>
      <c r="F214" s="32"/>
    </row>
    <row r="215" spans="1:6" ht="12.75" customHeight="1" x14ac:dyDescent="0.35">
      <c r="A215" s="83" t="s">
        <v>614</v>
      </c>
      <c r="B215" s="39" t="s">
        <v>615</v>
      </c>
      <c r="C215">
        <v>2</v>
      </c>
      <c r="E215" s="81" t="s">
        <v>276</v>
      </c>
      <c r="F215" s="32"/>
    </row>
    <row r="216" spans="1:6" ht="12.75" customHeight="1" x14ac:dyDescent="0.35">
      <c r="A216" s="83" t="s">
        <v>616</v>
      </c>
      <c r="B216" s="39" t="s">
        <v>617</v>
      </c>
      <c r="C216">
        <v>2</v>
      </c>
      <c r="E216" s="81" t="s">
        <v>276</v>
      </c>
      <c r="F216" s="32"/>
    </row>
    <row r="217" spans="1:6" ht="12.75" customHeight="1" x14ac:dyDescent="0.35">
      <c r="A217" s="83" t="s">
        <v>618</v>
      </c>
      <c r="B217" s="39" t="s">
        <v>619</v>
      </c>
      <c r="C217">
        <v>2</v>
      </c>
      <c r="E217" s="81" t="s">
        <v>276</v>
      </c>
      <c r="F217" s="32"/>
    </row>
    <row r="218" spans="1:6" ht="12.75" customHeight="1" x14ac:dyDescent="0.35">
      <c r="A218" s="83" t="s">
        <v>620</v>
      </c>
      <c r="B218" s="39" t="s">
        <v>621</v>
      </c>
      <c r="C218">
        <v>2</v>
      </c>
      <c r="E218" s="81" t="s">
        <v>276</v>
      </c>
      <c r="F218" s="32"/>
    </row>
    <row r="219" spans="1:6" ht="12.75" customHeight="1" x14ac:dyDescent="0.35">
      <c r="A219" s="83" t="s">
        <v>622</v>
      </c>
      <c r="B219" s="39" t="s">
        <v>320</v>
      </c>
      <c r="C219">
        <v>2</v>
      </c>
      <c r="E219" s="81" t="s">
        <v>276</v>
      </c>
      <c r="F219" s="32"/>
    </row>
    <row r="220" spans="1:6" ht="12.75" customHeight="1" x14ac:dyDescent="0.35">
      <c r="A220" s="83" t="s">
        <v>623</v>
      </c>
      <c r="B220" s="39" t="s">
        <v>624</v>
      </c>
      <c r="C220">
        <v>2</v>
      </c>
      <c r="E220" s="81" t="s">
        <v>276</v>
      </c>
      <c r="F220" s="32"/>
    </row>
    <row r="221" spans="1:6" ht="12.75" customHeight="1" x14ac:dyDescent="0.35">
      <c r="A221" s="83" t="s">
        <v>625</v>
      </c>
      <c r="B221" s="39" t="s">
        <v>626</v>
      </c>
      <c r="C221">
        <v>2</v>
      </c>
      <c r="E221" s="81" t="s">
        <v>276</v>
      </c>
      <c r="F221" s="32"/>
    </row>
    <row r="222" spans="1:6" ht="12.75" customHeight="1" x14ac:dyDescent="0.35">
      <c r="A222" s="83" t="s">
        <v>627</v>
      </c>
      <c r="B222" s="39" t="s">
        <v>628</v>
      </c>
      <c r="C222">
        <v>2</v>
      </c>
      <c r="E222" s="81" t="s">
        <v>276</v>
      </c>
      <c r="F222" s="32"/>
    </row>
    <row r="223" spans="1:6" ht="12.75" customHeight="1" x14ac:dyDescent="0.35">
      <c r="A223" s="83" t="s">
        <v>629</v>
      </c>
      <c r="B223" s="39" t="s">
        <v>630</v>
      </c>
      <c r="C223">
        <v>2</v>
      </c>
      <c r="E223" s="81" t="s">
        <v>276</v>
      </c>
      <c r="F223" s="32"/>
    </row>
    <row r="224" spans="1:6" ht="12.75" customHeight="1" x14ac:dyDescent="0.35">
      <c r="A224" s="83" t="s">
        <v>631</v>
      </c>
      <c r="B224" s="39" t="s">
        <v>632</v>
      </c>
      <c r="C224">
        <v>2</v>
      </c>
      <c r="E224" s="81" t="s">
        <v>276</v>
      </c>
      <c r="F224" s="32"/>
    </row>
    <row r="225" spans="1:6" ht="12.75" customHeight="1" x14ac:dyDescent="0.35">
      <c r="A225" s="83" t="s">
        <v>633</v>
      </c>
      <c r="B225" s="39" t="s">
        <v>634</v>
      </c>
      <c r="C225">
        <v>2</v>
      </c>
      <c r="E225" s="81" t="s">
        <v>276</v>
      </c>
      <c r="F225" s="32"/>
    </row>
    <row r="226" spans="1:6" ht="12.75" customHeight="1" x14ac:dyDescent="0.35">
      <c r="A226" s="83" t="s">
        <v>635</v>
      </c>
      <c r="B226" s="39" t="s">
        <v>636</v>
      </c>
      <c r="C226">
        <v>2</v>
      </c>
      <c r="E226" s="81" t="s">
        <v>276</v>
      </c>
      <c r="F226" s="32"/>
    </row>
    <row r="227" spans="1:6" ht="12.75" customHeight="1" x14ac:dyDescent="0.35">
      <c r="A227" s="83" t="s">
        <v>637</v>
      </c>
      <c r="B227" s="39" t="s">
        <v>638</v>
      </c>
      <c r="C227">
        <v>2</v>
      </c>
      <c r="E227" s="81" t="s">
        <v>276</v>
      </c>
      <c r="F227" s="32"/>
    </row>
    <row r="228" spans="1:6" ht="12.75" customHeight="1" x14ac:dyDescent="0.35">
      <c r="A228" s="83" t="s">
        <v>639</v>
      </c>
      <c r="B228" s="39" t="s">
        <v>640</v>
      </c>
      <c r="C228">
        <v>2</v>
      </c>
      <c r="E228" s="81" t="s">
        <v>276</v>
      </c>
      <c r="F228" s="32"/>
    </row>
    <row r="229" spans="1:6" ht="12.75" customHeight="1" x14ac:dyDescent="0.35">
      <c r="A229" s="83" t="s">
        <v>641</v>
      </c>
      <c r="B229" s="39" t="s">
        <v>642</v>
      </c>
      <c r="C229">
        <v>2</v>
      </c>
      <c r="E229" s="81" t="s">
        <v>276</v>
      </c>
      <c r="F229" s="32"/>
    </row>
    <row r="230" spans="1:6" ht="12.75" customHeight="1" x14ac:dyDescent="0.35">
      <c r="A230" s="83" t="s">
        <v>643</v>
      </c>
      <c r="B230" s="39" t="s">
        <v>644</v>
      </c>
      <c r="C230">
        <v>2</v>
      </c>
      <c r="E230" s="81" t="s">
        <v>276</v>
      </c>
      <c r="F230" s="32"/>
    </row>
    <row r="231" spans="1:6" ht="12.75" customHeight="1" x14ac:dyDescent="0.35">
      <c r="A231" s="83" t="s">
        <v>645</v>
      </c>
      <c r="B231" s="39" t="s">
        <v>646</v>
      </c>
      <c r="C231">
        <v>2</v>
      </c>
      <c r="E231" s="81" t="s">
        <v>276</v>
      </c>
      <c r="F231" s="32"/>
    </row>
    <row r="232" spans="1:6" ht="12.75" customHeight="1" x14ac:dyDescent="0.35">
      <c r="A232" s="83" t="s">
        <v>647</v>
      </c>
      <c r="B232" s="39" t="s">
        <v>648</v>
      </c>
      <c r="C232">
        <v>2</v>
      </c>
      <c r="E232" s="81" t="s">
        <v>276</v>
      </c>
      <c r="F232" s="32"/>
    </row>
    <row r="233" spans="1:6" ht="12.75" customHeight="1" x14ac:dyDescent="0.35">
      <c r="A233" s="83" t="s">
        <v>649</v>
      </c>
      <c r="B233" s="39" t="s">
        <v>650</v>
      </c>
      <c r="C233">
        <v>2</v>
      </c>
      <c r="E233" s="81" t="s">
        <v>276</v>
      </c>
      <c r="F233" s="32"/>
    </row>
    <row r="234" spans="1:6" ht="12.75" customHeight="1" x14ac:dyDescent="0.35">
      <c r="A234" s="83" t="s">
        <v>651</v>
      </c>
      <c r="B234" s="39" t="s">
        <v>652</v>
      </c>
      <c r="C234">
        <v>2</v>
      </c>
      <c r="E234" s="81" t="s">
        <v>276</v>
      </c>
      <c r="F234" s="32"/>
    </row>
    <row r="235" spans="1:6" ht="12.75" customHeight="1" x14ac:dyDescent="0.35">
      <c r="A235" s="83" t="s">
        <v>653</v>
      </c>
      <c r="B235" s="39" t="s">
        <v>654</v>
      </c>
      <c r="C235">
        <v>2</v>
      </c>
      <c r="E235" s="81" t="s">
        <v>276</v>
      </c>
      <c r="F235" s="32"/>
    </row>
    <row r="236" spans="1:6" ht="12.75" customHeight="1" x14ac:dyDescent="0.35">
      <c r="A236" s="83" t="s">
        <v>655</v>
      </c>
      <c r="B236" s="39" t="s">
        <v>656</v>
      </c>
      <c r="C236">
        <v>2</v>
      </c>
      <c r="E236" s="81" t="s">
        <v>276</v>
      </c>
      <c r="F236" s="32"/>
    </row>
    <row r="237" spans="1:6" ht="12.75" customHeight="1" x14ac:dyDescent="0.35">
      <c r="B237" s="32" t="s">
        <v>242</v>
      </c>
      <c r="F237" s="32"/>
    </row>
    <row r="238" spans="1:6" ht="12.75" customHeight="1" x14ac:dyDescent="0.35">
      <c r="A238" s="32" t="s">
        <v>657</v>
      </c>
      <c r="B238" s="32" t="s">
        <v>658</v>
      </c>
      <c r="C238">
        <v>1</v>
      </c>
      <c r="E238" s="81" t="s">
        <v>659</v>
      </c>
      <c r="F238" s="32"/>
    </row>
    <row r="239" spans="1:6" ht="12.75" customHeight="1" x14ac:dyDescent="0.35">
      <c r="A239" s="32" t="s">
        <v>660</v>
      </c>
      <c r="B239" s="32" t="s">
        <v>661</v>
      </c>
      <c r="C239">
        <v>1</v>
      </c>
      <c r="E239" s="81" t="s">
        <v>659</v>
      </c>
      <c r="F239" s="32"/>
    </row>
    <row r="240" spans="1:6" ht="12.75" customHeight="1" x14ac:dyDescent="0.35">
      <c r="A240" s="32" t="s">
        <v>662</v>
      </c>
      <c r="B240" s="32" t="s">
        <v>663</v>
      </c>
      <c r="C240">
        <v>1</v>
      </c>
      <c r="E240" s="81" t="s">
        <v>659</v>
      </c>
      <c r="F240" s="32"/>
    </row>
    <row r="241" spans="1:6" ht="12.75" customHeight="1" x14ac:dyDescent="0.35">
      <c r="A241" s="32" t="s">
        <v>664</v>
      </c>
      <c r="B241" s="32" t="s">
        <v>665</v>
      </c>
      <c r="C241">
        <v>1</v>
      </c>
      <c r="E241" s="81" t="s">
        <v>659</v>
      </c>
      <c r="F241" s="32"/>
    </row>
    <row r="242" spans="1:6" ht="12.75" customHeight="1" x14ac:dyDescent="0.35">
      <c r="A242" s="32" t="s">
        <v>666</v>
      </c>
      <c r="B242" s="32" t="s">
        <v>667</v>
      </c>
      <c r="C242">
        <v>1</v>
      </c>
      <c r="E242" s="81" t="s">
        <v>659</v>
      </c>
      <c r="F242" s="32"/>
    </row>
    <row r="243" spans="1:6" ht="12.75" customHeight="1" x14ac:dyDescent="0.35">
      <c r="A243" s="32" t="s">
        <v>668</v>
      </c>
      <c r="B243" s="32" t="s">
        <v>669</v>
      </c>
      <c r="C243">
        <v>1</v>
      </c>
      <c r="E243" s="81" t="s">
        <v>659</v>
      </c>
      <c r="F243" s="32"/>
    </row>
    <row r="244" spans="1:6" ht="12.75" customHeight="1" x14ac:dyDescent="0.35">
      <c r="A244" s="32" t="s">
        <v>670</v>
      </c>
      <c r="B244" s="32" t="s">
        <v>671</v>
      </c>
      <c r="C244">
        <v>1</v>
      </c>
      <c r="E244" s="81" t="s">
        <v>659</v>
      </c>
      <c r="F244" s="32"/>
    </row>
    <row r="245" spans="1:6" ht="12.75" customHeight="1" x14ac:dyDescent="0.35">
      <c r="A245" s="32" t="s">
        <v>672</v>
      </c>
      <c r="B245" s="32" t="s">
        <v>673</v>
      </c>
      <c r="C245">
        <v>1</v>
      </c>
      <c r="E245" s="81" t="s">
        <v>659</v>
      </c>
      <c r="F245" s="32"/>
    </row>
    <row r="246" spans="1:6" ht="12.75" customHeight="1" x14ac:dyDescent="0.35">
      <c r="A246" s="32" t="s">
        <v>674</v>
      </c>
      <c r="B246" s="32" t="s">
        <v>231</v>
      </c>
      <c r="C246">
        <v>1</v>
      </c>
      <c r="E246" s="81" t="s">
        <v>659</v>
      </c>
      <c r="F246" s="32"/>
    </row>
    <row r="247" spans="1:6" ht="12.75" customHeight="1" x14ac:dyDescent="0.35">
      <c r="A247" s="32" t="s">
        <v>675</v>
      </c>
      <c r="B247" s="32" t="s">
        <v>676</v>
      </c>
      <c r="C247">
        <v>1</v>
      </c>
      <c r="E247" s="81" t="s">
        <v>659</v>
      </c>
      <c r="F247" s="32"/>
    </row>
    <row r="248" spans="1:6" ht="12.75" customHeight="1" x14ac:dyDescent="0.35">
      <c r="A248" s="32" t="s">
        <v>677</v>
      </c>
      <c r="B248" s="32" t="s">
        <v>678</v>
      </c>
      <c r="C248">
        <v>1</v>
      </c>
      <c r="E248" s="81" t="s">
        <v>659</v>
      </c>
      <c r="F248" s="32"/>
    </row>
    <row r="249" spans="1:6" ht="12.75" customHeight="1" x14ac:dyDescent="0.35">
      <c r="A249" s="32" t="s">
        <v>679</v>
      </c>
      <c r="B249" s="32" t="s">
        <v>680</v>
      </c>
      <c r="C249">
        <v>1</v>
      </c>
      <c r="E249" s="81" t="s">
        <v>659</v>
      </c>
      <c r="F249" s="32"/>
    </row>
    <row r="250" spans="1:6" ht="12.75" customHeight="1" x14ac:dyDescent="0.35">
      <c r="A250" s="32" t="s">
        <v>681</v>
      </c>
      <c r="B250" s="32" t="s">
        <v>682</v>
      </c>
      <c r="C250">
        <v>1</v>
      </c>
      <c r="E250" s="81" t="s">
        <v>659</v>
      </c>
      <c r="F250" s="32"/>
    </row>
    <row r="251" spans="1:6" ht="12.75" customHeight="1" x14ac:dyDescent="0.35">
      <c r="A251" s="32" t="s">
        <v>683</v>
      </c>
      <c r="B251" s="32" t="s">
        <v>684</v>
      </c>
      <c r="C251">
        <v>1</v>
      </c>
      <c r="E251" s="81" t="s">
        <v>659</v>
      </c>
      <c r="F251" s="32"/>
    </row>
    <row r="252" spans="1:6" ht="12.75" customHeight="1" x14ac:dyDescent="0.35">
      <c r="A252" s="32" t="s">
        <v>685</v>
      </c>
      <c r="B252" s="32" t="s">
        <v>686</v>
      </c>
      <c r="C252">
        <v>1</v>
      </c>
      <c r="E252" s="81" t="s">
        <v>659</v>
      </c>
      <c r="F252" s="32"/>
    </row>
    <row r="253" spans="1:6" ht="12.75" customHeight="1" x14ac:dyDescent="0.35">
      <c r="A253" s="32" t="s">
        <v>687</v>
      </c>
      <c r="B253" s="32" t="s">
        <v>688</v>
      </c>
      <c r="C253">
        <v>1</v>
      </c>
      <c r="E253" s="81" t="s">
        <v>659</v>
      </c>
      <c r="F253" s="32"/>
    </row>
    <row r="254" spans="1:6" ht="12.75" customHeight="1" x14ac:dyDescent="0.35">
      <c r="A254" s="32" t="s">
        <v>689</v>
      </c>
      <c r="B254" s="32" t="s">
        <v>690</v>
      </c>
      <c r="C254">
        <v>1</v>
      </c>
      <c r="E254" s="81" t="s">
        <v>659</v>
      </c>
      <c r="F254" s="32"/>
    </row>
    <row r="255" spans="1:6" ht="12.75" customHeight="1" x14ac:dyDescent="0.35">
      <c r="A255" s="32" t="s">
        <v>691</v>
      </c>
      <c r="B255" s="32" t="s">
        <v>692</v>
      </c>
      <c r="C255">
        <v>1</v>
      </c>
      <c r="E255" s="81" t="s">
        <v>659</v>
      </c>
      <c r="F255" s="32"/>
    </row>
    <row r="256" spans="1:6" ht="12.75" customHeight="1" x14ac:dyDescent="0.35">
      <c r="A256" s="32" t="s">
        <v>693</v>
      </c>
      <c r="B256" s="32" t="s">
        <v>694</v>
      </c>
      <c r="C256">
        <v>1</v>
      </c>
      <c r="E256" s="81" t="s">
        <v>659</v>
      </c>
      <c r="F256" s="32"/>
    </row>
    <row r="257" spans="1:6" ht="12.75" customHeight="1" x14ac:dyDescent="0.35">
      <c r="A257" s="32" t="s">
        <v>695</v>
      </c>
      <c r="B257" s="32" t="s">
        <v>696</v>
      </c>
      <c r="C257">
        <v>1</v>
      </c>
      <c r="E257" s="81" t="s">
        <v>659</v>
      </c>
      <c r="F257" s="32"/>
    </row>
    <row r="258" spans="1:6" ht="12.75" customHeight="1" x14ac:dyDescent="0.35">
      <c r="A258" s="32" t="s">
        <v>697</v>
      </c>
      <c r="B258" s="32" t="s">
        <v>698</v>
      </c>
      <c r="C258">
        <v>1</v>
      </c>
      <c r="E258" s="81" t="s">
        <v>659</v>
      </c>
      <c r="F258" s="32"/>
    </row>
    <row r="259" spans="1:6" ht="12.75" customHeight="1" x14ac:dyDescent="0.35">
      <c r="A259" s="32" t="s">
        <v>699</v>
      </c>
      <c r="B259" s="32" t="s">
        <v>700</v>
      </c>
      <c r="C259">
        <v>1</v>
      </c>
      <c r="E259" s="81" t="s">
        <v>659</v>
      </c>
      <c r="F259" s="32"/>
    </row>
    <row r="260" spans="1:6" ht="12.75" customHeight="1" x14ac:dyDescent="0.35">
      <c r="A260" s="32" t="s">
        <v>701</v>
      </c>
      <c r="B260" s="32" t="s">
        <v>702</v>
      </c>
      <c r="C260">
        <v>1</v>
      </c>
      <c r="E260" s="81" t="s">
        <v>659</v>
      </c>
      <c r="F260" s="32"/>
    </row>
    <row r="261" spans="1:6" ht="12.75" customHeight="1" x14ac:dyDescent="0.35">
      <c r="A261" s="32" t="s">
        <v>703</v>
      </c>
      <c r="B261" s="32" t="s">
        <v>704</v>
      </c>
      <c r="C261">
        <v>1</v>
      </c>
      <c r="E261" s="81" t="s">
        <v>659</v>
      </c>
      <c r="F261" s="32"/>
    </row>
    <row r="262" spans="1:6" ht="12.75" customHeight="1" x14ac:dyDescent="0.35">
      <c r="A262" s="32" t="s">
        <v>705</v>
      </c>
      <c r="B262" s="32" t="s">
        <v>706</v>
      </c>
      <c r="C262">
        <v>1</v>
      </c>
      <c r="E262" s="81" t="s">
        <v>659</v>
      </c>
      <c r="F262" s="32"/>
    </row>
    <row r="263" spans="1:6" ht="12.75" customHeight="1" x14ac:dyDescent="0.35">
      <c r="A263" s="32" t="s">
        <v>707</v>
      </c>
      <c r="B263" s="32" t="s">
        <v>708</v>
      </c>
      <c r="C263">
        <v>1</v>
      </c>
      <c r="E263" s="81" t="s">
        <v>659</v>
      </c>
      <c r="F263" s="32"/>
    </row>
    <row r="264" spans="1:6" ht="12.75" customHeight="1" x14ac:dyDescent="0.35">
      <c r="A264" s="32" t="s">
        <v>709</v>
      </c>
      <c r="B264" s="32" t="s">
        <v>710</v>
      </c>
      <c r="C264">
        <v>1</v>
      </c>
      <c r="E264" s="81" t="s">
        <v>659</v>
      </c>
      <c r="F264" s="32"/>
    </row>
    <row r="265" spans="1:6" ht="12.75" customHeight="1" x14ac:dyDescent="0.35">
      <c r="A265" s="32" t="s">
        <v>711</v>
      </c>
      <c r="B265" s="32" t="s">
        <v>712</v>
      </c>
      <c r="C265">
        <v>1</v>
      </c>
      <c r="E265" s="81" t="s">
        <v>659</v>
      </c>
      <c r="F265" s="32"/>
    </row>
    <row r="266" spans="1:6" ht="12.75" customHeight="1" x14ac:dyDescent="0.35">
      <c r="A266" s="32" t="s">
        <v>713</v>
      </c>
      <c r="B266" s="32" t="s">
        <v>714</v>
      </c>
      <c r="C266">
        <v>1</v>
      </c>
      <c r="E266" s="81" t="s">
        <v>659</v>
      </c>
      <c r="F266" s="32"/>
    </row>
    <row r="267" spans="1:6" ht="12.75" customHeight="1" x14ac:dyDescent="0.35">
      <c r="A267" s="32" t="s">
        <v>715</v>
      </c>
      <c r="B267" s="32" t="s">
        <v>716</v>
      </c>
      <c r="C267">
        <v>1</v>
      </c>
      <c r="E267" s="81" t="s">
        <v>659</v>
      </c>
      <c r="F267" s="32"/>
    </row>
    <row r="268" spans="1:6" ht="12.75" customHeight="1" x14ac:dyDescent="0.35">
      <c r="A268" s="32" t="s">
        <v>717</v>
      </c>
      <c r="B268" s="32" t="s">
        <v>718</v>
      </c>
      <c r="C268">
        <v>1</v>
      </c>
      <c r="E268" s="81" t="s">
        <v>659</v>
      </c>
      <c r="F268" s="32"/>
    </row>
    <row r="269" spans="1:6" ht="12.75" customHeight="1" x14ac:dyDescent="0.35">
      <c r="A269" s="32" t="s">
        <v>719</v>
      </c>
      <c r="B269" s="32" t="s">
        <v>720</v>
      </c>
      <c r="C269">
        <v>1</v>
      </c>
      <c r="E269" s="81" t="s">
        <v>659</v>
      </c>
      <c r="F269" s="32"/>
    </row>
    <row r="270" spans="1:6" ht="12.75" customHeight="1" x14ac:dyDescent="0.35">
      <c r="A270" s="32" t="s">
        <v>721</v>
      </c>
      <c r="B270" s="32" t="s">
        <v>722</v>
      </c>
      <c r="C270">
        <v>1</v>
      </c>
      <c r="E270" s="81" t="s">
        <v>659</v>
      </c>
      <c r="F270" s="32"/>
    </row>
    <row r="271" spans="1:6" ht="12.75" customHeight="1" x14ac:dyDescent="0.35">
      <c r="A271" s="32" t="s">
        <v>723</v>
      </c>
      <c r="B271" s="32" t="s">
        <v>724</v>
      </c>
      <c r="C271">
        <v>1</v>
      </c>
      <c r="E271" s="81" t="s">
        <v>659</v>
      </c>
      <c r="F271" s="32"/>
    </row>
    <row r="272" spans="1:6" ht="12.75" customHeight="1" x14ac:dyDescent="0.35">
      <c r="A272" s="32" t="s">
        <v>725</v>
      </c>
      <c r="B272" s="32" t="s">
        <v>726</v>
      </c>
      <c r="C272">
        <v>1</v>
      </c>
      <c r="E272" s="81" t="s">
        <v>659</v>
      </c>
      <c r="F272" s="32"/>
    </row>
    <row r="273" spans="1:6" ht="12.75" customHeight="1" x14ac:dyDescent="0.35">
      <c r="A273" s="32" t="s">
        <v>727</v>
      </c>
      <c r="B273" s="32" t="s">
        <v>728</v>
      </c>
      <c r="C273">
        <v>1</v>
      </c>
      <c r="E273" s="81" t="s">
        <v>659</v>
      </c>
      <c r="F273" s="32"/>
    </row>
    <row r="274" spans="1:6" ht="12.75" customHeight="1" x14ac:dyDescent="0.35">
      <c r="A274" s="32" t="s">
        <v>729</v>
      </c>
      <c r="B274" s="32" t="s">
        <v>730</v>
      </c>
      <c r="C274">
        <v>1</v>
      </c>
      <c r="E274" s="81" t="s">
        <v>659</v>
      </c>
      <c r="F274" s="32"/>
    </row>
    <row r="275" spans="1:6" ht="12.75" customHeight="1" x14ac:dyDescent="0.35">
      <c r="A275" s="32" t="s">
        <v>731</v>
      </c>
      <c r="B275" s="32" t="s">
        <v>732</v>
      </c>
      <c r="C275">
        <v>1</v>
      </c>
      <c r="E275" s="81" t="s">
        <v>659</v>
      </c>
      <c r="F275" s="32"/>
    </row>
    <row r="276" spans="1:6" ht="12.75" customHeight="1" x14ac:dyDescent="0.35">
      <c r="A276" s="32" t="s">
        <v>733</v>
      </c>
      <c r="B276" s="32" t="s">
        <v>734</v>
      </c>
      <c r="C276">
        <v>1</v>
      </c>
      <c r="E276" s="81" t="s">
        <v>659</v>
      </c>
      <c r="F276" s="32"/>
    </row>
    <row r="277" spans="1:6" ht="12.75" customHeight="1" x14ac:dyDescent="0.35">
      <c r="A277" s="32" t="s">
        <v>735</v>
      </c>
      <c r="B277" s="32" t="s">
        <v>736</v>
      </c>
      <c r="C277">
        <v>1</v>
      </c>
      <c r="E277" s="81" t="s">
        <v>659</v>
      </c>
      <c r="F277" s="32"/>
    </row>
    <row r="278" spans="1:6" ht="12.75" customHeight="1" x14ac:dyDescent="0.35">
      <c r="A278" s="32" t="s">
        <v>737</v>
      </c>
      <c r="B278" s="32" t="s">
        <v>738</v>
      </c>
      <c r="C278">
        <v>1</v>
      </c>
      <c r="E278" s="81" t="s">
        <v>659</v>
      </c>
      <c r="F278" s="32"/>
    </row>
    <row r="279" spans="1:6" ht="12.75" customHeight="1" x14ac:dyDescent="0.35">
      <c r="A279" s="32" t="s">
        <v>739</v>
      </c>
      <c r="B279" s="32" t="s">
        <v>740</v>
      </c>
      <c r="C279">
        <v>1</v>
      </c>
      <c r="E279" s="81" t="s">
        <v>659</v>
      </c>
      <c r="F279" s="32"/>
    </row>
    <row r="280" spans="1:6" ht="12.75" customHeight="1" x14ac:dyDescent="0.35">
      <c r="A280" s="32" t="s">
        <v>741</v>
      </c>
      <c r="B280" s="32" t="s">
        <v>742</v>
      </c>
      <c r="C280">
        <v>1</v>
      </c>
      <c r="E280" s="81" t="s">
        <v>659</v>
      </c>
      <c r="F280" s="32"/>
    </row>
    <row r="281" spans="1:6" ht="12.75" customHeight="1" x14ac:dyDescent="0.35">
      <c r="A281" s="32" t="s">
        <v>743</v>
      </c>
      <c r="B281" s="32" t="s">
        <v>744</v>
      </c>
      <c r="C281">
        <v>1</v>
      </c>
      <c r="E281" s="81" t="s">
        <v>659</v>
      </c>
      <c r="F281" s="32"/>
    </row>
    <row r="282" spans="1:6" ht="12.75" customHeight="1" x14ac:dyDescent="0.35">
      <c r="A282" s="32" t="s">
        <v>745</v>
      </c>
      <c r="B282" s="32" t="s">
        <v>746</v>
      </c>
      <c r="C282">
        <v>1</v>
      </c>
      <c r="E282" s="81" t="s">
        <v>659</v>
      </c>
      <c r="F282" s="32"/>
    </row>
    <row r="283" spans="1:6" ht="12.75" customHeight="1" x14ac:dyDescent="0.35">
      <c r="A283" s="32" t="s">
        <v>747</v>
      </c>
      <c r="B283" s="32" t="s">
        <v>748</v>
      </c>
      <c r="C283">
        <v>1</v>
      </c>
      <c r="E283" s="81" t="s">
        <v>659</v>
      </c>
      <c r="F283" s="32"/>
    </row>
    <row r="284" spans="1:6" ht="12.75" customHeight="1" x14ac:dyDescent="0.35">
      <c r="A284" s="32" t="s">
        <v>749</v>
      </c>
      <c r="B284" s="32" t="s">
        <v>750</v>
      </c>
      <c r="C284">
        <v>1</v>
      </c>
      <c r="E284" s="81" t="s">
        <v>659</v>
      </c>
      <c r="F284" s="32"/>
    </row>
    <row r="285" spans="1:6" ht="12.75" customHeight="1" x14ac:dyDescent="0.35">
      <c r="A285" s="32" t="s">
        <v>751</v>
      </c>
      <c r="B285" s="32" t="s">
        <v>752</v>
      </c>
      <c r="C285">
        <v>1</v>
      </c>
      <c r="E285" s="81" t="s">
        <v>659</v>
      </c>
      <c r="F285" s="32"/>
    </row>
    <row r="286" spans="1:6" ht="12.75" customHeight="1" x14ac:dyDescent="0.35">
      <c r="A286" s="32" t="s">
        <v>753</v>
      </c>
      <c r="B286" s="32" t="s">
        <v>754</v>
      </c>
      <c r="C286">
        <v>1</v>
      </c>
      <c r="E286" s="81" t="s">
        <v>659</v>
      </c>
      <c r="F286" s="32"/>
    </row>
    <row r="287" spans="1:6" ht="12.75" customHeight="1" x14ac:dyDescent="0.35">
      <c r="A287" s="32" t="s">
        <v>755</v>
      </c>
      <c r="B287" s="32" t="s">
        <v>756</v>
      </c>
      <c r="C287">
        <v>1</v>
      </c>
      <c r="E287" s="81" t="s">
        <v>659</v>
      </c>
      <c r="F287" s="32"/>
    </row>
    <row r="288" spans="1:6" ht="12.75" customHeight="1" x14ac:dyDescent="0.35">
      <c r="A288" s="32" t="s">
        <v>757</v>
      </c>
      <c r="B288" s="32" t="s">
        <v>758</v>
      </c>
      <c r="C288">
        <v>1</v>
      </c>
      <c r="E288" s="81" t="s">
        <v>659</v>
      </c>
      <c r="F288" s="32"/>
    </row>
    <row r="289" spans="1:6" ht="12.75" customHeight="1" x14ac:dyDescent="0.35">
      <c r="A289" s="32" t="s">
        <v>759</v>
      </c>
      <c r="B289" s="32" t="s">
        <v>760</v>
      </c>
      <c r="C289">
        <v>1</v>
      </c>
      <c r="E289" s="81" t="s">
        <v>659</v>
      </c>
      <c r="F289" s="32"/>
    </row>
    <row r="290" spans="1:6" ht="12.75" customHeight="1" x14ac:dyDescent="0.35">
      <c r="A290" s="32" t="s">
        <v>761</v>
      </c>
      <c r="B290" s="32" t="s">
        <v>762</v>
      </c>
      <c r="C290">
        <v>1</v>
      </c>
      <c r="E290" s="81" t="s">
        <v>659</v>
      </c>
      <c r="F290" s="32"/>
    </row>
    <row r="291" spans="1:6" ht="12.75" customHeight="1" x14ac:dyDescent="0.35">
      <c r="A291" s="32" t="s">
        <v>763</v>
      </c>
      <c r="B291" s="32" t="s">
        <v>764</v>
      </c>
      <c r="C291">
        <v>1</v>
      </c>
      <c r="E291" s="81" t="s">
        <v>659</v>
      </c>
      <c r="F291" s="32"/>
    </row>
    <row r="292" spans="1:6" ht="12.75" customHeight="1" x14ac:dyDescent="0.35">
      <c r="A292" s="32" t="s">
        <v>765</v>
      </c>
      <c r="B292" s="32" t="s">
        <v>766</v>
      </c>
      <c r="C292">
        <v>1</v>
      </c>
      <c r="E292" s="81" t="s">
        <v>659</v>
      </c>
      <c r="F292" s="32"/>
    </row>
    <row r="293" spans="1:6" ht="12.75" customHeight="1" x14ac:dyDescent="0.35">
      <c r="A293" s="32" t="s">
        <v>767</v>
      </c>
      <c r="B293" s="32" t="s">
        <v>768</v>
      </c>
      <c r="C293">
        <v>1</v>
      </c>
      <c r="E293" s="81" t="s">
        <v>659</v>
      </c>
      <c r="F293" s="32"/>
    </row>
    <row r="294" spans="1:6" ht="12.75" customHeight="1" x14ac:dyDescent="0.35">
      <c r="A294" s="32" t="s">
        <v>769</v>
      </c>
      <c r="B294" s="32" t="s">
        <v>770</v>
      </c>
      <c r="C294">
        <v>1</v>
      </c>
      <c r="E294" s="81" t="s">
        <v>659</v>
      </c>
      <c r="F294" s="32"/>
    </row>
    <row r="295" spans="1:6" ht="12.75" customHeight="1" x14ac:dyDescent="0.35">
      <c r="A295" s="32" t="s">
        <v>771</v>
      </c>
      <c r="B295" s="32" t="s">
        <v>772</v>
      </c>
      <c r="C295">
        <v>1</v>
      </c>
      <c r="E295" s="81" t="s">
        <v>659</v>
      </c>
      <c r="F295" s="32"/>
    </row>
    <row r="296" spans="1:6" ht="12.75" customHeight="1" x14ac:dyDescent="0.35">
      <c r="A296" s="32" t="s">
        <v>773</v>
      </c>
      <c r="B296" s="32" t="s">
        <v>774</v>
      </c>
      <c r="C296">
        <v>1</v>
      </c>
      <c r="E296" s="81" t="s">
        <v>659</v>
      </c>
      <c r="F296" s="32"/>
    </row>
    <row r="297" spans="1:6" ht="12.75" customHeight="1" x14ac:dyDescent="0.35">
      <c r="A297" s="32" t="s">
        <v>775</v>
      </c>
      <c r="B297" s="32" t="s">
        <v>776</v>
      </c>
      <c r="C297">
        <v>1</v>
      </c>
      <c r="E297" s="81" t="s">
        <v>659</v>
      </c>
      <c r="F297" s="32"/>
    </row>
    <row r="298" spans="1:6" ht="12.75" customHeight="1" x14ac:dyDescent="0.35">
      <c r="A298" s="32" t="s">
        <v>777</v>
      </c>
      <c r="B298" s="32" t="s">
        <v>778</v>
      </c>
      <c r="C298">
        <v>1</v>
      </c>
      <c r="E298" s="81" t="s">
        <v>659</v>
      </c>
      <c r="F298" s="32"/>
    </row>
    <row r="299" spans="1:6" ht="12.75" customHeight="1" x14ac:dyDescent="0.35">
      <c r="A299" s="32" t="s">
        <v>779</v>
      </c>
      <c r="B299" s="32" t="s">
        <v>780</v>
      </c>
      <c r="C299">
        <v>1</v>
      </c>
      <c r="E299" s="81" t="s">
        <v>659</v>
      </c>
      <c r="F299" s="32"/>
    </row>
    <row r="300" spans="1:6" ht="12.75" customHeight="1" x14ac:dyDescent="0.35">
      <c r="A300" s="32" t="s">
        <v>781</v>
      </c>
      <c r="B300" s="32" t="s">
        <v>782</v>
      </c>
      <c r="C300">
        <v>1</v>
      </c>
      <c r="E300" s="81" t="s">
        <v>659</v>
      </c>
      <c r="F300" s="32"/>
    </row>
    <row r="301" spans="1:6" ht="12.75" customHeight="1" x14ac:dyDescent="0.35">
      <c r="A301" s="32" t="s">
        <v>783</v>
      </c>
      <c r="B301" s="32" t="s">
        <v>784</v>
      </c>
      <c r="C301">
        <v>1</v>
      </c>
      <c r="E301" s="81" t="s">
        <v>659</v>
      </c>
      <c r="F301" s="32"/>
    </row>
    <row r="302" spans="1:6" ht="12.75" customHeight="1" x14ac:dyDescent="0.35">
      <c r="A302" s="32" t="s">
        <v>785</v>
      </c>
      <c r="B302" s="32" t="s">
        <v>786</v>
      </c>
      <c r="C302">
        <v>1</v>
      </c>
      <c r="E302" s="81" t="s">
        <v>659</v>
      </c>
      <c r="F302" s="32"/>
    </row>
    <row r="303" spans="1:6" ht="12.75" customHeight="1" x14ac:dyDescent="0.35">
      <c r="A303" s="32" t="s">
        <v>787</v>
      </c>
      <c r="B303" s="32" t="s">
        <v>235</v>
      </c>
      <c r="C303">
        <v>1</v>
      </c>
      <c r="E303" s="81" t="s">
        <v>659</v>
      </c>
      <c r="F303" s="32"/>
    </row>
    <row r="304" spans="1:6" ht="12.75" customHeight="1" x14ac:dyDescent="0.35">
      <c r="A304" s="32" t="s">
        <v>788</v>
      </c>
      <c r="B304" s="32" t="s">
        <v>789</v>
      </c>
      <c r="C304">
        <v>1</v>
      </c>
      <c r="E304" s="81" t="s">
        <v>659</v>
      </c>
      <c r="F304" s="32"/>
    </row>
    <row r="305" spans="1:6" ht="12.75" customHeight="1" x14ac:dyDescent="0.35">
      <c r="A305" s="32" t="s">
        <v>790</v>
      </c>
      <c r="B305" s="32" t="s">
        <v>791</v>
      </c>
      <c r="C305">
        <v>1</v>
      </c>
      <c r="E305" s="81" t="s">
        <v>659</v>
      </c>
      <c r="F305" s="32"/>
    </row>
    <row r="306" spans="1:6" ht="12.75" customHeight="1" x14ac:dyDescent="0.35">
      <c r="A306" s="32" t="s">
        <v>792</v>
      </c>
      <c r="B306" s="32" t="s">
        <v>793</v>
      </c>
      <c r="C306">
        <v>1</v>
      </c>
      <c r="E306" s="81" t="s">
        <v>659</v>
      </c>
      <c r="F306" s="32"/>
    </row>
    <row r="307" spans="1:6" ht="12.75" customHeight="1" x14ac:dyDescent="0.35">
      <c r="A307" s="32" t="s">
        <v>794</v>
      </c>
      <c r="B307" s="32" t="s">
        <v>795</v>
      </c>
      <c r="C307">
        <v>1</v>
      </c>
      <c r="E307" s="81" t="s">
        <v>659</v>
      </c>
      <c r="F307" s="32"/>
    </row>
    <row r="308" spans="1:6" ht="12.75" customHeight="1" x14ac:dyDescent="0.35">
      <c r="A308" s="32" t="s">
        <v>796</v>
      </c>
      <c r="B308" s="32" t="s">
        <v>797</v>
      </c>
      <c r="C308">
        <v>1</v>
      </c>
      <c r="E308" s="81" t="s">
        <v>659</v>
      </c>
      <c r="F308" s="32"/>
    </row>
    <row r="309" spans="1:6" ht="12.75" customHeight="1" x14ac:dyDescent="0.35">
      <c r="A309" s="32" t="s">
        <v>798</v>
      </c>
      <c r="B309" s="32" t="s">
        <v>799</v>
      </c>
      <c r="C309">
        <v>1</v>
      </c>
      <c r="E309" s="81" t="s">
        <v>659</v>
      </c>
      <c r="F309" s="32"/>
    </row>
    <row r="310" spans="1:6" ht="12.75" customHeight="1" x14ac:dyDescent="0.35">
      <c r="A310" s="32" t="s">
        <v>800</v>
      </c>
      <c r="B310" s="32" t="s">
        <v>801</v>
      </c>
      <c r="C310">
        <v>1</v>
      </c>
      <c r="E310" s="81" t="s">
        <v>659</v>
      </c>
      <c r="F310" s="32"/>
    </row>
    <row r="311" spans="1:6" ht="12.75" customHeight="1" x14ac:dyDescent="0.35">
      <c r="A311" s="32" t="s">
        <v>802</v>
      </c>
      <c r="B311" s="32" t="s">
        <v>803</v>
      </c>
      <c r="C311">
        <v>1</v>
      </c>
      <c r="E311" s="81" t="s">
        <v>659</v>
      </c>
      <c r="F311" s="32"/>
    </row>
    <row r="312" spans="1:6" ht="12.75" customHeight="1" x14ac:dyDescent="0.35">
      <c r="A312" s="32" t="s">
        <v>804</v>
      </c>
      <c r="B312" s="32" t="s">
        <v>805</v>
      </c>
      <c r="C312">
        <v>1</v>
      </c>
      <c r="E312" s="81" t="s">
        <v>659</v>
      </c>
      <c r="F312" s="32"/>
    </row>
    <row r="313" spans="1:6" ht="12.75" customHeight="1" x14ac:dyDescent="0.35">
      <c r="A313" s="32" t="s">
        <v>806</v>
      </c>
      <c r="B313" s="32" t="s">
        <v>807</v>
      </c>
      <c r="C313">
        <v>1</v>
      </c>
      <c r="E313" s="81" t="s">
        <v>659</v>
      </c>
      <c r="F313" s="32"/>
    </row>
    <row r="314" spans="1:6" ht="12.75" customHeight="1" x14ac:dyDescent="0.35">
      <c r="A314" s="32" t="s">
        <v>808</v>
      </c>
      <c r="B314" s="32" t="s">
        <v>809</v>
      </c>
      <c r="C314">
        <v>1</v>
      </c>
      <c r="E314" s="81" t="s">
        <v>659</v>
      </c>
      <c r="F314" s="32"/>
    </row>
    <row r="315" spans="1:6" ht="12.75" customHeight="1" x14ac:dyDescent="0.35">
      <c r="A315" s="32" t="s">
        <v>810</v>
      </c>
      <c r="B315" s="32" t="s">
        <v>811</v>
      </c>
      <c r="C315">
        <v>1</v>
      </c>
      <c r="E315" s="81" t="s">
        <v>659</v>
      </c>
      <c r="F315" s="32"/>
    </row>
    <row r="316" spans="1:6" ht="12.75" customHeight="1" x14ac:dyDescent="0.35">
      <c r="A316" s="32" t="s">
        <v>812</v>
      </c>
      <c r="B316" s="32" t="s">
        <v>813</v>
      </c>
      <c r="C316">
        <v>1</v>
      </c>
      <c r="E316" s="81" t="s">
        <v>659</v>
      </c>
      <c r="F316" s="32"/>
    </row>
    <row r="317" spans="1:6" ht="12.75" customHeight="1" x14ac:dyDescent="0.35">
      <c r="A317" s="32" t="s">
        <v>814</v>
      </c>
      <c r="B317" s="32" t="s">
        <v>815</v>
      </c>
      <c r="C317">
        <v>1</v>
      </c>
      <c r="E317" s="81" t="s">
        <v>659</v>
      </c>
      <c r="F317" s="32"/>
    </row>
    <row r="318" spans="1:6" ht="12.75" customHeight="1" x14ac:dyDescent="0.35">
      <c r="A318" s="32" t="s">
        <v>816</v>
      </c>
      <c r="B318" s="32" t="s">
        <v>817</v>
      </c>
      <c r="C318">
        <v>1</v>
      </c>
      <c r="E318" s="81" t="s">
        <v>659</v>
      </c>
      <c r="F318" s="32"/>
    </row>
    <row r="319" spans="1:6" ht="12.75" customHeight="1" x14ac:dyDescent="0.35">
      <c r="A319" s="32" t="s">
        <v>818</v>
      </c>
      <c r="B319" s="32" t="s">
        <v>819</v>
      </c>
      <c r="C319">
        <v>1</v>
      </c>
      <c r="E319" s="81" t="s">
        <v>659</v>
      </c>
      <c r="F319" s="32"/>
    </row>
    <row r="320" spans="1:6" ht="12.75" customHeight="1" x14ac:dyDescent="0.35">
      <c r="A320" s="32" t="s">
        <v>820</v>
      </c>
      <c r="B320" s="32" t="s">
        <v>821</v>
      </c>
      <c r="C320">
        <v>1</v>
      </c>
      <c r="E320" s="81" t="s">
        <v>659</v>
      </c>
      <c r="F320" s="32"/>
    </row>
    <row r="321" spans="1:6" ht="12.75" customHeight="1" x14ac:dyDescent="0.35">
      <c r="A321" s="32" t="s">
        <v>822</v>
      </c>
      <c r="B321" s="32" t="s">
        <v>823</v>
      </c>
      <c r="C321">
        <v>1</v>
      </c>
      <c r="E321" s="81" t="s">
        <v>659</v>
      </c>
      <c r="F321" s="32"/>
    </row>
    <row r="322" spans="1:6" ht="12.75" customHeight="1" x14ac:dyDescent="0.35">
      <c r="A322" s="32" t="s">
        <v>824</v>
      </c>
      <c r="B322" s="32" t="s">
        <v>825</v>
      </c>
      <c r="C322">
        <v>1</v>
      </c>
      <c r="E322" s="81" t="s">
        <v>659</v>
      </c>
      <c r="F322" s="32"/>
    </row>
    <row r="323" spans="1:6" ht="12.75" customHeight="1" x14ac:dyDescent="0.35">
      <c r="A323" s="32" t="s">
        <v>826</v>
      </c>
      <c r="B323" s="32" t="s">
        <v>827</v>
      </c>
      <c r="C323">
        <v>1</v>
      </c>
      <c r="E323" s="81" t="s">
        <v>659</v>
      </c>
      <c r="F323" s="32"/>
    </row>
    <row r="324" spans="1:6" ht="12.75" customHeight="1" x14ac:dyDescent="0.35">
      <c r="A324" s="32" t="s">
        <v>828</v>
      </c>
      <c r="B324" s="32" t="s">
        <v>829</v>
      </c>
      <c r="C324">
        <v>1</v>
      </c>
      <c r="E324" s="81" t="s">
        <v>659</v>
      </c>
      <c r="F324" s="32"/>
    </row>
    <row r="325" spans="1:6" ht="12.75" customHeight="1" x14ac:dyDescent="0.35">
      <c r="A325" s="32" t="s">
        <v>830</v>
      </c>
      <c r="B325" s="32" t="s">
        <v>831</v>
      </c>
      <c r="C325">
        <v>1</v>
      </c>
      <c r="E325" s="81" t="s">
        <v>659</v>
      </c>
      <c r="F325" s="32"/>
    </row>
    <row r="326" spans="1:6" ht="12.75" customHeight="1" x14ac:dyDescent="0.35">
      <c r="A326" s="32" t="s">
        <v>832</v>
      </c>
      <c r="B326" s="32" t="s">
        <v>833</v>
      </c>
      <c r="C326">
        <v>1</v>
      </c>
      <c r="E326" s="81" t="s">
        <v>659</v>
      </c>
      <c r="F326" s="32"/>
    </row>
    <row r="327" spans="1:6" ht="12.75" customHeight="1" x14ac:dyDescent="0.35">
      <c r="A327" s="32" t="s">
        <v>834</v>
      </c>
      <c r="B327" s="32" t="s">
        <v>835</v>
      </c>
      <c r="C327">
        <v>1</v>
      </c>
      <c r="E327" s="81" t="s">
        <v>659</v>
      </c>
      <c r="F327" s="32"/>
    </row>
    <row r="328" spans="1:6" ht="12.75" customHeight="1" x14ac:dyDescent="0.35">
      <c r="A328" s="32" t="s">
        <v>836</v>
      </c>
      <c r="B328" s="32" t="s">
        <v>837</v>
      </c>
      <c r="C328">
        <v>1</v>
      </c>
      <c r="E328" s="81" t="s">
        <v>659</v>
      </c>
      <c r="F328" s="32"/>
    </row>
    <row r="329" spans="1:6" ht="12.75" customHeight="1" x14ac:dyDescent="0.35">
      <c r="A329" s="32" t="s">
        <v>838</v>
      </c>
      <c r="B329" s="32" t="s">
        <v>839</v>
      </c>
      <c r="C329">
        <v>1</v>
      </c>
      <c r="E329" s="81" t="s">
        <v>659</v>
      </c>
      <c r="F329" s="32"/>
    </row>
    <row r="330" spans="1:6" ht="12.75" customHeight="1" x14ac:dyDescent="0.35">
      <c r="A330" s="32" t="s">
        <v>840</v>
      </c>
      <c r="B330" s="32" t="s">
        <v>841</v>
      </c>
      <c r="C330">
        <v>1</v>
      </c>
      <c r="E330" s="81" t="s">
        <v>659</v>
      </c>
      <c r="F330" s="32"/>
    </row>
    <row r="331" spans="1:6" ht="12.75" customHeight="1" x14ac:dyDescent="0.35">
      <c r="A331" s="32" t="s">
        <v>842</v>
      </c>
      <c r="B331" s="32" t="s">
        <v>843</v>
      </c>
      <c r="C331">
        <v>1</v>
      </c>
      <c r="E331" s="81" t="s">
        <v>659</v>
      </c>
      <c r="F331" s="32"/>
    </row>
    <row r="332" spans="1:6" ht="12.75" customHeight="1" x14ac:dyDescent="0.35">
      <c r="A332" s="32" t="s">
        <v>844</v>
      </c>
      <c r="B332" s="32" t="s">
        <v>845</v>
      </c>
      <c r="C332">
        <v>1</v>
      </c>
      <c r="E332" s="81" t="s">
        <v>659</v>
      </c>
      <c r="F332" s="32"/>
    </row>
    <row r="333" spans="1:6" ht="12.75" customHeight="1" x14ac:dyDescent="0.35">
      <c r="A333" s="32" t="s">
        <v>846</v>
      </c>
      <c r="B333" s="32" t="s">
        <v>847</v>
      </c>
      <c r="C333">
        <v>1</v>
      </c>
      <c r="E333" s="81" t="s">
        <v>659</v>
      </c>
      <c r="F333" s="32"/>
    </row>
    <row r="334" spans="1:6" ht="12.75" customHeight="1" x14ac:dyDescent="0.35">
      <c r="B334" s="32" t="s">
        <v>242</v>
      </c>
      <c r="F334" s="32"/>
    </row>
    <row r="335" spans="1:6" ht="12.75" customHeight="1" x14ac:dyDescent="0.35">
      <c r="A335" s="32" t="s">
        <v>848</v>
      </c>
      <c r="B335" s="32" t="s">
        <v>849</v>
      </c>
      <c r="C335">
        <v>2</v>
      </c>
      <c r="E335" s="81" t="s">
        <v>659</v>
      </c>
      <c r="F335" s="32"/>
    </row>
    <row r="336" spans="1:6" ht="12.75" customHeight="1" x14ac:dyDescent="0.35">
      <c r="A336" s="32" t="s">
        <v>850</v>
      </c>
      <c r="B336" s="32" t="s">
        <v>851</v>
      </c>
      <c r="C336">
        <v>2</v>
      </c>
      <c r="E336" s="81" t="s">
        <v>659</v>
      </c>
      <c r="F336" s="32"/>
    </row>
    <row r="337" spans="1:6" ht="12.75" customHeight="1" x14ac:dyDescent="0.35">
      <c r="A337" s="32" t="s">
        <v>852</v>
      </c>
      <c r="B337" s="32" t="s">
        <v>853</v>
      </c>
      <c r="C337">
        <v>2</v>
      </c>
      <c r="E337" s="81" t="s">
        <v>659</v>
      </c>
      <c r="F337" s="32"/>
    </row>
    <row r="338" spans="1:6" ht="12.75" customHeight="1" x14ac:dyDescent="0.35">
      <c r="A338" s="32" t="s">
        <v>854</v>
      </c>
      <c r="B338" s="32" t="s">
        <v>855</v>
      </c>
      <c r="C338">
        <v>2</v>
      </c>
      <c r="E338" s="81" t="s">
        <v>659</v>
      </c>
      <c r="F338" s="32"/>
    </row>
    <row r="339" spans="1:6" ht="12.75" customHeight="1" x14ac:dyDescent="0.35">
      <c r="A339" s="32" t="s">
        <v>856</v>
      </c>
      <c r="B339" s="32" t="s">
        <v>857</v>
      </c>
      <c r="C339">
        <v>2</v>
      </c>
      <c r="E339" s="81" t="s">
        <v>659</v>
      </c>
      <c r="F339" s="32"/>
    </row>
    <row r="340" spans="1:6" ht="12.75" customHeight="1" x14ac:dyDescent="0.35">
      <c r="A340" s="32" t="s">
        <v>858</v>
      </c>
      <c r="B340" s="32" t="s">
        <v>859</v>
      </c>
      <c r="C340">
        <v>2</v>
      </c>
      <c r="E340" s="81" t="s">
        <v>659</v>
      </c>
      <c r="F340" s="32"/>
    </row>
    <row r="341" spans="1:6" ht="12.75" customHeight="1" x14ac:dyDescent="0.35">
      <c r="A341" s="32" t="s">
        <v>860</v>
      </c>
      <c r="B341" s="32" t="s">
        <v>861</v>
      </c>
      <c r="C341">
        <v>2</v>
      </c>
      <c r="E341" s="81" t="s">
        <v>659</v>
      </c>
      <c r="F341" s="32"/>
    </row>
    <row r="342" spans="1:6" ht="12.75" customHeight="1" x14ac:dyDescent="0.35">
      <c r="A342" s="32" t="s">
        <v>862</v>
      </c>
      <c r="B342" s="32" t="s">
        <v>863</v>
      </c>
      <c r="C342">
        <v>2</v>
      </c>
      <c r="E342" s="81" t="s">
        <v>659</v>
      </c>
      <c r="F342" s="32"/>
    </row>
    <row r="343" spans="1:6" ht="12.75" customHeight="1" x14ac:dyDescent="0.35">
      <c r="A343" s="32" t="s">
        <v>864</v>
      </c>
      <c r="B343" s="32" t="s">
        <v>865</v>
      </c>
      <c r="C343">
        <v>2</v>
      </c>
      <c r="E343" s="81" t="s">
        <v>659</v>
      </c>
      <c r="F343" s="32"/>
    </row>
    <row r="344" spans="1:6" ht="12.75" customHeight="1" x14ac:dyDescent="0.35">
      <c r="A344" s="32" t="s">
        <v>866</v>
      </c>
      <c r="B344" s="32" t="s">
        <v>867</v>
      </c>
      <c r="C344">
        <v>2</v>
      </c>
      <c r="E344" s="81" t="s">
        <v>659</v>
      </c>
      <c r="F344" s="32"/>
    </row>
    <row r="345" spans="1:6" ht="12.75" customHeight="1" x14ac:dyDescent="0.35">
      <c r="A345" s="32" t="s">
        <v>868</v>
      </c>
      <c r="B345" s="32" t="s">
        <v>869</v>
      </c>
      <c r="C345">
        <v>2</v>
      </c>
      <c r="E345" s="81" t="s">
        <v>659</v>
      </c>
      <c r="F345" s="32"/>
    </row>
    <row r="346" spans="1:6" ht="12.75" customHeight="1" x14ac:dyDescent="0.35">
      <c r="A346" s="32" t="s">
        <v>870</v>
      </c>
      <c r="B346" s="32" t="s">
        <v>871</v>
      </c>
      <c r="C346">
        <v>2</v>
      </c>
      <c r="E346" s="81" t="s">
        <v>659</v>
      </c>
      <c r="F346" s="32"/>
    </row>
    <row r="347" spans="1:6" ht="12.75" customHeight="1" x14ac:dyDescent="0.35">
      <c r="A347" s="32" t="s">
        <v>872</v>
      </c>
      <c r="B347" s="32" t="s">
        <v>873</v>
      </c>
      <c r="C347">
        <v>2</v>
      </c>
      <c r="E347" s="81" t="s">
        <v>659</v>
      </c>
      <c r="F347" s="32"/>
    </row>
    <row r="348" spans="1:6" ht="12.75" customHeight="1" x14ac:dyDescent="0.35">
      <c r="A348" s="32" t="s">
        <v>874</v>
      </c>
      <c r="B348" s="32" t="s">
        <v>875</v>
      </c>
      <c r="C348">
        <v>2</v>
      </c>
      <c r="E348" s="81" t="s">
        <v>659</v>
      </c>
      <c r="F348" s="32"/>
    </row>
    <row r="349" spans="1:6" ht="12.75" customHeight="1" x14ac:dyDescent="0.35">
      <c r="A349" s="32" t="s">
        <v>876</v>
      </c>
      <c r="B349" s="32" t="s">
        <v>877</v>
      </c>
      <c r="C349">
        <v>2</v>
      </c>
      <c r="E349" s="81" t="s">
        <v>659</v>
      </c>
      <c r="F349" s="32"/>
    </row>
    <row r="350" spans="1:6" ht="12.75" customHeight="1" x14ac:dyDescent="0.35">
      <c r="A350" s="32" t="s">
        <v>878</v>
      </c>
      <c r="B350" s="32" t="s">
        <v>879</v>
      </c>
      <c r="C350">
        <v>2</v>
      </c>
      <c r="E350" s="81" t="s">
        <v>659</v>
      </c>
      <c r="F350" s="32"/>
    </row>
    <row r="351" spans="1:6" ht="12.75" customHeight="1" x14ac:dyDescent="0.35">
      <c r="A351" s="32" t="s">
        <v>880</v>
      </c>
      <c r="B351" s="32" t="s">
        <v>881</v>
      </c>
      <c r="C351">
        <v>2</v>
      </c>
      <c r="E351" s="81" t="s">
        <v>659</v>
      </c>
      <c r="F351" s="32"/>
    </row>
    <row r="352" spans="1:6" ht="12.75" customHeight="1" x14ac:dyDescent="0.35">
      <c r="A352" s="32" t="s">
        <v>882</v>
      </c>
      <c r="B352" s="32" t="s">
        <v>883</v>
      </c>
      <c r="C352">
        <v>2</v>
      </c>
      <c r="E352" s="81" t="s">
        <v>659</v>
      </c>
      <c r="F352" s="32"/>
    </row>
    <row r="353" spans="1:6" ht="12.75" customHeight="1" x14ac:dyDescent="0.35">
      <c r="A353" s="32" t="s">
        <v>884</v>
      </c>
      <c r="B353" s="32" t="s">
        <v>885</v>
      </c>
      <c r="C353">
        <v>2</v>
      </c>
      <c r="E353" s="81" t="s">
        <v>659</v>
      </c>
      <c r="F353" s="32"/>
    </row>
    <row r="354" spans="1:6" ht="12.75" customHeight="1" x14ac:dyDescent="0.35">
      <c r="A354" s="32" t="s">
        <v>886</v>
      </c>
      <c r="B354" s="32" t="s">
        <v>887</v>
      </c>
      <c r="C354">
        <v>2</v>
      </c>
      <c r="E354" s="81" t="s">
        <v>659</v>
      </c>
      <c r="F354" s="32"/>
    </row>
    <row r="355" spans="1:6" ht="12.75" customHeight="1" x14ac:dyDescent="0.35">
      <c r="A355" s="32" t="s">
        <v>888</v>
      </c>
      <c r="B355" s="32" t="s">
        <v>889</v>
      </c>
      <c r="C355">
        <v>2</v>
      </c>
      <c r="E355" s="81" t="s">
        <v>659</v>
      </c>
      <c r="F355" s="32"/>
    </row>
    <row r="356" spans="1:6" ht="12.75" customHeight="1" x14ac:dyDescent="0.35">
      <c r="A356" s="32" t="s">
        <v>890</v>
      </c>
      <c r="B356" s="32" t="s">
        <v>891</v>
      </c>
      <c r="C356">
        <v>2</v>
      </c>
      <c r="E356" s="81" t="s">
        <v>659</v>
      </c>
      <c r="F356" s="32"/>
    </row>
    <row r="357" spans="1:6" ht="12.75" customHeight="1" x14ac:dyDescent="0.35">
      <c r="A357" s="32" t="s">
        <v>892</v>
      </c>
      <c r="B357" s="32" t="s">
        <v>893</v>
      </c>
      <c r="C357">
        <v>2</v>
      </c>
      <c r="E357" s="81" t="s">
        <v>659</v>
      </c>
      <c r="F357" s="32"/>
    </row>
    <row r="358" spans="1:6" ht="12.75" customHeight="1" x14ac:dyDescent="0.35">
      <c r="A358" s="32" t="s">
        <v>894</v>
      </c>
      <c r="B358" s="32" t="s">
        <v>895</v>
      </c>
      <c r="C358">
        <v>2</v>
      </c>
      <c r="E358" s="81" t="s">
        <v>659</v>
      </c>
      <c r="F358" s="32"/>
    </row>
    <row r="359" spans="1:6" ht="12.75" customHeight="1" x14ac:dyDescent="0.35">
      <c r="A359" s="32" t="s">
        <v>896</v>
      </c>
      <c r="B359" s="32" t="s">
        <v>897</v>
      </c>
      <c r="C359">
        <v>2</v>
      </c>
      <c r="E359" s="81" t="s">
        <v>659</v>
      </c>
      <c r="F359" s="32"/>
    </row>
    <row r="360" spans="1:6" ht="12.75" customHeight="1" x14ac:dyDescent="0.35">
      <c r="A360" s="32" t="s">
        <v>898</v>
      </c>
      <c r="B360" s="32" t="s">
        <v>899</v>
      </c>
      <c r="C360">
        <v>2</v>
      </c>
      <c r="E360" s="81" t="s">
        <v>659</v>
      </c>
      <c r="F360" s="32"/>
    </row>
    <row r="361" spans="1:6" ht="12.75" customHeight="1" x14ac:dyDescent="0.35">
      <c r="A361" s="32" t="s">
        <v>900</v>
      </c>
      <c r="B361" s="32" t="s">
        <v>901</v>
      </c>
      <c r="C361">
        <v>2</v>
      </c>
      <c r="E361" s="81" t="s">
        <v>659</v>
      </c>
      <c r="F361" s="32"/>
    </row>
    <row r="362" spans="1:6" ht="12.75" customHeight="1" x14ac:dyDescent="0.35">
      <c r="A362" s="32" t="s">
        <v>902</v>
      </c>
      <c r="B362" s="32" t="s">
        <v>903</v>
      </c>
      <c r="C362">
        <v>2</v>
      </c>
      <c r="E362" s="81" t="s">
        <v>659</v>
      </c>
      <c r="F362" s="32"/>
    </row>
    <row r="363" spans="1:6" ht="12.75" customHeight="1" x14ac:dyDescent="0.35">
      <c r="A363" s="32" t="s">
        <v>904</v>
      </c>
      <c r="B363" s="32" t="s">
        <v>905</v>
      </c>
      <c r="C363">
        <v>2</v>
      </c>
      <c r="E363" s="81" t="s">
        <v>659</v>
      </c>
      <c r="F363" s="32"/>
    </row>
    <row r="364" spans="1:6" ht="12.75" customHeight="1" x14ac:dyDescent="0.35">
      <c r="A364" s="32" t="s">
        <v>906</v>
      </c>
      <c r="B364" s="32" t="s">
        <v>907</v>
      </c>
      <c r="C364">
        <v>2</v>
      </c>
      <c r="E364" s="81" t="s">
        <v>659</v>
      </c>
      <c r="F364" s="32"/>
    </row>
    <row r="365" spans="1:6" ht="12.75" customHeight="1" x14ac:dyDescent="0.35">
      <c r="A365" s="32" t="s">
        <v>908</v>
      </c>
      <c r="B365" s="32" t="s">
        <v>909</v>
      </c>
      <c r="C365">
        <v>2</v>
      </c>
      <c r="E365" s="81" t="s">
        <v>659</v>
      </c>
      <c r="F365" s="32"/>
    </row>
    <row r="366" spans="1:6" ht="12.75" customHeight="1" x14ac:dyDescent="0.35">
      <c r="A366" s="32" t="s">
        <v>910</v>
      </c>
      <c r="B366" s="32" t="s">
        <v>911</v>
      </c>
      <c r="C366">
        <v>2</v>
      </c>
      <c r="E366" s="81" t="s">
        <v>659</v>
      </c>
      <c r="F366" s="32"/>
    </row>
    <row r="367" spans="1:6" ht="12.75" customHeight="1" x14ac:dyDescent="0.35">
      <c r="A367" s="32" t="s">
        <v>912</v>
      </c>
      <c r="B367" s="32" t="s">
        <v>913</v>
      </c>
      <c r="C367">
        <v>2</v>
      </c>
      <c r="E367" s="81" t="s">
        <v>659</v>
      </c>
      <c r="F367" s="32"/>
    </row>
    <row r="368" spans="1:6" ht="12.75" customHeight="1" x14ac:dyDescent="0.35">
      <c r="A368" s="32" t="s">
        <v>914</v>
      </c>
      <c r="B368" s="32" t="s">
        <v>915</v>
      </c>
      <c r="C368">
        <v>2</v>
      </c>
      <c r="E368" s="81" t="s">
        <v>659</v>
      </c>
      <c r="F368" s="32"/>
    </row>
    <row r="369" spans="1:6" ht="12.75" customHeight="1" x14ac:dyDescent="0.35">
      <c r="A369" s="32" t="s">
        <v>916</v>
      </c>
      <c r="B369" s="32" t="s">
        <v>917</v>
      </c>
      <c r="C369">
        <v>2</v>
      </c>
      <c r="E369" s="81" t="s">
        <v>659</v>
      </c>
      <c r="F369" s="32"/>
    </row>
    <row r="370" spans="1:6" ht="12.75" customHeight="1" x14ac:dyDescent="0.35">
      <c r="A370" s="32" t="s">
        <v>918</v>
      </c>
      <c r="B370" s="32" t="s">
        <v>919</v>
      </c>
      <c r="C370">
        <v>2</v>
      </c>
      <c r="E370" s="81" t="s">
        <v>659</v>
      </c>
      <c r="F370" s="32"/>
    </row>
    <row r="371" spans="1:6" ht="12.75" customHeight="1" x14ac:dyDescent="0.35">
      <c r="A371" s="32" t="s">
        <v>920</v>
      </c>
      <c r="B371" s="32" t="s">
        <v>921</v>
      </c>
      <c r="C371">
        <v>2</v>
      </c>
      <c r="E371" s="81" t="s">
        <v>659</v>
      </c>
      <c r="F371" s="32"/>
    </row>
    <row r="372" spans="1:6" ht="12.75" customHeight="1" x14ac:dyDescent="0.35">
      <c r="A372" s="32" t="s">
        <v>922</v>
      </c>
      <c r="B372" s="32" t="s">
        <v>923</v>
      </c>
      <c r="C372">
        <v>2</v>
      </c>
      <c r="E372" s="81" t="s">
        <v>659</v>
      </c>
      <c r="F372" s="32"/>
    </row>
    <row r="373" spans="1:6" ht="12.75" customHeight="1" x14ac:dyDescent="0.35">
      <c r="A373" s="32" t="s">
        <v>924</v>
      </c>
      <c r="B373" s="32" t="s">
        <v>925</v>
      </c>
      <c r="C373">
        <v>2</v>
      </c>
      <c r="E373" s="81" t="s">
        <v>659</v>
      </c>
      <c r="F373" s="32"/>
    </row>
    <row r="374" spans="1:6" ht="12.75" customHeight="1" x14ac:dyDescent="0.35">
      <c r="A374" s="32" t="s">
        <v>926</v>
      </c>
      <c r="B374" s="32" t="s">
        <v>927</v>
      </c>
      <c r="C374">
        <v>2</v>
      </c>
      <c r="E374" s="81" t="s">
        <v>659</v>
      </c>
      <c r="F374" s="32"/>
    </row>
    <row r="375" spans="1:6" ht="12.75" customHeight="1" x14ac:dyDescent="0.35">
      <c r="A375" s="32" t="s">
        <v>928</v>
      </c>
      <c r="B375" s="32" t="s">
        <v>929</v>
      </c>
      <c r="C375">
        <v>2</v>
      </c>
      <c r="E375" s="81" t="s">
        <v>659</v>
      </c>
      <c r="F375" s="32"/>
    </row>
    <row r="376" spans="1:6" ht="12.75" customHeight="1" x14ac:dyDescent="0.35">
      <c r="A376" s="32" t="s">
        <v>930</v>
      </c>
      <c r="B376" s="32" t="s">
        <v>931</v>
      </c>
      <c r="C376">
        <v>2</v>
      </c>
      <c r="E376" s="81" t="s">
        <v>659</v>
      </c>
      <c r="F376" s="32"/>
    </row>
    <row r="377" spans="1:6" ht="12.75" customHeight="1" x14ac:dyDescent="0.35">
      <c r="A377" s="32" t="s">
        <v>932</v>
      </c>
      <c r="B377" s="32" t="s">
        <v>933</v>
      </c>
      <c r="C377">
        <v>2</v>
      </c>
      <c r="E377" s="81" t="s">
        <v>659</v>
      </c>
      <c r="F377" s="32"/>
    </row>
    <row r="378" spans="1:6" ht="12.75" customHeight="1" x14ac:dyDescent="0.35">
      <c r="A378" s="32" t="s">
        <v>934</v>
      </c>
      <c r="B378" s="32" t="s">
        <v>935</v>
      </c>
      <c r="C378">
        <v>2</v>
      </c>
      <c r="E378" s="81" t="s">
        <v>659</v>
      </c>
      <c r="F378" s="32"/>
    </row>
    <row r="379" spans="1:6" ht="12.75" customHeight="1" x14ac:dyDescent="0.35">
      <c r="A379" s="32" t="s">
        <v>936</v>
      </c>
      <c r="B379" s="32" t="s">
        <v>937</v>
      </c>
      <c r="C379">
        <v>2</v>
      </c>
      <c r="E379" s="81" t="s">
        <v>659</v>
      </c>
      <c r="F379" s="32"/>
    </row>
    <row r="380" spans="1:6" ht="12.75" customHeight="1" x14ac:dyDescent="0.35">
      <c r="A380" s="32" t="s">
        <v>938</v>
      </c>
      <c r="B380" s="32" t="s">
        <v>939</v>
      </c>
      <c r="C380">
        <v>2</v>
      </c>
      <c r="E380" s="81" t="s">
        <v>659</v>
      </c>
      <c r="F380" s="32"/>
    </row>
    <row r="381" spans="1:6" ht="12.75" customHeight="1" x14ac:dyDescent="0.35">
      <c r="A381" s="32" t="s">
        <v>940</v>
      </c>
      <c r="B381" s="32" t="s">
        <v>941</v>
      </c>
      <c r="C381">
        <v>2</v>
      </c>
      <c r="E381" s="81" t="s">
        <v>659</v>
      </c>
      <c r="F381" s="32"/>
    </row>
    <row r="382" spans="1:6" ht="12.75" customHeight="1" x14ac:dyDescent="0.35">
      <c r="A382" s="32" t="s">
        <v>942</v>
      </c>
      <c r="B382" s="32" t="s">
        <v>943</v>
      </c>
      <c r="C382">
        <v>2</v>
      </c>
      <c r="E382" s="81" t="s">
        <v>659</v>
      </c>
      <c r="F382" s="32"/>
    </row>
    <row r="383" spans="1:6" ht="12.75" customHeight="1" x14ac:dyDescent="0.35">
      <c r="A383" s="32" t="s">
        <v>944</v>
      </c>
      <c r="B383" s="32" t="s">
        <v>945</v>
      </c>
      <c r="C383">
        <v>2</v>
      </c>
      <c r="E383" s="81" t="s">
        <v>659</v>
      </c>
      <c r="F383" s="32"/>
    </row>
    <row r="384" spans="1:6" ht="12.75" customHeight="1" x14ac:dyDescent="0.35">
      <c r="A384" s="32" t="s">
        <v>946</v>
      </c>
      <c r="B384" s="32" t="s">
        <v>947</v>
      </c>
      <c r="C384">
        <v>2</v>
      </c>
      <c r="E384" s="81" t="s">
        <v>659</v>
      </c>
      <c r="F384" s="32"/>
    </row>
    <row r="385" spans="1:6" ht="12.75" customHeight="1" x14ac:dyDescent="0.35">
      <c r="A385" s="32" t="s">
        <v>948</v>
      </c>
      <c r="B385" s="32" t="s">
        <v>949</v>
      </c>
      <c r="C385">
        <v>2</v>
      </c>
      <c r="E385" s="81" t="s">
        <v>659</v>
      </c>
      <c r="F385" s="32"/>
    </row>
    <row r="386" spans="1:6" ht="12.75" customHeight="1" x14ac:dyDescent="0.35">
      <c r="A386" s="32" t="s">
        <v>950</v>
      </c>
      <c r="B386" s="32" t="s">
        <v>951</v>
      </c>
      <c r="C386">
        <v>2</v>
      </c>
      <c r="E386" s="81" t="s">
        <v>659</v>
      </c>
      <c r="F386" s="32"/>
    </row>
    <row r="387" spans="1:6" ht="12.75" customHeight="1" x14ac:dyDescent="0.35">
      <c r="A387" s="32" t="s">
        <v>952</v>
      </c>
      <c r="B387" s="32" t="s">
        <v>953</v>
      </c>
      <c r="C387">
        <v>2</v>
      </c>
      <c r="E387" s="81" t="s">
        <v>659</v>
      </c>
      <c r="F387" s="32"/>
    </row>
    <row r="388" spans="1:6" ht="12.75" customHeight="1" x14ac:dyDescent="0.35">
      <c r="A388" s="32" t="s">
        <v>954</v>
      </c>
      <c r="B388" s="32" t="s">
        <v>955</v>
      </c>
      <c r="C388">
        <v>2</v>
      </c>
      <c r="E388" s="81" t="s">
        <v>659</v>
      </c>
      <c r="F388" s="32"/>
    </row>
    <row r="389" spans="1:6" ht="12.75" customHeight="1" x14ac:dyDescent="0.35">
      <c r="A389" s="32" t="s">
        <v>956</v>
      </c>
      <c r="B389" s="32" t="s">
        <v>957</v>
      </c>
      <c r="C389">
        <v>2</v>
      </c>
      <c r="E389" s="81" t="s">
        <v>659</v>
      </c>
      <c r="F389" s="32"/>
    </row>
    <row r="390" spans="1:6" ht="12.75" customHeight="1" x14ac:dyDescent="0.35">
      <c r="A390" s="32" t="s">
        <v>958</v>
      </c>
      <c r="B390" s="32" t="s">
        <v>959</v>
      </c>
      <c r="C390">
        <v>2</v>
      </c>
      <c r="E390" s="81" t="s">
        <v>659</v>
      </c>
      <c r="F390" s="32"/>
    </row>
    <row r="391" spans="1:6" ht="12.75" customHeight="1" x14ac:dyDescent="0.35">
      <c r="A391" s="32" t="s">
        <v>960</v>
      </c>
      <c r="B391" s="32" t="s">
        <v>961</v>
      </c>
      <c r="C391">
        <v>2</v>
      </c>
      <c r="E391" s="81" t="s">
        <v>659</v>
      </c>
      <c r="F391" s="32"/>
    </row>
    <row r="392" spans="1:6" ht="12.75" customHeight="1" x14ac:dyDescent="0.35">
      <c r="A392" s="32" t="s">
        <v>962</v>
      </c>
      <c r="B392" s="32" t="s">
        <v>963</v>
      </c>
      <c r="C392">
        <v>2</v>
      </c>
      <c r="E392" s="81" t="s">
        <v>659</v>
      </c>
      <c r="F392" s="32"/>
    </row>
    <row r="393" spans="1:6" ht="12.75" customHeight="1" x14ac:dyDescent="0.35">
      <c r="A393" s="32" t="s">
        <v>964</v>
      </c>
      <c r="B393" s="32" t="s">
        <v>965</v>
      </c>
      <c r="C393">
        <v>2</v>
      </c>
      <c r="E393" s="81" t="s">
        <v>659</v>
      </c>
      <c r="F393" s="32"/>
    </row>
    <row r="394" spans="1:6" ht="12.75" customHeight="1" x14ac:dyDescent="0.35">
      <c r="A394" s="32" t="s">
        <v>966</v>
      </c>
      <c r="B394" s="32" t="s">
        <v>967</v>
      </c>
      <c r="C394">
        <v>2</v>
      </c>
      <c r="E394" s="81" t="s">
        <v>659</v>
      </c>
      <c r="F394" s="32"/>
    </row>
    <row r="395" spans="1:6" ht="12.75" customHeight="1" x14ac:dyDescent="0.35">
      <c r="A395" s="32" t="s">
        <v>968</v>
      </c>
      <c r="B395" s="32" t="s">
        <v>969</v>
      </c>
      <c r="C395">
        <v>2</v>
      </c>
      <c r="E395" s="81" t="s">
        <v>659</v>
      </c>
      <c r="F395" s="32"/>
    </row>
    <row r="396" spans="1:6" ht="12.75" customHeight="1" x14ac:dyDescent="0.35">
      <c r="A396" s="32" t="s">
        <v>970</v>
      </c>
      <c r="B396" s="32" t="s">
        <v>971</v>
      </c>
      <c r="C396">
        <v>2</v>
      </c>
      <c r="E396" s="81" t="s">
        <v>659</v>
      </c>
      <c r="F396" s="32"/>
    </row>
    <row r="397" spans="1:6" ht="12.75" customHeight="1" x14ac:dyDescent="0.35">
      <c r="A397" s="32" t="s">
        <v>972</v>
      </c>
      <c r="B397" s="32" t="s">
        <v>973</v>
      </c>
      <c r="C397">
        <v>2</v>
      </c>
      <c r="E397" s="81" t="s">
        <v>659</v>
      </c>
      <c r="F397" s="32"/>
    </row>
    <row r="398" spans="1:6" ht="12.75" customHeight="1" x14ac:dyDescent="0.35">
      <c r="A398" s="32" t="s">
        <v>974</v>
      </c>
      <c r="B398" s="32" t="s">
        <v>975</v>
      </c>
      <c r="C398">
        <v>2</v>
      </c>
      <c r="E398" s="81" t="s">
        <v>659</v>
      </c>
      <c r="F398" s="32"/>
    </row>
    <row r="399" spans="1:6" ht="12.75" customHeight="1" x14ac:dyDescent="0.35">
      <c r="A399" s="32" t="s">
        <v>976</v>
      </c>
      <c r="B399" s="32" t="s">
        <v>977</v>
      </c>
      <c r="C399">
        <v>2</v>
      </c>
      <c r="E399" s="81" t="s">
        <v>659</v>
      </c>
      <c r="F399" s="32"/>
    </row>
    <row r="400" spans="1:6" ht="12.75" customHeight="1" x14ac:dyDescent="0.35">
      <c r="A400" s="32" t="s">
        <v>978</v>
      </c>
      <c r="B400" s="32" t="s">
        <v>979</v>
      </c>
      <c r="C400">
        <v>2</v>
      </c>
      <c r="E400" s="81" t="s">
        <v>659</v>
      </c>
      <c r="F400" s="32"/>
    </row>
    <row r="401" spans="1:6" ht="12.75" customHeight="1" x14ac:dyDescent="0.35">
      <c r="A401" s="32" t="s">
        <v>980</v>
      </c>
      <c r="B401" s="32" t="s">
        <v>981</v>
      </c>
      <c r="C401">
        <v>2</v>
      </c>
      <c r="E401" s="81" t="s">
        <v>659</v>
      </c>
      <c r="F401" s="32"/>
    </row>
    <row r="402" spans="1:6" ht="12.75" customHeight="1" x14ac:dyDescent="0.35">
      <c r="A402" s="32" t="s">
        <v>982</v>
      </c>
      <c r="B402" s="32" t="s">
        <v>983</v>
      </c>
      <c r="C402">
        <v>2</v>
      </c>
      <c r="E402" s="81" t="s">
        <v>659</v>
      </c>
      <c r="F402" s="32"/>
    </row>
    <row r="403" spans="1:6" ht="12.75" customHeight="1" x14ac:dyDescent="0.35">
      <c r="A403" s="32" t="s">
        <v>984</v>
      </c>
      <c r="B403" s="32" t="s">
        <v>985</v>
      </c>
      <c r="C403">
        <v>2</v>
      </c>
      <c r="E403" s="81" t="s">
        <v>659</v>
      </c>
      <c r="F403" s="32"/>
    </row>
    <row r="404" spans="1:6" ht="12.75" customHeight="1" x14ac:dyDescent="0.35">
      <c r="A404" s="32" t="s">
        <v>986</v>
      </c>
      <c r="B404" s="32" t="s">
        <v>987</v>
      </c>
      <c r="C404">
        <v>2</v>
      </c>
      <c r="E404" s="81" t="s">
        <v>659</v>
      </c>
      <c r="F404" s="32"/>
    </row>
    <row r="405" spans="1:6" ht="12.75" customHeight="1" x14ac:dyDescent="0.35">
      <c r="A405" s="32" t="s">
        <v>988</v>
      </c>
      <c r="B405" s="32" t="s">
        <v>989</v>
      </c>
      <c r="C405">
        <v>2</v>
      </c>
      <c r="E405" s="81" t="s">
        <v>659</v>
      </c>
      <c r="F405" s="32"/>
    </row>
    <row r="406" spans="1:6" ht="12.75" customHeight="1" x14ac:dyDescent="0.35">
      <c r="A406" s="32" t="s">
        <v>990</v>
      </c>
      <c r="B406" s="32" t="s">
        <v>991</v>
      </c>
      <c r="C406">
        <v>2</v>
      </c>
      <c r="E406" s="81" t="s">
        <v>659</v>
      </c>
      <c r="F406" s="32"/>
    </row>
    <row r="407" spans="1:6" ht="12.75" customHeight="1" x14ac:dyDescent="0.35">
      <c r="A407" s="32" t="s">
        <v>992</v>
      </c>
      <c r="B407" s="32" t="s">
        <v>993</v>
      </c>
      <c r="C407">
        <v>2</v>
      </c>
      <c r="E407" s="81" t="s">
        <v>659</v>
      </c>
      <c r="F407" s="32"/>
    </row>
    <row r="408" spans="1:6" ht="12.75" customHeight="1" x14ac:dyDescent="0.35">
      <c r="A408" s="32" t="s">
        <v>994</v>
      </c>
      <c r="B408" s="32" t="s">
        <v>995</v>
      </c>
      <c r="C408">
        <v>2</v>
      </c>
      <c r="E408" s="81" t="s">
        <v>659</v>
      </c>
      <c r="F408" s="32"/>
    </row>
    <row r="409" spans="1:6" ht="12.75" customHeight="1" x14ac:dyDescent="0.35">
      <c r="A409" s="32" t="s">
        <v>996</v>
      </c>
      <c r="B409" s="32" t="s">
        <v>997</v>
      </c>
      <c r="C409">
        <v>2</v>
      </c>
      <c r="E409" s="81" t="s">
        <v>659</v>
      </c>
      <c r="F409" s="32"/>
    </row>
    <row r="410" spans="1:6" ht="12.75" customHeight="1" x14ac:dyDescent="0.35">
      <c r="A410" s="32" t="s">
        <v>998</v>
      </c>
      <c r="B410" s="32" t="s">
        <v>999</v>
      </c>
      <c r="C410">
        <v>2</v>
      </c>
      <c r="E410" s="81" t="s">
        <v>659</v>
      </c>
      <c r="F410" s="32"/>
    </row>
    <row r="411" spans="1:6" ht="12.75" customHeight="1" x14ac:dyDescent="0.35">
      <c r="A411" s="32" t="s">
        <v>1000</v>
      </c>
      <c r="B411" s="32" t="s">
        <v>1001</v>
      </c>
      <c r="C411">
        <v>2</v>
      </c>
      <c r="E411" s="81" t="s">
        <v>659</v>
      </c>
      <c r="F411" s="32"/>
    </row>
    <row r="412" spans="1:6" ht="12.75" customHeight="1" x14ac:dyDescent="0.35">
      <c r="A412" s="32" t="s">
        <v>1002</v>
      </c>
      <c r="B412" s="32" t="s">
        <v>1003</v>
      </c>
      <c r="C412">
        <v>2</v>
      </c>
      <c r="E412" s="81" t="s">
        <v>659</v>
      </c>
      <c r="F412" s="32"/>
    </row>
    <row r="413" spans="1:6" ht="12.75" customHeight="1" x14ac:dyDescent="0.35">
      <c r="A413" s="32" t="s">
        <v>1004</v>
      </c>
      <c r="B413" s="32" t="s">
        <v>1005</v>
      </c>
      <c r="C413">
        <v>2</v>
      </c>
      <c r="E413" s="81" t="s">
        <v>659</v>
      </c>
      <c r="F413" s="32"/>
    </row>
    <row r="414" spans="1:6" ht="12.75" customHeight="1" x14ac:dyDescent="0.35">
      <c r="A414" s="32" t="s">
        <v>1006</v>
      </c>
      <c r="B414" s="32" t="s">
        <v>1007</v>
      </c>
      <c r="C414">
        <v>2</v>
      </c>
      <c r="E414" s="81" t="s">
        <v>659</v>
      </c>
      <c r="F414" s="32"/>
    </row>
    <row r="415" spans="1:6" ht="12.75" customHeight="1" x14ac:dyDescent="0.35">
      <c r="A415" s="32" t="s">
        <v>1008</v>
      </c>
      <c r="B415" s="32" t="s">
        <v>1009</v>
      </c>
      <c r="C415">
        <v>2</v>
      </c>
      <c r="E415" s="81" t="s">
        <v>659</v>
      </c>
      <c r="F415" s="32"/>
    </row>
    <row r="416" spans="1:6" ht="12.75" customHeight="1" x14ac:dyDescent="0.35">
      <c r="A416" s="32" t="s">
        <v>1010</v>
      </c>
      <c r="B416" s="32" t="s">
        <v>1011</v>
      </c>
      <c r="C416">
        <v>2</v>
      </c>
      <c r="E416" s="81" t="s">
        <v>659</v>
      </c>
      <c r="F416" s="32"/>
    </row>
    <row r="417" spans="1:6" ht="12.75" customHeight="1" x14ac:dyDescent="0.35">
      <c r="A417" s="32" t="s">
        <v>1012</v>
      </c>
      <c r="B417" s="32" t="s">
        <v>1013</v>
      </c>
      <c r="C417">
        <v>2</v>
      </c>
      <c r="E417" s="81" t="s">
        <v>659</v>
      </c>
      <c r="F417" s="32"/>
    </row>
    <row r="418" spans="1:6" ht="12.75" customHeight="1" x14ac:dyDescent="0.35">
      <c r="A418" s="32" t="s">
        <v>1014</v>
      </c>
      <c r="B418" s="32" t="s">
        <v>1015</v>
      </c>
      <c r="C418">
        <v>2</v>
      </c>
      <c r="E418" s="81" t="s">
        <v>659</v>
      </c>
      <c r="F418" s="32"/>
    </row>
    <row r="419" spans="1:6" ht="12.75" customHeight="1" x14ac:dyDescent="0.35">
      <c r="A419" s="32" t="s">
        <v>1016</v>
      </c>
      <c r="B419" s="32" t="s">
        <v>1017</v>
      </c>
      <c r="C419">
        <v>2</v>
      </c>
      <c r="E419" s="81" t="s">
        <v>659</v>
      </c>
      <c r="F419" s="32"/>
    </row>
    <row r="420" spans="1:6" ht="12.75" customHeight="1" x14ac:dyDescent="0.35">
      <c r="A420" s="32" t="s">
        <v>1018</v>
      </c>
      <c r="B420" s="32" t="s">
        <v>1019</v>
      </c>
      <c r="C420">
        <v>2</v>
      </c>
      <c r="E420" s="81" t="s">
        <v>659</v>
      </c>
      <c r="F420" s="32"/>
    </row>
    <row r="421" spans="1:6" ht="12.75" customHeight="1" x14ac:dyDescent="0.35">
      <c r="A421" s="32" t="s">
        <v>1020</v>
      </c>
      <c r="B421" s="32" t="s">
        <v>1021</v>
      </c>
      <c r="C421">
        <v>2</v>
      </c>
      <c r="E421" s="81" t="s">
        <v>659</v>
      </c>
      <c r="F421" s="32"/>
    </row>
    <row r="422" spans="1:6" ht="12.75" customHeight="1" x14ac:dyDescent="0.35">
      <c r="A422" s="32" t="s">
        <v>1022</v>
      </c>
      <c r="B422" s="32" t="s">
        <v>1023</v>
      </c>
      <c r="C422">
        <v>2</v>
      </c>
      <c r="E422" s="81" t="s">
        <v>659</v>
      </c>
      <c r="F422" s="32"/>
    </row>
    <row r="423" spans="1:6" ht="12.75" customHeight="1" x14ac:dyDescent="0.35">
      <c r="A423" s="32" t="s">
        <v>1024</v>
      </c>
      <c r="B423" s="32" t="s">
        <v>1025</v>
      </c>
      <c r="C423">
        <v>2</v>
      </c>
      <c r="E423" s="81" t="s">
        <v>659</v>
      </c>
      <c r="F423" s="32"/>
    </row>
    <row r="424" spans="1:6" ht="12.75" customHeight="1" x14ac:dyDescent="0.35">
      <c r="A424" s="32" t="s">
        <v>1026</v>
      </c>
      <c r="B424" s="32" t="s">
        <v>1027</v>
      </c>
      <c r="C424">
        <v>2</v>
      </c>
      <c r="E424" s="81" t="s">
        <v>659</v>
      </c>
      <c r="F424" s="32"/>
    </row>
    <row r="425" spans="1:6" ht="12.75" customHeight="1" x14ac:dyDescent="0.35">
      <c r="A425" s="32" t="s">
        <v>1028</v>
      </c>
      <c r="B425" s="32" t="s">
        <v>1029</v>
      </c>
      <c r="C425">
        <v>2</v>
      </c>
      <c r="E425" s="81" t="s">
        <v>659</v>
      </c>
      <c r="F425" s="32"/>
    </row>
    <row r="426" spans="1:6" ht="12.75" customHeight="1" x14ac:dyDescent="0.35">
      <c r="A426" s="32" t="s">
        <v>1030</v>
      </c>
      <c r="B426" s="32" t="s">
        <v>1031</v>
      </c>
      <c r="C426">
        <v>2</v>
      </c>
      <c r="E426" s="81" t="s">
        <v>659</v>
      </c>
      <c r="F426" s="32"/>
    </row>
    <row r="427" spans="1:6" ht="12.75" customHeight="1" x14ac:dyDescent="0.35">
      <c r="A427" s="32" t="s">
        <v>1032</v>
      </c>
      <c r="B427" s="32" t="s">
        <v>1033</v>
      </c>
      <c r="C427">
        <v>2</v>
      </c>
      <c r="E427" s="81" t="s">
        <v>659</v>
      </c>
      <c r="F427" s="32"/>
    </row>
    <row r="428" spans="1:6" ht="12.75" customHeight="1" x14ac:dyDescent="0.35">
      <c r="A428" s="32" t="s">
        <v>1034</v>
      </c>
      <c r="B428" s="32" t="s">
        <v>1035</v>
      </c>
      <c r="C428">
        <v>2</v>
      </c>
      <c r="E428" s="81" t="s">
        <v>659</v>
      </c>
      <c r="F428" s="32"/>
    </row>
    <row r="429" spans="1:6" ht="12.75" customHeight="1" x14ac:dyDescent="0.35">
      <c r="A429" s="32" t="s">
        <v>1036</v>
      </c>
      <c r="B429" s="32" t="s">
        <v>1037</v>
      </c>
      <c r="C429">
        <v>2</v>
      </c>
      <c r="E429" s="81" t="s">
        <v>659</v>
      </c>
      <c r="F429" s="32"/>
    </row>
    <row r="430" spans="1:6" ht="12.75" customHeight="1" x14ac:dyDescent="0.35">
      <c r="A430" s="32" t="s">
        <v>1038</v>
      </c>
      <c r="B430" s="32" t="s">
        <v>1039</v>
      </c>
      <c r="C430">
        <v>2</v>
      </c>
      <c r="E430" s="81" t="s">
        <v>659</v>
      </c>
      <c r="F430" s="32"/>
    </row>
    <row r="431" spans="1:6" ht="12.75" customHeight="1" x14ac:dyDescent="0.35">
      <c r="B431" s="32" t="s">
        <v>242</v>
      </c>
      <c r="F431" s="32"/>
    </row>
    <row r="432" spans="1:6" ht="12.75" customHeight="1" x14ac:dyDescent="0.35">
      <c r="A432" s="32" t="s">
        <v>1040</v>
      </c>
      <c r="B432" s="32" t="s">
        <v>1041</v>
      </c>
      <c r="C432">
        <v>1</v>
      </c>
      <c r="E432" s="81" t="s">
        <v>1042</v>
      </c>
      <c r="F432" s="32"/>
    </row>
    <row r="433" spans="1:6" ht="12.75" customHeight="1" x14ac:dyDescent="0.35">
      <c r="A433" s="32" t="s">
        <v>1043</v>
      </c>
      <c r="B433" s="32" t="s">
        <v>1044</v>
      </c>
      <c r="C433">
        <v>1</v>
      </c>
      <c r="E433" s="81" t="s">
        <v>1042</v>
      </c>
      <c r="F433" s="32"/>
    </row>
    <row r="434" spans="1:6" ht="12.75" customHeight="1" x14ac:dyDescent="0.35">
      <c r="A434" s="32" t="s">
        <v>1045</v>
      </c>
      <c r="B434" s="32" t="s">
        <v>1046</v>
      </c>
      <c r="C434">
        <v>1</v>
      </c>
      <c r="E434" s="81" t="s">
        <v>1042</v>
      </c>
      <c r="F434" s="32"/>
    </row>
    <row r="435" spans="1:6" ht="12.75" customHeight="1" x14ac:dyDescent="0.35">
      <c r="A435" s="32" t="s">
        <v>1047</v>
      </c>
      <c r="B435" s="32" t="s">
        <v>1048</v>
      </c>
      <c r="C435">
        <v>1</v>
      </c>
      <c r="E435" s="81" t="s">
        <v>1042</v>
      </c>
      <c r="F435" s="32"/>
    </row>
    <row r="436" spans="1:6" ht="12.75" customHeight="1" x14ac:dyDescent="0.35">
      <c r="A436" s="32" t="s">
        <v>1049</v>
      </c>
      <c r="B436" s="32" t="s">
        <v>1050</v>
      </c>
      <c r="C436">
        <v>1</v>
      </c>
      <c r="E436" s="81" t="s">
        <v>1042</v>
      </c>
      <c r="F436" s="32"/>
    </row>
    <row r="437" spans="1:6" ht="12.75" customHeight="1" x14ac:dyDescent="0.35">
      <c r="A437" s="32" t="s">
        <v>1051</v>
      </c>
      <c r="B437" s="32" t="s">
        <v>1052</v>
      </c>
      <c r="C437">
        <v>1</v>
      </c>
      <c r="E437" s="81" t="s">
        <v>1042</v>
      </c>
      <c r="F437" s="32"/>
    </row>
    <row r="438" spans="1:6" ht="12.75" customHeight="1" x14ac:dyDescent="0.35">
      <c r="A438" s="32" t="s">
        <v>1053</v>
      </c>
      <c r="B438" s="32" t="s">
        <v>1054</v>
      </c>
      <c r="C438">
        <v>1</v>
      </c>
      <c r="E438" s="81" t="s">
        <v>1042</v>
      </c>
      <c r="F438" s="32"/>
    </row>
    <row r="439" spans="1:6" ht="12.75" customHeight="1" x14ac:dyDescent="0.35">
      <c r="A439" s="32" t="s">
        <v>1055</v>
      </c>
      <c r="B439" s="32" t="s">
        <v>1056</v>
      </c>
      <c r="C439">
        <v>1</v>
      </c>
      <c r="E439" s="81" t="s">
        <v>1042</v>
      </c>
      <c r="F439" s="32"/>
    </row>
    <row r="440" spans="1:6" ht="12.75" customHeight="1" x14ac:dyDescent="0.35">
      <c r="A440" s="32" t="s">
        <v>1057</v>
      </c>
      <c r="B440" s="32" t="s">
        <v>1058</v>
      </c>
      <c r="C440">
        <v>1</v>
      </c>
      <c r="E440" s="81" t="s">
        <v>1042</v>
      </c>
      <c r="F440" s="32"/>
    </row>
    <row r="441" spans="1:6" ht="12.75" customHeight="1" x14ac:dyDescent="0.35">
      <c r="A441" s="32" t="s">
        <v>1059</v>
      </c>
      <c r="B441" s="32" t="s">
        <v>1060</v>
      </c>
      <c r="C441">
        <v>1</v>
      </c>
      <c r="E441" s="81" t="s">
        <v>1042</v>
      </c>
      <c r="F441" s="32"/>
    </row>
    <row r="442" spans="1:6" ht="12.75" customHeight="1" x14ac:dyDescent="0.35">
      <c r="A442" s="32" t="s">
        <v>1061</v>
      </c>
      <c r="B442" s="32" t="s">
        <v>1062</v>
      </c>
      <c r="C442">
        <v>1</v>
      </c>
      <c r="E442" s="81" t="s">
        <v>1042</v>
      </c>
      <c r="F442" s="32"/>
    </row>
    <row r="443" spans="1:6" ht="12.75" customHeight="1" x14ac:dyDescent="0.35">
      <c r="A443" s="32" t="s">
        <v>1063</v>
      </c>
      <c r="B443" s="32" t="s">
        <v>1064</v>
      </c>
      <c r="C443">
        <v>1</v>
      </c>
      <c r="E443" s="81" t="s">
        <v>1042</v>
      </c>
      <c r="F443" s="32"/>
    </row>
    <row r="444" spans="1:6" ht="12.75" customHeight="1" x14ac:dyDescent="0.35">
      <c r="A444" s="32" t="s">
        <v>1065</v>
      </c>
      <c r="B444" s="32" t="s">
        <v>1066</v>
      </c>
      <c r="C444">
        <v>1</v>
      </c>
      <c r="E444" s="81" t="s">
        <v>1042</v>
      </c>
      <c r="F444" s="32"/>
    </row>
    <row r="445" spans="1:6" ht="12.75" customHeight="1" x14ac:dyDescent="0.35">
      <c r="A445" s="32" t="s">
        <v>1067</v>
      </c>
      <c r="B445" s="32" t="s">
        <v>1068</v>
      </c>
      <c r="C445">
        <v>1</v>
      </c>
      <c r="E445" s="81" t="s">
        <v>1042</v>
      </c>
      <c r="F445" s="32"/>
    </row>
    <row r="446" spans="1:6" ht="12.75" customHeight="1" x14ac:dyDescent="0.35">
      <c r="A446" s="32" t="s">
        <v>1069</v>
      </c>
      <c r="B446" s="32" t="s">
        <v>1070</v>
      </c>
      <c r="C446">
        <v>1</v>
      </c>
      <c r="E446" s="81" t="s">
        <v>1042</v>
      </c>
      <c r="F446" s="32"/>
    </row>
    <row r="447" spans="1:6" ht="12.75" customHeight="1" x14ac:dyDescent="0.35">
      <c r="A447" s="32" t="s">
        <v>1071</v>
      </c>
      <c r="B447" s="32" t="s">
        <v>1072</v>
      </c>
      <c r="C447">
        <v>1</v>
      </c>
      <c r="E447" s="81" t="s">
        <v>1042</v>
      </c>
      <c r="F447" s="32"/>
    </row>
    <row r="448" spans="1:6" ht="12.75" customHeight="1" x14ac:dyDescent="0.35">
      <c r="A448" s="32" t="s">
        <v>1073</v>
      </c>
      <c r="B448" s="32" t="s">
        <v>1074</v>
      </c>
      <c r="C448">
        <v>1</v>
      </c>
      <c r="E448" s="81" t="s">
        <v>1042</v>
      </c>
      <c r="F448" s="32"/>
    </row>
    <row r="449" spans="1:6" ht="12.75" customHeight="1" x14ac:dyDescent="0.35">
      <c r="A449" s="32" t="s">
        <v>1075</v>
      </c>
      <c r="B449" s="32" t="s">
        <v>987</v>
      </c>
      <c r="C449">
        <v>1</v>
      </c>
      <c r="E449" s="81" t="s">
        <v>1042</v>
      </c>
      <c r="F449" s="32"/>
    </row>
    <row r="450" spans="1:6" ht="12.75" customHeight="1" x14ac:dyDescent="0.35">
      <c r="A450" s="32" t="s">
        <v>1076</v>
      </c>
      <c r="B450" s="32" t="s">
        <v>1077</v>
      </c>
      <c r="C450">
        <v>1</v>
      </c>
      <c r="E450" s="81" t="s">
        <v>1042</v>
      </c>
      <c r="F450" s="32"/>
    </row>
    <row r="451" spans="1:6" ht="12.75" customHeight="1" x14ac:dyDescent="0.35">
      <c r="A451" s="32" t="s">
        <v>1078</v>
      </c>
      <c r="B451" s="32" t="s">
        <v>1079</v>
      </c>
      <c r="C451">
        <v>1</v>
      </c>
      <c r="E451" s="81" t="s">
        <v>1042</v>
      </c>
      <c r="F451" s="32"/>
    </row>
    <row r="452" spans="1:6" ht="12.75" customHeight="1" x14ac:dyDescent="0.35">
      <c r="A452" s="32" t="s">
        <v>1080</v>
      </c>
      <c r="B452" s="32" t="s">
        <v>1081</v>
      </c>
      <c r="C452">
        <v>1</v>
      </c>
      <c r="E452" s="81" t="s">
        <v>1042</v>
      </c>
      <c r="F452" s="32"/>
    </row>
    <row r="453" spans="1:6" ht="12.75" customHeight="1" x14ac:dyDescent="0.35">
      <c r="A453" s="32" t="s">
        <v>1082</v>
      </c>
      <c r="B453" s="32" t="s">
        <v>1083</v>
      </c>
      <c r="C453">
        <v>1</v>
      </c>
      <c r="E453" s="81" t="s">
        <v>1042</v>
      </c>
      <c r="F453" s="32"/>
    </row>
    <row r="454" spans="1:6" ht="12.75" customHeight="1" x14ac:dyDescent="0.35">
      <c r="A454" s="32" t="s">
        <v>1084</v>
      </c>
      <c r="B454" s="32" t="s">
        <v>1085</v>
      </c>
      <c r="C454">
        <v>1</v>
      </c>
      <c r="E454" s="81" t="s">
        <v>1042</v>
      </c>
      <c r="F454" s="32"/>
    </row>
    <row r="455" spans="1:6" ht="12.75" customHeight="1" x14ac:dyDescent="0.35">
      <c r="A455" s="32" t="s">
        <v>1086</v>
      </c>
      <c r="B455" s="32" t="s">
        <v>1087</v>
      </c>
      <c r="C455">
        <v>1</v>
      </c>
      <c r="E455" s="81" t="s">
        <v>1042</v>
      </c>
      <c r="F455" s="32"/>
    </row>
    <row r="456" spans="1:6" ht="12.75" customHeight="1" x14ac:dyDescent="0.35">
      <c r="A456" s="32" t="s">
        <v>1088</v>
      </c>
      <c r="B456" s="32" t="s">
        <v>1089</v>
      </c>
      <c r="C456">
        <v>1</v>
      </c>
      <c r="E456" s="81" t="s">
        <v>1042</v>
      </c>
      <c r="F456" s="32"/>
    </row>
    <row r="457" spans="1:6" ht="12.75" customHeight="1" x14ac:dyDescent="0.35">
      <c r="A457" s="32" t="s">
        <v>1090</v>
      </c>
      <c r="B457" s="32" t="s">
        <v>1091</v>
      </c>
      <c r="C457">
        <v>1</v>
      </c>
      <c r="E457" s="81" t="s">
        <v>1042</v>
      </c>
      <c r="F457" s="32"/>
    </row>
    <row r="458" spans="1:6" ht="12.75" customHeight="1" x14ac:dyDescent="0.35">
      <c r="A458" s="32" t="s">
        <v>1092</v>
      </c>
      <c r="B458" s="32" t="s">
        <v>1093</v>
      </c>
      <c r="C458">
        <v>1</v>
      </c>
      <c r="E458" s="81" t="s">
        <v>1042</v>
      </c>
      <c r="F458" s="32"/>
    </row>
    <row r="459" spans="1:6" ht="12.75" customHeight="1" x14ac:dyDescent="0.35">
      <c r="A459" s="32" t="s">
        <v>1094</v>
      </c>
      <c r="B459" s="32" t="s">
        <v>1095</v>
      </c>
      <c r="C459">
        <v>1</v>
      </c>
      <c r="E459" s="81" t="s">
        <v>1042</v>
      </c>
      <c r="F459" s="32"/>
    </row>
    <row r="460" spans="1:6" ht="12.75" customHeight="1" x14ac:dyDescent="0.35">
      <c r="A460" s="32" t="s">
        <v>1096</v>
      </c>
      <c r="B460" s="32" t="s">
        <v>1097</v>
      </c>
      <c r="C460">
        <v>1</v>
      </c>
      <c r="E460" s="81" t="s">
        <v>1042</v>
      </c>
      <c r="F460" s="32"/>
    </row>
    <row r="461" spans="1:6" ht="12.75" customHeight="1" x14ac:dyDescent="0.35">
      <c r="A461" s="32" t="s">
        <v>1098</v>
      </c>
      <c r="B461" s="32" t="s">
        <v>1099</v>
      </c>
      <c r="C461">
        <v>1</v>
      </c>
      <c r="E461" s="81" t="s">
        <v>1042</v>
      </c>
      <c r="F461" s="32"/>
    </row>
    <row r="462" spans="1:6" ht="12.75" customHeight="1" x14ac:dyDescent="0.35">
      <c r="A462" s="32" t="s">
        <v>1100</v>
      </c>
      <c r="B462" s="32" t="s">
        <v>1101</v>
      </c>
      <c r="C462">
        <v>1</v>
      </c>
      <c r="E462" s="81" t="s">
        <v>1042</v>
      </c>
      <c r="F462" s="32"/>
    </row>
    <row r="463" spans="1:6" ht="12.75" customHeight="1" x14ac:dyDescent="0.35">
      <c r="A463" s="32" t="s">
        <v>1102</v>
      </c>
      <c r="B463" s="32" t="s">
        <v>1103</v>
      </c>
      <c r="C463">
        <v>1</v>
      </c>
      <c r="E463" s="81" t="s">
        <v>1042</v>
      </c>
      <c r="F463" s="32"/>
    </row>
    <row r="464" spans="1:6" ht="12.75" customHeight="1" x14ac:dyDescent="0.35">
      <c r="A464" s="32" t="s">
        <v>1104</v>
      </c>
      <c r="B464" s="32" t="s">
        <v>1105</v>
      </c>
      <c r="C464">
        <v>1</v>
      </c>
      <c r="E464" s="81" t="s">
        <v>1042</v>
      </c>
      <c r="F464" s="32"/>
    </row>
    <row r="465" spans="1:6" ht="12.75" customHeight="1" x14ac:dyDescent="0.35">
      <c r="A465" s="32" t="s">
        <v>1106</v>
      </c>
      <c r="B465" s="32" t="s">
        <v>1107</v>
      </c>
      <c r="C465">
        <v>1</v>
      </c>
      <c r="E465" s="81" t="s">
        <v>1042</v>
      </c>
      <c r="F465" s="32"/>
    </row>
    <row r="466" spans="1:6" ht="12.75" customHeight="1" x14ac:dyDescent="0.35">
      <c r="A466" s="32" t="s">
        <v>1108</v>
      </c>
      <c r="B466" s="32" t="s">
        <v>1109</v>
      </c>
      <c r="C466">
        <v>1</v>
      </c>
      <c r="E466" s="81" t="s">
        <v>1042</v>
      </c>
      <c r="F466" s="32"/>
    </row>
    <row r="467" spans="1:6" ht="12.75" customHeight="1" x14ac:dyDescent="0.35">
      <c r="A467" s="32" t="s">
        <v>1110</v>
      </c>
      <c r="B467" s="32" t="s">
        <v>1111</v>
      </c>
      <c r="C467">
        <v>1</v>
      </c>
      <c r="E467" s="81" t="s">
        <v>1042</v>
      </c>
      <c r="F467" s="32"/>
    </row>
    <row r="468" spans="1:6" ht="12.75" customHeight="1" x14ac:dyDescent="0.35">
      <c r="A468" s="32" t="s">
        <v>1112</v>
      </c>
      <c r="B468" s="32" t="s">
        <v>1113</v>
      </c>
      <c r="C468">
        <v>1</v>
      </c>
      <c r="E468" s="81" t="s">
        <v>1042</v>
      </c>
      <c r="F468" s="32"/>
    </row>
    <row r="469" spans="1:6" ht="12.75" customHeight="1" x14ac:dyDescent="0.35">
      <c r="A469" s="32" t="s">
        <v>1114</v>
      </c>
      <c r="B469" s="32" t="s">
        <v>1115</v>
      </c>
      <c r="C469">
        <v>1</v>
      </c>
      <c r="E469" s="81" t="s">
        <v>1042</v>
      </c>
      <c r="F469" s="32"/>
    </row>
    <row r="470" spans="1:6" ht="12.75" customHeight="1" x14ac:dyDescent="0.35">
      <c r="A470" s="32" t="s">
        <v>1116</v>
      </c>
      <c r="B470" s="32" t="s">
        <v>1117</v>
      </c>
      <c r="C470">
        <v>1</v>
      </c>
      <c r="E470" s="81" t="s">
        <v>1042</v>
      </c>
      <c r="F470" s="32"/>
    </row>
    <row r="471" spans="1:6" ht="12.75" customHeight="1" x14ac:dyDescent="0.35">
      <c r="A471" s="32" t="s">
        <v>1118</v>
      </c>
      <c r="B471" s="32" t="s">
        <v>1119</v>
      </c>
      <c r="C471">
        <v>1</v>
      </c>
      <c r="E471" s="81" t="s">
        <v>1042</v>
      </c>
      <c r="F471" s="32"/>
    </row>
    <row r="472" spans="1:6" ht="12.75" customHeight="1" x14ac:dyDescent="0.35">
      <c r="A472" s="32" t="s">
        <v>1120</v>
      </c>
      <c r="B472" s="32" t="s">
        <v>1121</v>
      </c>
      <c r="C472">
        <v>1</v>
      </c>
      <c r="E472" s="81" t="s">
        <v>1042</v>
      </c>
      <c r="F472" s="32"/>
    </row>
    <row r="473" spans="1:6" ht="12.75" customHeight="1" x14ac:dyDescent="0.35">
      <c r="A473" s="32" t="s">
        <v>1122</v>
      </c>
      <c r="B473" s="32" t="s">
        <v>1123</v>
      </c>
      <c r="C473">
        <v>1</v>
      </c>
      <c r="E473" s="81" t="s">
        <v>1042</v>
      </c>
      <c r="F473" s="32"/>
    </row>
    <row r="474" spans="1:6" ht="12.75" customHeight="1" x14ac:dyDescent="0.35">
      <c r="A474" s="32" t="s">
        <v>1124</v>
      </c>
      <c r="B474" s="32" t="s">
        <v>1125</v>
      </c>
      <c r="C474">
        <v>1</v>
      </c>
      <c r="E474" s="81" t="s">
        <v>1042</v>
      </c>
      <c r="F474" s="32"/>
    </row>
    <row r="475" spans="1:6" ht="12.75" customHeight="1" x14ac:dyDescent="0.35">
      <c r="A475" s="32" t="s">
        <v>1126</v>
      </c>
      <c r="B475" s="32" t="s">
        <v>1127</v>
      </c>
      <c r="C475">
        <v>1</v>
      </c>
      <c r="E475" s="81" t="s">
        <v>1042</v>
      </c>
      <c r="F475" s="32"/>
    </row>
    <row r="476" spans="1:6" ht="12.75" customHeight="1" x14ac:dyDescent="0.35">
      <c r="A476" s="32" t="s">
        <v>1128</v>
      </c>
      <c r="B476" s="32" t="s">
        <v>1129</v>
      </c>
      <c r="C476">
        <v>1</v>
      </c>
      <c r="E476" s="81" t="s">
        <v>1042</v>
      </c>
      <c r="F476" s="32"/>
    </row>
    <row r="477" spans="1:6" ht="12.75" customHeight="1" x14ac:dyDescent="0.35">
      <c r="A477" s="32" t="s">
        <v>1130</v>
      </c>
      <c r="B477" s="32" t="s">
        <v>1131</v>
      </c>
      <c r="C477">
        <v>1</v>
      </c>
      <c r="E477" s="81" t="s">
        <v>1042</v>
      </c>
      <c r="F477" s="32"/>
    </row>
    <row r="478" spans="1:6" ht="12.75" customHeight="1" x14ac:dyDescent="0.35">
      <c r="A478" s="32" t="s">
        <v>1132</v>
      </c>
      <c r="B478" s="32" t="s">
        <v>1133</v>
      </c>
      <c r="C478">
        <v>1</v>
      </c>
      <c r="E478" s="81" t="s">
        <v>1042</v>
      </c>
      <c r="F478" s="32"/>
    </row>
    <row r="479" spans="1:6" ht="12.75" customHeight="1" x14ac:dyDescent="0.35">
      <c r="A479" s="32" t="s">
        <v>1134</v>
      </c>
      <c r="B479" s="32" t="s">
        <v>1135</v>
      </c>
      <c r="C479">
        <v>1</v>
      </c>
      <c r="E479" s="81" t="s">
        <v>1042</v>
      </c>
      <c r="F479" s="32"/>
    </row>
    <row r="480" spans="1:6" ht="12.75" customHeight="1" x14ac:dyDescent="0.35">
      <c r="A480" s="32" t="s">
        <v>1136</v>
      </c>
      <c r="B480" s="32" t="s">
        <v>1137</v>
      </c>
      <c r="C480">
        <v>1</v>
      </c>
      <c r="E480" s="81" t="s">
        <v>1042</v>
      </c>
      <c r="F480" s="32"/>
    </row>
    <row r="481" spans="1:6" ht="12.75" customHeight="1" x14ac:dyDescent="0.35">
      <c r="A481" s="32" t="s">
        <v>1138</v>
      </c>
      <c r="B481" s="32" t="s">
        <v>1139</v>
      </c>
      <c r="C481">
        <v>1</v>
      </c>
      <c r="E481" s="81" t="s">
        <v>1042</v>
      </c>
      <c r="F481" s="32"/>
    </row>
    <row r="482" spans="1:6" ht="12.75" customHeight="1" x14ac:dyDescent="0.35">
      <c r="A482" s="32" t="s">
        <v>1140</v>
      </c>
      <c r="B482" s="32" t="s">
        <v>1141</v>
      </c>
      <c r="C482">
        <v>1</v>
      </c>
      <c r="E482" s="81" t="s">
        <v>1042</v>
      </c>
      <c r="F482" s="32"/>
    </row>
    <row r="483" spans="1:6" ht="12.75" customHeight="1" x14ac:dyDescent="0.35">
      <c r="A483" s="32" t="s">
        <v>1142</v>
      </c>
      <c r="B483" s="32" t="s">
        <v>1143</v>
      </c>
      <c r="C483">
        <v>1</v>
      </c>
      <c r="E483" s="81" t="s">
        <v>1042</v>
      </c>
      <c r="F483" s="32"/>
    </row>
    <row r="484" spans="1:6" ht="12.75" customHeight="1" x14ac:dyDescent="0.35">
      <c r="A484" s="32" t="s">
        <v>1144</v>
      </c>
      <c r="B484" s="32" t="s">
        <v>1145</v>
      </c>
      <c r="C484">
        <v>1</v>
      </c>
      <c r="E484" s="81" t="s">
        <v>1042</v>
      </c>
      <c r="F484" s="32"/>
    </row>
    <row r="485" spans="1:6" ht="12.75" customHeight="1" x14ac:dyDescent="0.35">
      <c r="A485" s="32" t="s">
        <v>1146</v>
      </c>
      <c r="B485" s="32" t="s">
        <v>1147</v>
      </c>
      <c r="C485">
        <v>1</v>
      </c>
      <c r="E485" s="81" t="s">
        <v>1042</v>
      </c>
      <c r="F485" s="32"/>
    </row>
    <row r="486" spans="1:6" ht="12.75" customHeight="1" x14ac:dyDescent="0.35">
      <c r="A486" s="32" t="s">
        <v>1148</v>
      </c>
      <c r="B486" s="32" t="s">
        <v>1149</v>
      </c>
      <c r="C486">
        <v>1</v>
      </c>
      <c r="E486" s="81" t="s">
        <v>1042</v>
      </c>
      <c r="F486" s="32"/>
    </row>
    <row r="487" spans="1:6" ht="12.75" customHeight="1" x14ac:dyDescent="0.35">
      <c r="A487" s="32" t="s">
        <v>1150</v>
      </c>
      <c r="B487" s="32" t="s">
        <v>1151</v>
      </c>
      <c r="C487">
        <v>1</v>
      </c>
      <c r="E487" s="81" t="s">
        <v>1042</v>
      </c>
      <c r="F487" s="32"/>
    </row>
    <row r="488" spans="1:6" ht="12.75" customHeight="1" x14ac:dyDescent="0.35">
      <c r="A488" s="32" t="s">
        <v>1152</v>
      </c>
      <c r="B488" s="32" t="s">
        <v>1153</v>
      </c>
      <c r="C488">
        <v>1</v>
      </c>
      <c r="E488" s="81" t="s">
        <v>1042</v>
      </c>
      <c r="F488" s="32"/>
    </row>
    <row r="489" spans="1:6" ht="12.75" customHeight="1" x14ac:dyDescent="0.35">
      <c r="A489" s="32" t="s">
        <v>1154</v>
      </c>
      <c r="B489" s="32" t="s">
        <v>1155</v>
      </c>
      <c r="C489">
        <v>1</v>
      </c>
      <c r="E489" s="81" t="s">
        <v>1042</v>
      </c>
      <c r="F489" s="32"/>
    </row>
    <row r="490" spans="1:6" ht="12.75" customHeight="1" x14ac:dyDescent="0.35">
      <c r="A490" s="32" t="s">
        <v>1156</v>
      </c>
      <c r="B490" s="32" t="s">
        <v>1157</v>
      </c>
      <c r="C490">
        <v>1</v>
      </c>
      <c r="E490" s="81" t="s">
        <v>1042</v>
      </c>
      <c r="F490" s="32"/>
    </row>
    <row r="491" spans="1:6" ht="12.75" customHeight="1" x14ac:dyDescent="0.35">
      <c r="A491" s="32" t="s">
        <v>1158</v>
      </c>
      <c r="B491" s="32" t="s">
        <v>1159</v>
      </c>
      <c r="C491">
        <v>1</v>
      </c>
      <c r="E491" s="81" t="s">
        <v>1042</v>
      </c>
      <c r="F491" s="32"/>
    </row>
    <row r="492" spans="1:6" ht="12.75" customHeight="1" x14ac:dyDescent="0.35">
      <c r="A492" s="32" t="s">
        <v>1160</v>
      </c>
      <c r="B492" s="32" t="s">
        <v>1161</v>
      </c>
      <c r="C492">
        <v>1</v>
      </c>
      <c r="E492" s="81" t="s">
        <v>1042</v>
      </c>
      <c r="F492" s="32"/>
    </row>
    <row r="493" spans="1:6" ht="12.75" customHeight="1" x14ac:dyDescent="0.35">
      <c r="A493" s="32" t="s">
        <v>1162</v>
      </c>
      <c r="B493" s="32" t="s">
        <v>1163</v>
      </c>
      <c r="C493">
        <v>1</v>
      </c>
      <c r="E493" s="81" t="s">
        <v>1042</v>
      </c>
      <c r="F493" s="32"/>
    </row>
    <row r="494" spans="1:6" ht="12.75" customHeight="1" x14ac:dyDescent="0.35">
      <c r="A494" s="32" t="s">
        <v>1164</v>
      </c>
      <c r="B494" s="32" t="s">
        <v>1165</v>
      </c>
      <c r="C494">
        <v>1</v>
      </c>
      <c r="E494" s="81" t="s">
        <v>1042</v>
      </c>
      <c r="F494" s="32"/>
    </row>
    <row r="495" spans="1:6" ht="12.75" customHeight="1" x14ac:dyDescent="0.35">
      <c r="A495" s="32" t="s">
        <v>1166</v>
      </c>
      <c r="B495" s="32" t="s">
        <v>1167</v>
      </c>
      <c r="C495">
        <v>1</v>
      </c>
      <c r="E495" s="81" t="s">
        <v>1042</v>
      </c>
      <c r="F495" s="32"/>
    </row>
    <row r="496" spans="1:6" ht="12.75" customHeight="1" x14ac:dyDescent="0.35">
      <c r="A496" s="32" t="s">
        <v>1168</v>
      </c>
      <c r="B496" s="32" t="s">
        <v>1169</v>
      </c>
      <c r="C496">
        <v>1</v>
      </c>
      <c r="E496" s="81" t="s">
        <v>1042</v>
      </c>
      <c r="F496" s="32"/>
    </row>
    <row r="497" spans="1:6" ht="12.75" customHeight="1" x14ac:dyDescent="0.35">
      <c r="A497" s="32" t="s">
        <v>1170</v>
      </c>
      <c r="B497" s="32" t="s">
        <v>1171</v>
      </c>
      <c r="C497">
        <v>1</v>
      </c>
      <c r="E497" s="81" t="s">
        <v>1042</v>
      </c>
      <c r="F497" s="32"/>
    </row>
    <row r="498" spans="1:6" ht="12.75" customHeight="1" x14ac:dyDescent="0.35">
      <c r="A498" s="32" t="s">
        <v>1172</v>
      </c>
      <c r="B498" s="32" t="s">
        <v>1173</v>
      </c>
      <c r="C498">
        <v>1</v>
      </c>
      <c r="E498" s="81" t="s">
        <v>1042</v>
      </c>
      <c r="F498" s="32"/>
    </row>
    <row r="499" spans="1:6" ht="12.75" customHeight="1" x14ac:dyDescent="0.35">
      <c r="A499" s="32" t="s">
        <v>1174</v>
      </c>
      <c r="B499" s="32" t="s">
        <v>1175</v>
      </c>
      <c r="C499">
        <v>1</v>
      </c>
      <c r="E499" s="81" t="s">
        <v>1042</v>
      </c>
      <c r="F499" s="32"/>
    </row>
    <row r="500" spans="1:6" ht="12.75" customHeight="1" x14ac:dyDescent="0.35">
      <c r="A500" s="32" t="s">
        <v>1176</v>
      </c>
      <c r="B500" s="32" t="s">
        <v>1177</v>
      </c>
      <c r="C500">
        <v>1</v>
      </c>
      <c r="E500" s="81" t="s">
        <v>1042</v>
      </c>
      <c r="F500" s="32"/>
    </row>
    <row r="501" spans="1:6" ht="12.75" customHeight="1" x14ac:dyDescent="0.35">
      <c r="A501" s="32" t="s">
        <v>1178</v>
      </c>
      <c r="B501" s="32" t="s">
        <v>1179</v>
      </c>
      <c r="C501">
        <v>1</v>
      </c>
      <c r="E501" s="81" t="s">
        <v>1042</v>
      </c>
      <c r="F501" s="32"/>
    </row>
    <row r="502" spans="1:6" ht="12.75" customHeight="1" x14ac:dyDescent="0.35">
      <c r="A502" s="32" t="s">
        <v>1180</v>
      </c>
      <c r="B502" s="32" t="s">
        <v>1181</v>
      </c>
      <c r="C502">
        <v>1</v>
      </c>
      <c r="E502" s="81" t="s">
        <v>1042</v>
      </c>
      <c r="F502" s="32"/>
    </row>
    <row r="503" spans="1:6" ht="12.75" customHeight="1" x14ac:dyDescent="0.35">
      <c r="A503" s="32" t="s">
        <v>1182</v>
      </c>
      <c r="B503" s="32" t="s">
        <v>1183</v>
      </c>
      <c r="C503">
        <v>1</v>
      </c>
      <c r="E503" s="81" t="s">
        <v>1042</v>
      </c>
      <c r="F503" s="32"/>
    </row>
    <row r="504" spans="1:6" ht="12.75" customHeight="1" x14ac:dyDescent="0.35">
      <c r="A504" s="32" t="s">
        <v>1184</v>
      </c>
      <c r="B504" s="32" t="s">
        <v>1185</v>
      </c>
      <c r="C504">
        <v>1</v>
      </c>
      <c r="E504" s="81" t="s">
        <v>1042</v>
      </c>
      <c r="F504" s="32"/>
    </row>
    <row r="505" spans="1:6" ht="12.75" customHeight="1" x14ac:dyDescent="0.35">
      <c r="A505" s="32" t="s">
        <v>1186</v>
      </c>
      <c r="B505" s="32" t="s">
        <v>1187</v>
      </c>
      <c r="C505">
        <v>1</v>
      </c>
      <c r="E505" s="81" t="s">
        <v>1042</v>
      </c>
      <c r="F505" s="32"/>
    </row>
    <row r="506" spans="1:6" ht="12.75" customHeight="1" x14ac:dyDescent="0.35">
      <c r="A506" s="32" t="s">
        <v>1188</v>
      </c>
      <c r="B506" s="32" t="s">
        <v>1189</v>
      </c>
      <c r="C506">
        <v>1</v>
      </c>
      <c r="E506" s="81" t="s">
        <v>1042</v>
      </c>
      <c r="F506" s="32"/>
    </row>
    <row r="507" spans="1:6" ht="12.75" customHeight="1" x14ac:dyDescent="0.35">
      <c r="A507" s="32" t="s">
        <v>1190</v>
      </c>
      <c r="B507" s="32" t="s">
        <v>1191</v>
      </c>
      <c r="C507">
        <v>1</v>
      </c>
      <c r="E507" s="81" t="s">
        <v>1042</v>
      </c>
      <c r="F507" s="32"/>
    </row>
    <row r="508" spans="1:6" ht="12.75" customHeight="1" x14ac:dyDescent="0.35">
      <c r="A508" s="32" t="s">
        <v>1192</v>
      </c>
      <c r="B508" s="32" t="s">
        <v>1193</v>
      </c>
      <c r="C508">
        <v>1</v>
      </c>
      <c r="E508" s="81" t="s">
        <v>1042</v>
      </c>
      <c r="F508" s="32"/>
    </row>
    <row r="509" spans="1:6" ht="12.75" customHeight="1" x14ac:dyDescent="0.35">
      <c r="A509" s="32" t="s">
        <v>1194</v>
      </c>
      <c r="B509" s="32" t="s">
        <v>1195</v>
      </c>
      <c r="C509">
        <v>1</v>
      </c>
      <c r="E509" s="81" t="s">
        <v>1042</v>
      </c>
      <c r="F509" s="32"/>
    </row>
    <row r="510" spans="1:6" ht="12.75" customHeight="1" x14ac:dyDescent="0.35">
      <c r="A510" s="32" t="s">
        <v>1196</v>
      </c>
      <c r="B510" s="32" t="s">
        <v>1197</v>
      </c>
      <c r="C510">
        <v>1</v>
      </c>
      <c r="E510" s="81" t="s">
        <v>1042</v>
      </c>
      <c r="F510" s="32"/>
    </row>
    <row r="511" spans="1:6" ht="12.75" customHeight="1" x14ac:dyDescent="0.35">
      <c r="A511" s="32" t="s">
        <v>1198</v>
      </c>
      <c r="B511" s="32" t="s">
        <v>1199</v>
      </c>
      <c r="C511">
        <v>1</v>
      </c>
      <c r="E511" s="81" t="s">
        <v>1042</v>
      </c>
      <c r="F511" s="32"/>
    </row>
    <row r="512" spans="1:6" ht="12.75" customHeight="1" x14ac:dyDescent="0.35">
      <c r="A512" s="32" t="s">
        <v>1200</v>
      </c>
      <c r="B512" s="32" t="s">
        <v>1201</v>
      </c>
      <c r="C512">
        <v>1</v>
      </c>
      <c r="E512" s="81" t="s">
        <v>1042</v>
      </c>
      <c r="F512" s="32"/>
    </row>
    <row r="513" spans="1:6" ht="12.75" customHeight="1" x14ac:dyDescent="0.35">
      <c r="A513" s="32" t="s">
        <v>1202</v>
      </c>
      <c r="B513" s="32" t="s">
        <v>1203</v>
      </c>
      <c r="C513">
        <v>1</v>
      </c>
      <c r="E513" s="81" t="s">
        <v>1042</v>
      </c>
      <c r="F513" s="32"/>
    </row>
    <row r="514" spans="1:6" ht="12.75" customHeight="1" x14ac:dyDescent="0.35">
      <c r="A514" s="32" t="s">
        <v>1204</v>
      </c>
      <c r="B514" s="32" t="s">
        <v>1205</v>
      </c>
      <c r="C514">
        <v>1</v>
      </c>
      <c r="E514" s="81" t="s">
        <v>1042</v>
      </c>
      <c r="F514" s="32"/>
    </row>
    <row r="515" spans="1:6" ht="12.75" customHeight="1" x14ac:dyDescent="0.35">
      <c r="A515" s="32" t="s">
        <v>1206</v>
      </c>
      <c r="B515" s="32" t="s">
        <v>1207</v>
      </c>
      <c r="C515">
        <v>1</v>
      </c>
      <c r="E515" s="81" t="s">
        <v>1042</v>
      </c>
      <c r="F515" s="32"/>
    </row>
    <row r="516" spans="1:6" ht="12.75" customHeight="1" x14ac:dyDescent="0.35">
      <c r="A516" s="32" t="s">
        <v>1208</v>
      </c>
      <c r="B516" s="32" t="s">
        <v>1209</v>
      </c>
      <c r="C516">
        <v>1</v>
      </c>
      <c r="E516" s="81" t="s">
        <v>1042</v>
      </c>
      <c r="F516" s="32"/>
    </row>
    <row r="517" spans="1:6" ht="12.75" customHeight="1" x14ac:dyDescent="0.35">
      <c r="A517" s="32" t="s">
        <v>1210</v>
      </c>
      <c r="B517" s="32" t="s">
        <v>1211</v>
      </c>
      <c r="C517">
        <v>1</v>
      </c>
      <c r="E517" s="81" t="s">
        <v>1042</v>
      </c>
      <c r="F517" s="32"/>
    </row>
    <row r="518" spans="1:6" ht="12.75" customHeight="1" x14ac:dyDescent="0.35">
      <c r="A518" s="32" t="s">
        <v>1212</v>
      </c>
      <c r="B518" s="32" t="s">
        <v>1213</v>
      </c>
      <c r="C518">
        <v>1</v>
      </c>
      <c r="E518" s="81" t="s">
        <v>1042</v>
      </c>
      <c r="F518" s="32"/>
    </row>
    <row r="519" spans="1:6" ht="12.75" customHeight="1" x14ac:dyDescent="0.35">
      <c r="A519" s="32" t="s">
        <v>1214</v>
      </c>
      <c r="B519" s="32" t="s">
        <v>1215</v>
      </c>
      <c r="C519">
        <v>1</v>
      </c>
      <c r="E519" s="81" t="s">
        <v>1042</v>
      </c>
      <c r="F519" s="32"/>
    </row>
    <row r="520" spans="1:6" ht="12.75" customHeight="1" x14ac:dyDescent="0.35">
      <c r="A520" s="32" t="s">
        <v>1216</v>
      </c>
      <c r="B520" s="32" t="s">
        <v>1217</v>
      </c>
      <c r="C520">
        <v>1</v>
      </c>
      <c r="E520" s="81" t="s">
        <v>1042</v>
      </c>
      <c r="F520" s="32"/>
    </row>
    <row r="521" spans="1:6" ht="12.75" customHeight="1" x14ac:dyDescent="0.35">
      <c r="A521" s="32" t="s">
        <v>1218</v>
      </c>
      <c r="B521" s="32" t="s">
        <v>1219</v>
      </c>
      <c r="C521">
        <v>1</v>
      </c>
      <c r="E521" s="81" t="s">
        <v>1042</v>
      </c>
      <c r="F521" s="32"/>
    </row>
    <row r="522" spans="1:6" ht="12.75" customHeight="1" x14ac:dyDescent="0.35">
      <c r="A522" s="32" t="s">
        <v>1220</v>
      </c>
      <c r="B522" s="32" t="s">
        <v>1221</v>
      </c>
      <c r="C522">
        <v>1</v>
      </c>
      <c r="E522" s="81" t="s">
        <v>1042</v>
      </c>
      <c r="F522" s="32"/>
    </row>
    <row r="523" spans="1:6" ht="12.75" customHeight="1" x14ac:dyDescent="0.35">
      <c r="A523" s="32" t="s">
        <v>1222</v>
      </c>
      <c r="B523" s="32" t="s">
        <v>1223</v>
      </c>
      <c r="C523">
        <v>1</v>
      </c>
      <c r="E523" s="81" t="s">
        <v>1042</v>
      </c>
      <c r="F523" s="32"/>
    </row>
    <row r="524" spans="1:6" ht="12.75" customHeight="1" x14ac:dyDescent="0.35">
      <c r="A524" s="32" t="s">
        <v>1224</v>
      </c>
      <c r="B524" s="32" t="s">
        <v>1225</v>
      </c>
      <c r="C524">
        <v>1</v>
      </c>
      <c r="E524" s="81" t="s">
        <v>1042</v>
      </c>
      <c r="F524" s="32"/>
    </row>
    <row r="525" spans="1:6" ht="12.75" customHeight="1" x14ac:dyDescent="0.35">
      <c r="A525" s="32" t="s">
        <v>1226</v>
      </c>
      <c r="B525" s="32" t="s">
        <v>1227</v>
      </c>
      <c r="C525">
        <v>1</v>
      </c>
      <c r="E525" s="81" t="s">
        <v>1042</v>
      </c>
      <c r="F525" s="32"/>
    </row>
    <row r="526" spans="1:6" ht="12.75" customHeight="1" x14ac:dyDescent="0.35">
      <c r="A526" s="32" t="s">
        <v>1228</v>
      </c>
      <c r="B526" s="32" t="s">
        <v>1229</v>
      </c>
      <c r="C526">
        <v>1</v>
      </c>
      <c r="E526" s="81" t="s">
        <v>1042</v>
      </c>
      <c r="F526" s="32"/>
    </row>
    <row r="527" spans="1:6" ht="12.75" customHeight="1" x14ac:dyDescent="0.35">
      <c r="A527" s="32" t="s">
        <v>1230</v>
      </c>
      <c r="B527" s="32" t="s">
        <v>1231</v>
      </c>
      <c r="C527">
        <v>1</v>
      </c>
      <c r="E527" s="81" t="s">
        <v>1042</v>
      </c>
      <c r="F527" s="32"/>
    </row>
    <row r="528" spans="1:6" ht="12.75" customHeight="1" x14ac:dyDescent="0.35">
      <c r="B528" s="32" t="s">
        <v>242</v>
      </c>
      <c r="F528" s="32"/>
    </row>
    <row r="529" spans="1:6" ht="12.75" customHeight="1" x14ac:dyDescent="0.35">
      <c r="A529" s="32" t="s">
        <v>1232</v>
      </c>
      <c r="B529" s="32" t="s">
        <v>1233</v>
      </c>
      <c r="C529">
        <v>2</v>
      </c>
      <c r="E529" s="81" t="s">
        <v>1042</v>
      </c>
      <c r="F529" s="32"/>
    </row>
    <row r="530" spans="1:6" ht="12.75" customHeight="1" x14ac:dyDescent="0.35">
      <c r="A530" s="32" t="s">
        <v>1234</v>
      </c>
      <c r="B530" s="32" t="s">
        <v>1235</v>
      </c>
      <c r="C530">
        <v>2</v>
      </c>
      <c r="E530" s="81" t="s">
        <v>1042</v>
      </c>
      <c r="F530" s="32"/>
    </row>
    <row r="531" spans="1:6" ht="12.75" customHeight="1" x14ac:dyDescent="0.35">
      <c r="A531" s="32" t="s">
        <v>1236</v>
      </c>
      <c r="B531" s="32" t="s">
        <v>1237</v>
      </c>
      <c r="C531">
        <v>2</v>
      </c>
      <c r="E531" s="81" t="s">
        <v>1042</v>
      </c>
      <c r="F531" s="32"/>
    </row>
    <row r="532" spans="1:6" ht="12.75" customHeight="1" x14ac:dyDescent="0.35">
      <c r="A532" s="32" t="s">
        <v>1238</v>
      </c>
      <c r="B532" s="32" t="s">
        <v>1239</v>
      </c>
      <c r="C532">
        <v>2</v>
      </c>
      <c r="E532" s="81" t="s">
        <v>1042</v>
      </c>
      <c r="F532" s="32"/>
    </row>
    <row r="533" spans="1:6" ht="12.75" customHeight="1" x14ac:dyDescent="0.35">
      <c r="A533" s="32" t="s">
        <v>1240</v>
      </c>
      <c r="B533" s="32" t="s">
        <v>1241</v>
      </c>
      <c r="C533">
        <v>2</v>
      </c>
      <c r="E533" s="81" t="s">
        <v>1042</v>
      </c>
      <c r="F533" s="32"/>
    </row>
    <row r="534" spans="1:6" ht="12.75" customHeight="1" x14ac:dyDescent="0.35">
      <c r="A534" s="32" t="s">
        <v>1242</v>
      </c>
      <c r="B534" s="32" t="s">
        <v>1243</v>
      </c>
      <c r="C534">
        <v>2</v>
      </c>
      <c r="E534" s="81" t="s">
        <v>1042</v>
      </c>
      <c r="F534" s="32"/>
    </row>
    <row r="535" spans="1:6" ht="12.75" customHeight="1" x14ac:dyDescent="0.35">
      <c r="A535" s="32" t="s">
        <v>1244</v>
      </c>
      <c r="B535" s="32" t="s">
        <v>1245</v>
      </c>
      <c r="C535">
        <v>2</v>
      </c>
      <c r="E535" s="81" t="s">
        <v>1042</v>
      </c>
      <c r="F535" s="32"/>
    </row>
    <row r="536" spans="1:6" ht="12.75" customHeight="1" x14ac:dyDescent="0.35">
      <c r="A536" s="32" t="s">
        <v>1246</v>
      </c>
      <c r="B536" s="32" t="s">
        <v>1247</v>
      </c>
      <c r="C536">
        <v>2</v>
      </c>
      <c r="E536" s="81" t="s">
        <v>1042</v>
      </c>
      <c r="F536" s="32"/>
    </row>
    <row r="537" spans="1:6" ht="12.75" customHeight="1" x14ac:dyDescent="0.35">
      <c r="A537" s="32" t="s">
        <v>1248</v>
      </c>
      <c r="B537" s="32" t="s">
        <v>1249</v>
      </c>
      <c r="C537">
        <v>2</v>
      </c>
      <c r="E537" s="81" t="s">
        <v>1042</v>
      </c>
      <c r="F537" s="32"/>
    </row>
    <row r="538" spans="1:6" ht="12.75" customHeight="1" x14ac:dyDescent="0.35">
      <c r="A538" s="32" t="s">
        <v>1250</v>
      </c>
      <c r="B538" s="32" t="s">
        <v>1251</v>
      </c>
      <c r="C538">
        <v>2</v>
      </c>
      <c r="E538" s="81" t="s">
        <v>1042</v>
      </c>
      <c r="F538" s="32"/>
    </row>
    <row r="539" spans="1:6" ht="12.75" customHeight="1" x14ac:dyDescent="0.35">
      <c r="A539" s="32" t="s">
        <v>1252</v>
      </c>
      <c r="B539" s="32" t="s">
        <v>1253</v>
      </c>
      <c r="C539">
        <v>2</v>
      </c>
      <c r="E539" s="81" t="s">
        <v>1042</v>
      </c>
      <c r="F539" s="32"/>
    </row>
    <row r="540" spans="1:6" ht="12.75" customHeight="1" x14ac:dyDescent="0.35">
      <c r="A540" s="32" t="s">
        <v>1254</v>
      </c>
      <c r="B540" s="32" t="s">
        <v>1255</v>
      </c>
      <c r="C540">
        <v>2</v>
      </c>
      <c r="E540" s="81" t="s">
        <v>1042</v>
      </c>
      <c r="F540" s="32"/>
    </row>
    <row r="541" spans="1:6" ht="12.75" customHeight="1" x14ac:dyDescent="0.35">
      <c r="A541" s="32" t="s">
        <v>1256</v>
      </c>
      <c r="B541" s="32" t="s">
        <v>1257</v>
      </c>
      <c r="C541">
        <v>2</v>
      </c>
      <c r="E541" s="81" t="s">
        <v>1042</v>
      </c>
      <c r="F541" s="32"/>
    </row>
    <row r="542" spans="1:6" ht="12.75" customHeight="1" x14ac:dyDescent="0.35">
      <c r="A542" s="32" t="s">
        <v>1258</v>
      </c>
      <c r="B542" s="32" t="s">
        <v>1259</v>
      </c>
      <c r="C542">
        <v>2</v>
      </c>
      <c r="E542" s="81" t="s">
        <v>1042</v>
      </c>
      <c r="F542" s="32"/>
    </row>
    <row r="543" spans="1:6" ht="12.75" customHeight="1" x14ac:dyDescent="0.35">
      <c r="A543" s="32" t="s">
        <v>1260</v>
      </c>
      <c r="B543" s="32" t="s">
        <v>1261</v>
      </c>
      <c r="C543">
        <v>2</v>
      </c>
      <c r="E543" s="81" t="s">
        <v>1042</v>
      </c>
      <c r="F543" s="32"/>
    </row>
    <row r="544" spans="1:6" ht="12.75" customHeight="1" x14ac:dyDescent="0.35">
      <c r="A544" s="32" t="s">
        <v>1262</v>
      </c>
      <c r="B544" s="32" t="s">
        <v>1263</v>
      </c>
      <c r="C544">
        <v>2</v>
      </c>
      <c r="E544" s="81" t="s">
        <v>1042</v>
      </c>
      <c r="F544" s="32"/>
    </row>
    <row r="545" spans="1:6" ht="12.75" customHeight="1" x14ac:dyDescent="0.35">
      <c r="A545" s="32" t="s">
        <v>1264</v>
      </c>
      <c r="B545" s="32" t="s">
        <v>1265</v>
      </c>
      <c r="C545">
        <v>2</v>
      </c>
      <c r="E545" s="81" t="s">
        <v>1042</v>
      </c>
      <c r="F545" s="32"/>
    </row>
    <row r="546" spans="1:6" ht="12.75" customHeight="1" x14ac:dyDescent="0.35">
      <c r="A546" s="32" t="s">
        <v>1266</v>
      </c>
      <c r="B546" s="32" t="s">
        <v>1267</v>
      </c>
      <c r="C546">
        <v>2</v>
      </c>
      <c r="E546" s="81" t="s">
        <v>1042</v>
      </c>
      <c r="F546" s="32"/>
    </row>
    <row r="547" spans="1:6" ht="12.75" customHeight="1" x14ac:dyDescent="0.35">
      <c r="A547" s="32" t="s">
        <v>1268</v>
      </c>
      <c r="B547" s="32" t="s">
        <v>1269</v>
      </c>
      <c r="C547">
        <v>2</v>
      </c>
      <c r="E547" s="81" t="s">
        <v>1042</v>
      </c>
      <c r="F547" s="32"/>
    </row>
    <row r="548" spans="1:6" ht="12.75" customHeight="1" x14ac:dyDescent="0.35">
      <c r="A548" s="32" t="s">
        <v>1270</v>
      </c>
      <c r="B548" s="32" t="s">
        <v>1271</v>
      </c>
      <c r="C548">
        <v>2</v>
      </c>
      <c r="E548" s="81" t="s">
        <v>1042</v>
      </c>
      <c r="F548" s="32"/>
    </row>
    <row r="549" spans="1:6" ht="12.75" customHeight="1" x14ac:dyDescent="0.35">
      <c r="A549" s="32" t="s">
        <v>1272</v>
      </c>
      <c r="B549" s="32" t="s">
        <v>1273</v>
      </c>
      <c r="C549">
        <v>2</v>
      </c>
      <c r="E549" s="81" t="s">
        <v>1042</v>
      </c>
      <c r="F549" s="32"/>
    </row>
    <row r="550" spans="1:6" ht="12.75" customHeight="1" x14ac:dyDescent="0.35">
      <c r="A550" s="32" t="s">
        <v>1274</v>
      </c>
      <c r="B550" s="32" t="s">
        <v>1275</v>
      </c>
      <c r="C550">
        <v>2</v>
      </c>
      <c r="E550" s="81" t="s">
        <v>1042</v>
      </c>
      <c r="F550" s="32"/>
    </row>
    <row r="551" spans="1:6" ht="12.75" customHeight="1" x14ac:dyDescent="0.35">
      <c r="A551" s="32" t="s">
        <v>1276</v>
      </c>
      <c r="B551" s="32" t="s">
        <v>1277</v>
      </c>
      <c r="C551">
        <v>2</v>
      </c>
      <c r="E551" s="81" t="s">
        <v>1042</v>
      </c>
      <c r="F551" s="32"/>
    </row>
    <row r="552" spans="1:6" ht="12.75" customHeight="1" x14ac:dyDescent="0.35">
      <c r="A552" s="32" t="s">
        <v>1278</v>
      </c>
      <c r="B552" s="32" t="s">
        <v>1279</v>
      </c>
      <c r="C552">
        <v>2</v>
      </c>
      <c r="E552" s="81" t="s">
        <v>1042</v>
      </c>
      <c r="F552" s="32"/>
    </row>
    <row r="553" spans="1:6" ht="12.75" customHeight="1" x14ac:dyDescent="0.35">
      <c r="A553" s="32" t="s">
        <v>1280</v>
      </c>
      <c r="B553" s="32" t="s">
        <v>1281</v>
      </c>
      <c r="C553">
        <v>2</v>
      </c>
      <c r="E553" s="81" t="s">
        <v>1042</v>
      </c>
      <c r="F553" s="32"/>
    </row>
    <row r="554" spans="1:6" ht="12.75" customHeight="1" x14ac:dyDescent="0.35">
      <c r="A554" s="32" t="s">
        <v>1282</v>
      </c>
      <c r="B554" s="32" t="s">
        <v>1283</v>
      </c>
      <c r="C554">
        <v>2</v>
      </c>
      <c r="E554" s="81" t="s">
        <v>1042</v>
      </c>
      <c r="F554" s="32"/>
    </row>
    <row r="555" spans="1:6" ht="12.75" customHeight="1" x14ac:dyDescent="0.35">
      <c r="A555" s="32" t="s">
        <v>1284</v>
      </c>
      <c r="B555" s="32" t="s">
        <v>1285</v>
      </c>
      <c r="C555">
        <v>2</v>
      </c>
      <c r="E555" s="81" t="s">
        <v>1042</v>
      </c>
      <c r="F555" s="32"/>
    </row>
    <row r="556" spans="1:6" ht="12.75" customHeight="1" x14ac:dyDescent="0.35">
      <c r="A556" s="32" t="s">
        <v>1286</v>
      </c>
      <c r="B556" s="32" t="s">
        <v>1287</v>
      </c>
      <c r="C556">
        <v>2</v>
      </c>
      <c r="E556" s="81" t="s">
        <v>1042</v>
      </c>
      <c r="F556" s="32"/>
    </row>
    <row r="557" spans="1:6" ht="12.75" customHeight="1" x14ac:dyDescent="0.35">
      <c r="A557" s="32" t="s">
        <v>1288</v>
      </c>
      <c r="B557" s="32" t="s">
        <v>1289</v>
      </c>
      <c r="C557">
        <v>2</v>
      </c>
      <c r="E557" s="81" t="s">
        <v>1042</v>
      </c>
      <c r="F557" s="32"/>
    </row>
    <row r="558" spans="1:6" ht="12.75" customHeight="1" x14ac:dyDescent="0.35">
      <c r="A558" s="32" t="s">
        <v>1290</v>
      </c>
      <c r="B558" s="32" t="s">
        <v>1291</v>
      </c>
      <c r="C558">
        <v>2</v>
      </c>
      <c r="E558" s="81" t="s">
        <v>1042</v>
      </c>
      <c r="F558" s="32"/>
    </row>
    <row r="559" spans="1:6" ht="12.75" customHeight="1" x14ac:dyDescent="0.35">
      <c r="A559" s="32" t="s">
        <v>1292</v>
      </c>
      <c r="B559" s="32" t="s">
        <v>1293</v>
      </c>
      <c r="C559">
        <v>2</v>
      </c>
      <c r="E559" s="81" t="s">
        <v>1042</v>
      </c>
      <c r="F559" s="32"/>
    </row>
    <row r="560" spans="1:6" ht="12.75" customHeight="1" x14ac:dyDescent="0.35">
      <c r="A560" s="32" t="s">
        <v>1294</v>
      </c>
      <c r="B560" s="32" t="s">
        <v>1295</v>
      </c>
      <c r="C560">
        <v>2</v>
      </c>
      <c r="E560" s="81" t="s">
        <v>1042</v>
      </c>
      <c r="F560" s="32"/>
    </row>
    <row r="561" spans="1:6" ht="12.75" customHeight="1" x14ac:dyDescent="0.35">
      <c r="A561" s="32" t="s">
        <v>1296</v>
      </c>
      <c r="B561" s="32" t="s">
        <v>1297</v>
      </c>
      <c r="C561">
        <v>2</v>
      </c>
      <c r="E561" s="81" t="s">
        <v>1042</v>
      </c>
      <c r="F561" s="32"/>
    </row>
    <row r="562" spans="1:6" ht="12.75" customHeight="1" x14ac:dyDescent="0.35">
      <c r="A562" s="32" t="s">
        <v>1298</v>
      </c>
      <c r="B562" s="32" t="s">
        <v>1299</v>
      </c>
      <c r="C562">
        <v>2</v>
      </c>
      <c r="E562" s="81" t="s">
        <v>1042</v>
      </c>
      <c r="F562" s="32"/>
    </row>
    <row r="563" spans="1:6" ht="12.75" customHeight="1" x14ac:dyDescent="0.35">
      <c r="A563" s="32" t="s">
        <v>1300</v>
      </c>
      <c r="B563" s="32" t="s">
        <v>1301</v>
      </c>
      <c r="C563">
        <v>2</v>
      </c>
      <c r="E563" s="81" t="s">
        <v>1042</v>
      </c>
      <c r="F563" s="32"/>
    </row>
    <row r="564" spans="1:6" ht="12.75" customHeight="1" x14ac:dyDescent="0.35">
      <c r="A564" s="32" t="s">
        <v>1302</v>
      </c>
      <c r="B564" s="32" t="s">
        <v>1303</v>
      </c>
      <c r="C564">
        <v>2</v>
      </c>
      <c r="E564" s="81" t="s">
        <v>1042</v>
      </c>
      <c r="F564" s="32"/>
    </row>
    <row r="565" spans="1:6" ht="12.75" customHeight="1" x14ac:dyDescent="0.35">
      <c r="A565" s="32" t="s">
        <v>1304</v>
      </c>
      <c r="B565" s="32" t="s">
        <v>1305</v>
      </c>
      <c r="C565">
        <v>2</v>
      </c>
      <c r="E565" s="81" t="s">
        <v>1042</v>
      </c>
      <c r="F565" s="32"/>
    </row>
    <row r="566" spans="1:6" ht="12.75" customHeight="1" x14ac:dyDescent="0.35">
      <c r="A566" s="32" t="s">
        <v>1306</v>
      </c>
      <c r="B566" s="32" t="s">
        <v>1307</v>
      </c>
      <c r="C566">
        <v>2</v>
      </c>
      <c r="E566" s="81" t="s">
        <v>1042</v>
      </c>
      <c r="F566" s="32"/>
    </row>
    <row r="567" spans="1:6" ht="12.75" customHeight="1" x14ac:dyDescent="0.35">
      <c r="A567" s="32" t="s">
        <v>1308</v>
      </c>
      <c r="B567" s="32" t="s">
        <v>1309</v>
      </c>
      <c r="C567">
        <v>2</v>
      </c>
      <c r="E567" s="81" t="s">
        <v>1042</v>
      </c>
      <c r="F567" s="32"/>
    </row>
    <row r="568" spans="1:6" ht="12.75" customHeight="1" x14ac:dyDescent="0.35">
      <c r="A568" s="32" t="s">
        <v>1310</v>
      </c>
      <c r="B568" s="32" t="s">
        <v>1311</v>
      </c>
      <c r="C568">
        <v>2</v>
      </c>
      <c r="E568" s="81" t="s">
        <v>1042</v>
      </c>
      <c r="F568" s="32"/>
    </row>
    <row r="569" spans="1:6" ht="12.75" customHeight="1" x14ac:dyDescent="0.35">
      <c r="A569" s="32" t="s">
        <v>1312</v>
      </c>
      <c r="B569" s="32" t="s">
        <v>1313</v>
      </c>
      <c r="C569">
        <v>2</v>
      </c>
      <c r="E569" s="81" t="s">
        <v>1042</v>
      </c>
      <c r="F569" s="32"/>
    </row>
    <row r="570" spans="1:6" ht="12.75" customHeight="1" x14ac:dyDescent="0.35">
      <c r="A570" s="32" t="s">
        <v>1314</v>
      </c>
      <c r="B570" s="32" t="s">
        <v>1315</v>
      </c>
      <c r="C570">
        <v>2</v>
      </c>
      <c r="E570" s="81" t="s">
        <v>1042</v>
      </c>
      <c r="F570" s="32"/>
    </row>
    <row r="571" spans="1:6" ht="12.75" customHeight="1" x14ac:dyDescent="0.35">
      <c r="A571" s="32" t="s">
        <v>1316</v>
      </c>
      <c r="B571" s="32" t="s">
        <v>1317</v>
      </c>
      <c r="C571">
        <v>2</v>
      </c>
      <c r="E571" s="81" t="s">
        <v>1042</v>
      </c>
      <c r="F571" s="32"/>
    </row>
    <row r="572" spans="1:6" ht="12.75" customHeight="1" x14ac:dyDescent="0.35">
      <c r="A572" s="32" t="s">
        <v>1318</v>
      </c>
      <c r="B572" s="32" t="s">
        <v>1319</v>
      </c>
      <c r="C572">
        <v>2</v>
      </c>
      <c r="E572" s="81" t="s">
        <v>1042</v>
      </c>
      <c r="F572" s="32"/>
    </row>
    <row r="573" spans="1:6" ht="12.75" customHeight="1" x14ac:dyDescent="0.35">
      <c r="A573" s="32" t="s">
        <v>1320</v>
      </c>
      <c r="B573" s="32" t="s">
        <v>1321</v>
      </c>
      <c r="C573">
        <v>2</v>
      </c>
      <c r="E573" s="81" t="s">
        <v>1042</v>
      </c>
      <c r="F573" s="32"/>
    </row>
    <row r="574" spans="1:6" ht="12.75" customHeight="1" x14ac:dyDescent="0.35">
      <c r="A574" s="32" t="s">
        <v>1322</v>
      </c>
      <c r="B574" s="32" t="s">
        <v>1323</v>
      </c>
      <c r="C574">
        <v>2</v>
      </c>
      <c r="E574" s="81" t="s">
        <v>1042</v>
      </c>
      <c r="F574" s="32"/>
    </row>
    <row r="575" spans="1:6" ht="12.75" customHeight="1" x14ac:dyDescent="0.35">
      <c r="A575" s="32" t="s">
        <v>1324</v>
      </c>
      <c r="B575" s="32" t="s">
        <v>1325</v>
      </c>
      <c r="C575">
        <v>2</v>
      </c>
      <c r="E575" s="81" t="s">
        <v>1042</v>
      </c>
      <c r="F575" s="32"/>
    </row>
    <row r="576" spans="1:6" ht="12.75" customHeight="1" x14ac:dyDescent="0.35">
      <c r="A576" s="32" t="s">
        <v>1326</v>
      </c>
      <c r="B576" s="32" t="s">
        <v>1327</v>
      </c>
      <c r="C576">
        <v>2</v>
      </c>
      <c r="E576" s="81" t="s">
        <v>1042</v>
      </c>
      <c r="F576" s="32"/>
    </row>
    <row r="577" spans="1:6" ht="12.75" customHeight="1" x14ac:dyDescent="0.35">
      <c r="A577" s="32" t="s">
        <v>1328</v>
      </c>
      <c r="B577" s="32" t="s">
        <v>1329</v>
      </c>
      <c r="C577">
        <v>2</v>
      </c>
      <c r="E577" s="81" t="s">
        <v>1042</v>
      </c>
      <c r="F577" s="32"/>
    </row>
    <row r="578" spans="1:6" ht="12.75" customHeight="1" x14ac:dyDescent="0.35">
      <c r="A578" s="32" t="s">
        <v>1330</v>
      </c>
      <c r="B578" s="32" t="s">
        <v>1331</v>
      </c>
      <c r="C578">
        <v>2</v>
      </c>
      <c r="E578" s="81" t="s">
        <v>1042</v>
      </c>
      <c r="F578" s="32"/>
    </row>
    <row r="579" spans="1:6" ht="12.75" customHeight="1" x14ac:dyDescent="0.35">
      <c r="A579" s="32" t="s">
        <v>1332</v>
      </c>
      <c r="B579" s="32" t="s">
        <v>1333</v>
      </c>
      <c r="C579">
        <v>2</v>
      </c>
      <c r="E579" s="81" t="s">
        <v>1042</v>
      </c>
      <c r="F579" s="32"/>
    </row>
    <row r="580" spans="1:6" ht="12.75" customHeight="1" x14ac:dyDescent="0.35">
      <c r="A580" s="32" t="s">
        <v>1334</v>
      </c>
      <c r="B580" s="32" t="s">
        <v>1335</v>
      </c>
      <c r="C580">
        <v>2</v>
      </c>
      <c r="E580" s="81" t="s">
        <v>1042</v>
      </c>
      <c r="F580" s="32"/>
    </row>
    <row r="581" spans="1:6" ht="12.75" customHeight="1" x14ac:dyDescent="0.35">
      <c r="A581" s="32" t="s">
        <v>1336</v>
      </c>
      <c r="B581" s="32" t="s">
        <v>1337</v>
      </c>
      <c r="C581">
        <v>2</v>
      </c>
      <c r="E581" s="81" t="s">
        <v>1042</v>
      </c>
      <c r="F581" s="32"/>
    </row>
    <row r="582" spans="1:6" ht="12.75" customHeight="1" x14ac:dyDescent="0.35">
      <c r="A582" s="32" t="s">
        <v>1338</v>
      </c>
      <c r="B582" s="32" t="s">
        <v>1339</v>
      </c>
      <c r="C582">
        <v>2</v>
      </c>
      <c r="E582" s="81" t="s">
        <v>1042</v>
      </c>
      <c r="F582" s="32"/>
    </row>
    <row r="583" spans="1:6" ht="12.75" customHeight="1" x14ac:dyDescent="0.35">
      <c r="A583" s="32" t="s">
        <v>1340</v>
      </c>
      <c r="B583" s="32" t="s">
        <v>1341</v>
      </c>
      <c r="C583">
        <v>2</v>
      </c>
      <c r="E583" s="81" t="s">
        <v>1042</v>
      </c>
      <c r="F583" s="32"/>
    </row>
    <row r="584" spans="1:6" ht="12.75" customHeight="1" x14ac:dyDescent="0.35">
      <c r="A584" s="32" t="s">
        <v>1342</v>
      </c>
      <c r="B584" s="32" t="s">
        <v>1343</v>
      </c>
      <c r="C584">
        <v>2</v>
      </c>
      <c r="E584" s="81" t="s">
        <v>1042</v>
      </c>
      <c r="F584" s="32"/>
    </row>
    <row r="585" spans="1:6" ht="12.75" customHeight="1" x14ac:dyDescent="0.35">
      <c r="A585" s="32" t="s">
        <v>1344</v>
      </c>
      <c r="B585" s="32" t="s">
        <v>1345</v>
      </c>
      <c r="C585">
        <v>2</v>
      </c>
      <c r="E585" s="81" t="s">
        <v>1042</v>
      </c>
      <c r="F585" s="32"/>
    </row>
    <row r="586" spans="1:6" ht="12.75" customHeight="1" x14ac:dyDescent="0.35">
      <c r="A586" s="32" t="s">
        <v>1346</v>
      </c>
      <c r="B586" s="32" t="s">
        <v>1347</v>
      </c>
      <c r="C586">
        <v>2</v>
      </c>
      <c r="E586" s="81" t="s">
        <v>1042</v>
      </c>
      <c r="F586" s="32"/>
    </row>
    <row r="587" spans="1:6" ht="12.75" customHeight="1" x14ac:dyDescent="0.35">
      <c r="A587" s="32" t="s">
        <v>1348</v>
      </c>
      <c r="B587" s="32" t="s">
        <v>1349</v>
      </c>
      <c r="C587">
        <v>2</v>
      </c>
      <c r="E587" s="81" t="s">
        <v>1042</v>
      </c>
      <c r="F587" s="32"/>
    </row>
    <row r="588" spans="1:6" ht="12.75" customHeight="1" x14ac:dyDescent="0.35">
      <c r="A588" s="32" t="s">
        <v>1350</v>
      </c>
      <c r="B588" s="32" t="s">
        <v>1351</v>
      </c>
      <c r="C588">
        <v>2</v>
      </c>
      <c r="E588" s="81" t="s">
        <v>1042</v>
      </c>
      <c r="F588" s="32"/>
    </row>
    <row r="589" spans="1:6" ht="12.75" customHeight="1" x14ac:dyDescent="0.35">
      <c r="A589" s="32" t="s">
        <v>1352</v>
      </c>
      <c r="B589" s="32" t="s">
        <v>1353</v>
      </c>
      <c r="C589">
        <v>2</v>
      </c>
      <c r="E589" s="81" t="s">
        <v>1042</v>
      </c>
      <c r="F589" s="32"/>
    </row>
    <row r="590" spans="1:6" ht="12.75" customHeight="1" x14ac:dyDescent="0.35">
      <c r="A590" s="32" t="s">
        <v>1354</v>
      </c>
      <c r="B590" s="32" t="s">
        <v>1355</v>
      </c>
      <c r="C590">
        <v>2</v>
      </c>
      <c r="E590" s="81" t="s">
        <v>1042</v>
      </c>
      <c r="F590" s="32"/>
    </row>
    <row r="591" spans="1:6" ht="12.75" customHeight="1" x14ac:dyDescent="0.35">
      <c r="A591" s="32" t="s">
        <v>1356</v>
      </c>
      <c r="B591" s="32" t="s">
        <v>1357</v>
      </c>
      <c r="C591">
        <v>2</v>
      </c>
      <c r="E591" s="81" t="s">
        <v>1042</v>
      </c>
      <c r="F591" s="32"/>
    </row>
    <row r="592" spans="1:6" ht="12.75" customHeight="1" x14ac:dyDescent="0.35">
      <c r="A592" s="32" t="s">
        <v>1358</v>
      </c>
      <c r="B592" s="32" t="s">
        <v>1359</v>
      </c>
      <c r="C592">
        <v>2</v>
      </c>
      <c r="E592" s="81" t="s">
        <v>1042</v>
      </c>
      <c r="F592" s="32"/>
    </row>
    <row r="593" spans="1:6" ht="12.75" customHeight="1" x14ac:dyDescent="0.35">
      <c r="A593" s="32" t="s">
        <v>1360</v>
      </c>
      <c r="B593" s="32" t="s">
        <v>1361</v>
      </c>
      <c r="C593">
        <v>2</v>
      </c>
      <c r="E593" s="81" t="s">
        <v>1042</v>
      </c>
      <c r="F593" s="32"/>
    </row>
    <row r="594" spans="1:6" ht="12.75" customHeight="1" x14ac:dyDescent="0.35">
      <c r="A594" s="32" t="s">
        <v>1362</v>
      </c>
      <c r="B594" s="32" t="s">
        <v>700</v>
      </c>
      <c r="C594">
        <v>2</v>
      </c>
      <c r="E594" s="81" t="s">
        <v>1042</v>
      </c>
      <c r="F594" s="32"/>
    </row>
    <row r="595" spans="1:6" ht="12.75" customHeight="1" x14ac:dyDescent="0.35">
      <c r="A595" s="32" t="s">
        <v>1363</v>
      </c>
      <c r="B595" s="32" t="s">
        <v>1364</v>
      </c>
      <c r="C595">
        <v>2</v>
      </c>
      <c r="E595" s="81" t="s">
        <v>1042</v>
      </c>
      <c r="F595" s="32"/>
    </row>
    <row r="596" spans="1:6" ht="12.75" customHeight="1" x14ac:dyDescent="0.35">
      <c r="A596" s="32" t="s">
        <v>1365</v>
      </c>
      <c r="B596" s="32" t="s">
        <v>1366</v>
      </c>
      <c r="C596">
        <v>2</v>
      </c>
      <c r="E596" s="81" t="s">
        <v>1042</v>
      </c>
      <c r="F596" s="32"/>
    </row>
    <row r="597" spans="1:6" ht="12.75" customHeight="1" x14ac:dyDescent="0.35">
      <c r="A597" s="32" t="s">
        <v>1367</v>
      </c>
      <c r="B597" s="32" t="s">
        <v>1368</v>
      </c>
      <c r="C597">
        <v>2</v>
      </c>
      <c r="E597" s="81" t="s">
        <v>1042</v>
      </c>
      <c r="F597" s="32"/>
    </row>
    <row r="598" spans="1:6" ht="12.75" customHeight="1" x14ac:dyDescent="0.35">
      <c r="A598" s="32" t="s">
        <v>1369</v>
      </c>
      <c r="B598" s="32" t="s">
        <v>1370</v>
      </c>
      <c r="C598">
        <v>2</v>
      </c>
      <c r="E598" s="81" t="s">
        <v>1042</v>
      </c>
      <c r="F598" s="32"/>
    </row>
    <row r="599" spans="1:6" ht="12.75" customHeight="1" x14ac:dyDescent="0.35">
      <c r="A599" s="32" t="s">
        <v>1371</v>
      </c>
      <c r="B599" s="32" t="s">
        <v>1372</v>
      </c>
      <c r="C599">
        <v>2</v>
      </c>
      <c r="E599" s="81" t="s">
        <v>1042</v>
      </c>
      <c r="F599" s="32"/>
    </row>
    <row r="600" spans="1:6" ht="12.75" customHeight="1" x14ac:dyDescent="0.35">
      <c r="A600" s="32" t="s">
        <v>1373</v>
      </c>
      <c r="B600" s="32" t="s">
        <v>1374</v>
      </c>
      <c r="C600">
        <v>2</v>
      </c>
      <c r="E600" s="81" t="s">
        <v>1042</v>
      </c>
      <c r="F600" s="32"/>
    </row>
    <row r="601" spans="1:6" ht="12.75" customHeight="1" x14ac:dyDescent="0.35">
      <c r="A601" s="32" t="s">
        <v>1375</v>
      </c>
      <c r="B601" s="32" t="s">
        <v>1376</v>
      </c>
      <c r="C601">
        <v>2</v>
      </c>
      <c r="E601" s="81" t="s">
        <v>1042</v>
      </c>
      <c r="F601" s="32"/>
    </row>
    <row r="602" spans="1:6" ht="12.75" customHeight="1" x14ac:dyDescent="0.35">
      <c r="A602" s="32" t="s">
        <v>1377</v>
      </c>
      <c r="B602" s="32" t="s">
        <v>1378</v>
      </c>
      <c r="C602">
        <v>2</v>
      </c>
      <c r="E602" s="81" t="s">
        <v>1042</v>
      </c>
      <c r="F602" s="32"/>
    </row>
    <row r="603" spans="1:6" ht="12.75" customHeight="1" x14ac:dyDescent="0.35">
      <c r="A603" s="32" t="s">
        <v>1379</v>
      </c>
      <c r="B603" s="32" t="s">
        <v>1380</v>
      </c>
      <c r="C603">
        <v>2</v>
      </c>
      <c r="E603" s="81" t="s">
        <v>1042</v>
      </c>
      <c r="F603" s="32"/>
    </row>
    <row r="604" spans="1:6" ht="12.75" customHeight="1" x14ac:dyDescent="0.35">
      <c r="A604" s="32" t="s">
        <v>1381</v>
      </c>
      <c r="B604" s="32" t="s">
        <v>1382</v>
      </c>
      <c r="C604">
        <v>2</v>
      </c>
      <c r="E604" s="81" t="s">
        <v>1042</v>
      </c>
      <c r="F604" s="32"/>
    </row>
    <row r="605" spans="1:6" ht="12.75" customHeight="1" x14ac:dyDescent="0.35">
      <c r="A605" s="32" t="s">
        <v>1383</v>
      </c>
      <c r="B605" s="32" t="s">
        <v>1384</v>
      </c>
      <c r="C605">
        <v>2</v>
      </c>
      <c r="E605" s="81" t="s">
        <v>1042</v>
      </c>
      <c r="F605" s="32"/>
    </row>
    <row r="606" spans="1:6" ht="12.75" customHeight="1" x14ac:dyDescent="0.35">
      <c r="A606" s="32" t="s">
        <v>1385</v>
      </c>
      <c r="B606" s="32" t="s">
        <v>1386</v>
      </c>
      <c r="C606">
        <v>2</v>
      </c>
      <c r="E606" s="81" t="s">
        <v>1042</v>
      </c>
      <c r="F606" s="32"/>
    </row>
    <row r="607" spans="1:6" ht="12.75" customHeight="1" x14ac:dyDescent="0.35">
      <c r="A607" s="32" t="s">
        <v>1387</v>
      </c>
      <c r="B607" s="32" t="s">
        <v>1388</v>
      </c>
      <c r="C607">
        <v>2</v>
      </c>
      <c r="E607" s="81" t="s">
        <v>1042</v>
      </c>
      <c r="F607" s="32"/>
    </row>
    <row r="608" spans="1:6" ht="12.75" customHeight="1" x14ac:dyDescent="0.35">
      <c r="A608" s="32" t="s">
        <v>1389</v>
      </c>
      <c r="B608" s="32" t="s">
        <v>1390</v>
      </c>
      <c r="C608">
        <v>2</v>
      </c>
      <c r="E608" s="81" t="s">
        <v>1042</v>
      </c>
      <c r="F608" s="32"/>
    </row>
    <row r="609" spans="1:6" ht="12.75" customHeight="1" x14ac:dyDescent="0.35">
      <c r="A609" s="32" t="s">
        <v>1391</v>
      </c>
      <c r="B609" s="32" t="s">
        <v>1392</v>
      </c>
      <c r="C609">
        <v>2</v>
      </c>
      <c r="E609" s="81" t="s">
        <v>1042</v>
      </c>
      <c r="F609" s="32"/>
    </row>
    <row r="610" spans="1:6" ht="12.75" customHeight="1" x14ac:dyDescent="0.35">
      <c r="A610" s="32" t="s">
        <v>1393</v>
      </c>
      <c r="B610" s="32" t="s">
        <v>1394</v>
      </c>
      <c r="C610">
        <v>2</v>
      </c>
      <c r="E610" s="81" t="s">
        <v>1042</v>
      </c>
      <c r="F610" s="32"/>
    </row>
    <row r="611" spans="1:6" ht="12.75" customHeight="1" x14ac:dyDescent="0.35">
      <c r="A611" s="32" t="s">
        <v>1395</v>
      </c>
      <c r="B611" s="32" t="s">
        <v>1396</v>
      </c>
      <c r="C611">
        <v>2</v>
      </c>
      <c r="E611" s="81" t="s">
        <v>1042</v>
      </c>
      <c r="F611" s="32"/>
    </row>
    <row r="612" spans="1:6" ht="12.75" customHeight="1" x14ac:dyDescent="0.35">
      <c r="A612" s="32" t="s">
        <v>1397</v>
      </c>
      <c r="B612" s="32" t="s">
        <v>1398</v>
      </c>
      <c r="C612">
        <v>2</v>
      </c>
      <c r="E612" s="81" t="s">
        <v>1042</v>
      </c>
      <c r="F612" s="32"/>
    </row>
    <row r="613" spans="1:6" ht="12.75" customHeight="1" x14ac:dyDescent="0.35">
      <c r="A613" s="32" t="s">
        <v>1399</v>
      </c>
      <c r="B613" s="32" t="s">
        <v>1400</v>
      </c>
      <c r="C613">
        <v>2</v>
      </c>
      <c r="E613" s="81" t="s">
        <v>1042</v>
      </c>
      <c r="F613" s="32"/>
    </row>
    <row r="614" spans="1:6" ht="12.75" customHeight="1" x14ac:dyDescent="0.35">
      <c r="A614" s="32" t="s">
        <v>1401</v>
      </c>
      <c r="B614" s="32" t="s">
        <v>1402</v>
      </c>
      <c r="C614">
        <v>2</v>
      </c>
      <c r="E614" s="81" t="s">
        <v>1042</v>
      </c>
      <c r="F614" s="32"/>
    </row>
    <row r="615" spans="1:6" ht="12.75" customHeight="1" x14ac:dyDescent="0.35">
      <c r="A615" s="32" t="s">
        <v>1403</v>
      </c>
      <c r="B615" s="32" t="s">
        <v>1404</v>
      </c>
      <c r="C615">
        <v>2</v>
      </c>
      <c r="E615" s="81" t="s">
        <v>1042</v>
      </c>
      <c r="F615" s="32"/>
    </row>
    <row r="616" spans="1:6" ht="12.75" customHeight="1" x14ac:dyDescent="0.35">
      <c r="A616" s="32" t="s">
        <v>1405</v>
      </c>
      <c r="B616" s="32" t="s">
        <v>1406</v>
      </c>
      <c r="C616">
        <v>2</v>
      </c>
      <c r="E616" s="81" t="s">
        <v>1042</v>
      </c>
      <c r="F616" s="32"/>
    </row>
    <row r="617" spans="1:6" ht="12.75" customHeight="1" x14ac:dyDescent="0.35">
      <c r="A617" s="32" t="s">
        <v>1407</v>
      </c>
      <c r="B617" s="32" t="s">
        <v>1408</v>
      </c>
      <c r="C617">
        <v>2</v>
      </c>
      <c r="E617" s="81" t="s">
        <v>1042</v>
      </c>
      <c r="F617" s="32"/>
    </row>
    <row r="618" spans="1:6" ht="12.75" customHeight="1" x14ac:dyDescent="0.35">
      <c r="A618" s="32" t="s">
        <v>1409</v>
      </c>
      <c r="B618" s="32" t="s">
        <v>1410</v>
      </c>
      <c r="C618">
        <v>2</v>
      </c>
      <c r="E618" s="81" t="s">
        <v>1042</v>
      </c>
      <c r="F618" s="32"/>
    </row>
    <row r="619" spans="1:6" ht="12.75" customHeight="1" x14ac:dyDescent="0.35">
      <c r="A619" s="32" t="s">
        <v>1411</v>
      </c>
      <c r="B619" s="32" t="s">
        <v>1412</v>
      </c>
      <c r="C619">
        <v>2</v>
      </c>
      <c r="E619" s="81" t="s">
        <v>1042</v>
      </c>
      <c r="F619" s="32"/>
    </row>
    <row r="620" spans="1:6" ht="12.75" customHeight="1" x14ac:dyDescent="0.35">
      <c r="A620" s="32" t="s">
        <v>1413</v>
      </c>
      <c r="B620" s="32" t="s">
        <v>1414</v>
      </c>
      <c r="C620">
        <v>2</v>
      </c>
      <c r="E620" s="81" t="s">
        <v>1042</v>
      </c>
      <c r="F620" s="32"/>
    </row>
    <row r="621" spans="1:6" ht="12.75" customHeight="1" x14ac:dyDescent="0.35">
      <c r="A621" s="32" t="s">
        <v>1415</v>
      </c>
      <c r="B621" s="32" t="s">
        <v>1416</v>
      </c>
      <c r="C621">
        <v>2</v>
      </c>
      <c r="E621" s="81" t="s">
        <v>1042</v>
      </c>
      <c r="F621" s="32"/>
    </row>
    <row r="622" spans="1:6" ht="12.75" customHeight="1" x14ac:dyDescent="0.35">
      <c r="A622" s="32" t="s">
        <v>1417</v>
      </c>
      <c r="B622" s="32" t="s">
        <v>1418</v>
      </c>
      <c r="C622">
        <v>2</v>
      </c>
      <c r="E622" s="81" t="s">
        <v>1042</v>
      </c>
      <c r="F622" s="32"/>
    </row>
    <row r="623" spans="1:6" ht="12.75" customHeight="1" x14ac:dyDescent="0.35">
      <c r="A623" s="32" t="s">
        <v>1419</v>
      </c>
      <c r="B623" s="32" t="s">
        <v>1420</v>
      </c>
      <c r="C623">
        <v>2</v>
      </c>
      <c r="E623" s="81" t="s">
        <v>1042</v>
      </c>
      <c r="F623" s="32"/>
    </row>
    <row r="624" spans="1:6" ht="12.75" customHeight="1" x14ac:dyDescent="0.35">
      <c r="A624" s="32" t="s">
        <v>1421</v>
      </c>
      <c r="B624" s="32" t="s">
        <v>1422</v>
      </c>
      <c r="C624">
        <v>2</v>
      </c>
      <c r="E624" s="81" t="s">
        <v>1042</v>
      </c>
      <c r="F624" s="32"/>
    </row>
    <row r="625" spans="1:6" ht="12.75" customHeight="1" x14ac:dyDescent="0.35">
      <c r="B625" s="32" t="s">
        <v>242</v>
      </c>
      <c r="F625" s="32"/>
    </row>
    <row r="626" spans="1:6" ht="12.75" customHeight="1" x14ac:dyDescent="0.35">
      <c r="A626" s="32" t="s">
        <v>1423</v>
      </c>
      <c r="B626" s="32" t="s">
        <v>1424</v>
      </c>
      <c r="C626">
        <v>1</v>
      </c>
      <c r="E626" s="81" t="s">
        <v>1425</v>
      </c>
      <c r="F626" s="32"/>
    </row>
    <row r="627" spans="1:6" ht="12.75" customHeight="1" x14ac:dyDescent="0.35">
      <c r="A627" s="32" t="s">
        <v>1426</v>
      </c>
      <c r="B627" s="32" t="s">
        <v>1427</v>
      </c>
      <c r="C627">
        <v>1</v>
      </c>
      <c r="E627" s="81" t="s">
        <v>1425</v>
      </c>
      <c r="F627" s="32"/>
    </row>
    <row r="628" spans="1:6" ht="12.75" customHeight="1" x14ac:dyDescent="0.35">
      <c r="A628" s="32" t="s">
        <v>1428</v>
      </c>
      <c r="B628" s="32" t="s">
        <v>1429</v>
      </c>
      <c r="C628">
        <v>1</v>
      </c>
      <c r="E628" s="81" t="s">
        <v>1425</v>
      </c>
      <c r="F628" s="32"/>
    </row>
    <row r="629" spans="1:6" ht="12.75" customHeight="1" x14ac:dyDescent="0.35">
      <c r="A629" s="32" t="s">
        <v>1430</v>
      </c>
      <c r="B629" s="32" t="s">
        <v>1431</v>
      </c>
      <c r="C629">
        <v>1</v>
      </c>
      <c r="E629" s="81" t="s">
        <v>1425</v>
      </c>
      <c r="F629" s="32"/>
    </row>
    <row r="630" spans="1:6" ht="12.75" customHeight="1" x14ac:dyDescent="0.35">
      <c r="A630" s="32" t="s">
        <v>1432</v>
      </c>
      <c r="B630" s="32" t="s">
        <v>1433</v>
      </c>
      <c r="C630">
        <v>1</v>
      </c>
      <c r="E630" s="81" t="s">
        <v>1425</v>
      </c>
      <c r="F630" s="32"/>
    </row>
    <row r="631" spans="1:6" ht="12.75" customHeight="1" x14ac:dyDescent="0.35">
      <c r="A631" s="32" t="s">
        <v>1434</v>
      </c>
      <c r="B631" s="32" t="s">
        <v>1435</v>
      </c>
      <c r="C631">
        <v>1</v>
      </c>
      <c r="E631" s="81" t="s">
        <v>1425</v>
      </c>
      <c r="F631" s="32"/>
    </row>
    <row r="632" spans="1:6" ht="12.75" customHeight="1" x14ac:dyDescent="0.35">
      <c r="A632" s="32" t="s">
        <v>1436</v>
      </c>
      <c r="B632" s="32" t="s">
        <v>1437</v>
      </c>
      <c r="C632">
        <v>1</v>
      </c>
      <c r="E632" s="81" t="s">
        <v>1425</v>
      </c>
      <c r="F632" s="32"/>
    </row>
    <row r="633" spans="1:6" ht="12.75" customHeight="1" x14ac:dyDescent="0.35">
      <c r="A633" s="32" t="s">
        <v>1438</v>
      </c>
      <c r="B633" s="32" t="s">
        <v>1439</v>
      </c>
      <c r="C633">
        <v>1</v>
      </c>
      <c r="E633" s="81" t="s">
        <v>1425</v>
      </c>
      <c r="F633" s="32"/>
    </row>
    <row r="634" spans="1:6" ht="12.75" customHeight="1" x14ac:dyDescent="0.35">
      <c r="A634" s="32" t="s">
        <v>1440</v>
      </c>
      <c r="B634" s="32" t="s">
        <v>1441</v>
      </c>
      <c r="C634">
        <v>1</v>
      </c>
      <c r="E634" s="81" t="s">
        <v>1425</v>
      </c>
      <c r="F634" s="32"/>
    </row>
    <row r="635" spans="1:6" ht="12.75" customHeight="1" x14ac:dyDescent="0.35">
      <c r="A635" s="32" t="s">
        <v>1442</v>
      </c>
      <c r="B635" s="32" t="s">
        <v>1443</v>
      </c>
      <c r="C635">
        <v>1</v>
      </c>
      <c r="E635" s="81" t="s">
        <v>1425</v>
      </c>
      <c r="F635" s="32"/>
    </row>
    <row r="636" spans="1:6" ht="12.75" customHeight="1" x14ac:dyDescent="0.35">
      <c r="A636" s="32" t="s">
        <v>1444</v>
      </c>
      <c r="B636" s="32" t="s">
        <v>1445</v>
      </c>
      <c r="C636">
        <v>1</v>
      </c>
      <c r="E636" s="81" t="s">
        <v>1425</v>
      </c>
      <c r="F636" s="32"/>
    </row>
    <row r="637" spans="1:6" ht="12.75" customHeight="1" x14ac:dyDescent="0.35">
      <c r="A637" s="32" t="s">
        <v>1446</v>
      </c>
      <c r="B637" s="32" t="s">
        <v>1447</v>
      </c>
      <c r="C637">
        <v>1</v>
      </c>
      <c r="E637" s="81" t="s">
        <v>1425</v>
      </c>
      <c r="F637" s="32"/>
    </row>
    <row r="638" spans="1:6" ht="12.75" customHeight="1" x14ac:dyDescent="0.35">
      <c r="A638" s="32" t="s">
        <v>1448</v>
      </c>
      <c r="B638" s="32" t="s">
        <v>1449</v>
      </c>
      <c r="C638">
        <v>1</v>
      </c>
      <c r="E638" s="81" t="s">
        <v>1425</v>
      </c>
      <c r="F638" s="32"/>
    </row>
    <row r="639" spans="1:6" ht="12.75" customHeight="1" x14ac:dyDescent="0.35">
      <c r="A639" s="32" t="s">
        <v>1450</v>
      </c>
      <c r="B639" s="32" t="s">
        <v>1451</v>
      </c>
      <c r="C639">
        <v>1</v>
      </c>
      <c r="E639" s="81" t="s">
        <v>1425</v>
      </c>
      <c r="F639" s="32"/>
    </row>
    <row r="640" spans="1:6" ht="12.75" customHeight="1" x14ac:dyDescent="0.35">
      <c r="A640" s="32" t="s">
        <v>1452</v>
      </c>
      <c r="B640" s="32" t="s">
        <v>1453</v>
      </c>
      <c r="C640">
        <v>1</v>
      </c>
      <c r="E640" s="81" t="s">
        <v>1425</v>
      </c>
      <c r="F640" s="32"/>
    </row>
    <row r="641" spans="1:6" ht="12.75" customHeight="1" x14ac:dyDescent="0.35">
      <c r="A641" s="32" t="s">
        <v>1454</v>
      </c>
      <c r="B641" s="32" t="s">
        <v>1455</v>
      </c>
      <c r="C641">
        <v>1</v>
      </c>
      <c r="E641" s="81" t="s">
        <v>1425</v>
      </c>
      <c r="F641" s="32"/>
    </row>
    <row r="642" spans="1:6" ht="12.75" customHeight="1" x14ac:dyDescent="0.35">
      <c r="A642" s="32" t="s">
        <v>1456</v>
      </c>
      <c r="B642" s="32" t="s">
        <v>1457</v>
      </c>
      <c r="C642">
        <v>1</v>
      </c>
      <c r="E642" s="81" t="s">
        <v>1425</v>
      </c>
      <c r="F642" s="32"/>
    </row>
    <row r="643" spans="1:6" ht="12.75" customHeight="1" x14ac:dyDescent="0.35">
      <c r="A643" s="32" t="s">
        <v>1458</v>
      </c>
      <c r="B643" s="32" t="s">
        <v>1459</v>
      </c>
      <c r="C643">
        <v>1</v>
      </c>
      <c r="E643" s="81" t="s">
        <v>1425</v>
      </c>
      <c r="F643" s="32"/>
    </row>
    <row r="644" spans="1:6" ht="12.75" customHeight="1" x14ac:dyDescent="0.35">
      <c r="A644" s="32" t="s">
        <v>1460</v>
      </c>
      <c r="B644" s="32" t="s">
        <v>1461</v>
      </c>
      <c r="C644">
        <v>1</v>
      </c>
      <c r="E644" s="81" t="s">
        <v>1425</v>
      </c>
      <c r="F644" s="32"/>
    </row>
    <row r="645" spans="1:6" ht="12.75" customHeight="1" x14ac:dyDescent="0.35">
      <c r="A645" s="32" t="s">
        <v>1462</v>
      </c>
      <c r="B645" s="32" t="s">
        <v>1463</v>
      </c>
      <c r="C645">
        <v>1</v>
      </c>
      <c r="E645" s="81" t="s">
        <v>1425</v>
      </c>
      <c r="F645" s="32"/>
    </row>
    <row r="646" spans="1:6" ht="12.75" customHeight="1" x14ac:dyDescent="0.35">
      <c r="A646" s="32" t="s">
        <v>1464</v>
      </c>
      <c r="B646" s="32" t="s">
        <v>1465</v>
      </c>
      <c r="C646">
        <v>1</v>
      </c>
      <c r="E646" s="81" t="s">
        <v>1425</v>
      </c>
      <c r="F646" s="32"/>
    </row>
    <row r="647" spans="1:6" ht="12.75" customHeight="1" x14ac:dyDescent="0.35">
      <c r="A647" s="32" t="s">
        <v>1466</v>
      </c>
      <c r="B647" s="32" t="s">
        <v>1467</v>
      </c>
      <c r="C647">
        <v>1</v>
      </c>
      <c r="E647" s="81" t="s">
        <v>1425</v>
      </c>
      <c r="F647" s="32"/>
    </row>
    <row r="648" spans="1:6" ht="12.75" customHeight="1" x14ac:dyDescent="0.35">
      <c r="A648" s="32" t="s">
        <v>1468</v>
      </c>
      <c r="B648" s="32" t="s">
        <v>1469</v>
      </c>
      <c r="C648">
        <v>1</v>
      </c>
      <c r="E648" s="81" t="s">
        <v>1425</v>
      </c>
      <c r="F648" s="32"/>
    </row>
    <row r="649" spans="1:6" ht="12.75" customHeight="1" x14ac:dyDescent="0.35">
      <c r="A649" s="32" t="s">
        <v>1470</v>
      </c>
      <c r="B649" s="32" t="s">
        <v>1471</v>
      </c>
      <c r="C649">
        <v>1</v>
      </c>
      <c r="E649" s="81" t="s">
        <v>1425</v>
      </c>
      <c r="F649" s="32"/>
    </row>
    <row r="650" spans="1:6" ht="12.75" customHeight="1" x14ac:dyDescent="0.35">
      <c r="A650" s="32" t="s">
        <v>1472</v>
      </c>
      <c r="B650" s="32" t="s">
        <v>1473</v>
      </c>
      <c r="C650">
        <v>1</v>
      </c>
      <c r="E650" s="81" t="s">
        <v>1425</v>
      </c>
      <c r="F650" s="32"/>
    </row>
    <row r="651" spans="1:6" ht="12.75" customHeight="1" x14ac:dyDescent="0.35">
      <c r="A651" s="32" t="s">
        <v>1474</v>
      </c>
      <c r="B651" s="32" t="s">
        <v>1475</v>
      </c>
      <c r="C651">
        <v>1</v>
      </c>
      <c r="E651" s="81" t="s">
        <v>1425</v>
      </c>
      <c r="F651" s="32"/>
    </row>
    <row r="652" spans="1:6" ht="12.75" customHeight="1" x14ac:dyDescent="0.35">
      <c r="A652" s="32" t="s">
        <v>1476</v>
      </c>
      <c r="B652" s="32" t="s">
        <v>1477</v>
      </c>
      <c r="C652">
        <v>1</v>
      </c>
      <c r="E652" s="81" t="s">
        <v>1425</v>
      </c>
      <c r="F652" s="32"/>
    </row>
    <row r="653" spans="1:6" ht="12.75" customHeight="1" x14ac:dyDescent="0.35">
      <c r="A653" s="32" t="s">
        <v>1478</v>
      </c>
      <c r="B653" s="32" t="s">
        <v>1479</v>
      </c>
      <c r="C653">
        <v>1</v>
      </c>
      <c r="E653" s="81" t="s">
        <v>1425</v>
      </c>
      <c r="F653" s="32"/>
    </row>
    <row r="654" spans="1:6" ht="12.75" customHeight="1" x14ac:dyDescent="0.35">
      <c r="A654" s="32" t="s">
        <v>1480</v>
      </c>
      <c r="B654" s="32" t="s">
        <v>1481</v>
      </c>
      <c r="C654">
        <v>1</v>
      </c>
      <c r="E654" s="81" t="s">
        <v>1425</v>
      </c>
      <c r="F654" s="32"/>
    </row>
    <row r="655" spans="1:6" ht="12.75" customHeight="1" x14ac:dyDescent="0.35">
      <c r="A655" s="32" t="s">
        <v>1482</v>
      </c>
      <c r="B655" s="32" t="s">
        <v>1483</v>
      </c>
      <c r="C655">
        <v>1</v>
      </c>
      <c r="E655" s="81" t="s">
        <v>1425</v>
      </c>
      <c r="F655" s="32"/>
    </row>
    <row r="656" spans="1:6" ht="12.75" customHeight="1" x14ac:dyDescent="0.35">
      <c r="A656" s="32" t="s">
        <v>1484</v>
      </c>
      <c r="B656" s="32" t="s">
        <v>1485</v>
      </c>
      <c r="C656">
        <v>1</v>
      </c>
      <c r="E656" s="81" t="s">
        <v>1425</v>
      </c>
      <c r="F656" s="32"/>
    </row>
    <row r="657" spans="1:6" ht="12.75" customHeight="1" x14ac:dyDescent="0.35">
      <c r="A657" s="32" t="s">
        <v>1486</v>
      </c>
      <c r="B657" s="32" t="s">
        <v>1487</v>
      </c>
      <c r="C657">
        <v>1</v>
      </c>
      <c r="E657" s="81" t="s">
        <v>1425</v>
      </c>
      <c r="F657" s="32"/>
    </row>
    <row r="658" spans="1:6" ht="12.75" customHeight="1" x14ac:dyDescent="0.35">
      <c r="A658" s="32" t="s">
        <v>1488</v>
      </c>
      <c r="B658" s="32" t="s">
        <v>1489</v>
      </c>
      <c r="C658">
        <v>1</v>
      </c>
      <c r="E658" s="81" t="s">
        <v>1425</v>
      </c>
      <c r="F658" s="32"/>
    </row>
    <row r="659" spans="1:6" ht="12.75" customHeight="1" x14ac:dyDescent="0.35">
      <c r="A659" s="32" t="s">
        <v>1490</v>
      </c>
      <c r="B659" s="32" t="s">
        <v>1491</v>
      </c>
      <c r="C659">
        <v>1</v>
      </c>
      <c r="E659" s="81" t="s">
        <v>1425</v>
      </c>
      <c r="F659" s="32"/>
    </row>
    <row r="660" spans="1:6" ht="12.75" customHeight="1" x14ac:dyDescent="0.35">
      <c r="A660" s="32" t="s">
        <v>1492</v>
      </c>
      <c r="B660" s="32" t="s">
        <v>1493</v>
      </c>
      <c r="C660">
        <v>1</v>
      </c>
      <c r="E660" s="81" t="s">
        <v>1425</v>
      </c>
      <c r="F660" s="32"/>
    </row>
    <row r="661" spans="1:6" ht="12.75" customHeight="1" x14ac:dyDescent="0.35">
      <c r="A661" s="32" t="s">
        <v>1494</v>
      </c>
      <c r="B661" s="32" t="s">
        <v>1495</v>
      </c>
      <c r="C661">
        <v>1</v>
      </c>
      <c r="E661" s="81" t="s">
        <v>1425</v>
      </c>
      <c r="F661" s="32"/>
    </row>
    <row r="662" spans="1:6" ht="12.75" customHeight="1" x14ac:dyDescent="0.35">
      <c r="A662" s="32" t="s">
        <v>1496</v>
      </c>
      <c r="B662" s="32" t="s">
        <v>1497</v>
      </c>
      <c r="C662">
        <v>1</v>
      </c>
      <c r="E662" s="81" t="s">
        <v>1425</v>
      </c>
      <c r="F662" s="32"/>
    </row>
    <row r="663" spans="1:6" ht="12.75" customHeight="1" x14ac:dyDescent="0.35">
      <c r="A663" s="32" t="s">
        <v>1498</v>
      </c>
      <c r="B663" s="32" t="s">
        <v>1499</v>
      </c>
      <c r="C663">
        <v>1</v>
      </c>
      <c r="E663" s="81" t="s">
        <v>1425</v>
      </c>
      <c r="F663" s="32"/>
    </row>
    <row r="664" spans="1:6" ht="12.75" customHeight="1" x14ac:dyDescent="0.35">
      <c r="A664" s="32" t="s">
        <v>1500</v>
      </c>
      <c r="B664" s="32" t="s">
        <v>1501</v>
      </c>
      <c r="C664">
        <v>1</v>
      </c>
      <c r="E664" s="81" t="s">
        <v>1425</v>
      </c>
      <c r="F664" s="32"/>
    </row>
    <row r="665" spans="1:6" ht="12.75" customHeight="1" x14ac:dyDescent="0.35">
      <c r="A665" s="32" t="s">
        <v>1502</v>
      </c>
      <c r="B665" s="32" t="s">
        <v>1503</v>
      </c>
      <c r="C665">
        <v>1</v>
      </c>
      <c r="E665" s="81" t="s">
        <v>1425</v>
      </c>
      <c r="F665" s="32"/>
    </row>
    <row r="666" spans="1:6" ht="12.75" customHeight="1" x14ac:dyDescent="0.35">
      <c r="A666" s="32" t="s">
        <v>1504</v>
      </c>
      <c r="B666" s="32" t="s">
        <v>1505</v>
      </c>
      <c r="C666">
        <v>1</v>
      </c>
      <c r="E666" s="81" t="s">
        <v>1425</v>
      </c>
      <c r="F666" s="32"/>
    </row>
    <row r="667" spans="1:6" ht="12.75" customHeight="1" x14ac:dyDescent="0.35">
      <c r="A667" s="32" t="s">
        <v>1506</v>
      </c>
      <c r="B667" s="32" t="s">
        <v>1507</v>
      </c>
      <c r="C667">
        <v>1</v>
      </c>
      <c r="E667" s="81" t="s">
        <v>1425</v>
      </c>
      <c r="F667" s="32"/>
    </row>
    <row r="668" spans="1:6" ht="12.75" customHeight="1" x14ac:dyDescent="0.35">
      <c r="A668" s="32" t="s">
        <v>1508</v>
      </c>
      <c r="B668" s="32" t="s">
        <v>1509</v>
      </c>
      <c r="C668">
        <v>1</v>
      </c>
      <c r="E668" s="81" t="s">
        <v>1425</v>
      </c>
      <c r="F668" s="32"/>
    </row>
    <row r="669" spans="1:6" ht="12.75" customHeight="1" x14ac:dyDescent="0.35">
      <c r="A669" s="32" t="s">
        <v>1510</v>
      </c>
      <c r="B669" s="32" t="s">
        <v>1511</v>
      </c>
      <c r="C669">
        <v>1</v>
      </c>
      <c r="E669" s="81" t="s">
        <v>1425</v>
      </c>
      <c r="F669" s="32"/>
    </row>
    <row r="670" spans="1:6" ht="12.75" customHeight="1" x14ac:dyDescent="0.35">
      <c r="A670" s="32" t="s">
        <v>1512</v>
      </c>
      <c r="B670" s="32" t="s">
        <v>1513</v>
      </c>
      <c r="C670">
        <v>1</v>
      </c>
      <c r="E670" s="81" t="s">
        <v>1425</v>
      </c>
      <c r="F670" s="32"/>
    </row>
    <row r="671" spans="1:6" ht="12.75" customHeight="1" x14ac:dyDescent="0.35">
      <c r="A671" s="32" t="s">
        <v>1514</v>
      </c>
      <c r="B671" s="32" t="s">
        <v>1515</v>
      </c>
      <c r="C671">
        <v>1</v>
      </c>
      <c r="E671" s="81" t="s">
        <v>1425</v>
      </c>
      <c r="F671" s="32"/>
    </row>
    <row r="672" spans="1:6" ht="12.75" customHeight="1" x14ac:dyDescent="0.35">
      <c r="A672" s="32" t="s">
        <v>1516</v>
      </c>
      <c r="B672" s="32" t="s">
        <v>1517</v>
      </c>
      <c r="C672">
        <v>1</v>
      </c>
      <c r="E672" s="81" t="s">
        <v>1425</v>
      </c>
      <c r="F672" s="32"/>
    </row>
    <row r="673" spans="1:6" ht="12.75" customHeight="1" x14ac:dyDescent="0.35">
      <c r="A673" s="32" t="s">
        <v>1518</v>
      </c>
      <c r="B673" s="32" t="s">
        <v>1519</v>
      </c>
      <c r="C673">
        <v>1</v>
      </c>
      <c r="E673" s="81" t="s">
        <v>1425</v>
      </c>
      <c r="F673" s="32"/>
    </row>
    <row r="674" spans="1:6" ht="12.75" customHeight="1" x14ac:dyDescent="0.35">
      <c r="A674" s="32" t="s">
        <v>1520</v>
      </c>
      <c r="B674" s="32" t="s">
        <v>1521</v>
      </c>
      <c r="C674">
        <v>1</v>
      </c>
      <c r="E674" s="81" t="s">
        <v>1425</v>
      </c>
      <c r="F674" s="32"/>
    </row>
    <row r="675" spans="1:6" ht="12.75" customHeight="1" x14ac:dyDescent="0.35">
      <c r="A675" s="32" t="s">
        <v>1522</v>
      </c>
      <c r="B675" s="32" t="s">
        <v>1523</v>
      </c>
      <c r="C675">
        <v>1</v>
      </c>
      <c r="E675" s="81" t="s">
        <v>1425</v>
      </c>
      <c r="F675" s="32"/>
    </row>
    <row r="676" spans="1:6" ht="12.75" customHeight="1" x14ac:dyDescent="0.35">
      <c r="A676" s="32" t="s">
        <v>1524</v>
      </c>
      <c r="B676" s="32" t="s">
        <v>1525</v>
      </c>
      <c r="C676">
        <v>1</v>
      </c>
      <c r="E676" s="81" t="s">
        <v>1425</v>
      </c>
      <c r="F676" s="32"/>
    </row>
    <row r="677" spans="1:6" ht="12.75" customHeight="1" x14ac:dyDescent="0.35">
      <c r="A677" s="32" t="s">
        <v>1526</v>
      </c>
      <c r="B677" s="32" t="s">
        <v>1527</v>
      </c>
      <c r="C677">
        <v>1</v>
      </c>
      <c r="E677" s="81" t="s">
        <v>1425</v>
      </c>
      <c r="F677" s="32"/>
    </row>
    <row r="678" spans="1:6" ht="12.75" customHeight="1" x14ac:dyDescent="0.35">
      <c r="A678" s="32" t="s">
        <v>1528</v>
      </c>
      <c r="B678" s="32" t="s">
        <v>1529</v>
      </c>
      <c r="C678">
        <v>1</v>
      </c>
      <c r="E678" s="81" t="s">
        <v>1425</v>
      </c>
      <c r="F678" s="32"/>
    </row>
    <row r="679" spans="1:6" ht="12.75" customHeight="1" x14ac:dyDescent="0.35">
      <c r="A679" s="32" t="s">
        <v>1530</v>
      </c>
      <c r="B679" s="32" t="s">
        <v>1531</v>
      </c>
      <c r="C679">
        <v>1</v>
      </c>
      <c r="E679" s="81" t="s">
        <v>1425</v>
      </c>
      <c r="F679" s="32"/>
    </row>
    <row r="680" spans="1:6" ht="12.75" customHeight="1" x14ac:dyDescent="0.35">
      <c r="A680" s="32" t="s">
        <v>1532</v>
      </c>
      <c r="B680" s="32" t="s">
        <v>1533</v>
      </c>
      <c r="C680">
        <v>1</v>
      </c>
      <c r="E680" s="81" t="s">
        <v>1425</v>
      </c>
      <c r="F680" s="32"/>
    </row>
    <row r="681" spans="1:6" ht="12.75" customHeight="1" x14ac:dyDescent="0.35">
      <c r="A681" s="32" t="s">
        <v>1534</v>
      </c>
      <c r="B681" s="32" t="s">
        <v>1535</v>
      </c>
      <c r="C681">
        <v>1</v>
      </c>
      <c r="E681" s="81" t="s">
        <v>1425</v>
      </c>
      <c r="F681" s="32"/>
    </row>
    <row r="682" spans="1:6" ht="12.75" customHeight="1" x14ac:dyDescent="0.35">
      <c r="A682" s="32" t="s">
        <v>1536</v>
      </c>
      <c r="B682" s="32" t="s">
        <v>1537</v>
      </c>
      <c r="C682">
        <v>1</v>
      </c>
      <c r="E682" s="81" t="s">
        <v>1425</v>
      </c>
      <c r="F682" s="32"/>
    </row>
    <row r="683" spans="1:6" ht="12.75" customHeight="1" x14ac:dyDescent="0.35">
      <c r="A683" s="32" t="s">
        <v>1538</v>
      </c>
      <c r="B683" s="32" t="s">
        <v>1539</v>
      </c>
      <c r="C683">
        <v>1</v>
      </c>
      <c r="E683" s="81" t="s">
        <v>1425</v>
      </c>
      <c r="F683" s="32"/>
    </row>
    <row r="684" spans="1:6" ht="12.75" customHeight="1" x14ac:dyDescent="0.35">
      <c r="A684" s="32" t="s">
        <v>1540</v>
      </c>
      <c r="B684" s="32" t="s">
        <v>1541</v>
      </c>
      <c r="C684">
        <v>1</v>
      </c>
      <c r="E684" s="81" t="s">
        <v>1425</v>
      </c>
      <c r="F684" s="32"/>
    </row>
    <row r="685" spans="1:6" ht="12.75" customHeight="1" x14ac:dyDescent="0.35">
      <c r="A685" s="32" t="s">
        <v>1542</v>
      </c>
      <c r="B685" s="32" t="s">
        <v>1543</v>
      </c>
      <c r="C685">
        <v>1</v>
      </c>
      <c r="E685" s="81" t="s">
        <v>1425</v>
      </c>
      <c r="F685" s="32"/>
    </row>
    <row r="686" spans="1:6" ht="12.75" customHeight="1" x14ac:dyDescent="0.35">
      <c r="A686" s="32" t="s">
        <v>1544</v>
      </c>
      <c r="B686" s="32" t="s">
        <v>1545</v>
      </c>
      <c r="C686">
        <v>1</v>
      </c>
      <c r="E686" s="81" t="s">
        <v>1425</v>
      </c>
      <c r="F686" s="32"/>
    </row>
    <row r="687" spans="1:6" ht="12.75" customHeight="1" x14ac:dyDescent="0.35">
      <c r="A687" s="32" t="s">
        <v>1546</v>
      </c>
      <c r="B687" s="32" t="s">
        <v>1547</v>
      </c>
      <c r="C687">
        <v>1</v>
      </c>
      <c r="E687" s="81" t="s">
        <v>1425</v>
      </c>
      <c r="F687" s="32"/>
    </row>
    <row r="688" spans="1:6" ht="12.75" customHeight="1" x14ac:dyDescent="0.35">
      <c r="A688" s="32" t="s">
        <v>1548</v>
      </c>
      <c r="B688" s="32" t="s">
        <v>1549</v>
      </c>
      <c r="C688">
        <v>1</v>
      </c>
      <c r="E688" s="81" t="s">
        <v>1425</v>
      </c>
      <c r="F688" s="32"/>
    </row>
    <row r="689" spans="1:6" ht="12.75" customHeight="1" x14ac:dyDescent="0.35">
      <c r="A689" s="32" t="s">
        <v>1550</v>
      </c>
      <c r="B689" s="32" t="s">
        <v>1551</v>
      </c>
      <c r="C689">
        <v>1</v>
      </c>
      <c r="E689" s="81" t="s">
        <v>1425</v>
      </c>
      <c r="F689" s="32"/>
    </row>
    <row r="690" spans="1:6" ht="12.75" customHeight="1" x14ac:dyDescent="0.35">
      <c r="A690" s="32" t="s">
        <v>1552</v>
      </c>
      <c r="B690" s="32" t="s">
        <v>1553</v>
      </c>
      <c r="C690">
        <v>1</v>
      </c>
      <c r="E690" s="81" t="s">
        <v>1425</v>
      </c>
      <c r="F690" s="32"/>
    </row>
    <row r="691" spans="1:6" ht="12.75" customHeight="1" x14ac:dyDescent="0.35">
      <c r="A691" s="32" t="s">
        <v>1554</v>
      </c>
      <c r="B691" s="32" t="s">
        <v>1555</v>
      </c>
      <c r="C691">
        <v>1</v>
      </c>
      <c r="E691" s="81" t="s">
        <v>1425</v>
      </c>
      <c r="F691" s="32"/>
    </row>
    <row r="692" spans="1:6" ht="12.75" customHeight="1" x14ac:dyDescent="0.35">
      <c r="A692" s="32" t="s">
        <v>1556</v>
      </c>
      <c r="B692" s="32" t="s">
        <v>1557</v>
      </c>
      <c r="C692">
        <v>1</v>
      </c>
      <c r="E692" s="81" t="s">
        <v>1425</v>
      </c>
      <c r="F692" s="32"/>
    </row>
    <row r="693" spans="1:6" ht="12.75" customHeight="1" x14ac:dyDescent="0.35">
      <c r="A693" s="32" t="s">
        <v>1558</v>
      </c>
      <c r="B693" s="1" t="s">
        <v>1559</v>
      </c>
      <c r="C693">
        <v>1</v>
      </c>
      <c r="E693" s="81" t="s">
        <v>1425</v>
      </c>
      <c r="F693" s="32"/>
    </row>
    <row r="694" spans="1:6" ht="12.75" customHeight="1" x14ac:dyDescent="0.35">
      <c r="A694" s="32" t="s">
        <v>1560</v>
      </c>
      <c r="B694" s="32" t="s">
        <v>1561</v>
      </c>
      <c r="C694">
        <v>1</v>
      </c>
      <c r="E694" s="81" t="s">
        <v>1425</v>
      </c>
      <c r="F694" s="32"/>
    </row>
    <row r="695" spans="1:6" ht="12.75" customHeight="1" x14ac:dyDescent="0.35">
      <c r="A695" s="32" t="s">
        <v>1562</v>
      </c>
      <c r="B695" s="32" t="s">
        <v>1563</v>
      </c>
      <c r="C695">
        <v>1</v>
      </c>
      <c r="E695" s="81" t="s">
        <v>1425</v>
      </c>
      <c r="F695" s="32"/>
    </row>
    <row r="696" spans="1:6" ht="12.75" customHeight="1" x14ac:dyDescent="0.35">
      <c r="A696" s="32" t="s">
        <v>1564</v>
      </c>
      <c r="B696" s="32" t="s">
        <v>1565</v>
      </c>
      <c r="C696">
        <v>1</v>
      </c>
      <c r="E696" s="81" t="s">
        <v>1425</v>
      </c>
      <c r="F696" s="32"/>
    </row>
    <row r="697" spans="1:6" ht="12.75" customHeight="1" x14ac:dyDescent="0.35">
      <c r="A697" s="32" t="s">
        <v>1566</v>
      </c>
      <c r="B697" s="32" t="s">
        <v>1567</v>
      </c>
      <c r="C697">
        <v>1</v>
      </c>
      <c r="E697" s="81" t="s">
        <v>1425</v>
      </c>
      <c r="F697" s="32"/>
    </row>
    <row r="698" spans="1:6" ht="12.75" customHeight="1" x14ac:dyDescent="0.35">
      <c r="A698" s="32" t="s">
        <v>1568</v>
      </c>
      <c r="B698" s="32" t="s">
        <v>1569</v>
      </c>
      <c r="C698">
        <v>1</v>
      </c>
      <c r="E698" s="81" t="s">
        <v>1425</v>
      </c>
      <c r="F698" s="32"/>
    </row>
    <row r="699" spans="1:6" ht="12.75" customHeight="1" x14ac:dyDescent="0.35">
      <c r="A699" s="32" t="s">
        <v>1570</v>
      </c>
      <c r="B699" s="32" t="s">
        <v>1571</v>
      </c>
      <c r="C699">
        <v>1</v>
      </c>
      <c r="E699" s="81" t="s">
        <v>1425</v>
      </c>
      <c r="F699" s="32"/>
    </row>
    <row r="700" spans="1:6" ht="12.75" customHeight="1" x14ac:dyDescent="0.35">
      <c r="A700" s="32" t="s">
        <v>1572</v>
      </c>
      <c r="B700" s="32" t="s">
        <v>1573</v>
      </c>
      <c r="C700">
        <v>1</v>
      </c>
      <c r="E700" s="81" t="s">
        <v>1425</v>
      </c>
      <c r="F700" s="32"/>
    </row>
    <row r="701" spans="1:6" ht="12.75" customHeight="1" x14ac:dyDescent="0.35">
      <c r="A701" s="32" t="s">
        <v>1574</v>
      </c>
      <c r="B701" s="32" t="s">
        <v>1575</v>
      </c>
      <c r="C701">
        <v>1</v>
      </c>
      <c r="E701" s="81" t="s">
        <v>1425</v>
      </c>
      <c r="F701" s="32"/>
    </row>
    <row r="702" spans="1:6" ht="12.75" customHeight="1" x14ac:dyDescent="0.35">
      <c r="A702" s="32" t="s">
        <v>1576</v>
      </c>
      <c r="B702" s="32" t="s">
        <v>1577</v>
      </c>
      <c r="C702">
        <v>1</v>
      </c>
      <c r="E702" s="81" t="s">
        <v>1425</v>
      </c>
      <c r="F702" s="32"/>
    </row>
    <row r="703" spans="1:6" ht="12.75" customHeight="1" x14ac:dyDescent="0.35">
      <c r="A703" s="32" t="s">
        <v>1578</v>
      </c>
      <c r="B703" s="32" t="s">
        <v>1579</v>
      </c>
      <c r="C703">
        <v>1</v>
      </c>
      <c r="E703" s="81" t="s">
        <v>1425</v>
      </c>
      <c r="F703" s="32"/>
    </row>
    <row r="704" spans="1:6" ht="12.75" customHeight="1" x14ac:dyDescent="0.35">
      <c r="A704" s="32" t="s">
        <v>1580</v>
      </c>
      <c r="B704" s="32" t="s">
        <v>1581</v>
      </c>
      <c r="C704">
        <v>1</v>
      </c>
      <c r="E704" s="81" t="s">
        <v>1425</v>
      </c>
      <c r="F704" s="32"/>
    </row>
    <row r="705" spans="1:6" ht="12.75" customHeight="1" x14ac:dyDescent="0.35">
      <c r="A705" s="32" t="s">
        <v>1582</v>
      </c>
      <c r="B705" s="32" t="s">
        <v>1583</v>
      </c>
      <c r="C705">
        <v>1</v>
      </c>
      <c r="E705" s="81" t="s">
        <v>1425</v>
      </c>
      <c r="F705" s="32"/>
    </row>
    <row r="706" spans="1:6" ht="12.75" customHeight="1" x14ac:dyDescent="0.35">
      <c r="A706" s="32" t="s">
        <v>1584</v>
      </c>
      <c r="B706" s="32" t="s">
        <v>1585</v>
      </c>
      <c r="C706">
        <v>1</v>
      </c>
      <c r="E706" s="81" t="s">
        <v>1425</v>
      </c>
      <c r="F706" s="32"/>
    </row>
    <row r="707" spans="1:6" ht="12.75" customHeight="1" x14ac:dyDescent="0.35">
      <c r="A707" s="32" t="s">
        <v>1586</v>
      </c>
      <c r="B707" s="32" t="s">
        <v>1587</v>
      </c>
      <c r="C707">
        <v>1</v>
      </c>
      <c r="E707" s="81" t="s">
        <v>1425</v>
      </c>
      <c r="F707" s="32"/>
    </row>
    <row r="708" spans="1:6" ht="12.75" customHeight="1" x14ac:dyDescent="0.35">
      <c r="A708" s="32" t="s">
        <v>1588</v>
      </c>
      <c r="B708" s="32" t="s">
        <v>1589</v>
      </c>
      <c r="C708">
        <v>1</v>
      </c>
      <c r="E708" s="81" t="s">
        <v>1425</v>
      </c>
      <c r="F708" s="32"/>
    </row>
    <row r="709" spans="1:6" ht="12.75" customHeight="1" x14ac:dyDescent="0.35">
      <c r="A709" s="32" t="s">
        <v>1590</v>
      </c>
      <c r="B709" s="32" t="s">
        <v>1591</v>
      </c>
      <c r="C709">
        <v>1</v>
      </c>
      <c r="E709" s="81" t="s">
        <v>1425</v>
      </c>
      <c r="F709" s="32"/>
    </row>
    <row r="710" spans="1:6" ht="12.75" customHeight="1" x14ac:dyDescent="0.35">
      <c r="A710" s="32" t="s">
        <v>1592</v>
      </c>
      <c r="B710" s="32" t="s">
        <v>1593</v>
      </c>
      <c r="C710">
        <v>1</v>
      </c>
      <c r="E710" s="81" t="s">
        <v>1425</v>
      </c>
      <c r="F710" s="32"/>
    </row>
    <row r="711" spans="1:6" ht="12.75" customHeight="1" x14ac:dyDescent="0.35">
      <c r="A711" s="32" t="s">
        <v>1594</v>
      </c>
      <c r="B711" s="32" t="s">
        <v>1595</v>
      </c>
      <c r="C711">
        <v>1</v>
      </c>
      <c r="E711" s="81" t="s">
        <v>1425</v>
      </c>
      <c r="F711" s="32"/>
    </row>
    <row r="712" spans="1:6" ht="12.75" customHeight="1" x14ac:dyDescent="0.35">
      <c r="A712" s="32" t="s">
        <v>1596</v>
      </c>
      <c r="B712" s="32" t="s">
        <v>1597</v>
      </c>
      <c r="C712">
        <v>1</v>
      </c>
      <c r="E712" s="81" t="s">
        <v>1425</v>
      </c>
      <c r="F712" s="32"/>
    </row>
    <row r="713" spans="1:6" ht="12.75" customHeight="1" x14ac:dyDescent="0.35">
      <c r="A713" s="32" t="s">
        <v>1598</v>
      </c>
      <c r="B713" s="32" t="s">
        <v>1599</v>
      </c>
      <c r="C713">
        <v>1</v>
      </c>
      <c r="E713" s="81" t="s">
        <v>1425</v>
      </c>
      <c r="F713" s="32"/>
    </row>
    <row r="714" spans="1:6" ht="12.75" customHeight="1" x14ac:dyDescent="0.35">
      <c r="A714" s="32" t="s">
        <v>1600</v>
      </c>
      <c r="B714" s="32" t="s">
        <v>1601</v>
      </c>
      <c r="C714">
        <v>1</v>
      </c>
      <c r="E714" s="81" t="s">
        <v>1425</v>
      </c>
      <c r="F714" s="32"/>
    </row>
    <row r="715" spans="1:6" ht="12.75" customHeight="1" x14ac:dyDescent="0.35">
      <c r="A715" s="32" t="s">
        <v>1602</v>
      </c>
      <c r="B715" s="32" t="s">
        <v>1603</v>
      </c>
      <c r="C715">
        <v>1</v>
      </c>
      <c r="E715" s="81" t="s">
        <v>1425</v>
      </c>
      <c r="F715" s="32"/>
    </row>
    <row r="716" spans="1:6" ht="12.75" customHeight="1" x14ac:dyDescent="0.35">
      <c r="A716" s="32" t="s">
        <v>1604</v>
      </c>
      <c r="B716" s="32" t="s">
        <v>1291</v>
      </c>
      <c r="C716">
        <v>1</v>
      </c>
      <c r="E716" s="81" t="s">
        <v>1425</v>
      </c>
      <c r="F716" s="32"/>
    </row>
    <row r="717" spans="1:6" ht="12.75" customHeight="1" x14ac:dyDescent="0.35">
      <c r="A717" s="32" t="s">
        <v>1605</v>
      </c>
      <c r="B717" s="1" t="s">
        <v>1606</v>
      </c>
      <c r="C717">
        <v>1</v>
      </c>
      <c r="E717" s="81" t="s">
        <v>1425</v>
      </c>
      <c r="F717" s="32"/>
    </row>
    <row r="718" spans="1:6" ht="12.75" customHeight="1" x14ac:dyDescent="0.35">
      <c r="A718" s="32" t="s">
        <v>1607</v>
      </c>
      <c r="B718" s="32" t="s">
        <v>245</v>
      </c>
      <c r="C718">
        <v>1</v>
      </c>
      <c r="E718" s="81" t="s">
        <v>1425</v>
      </c>
      <c r="F718" s="32"/>
    </row>
    <row r="719" spans="1:6" ht="12.75" customHeight="1" x14ac:dyDescent="0.35">
      <c r="A719" s="32" t="s">
        <v>1608</v>
      </c>
      <c r="B719" s="32" t="s">
        <v>1609</v>
      </c>
      <c r="C719">
        <v>1</v>
      </c>
      <c r="E719" s="81" t="s">
        <v>1425</v>
      </c>
      <c r="F719" s="32"/>
    </row>
    <row r="720" spans="1:6" ht="12.75" customHeight="1" x14ac:dyDescent="0.35">
      <c r="A720" s="32" t="s">
        <v>1610</v>
      </c>
      <c r="B720" s="32" t="s">
        <v>1611</v>
      </c>
      <c r="C720">
        <v>1</v>
      </c>
      <c r="E720" s="81" t="s">
        <v>1425</v>
      </c>
      <c r="F720" s="32"/>
    </row>
    <row r="721" spans="1:6" ht="12.75" customHeight="1" x14ac:dyDescent="0.35">
      <c r="A721" s="32" t="s">
        <v>1612</v>
      </c>
      <c r="B721" s="32" t="s">
        <v>1613</v>
      </c>
      <c r="C721">
        <v>1</v>
      </c>
      <c r="E721" s="81" t="s">
        <v>1425</v>
      </c>
      <c r="F721" s="32"/>
    </row>
    <row r="722" spans="1:6" ht="12.75" customHeight="1" x14ac:dyDescent="0.35">
      <c r="B722" s="32" t="s">
        <v>242</v>
      </c>
      <c r="F722" s="32"/>
    </row>
    <row r="723" spans="1:6" ht="12.75" customHeight="1" x14ac:dyDescent="0.35">
      <c r="A723" s="32" t="s">
        <v>1614</v>
      </c>
      <c r="B723" s="32" t="s">
        <v>1615</v>
      </c>
      <c r="C723">
        <v>2</v>
      </c>
      <c r="E723" s="81" t="s">
        <v>1425</v>
      </c>
      <c r="F723" s="32"/>
    </row>
    <row r="724" spans="1:6" ht="12.75" customHeight="1" x14ac:dyDescent="0.35">
      <c r="A724" s="32" t="s">
        <v>1616</v>
      </c>
      <c r="B724" s="32" t="s">
        <v>1617</v>
      </c>
      <c r="C724">
        <v>2</v>
      </c>
      <c r="E724" s="81" t="s">
        <v>1425</v>
      </c>
      <c r="F724" s="32"/>
    </row>
    <row r="725" spans="1:6" ht="12.75" customHeight="1" x14ac:dyDescent="0.35">
      <c r="A725" s="32" t="s">
        <v>1618</v>
      </c>
      <c r="B725" s="32" t="s">
        <v>1619</v>
      </c>
      <c r="C725">
        <v>2</v>
      </c>
      <c r="E725" s="81" t="s">
        <v>1425</v>
      </c>
      <c r="F725" s="32"/>
    </row>
    <row r="726" spans="1:6" ht="12.75" customHeight="1" x14ac:dyDescent="0.35">
      <c r="A726" s="32" t="s">
        <v>1620</v>
      </c>
      <c r="B726" s="32" t="s">
        <v>1621</v>
      </c>
      <c r="C726">
        <v>2</v>
      </c>
      <c r="E726" s="81" t="s">
        <v>1425</v>
      </c>
      <c r="F726" s="32"/>
    </row>
    <row r="727" spans="1:6" ht="12.75" customHeight="1" x14ac:dyDescent="0.35">
      <c r="A727" s="32" t="s">
        <v>1622</v>
      </c>
      <c r="B727" s="32" t="s">
        <v>1623</v>
      </c>
      <c r="C727">
        <v>2</v>
      </c>
      <c r="E727" s="81" t="s">
        <v>1425</v>
      </c>
      <c r="F727" s="32"/>
    </row>
    <row r="728" spans="1:6" ht="12.75" customHeight="1" x14ac:dyDescent="0.35">
      <c r="A728" s="32" t="s">
        <v>1624</v>
      </c>
      <c r="B728" s="32" t="s">
        <v>1625</v>
      </c>
      <c r="C728">
        <v>2</v>
      </c>
      <c r="E728" s="81" t="s">
        <v>1425</v>
      </c>
      <c r="F728" s="32"/>
    </row>
    <row r="729" spans="1:6" ht="12.75" customHeight="1" x14ac:dyDescent="0.35">
      <c r="A729" s="32" t="s">
        <v>1626</v>
      </c>
      <c r="B729" s="32" t="s">
        <v>1627</v>
      </c>
      <c r="C729">
        <v>2</v>
      </c>
      <c r="E729" s="81" t="s">
        <v>1425</v>
      </c>
      <c r="F729" s="32"/>
    </row>
    <row r="730" spans="1:6" ht="12.75" customHeight="1" x14ac:dyDescent="0.35">
      <c r="A730" s="32" t="s">
        <v>1628</v>
      </c>
      <c r="B730" s="32" t="s">
        <v>1629</v>
      </c>
      <c r="C730">
        <v>2</v>
      </c>
      <c r="E730" s="81" t="s">
        <v>1425</v>
      </c>
      <c r="F730" s="32"/>
    </row>
    <row r="731" spans="1:6" ht="12.75" customHeight="1" x14ac:dyDescent="0.35">
      <c r="A731" s="32" t="s">
        <v>1630</v>
      </c>
      <c r="B731" s="32" t="s">
        <v>1631</v>
      </c>
      <c r="C731">
        <v>2</v>
      </c>
      <c r="E731" s="81" t="s">
        <v>1425</v>
      </c>
      <c r="F731" s="32"/>
    </row>
    <row r="732" spans="1:6" ht="12.75" customHeight="1" x14ac:dyDescent="0.35">
      <c r="A732" s="32" t="s">
        <v>1632</v>
      </c>
      <c r="B732" s="32" t="s">
        <v>1633</v>
      </c>
      <c r="C732">
        <v>2</v>
      </c>
      <c r="E732" s="81" t="s">
        <v>1425</v>
      </c>
      <c r="F732" s="32"/>
    </row>
    <row r="733" spans="1:6" ht="12.75" customHeight="1" x14ac:dyDescent="0.35">
      <c r="A733" s="32" t="s">
        <v>1634</v>
      </c>
      <c r="B733" s="32" t="s">
        <v>1635</v>
      </c>
      <c r="C733">
        <v>2</v>
      </c>
      <c r="E733" s="81" t="s">
        <v>1425</v>
      </c>
      <c r="F733" s="32"/>
    </row>
    <row r="734" spans="1:6" ht="12.75" customHeight="1" x14ac:dyDescent="0.35">
      <c r="A734" s="32" t="s">
        <v>1636</v>
      </c>
      <c r="B734" s="32" t="s">
        <v>1637</v>
      </c>
      <c r="C734">
        <v>2</v>
      </c>
      <c r="E734" s="81" t="s">
        <v>1425</v>
      </c>
      <c r="F734" s="32"/>
    </row>
    <row r="735" spans="1:6" ht="12.75" customHeight="1" x14ac:dyDescent="0.35">
      <c r="A735" s="32" t="s">
        <v>1638</v>
      </c>
      <c r="B735" s="32" t="s">
        <v>1639</v>
      </c>
      <c r="C735">
        <v>2</v>
      </c>
      <c r="E735" s="81" t="s">
        <v>1425</v>
      </c>
      <c r="F735" s="32"/>
    </row>
    <row r="736" spans="1:6" ht="12.75" customHeight="1" x14ac:dyDescent="0.35">
      <c r="A736" s="32" t="s">
        <v>1640</v>
      </c>
      <c r="B736" s="32" t="s">
        <v>1641</v>
      </c>
      <c r="C736">
        <v>2</v>
      </c>
      <c r="E736" s="81" t="s">
        <v>1425</v>
      </c>
      <c r="F736" s="32"/>
    </row>
    <row r="737" spans="1:6" ht="12.75" customHeight="1" x14ac:dyDescent="0.35">
      <c r="A737" s="32" t="s">
        <v>1642</v>
      </c>
      <c r="B737" s="32" t="s">
        <v>1643</v>
      </c>
      <c r="C737">
        <v>2</v>
      </c>
      <c r="E737" s="81" t="s">
        <v>1425</v>
      </c>
      <c r="F737" s="32"/>
    </row>
    <row r="738" spans="1:6" ht="12.75" customHeight="1" x14ac:dyDescent="0.35">
      <c r="A738" s="32" t="s">
        <v>1644</v>
      </c>
      <c r="B738" s="32" t="s">
        <v>1645</v>
      </c>
      <c r="C738">
        <v>2</v>
      </c>
      <c r="E738" s="81" t="s">
        <v>1425</v>
      </c>
      <c r="F738" s="32"/>
    </row>
    <row r="739" spans="1:6" ht="12.75" customHeight="1" x14ac:dyDescent="0.35">
      <c r="A739" s="32" t="s">
        <v>1646</v>
      </c>
      <c r="B739" s="32" t="s">
        <v>1647</v>
      </c>
      <c r="C739">
        <v>2</v>
      </c>
      <c r="E739" s="81" t="s">
        <v>1425</v>
      </c>
      <c r="F739" s="32"/>
    </row>
    <row r="740" spans="1:6" ht="12.75" customHeight="1" x14ac:dyDescent="0.35">
      <c r="A740" s="32" t="s">
        <v>1648</v>
      </c>
      <c r="B740" s="32" t="s">
        <v>1649</v>
      </c>
      <c r="C740">
        <v>2</v>
      </c>
      <c r="E740" s="81" t="s">
        <v>1425</v>
      </c>
      <c r="F740" s="32"/>
    </row>
    <row r="741" spans="1:6" ht="12.75" customHeight="1" x14ac:dyDescent="0.35">
      <c r="A741" s="32" t="s">
        <v>1650</v>
      </c>
      <c r="B741" s="32" t="s">
        <v>1651</v>
      </c>
      <c r="C741">
        <v>2</v>
      </c>
      <c r="E741" s="81" t="s">
        <v>1425</v>
      </c>
      <c r="F741" s="32"/>
    </row>
    <row r="742" spans="1:6" ht="12.75" customHeight="1" x14ac:dyDescent="0.35">
      <c r="A742" s="32" t="s">
        <v>1652</v>
      </c>
      <c r="B742" s="32" t="s">
        <v>1653</v>
      </c>
      <c r="C742">
        <v>2</v>
      </c>
      <c r="E742" s="81" t="s">
        <v>1425</v>
      </c>
      <c r="F742" s="32"/>
    </row>
    <row r="743" spans="1:6" ht="12.75" customHeight="1" x14ac:dyDescent="0.35">
      <c r="A743" s="32" t="s">
        <v>1654</v>
      </c>
      <c r="B743" s="32" t="s">
        <v>1655</v>
      </c>
      <c r="C743">
        <v>2</v>
      </c>
      <c r="E743" s="81" t="s">
        <v>1425</v>
      </c>
      <c r="F743" s="32"/>
    </row>
    <row r="744" spans="1:6" ht="12.75" customHeight="1" x14ac:dyDescent="0.35">
      <c r="A744" s="32" t="s">
        <v>1656</v>
      </c>
      <c r="B744" s="32" t="s">
        <v>1657</v>
      </c>
      <c r="C744">
        <v>2</v>
      </c>
      <c r="E744" s="81" t="s">
        <v>1425</v>
      </c>
      <c r="F744" s="32"/>
    </row>
    <row r="745" spans="1:6" ht="12.75" customHeight="1" x14ac:dyDescent="0.35">
      <c r="A745" s="32" t="s">
        <v>1658</v>
      </c>
      <c r="B745" s="32" t="s">
        <v>1659</v>
      </c>
      <c r="C745">
        <v>2</v>
      </c>
      <c r="E745" s="81" t="s">
        <v>1425</v>
      </c>
      <c r="F745" s="32"/>
    </row>
    <row r="746" spans="1:6" ht="12.75" customHeight="1" x14ac:dyDescent="0.35">
      <c r="A746" s="32" t="s">
        <v>1660</v>
      </c>
      <c r="B746" s="32" t="s">
        <v>1661</v>
      </c>
      <c r="C746">
        <v>2</v>
      </c>
      <c r="E746" s="81" t="s">
        <v>1425</v>
      </c>
      <c r="F746" s="32"/>
    </row>
    <row r="747" spans="1:6" ht="12.75" customHeight="1" x14ac:dyDescent="0.35">
      <c r="A747" s="32" t="s">
        <v>1662</v>
      </c>
      <c r="B747" s="1" t="s">
        <v>1663</v>
      </c>
      <c r="C747">
        <v>2</v>
      </c>
      <c r="E747" s="81" t="s">
        <v>1425</v>
      </c>
      <c r="F747" s="32"/>
    </row>
    <row r="748" spans="1:6" ht="12.75" customHeight="1" x14ac:dyDescent="0.35">
      <c r="A748" s="32" t="s">
        <v>1664</v>
      </c>
      <c r="B748" s="32" t="s">
        <v>1665</v>
      </c>
      <c r="C748">
        <v>2</v>
      </c>
      <c r="E748" s="81" t="s">
        <v>1425</v>
      </c>
      <c r="F748" s="32"/>
    </row>
    <row r="749" spans="1:6" ht="12.75" customHeight="1" x14ac:dyDescent="0.35">
      <c r="A749" s="32" t="s">
        <v>1666</v>
      </c>
      <c r="B749" s="32" t="s">
        <v>1667</v>
      </c>
      <c r="C749">
        <v>2</v>
      </c>
      <c r="E749" s="81" t="s">
        <v>1425</v>
      </c>
      <c r="F749" s="32"/>
    </row>
    <row r="750" spans="1:6" ht="12.75" customHeight="1" x14ac:dyDescent="0.35">
      <c r="A750" s="32" t="s">
        <v>1668</v>
      </c>
      <c r="B750" s="32" t="s">
        <v>1669</v>
      </c>
      <c r="C750">
        <v>2</v>
      </c>
      <c r="E750" s="81" t="s">
        <v>1425</v>
      </c>
      <c r="F750" s="32"/>
    </row>
    <row r="751" spans="1:6" ht="12.75" customHeight="1" x14ac:dyDescent="0.35">
      <c r="A751" s="32" t="s">
        <v>1670</v>
      </c>
      <c r="B751" s="32" t="s">
        <v>1671</v>
      </c>
      <c r="C751">
        <v>2</v>
      </c>
      <c r="E751" s="81" t="s">
        <v>1425</v>
      </c>
      <c r="F751" s="32"/>
    </row>
    <row r="752" spans="1:6" ht="12.75" customHeight="1" x14ac:dyDescent="0.35">
      <c r="A752" s="32" t="s">
        <v>1672</v>
      </c>
      <c r="B752" s="32" t="s">
        <v>1673</v>
      </c>
      <c r="C752">
        <v>2</v>
      </c>
      <c r="E752" s="81" t="s">
        <v>1425</v>
      </c>
      <c r="F752" s="32"/>
    </row>
    <row r="753" spans="1:6" ht="12.75" customHeight="1" x14ac:dyDescent="0.35">
      <c r="A753" s="32" t="s">
        <v>1674</v>
      </c>
      <c r="B753" s="32" t="s">
        <v>1675</v>
      </c>
      <c r="C753">
        <v>2</v>
      </c>
      <c r="E753" s="81" t="s">
        <v>1425</v>
      </c>
      <c r="F753" s="32"/>
    </row>
    <row r="754" spans="1:6" ht="12.75" customHeight="1" x14ac:dyDescent="0.35">
      <c r="A754" s="32" t="s">
        <v>1676</v>
      </c>
      <c r="B754" s="32" t="s">
        <v>1677</v>
      </c>
      <c r="C754">
        <v>2</v>
      </c>
      <c r="E754" s="81" t="s">
        <v>1425</v>
      </c>
      <c r="F754" s="32"/>
    </row>
    <row r="755" spans="1:6" ht="12.75" customHeight="1" x14ac:dyDescent="0.35">
      <c r="A755" s="32" t="s">
        <v>1678</v>
      </c>
      <c r="B755" s="32" t="s">
        <v>1679</v>
      </c>
      <c r="C755">
        <v>2</v>
      </c>
      <c r="E755" s="81" t="s">
        <v>1425</v>
      </c>
      <c r="F755" s="32"/>
    </row>
    <row r="756" spans="1:6" ht="12.75" customHeight="1" x14ac:dyDescent="0.35">
      <c r="A756" s="32" t="s">
        <v>1680</v>
      </c>
      <c r="B756" s="32" t="s">
        <v>1681</v>
      </c>
      <c r="C756">
        <v>2</v>
      </c>
      <c r="E756" s="81" t="s">
        <v>1425</v>
      </c>
      <c r="F756" s="32"/>
    </row>
    <row r="757" spans="1:6" ht="12.75" customHeight="1" x14ac:dyDescent="0.35">
      <c r="A757" s="32" t="s">
        <v>1682</v>
      </c>
      <c r="B757" s="32" t="s">
        <v>1683</v>
      </c>
      <c r="C757">
        <v>2</v>
      </c>
      <c r="E757" s="81" t="s">
        <v>1425</v>
      </c>
      <c r="F757" s="32"/>
    </row>
    <row r="758" spans="1:6" ht="12.75" customHeight="1" x14ac:dyDescent="0.35">
      <c r="A758" s="32" t="s">
        <v>1684</v>
      </c>
      <c r="B758" s="32" t="s">
        <v>1685</v>
      </c>
      <c r="C758">
        <v>2</v>
      </c>
      <c r="E758" s="81" t="s">
        <v>1425</v>
      </c>
      <c r="F758" s="32"/>
    </row>
    <row r="759" spans="1:6" ht="12.75" customHeight="1" x14ac:dyDescent="0.35">
      <c r="A759" s="32" t="s">
        <v>1686</v>
      </c>
      <c r="B759" s="32" t="s">
        <v>1687</v>
      </c>
      <c r="C759">
        <v>2</v>
      </c>
      <c r="E759" s="81" t="s">
        <v>1425</v>
      </c>
      <c r="F759" s="32"/>
    </row>
    <row r="760" spans="1:6" ht="12.75" customHeight="1" x14ac:dyDescent="0.35">
      <c r="A760" s="32" t="s">
        <v>1688</v>
      </c>
      <c r="B760" s="32" t="s">
        <v>1689</v>
      </c>
      <c r="C760">
        <v>2</v>
      </c>
      <c r="E760" s="81" t="s">
        <v>1425</v>
      </c>
      <c r="F760" s="32"/>
    </row>
    <row r="761" spans="1:6" ht="12.75" customHeight="1" x14ac:dyDescent="0.35">
      <c r="A761" s="32" t="s">
        <v>1690</v>
      </c>
      <c r="B761" s="32" t="s">
        <v>1691</v>
      </c>
      <c r="C761">
        <v>2</v>
      </c>
      <c r="E761" s="81" t="s">
        <v>1425</v>
      </c>
      <c r="F761" s="32"/>
    </row>
    <row r="762" spans="1:6" ht="12.75" customHeight="1" x14ac:dyDescent="0.35">
      <c r="A762" s="32" t="s">
        <v>1692</v>
      </c>
      <c r="B762" s="32" t="s">
        <v>1693</v>
      </c>
      <c r="C762">
        <v>2</v>
      </c>
      <c r="E762" s="81" t="s">
        <v>1425</v>
      </c>
      <c r="F762" s="32"/>
    </row>
    <row r="763" spans="1:6" ht="12.75" customHeight="1" x14ac:dyDescent="0.35">
      <c r="A763" s="32" t="s">
        <v>1694</v>
      </c>
      <c r="B763" s="32" t="s">
        <v>1695</v>
      </c>
      <c r="C763">
        <v>2</v>
      </c>
      <c r="E763" s="81" t="s">
        <v>1425</v>
      </c>
      <c r="F763" s="32"/>
    </row>
    <row r="764" spans="1:6" ht="12.75" customHeight="1" x14ac:dyDescent="0.35">
      <c r="A764" s="32" t="s">
        <v>1696</v>
      </c>
      <c r="B764" s="32" t="s">
        <v>1697</v>
      </c>
      <c r="C764">
        <v>2</v>
      </c>
      <c r="E764" s="81" t="s">
        <v>1425</v>
      </c>
      <c r="F764" s="32"/>
    </row>
    <row r="765" spans="1:6" ht="12.75" customHeight="1" x14ac:dyDescent="0.35">
      <c r="A765" s="32" t="s">
        <v>1698</v>
      </c>
      <c r="B765" s="32" t="s">
        <v>1195</v>
      </c>
      <c r="C765">
        <v>2</v>
      </c>
      <c r="E765" s="81" t="s">
        <v>1425</v>
      </c>
      <c r="F765" s="32"/>
    </row>
    <row r="766" spans="1:6" ht="12.75" customHeight="1" x14ac:dyDescent="0.35">
      <c r="A766" s="32" t="s">
        <v>1699</v>
      </c>
      <c r="B766" s="1" t="s">
        <v>1700</v>
      </c>
      <c r="C766">
        <v>2</v>
      </c>
      <c r="E766" s="81" t="s">
        <v>1425</v>
      </c>
      <c r="F766" s="32"/>
    </row>
    <row r="767" spans="1:6" ht="12.75" customHeight="1" x14ac:dyDescent="0.35">
      <c r="A767" s="32" t="s">
        <v>1701</v>
      </c>
      <c r="B767" s="32" t="s">
        <v>1702</v>
      </c>
      <c r="C767">
        <v>2</v>
      </c>
      <c r="E767" s="81" t="s">
        <v>1425</v>
      </c>
      <c r="F767" s="32"/>
    </row>
    <row r="768" spans="1:6" ht="12.75" customHeight="1" x14ac:dyDescent="0.35">
      <c r="A768" s="32" t="s">
        <v>1703</v>
      </c>
      <c r="B768" s="32" t="s">
        <v>1704</v>
      </c>
      <c r="C768">
        <v>2</v>
      </c>
      <c r="E768" s="81" t="s">
        <v>1425</v>
      </c>
      <c r="F768" s="32"/>
    </row>
    <row r="769" spans="1:6" ht="12.75" customHeight="1" x14ac:dyDescent="0.35">
      <c r="A769" s="32" t="s">
        <v>1705</v>
      </c>
      <c r="B769" s="32" t="s">
        <v>1706</v>
      </c>
      <c r="C769">
        <v>2</v>
      </c>
      <c r="E769" s="81" t="s">
        <v>1425</v>
      </c>
      <c r="F769" s="32"/>
    </row>
    <row r="770" spans="1:6" ht="12.75" customHeight="1" x14ac:dyDescent="0.35">
      <c r="A770" s="32" t="s">
        <v>1707</v>
      </c>
      <c r="B770" s="32" t="s">
        <v>1708</v>
      </c>
      <c r="C770">
        <v>2</v>
      </c>
      <c r="E770" s="81" t="s">
        <v>1425</v>
      </c>
      <c r="F770" s="32"/>
    </row>
    <row r="771" spans="1:6" ht="12.75" customHeight="1" x14ac:dyDescent="0.35">
      <c r="A771" s="32" t="s">
        <v>1709</v>
      </c>
      <c r="B771" s="32" t="s">
        <v>1710</v>
      </c>
      <c r="C771">
        <v>2</v>
      </c>
      <c r="E771" s="81" t="s">
        <v>1425</v>
      </c>
      <c r="F771" s="32"/>
    </row>
    <row r="772" spans="1:6" ht="12.75" customHeight="1" x14ac:dyDescent="0.35">
      <c r="A772" s="32" t="s">
        <v>1711</v>
      </c>
      <c r="B772" s="32" t="s">
        <v>1712</v>
      </c>
      <c r="C772">
        <v>2</v>
      </c>
      <c r="E772" s="81" t="s">
        <v>1425</v>
      </c>
      <c r="F772" s="32"/>
    </row>
    <row r="773" spans="1:6" ht="12.75" customHeight="1" x14ac:dyDescent="0.35">
      <c r="A773" s="32" t="s">
        <v>1713</v>
      </c>
      <c r="B773" s="32" t="s">
        <v>1714</v>
      </c>
      <c r="C773">
        <v>2</v>
      </c>
      <c r="E773" s="81" t="s">
        <v>1425</v>
      </c>
      <c r="F773" s="32"/>
    </row>
    <row r="774" spans="1:6" ht="12.75" customHeight="1" x14ac:dyDescent="0.35">
      <c r="A774" s="32" t="s">
        <v>1715</v>
      </c>
      <c r="B774" s="32" t="s">
        <v>1716</v>
      </c>
      <c r="C774">
        <v>2</v>
      </c>
      <c r="E774" s="81" t="s">
        <v>1425</v>
      </c>
      <c r="F774" s="32"/>
    </row>
    <row r="775" spans="1:6" ht="12.75" customHeight="1" x14ac:dyDescent="0.35">
      <c r="A775" s="32" t="s">
        <v>1717</v>
      </c>
      <c r="B775" s="32" t="s">
        <v>1718</v>
      </c>
      <c r="C775">
        <v>2</v>
      </c>
      <c r="E775" s="81" t="s">
        <v>1425</v>
      </c>
      <c r="F775" s="32"/>
    </row>
    <row r="776" spans="1:6" ht="12.75" customHeight="1" x14ac:dyDescent="0.35">
      <c r="A776" s="32" t="s">
        <v>1719</v>
      </c>
      <c r="B776" s="32" t="s">
        <v>1720</v>
      </c>
      <c r="C776">
        <v>2</v>
      </c>
      <c r="E776" s="81" t="s">
        <v>1425</v>
      </c>
      <c r="F776" s="32"/>
    </row>
    <row r="777" spans="1:6" ht="12.75" customHeight="1" x14ac:dyDescent="0.35">
      <c r="A777" s="32" t="s">
        <v>1721</v>
      </c>
      <c r="B777" s="32" t="s">
        <v>1722</v>
      </c>
      <c r="C777">
        <v>2</v>
      </c>
      <c r="E777" s="81" t="s">
        <v>1425</v>
      </c>
      <c r="F777" s="32"/>
    </row>
    <row r="778" spans="1:6" ht="12.75" customHeight="1" x14ac:dyDescent="0.35">
      <c r="A778" s="32" t="s">
        <v>1723</v>
      </c>
      <c r="B778" s="32" t="s">
        <v>1724</v>
      </c>
      <c r="C778">
        <v>2</v>
      </c>
      <c r="E778" s="81" t="s">
        <v>1425</v>
      </c>
      <c r="F778" s="32"/>
    </row>
    <row r="779" spans="1:6" ht="12.75" customHeight="1" x14ac:dyDescent="0.35">
      <c r="A779" s="32" t="s">
        <v>1725</v>
      </c>
      <c r="B779" s="32" t="s">
        <v>1726</v>
      </c>
      <c r="C779">
        <v>2</v>
      </c>
      <c r="E779" s="81" t="s">
        <v>1425</v>
      </c>
      <c r="F779" s="32"/>
    </row>
    <row r="780" spans="1:6" ht="12.75" customHeight="1" x14ac:dyDescent="0.35">
      <c r="A780" s="32" t="s">
        <v>1727</v>
      </c>
      <c r="B780" s="32" t="s">
        <v>1728</v>
      </c>
      <c r="C780">
        <v>2</v>
      </c>
      <c r="E780" s="81" t="s">
        <v>1425</v>
      </c>
      <c r="F780" s="32"/>
    </row>
    <row r="781" spans="1:6" ht="12.75" customHeight="1" x14ac:dyDescent="0.35">
      <c r="A781" s="32" t="s">
        <v>1729</v>
      </c>
      <c r="B781" s="32" t="s">
        <v>1730</v>
      </c>
      <c r="C781">
        <v>2</v>
      </c>
      <c r="E781" s="81" t="s">
        <v>1425</v>
      </c>
      <c r="F781" s="32"/>
    </row>
    <row r="782" spans="1:6" ht="12.75" customHeight="1" x14ac:dyDescent="0.35">
      <c r="A782" s="32" t="s">
        <v>1731</v>
      </c>
      <c r="B782" s="32" t="s">
        <v>1732</v>
      </c>
      <c r="C782">
        <v>2</v>
      </c>
      <c r="E782" s="81" t="s">
        <v>1425</v>
      </c>
      <c r="F782" s="32"/>
    </row>
    <row r="783" spans="1:6" ht="12.75" customHeight="1" x14ac:dyDescent="0.35">
      <c r="A783" s="32" t="s">
        <v>1733</v>
      </c>
      <c r="B783" s="32" t="s">
        <v>1734</v>
      </c>
      <c r="C783">
        <v>2</v>
      </c>
      <c r="E783" s="81" t="s">
        <v>1425</v>
      </c>
      <c r="F783" s="32"/>
    </row>
    <row r="784" spans="1:6" ht="12.75" customHeight="1" x14ac:dyDescent="0.35">
      <c r="A784" s="32" t="s">
        <v>1735</v>
      </c>
      <c r="B784" s="32" t="s">
        <v>1736</v>
      </c>
      <c r="C784">
        <v>2</v>
      </c>
      <c r="E784" s="81" t="s">
        <v>1425</v>
      </c>
      <c r="F784" s="32"/>
    </row>
    <row r="785" spans="1:6" ht="12.75" customHeight="1" x14ac:dyDescent="0.35">
      <c r="A785" s="32" t="s">
        <v>1737</v>
      </c>
      <c r="B785" s="32" t="s">
        <v>1738</v>
      </c>
      <c r="C785">
        <v>2</v>
      </c>
      <c r="E785" s="81" t="s">
        <v>1425</v>
      </c>
      <c r="F785" s="32"/>
    </row>
    <row r="786" spans="1:6" ht="12.75" customHeight="1" x14ac:dyDescent="0.35">
      <c r="A786" s="32" t="s">
        <v>1739</v>
      </c>
      <c r="B786" s="32" t="s">
        <v>1740</v>
      </c>
      <c r="C786">
        <v>2</v>
      </c>
      <c r="E786" s="81" t="s">
        <v>1425</v>
      </c>
      <c r="F786" s="32"/>
    </row>
    <row r="787" spans="1:6" ht="12.75" customHeight="1" x14ac:dyDescent="0.35">
      <c r="A787" s="32" t="s">
        <v>1741</v>
      </c>
      <c r="B787" s="32" t="s">
        <v>1742</v>
      </c>
      <c r="C787">
        <v>2</v>
      </c>
      <c r="E787" s="81" t="s">
        <v>1425</v>
      </c>
      <c r="F787" s="32"/>
    </row>
    <row r="788" spans="1:6" ht="12.75" customHeight="1" x14ac:dyDescent="0.35">
      <c r="A788" s="32" t="s">
        <v>1743</v>
      </c>
      <c r="B788" s="32" t="s">
        <v>1744</v>
      </c>
      <c r="C788">
        <v>2</v>
      </c>
      <c r="E788" s="81" t="s">
        <v>1425</v>
      </c>
      <c r="F788" s="32"/>
    </row>
    <row r="789" spans="1:6" ht="12.75" customHeight="1" x14ac:dyDescent="0.35">
      <c r="A789" s="32" t="s">
        <v>1745</v>
      </c>
      <c r="B789" s="32" t="s">
        <v>1746</v>
      </c>
      <c r="C789">
        <v>2</v>
      </c>
      <c r="E789" s="81" t="s">
        <v>1425</v>
      </c>
      <c r="F789" s="32"/>
    </row>
    <row r="790" spans="1:6" ht="12.75" customHeight="1" x14ac:dyDescent="0.35">
      <c r="A790" s="32" t="s">
        <v>1747</v>
      </c>
      <c r="B790" s="32" t="s">
        <v>1748</v>
      </c>
      <c r="C790">
        <v>2</v>
      </c>
      <c r="E790" s="81" t="s">
        <v>1425</v>
      </c>
      <c r="F790" s="32"/>
    </row>
    <row r="791" spans="1:6" ht="12.75" customHeight="1" x14ac:dyDescent="0.35">
      <c r="A791" s="32" t="s">
        <v>1749</v>
      </c>
      <c r="B791" s="32" t="s">
        <v>1750</v>
      </c>
      <c r="C791">
        <v>2</v>
      </c>
      <c r="E791" s="81" t="s">
        <v>1425</v>
      </c>
      <c r="F791" s="32"/>
    </row>
    <row r="792" spans="1:6" ht="12.75" customHeight="1" x14ac:dyDescent="0.35">
      <c r="A792" s="32" t="s">
        <v>1751</v>
      </c>
      <c r="B792" s="32" t="s">
        <v>1752</v>
      </c>
      <c r="C792">
        <v>2</v>
      </c>
      <c r="E792" s="81" t="s">
        <v>1425</v>
      </c>
      <c r="F792" s="32"/>
    </row>
    <row r="793" spans="1:6" ht="12.75" customHeight="1" x14ac:dyDescent="0.35">
      <c r="A793" s="32" t="s">
        <v>1753</v>
      </c>
      <c r="B793" s="32" t="s">
        <v>1754</v>
      </c>
      <c r="C793">
        <v>2</v>
      </c>
      <c r="E793" s="81" t="s">
        <v>1425</v>
      </c>
      <c r="F793" s="32"/>
    </row>
    <row r="794" spans="1:6" ht="12.75" customHeight="1" x14ac:dyDescent="0.35">
      <c r="A794" s="32" t="s">
        <v>1755</v>
      </c>
      <c r="B794" s="32" t="s">
        <v>1756</v>
      </c>
      <c r="C794">
        <v>2</v>
      </c>
      <c r="E794" s="81" t="s">
        <v>1425</v>
      </c>
      <c r="F794" s="32"/>
    </row>
    <row r="795" spans="1:6" ht="12.75" customHeight="1" x14ac:dyDescent="0.35">
      <c r="A795" s="32" t="s">
        <v>1757</v>
      </c>
      <c r="B795" s="32" t="s">
        <v>1758</v>
      </c>
      <c r="C795">
        <v>2</v>
      </c>
      <c r="E795" s="81" t="s">
        <v>1425</v>
      </c>
      <c r="F795" s="32"/>
    </row>
    <row r="796" spans="1:6" ht="12.75" customHeight="1" x14ac:dyDescent="0.35">
      <c r="A796" s="32" t="s">
        <v>1759</v>
      </c>
      <c r="B796" s="32" t="s">
        <v>1760</v>
      </c>
      <c r="C796">
        <v>2</v>
      </c>
      <c r="E796" s="81" t="s">
        <v>1425</v>
      </c>
      <c r="F796" s="32"/>
    </row>
    <row r="797" spans="1:6" ht="12.75" customHeight="1" x14ac:dyDescent="0.35">
      <c r="A797" s="32" t="s">
        <v>1761</v>
      </c>
      <c r="B797" s="32" t="s">
        <v>1762</v>
      </c>
      <c r="C797">
        <v>2</v>
      </c>
      <c r="E797" s="81" t="s">
        <v>1425</v>
      </c>
      <c r="F797" s="32"/>
    </row>
    <row r="798" spans="1:6" ht="12.75" customHeight="1" x14ac:dyDescent="0.35">
      <c r="A798" s="32" t="s">
        <v>1763</v>
      </c>
      <c r="B798" s="32" t="s">
        <v>1764</v>
      </c>
      <c r="C798">
        <v>2</v>
      </c>
      <c r="E798" s="81" t="s">
        <v>1425</v>
      </c>
      <c r="F798" s="32"/>
    </row>
    <row r="799" spans="1:6" ht="12.75" customHeight="1" x14ac:dyDescent="0.35">
      <c r="A799" s="32" t="s">
        <v>1765</v>
      </c>
      <c r="B799" s="32" t="s">
        <v>1766</v>
      </c>
      <c r="C799">
        <v>2</v>
      </c>
      <c r="E799" s="81" t="s">
        <v>1425</v>
      </c>
      <c r="F799" s="32"/>
    </row>
    <row r="800" spans="1:6" ht="12.75" customHeight="1" x14ac:dyDescent="0.35">
      <c r="A800" s="32" t="s">
        <v>1767</v>
      </c>
      <c r="B800" s="32" t="s">
        <v>1768</v>
      </c>
      <c r="C800">
        <v>2</v>
      </c>
      <c r="E800" s="81" t="s">
        <v>1425</v>
      </c>
      <c r="F800" s="32"/>
    </row>
    <row r="801" spans="1:6" ht="12.75" customHeight="1" x14ac:dyDescent="0.35">
      <c r="A801" s="32" t="s">
        <v>1769</v>
      </c>
      <c r="B801" s="32" t="s">
        <v>1770</v>
      </c>
      <c r="C801">
        <v>2</v>
      </c>
      <c r="E801" s="81" t="s">
        <v>1425</v>
      </c>
      <c r="F801" s="32"/>
    </row>
    <row r="802" spans="1:6" ht="12.75" customHeight="1" x14ac:dyDescent="0.35">
      <c r="A802" s="32" t="s">
        <v>1771</v>
      </c>
      <c r="B802" s="32" t="s">
        <v>1772</v>
      </c>
      <c r="C802">
        <v>2</v>
      </c>
      <c r="E802" s="81" t="s">
        <v>1425</v>
      </c>
      <c r="F802" s="32"/>
    </row>
    <row r="803" spans="1:6" ht="12.75" customHeight="1" x14ac:dyDescent="0.35">
      <c r="A803" s="32" t="s">
        <v>1773</v>
      </c>
      <c r="B803" s="32" t="s">
        <v>1774</v>
      </c>
      <c r="C803">
        <v>2</v>
      </c>
      <c r="E803" s="81" t="s">
        <v>1425</v>
      </c>
      <c r="F803" s="32"/>
    </row>
    <row r="804" spans="1:6" ht="12.75" customHeight="1" x14ac:dyDescent="0.35">
      <c r="A804" s="32" t="s">
        <v>1775</v>
      </c>
      <c r="B804" s="1" t="s">
        <v>1776</v>
      </c>
      <c r="C804">
        <v>2</v>
      </c>
      <c r="E804" s="81" t="s">
        <v>1425</v>
      </c>
      <c r="F804" s="32"/>
    </row>
    <row r="805" spans="1:6" ht="12.75" customHeight="1" x14ac:dyDescent="0.35">
      <c r="A805" s="32" t="s">
        <v>1777</v>
      </c>
      <c r="B805" s="32" t="s">
        <v>1778</v>
      </c>
      <c r="C805">
        <v>2</v>
      </c>
      <c r="E805" s="81" t="s">
        <v>1425</v>
      </c>
      <c r="F805" s="32"/>
    </row>
    <row r="806" spans="1:6" ht="12.75" customHeight="1" x14ac:dyDescent="0.35">
      <c r="A806" s="32" t="s">
        <v>1779</v>
      </c>
      <c r="B806" s="32" t="s">
        <v>1780</v>
      </c>
      <c r="C806">
        <v>2</v>
      </c>
      <c r="E806" s="81" t="s">
        <v>1425</v>
      </c>
      <c r="F806" s="32"/>
    </row>
    <row r="807" spans="1:6" ht="12.75" customHeight="1" x14ac:dyDescent="0.35">
      <c r="A807" s="32" t="s">
        <v>1781</v>
      </c>
      <c r="B807" s="32" t="s">
        <v>1782</v>
      </c>
      <c r="C807">
        <v>2</v>
      </c>
      <c r="E807" s="81" t="s">
        <v>1425</v>
      </c>
      <c r="F807" s="32"/>
    </row>
    <row r="808" spans="1:6" ht="12.75" customHeight="1" x14ac:dyDescent="0.35">
      <c r="A808" s="32" t="s">
        <v>1783</v>
      </c>
      <c r="B808" s="32" t="s">
        <v>1784</v>
      </c>
      <c r="C808">
        <v>2</v>
      </c>
      <c r="E808" s="81" t="s">
        <v>1425</v>
      </c>
      <c r="F808" s="32"/>
    </row>
    <row r="809" spans="1:6" ht="12.75" customHeight="1" x14ac:dyDescent="0.35">
      <c r="A809" s="32" t="s">
        <v>1785</v>
      </c>
      <c r="B809" s="32" t="s">
        <v>1786</v>
      </c>
      <c r="C809">
        <v>2</v>
      </c>
      <c r="E809" s="81" t="s">
        <v>1425</v>
      </c>
      <c r="F809" s="32"/>
    </row>
    <row r="810" spans="1:6" ht="12.75" customHeight="1" x14ac:dyDescent="0.35">
      <c r="A810" s="32" t="s">
        <v>1787</v>
      </c>
      <c r="B810" s="32" t="s">
        <v>1788</v>
      </c>
      <c r="C810">
        <v>2</v>
      </c>
      <c r="E810" s="81" t="s">
        <v>1425</v>
      </c>
      <c r="F810" s="32"/>
    </row>
    <row r="811" spans="1:6" ht="12.75" customHeight="1" x14ac:dyDescent="0.35">
      <c r="A811" s="32" t="s">
        <v>1789</v>
      </c>
      <c r="B811" s="32" t="s">
        <v>1790</v>
      </c>
      <c r="C811">
        <v>2</v>
      </c>
      <c r="E811" s="81" t="s">
        <v>1425</v>
      </c>
      <c r="F811" s="32"/>
    </row>
    <row r="812" spans="1:6" ht="12.75" customHeight="1" x14ac:dyDescent="0.35">
      <c r="A812" s="32" t="s">
        <v>1791</v>
      </c>
      <c r="B812" s="32" t="s">
        <v>1792</v>
      </c>
      <c r="C812">
        <v>2</v>
      </c>
      <c r="E812" s="81" t="s">
        <v>1425</v>
      </c>
      <c r="F812" s="32"/>
    </row>
    <row r="813" spans="1:6" ht="12.75" customHeight="1" x14ac:dyDescent="0.35">
      <c r="A813" s="32" t="s">
        <v>1793</v>
      </c>
      <c r="B813" s="32" t="s">
        <v>1794</v>
      </c>
      <c r="C813">
        <v>2</v>
      </c>
      <c r="E813" s="81" t="s">
        <v>1425</v>
      </c>
      <c r="F813" s="32"/>
    </row>
    <row r="814" spans="1:6" ht="12.75" customHeight="1" x14ac:dyDescent="0.35">
      <c r="A814" s="32" t="s">
        <v>1795</v>
      </c>
      <c r="B814" s="32" t="s">
        <v>1796</v>
      </c>
      <c r="C814">
        <v>2</v>
      </c>
      <c r="E814" s="81" t="s">
        <v>1425</v>
      </c>
      <c r="F814" s="32"/>
    </row>
    <row r="815" spans="1:6" ht="12.75" customHeight="1" x14ac:dyDescent="0.35">
      <c r="A815" s="32" t="s">
        <v>1797</v>
      </c>
      <c r="B815" s="32" t="s">
        <v>1798</v>
      </c>
      <c r="C815">
        <v>2</v>
      </c>
      <c r="E815" s="81" t="s">
        <v>1425</v>
      </c>
      <c r="F815" s="32"/>
    </row>
    <row r="816" spans="1:6" ht="12.75" customHeight="1" x14ac:dyDescent="0.35">
      <c r="A816" s="32" t="s">
        <v>1799</v>
      </c>
      <c r="B816" s="32" t="s">
        <v>1800</v>
      </c>
      <c r="C816">
        <v>2</v>
      </c>
      <c r="E816" s="81" t="s">
        <v>1425</v>
      </c>
      <c r="F816" s="32"/>
    </row>
    <row r="817" spans="1:6" ht="12.75" customHeight="1" x14ac:dyDescent="0.35">
      <c r="A817" s="32" t="s">
        <v>1801</v>
      </c>
      <c r="B817" s="32" t="s">
        <v>1802</v>
      </c>
      <c r="C817">
        <v>2</v>
      </c>
      <c r="E817" s="81" t="s">
        <v>1425</v>
      </c>
      <c r="F817" s="32"/>
    </row>
    <row r="818" spans="1:6" ht="12.75" customHeight="1" x14ac:dyDescent="0.35">
      <c r="A818" s="32" t="s">
        <v>1803</v>
      </c>
      <c r="B818" s="32" t="s">
        <v>1804</v>
      </c>
      <c r="C818">
        <v>2</v>
      </c>
      <c r="E818" s="81" t="s">
        <v>1425</v>
      </c>
      <c r="F818" s="32"/>
    </row>
    <row r="819" spans="1:6" ht="12.75" customHeight="1" x14ac:dyDescent="0.35">
      <c r="B819" s="32" t="s">
        <v>242</v>
      </c>
      <c r="F819" s="32"/>
    </row>
    <row r="820" spans="1:6" ht="12.75" customHeight="1" x14ac:dyDescent="0.35">
      <c r="A820" s="81" t="s">
        <v>1805</v>
      </c>
      <c r="B820" s="81" t="s">
        <v>1806</v>
      </c>
      <c r="E820" s="81" t="s">
        <v>1807</v>
      </c>
      <c r="F820" s="32"/>
    </row>
    <row r="821" spans="1:6" ht="12.75" customHeight="1" x14ac:dyDescent="0.35">
      <c r="A821" s="81" t="s">
        <v>1808</v>
      </c>
      <c r="B821" s="81" t="s">
        <v>1809</v>
      </c>
      <c r="E821" s="81" t="s">
        <v>1807</v>
      </c>
      <c r="F821" s="32"/>
    </row>
    <row r="822" spans="1:6" ht="12.75" customHeight="1" x14ac:dyDescent="0.35">
      <c r="A822" s="81" t="s">
        <v>1810</v>
      </c>
      <c r="B822" s="81" t="s">
        <v>1811</v>
      </c>
      <c r="E822" s="81" t="s">
        <v>1807</v>
      </c>
      <c r="F822" s="32"/>
    </row>
    <row r="823" spans="1:6" ht="12.75" customHeight="1" x14ac:dyDescent="0.35">
      <c r="A823" s="81" t="s">
        <v>1812</v>
      </c>
      <c r="B823" s="81" t="s">
        <v>1813</v>
      </c>
      <c r="E823" s="81" t="s">
        <v>1807</v>
      </c>
      <c r="F823" s="32"/>
    </row>
    <row r="824" spans="1:6" ht="12.75" customHeight="1" x14ac:dyDescent="0.35">
      <c r="A824" s="81" t="s">
        <v>1814</v>
      </c>
      <c r="B824" s="81" t="s">
        <v>1815</v>
      </c>
      <c r="E824" s="81" t="s">
        <v>1807</v>
      </c>
      <c r="F824" s="32"/>
    </row>
    <row r="825" spans="1:6" ht="12.75" customHeight="1" x14ac:dyDescent="0.35">
      <c r="A825" s="81" t="s">
        <v>1816</v>
      </c>
      <c r="B825" s="81" t="s">
        <v>1817</v>
      </c>
      <c r="E825" s="81" t="s">
        <v>1807</v>
      </c>
      <c r="F825" s="32"/>
    </row>
    <row r="826" spans="1:6" ht="12.75" customHeight="1" x14ac:dyDescent="0.35">
      <c r="A826" s="81" t="s">
        <v>1818</v>
      </c>
      <c r="B826" s="81" t="s">
        <v>1819</v>
      </c>
      <c r="E826" s="81" t="s">
        <v>1807</v>
      </c>
      <c r="F826" s="32"/>
    </row>
    <row r="827" spans="1:6" ht="12.75" customHeight="1" x14ac:dyDescent="0.35">
      <c r="A827" s="81" t="s">
        <v>1820</v>
      </c>
      <c r="B827" s="81" t="s">
        <v>1821</v>
      </c>
      <c r="E827" s="81" t="s">
        <v>1807</v>
      </c>
      <c r="F827" s="32"/>
    </row>
    <row r="828" spans="1:6" ht="12.75" customHeight="1" x14ac:dyDescent="0.35">
      <c r="A828" s="81" t="s">
        <v>1822</v>
      </c>
      <c r="B828" s="81" t="s">
        <v>1823</v>
      </c>
      <c r="E828" s="81" t="s">
        <v>1807</v>
      </c>
      <c r="F828" s="32"/>
    </row>
    <row r="829" spans="1:6" ht="12.75" customHeight="1" x14ac:dyDescent="0.35">
      <c r="A829" s="81" t="s">
        <v>1824</v>
      </c>
      <c r="B829" s="81" t="s">
        <v>1825</v>
      </c>
      <c r="E829" s="81" t="s">
        <v>1807</v>
      </c>
      <c r="F829" s="32"/>
    </row>
    <row r="830" spans="1:6" ht="12.75" customHeight="1" x14ac:dyDescent="0.35">
      <c r="A830" s="81" t="s">
        <v>1826</v>
      </c>
      <c r="B830" s="81" t="s">
        <v>1827</v>
      </c>
      <c r="E830" s="81" t="s">
        <v>1807</v>
      </c>
      <c r="F830" s="32"/>
    </row>
    <row r="831" spans="1:6" ht="12.75" customHeight="1" x14ac:dyDescent="0.35">
      <c r="A831" s="81" t="s">
        <v>1828</v>
      </c>
      <c r="B831" s="81" t="s">
        <v>1829</v>
      </c>
      <c r="E831" s="81" t="s">
        <v>1807</v>
      </c>
      <c r="F831" s="32"/>
    </row>
    <row r="832" spans="1:6" ht="12.75" customHeight="1" x14ac:dyDescent="0.35">
      <c r="B832" s="81" t="s">
        <v>242</v>
      </c>
      <c r="F832" s="32"/>
    </row>
    <row r="833" spans="1:6" ht="12.75" customHeight="1" x14ac:dyDescent="0.35">
      <c r="A833" s="81" t="s">
        <v>1830</v>
      </c>
      <c r="B833" s="81" t="s">
        <v>1831</v>
      </c>
      <c r="E833" s="81" t="s">
        <v>1807</v>
      </c>
      <c r="F833" s="32"/>
    </row>
    <row r="834" spans="1:6" ht="12.75" customHeight="1" x14ac:dyDescent="0.35">
      <c r="A834" s="81" t="s">
        <v>1832</v>
      </c>
      <c r="B834" s="81" t="s">
        <v>1833</v>
      </c>
      <c r="E834" s="81" t="s">
        <v>1807</v>
      </c>
      <c r="F834" s="32"/>
    </row>
    <row r="835" spans="1:6" ht="12.75" customHeight="1" x14ac:dyDescent="0.35">
      <c r="A835" s="81" t="s">
        <v>1834</v>
      </c>
      <c r="B835" s="81" t="s">
        <v>1835</v>
      </c>
      <c r="E835" s="81" t="s">
        <v>1807</v>
      </c>
      <c r="F835" s="32"/>
    </row>
    <row r="836" spans="1:6" ht="12.75" customHeight="1" x14ac:dyDescent="0.35">
      <c r="A836" s="81" t="s">
        <v>1836</v>
      </c>
      <c r="B836" s="81" t="s">
        <v>1837</v>
      </c>
      <c r="E836" s="81" t="s">
        <v>1807</v>
      </c>
      <c r="F836" s="32"/>
    </row>
    <row r="837" spans="1:6" ht="12.75" customHeight="1" x14ac:dyDescent="0.35">
      <c r="A837" s="81" t="s">
        <v>1838</v>
      </c>
      <c r="B837" s="81" t="s">
        <v>1839</v>
      </c>
      <c r="E837" s="81" t="s">
        <v>1807</v>
      </c>
      <c r="F837" s="32"/>
    </row>
    <row r="838" spans="1:6" ht="12.75" customHeight="1" x14ac:dyDescent="0.35">
      <c r="A838" s="81" t="s">
        <v>1840</v>
      </c>
      <c r="B838" s="81" t="s">
        <v>1841</v>
      </c>
      <c r="E838" s="81" t="s">
        <v>1807</v>
      </c>
      <c r="F838" s="32"/>
    </row>
    <row r="839" spans="1:6" ht="12.75" customHeight="1" x14ac:dyDescent="0.35">
      <c r="A839" s="81" t="s">
        <v>1842</v>
      </c>
      <c r="B839" s="81" t="s">
        <v>1843</v>
      </c>
      <c r="E839" s="81" t="s">
        <v>1807</v>
      </c>
      <c r="F839" s="32"/>
    </row>
    <row r="840" spans="1:6" ht="12.75" customHeight="1" x14ac:dyDescent="0.35">
      <c r="A840" s="81" t="s">
        <v>1844</v>
      </c>
      <c r="B840" s="81" t="s">
        <v>1845</v>
      </c>
      <c r="E840" s="81" t="s">
        <v>1807</v>
      </c>
      <c r="F840" s="32"/>
    </row>
    <row r="841" spans="1:6" ht="12.75" customHeight="1" x14ac:dyDescent="0.35">
      <c r="A841" s="81" t="s">
        <v>1846</v>
      </c>
      <c r="B841" s="81" t="s">
        <v>1847</v>
      </c>
      <c r="E841" s="81" t="s">
        <v>1807</v>
      </c>
      <c r="F841" s="32"/>
    </row>
    <row r="842" spans="1:6" ht="12.75" customHeight="1" x14ac:dyDescent="0.35">
      <c r="A842" s="81" t="s">
        <v>1848</v>
      </c>
      <c r="B842" s="81" t="s">
        <v>1849</v>
      </c>
      <c r="E842" s="81" t="s">
        <v>1807</v>
      </c>
      <c r="F842" s="32"/>
    </row>
    <row r="843" spans="1:6" ht="12.75" customHeight="1" x14ac:dyDescent="0.35">
      <c r="A843" s="81" t="s">
        <v>1850</v>
      </c>
      <c r="B843" s="81" t="s">
        <v>1851</v>
      </c>
      <c r="E843" s="81" t="s">
        <v>1807</v>
      </c>
      <c r="F843" s="32"/>
    </row>
    <row r="844" spans="1:6" ht="12.75" customHeight="1" x14ac:dyDescent="0.35">
      <c r="A844" s="81" t="s">
        <v>1852</v>
      </c>
      <c r="B844" s="81" t="s">
        <v>1853</v>
      </c>
      <c r="E844" s="81" t="s">
        <v>1807</v>
      </c>
      <c r="F844" s="32"/>
    </row>
    <row r="845" spans="1:6" ht="12.75" customHeight="1" x14ac:dyDescent="0.35">
      <c r="A845" s="81" t="s">
        <v>1854</v>
      </c>
      <c r="B845" s="81" t="s">
        <v>1855</v>
      </c>
      <c r="E845" s="81" t="s">
        <v>1807</v>
      </c>
      <c r="F845" s="32"/>
    </row>
    <row r="846" spans="1:6" ht="12.75" customHeight="1" x14ac:dyDescent="0.35">
      <c r="B846" s="81" t="s">
        <v>242</v>
      </c>
      <c r="F846" s="32"/>
    </row>
    <row r="847" spans="1:6" ht="12.75" customHeight="1" x14ac:dyDescent="0.35">
      <c r="A847" s="81" t="s">
        <v>1856</v>
      </c>
      <c r="B847" s="81" t="s">
        <v>1843</v>
      </c>
      <c r="F847" s="32"/>
    </row>
    <row r="848" spans="1:6" ht="12.75" customHeight="1" x14ac:dyDescent="0.35">
      <c r="A848" s="81" t="s">
        <v>1857</v>
      </c>
      <c r="B848" s="81" t="s">
        <v>1845</v>
      </c>
      <c r="F848" s="32"/>
    </row>
    <row r="849" spans="1:6" ht="12.75" customHeight="1" x14ac:dyDescent="0.35">
      <c r="A849" s="81" t="s">
        <v>1858</v>
      </c>
      <c r="B849" s="81" t="s">
        <v>1847</v>
      </c>
      <c r="F849" s="32"/>
    </row>
    <row r="850" spans="1:6" ht="12.75" customHeight="1" x14ac:dyDescent="0.35">
      <c r="A850" s="81" t="s">
        <v>1859</v>
      </c>
      <c r="B850" s="81" t="s">
        <v>1849</v>
      </c>
      <c r="F850" s="32"/>
    </row>
    <row r="851" spans="1:6" ht="12.75" customHeight="1" x14ac:dyDescent="0.35">
      <c r="B851" s="81" t="s">
        <v>242</v>
      </c>
      <c r="F851" s="32"/>
    </row>
    <row r="852" spans="1:6" ht="12.75" customHeight="1" x14ac:dyDescent="0.35">
      <c r="A852" s="81" t="s">
        <v>1860</v>
      </c>
      <c r="B852" s="81" t="s">
        <v>1861</v>
      </c>
      <c r="F852" s="32"/>
    </row>
    <row r="853" spans="1:6" ht="12.75" customHeight="1" x14ac:dyDescent="0.35">
      <c r="A853" s="81" t="s">
        <v>1862</v>
      </c>
      <c r="B853" s="81" t="s">
        <v>1863</v>
      </c>
      <c r="F853" s="32"/>
    </row>
    <row r="854" spans="1:6" ht="12.75" customHeight="1" x14ac:dyDescent="0.35">
      <c r="B854" s="81" t="s">
        <v>242</v>
      </c>
      <c r="F854" s="32"/>
    </row>
    <row r="855" spans="1:6" ht="12.75" customHeight="1" x14ac:dyDescent="0.35">
      <c r="A855" s="84" t="s">
        <v>1864</v>
      </c>
      <c r="B855" s="81" t="s">
        <v>1865</v>
      </c>
      <c r="C855">
        <v>1</v>
      </c>
      <c r="E855" s="81" t="s">
        <v>1866</v>
      </c>
      <c r="F855" s="32"/>
    </row>
    <row r="856" spans="1:6" ht="12.75" customHeight="1" x14ac:dyDescent="0.35">
      <c r="A856" s="84" t="s">
        <v>1867</v>
      </c>
      <c r="B856" s="81" t="s">
        <v>1868</v>
      </c>
      <c r="C856">
        <v>1</v>
      </c>
      <c r="E856" s="81" t="s">
        <v>1866</v>
      </c>
      <c r="F856" s="32"/>
    </row>
    <row r="857" spans="1:6" ht="12.75" customHeight="1" x14ac:dyDescent="0.35">
      <c r="A857" s="84" t="s">
        <v>1869</v>
      </c>
      <c r="B857" s="81" t="s">
        <v>504</v>
      </c>
      <c r="C857">
        <v>1</v>
      </c>
      <c r="E857" s="81" t="s">
        <v>1866</v>
      </c>
      <c r="F857" s="32"/>
    </row>
    <row r="858" spans="1:6" ht="12.75" customHeight="1" x14ac:dyDescent="0.35">
      <c r="A858" s="84" t="s">
        <v>1870</v>
      </c>
      <c r="B858" s="81" t="s">
        <v>1871</v>
      </c>
      <c r="C858">
        <v>1</v>
      </c>
      <c r="E858" s="81" t="s">
        <v>1866</v>
      </c>
      <c r="F858" s="32"/>
    </row>
    <row r="859" spans="1:6" ht="12.75" customHeight="1" x14ac:dyDescent="0.35">
      <c r="A859" s="84" t="s">
        <v>1872</v>
      </c>
      <c r="B859" s="81" t="s">
        <v>1873</v>
      </c>
      <c r="C859">
        <v>1</v>
      </c>
      <c r="E859" s="81" t="s">
        <v>1866</v>
      </c>
      <c r="F859" s="32"/>
    </row>
    <row r="860" spans="1:6" ht="12.75" customHeight="1" x14ac:dyDescent="0.35">
      <c r="A860" s="84" t="s">
        <v>1874</v>
      </c>
      <c r="B860" s="81" t="s">
        <v>1875</v>
      </c>
      <c r="C860">
        <v>1</v>
      </c>
      <c r="E860" s="81" t="s">
        <v>1866</v>
      </c>
      <c r="F860" s="32"/>
    </row>
    <row r="861" spans="1:6" ht="12.75" customHeight="1" x14ac:dyDescent="0.35">
      <c r="A861" s="84" t="s">
        <v>1876</v>
      </c>
      <c r="B861" s="81" t="s">
        <v>1877</v>
      </c>
      <c r="C861">
        <v>1</v>
      </c>
      <c r="E861" s="81" t="s">
        <v>1866</v>
      </c>
      <c r="F861" s="32"/>
    </row>
    <row r="862" spans="1:6" ht="12.75" customHeight="1" x14ac:dyDescent="0.35">
      <c r="A862" s="84" t="s">
        <v>1878</v>
      </c>
      <c r="B862" s="81" t="s">
        <v>1879</v>
      </c>
      <c r="C862">
        <v>1</v>
      </c>
      <c r="E862" s="81" t="s">
        <v>1866</v>
      </c>
      <c r="F862" s="32"/>
    </row>
    <row r="863" spans="1:6" ht="12.75" customHeight="1" x14ac:dyDescent="0.35">
      <c r="A863" s="84" t="s">
        <v>1880</v>
      </c>
      <c r="B863" s="81" t="s">
        <v>1881</v>
      </c>
      <c r="C863">
        <v>1</v>
      </c>
      <c r="E863" s="81" t="s">
        <v>1866</v>
      </c>
      <c r="F863" s="32"/>
    </row>
    <row r="864" spans="1:6" ht="12.75" customHeight="1" x14ac:dyDescent="0.35">
      <c r="A864" s="84" t="s">
        <v>1882</v>
      </c>
      <c r="B864" s="81" t="s">
        <v>536</v>
      </c>
      <c r="C864">
        <v>1</v>
      </c>
      <c r="E864" s="81" t="s">
        <v>1866</v>
      </c>
      <c r="F864" s="32"/>
    </row>
    <row r="865" spans="1:6" ht="12.75" customHeight="1" x14ac:dyDescent="0.35">
      <c r="A865" s="84" t="s">
        <v>1883</v>
      </c>
      <c r="B865" s="81" t="s">
        <v>598</v>
      </c>
      <c r="C865">
        <v>1</v>
      </c>
      <c r="E865" s="81" t="s">
        <v>1866</v>
      </c>
      <c r="F865" s="32"/>
    </row>
    <row r="866" spans="1:6" ht="12.75" customHeight="1" x14ac:dyDescent="0.35">
      <c r="A866" s="84" t="s">
        <v>1884</v>
      </c>
      <c r="B866" s="81" t="s">
        <v>1885</v>
      </c>
      <c r="C866">
        <v>1</v>
      </c>
      <c r="F866" s="32"/>
    </row>
    <row r="867" spans="1:6" ht="12.75" customHeight="1" x14ac:dyDescent="0.35">
      <c r="B867" s="81" t="s">
        <v>242</v>
      </c>
      <c r="E867" s="81" t="s">
        <v>1866</v>
      </c>
      <c r="F867" s="32"/>
    </row>
    <row r="868" spans="1:6" ht="12.75" customHeight="1" x14ac:dyDescent="0.35">
      <c r="A868" s="84" t="s">
        <v>1886</v>
      </c>
      <c r="B868" s="81" t="s">
        <v>342</v>
      </c>
      <c r="C868">
        <v>2</v>
      </c>
      <c r="E868" s="81" t="s">
        <v>1866</v>
      </c>
      <c r="F868" s="32"/>
    </row>
    <row r="869" spans="1:6" ht="12.75" customHeight="1" x14ac:dyDescent="0.35">
      <c r="A869" s="84" t="s">
        <v>1887</v>
      </c>
      <c r="B869" s="81" t="s">
        <v>430</v>
      </c>
      <c r="C869">
        <v>2</v>
      </c>
      <c r="E869" s="81" t="s">
        <v>1866</v>
      </c>
      <c r="F869" s="32"/>
    </row>
    <row r="870" spans="1:6" ht="12.75" customHeight="1" x14ac:dyDescent="0.35">
      <c r="A870" s="84" t="s">
        <v>1888</v>
      </c>
      <c r="B870" s="81" t="s">
        <v>1889</v>
      </c>
      <c r="C870">
        <v>2</v>
      </c>
      <c r="E870" s="81" t="s">
        <v>1866</v>
      </c>
      <c r="F870" s="32"/>
    </row>
    <row r="871" spans="1:6" ht="12.75" customHeight="1" x14ac:dyDescent="0.35">
      <c r="A871" s="84" t="s">
        <v>1890</v>
      </c>
      <c r="B871" s="81" t="s">
        <v>1891</v>
      </c>
      <c r="C871">
        <v>2</v>
      </c>
      <c r="E871" s="81" t="s">
        <v>1866</v>
      </c>
      <c r="F871" s="32"/>
    </row>
    <row r="872" spans="1:6" ht="12.75" customHeight="1" x14ac:dyDescent="0.35">
      <c r="A872" s="84" t="s">
        <v>1892</v>
      </c>
      <c r="B872" s="81" t="s">
        <v>1893</v>
      </c>
      <c r="C872">
        <v>2</v>
      </c>
      <c r="E872" s="81" t="s">
        <v>1866</v>
      </c>
      <c r="F872" s="32"/>
    </row>
    <row r="873" spans="1:6" ht="12.75" customHeight="1" x14ac:dyDescent="0.35">
      <c r="A873" s="84" t="s">
        <v>1894</v>
      </c>
      <c r="B873" s="81" t="s">
        <v>1895</v>
      </c>
      <c r="C873">
        <v>2</v>
      </c>
      <c r="E873" s="81" t="s">
        <v>1866</v>
      </c>
      <c r="F873" s="32"/>
    </row>
    <row r="874" spans="1:6" ht="12.75" customHeight="1" x14ac:dyDescent="0.35">
      <c r="A874" s="84" t="s">
        <v>1896</v>
      </c>
      <c r="B874" s="81" t="s">
        <v>1897</v>
      </c>
      <c r="C874">
        <v>2</v>
      </c>
      <c r="E874" s="81" t="s">
        <v>1866</v>
      </c>
      <c r="F874" s="32"/>
    </row>
    <row r="875" spans="1:6" ht="12.75" customHeight="1" x14ac:dyDescent="0.35">
      <c r="A875" s="84" t="s">
        <v>1898</v>
      </c>
      <c r="B875" s="81" t="s">
        <v>1899</v>
      </c>
      <c r="C875">
        <v>2</v>
      </c>
      <c r="E875" s="81" t="s">
        <v>1866</v>
      </c>
      <c r="F875" s="32"/>
    </row>
    <row r="876" spans="1:6" ht="12.75" customHeight="1" x14ac:dyDescent="0.35">
      <c r="A876" s="84" t="s">
        <v>1900</v>
      </c>
      <c r="B876" s="81" t="s">
        <v>1901</v>
      </c>
      <c r="C876">
        <v>2</v>
      </c>
      <c r="E876" s="81" t="s">
        <v>1866</v>
      </c>
      <c r="F876" s="32"/>
    </row>
    <row r="877" spans="1:6" ht="12.75" customHeight="1" x14ac:dyDescent="0.35">
      <c r="A877" s="84" t="s">
        <v>1902</v>
      </c>
      <c r="B877" s="81" t="s">
        <v>1903</v>
      </c>
      <c r="C877">
        <v>2</v>
      </c>
      <c r="E877" s="81" t="s">
        <v>1866</v>
      </c>
      <c r="F877" s="32"/>
    </row>
    <row r="878" spans="1:6" ht="12.75" customHeight="1" x14ac:dyDescent="0.35">
      <c r="A878" s="84" t="s">
        <v>1904</v>
      </c>
      <c r="B878" s="81" t="s">
        <v>1905</v>
      </c>
      <c r="C878">
        <v>2</v>
      </c>
      <c r="E878" s="81" t="s">
        <v>1866</v>
      </c>
      <c r="F878" s="32"/>
    </row>
    <row r="879" spans="1:6" ht="12.75" customHeight="1" x14ac:dyDescent="0.35">
      <c r="A879" s="84" t="s">
        <v>1906</v>
      </c>
      <c r="B879" s="81" t="s">
        <v>1907</v>
      </c>
      <c r="C879">
        <v>2</v>
      </c>
      <c r="E879" s="81" t="s">
        <v>1866</v>
      </c>
      <c r="F879" s="32"/>
    </row>
    <row r="880" spans="1:6" ht="12.75" customHeight="1" x14ac:dyDescent="0.35">
      <c r="B880" s="32" t="s">
        <v>242</v>
      </c>
      <c r="F880" s="32"/>
    </row>
    <row r="881" spans="1:6" ht="12.75" customHeight="1" x14ac:dyDescent="0.35">
      <c r="A881" s="40" t="s">
        <v>1908</v>
      </c>
      <c r="B881" s="41" t="s">
        <v>1909</v>
      </c>
      <c r="C881">
        <v>1</v>
      </c>
      <c r="E881" s="81" t="s">
        <v>1910</v>
      </c>
      <c r="F881" s="32"/>
    </row>
    <row r="882" spans="1:6" ht="12.75" customHeight="1" x14ac:dyDescent="0.35">
      <c r="A882" s="40" t="s">
        <v>1911</v>
      </c>
      <c r="B882" s="41" t="s">
        <v>1912</v>
      </c>
      <c r="C882">
        <v>1</v>
      </c>
      <c r="E882" s="81" t="s">
        <v>1910</v>
      </c>
      <c r="F882" s="32"/>
    </row>
    <row r="883" spans="1:6" ht="12.75" customHeight="1" x14ac:dyDescent="0.35">
      <c r="A883" s="40" t="s">
        <v>1913</v>
      </c>
      <c r="B883" s="41" t="s">
        <v>1914</v>
      </c>
      <c r="C883">
        <v>1</v>
      </c>
      <c r="E883" s="81" t="s">
        <v>1910</v>
      </c>
      <c r="F883" s="32"/>
    </row>
    <row r="884" spans="1:6" ht="12.75" customHeight="1" x14ac:dyDescent="0.35">
      <c r="A884" s="40" t="s">
        <v>1915</v>
      </c>
      <c r="B884" s="41" t="s">
        <v>1916</v>
      </c>
      <c r="C884">
        <v>1</v>
      </c>
      <c r="E884" s="81" t="s">
        <v>1910</v>
      </c>
      <c r="F884" s="32"/>
    </row>
    <row r="885" spans="1:6" ht="12.75" customHeight="1" x14ac:dyDescent="0.35">
      <c r="A885" s="40" t="s">
        <v>1917</v>
      </c>
      <c r="B885" s="41" t="s">
        <v>1918</v>
      </c>
      <c r="C885">
        <v>1</v>
      </c>
      <c r="E885" s="81" t="s">
        <v>1910</v>
      </c>
      <c r="F885" s="32"/>
    </row>
    <row r="886" spans="1:6" ht="12.75" customHeight="1" x14ac:dyDescent="0.35">
      <c r="A886" s="40" t="s">
        <v>1919</v>
      </c>
      <c r="B886" s="41" t="s">
        <v>1920</v>
      </c>
      <c r="C886">
        <v>1</v>
      </c>
      <c r="E886" s="81" t="s">
        <v>1910</v>
      </c>
      <c r="F886" s="32"/>
    </row>
    <row r="887" spans="1:6" ht="12.75" customHeight="1" x14ac:dyDescent="0.35">
      <c r="A887" s="40" t="s">
        <v>1921</v>
      </c>
      <c r="B887" s="41" t="s">
        <v>1922</v>
      </c>
      <c r="C887">
        <v>1</v>
      </c>
      <c r="E887" s="81" t="s">
        <v>1910</v>
      </c>
      <c r="F887" s="32"/>
    </row>
    <row r="888" spans="1:6" ht="12.75" customHeight="1" x14ac:dyDescent="0.35">
      <c r="A888" s="40" t="s">
        <v>1923</v>
      </c>
      <c r="B888" s="41" t="s">
        <v>1924</v>
      </c>
      <c r="C888">
        <v>1</v>
      </c>
      <c r="E888" s="81" t="s">
        <v>1910</v>
      </c>
      <c r="F888" s="32"/>
    </row>
    <row r="889" spans="1:6" ht="12.75" customHeight="1" x14ac:dyDescent="0.35">
      <c r="A889" s="40" t="s">
        <v>1925</v>
      </c>
      <c r="B889" s="41" t="s">
        <v>1926</v>
      </c>
      <c r="C889">
        <v>1</v>
      </c>
      <c r="E889" s="81" t="s">
        <v>1910</v>
      </c>
      <c r="F889" s="32"/>
    </row>
    <row r="890" spans="1:6" ht="12.75" customHeight="1" x14ac:dyDescent="0.35">
      <c r="A890" s="40" t="s">
        <v>1927</v>
      </c>
      <c r="B890" s="41" t="s">
        <v>1928</v>
      </c>
      <c r="C890">
        <v>1</v>
      </c>
      <c r="E890" s="81" t="s">
        <v>1910</v>
      </c>
      <c r="F890" s="32"/>
    </row>
    <row r="891" spans="1:6" ht="12.75" customHeight="1" x14ac:dyDescent="0.35">
      <c r="A891" s="40" t="s">
        <v>1929</v>
      </c>
      <c r="B891" s="41" t="s">
        <v>1930</v>
      </c>
      <c r="C891">
        <v>1</v>
      </c>
      <c r="E891" s="81" t="s">
        <v>1910</v>
      </c>
      <c r="F891" s="32"/>
    </row>
    <row r="892" spans="1:6" ht="12.75" customHeight="1" x14ac:dyDescent="0.35">
      <c r="A892" s="40" t="s">
        <v>1931</v>
      </c>
      <c r="B892" s="41" t="s">
        <v>1932</v>
      </c>
      <c r="C892">
        <v>1</v>
      </c>
      <c r="E892" s="81" t="s">
        <v>1910</v>
      </c>
      <c r="F892" s="32"/>
    </row>
    <row r="893" spans="1:6" ht="12.75" customHeight="1" x14ac:dyDescent="0.35">
      <c r="A893" s="40" t="s">
        <v>1933</v>
      </c>
      <c r="B893" s="41" t="s">
        <v>1934</v>
      </c>
      <c r="C893">
        <v>1</v>
      </c>
      <c r="E893" s="81" t="s">
        <v>1910</v>
      </c>
      <c r="F893" s="32"/>
    </row>
    <row r="894" spans="1:6" ht="12.75" customHeight="1" x14ac:dyDescent="0.35">
      <c r="A894" s="40" t="s">
        <v>1935</v>
      </c>
      <c r="B894" s="41" t="s">
        <v>1936</v>
      </c>
      <c r="C894">
        <v>1</v>
      </c>
      <c r="E894" s="81" t="s">
        <v>1910</v>
      </c>
      <c r="F894" s="32"/>
    </row>
    <row r="895" spans="1:6" ht="12.75" customHeight="1" x14ac:dyDescent="0.35">
      <c r="A895" s="40" t="s">
        <v>1937</v>
      </c>
      <c r="B895" s="41" t="s">
        <v>1938</v>
      </c>
      <c r="C895">
        <v>1</v>
      </c>
      <c r="E895" s="81" t="s">
        <v>1910</v>
      </c>
      <c r="F895" s="32"/>
    </row>
    <row r="896" spans="1:6" ht="12.75" customHeight="1" x14ac:dyDescent="0.35">
      <c r="A896" s="40" t="s">
        <v>1939</v>
      </c>
      <c r="B896" s="41" t="s">
        <v>1940</v>
      </c>
      <c r="C896">
        <v>1</v>
      </c>
      <c r="E896" s="81" t="s">
        <v>1910</v>
      </c>
      <c r="F896" s="32"/>
    </row>
    <row r="897" spans="1:6" ht="12.75" customHeight="1" x14ac:dyDescent="0.35">
      <c r="A897" s="40" t="s">
        <v>1941</v>
      </c>
      <c r="B897" s="41" t="s">
        <v>1942</v>
      </c>
      <c r="C897">
        <v>1</v>
      </c>
      <c r="E897" s="81" t="s">
        <v>1910</v>
      </c>
      <c r="F897" s="32"/>
    </row>
    <row r="898" spans="1:6" ht="12.75" customHeight="1" x14ac:dyDescent="0.35">
      <c r="A898" s="40" t="s">
        <v>1943</v>
      </c>
      <c r="B898" s="41" t="s">
        <v>1944</v>
      </c>
      <c r="C898">
        <v>1</v>
      </c>
      <c r="E898" s="81" t="s">
        <v>1910</v>
      </c>
      <c r="F898" s="32"/>
    </row>
    <row r="899" spans="1:6" ht="12.75" customHeight="1" x14ac:dyDescent="0.35">
      <c r="A899" s="40" t="s">
        <v>1945</v>
      </c>
      <c r="B899" s="41" t="s">
        <v>1946</v>
      </c>
      <c r="C899">
        <v>1</v>
      </c>
      <c r="E899" s="81" t="s">
        <v>1910</v>
      </c>
      <c r="F899" s="32"/>
    </row>
    <row r="900" spans="1:6" ht="12.75" customHeight="1" x14ac:dyDescent="0.35">
      <c r="A900" s="40" t="s">
        <v>1947</v>
      </c>
      <c r="B900" s="41" t="s">
        <v>1948</v>
      </c>
      <c r="C900">
        <v>1</v>
      </c>
      <c r="E900" s="81" t="s">
        <v>1910</v>
      </c>
      <c r="F900" s="32"/>
    </row>
    <row r="901" spans="1:6" ht="12.75" customHeight="1" x14ac:dyDescent="0.35">
      <c r="A901" s="40" t="s">
        <v>1949</v>
      </c>
      <c r="B901" s="41" t="s">
        <v>1950</v>
      </c>
      <c r="C901">
        <v>1</v>
      </c>
      <c r="E901" s="81" t="s">
        <v>1910</v>
      </c>
      <c r="F901" s="32"/>
    </row>
    <row r="902" spans="1:6" ht="12.75" customHeight="1" x14ac:dyDescent="0.35">
      <c r="A902" s="40" t="s">
        <v>1951</v>
      </c>
      <c r="B902" s="41" t="s">
        <v>1952</v>
      </c>
      <c r="C902">
        <v>1</v>
      </c>
      <c r="E902" s="81" t="s">
        <v>1910</v>
      </c>
      <c r="F902" s="32"/>
    </row>
    <row r="903" spans="1:6" ht="12.75" customHeight="1" x14ac:dyDescent="0.35">
      <c r="A903" s="40" t="s">
        <v>1953</v>
      </c>
      <c r="B903" s="41" t="s">
        <v>1954</v>
      </c>
      <c r="C903">
        <v>1</v>
      </c>
      <c r="E903" s="81" t="s">
        <v>1910</v>
      </c>
      <c r="F903" s="32"/>
    </row>
    <row r="904" spans="1:6" ht="12.75" customHeight="1" x14ac:dyDescent="0.35">
      <c r="A904" s="40" t="s">
        <v>1955</v>
      </c>
      <c r="B904" s="41" t="s">
        <v>1956</v>
      </c>
      <c r="C904">
        <v>1</v>
      </c>
      <c r="E904" s="81" t="s">
        <v>1910</v>
      </c>
      <c r="F904" s="32"/>
    </row>
    <row r="905" spans="1:6" ht="12.75" customHeight="1" x14ac:dyDescent="0.35">
      <c r="A905" s="40" t="s">
        <v>1957</v>
      </c>
      <c r="B905" s="41" t="s">
        <v>1958</v>
      </c>
      <c r="C905">
        <v>1</v>
      </c>
      <c r="E905" s="81" t="s">
        <v>1910</v>
      </c>
      <c r="F905" s="32"/>
    </row>
    <row r="906" spans="1:6" ht="12.75" customHeight="1" x14ac:dyDescent="0.35">
      <c r="A906" s="40" t="s">
        <v>1959</v>
      </c>
      <c r="B906" s="41" t="s">
        <v>1960</v>
      </c>
      <c r="C906">
        <v>1</v>
      </c>
      <c r="E906" s="81" t="s">
        <v>1910</v>
      </c>
      <c r="F906" s="32"/>
    </row>
    <row r="907" spans="1:6" ht="12.75" customHeight="1" x14ac:dyDescent="0.35">
      <c r="A907" s="40" t="s">
        <v>1961</v>
      </c>
      <c r="B907" s="41" t="s">
        <v>1962</v>
      </c>
      <c r="C907">
        <v>1</v>
      </c>
      <c r="E907" s="81" t="s">
        <v>1910</v>
      </c>
      <c r="F907" s="32"/>
    </row>
    <row r="908" spans="1:6" ht="12.75" customHeight="1" x14ac:dyDescent="0.35">
      <c r="A908" s="40" t="s">
        <v>1963</v>
      </c>
      <c r="B908" s="41" t="s">
        <v>1964</v>
      </c>
      <c r="C908">
        <v>1</v>
      </c>
      <c r="E908" s="81" t="s">
        <v>1910</v>
      </c>
      <c r="F908" s="32"/>
    </row>
    <row r="909" spans="1:6" ht="12.75" customHeight="1" x14ac:dyDescent="0.35">
      <c r="A909" s="40" t="s">
        <v>1965</v>
      </c>
      <c r="B909" s="41" t="s">
        <v>1966</v>
      </c>
      <c r="C909">
        <v>1</v>
      </c>
      <c r="E909" s="81" t="s">
        <v>1910</v>
      </c>
      <c r="F909" s="32"/>
    </row>
    <row r="910" spans="1:6" ht="12.75" customHeight="1" x14ac:dyDescent="0.35">
      <c r="A910" s="40" t="s">
        <v>1967</v>
      </c>
      <c r="B910" s="41" t="s">
        <v>1968</v>
      </c>
      <c r="C910">
        <v>1</v>
      </c>
      <c r="E910" s="81" t="s">
        <v>1910</v>
      </c>
      <c r="F910" s="32"/>
    </row>
    <row r="911" spans="1:6" ht="12.75" customHeight="1" x14ac:dyDescent="0.35">
      <c r="A911" s="40" t="s">
        <v>1969</v>
      </c>
      <c r="B911" s="41" t="s">
        <v>1970</v>
      </c>
      <c r="C911">
        <v>1</v>
      </c>
      <c r="E911" s="81" t="s">
        <v>1910</v>
      </c>
      <c r="F911" s="32"/>
    </row>
    <row r="912" spans="1:6" ht="12.75" customHeight="1" x14ac:dyDescent="0.35">
      <c r="A912" s="40" t="s">
        <v>1971</v>
      </c>
      <c r="B912" s="41" t="s">
        <v>1972</v>
      </c>
      <c r="C912">
        <v>1</v>
      </c>
      <c r="E912" s="81" t="s">
        <v>1910</v>
      </c>
      <c r="F912" s="32"/>
    </row>
    <row r="913" spans="1:6" ht="12.75" customHeight="1" x14ac:dyDescent="0.35">
      <c r="A913" s="40" t="s">
        <v>1973</v>
      </c>
      <c r="B913" s="40" t="s">
        <v>1974</v>
      </c>
      <c r="C913">
        <v>1</v>
      </c>
      <c r="E913" s="81" t="s">
        <v>1910</v>
      </c>
      <c r="F913" s="32"/>
    </row>
    <row r="914" spans="1:6" ht="12.75" customHeight="1" x14ac:dyDescent="0.35">
      <c r="A914" s="40" t="s">
        <v>1975</v>
      </c>
      <c r="B914" s="40" t="s">
        <v>1976</v>
      </c>
      <c r="C914">
        <v>1</v>
      </c>
      <c r="E914" s="81" t="s">
        <v>1910</v>
      </c>
      <c r="F914" s="32"/>
    </row>
    <row r="915" spans="1:6" ht="12.75" customHeight="1" x14ac:dyDescent="0.35">
      <c r="A915" s="40" t="s">
        <v>1977</v>
      </c>
      <c r="B915" s="40" t="s">
        <v>1978</v>
      </c>
      <c r="C915">
        <v>1</v>
      </c>
      <c r="E915" s="81" t="s">
        <v>1910</v>
      </c>
      <c r="F915" s="32"/>
    </row>
    <row r="916" spans="1:6" ht="12.75" customHeight="1" x14ac:dyDescent="0.35">
      <c r="A916" s="40" t="s">
        <v>1979</v>
      </c>
      <c r="B916" s="40" t="s">
        <v>1980</v>
      </c>
      <c r="C916">
        <v>1</v>
      </c>
      <c r="E916" s="81" t="s">
        <v>1910</v>
      </c>
      <c r="F916" s="32"/>
    </row>
    <row r="917" spans="1:6" ht="12.75" customHeight="1" x14ac:dyDescent="0.35">
      <c r="A917" s="40" t="s">
        <v>1981</v>
      </c>
      <c r="B917" s="40" t="s">
        <v>1982</v>
      </c>
      <c r="C917">
        <v>1</v>
      </c>
      <c r="E917" s="81" t="s">
        <v>1910</v>
      </c>
      <c r="F917" s="32"/>
    </row>
    <row r="918" spans="1:6" ht="12.75" customHeight="1" x14ac:dyDescent="0.35">
      <c r="A918" s="40" t="s">
        <v>1983</v>
      </c>
      <c r="B918" s="40" t="s">
        <v>1329</v>
      </c>
      <c r="C918">
        <v>1</v>
      </c>
      <c r="E918" s="81" t="s">
        <v>1910</v>
      </c>
      <c r="F918" s="32"/>
    </row>
    <row r="919" spans="1:6" ht="12.75" customHeight="1" x14ac:dyDescent="0.35">
      <c r="A919" s="40" t="s">
        <v>1984</v>
      </c>
      <c r="B919" s="40" t="s">
        <v>1985</v>
      </c>
      <c r="C919">
        <v>1</v>
      </c>
      <c r="E919" s="81" t="s">
        <v>1910</v>
      </c>
      <c r="F919" s="32"/>
    </row>
    <row r="920" spans="1:6" ht="12.75" customHeight="1" x14ac:dyDescent="0.35">
      <c r="A920" s="40" t="s">
        <v>1986</v>
      </c>
      <c r="B920" s="40" t="s">
        <v>1987</v>
      </c>
      <c r="C920">
        <v>1</v>
      </c>
      <c r="E920" s="81" t="s">
        <v>1910</v>
      </c>
      <c r="F920" s="32"/>
    </row>
    <row r="921" spans="1:6" ht="12.75" customHeight="1" x14ac:dyDescent="0.35">
      <c r="A921" s="40" t="s">
        <v>1988</v>
      </c>
      <c r="B921" s="40" t="s">
        <v>1989</v>
      </c>
      <c r="C921">
        <v>1</v>
      </c>
      <c r="E921" s="81" t="s">
        <v>1910</v>
      </c>
      <c r="F921" s="32"/>
    </row>
    <row r="922" spans="1:6" ht="12.75" customHeight="1" x14ac:dyDescent="0.35">
      <c r="A922" s="40" t="s">
        <v>1990</v>
      </c>
      <c r="B922" s="40" t="s">
        <v>1991</v>
      </c>
      <c r="C922">
        <v>1</v>
      </c>
      <c r="E922" s="81" t="s">
        <v>1910</v>
      </c>
      <c r="F922" s="32"/>
    </row>
    <row r="923" spans="1:6" ht="12.75" customHeight="1" x14ac:dyDescent="0.35">
      <c r="A923" s="40" t="s">
        <v>1992</v>
      </c>
      <c r="B923" s="40" t="s">
        <v>1993</v>
      </c>
      <c r="C923">
        <v>1</v>
      </c>
      <c r="E923" s="81" t="s">
        <v>1910</v>
      </c>
      <c r="F923" s="32"/>
    </row>
    <row r="924" spans="1:6" ht="12.75" customHeight="1" x14ac:dyDescent="0.35">
      <c r="A924" s="40" t="s">
        <v>1994</v>
      </c>
      <c r="B924" s="40" t="s">
        <v>1995</v>
      </c>
      <c r="C924">
        <v>1</v>
      </c>
      <c r="E924" s="81" t="s">
        <v>1910</v>
      </c>
      <c r="F924" s="32"/>
    </row>
    <row r="925" spans="1:6" ht="12.75" customHeight="1" x14ac:dyDescent="0.35">
      <c r="A925" s="40" t="s">
        <v>1996</v>
      </c>
      <c r="B925" s="40" t="s">
        <v>1997</v>
      </c>
      <c r="C925">
        <v>1</v>
      </c>
      <c r="E925" s="81" t="s">
        <v>1910</v>
      </c>
      <c r="F925" s="32"/>
    </row>
    <row r="926" spans="1:6" ht="12.75" customHeight="1" x14ac:dyDescent="0.35">
      <c r="A926" s="40" t="s">
        <v>1998</v>
      </c>
      <c r="B926" s="40" t="s">
        <v>1999</v>
      </c>
      <c r="C926">
        <v>1</v>
      </c>
      <c r="E926" s="81" t="s">
        <v>1910</v>
      </c>
      <c r="F926" s="32"/>
    </row>
    <row r="927" spans="1:6" ht="12.75" customHeight="1" x14ac:dyDescent="0.35">
      <c r="A927" s="40" t="s">
        <v>2000</v>
      </c>
      <c r="B927" s="40" t="s">
        <v>2001</v>
      </c>
      <c r="C927">
        <v>1</v>
      </c>
      <c r="E927" s="81" t="s">
        <v>1910</v>
      </c>
      <c r="F927" s="32"/>
    </row>
    <row r="928" spans="1:6" ht="12.75" customHeight="1" x14ac:dyDescent="0.35">
      <c r="A928" s="40" t="s">
        <v>2002</v>
      </c>
      <c r="B928" s="40" t="s">
        <v>2003</v>
      </c>
      <c r="C928">
        <v>1</v>
      </c>
      <c r="E928" s="81" t="s">
        <v>1910</v>
      </c>
      <c r="F928" s="32"/>
    </row>
    <row r="929" spans="1:6" ht="12.75" customHeight="1" x14ac:dyDescent="0.35">
      <c r="B929" s="32" t="s">
        <v>242</v>
      </c>
      <c r="F929" s="32"/>
    </row>
    <row r="930" spans="1:6" ht="12.75" customHeight="1" x14ac:dyDescent="0.35">
      <c r="A930" s="40" t="s">
        <v>2004</v>
      </c>
      <c r="B930" s="41" t="s">
        <v>2005</v>
      </c>
      <c r="C930">
        <v>2</v>
      </c>
      <c r="E930" s="81" t="s">
        <v>1910</v>
      </c>
      <c r="F930" s="32"/>
    </row>
    <row r="931" spans="1:6" ht="12.75" customHeight="1" x14ac:dyDescent="0.35">
      <c r="A931" s="40" t="s">
        <v>2006</v>
      </c>
      <c r="B931" s="41" t="s">
        <v>2007</v>
      </c>
      <c r="C931">
        <v>2</v>
      </c>
      <c r="E931" s="81" t="s">
        <v>1910</v>
      </c>
      <c r="F931" s="32"/>
    </row>
    <row r="932" spans="1:6" ht="12.75" customHeight="1" x14ac:dyDescent="0.35">
      <c r="A932" s="40" t="s">
        <v>2008</v>
      </c>
      <c r="B932" s="41" t="s">
        <v>2009</v>
      </c>
      <c r="C932">
        <v>2</v>
      </c>
      <c r="E932" s="81" t="s">
        <v>1910</v>
      </c>
      <c r="F932" s="32"/>
    </row>
    <row r="933" spans="1:6" ht="12.75" customHeight="1" x14ac:dyDescent="0.35">
      <c r="A933" s="40" t="s">
        <v>2010</v>
      </c>
      <c r="B933" s="41" t="s">
        <v>2011</v>
      </c>
      <c r="C933">
        <v>2</v>
      </c>
      <c r="E933" s="81" t="s">
        <v>1910</v>
      </c>
      <c r="F933" s="32"/>
    </row>
    <row r="934" spans="1:6" ht="12.75" customHeight="1" x14ac:dyDescent="0.35">
      <c r="A934" s="40" t="s">
        <v>2012</v>
      </c>
      <c r="B934" s="41" t="s">
        <v>2013</v>
      </c>
      <c r="C934">
        <v>2</v>
      </c>
      <c r="E934" s="81" t="s">
        <v>1910</v>
      </c>
      <c r="F934" s="32"/>
    </row>
    <row r="935" spans="1:6" ht="12.75" customHeight="1" x14ac:dyDescent="0.35">
      <c r="A935" s="40" t="s">
        <v>2014</v>
      </c>
      <c r="B935" s="41" t="s">
        <v>2015</v>
      </c>
      <c r="C935">
        <v>2</v>
      </c>
      <c r="E935" s="81" t="s">
        <v>1910</v>
      </c>
      <c r="F935" s="32"/>
    </row>
    <row r="936" spans="1:6" ht="12.75" customHeight="1" x14ac:dyDescent="0.35">
      <c r="A936" s="40" t="s">
        <v>2016</v>
      </c>
      <c r="B936" s="41" t="s">
        <v>2017</v>
      </c>
      <c r="C936">
        <v>2</v>
      </c>
      <c r="E936" s="81" t="s">
        <v>1910</v>
      </c>
      <c r="F936" s="32"/>
    </row>
    <row r="937" spans="1:6" ht="12.75" customHeight="1" x14ac:dyDescent="0.35">
      <c r="A937" s="40" t="s">
        <v>2018</v>
      </c>
      <c r="B937" s="41" t="s">
        <v>2019</v>
      </c>
      <c r="C937">
        <v>2</v>
      </c>
      <c r="E937" s="81" t="s">
        <v>1910</v>
      </c>
      <c r="F937" s="32"/>
    </row>
    <row r="938" spans="1:6" ht="12.75" customHeight="1" x14ac:dyDescent="0.35">
      <c r="A938" s="40" t="s">
        <v>2020</v>
      </c>
      <c r="B938" s="41" t="s">
        <v>2021</v>
      </c>
      <c r="C938">
        <v>2</v>
      </c>
      <c r="E938" s="81" t="s">
        <v>1910</v>
      </c>
      <c r="F938" s="32"/>
    </row>
    <row r="939" spans="1:6" ht="12.75" customHeight="1" x14ac:dyDescent="0.35">
      <c r="A939" s="40" t="s">
        <v>2022</v>
      </c>
      <c r="B939" s="41" t="s">
        <v>2023</v>
      </c>
      <c r="C939">
        <v>2</v>
      </c>
      <c r="E939" s="81" t="s">
        <v>1910</v>
      </c>
      <c r="F939" s="32"/>
    </row>
    <row r="940" spans="1:6" ht="12.75" customHeight="1" x14ac:dyDescent="0.35">
      <c r="A940" s="40" t="s">
        <v>2024</v>
      </c>
      <c r="B940" s="41" t="s">
        <v>2025</v>
      </c>
      <c r="C940">
        <v>2</v>
      </c>
      <c r="E940" s="81" t="s">
        <v>1910</v>
      </c>
      <c r="F940" s="32"/>
    </row>
    <row r="941" spans="1:6" ht="12.75" customHeight="1" x14ac:dyDescent="0.35">
      <c r="A941" s="40" t="s">
        <v>2026</v>
      </c>
      <c r="B941" s="41" t="s">
        <v>2027</v>
      </c>
      <c r="C941">
        <v>2</v>
      </c>
      <c r="E941" s="81" t="s">
        <v>1910</v>
      </c>
      <c r="F941" s="32"/>
    </row>
    <row r="942" spans="1:6" ht="12.75" customHeight="1" x14ac:dyDescent="0.35">
      <c r="A942" s="40" t="s">
        <v>2028</v>
      </c>
      <c r="B942" s="41" t="s">
        <v>2029</v>
      </c>
      <c r="C942">
        <v>2</v>
      </c>
      <c r="E942" s="81" t="s">
        <v>1910</v>
      </c>
      <c r="F942" s="32"/>
    </row>
    <row r="943" spans="1:6" ht="12.75" customHeight="1" x14ac:dyDescent="0.35">
      <c r="A943" s="40" t="s">
        <v>2030</v>
      </c>
      <c r="B943" s="41" t="s">
        <v>2031</v>
      </c>
      <c r="C943">
        <v>2</v>
      </c>
      <c r="E943" s="81" t="s">
        <v>1910</v>
      </c>
      <c r="F943" s="32"/>
    </row>
    <row r="944" spans="1:6" ht="12.75" customHeight="1" x14ac:dyDescent="0.35">
      <c r="A944" s="40" t="s">
        <v>2032</v>
      </c>
      <c r="B944" s="41" t="s">
        <v>2033</v>
      </c>
      <c r="C944">
        <v>2</v>
      </c>
      <c r="E944" s="81" t="s">
        <v>1910</v>
      </c>
      <c r="F944" s="32"/>
    </row>
    <row r="945" spans="1:6" ht="12.75" customHeight="1" x14ac:dyDescent="0.35">
      <c r="A945" s="40" t="s">
        <v>2034</v>
      </c>
      <c r="B945" s="41" t="s">
        <v>2035</v>
      </c>
      <c r="C945">
        <v>2</v>
      </c>
      <c r="E945" s="81" t="s">
        <v>1910</v>
      </c>
      <c r="F945" s="32"/>
    </row>
    <row r="946" spans="1:6" ht="12.75" customHeight="1" x14ac:dyDescent="0.35">
      <c r="A946" s="40" t="s">
        <v>2036</v>
      </c>
      <c r="B946" s="41" t="s">
        <v>2037</v>
      </c>
      <c r="C946">
        <v>2</v>
      </c>
      <c r="E946" s="81" t="s">
        <v>1910</v>
      </c>
      <c r="F946" s="32"/>
    </row>
    <row r="947" spans="1:6" ht="12.75" customHeight="1" x14ac:dyDescent="0.35">
      <c r="A947" s="40" t="s">
        <v>2038</v>
      </c>
      <c r="B947" s="41" t="s">
        <v>2039</v>
      </c>
      <c r="C947">
        <v>2</v>
      </c>
      <c r="E947" s="81" t="s">
        <v>1910</v>
      </c>
      <c r="F947" s="32"/>
    </row>
    <row r="948" spans="1:6" ht="12.75" customHeight="1" x14ac:dyDescent="0.35">
      <c r="A948" s="40" t="s">
        <v>2040</v>
      </c>
      <c r="B948" s="41" t="s">
        <v>2041</v>
      </c>
      <c r="C948">
        <v>2</v>
      </c>
      <c r="E948" s="81" t="s">
        <v>1910</v>
      </c>
      <c r="F948" s="32"/>
    </row>
    <row r="949" spans="1:6" ht="12.75" customHeight="1" x14ac:dyDescent="0.35">
      <c r="A949" s="40" t="s">
        <v>2042</v>
      </c>
      <c r="B949" s="41" t="s">
        <v>2043</v>
      </c>
      <c r="C949">
        <v>2</v>
      </c>
      <c r="E949" s="81" t="s">
        <v>1910</v>
      </c>
      <c r="F949" s="32"/>
    </row>
    <row r="950" spans="1:6" ht="12.75" customHeight="1" x14ac:dyDescent="0.35">
      <c r="A950" s="40" t="s">
        <v>2044</v>
      </c>
      <c r="B950" s="41" t="s">
        <v>2045</v>
      </c>
      <c r="C950">
        <v>2</v>
      </c>
      <c r="E950" s="81" t="s">
        <v>1910</v>
      </c>
      <c r="F950" s="32"/>
    </row>
    <row r="951" spans="1:6" ht="12.75" customHeight="1" x14ac:dyDescent="0.35">
      <c r="A951" s="40" t="s">
        <v>2046</v>
      </c>
      <c r="B951" s="41" t="s">
        <v>2047</v>
      </c>
      <c r="C951">
        <v>2</v>
      </c>
      <c r="E951" s="81" t="s">
        <v>1910</v>
      </c>
      <c r="F951" s="32"/>
    </row>
    <row r="952" spans="1:6" ht="12.75" customHeight="1" x14ac:dyDescent="0.35">
      <c r="A952" s="40" t="s">
        <v>2048</v>
      </c>
      <c r="B952" s="41" t="s">
        <v>2049</v>
      </c>
      <c r="C952">
        <v>2</v>
      </c>
      <c r="E952" s="81" t="s">
        <v>1910</v>
      </c>
      <c r="F952" s="32"/>
    </row>
    <row r="953" spans="1:6" ht="12.75" customHeight="1" x14ac:dyDescent="0.35">
      <c r="A953" s="40" t="s">
        <v>2050</v>
      </c>
      <c r="B953" s="41" t="s">
        <v>2051</v>
      </c>
      <c r="C953">
        <v>2</v>
      </c>
      <c r="E953" s="81" t="s">
        <v>1910</v>
      </c>
      <c r="F953" s="32"/>
    </row>
    <row r="954" spans="1:6" ht="12.75" customHeight="1" x14ac:dyDescent="0.35">
      <c r="A954" s="40" t="s">
        <v>2052</v>
      </c>
      <c r="B954" s="41" t="s">
        <v>1909</v>
      </c>
      <c r="C954">
        <v>2</v>
      </c>
      <c r="E954" s="81" t="s">
        <v>1910</v>
      </c>
      <c r="F954" s="32"/>
    </row>
    <row r="955" spans="1:6" ht="12.75" customHeight="1" x14ac:dyDescent="0.35">
      <c r="A955" s="40" t="s">
        <v>2053</v>
      </c>
      <c r="B955" s="41" t="s">
        <v>1912</v>
      </c>
      <c r="C955">
        <v>2</v>
      </c>
      <c r="E955" s="81" t="s">
        <v>1910</v>
      </c>
      <c r="F955" s="32"/>
    </row>
    <row r="956" spans="1:6" ht="12.75" customHeight="1" x14ac:dyDescent="0.35">
      <c r="A956" s="40" t="s">
        <v>2054</v>
      </c>
      <c r="B956" s="41" t="s">
        <v>1914</v>
      </c>
      <c r="C956">
        <v>2</v>
      </c>
      <c r="E956" s="81" t="s">
        <v>1910</v>
      </c>
      <c r="F956" s="32"/>
    </row>
    <row r="957" spans="1:6" ht="12.75" customHeight="1" x14ac:dyDescent="0.35">
      <c r="A957" s="40" t="s">
        <v>2055</v>
      </c>
      <c r="B957" s="41" t="s">
        <v>1916</v>
      </c>
      <c r="C957">
        <v>2</v>
      </c>
      <c r="E957" s="81" t="s">
        <v>1910</v>
      </c>
      <c r="F957" s="32"/>
    </row>
    <row r="958" spans="1:6" ht="12.75" customHeight="1" x14ac:dyDescent="0.35">
      <c r="A958" s="40" t="s">
        <v>2056</v>
      </c>
      <c r="B958" s="41" t="s">
        <v>1918</v>
      </c>
      <c r="C958">
        <v>2</v>
      </c>
      <c r="E958" s="81" t="s">
        <v>1910</v>
      </c>
      <c r="F958" s="32"/>
    </row>
    <row r="959" spans="1:6" ht="12.75" customHeight="1" x14ac:dyDescent="0.35">
      <c r="A959" s="40" t="s">
        <v>2057</v>
      </c>
      <c r="B959" s="41" t="s">
        <v>1920</v>
      </c>
      <c r="C959">
        <v>2</v>
      </c>
      <c r="E959" s="81" t="s">
        <v>1910</v>
      </c>
      <c r="F959" s="32"/>
    </row>
    <row r="960" spans="1:6" ht="12.75" customHeight="1" x14ac:dyDescent="0.35">
      <c r="A960" s="40" t="s">
        <v>2058</v>
      </c>
      <c r="B960" s="41" t="s">
        <v>1922</v>
      </c>
      <c r="C960">
        <v>2</v>
      </c>
      <c r="E960" s="81" t="s">
        <v>1910</v>
      </c>
      <c r="F960" s="32"/>
    </row>
    <row r="961" spans="1:6" ht="12.75" customHeight="1" x14ac:dyDescent="0.35">
      <c r="A961" s="40" t="s">
        <v>2059</v>
      </c>
      <c r="B961" s="41" t="s">
        <v>1924</v>
      </c>
      <c r="C961">
        <v>2</v>
      </c>
      <c r="E961" s="81" t="s">
        <v>1910</v>
      </c>
      <c r="F961" s="32"/>
    </row>
    <row r="962" spans="1:6" ht="12.75" customHeight="1" x14ac:dyDescent="0.35">
      <c r="A962" s="40" t="s">
        <v>2060</v>
      </c>
      <c r="B962" s="40" t="s">
        <v>1926</v>
      </c>
      <c r="C962">
        <v>2</v>
      </c>
      <c r="E962" s="81" t="s">
        <v>1910</v>
      </c>
      <c r="F962" s="32"/>
    </row>
    <row r="963" spans="1:6" ht="12.75" customHeight="1" x14ac:dyDescent="0.35">
      <c r="A963" s="40" t="s">
        <v>2061</v>
      </c>
      <c r="B963" s="40" t="s">
        <v>1928</v>
      </c>
      <c r="C963">
        <v>2</v>
      </c>
      <c r="E963" s="81" t="s">
        <v>1910</v>
      </c>
      <c r="F963" s="32"/>
    </row>
    <row r="964" spans="1:6" ht="12.75" customHeight="1" x14ac:dyDescent="0.35">
      <c r="A964" s="40" t="s">
        <v>2062</v>
      </c>
      <c r="B964" s="40" t="s">
        <v>1930</v>
      </c>
      <c r="C964">
        <v>2</v>
      </c>
      <c r="E964" s="81" t="s">
        <v>1910</v>
      </c>
      <c r="F964" s="32"/>
    </row>
    <row r="965" spans="1:6" ht="12.75" customHeight="1" x14ac:dyDescent="0.35">
      <c r="A965" s="40" t="s">
        <v>2063</v>
      </c>
      <c r="B965" s="40" t="s">
        <v>1932</v>
      </c>
      <c r="C965">
        <v>2</v>
      </c>
      <c r="E965" s="81" t="s">
        <v>1910</v>
      </c>
      <c r="F965" s="32"/>
    </row>
    <row r="966" spans="1:6" ht="12.75" customHeight="1" x14ac:dyDescent="0.35">
      <c r="A966" s="40" t="s">
        <v>2064</v>
      </c>
      <c r="B966" s="40" t="s">
        <v>1934</v>
      </c>
      <c r="C966">
        <v>2</v>
      </c>
      <c r="E966" s="81" t="s">
        <v>1910</v>
      </c>
      <c r="F966" s="32"/>
    </row>
    <row r="967" spans="1:6" ht="12.75" customHeight="1" x14ac:dyDescent="0.35">
      <c r="A967" s="40" t="s">
        <v>2065</v>
      </c>
      <c r="B967" s="40" t="s">
        <v>1936</v>
      </c>
      <c r="C967">
        <v>2</v>
      </c>
      <c r="E967" s="81" t="s">
        <v>1910</v>
      </c>
      <c r="F967" s="32"/>
    </row>
    <row r="968" spans="1:6" ht="12.75" customHeight="1" x14ac:dyDescent="0.35">
      <c r="A968" s="40" t="s">
        <v>2066</v>
      </c>
      <c r="B968" s="40" t="s">
        <v>1938</v>
      </c>
      <c r="C968">
        <v>2</v>
      </c>
      <c r="E968" s="81" t="s">
        <v>1910</v>
      </c>
      <c r="F968" s="32"/>
    </row>
    <row r="969" spans="1:6" ht="12.75" customHeight="1" x14ac:dyDescent="0.35">
      <c r="A969" s="40" t="s">
        <v>2067</v>
      </c>
      <c r="B969" s="40" t="s">
        <v>1940</v>
      </c>
      <c r="C969">
        <v>2</v>
      </c>
      <c r="E969" s="81" t="s">
        <v>1910</v>
      </c>
      <c r="F969" s="32"/>
    </row>
    <row r="970" spans="1:6" ht="12.75" customHeight="1" x14ac:dyDescent="0.35">
      <c r="A970" s="40" t="s">
        <v>2068</v>
      </c>
      <c r="B970" s="40" t="s">
        <v>1942</v>
      </c>
      <c r="C970">
        <v>2</v>
      </c>
      <c r="E970" s="81" t="s">
        <v>1910</v>
      </c>
      <c r="F970" s="32"/>
    </row>
    <row r="971" spans="1:6" ht="12.75" customHeight="1" x14ac:dyDescent="0.35">
      <c r="A971" s="40" t="s">
        <v>2069</v>
      </c>
      <c r="B971" s="40" t="s">
        <v>1944</v>
      </c>
      <c r="C971">
        <v>2</v>
      </c>
      <c r="E971" s="81" t="s">
        <v>1910</v>
      </c>
      <c r="F971" s="32"/>
    </row>
    <row r="972" spans="1:6" ht="12.75" customHeight="1" x14ac:dyDescent="0.35">
      <c r="A972" s="40" t="s">
        <v>2070</v>
      </c>
      <c r="B972" s="40" t="s">
        <v>1946</v>
      </c>
      <c r="C972">
        <v>2</v>
      </c>
      <c r="E972" s="81" t="s">
        <v>1910</v>
      </c>
      <c r="F972" s="32"/>
    </row>
    <row r="973" spans="1:6" ht="12.75" customHeight="1" x14ac:dyDescent="0.35">
      <c r="A973" s="40" t="s">
        <v>2071</v>
      </c>
      <c r="B973" s="40" t="s">
        <v>1948</v>
      </c>
      <c r="C973">
        <v>2</v>
      </c>
      <c r="E973" s="81" t="s">
        <v>1910</v>
      </c>
      <c r="F973" s="32"/>
    </row>
    <row r="974" spans="1:6" ht="12.75" customHeight="1" x14ac:dyDescent="0.35">
      <c r="A974" s="40" t="s">
        <v>2072</v>
      </c>
      <c r="B974" s="40" t="s">
        <v>1950</v>
      </c>
      <c r="C974">
        <v>2</v>
      </c>
      <c r="E974" s="81" t="s">
        <v>1910</v>
      </c>
      <c r="F974" s="32"/>
    </row>
    <row r="975" spans="1:6" ht="12.75" customHeight="1" x14ac:dyDescent="0.35">
      <c r="A975" s="40" t="s">
        <v>2073</v>
      </c>
      <c r="B975" s="40" t="s">
        <v>1952</v>
      </c>
      <c r="C975">
        <v>2</v>
      </c>
      <c r="E975" s="81" t="s">
        <v>1910</v>
      </c>
      <c r="F975" s="32"/>
    </row>
    <row r="976" spans="1:6" ht="12.75" customHeight="1" x14ac:dyDescent="0.35">
      <c r="A976" s="40" t="s">
        <v>2074</v>
      </c>
      <c r="B976" s="40" t="s">
        <v>1954</v>
      </c>
      <c r="C976">
        <v>2</v>
      </c>
      <c r="E976" s="81" t="s">
        <v>1910</v>
      </c>
      <c r="F976" s="32"/>
    </row>
    <row r="977" spans="1:6" ht="12.75" customHeight="1" x14ac:dyDescent="0.35">
      <c r="A977" s="40" t="s">
        <v>2075</v>
      </c>
      <c r="B977" s="40" t="s">
        <v>1956</v>
      </c>
      <c r="C977">
        <v>2</v>
      </c>
      <c r="E977" s="81" t="s">
        <v>1910</v>
      </c>
      <c r="F977" s="32"/>
    </row>
    <row r="978" spans="1:6" ht="12.75" customHeight="1" x14ac:dyDescent="0.35"/>
    <row r="979" spans="1:6" ht="12.75" customHeight="1" x14ac:dyDescent="0.35">
      <c r="A979" s="1" t="s">
        <v>2076</v>
      </c>
      <c r="B979" s="1" t="s">
        <v>368</v>
      </c>
      <c r="C979">
        <v>1</v>
      </c>
      <c r="E979" t="s">
        <v>2077</v>
      </c>
    </row>
    <row r="980" spans="1:6" ht="12.75" customHeight="1" x14ac:dyDescent="0.35">
      <c r="A980" s="1" t="s">
        <v>2078</v>
      </c>
      <c r="B980" s="1" t="s">
        <v>2079</v>
      </c>
      <c r="C980">
        <v>1</v>
      </c>
      <c r="E980" t="s">
        <v>2077</v>
      </c>
    </row>
    <row r="981" spans="1:6" ht="12.75" customHeight="1" x14ac:dyDescent="0.35">
      <c r="A981" s="1" t="s">
        <v>2080</v>
      </c>
      <c r="B981" s="1" t="s">
        <v>2081</v>
      </c>
      <c r="C981">
        <v>1</v>
      </c>
      <c r="E981" t="s">
        <v>2077</v>
      </c>
    </row>
    <row r="982" spans="1:6" ht="12.75" customHeight="1" x14ac:dyDescent="0.35">
      <c r="A982" s="1" t="s">
        <v>2082</v>
      </c>
      <c r="B982" s="1" t="s">
        <v>710</v>
      </c>
      <c r="C982">
        <v>1</v>
      </c>
      <c r="E982" t="s">
        <v>2077</v>
      </c>
    </row>
    <row r="983" spans="1:6" ht="12.75" customHeight="1" x14ac:dyDescent="0.35">
      <c r="A983" s="1" t="s">
        <v>2083</v>
      </c>
      <c r="B983" s="1" t="s">
        <v>2084</v>
      </c>
      <c r="C983">
        <v>1</v>
      </c>
      <c r="E983" t="s">
        <v>2077</v>
      </c>
    </row>
    <row r="984" spans="1:6" ht="12.75" customHeight="1" x14ac:dyDescent="0.35">
      <c r="A984" s="1" t="s">
        <v>2085</v>
      </c>
      <c r="B984" s="1" t="s">
        <v>2086</v>
      </c>
      <c r="C984">
        <v>1</v>
      </c>
      <c r="E984" t="s">
        <v>2077</v>
      </c>
    </row>
    <row r="985" spans="1:6" ht="12.75" customHeight="1" x14ac:dyDescent="0.35">
      <c r="A985" s="1" t="s">
        <v>2087</v>
      </c>
      <c r="B985" s="1" t="s">
        <v>2088</v>
      </c>
      <c r="C985">
        <v>1</v>
      </c>
      <c r="E985" t="s">
        <v>2077</v>
      </c>
    </row>
    <row r="986" spans="1:6" ht="12.75" customHeight="1" x14ac:dyDescent="0.35">
      <c r="A986" s="1" t="s">
        <v>2089</v>
      </c>
      <c r="B986" s="1" t="s">
        <v>2090</v>
      </c>
      <c r="C986">
        <v>1</v>
      </c>
      <c r="E986" t="s">
        <v>2077</v>
      </c>
    </row>
    <row r="987" spans="1:6" ht="12.75" customHeight="1" x14ac:dyDescent="0.35">
      <c r="A987" s="1" t="s">
        <v>2091</v>
      </c>
      <c r="B987" s="1" t="s">
        <v>2092</v>
      </c>
      <c r="C987">
        <v>1</v>
      </c>
      <c r="E987" t="s">
        <v>2077</v>
      </c>
    </row>
    <row r="988" spans="1:6" ht="12.75" customHeight="1" x14ac:dyDescent="0.35">
      <c r="A988" s="1" t="s">
        <v>2093</v>
      </c>
      <c r="B988" s="1" t="s">
        <v>2094</v>
      </c>
      <c r="C988">
        <v>1</v>
      </c>
      <c r="E988" t="s">
        <v>2077</v>
      </c>
    </row>
    <row r="989" spans="1:6" ht="12.75" customHeight="1" x14ac:dyDescent="0.35">
      <c r="A989" s="1" t="s">
        <v>2095</v>
      </c>
      <c r="B989" s="1" t="s">
        <v>324</v>
      </c>
      <c r="C989">
        <v>1</v>
      </c>
      <c r="E989" t="s">
        <v>2077</v>
      </c>
    </row>
    <row r="990" spans="1:6" ht="12.75" customHeight="1" x14ac:dyDescent="0.35">
      <c r="A990" s="1" t="s">
        <v>2096</v>
      </c>
      <c r="B990" s="1" t="s">
        <v>2097</v>
      </c>
      <c r="C990">
        <v>1</v>
      </c>
      <c r="E990" t="s">
        <v>2077</v>
      </c>
    </row>
    <row r="991" spans="1:6" ht="12.75" customHeight="1" x14ac:dyDescent="0.35">
      <c r="A991" s="1" t="s">
        <v>2098</v>
      </c>
      <c r="B991" s="1" t="s">
        <v>2099</v>
      </c>
      <c r="C991">
        <v>1</v>
      </c>
      <c r="E991" t="s">
        <v>2077</v>
      </c>
    </row>
    <row r="992" spans="1:6" ht="12.75" customHeight="1" x14ac:dyDescent="0.35">
      <c r="A992" s="1" t="s">
        <v>2100</v>
      </c>
      <c r="B992" s="1" t="s">
        <v>376</v>
      </c>
      <c r="C992">
        <v>1</v>
      </c>
      <c r="E992" t="s">
        <v>2077</v>
      </c>
    </row>
    <row r="993" spans="1:5" x14ac:dyDescent="0.35">
      <c r="A993" s="1" t="s">
        <v>2101</v>
      </c>
      <c r="B993" s="1" t="s">
        <v>412</v>
      </c>
      <c r="C993">
        <v>1</v>
      </c>
      <c r="E993" t="s">
        <v>2077</v>
      </c>
    </row>
    <row r="994" spans="1:5" x14ac:dyDescent="0.35">
      <c r="A994" s="1" t="s">
        <v>2102</v>
      </c>
      <c r="B994" s="1" t="s">
        <v>2103</v>
      </c>
      <c r="C994">
        <v>1</v>
      </c>
      <c r="E994" t="s">
        <v>2077</v>
      </c>
    </row>
    <row r="995" spans="1:5" x14ac:dyDescent="0.35">
      <c r="A995" s="1" t="s">
        <v>2104</v>
      </c>
      <c r="B995" s="1" t="s">
        <v>2105</v>
      </c>
      <c r="C995">
        <v>1</v>
      </c>
      <c r="E995" t="s">
        <v>2077</v>
      </c>
    </row>
    <row r="996" spans="1:5" x14ac:dyDescent="0.35">
      <c r="A996" s="1" t="s">
        <v>2106</v>
      </c>
      <c r="B996" s="1" t="s">
        <v>2107</v>
      </c>
      <c r="C996">
        <v>1</v>
      </c>
      <c r="E996" t="s">
        <v>2077</v>
      </c>
    </row>
    <row r="997" spans="1:5" x14ac:dyDescent="0.35">
      <c r="A997" s="1" t="s">
        <v>2108</v>
      </c>
      <c r="B997" s="1" t="s">
        <v>2109</v>
      </c>
      <c r="C997">
        <v>1</v>
      </c>
      <c r="E997" t="s">
        <v>2077</v>
      </c>
    </row>
    <row r="998" spans="1:5" x14ac:dyDescent="0.35">
      <c r="A998" s="1" t="s">
        <v>2110</v>
      </c>
      <c r="B998" s="1" t="s">
        <v>2111</v>
      </c>
      <c r="C998">
        <v>1</v>
      </c>
      <c r="E998" t="s">
        <v>2077</v>
      </c>
    </row>
    <row r="999" spans="1:5" x14ac:dyDescent="0.35">
      <c r="A999" s="1" t="s">
        <v>2112</v>
      </c>
      <c r="B999" s="1" t="s">
        <v>340</v>
      </c>
      <c r="C999">
        <v>1</v>
      </c>
      <c r="E999" t="s">
        <v>2077</v>
      </c>
    </row>
    <row r="1000" spans="1:5" x14ac:dyDescent="0.35">
      <c r="A1000" s="1" t="s">
        <v>2113</v>
      </c>
      <c r="B1000" s="1" t="s">
        <v>2114</v>
      </c>
      <c r="C1000">
        <v>1</v>
      </c>
      <c r="E1000" t="s">
        <v>2077</v>
      </c>
    </row>
    <row r="1001" spans="1:5" x14ac:dyDescent="0.35">
      <c r="A1001" s="1" t="s">
        <v>2115</v>
      </c>
      <c r="B1001" s="1" t="s">
        <v>2116</v>
      </c>
      <c r="C1001">
        <v>1</v>
      </c>
      <c r="E1001" t="s">
        <v>2077</v>
      </c>
    </row>
    <row r="1002" spans="1:5" x14ac:dyDescent="0.35">
      <c r="A1002" s="1" t="s">
        <v>2117</v>
      </c>
      <c r="B1002" s="1" t="s">
        <v>2118</v>
      </c>
      <c r="C1002">
        <v>1</v>
      </c>
      <c r="E1002" t="s">
        <v>2077</v>
      </c>
    </row>
    <row r="1004" spans="1:5" x14ac:dyDescent="0.35">
      <c r="A1004" s="1" t="s">
        <v>2119</v>
      </c>
      <c r="B1004" s="1" t="s">
        <v>2120</v>
      </c>
      <c r="C1004">
        <v>2</v>
      </c>
      <c r="E1004" t="s">
        <v>2077</v>
      </c>
    </row>
    <row r="1005" spans="1:5" x14ac:dyDescent="0.35">
      <c r="A1005" s="1" t="s">
        <v>2121</v>
      </c>
      <c r="B1005" s="1" t="s">
        <v>2122</v>
      </c>
      <c r="C1005">
        <v>2</v>
      </c>
      <c r="E1005" t="s">
        <v>2077</v>
      </c>
    </row>
    <row r="1006" spans="1:5" x14ac:dyDescent="0.35">
      <c r="A1006" s="1" t="s">
        <v>2123</v>
      </c>
      <c r="B1006" s="1" t="s">
        <v>2124</v>
      </c>
      <c r="C1006">
        <v>2</v>
      </c>
      <c r="E1006" t="s">
        <v>2077</v>
      </c>
    </row>
    <row r="1007" spans="1:5" x14ac:dyDescent="0.35">
      <c r="A1007" s="1" t="s">
        <v>2125</v>
      </c>
      <c r="B1007" s="1" t="s">
        <v>2126</v>
      </c>
      <c r="C1007">
        <v>2</v>
      </c>
      <c r="E1007" t="s">
        <v>2077</v>
      </c>
    </row>
    <row r="1008" spans="1:5" x14ac:dyDescent="0.35">
      <c r="A1008" s="1" t="s">
        <v>2127</v>
      </c>
      <c r="B1008" s="1" t="s">
        <v>2128</v>
      </c>
      <c r="C1008">
        <v>2</v>
      </c>
      <c r="E1008" t="s">
        <v>2077</v>
      </c>
    </row>
    <row r="1009" spans="1:5" x14ac:dyDescent="0.35">
      <c r="A1009" s="1" t="s">
        <v>2129</v>
      </c>
      <c r="B1009" s="1" t="s">
        <v>2130</v>
      </c>
      <c r="C1009">
        <v>2</v>
      </c>
      <c r="E1009" t="s">
        <v>2077</v>
      </c>
    </row>
    <row r="1010" spans="1:5" x14ac:dyDescent="0.35">
      <c r="A1010" s="1" t="s">
        <v>2131</v>
      </c>
      <c r="B1010" s="1" t="s">
        <v>2132</v>
      </c>
      <c r="C1010">
        <v>2</v>
      </c>
      <c r="E1010" t="s">
        <v>2077</v>
      </c>
    </row>
    <row r="1011" spans="1:5" x14ac:dyDescent="0.35">
      <c r="A1011" s="1" t="s">
        <v>2133</v>
      </c>
      <c r="B1011" s="1" t="s">
        <v>2134</v>
      </c>
      <c r="C1011">
        <v>2</v>
      </c>
      <c r="E1011" t="s">
        <v>2077</v>
      </c>
    </row>
    <row r="1012" spans="1:5" x14ac:dyDescent="0.35">
      <c r="A1012" s="1" t="s">
        <v>2135</v>
      </c>
      <c r="B1012" s="1" t="s">
        <v>2136</v>
      </c>
      <c r="C1012">
        <v>2</v>
      </c>
      <c r="E1012" t="s">
        <v>2077</v>
      </c>
    </row>
    <row r="1013" spans="1:5" x14ac:dyDescent="0.35">
      <c r="A1013" s="1" t="s">
        <v>2137</v>
      </c>
      <c r="B1013" s="1" t="s">
        <v>2138</v>
      </c>
      <c r="C1013">
        <v>2</v>
      </c>
      <c r="E1013" t="s">
        <v>2077</v>
      </c>
    </row>
    <row r="1014" spans="1:5" x14ac:dyDescent="0.35">
      <c r="A1014" s="1" t="s">
        <v>2139</v>
      </c>
      <c r="B1014" s="1" t="s">
        <v>2140</v>
      </c>
      <c r="C1014">
        <v>2</v>
      </c>
      <c r="E1014" t="s">
        <v>2077</v>
      </c>
    </row>
    <row r="1015" spans="1:5" x14ac:dyDescent="0.35">
      <c r="A1015" s="1" t="s">
        <v>2141</v>
      </c>
      <c r="B1015" s="1" t="s">
        <v>2142</v>
      </c>
      <c r="C1015">
        <v>2</v>
      </c>
      <c r="E1015" t="s">
        <v>2077</v>
      </c>
    </row>
    <row r="1016" spans="1:5" x14ac:dyDescent="0.35">
      <c r="A1016" s="1" t="s">
        <v>2143</v>
      </c>
      <c r="B1016" s="1" t="s">
        <v>2144</v>
      </c>
      <c r="C1016">
        <v>2</v>
      </c>
      <c r="E1016" t="s">
        <v>2077</v>
      </c>
    </row>
    <row r="1017" spans="1:5" x14ac:dyDescent="0.35">
      <c r="A1017" s="1" t="s">
        <v>2145</v>
      </c>
      <c r="B1017" s="1" t="s">
        <v>2146</v>
      </c>
      <c r="C1017">
        <v>2</v>
      </c>
      <c r="E1017" t="s">
        <v>2077</v>
      </c>
    </row>
    <row r="1018" spans="1:5" x14ac:dyDescent="0.35">
      <c r="A1018" s="1" t="s">
        <v>2147</v>
      </c>
      <c r="B1018" s="1" t="s">
        <v>2148</v>
      </c>
      <c r="C1018">
        <v>2</v>
      </c>
      <c r="E1018" t="s">
        <v>2077</v>
      </c>
    </row>
    <row r="1019" spans="1:5" x14ac:dyDescent="0.35">
      <c r="A1019" s="1" t="s">
        <v>2149</v>
      </c>
      <c r="B1019" s="1" t="s">
        <v>2150</v>
      </c>
      <c r="C1019">
        <v>2</v>
      </c>
      <c r="E1019" t="s">
        <v>2077</v>
      </c>
    </row>
    <row r="1020" spans="1:5" x14ac:dyDescent="0.35">
      <c r="A1020" s="1" t="s">
        <v>2151</v>
      </c>
      <c r="B1020" s="1" t="s">
        <v>2152</v>
      </c>
      <c r="C1020">
        <v>2</v>
      </c>
      <c r="E1020" t="s">
        <v>2077</v>
      </c>
    </row>
    <row r="1021" spans="1:5" x14ac:dyDescent="0.35">
      <c r="A1021" s="1" t="s">
        <v>2153</v>
      </c>
      <c r="B1021" s="1" t="s">
        <v>2154</v>
      </c>
      <c r="C1021">
        <v>2</v>
      </c>
      <c r="E1021" t="s">
        <v>2077</v>
      </c>
    </row>
    <row r="1022" spans="1:5" x14ac:dyDescent="0.35">
      <c r="A1022" s="1" t="s">
        <v>2155</v>
      </c>
      <c r="B1022" s="1" t="s">
        <v>2156</v>
      </c>
      <c r="C1022">
        <v>2</v>
      </c>
      <c r="E1022" t="s">
        <v>2077</v>
      </c>
    </row>
    <row r="1023" spans="1:5" x14ac:dyDescent="0.35">
      <c r="A1023" s="1" t="s">
        <v>2157</v>
      </c>
      <c r="B1023" s="1" t="s">
        <v>2158</v>
      </c>
      <c r="C1023">
        <v>2</v>
      </c>
      <c r="E1023" t="s">
        <v>2077</v>
      </c>
    </row>
    <row r="1024" spans="1:5" x14ac:dyDescent="0.35">
      <c r="A1024" s="1" t="s">
        <v>2159</v>
      </c>
      <c r="B1024" s="1" t="s">
        <v>2160</v>
      </c>
      <c r="C1024">
        <v>2</v>
      </c>
      <c r="E1024" t="s">
        <v>2077</v>
      </c>
    </row>
    <row r="1025" spans="1:5" x14ac:dyDescent="0.35">
      <c r="A1025" s="1" t="s">
        <v>2161</v>
      </c>
      <c r="B1025" s="1" t="s">
        <v>2162</v>
      </c>
      <c r="C1025">
        <v>2</v>
      </c>
      <c r="E1025" t="s">
        <v>2077</v>
      </c>
    </row>
    <row r="1026" spans="1:5" x14ac:dyDescent="0.35">
      <c r="A1026" s="1" t="s">
        <v>2163</v>
      </c>
      <c r="B1026" s="1" t="s">
        <v>2164</v>
      </c>
      <c r="C1026">
        <v>2</v>
      </c>
      <c r="E1026" t="s">
        <v>2077</v>
      </c>
    </row>
    <row r="1027" spans="1:5" x14ac:dyDescent="0.35">
      <c r="A1027" s="1" t="s">
        <v>2165</v>
      </c>
      <c r="B1027" s="1" t="s">
        <v>2166</v>
      </c>
      <c r="C1027">
        <v>2</v>
      </c>
      <c r="E1027" t="s">
        <v>2077</v>
      </c>
    </row>
    <row r="1030" spans="1:5" x14ac:dyDescent="0.35">
      <c r="A1030" s="50" t="s">
        <v>2167</v>
      </c>
      <c r="B1030" s="50" t="s">
        <v>2168</v>
      </c>
      <c r="C1030">
        <v>1</v>
      </c>
      <c r="E1030" s="1" t="s">
        <v>2169</v>
      </c>
    </row>
    <row r="1031" spans="1:5" x14ac:dyDescent="0.35">
      <c r="A1031" s="50" t="s">
        <v>2170</v>
      </c>
      <c r="B1031" s="50" t="s">
        <v>2171</v>
      </c>
      <c r="C1031">
        <v>1</v>
      </c>
      <c r="E1031" s="1" t="s">
        <v>2169</v>
      </c>
    </row>
    <row r="1032" spans="1:5" x14ac:dyDescent="0.35">
      <c r="A1032" s="50" t="s">
        <v>2172</v>
      </c>
      <c r="B1032" s="50" t="s">
        <v>2173</v>
      </c>
      <c r="C1032">
        <v>1</v>
      </c>
      <c r="E1032" s="1" t="s">
        <v>2169</v>
      </c>
    </row>
    <row r="1033" spans="1:5" x14ac:dyDescent="0.35">
      <c r="A1033" s="50" t="s">
        <v>2174</v>
      </c>
      <c r="B1033" s="50" t="s">
        <v>2175</v>
      </c>
      <c r="C1033">
        <v>1</v>
      </c>
      <c r="E1033" s="1" t="s">
        <v>2169</v>
      </c>
    </row>
    <row r="1034" spans="1:5" x14ac:dyDescent="0.35">
      <c r="A1034" s="50" t="s">
        <v>2176</v>
      </c>
      <c r="B1034" s="51" t="s">
        <v>1989</v>
      </c>
      <c r="C1034">
        <v>1</v>
      </c>
      <c r="E1034" s="1" t="s">
        <v>2169</v>
      </c>
    </row>
    <row r="1035" spans="1:5" x14ac:dyDescent="0.35">
      <c r="A1035" s="50" t="s">
        <v>2177</v>
      </c>
      <c r="B1035" s="50" t="s">
        <v>2178</v>
      </c>
      <c r="C1035">
        <v>1</v>
      </c>
      <c r="E1035" s="1" t="s">
        <v>2169</v>
      </c>
    </row>
    <row r="1036" spans="1:5" x14ac:dyDescent="0.35">
      <c r="A1036" s="50" t="s">
        <v>2179</v>
      </c>
      <c r="B1036" s="51" t="s">
        <v>2180</v>
      </c>
      <c r="C1036">
        <v>1</v>
      </c>
      <c r="E1036" s="1" t="s">
        <v>2169</v>
      </c>
    </row>
    <row r="1037" spans="1:5" x14ac:dyDescent="0.35">
      <c r="A1037" s="50" t="s">
        <v>2181</v>
      </c>
      <c r="B1037" s="50" t="s">
        <v>2182</v>
      </c>
      <c r="C1037">
        <v>1</v>
      </c>
      <c r="E1037" s="1" t="s">
        <v>2169</v>
      </c>
    </row>
    <row r="1038" spans="1:5" x14ac:dyDescent="0.35">
      <c r="A1038" s="50" t="s">
        <v>2183</v>
      </c>
      <c r="B1038" s="50" t="s">
        <v>2184</v>
      </c>
      <c r="C1038">
        <v>1</v>
      </c>
      <c r="E1038" s="1" t="s">
        <v>2169</v>
      </c>
    </row>
    <row r="1039" spans="1:5" x14ac:dyDescent="0.35">
      <c r="A1039" s="50" t="s">
        <v>2185</v>
      </c>
      <c r="B1039" s="50" t="s">
        <v>2186</v>
      </c>
      <c r="C1039">
        <v>1</v>
      </c>
      <c r="E1039" s="1" t="s">
        <v>2169</v>
      </c>
    </row>
    <row r="1040" spans="1:5" x14ac:dyDescent="0.35">
      <c r="A1040" s="50" t="s">
        <v>2187</v>
      </c>
      <c r="B1040" s="50" t="s">
        <v>2188</v>
      </c>
      <c r="C1040">
        <v>1</v>
      </c>
      <c r="E1040" s="1" t="s">
        <v>2169</v>
      </c>
    </row>
    <row r="1041" spans="1:5" x14ac:dyDescent="0.35">
      <c r="A1041" s="50" t="s">
        <v>2189</v>
      </c>
      <c r="B1041" s="51" t="s">
        <v>2190</v>
      </c>
      <c r="C1041">
        <v>1</v>
      </c>
      <c r="E1041" s="1" t="s">
        <v>2169</v>
      </c>
    </row>
    <row r="1042" spans="1:5" x14ac:dyDescent="0.35">
      <c r="A1042" s="50" t="s">
        <v>2191</v>
      </c>
      <c r="B1042" s="50" t="s">
        <v>2192</v>
      </c>
      <c r="C1042">
        <v>1</v>
      </c>
      <c r="E1042" s="1" t="s">
        <v>2169</v>
      </c>
    </row>
    <row r="1043" spans="1:5" x14ac:dyDescent="0.35">
      <c r="A1043" s="50" t="s">
        <v>2193</v>
      </c>
      <c r="B1043" s="50" t="s">
        <v>2194</v>
      </c>
      <c r="C1043">
        <v>1</v>
      </c>
      <c r="E1043" s="1" t="s">
        <v>2169</v>
      </c>
    </row>
    <row r="1044" spans="1:5" x14ac:dyDescent="0.35">
      <c r="A1044" s="50" t="s">
        <v>2195</v>
      </c>
      <c r="B1044" s="50" t="s">
        <v>2196</v>
      </c>
      <c r="C1044">
        <v>1</v>
      </c>
      <c r="E1044" s="1" t="s">
        <v>2169</v>
      </c>
    </row>
    <row r="1045" spans="1:5" x14ac:dyDescent="0.35">
      <c r="A1045" s="50" t="s">
        <v>2197</v>
      </c>
      <c r="B1045" s="50" t="s">
        <v>2198</v>
      </c>
      <c r="C1045">
        <v>1</v>
      </c>
      <c r="E1045" s="1" t="s">
        <v>2169</v>
      </c>
    </row>
    <row r="1046" spans="1:5" x14ac:dyDescent="0.35">
      <c r="A1046" s="50" t="s">
        <v>2199</v>
      </c>
      <c r="B1046" s="51" t="s">
        <v>2200</v>
      </c>
      <c r="C1046">
        <v>1</v>
      </c>
      <c r="E1046" s="1" t="s">
        <v>2169</v>
      </c>
    </row>
    <row r="1047" spans="1:5" x14ac:dyDescent="0.35">
      <c r="A1047" s="50" t="s">
        <v>2201</v>
      </c>
      <c r="B1047" s="51" t="s">
        <v>2202</v>
      </c>
      <c r="C1047">
        <v>1</v>
      </c>
      <c r="E1047" s="1" t="s">
        <v>2169</v>
      </c>
    </row>
    <row r="1048" spans="1:5" x14ac:dyDescent="0.35">
      <c r="A1048" s="50" t="s">
        <v>2203</v>
      </c>
      <c r="B1048" s="51" t="s">
        <v>2204</v>
      </c>
      <c r="C1048">
        <v>1</v>
      </c>
      <c r="E1048" s="1" t="s">
        <v>2169</v>
      </c>
    </row>
    <row r="1049" spans="1:5" x14ac:dyDescent="0.35">
      <c r="A1049" s="50" t="s">
        <v>2205</v>
      </c>
      <c r="B1049" s="50" t="s">
        <v>2206</v>
      </c>
      <c r="C1049">
        <v>1</v>
      </c>
      <c r="E1049" s="1" t="s">
        <v>2169</v>
      </c>
    </row>
    <row r="1050" spans="1:5" x14ac:dyDescent="0.35">
      <c r="A1050" s="50" t="s">
        <v>2207</v>
      </c>
      <c r="B1050" s="51" t="s">
        <v>2208</v>
      </c>
      <c r="C1050">
        <v>1</v>
      </c>
      <c r="E1050" s="1" t="s">
        <v>2169</v>
      </c>
    </row>
    <row r="1051" spans="1:5" x14ac:dyDescent="0.35">
      <c r="A1051" s="50" t="s">
        <v>2209</v>
      </c>
      <c r="B1051" s="51" t="s">
        <v>2210</v>
      </c>
      <c r="C1051">
        <v>1</v>
      </c>
      <c r="E1051" s="1" t="s">
        <v>2169</v>
      </c>
    </row>
    <row r="1052" spans="1:5" x14ac:dyDescent="0.35">
      <c r="A1052" s="50" t="s">
        <v>2211</v>
      </c>
      <c r="B1052" s="50" t="s">
        <v>2212</v>
      </c>
      <c r="C1052">
        <v>1</v>
      </c>
      <c r="E1052" s="1" t="s">
        <v>2169</v>
      </c>
    </row>
    <row r="1053" spans="1:5" x14ac:dyDescent="0.35">
      <c r="A1053" s="50" t="s">
        <v>2213</v>
      </c>
      <c r="B1053" s="51" t="s">
        <v>2214</v>
      </c>
      <c r="C1053">
        <v>1</v>
      </c>
      <c r="E1053" s="1" t="s">
        <v>2169</v>
      </c>
    </row>
    <row r="1055" spans="1:5" x14ac:dyDescent="0.35">
      <c r="A1055" s="1" t="s">
        <v>2215</v>
      </c>
      <c r="B1055" s="50" t="s">
        <v>1855</v>
      </c>
      <c r="C1055">
        <v>2</v>
      </c>
      <c r="E1055" s="1" t="s">
        <v>2169</v>
      </c>
    </row>
    <row r="1057" spans="1:5" x14ac:dyDescent="0.35">
      <c r="A1057" s="52" t="s">
        <v>2216</v>
      </c>
      <c r="B1057" s="52" t="s">
        <v>2217</v>
      </c>
      <c r="C1057">
        <v>1</v>
      </c>
      <c r="D1057" s="52"/>
      <c r="E1057" s="1" t="s">
        <v>2218</v>
      </c>
    </row>
    <row r="1058" spans="1:5" x14ac:dyDescent="0.35">
      <c r="A1058" s="52" t="s">
        <v>2219</v>
      </c>
      <c r="B1058" s="52" t="s">
        <v>2220</v>
      </c>
      <c r="C1058">
        <v>1</v>
      </c>
      <c r="D1058" s="52"/>
      <c r="E1058" s="1" t="s">
        <v>2218</v>
      </c>
    </row>
    <row r="1059" spans="1:5" x14ac:dyDescent="0.35">
      <c r="A1059" s="52" t="s">
        <v>2221</v>
      </c>
      <c r="B1059" s="52" t="s">
        <v>1833</v>
      </c>
      <c r="C1059">
        <v>1</v>
      </c>
      <c r="D1059" s="52"/>
      <c r="E1059" s="1" t="s">
        <v>2218</v>
      </c>
    </row>
    <row r="1060" spans="1:5" x14ac:dyDescent="0.35">
      <c r="A1060" s="52" t="s">
        <v>2222</v>
      </c>
      <c r="B1060" s="52" t="s">
        <v>2223</v>
      </c>
      <c r="C1060">
        <v>1</v>
      </c>
      <c r="D1060" s="52"/>
      <c r="E1060" s="1" t="s">
        <v>2218</v>
      </c>
    </row>
    <row r="1061" spans="1:5" x14ac:dyDescent="0.35">
      <c r="A1061" s="52" t="s">
        <v>2224</v>
      </c>
      <c r="B1061" s="52" t="s">
        <v>2225</v>
      </c>
      <c r="C1061">
        <v>1</v>
      </c>
      <c r="D1061" s="52"/>
      <c r="E1061" s="1" t="s">
        <v>2218</v>
      </c>
    </row>
    <row r="1062" spans="1:5" x14ac:dyDescent="0.35">
      <c r="A1062" s="52" t="s">
        <v>2226</v>
      </c>
      <c r="B1062" s="52" t="s">
        <v>2227</v>
      </c>
      <c r="C1062">
        <v>1</v>
      </c>
      <c r="D1062" s="52"/>
      <c r="E1062" s="1" t="s">
        <v>2218</v>
      </c>
    </row>
    <row r="1063" spans="1:5" x14ac:dyDescent="0.35">
      <c r="A1063" s="52" t="s">
        <v>2228</v>
      </c>
      <c r="B1063" s="52" t="s">
        <v>2229</v>
      </c>
      <c r="C1063">
        <v>1</v>
      </c>
      <c r="D1063" s="52"/>
      <c r="E1063" s="1" t="s">
        <v>2218</v>
      </c>
    </row>
    <row r="1064" spans="1:5" x14ac:dyDescent="0.35">
      <c r="A1064" s="52" t="s">
        <v>2230</v>
      </c>
      <c r="B1064" s="52" t="s">
        <v>2231</v>
      </c>
      <c r="C1064">
        <v>1</v>
      </c>
      <c r="D1064" s="52"/>
      <c r="E1064" s="1" t="s">
        <v>2218</v>
      </c>
    </row>
    <row r="1065" spans="1:5" x14ac:dyDescent="0.35">
      <c r="A1065" s="52" t="s">
        <v>2232</v>
      </c>
      <c r="B1065" s="52" t="s">
        <v>2233</v>
      </c>
      <c r="C1065">
        <v>1</v>
      </c>
      <c r="D1065" s="52"/>
      <c r="E1065" s="1" t="s">
        <v>2218</v>
      </c>
    </row>
    <row r="1066" spans="1:5" x14ac:dyDescent="0.35">
      <c r="A1066" s="52" t="s">
        <v>2234</v>
      </c>
      <c r="B1066" s="52" t="s">
        <v>2235</v>
      </c>
      <c r="C1066">
        <v>1</v>
      </c>
      <c r="D1066" s="52"/>
      <c r="E1066" s="1" t="s">
        <v>2218</v>
      </c>
    </row>
    <row r="1067" spans="1:5" x14ac:dyDescent="0.35">
      <c r="A1067" s="52" t="s">
        <v>2236</v>
      </c>
      <c r="B1067" s="52" t="s">
        <v>2237</v>
      </c>
      <c r="C1067">
        <v>1</v>
      </c>
      <c r="D1067" s="52"/>
      <c r="E1067" s="1" t="s">
        <v>2218</v>
      </c>
    </row>
    <row r="1068" spans="1:5" x14ac:dyDescent="0.35">
      <c r="A1068" s="52" t="s">
        <v>2238</v>
      </c>
      <c r="B1068" s="52" t="s">
        <v>1647</v>
      </c>
      <c r="C1068">
        <v>1</v>
      </c>
      <c r="D1068" s="52"/>
      <c r="E1068" s="1" t="s">
        <v>2218</v>
      </c>
    </row>
    <row r="1069" spans="1:5" x14ac:dyDescent="0.35">
      <c r="A1069" s="52" t="s">
        <v>2239</v>
      </c>
      <c r="B1069" s="52" t="s">
        <v>2240</v>
      </c>
      <c r="C1069">
        <v>1</v>
      </c>
      <c r="D1069" s="52"/>
      <c r="E1069" s="1" t="s">
        <v>2218</v>
      </c>
    </row>
    <row r="1070" spans="1:5" x14ac:dyDescent="0.35">
      <c r="A1070" s="52" t="s">
        <v>2241</v>
      </c>
      <c r="B1070" s="52" t="s">
        <v>2242</v>
      </c>
      <c r="C1070">
        <v>1</v>
      </c>
      <c r="D1070" s="52"/>
      <c r="E1070" s="1" t="s">
        <v>2218</v>
      </c>
    </row>
    <row r="1071" spans="1:5" x14ac:dyDescent="0.35">
      <c r="A1071" s="52" t="s">
        <v>2243</v>
      </c>
      <c r="B1071" t="s">
        <v>2244</v>
      </c>
      <c r="C1071">
        <v>1</v>
      </c>
      <c r="D1071" s="52"/>
      <c r="E1071" s="1" t="s">
        <v>2218</v>
      </c>
    </row>
    <row r="1072" spans="1:5" x14ac:dyDescent="0.35">
      <c r="A1072" s="52" t="s">
        <v>2245</v>
      </c>
      <c r="B1072" t="s">
        <v>2246</v>
      </c>
      <c r="C1072">
        <v>1</v>
      </c>
      <c r="D1072" s="52"/>
      <c r="E1072" s="1" t="s">
        <v>2218</v>
      </c>
    </row>
    <row r="1073" spans="1:5" x14ac:dyDescent="0.35">
      <c r="A1073" s="52" t="s">
        <v>2247</v>
      </c>
      <c r="B1073" t="s">
        <v>2248</v>
      </c>
      <c r="C1073">
        <v>1</v>
      </c>
      <c r="D1073" s="52"/>
      <c r="E1073" s="1" t="s">
        <v>2218</v>
      </c>
    </row>
    <row r="1074" spans="1:5" x14ac:dyDescent="0.35">
      <c r="A1074" s="52" t="s">
        <v>2249</v>
      </c>
      <c r="B1074" t="s">
        <v>2250</v>
      </c>
      <c r="C1074">
        <v>1</v>
      </c>
      <c r="D1074" s="52"/>
      <c r="E1074" s="1" t="s">
        <v>2218</v>
      </c>
    </row>
    <row r="1075" spans="1:5" x14ac:dyDescent="0.35">
      <c r="A1075" s="52" t="s">
        <v>2251</v>
      </c>
      <c r="B1075" t="s">
        <v>2252</v>
      </c>
      <c r="C1075">
        <v>1</v>
      </c>
      <c r="D1075" s="52"/>
      <c r="E1075" s="1" t="s">
        <v>2218</v>
      </c>
    </row>
    <row r="1076" spans="1:5" x14ac:dyDescent="0.35">
      <c r="A1076" s="52" t="s">
        <v>2253</v>
      </c>
      <c r="B1076" t="s">
        <v>2254</v>
      </c>
      <c r="C1076">
        <v>1</v>
      </c>
      <c r="D1076" s="52"/>
      <c r="E1076" s="1" t="s">
        <v>2218</v>
      </c>
    </row>
    <row r="1077" spans="1:5" x14ac:dyDescent="0.35">
      <c r="A1077" s="52" t="s">
        <v>2255</v>
      </c>
      <c r="B1077" t="s">
        <v>2256</v>
      </c>
      <c r="C1077">
        <v>1</v>
      </c>
      <c r="D1077" s="52"/>
      <c r="E1077" s="1" t="s">
        <v>2218</v>
      </c>
    </row>
    <row r="1078" spans="1:5" x14ac:dyDescent="0.35">
      <c r="A1078" s="52" t="s">
        <v>2257</v>
      </c>
      <c r="B1078" t="s">
        <v>2258</v>
      </c>
      <c r="C1078">
        <v>1</v>
      </c>
      <c r="D1078" s="52"/>
      <c r="E1078" s="1" t="s">
        <v>2218</v>
      </c>
    </row>
    <row r="1079" spans="1:5" x14ac:dyDescent="0.35">
      <c r="A1079" s="52" t="s">
        <v>2259</v>
      </c>
      <c r="B1079" t="s">
        <v>2260</v>
      </c>
      <c r="C1079">
        <v>1</v>
      </c>
      <c r="D1079" s="52"/>
      <c r="E1079" s="1" t="s">
        <v>2218</v>
      </c>
    </row>
    <row r="1080" spans="1:5" x14ac:dyDescent="0.35">
      <c r="A1080" s="52" t="s">
        <v>2261</v>
      </c>
      <c r="B1080" t="s">
        <v>2262</v>
      </c>
      <c r="C1080">
        <v>1</v>
      </c>
      <c r="D1080" s="52"/>
      <c r="E1080" s="1" t="s">
        <v>2218</v>
      </c>
    </row>
    <row r="1081" spans="1:5" x14ac:dyDescent="0.35">
      <c r="A1081" s="52" t="s">
        <v>2263</v>
      </c>
      <c r="B1081" t="s">
        <v>2264</v>
      </c>
      <c r="C1081">
        <v>1</v>
      </c>
      <c r="D1081" s="52"/>
      <c r="E1081" s="1" t="s">
        <v>2218</v>
      </c>
    </row>
    <row r="1082" spans="1:5" x14ac:dyDescent="0.35">
      <c r="A1082" s="52" t="s">
        <v>2265</v>
      </c>
      <c r="B1082" t="s">
        <v>2266</v>
      </c>
      <c r="C1082">
        <v>1</v>
      </c>
      <c r="D1082" s="52"/>
      <c r="E1082" s="1" t="s">
        <v>2218</v>
      </c>
    </row>
    <row r="1083" spans="1:5" x14ac:dyDescent="0.35">
      <c r="A1083" s="52" t="s">
        <v>2267</v>
      </c>
      <c r="B1083" t="s">
        <v>2268</v>
      </c>
      <c r="C1083">
        <v>1</v>
      </c>
      <c r="D1083" s="52"/>
      <c r="E1083" s="1" t="s">
        <v>2218</v>
      </c>
    </row>
    <row r="1084" spans="1:5" x14ac:dyDescent="0.35">
      <c r="A1084" s="52" t="s">
        <v>2269</v>
      </c>
      <c r="B1084" t="s">
        <v>2270</v>
      </c>
      <c r="C1084">
        <v>1</v>
      </c>
      <c r="D1084" s="52"/>
      <c r="E1084" s="1" t="s">
        <v>2218</v>
      </c>
    </row>
    <row r="1085" spans="1:5" x14ac:dyDescent="0.35">
      <c r="A1085" s="52" t="s">
        <v>2271</v>
      </c>
      <c r="B1085" t="s">
        <v>2272</v>
      </c>
      <c r="C1085">
        <v>1</v>
      </c>
      <c r="D1085" s="52"/>
      <c r="E1085" s="1" t="s">
        <v>2218</v>
      </c>
    </row>
    <row r="1086" spans="1:5" x14ac:dyDescent="0.35">
      <c r="A1086" s="52" t="s">
        <v>2273</v>
      </c>
      <c r="B1086" t="s">
        <v>2274</v>
      </c>
      <c r="C1086">
        <v>1</v>
      </c>
      <c r="D1086" s="52"/>
      <c r="E1086" s="1" t="s">
        <v>2218</v>
      </c>
    </row>
    <row r="1087" spans="1:5" x14ac:dyDescent="0.35">
      <c r="A1087" s="52" t="s">
        <v>2275</v>
      </c>
      <c r="B1087" t="s">
        <v>2276</v>
      </c>
      <c r="C1087">
        <v>1</v>
      </c>
      <c r="D1087" s="52"/>
      <c r="E1087" s="1" t="s">
        <v>2218</v>
      </c>
    </row>
    <row r="1088" spans="1:5" x14ac:dyDescent="0.35">
      <c r="A1088" s="52" t="s">
        <v>2277</v>
      </c>
      <c r="B1088" t="s">
        <v>2278</v>
      </c>
      <c r="C1088">
        <v>1</v>
      </c>
      <c r="D1088" s="52"/>
      <c r="E1088" s="1" t="s">
        <v>2218</v>
      </c>
    </row>
    <row r="1089" spans="1:5" x14ac:dyDescent="0.35">
      <c r="A1089" s="52" t="s">
        <v>2279</v>
      </c>
      <c r="B1089" t="s">
        <v>2280</v>
      </c>
      <c r="C1089">
        <v>1</v>
      </c>
      <c r="D1089" s="52"/>
      <c r="E1089" s="1" t="s">
        <v>2218</v>
      </c>
    </row>
    <row r="1090" spans="1:5" x14ac:dyDescent="0.35">
      <c r="A1090" s="52" t="s">
        <v>2281</v>
      </c>
      <c r="B1090" t="s">
        <v>2282</v>
      </c>
      <c r="C1090">
        <v>1</v>
      </c>
      <c r="D1090" s="52"/>
      <c r="E1090" s="1" t="s">
        <v>2218</v>
      </c>
    </row>
    <row r="1091" spans="1:5" x14ac:dyDescent="0.35">
      <c r="A1091" s="52" t="s">
        <v>2283</v>
      </c>
      <c r="B1091" t="s">
        <v>2284</v>
      </c>
      <c r="C1091">
        <v>1</v>
      </c>
      <c r="D1091" s="52"/>
      <c r="E1091" s="1" t="s">
        <v>2218</v>
      </c>
    </row>
    <row r="1092" spans="1:5" x14ac:dyDescent="0.35">
      <c r="A1092" s="52" t="s">
        <v>2285</v>
      </c>
      <c r="B1092" t="s">
        <v>2286</v>
      </c>
      <c r="C1092">
        <v>1</v>
      </c>
      <c r="D1092" s="52"/>
      <c r="E1092" s="1" t="s">
        <v>2218</v>
      </c>
    </row>
    <row r="1093" spans="1:5" x14ac:dyDescent="0.35">
      <c r="A1093" s="52" t="s">
        <v>2287</v>
      </c>
      <c r="B1093" t="s">
        <v>2288</v>
      </c>
      <c r="C1093">
        <v>1</v>
      </c>
      <c r="D1093" s="52"/>
      <c r="E1093" s="1" t="s">
        <v>2218</v>
      </c>
    </row>
    <row r="1094" spans="1:5" x14ac:dyDescent="0.35">
      <c r="A1094" s="52" t="s">
        <v>2289</v>
      </c>
      <c r="B1094" t="s">
        <v>2290</v>
      </c>
      <c r="C1094">
        <v>1</v>
      </c>
      <c r="D1094" s="52"/>
      <c r="E1094" s="1" t="s">
        <v>2218</v>
      </c>
    </row>
    <row r="1095" spans="1:5" x14ac:dyDescent="0.35">
      <c r="A1095" s="52" t="s">
        <v>2291</v>
      </c>
      <c r="B1095" t="s">
        <v>2292</v>
      </c>
      <c r="C1095">
        <v>1</v>
      </c>
      <c r="D1095" s="52"/>
      <c r="E1095" s="1" t="s">
        <v>2218</v>
      </c>
    </row>
    <row r="1096" spans="1:5" x14ac:dyDescent="0.35">
      <c r="A1096" s="52" t="s">
        <v>2293</v>
      </c>
      <c r="B1096" t="s">
        <v>2294</v>
      </c>
      <c r="C1096">
        <v>1</v>
      </c>
      <c r="D1096" s="52"/>
      <c r="E1096" s="1" t="s">
        <v>2218</v>
      </c>
    </row>
    <row r="1097" spans="1:5" x14ac:dyDescent="0.35">
      <c r="A1097" s="52" t="s">
        <v>2295</v>
      </c>
      <c r="B1097" t="s">
        <v>2296</v>
      </c>
      <c r="C1097">
        <v>1</v>
      </c>
      <c r="D1097" s="52"/>
      <c r="E1097" s="1" t="s">
        <v>2218</v>
      </c>
    </row>
    <row r="1098" spans="1:5" x14ac:dyDescent="0.35">
      <c r="A1098" s="52" t="s">
        <v>2297</v>
      </c>
      <c r="B1098" t="s">
        <v>2298</v>
      </c>
      <c r="C1098">
        <v>1</v>
      </c>
      <c r="D1098" s="52"/>
      <c r="E1098" s="1" t="s">
        <v>2218</v>
      </c>
    </row>
    <row r="1099" spans="1:5" x14ac:dyDescent="0.35">
      <c r="A1099" s="52" t="s">
        <v>2299</v>
      </c>
      <c r="B1099" t="s">
        <v>2300</v>
      </c>
      <c r="C1099">
        <v>1</v>
      </c>
      <c r="D1099" s="52"/>
      <c r="E1099" s="1" t="s">
        <v>2218</v>
      </c>
    </row>
    <row r="1100" spans="1:5" x14ac:dyDescent="0.35">
      <c r="A1100" s="52" t="s">
        <v>2301</v>
      </c>
      <c r="B1100" t="s">
        <v>2302</v>
      </c>
      <c r="C1100">
        <v>1</v>
      </c>
      <c r="D1100" s="52"/>
      <c r="E1100" s="1" t="s">
        <v>2218</v>
      </c>
    </row>
    <row r="1101" spans="1:5" x14ac:dyDescent="0.35">
      <c r="A1101" s="52" t="s">
        <v>2303</v>
      </c>
      <c r="B1101" t="s">
        <v>2304</v>
      </c>
      <c r="C1101">
        <v>1</v>
      </c>
      <c r="D1101" s="52"/>
      <c r="E1101" s="1" t="s">
        <v>2218</v>
      </c>
    </row>
    <row r="1102" spans="1:5" x14ac:dyDescent="0.35">
      <c r="A1102" s="52" t="s">
        <v>2305</v>
      </c>
      <c r="B1102" t="s">
        <v>2306</v>
      </c>
      <c r="C1102">
        <v>1</v>
      </c>
      <c r="D1102" s="52"/>
      <c r="E1102" s="1" t="s">
        <v>2218</v>
      </c>
    </row>
    <row r="1103" spans="1:5" x14ac:dyDescent="0.35">
      <c r="A1103" s="52" t="s">
        <v>2307</v>
      </c>
      <c r="B1103" t="s">
        <v>2308</v>
      </c>
      <c r="C1103">
        <v>1</v>
      </c>
      <c r="D1103" s="52"/>
      <c r="E1103" s="1" t="s">
        <v>2218</v>
      </c>
    </row>
    <row r="1104" spans="1:5" x14ac:dyDescent="0.35">
      <c r="A1104" s="52" t="s">
        <v>2309</v>
      </c>
      <c r="B1104" t="s">
        <v>2310</v>
      </c>
      <c r="C1104">
        <v>1</v>
      </c>
      <c r="D1104" s="52"/>
      <c r="E1104" s="1" t="s">
        <v>2218</v>
      </c>
    </row>
    <row r="1106" spans="1:5" x14ac:dyDescent="0.35">
      <c r="A1106" s="1" t="s">
        <v>2311</v>
      </c>
      <c r="B1106" s="1" t="s">
        <v>1855</v>
      </c>
      <c r="C1106">
        <v>2</v>
      </c>
      <c r="E1106" s="1" t="s">
        <v>2218</v>
      </c>
    </row>
    <row r="1108" spans="1:5" x14ac:dyDescent="0.35">
      <c r="A1108" s="1" t="s">
        <v>2312</v>
      </c>
      <c r="B1108" s="45" t="s">
        <v>2313</v>
      </c>
      <c r="C1108">
        <v>1</v>
      </c>
      <c r="E1108" s="1" t="s">
        <v>2314</v>
      </c>
    </row>
    <row r="1109" spans="1:5" x14ac:dyDescent="0.35">
      <c r="A1109" s="1" t="s">
        <v>2315</v>
      </c>
      <c r="B1109" s="45" t="s">
        <v>2316</v>
      </c>
      <c r="C1109">
        <v>1</v>
      </c>
      <c r="E1109" s="1" t="s">
        <v>2314</v>
      </c>
    </row>
    <row r="1110" spans="1:5" x14ac:dyDescent="0.35">
      <c r="A1110" s="1" t="s">
        <v>2317</v>
      </c>
      <c r="B1110" s="45" t="s">
        <v>2318</v>
      </c>
      <c r="C1110">
        <v>1</v>
      </c>
      <c r="E1110" s="1" t="s">
        <v>2314</v>
      </c>
    </row>
    <row r="1111" spans="1:5" x14ac:dyDescent="0.35">
      <c r="A1111" s="1" t="s">
        <v>2319</v>
      </c>
      <c r="B1111" s="45" t="s">
        <v>2320</v>
      </c>
      <c r="C1111">
        <v>1</v>
      </c>
      <c r="E1111" s="1" t="s">
        <v>2314</v>
      </c>
    </row>
    <row r="1112" spans="1:5" x14ac:dyDescent="0.35">
      <c r="A1112" s="1" t="s">
        <v>2321</v>
      </c>
      <c r="B1112" s="45" t="s">
        <v>2322</v>
      </c>
      <c r="C1112">
        <v>1</v>
      </c>
      <c r="E1112" s="1" t="s">
        <v>2314</v>
      </c>
    </row>
    <row r="1113" spans="1:5" x14ac:dyDescent="0.35">
      <c r="A1113" s="1" t="s">
        <v>2323</v>
      </c>
      <c r="B1113" s="45" t="s">
        <v>2324</v>
      </c>
      <c r="C1113">
        <v>1</v>
      </c>
      <c r="E1113" s="1" t="s">
        <v>2314</v>
      </c>
    </row>
    <row r="1114" spans="1:5" x14ac:dyDescent="0.35">
      <c r="A1114" s="1" t="s">
        <v>2325</v>
      </c>
      <c r="B1114" s="45" t="s">
        <v>2326</v>
      </c>
      <c r="C1114">
        <v>1</v>
      </c>
      <c r="E1114" s="1" t="s">
        <v>2314</v>
      </c>
    </row>
    <row r="1115" spans="1:5" x14ac:dyDescent="0.35">
      <c r="A1115" s="1" t="s">
        <v>2327</v>
      </c>
      <c r="B1115" s="45" t="s">
        <v>2328</v>
      </c>
      <c r="C1115">
        <v>1</v>
      </c>
      <c r="E1115" s="1" t="s">
        <v>2314</v>
      </c>
    </row>
    <row r="1116" spans="1:5" x14ac:dyDescent="0.35">
      <c r="A1116" s="1" t="s">
        <v>2329</v>
      </c>
      <c r="B1116" s="45" t="s">
        <v>2330</v>
      </c>
      <c r="C1116">
        <v>1</v>
      </c>
      <c r="E1116" s="1" t="s">
        <v>2314</v>
      </c>
    </row>
    <row r="1117" spans="1:5" x14ac:dyDescent="0.35">
      <c r="A1117" s="1" t="s">
        <v>2331</v>
      </c>
      <c r="B1117" s="45" t="s">
        <v>2332</v>
      </c>
      <c r="C1117">
        <v>1</v>
      </c>
      <c r="E1117" s="1" t="s">
        <v>2314</v>
      </c>
    </row>
    <row r="1118" spans="1:5" x14ac:dyDescent="0.35">
      <c r="A1118" s="1" t="s">
        <v>2333</v>
      </c>
      <c r="B1118" s="45" t="s">
        <v>526</v>
      </c>
      <c r="C1118">
        <v>1</v>
      </c>
      <c r="E1118" s="1" t="s">
        <v>2314</v>
      </c>
    </row>
    <row r="1119" spans="1:5" x14ac:dyDescent="0.35">
      <c r="A1119" s="1" t="s">
        <v>2334</v>
      </c>
      <c r="B1119" s="45" t="s">
        <v>628</v>
      </c>
      <c r="C1119">
        <v>1</v>
      </c>
      <c r="E1119" s="1" t="s">
        <v>2314</v>
      </c>
    </row>
    <row r="1120" spans="1:5" x14ac:dyDescent="0.35">
      <c r="A1120" s="1" t="s">
        <v>2335</v>
      </c>
      <c r="B1120" s="45" t="s">
        <v>2336</v>
      </c>
      <c r="C1120">
        <v>1</v>
      </c>
      <c r="E1120" s="1" t="s">
        <v>2314</v>
      </c>
    </row>
    <row r="1121" spans="1:5" x14ac:dyDescent="0.35">
      <c r="A1121" s="1" t="s">
        <v>2337</v>
      </c>
      <c r="B1121" s="45" t="s">
        <v>2338</v>
      </c>
      <c r="C1121">
        <v>1</v>
      </c>
      <c r="E1121" s="1" t="s">
        <v>2314</v>
      </c>
    </row>
    <row r="1122" spans="1:5" x14ac:dyDescent="0.35">
      <c r="A1122" s="1" t="s">
        <v>2339</v>
      </c>
      <c r="B1122" s="45" t="s">
        <v>2340</v>
      </c>
      <c r="C1122">
        <v>1</v>
      </c>
      <c r="E1122" s="1" t="s">
        <v>2314</v>
      </c>
    </row>
    <row r="1123" spans="1:5" x14ac:dyDescent="0.35">
      <c r="A1123" s="1" t="s">
        <v>2341</v>
      </c>
      <c r="B1123" s="45" t="s">
        <v>2342</v>
      </c>
      <c r="C1123">
        <v>1</v>
      </c>
      <c r="E1123" s="1" t="s">
        <v>2314</v>
      </c>
    </row>
    <row r="1124" spans="1:5" x14ac:dyDescent="0.35">
      <c r="A1124" s="1" t="s">
        <v>2343</v>
      </c>
      <c r="B1124" s="45" t="s">
        <v>2344</v>
      </c>
      <c r="C1124">
        <v>1</v>
      </c>
      <c r="E1124" s="1" t="s">
        <v>2314</v>
      </c>
    </row>
    <row r="1125" spans="1:5" x14ac:dyDescent="0.35">
      <c r="A1125" s="1" t="s">
        <v>2345</v>
      </c>
      <c r="B1125" s="45" t="s">
        <v>2346</v>
      </c>
      <c r="C1125">
        <v>1</v>
      </c>
      <c r="E1125" s="1" t="s">
        <v>2314</v>
      </c>
    </row>
    <row r="1126" spans="1:5" x14ac:dyDescent="0.35">
      <c r="A1126" s="1" t="s">
        <v>2347</v>
      </c>
      <c r="B1126" s="45" t="s">
        <v>336</v>
      </c>
      <c r="C1126">
        <v>1</v>
      </c>
      <c r="E1126" s="1" t="s">
        <v>2314</v>
      </c>
    </row>
    <row r="1127" spans="1:5" x14ac:dyDescent="0.35">
      <c r="A1127" s="1" t="s">
        <v>2348</v>
      </c>
      <c r="B1127" s="45" t="s">
        <v>492</v>
      </c>
      <c r="C1127">
        <v>1</v>
      </c>
      <c r="E1127" s="1" t="s">
        <v>2314</v>
      </c>
    </row>
    <row r="1128" spans="1:5" x14ac:dyDescent="0.35">
      <c r="A1128" s="1" t="s">
        <v>2349</v>
      </c>
      <c r="B1128" s="45" t="s">
        <v>596</v>
      </c>
      <c r="C1128">
        <v>1</v>
      </c>
      <c r="E1128" s="1" t="s">
        <v>2314</v>
      </c>
    </row>
    <row r="1129" spans="1:5" x14ac:dyDescent="0.35">
      <c r="A1129" s="1" t="s">
        <v>2350</v>
      </c>
      <c r="B1129" s="45" t="s">
        <v>2351</v>
      </c>
      <c r="C1129">
        <v>1</v>
      </c>
      <c r="E1129" s="1" t="s">
        <v>2314</v>
      </c>
    </row>
    <row r="1130" spans="1:5" x14ac:dyDescent="0.35">
      <c r="A1130" s="1" t="s">
        <v>2352</v>
      </c>
      <c r="B1130" s="45" t="s">
        <v>2353</v>
      </c>
      <c r="C1130">
        <v>1</v>
      </c>
      <c r="E1130" s="1" t="s">
        <v>2314</v>
      </c>
    </row>
    <row r="1131" spans="1:5" x14ac:dyDescent="0.35">
      <c r="A1131" s="1" t="s">
        <v>2354</v>
      </c>
      <c r="B1131" s="45" t="s">
        <v>472</v>
      </c>
      <c r="C1131">
        <v>1</v>
      </c>
      <c r="E1131" s="1" t="s">
        <v>2314</v>
      </c>
    </row>
    <row r="1132" spans="1:5" x14ac:dyDescent="0.35">
      <c r="A1132" s="1" t="s">
        <v>2355</v>
      </c>
      <c r="B1132" s="45" t="s">
        <v>2356</v>
      </c>
      <c r="C1132">
        <v>1</v>
      </c>
      <c r="E1132" s="1" t="s">
        <v>2314</v>
      </c>
    </row>
    <row r="1133" spans="1:5" x14ac:dyDescent="0.35">
      <c r="A1133" s="1" t="s">
        <v>2357</v>
      </c>
      <c r="B1133" s="45" t="s">
        <v>2358</v>
      </c>
      <c r="C1133">
        <v>1</v>
      </c>
      <c r="E1133" s="1" t="s">
        <v>2314</v>
      </c>
    </row>
    <row r="1134" spans="1:5" x14ac:dyDescent="0.35">
      <c r="A1134" s="1" t="s">
        <v>2359</v>
      </c>
      <c r="B1134" s="45" t="s">
        <v>2360</v>
      </c>
      <c r="C1134">
        <v>1</v>
      </c>
      <c r="E1134" s="1" t="s">
        <v>2314</v>
      </c>
    </row>
    <row r="1135" spans="1:5" x14ac:dyDescent="0.35">
      <c r="A1135" s="1" t="s">
        <v>2361</v>
      </c>
      <c r="B1135" s="45" t="s">
        <v>2362</v>
      </c>
      <c r="C1135">
        <v>1</v>
      </c>
      <c r="E1135" s="1" t="s">
        <v>2314</v>
      </c>
    </row>
    <row r="1136" spans="1:5" x14ac:dyDescent="0.35">
      <c r="A1136" s="1" t="s">
        <v>2363</v>
      </c>
      <c r="B1136" s="45" t="s">
        <v>2364</v>
      </c>
      <c r="C1136">
        <v>1</v>
      </c>
      <c r="E1136" s="1" t="s">
        <v>2314</v>
      </c>
    </row>
    <row r="1137" spans="1:5" x14ac:dyDescent="0.35">
      <c r="A1137" s="1" t="s">
        <v>2365</v>
      </c>
      <c r="B1137" s="45" t="s">
        <v>2366</v>
      </c>
      <c r="C1137">
        <v>1</v>
      </c>
      <c r="E1137" s="1" t="s">
        <v>2314</v>
      </c>
    </row>
    <row r="1138" spans="1:5" x14ac:dyDescent="0.35">
      <c r="A1138" s="1" t="s">
        <v>2367</v>
      </c>
      <c r="B1138" s="45" t="s">
        <v>2368</v>
      </c>
      <c r="C1138">
        <v>1</v>
      </c>
      <c r="E1138" s="1" t="s">
        <v>2314</v>
      </c>
    </row>
    <row r="1139" spans="1:5" x14ac:dyDescent="0.35">
      <c r="A1139" s="1" t="s">
        <v>2369</v>
      </c>
      <c r="B1139" s="45" t="s">
        <v>2370</v>
      </c>
      <c r="C1139">
        <v>1</v>
      </c>
      <c r="E1139" s="1" t="s">
        <v>2314</v>
      </c>
    </row>
    <row r="1140" spans="1:5" x14ac:dyDescent="0.35">
      <c r="A1140" s="1" t="s">
        <v>2371</v>
      </c>
      <c r="B1140" s="45" t="s">
        <v>2372</v>
      </c>
      <c r="C1140">
        <v>1</v>
      </c>
      <c r="E1140" s="1" t="s">
        <v>2314</v>
      </c>
    </row>
    <row r="1141" spans="1:5" x14ac:dyDescent="0.35">
      <c r="A1141" s="1" t="s">
        <v>2373</v>
      </c>
      <c r="B1141" s="45" t="s">
        <v>2374</v>
      </c>
      <c r="C1141">
        <v>1</v>
      </c>
      <c r="E1141" s="1" t="s">
        <v>2314</v>
      </c>
    </row>
    <row r="1142" spans="1:5" x14ac:dyDescent="0.35">
      <c r="A1142" s="1" t="s">
        <v>2375</v>
      </c>
      <c r="B1142" s="45" t="s">
        <v>2376</v>
      </c>
      <c r="C1142">
        <v>1</v>
      </c>
      <c r="E1142" s="1" t="s">
        <v>2314</v>
      </c>
    </row>
    <row r="1143" spans="1:5" x14ac:dyDescent="0.35">
      <c r="A1143" s="1" t="s">
        <v>2377</v>
      </c>
      <c r="B1143" s="45" t="s">
        <v>2378</v>
      </c>
      <c r="C1143">
        <v>1</v>
      </c>
      <c r="E1143" s="1" t="s">
        <v>2314</v>
      </c>
    </row>
    <row r="1144" spans="1:5" x14ac:dyDescent="0.35">
      <c r="A1144" s="1" t="s">
        <v>2379</v>
      </c>
      <c r="B1144" s="45" t="s">
        <v>2380</v>
      </c>
      <c r="C1144">
        <v>1</v>
      </c>
      <c r="E1144" s="1" t="s">
        <v>2314</v>
      </c>
    </row>
    <row r="1145" spans="1:5" x14ac:dyDescent="0.35">
      <c r="A1145" s="1" t="s">
        <v>2381</v>
      </c>
      <c r="B1145" s="45" t="s">
        <v>2382</v>
      </c>
      <c r="C1145">
        <v>1</v>
      </c>
      <c r="E1145" s="1" t="s">
        <v>2314</v>
      </c>
    </row>
    <row r="1146" spans="1:5" x14ac:dyDescent="0.35">
      <c r="A1146" s="1" t="s">
        <v>2383</v>
      </c>
      <c r="B1146" s="45" t="s">
        <v>2384</v>
      </c>
      <c r="C1146">
        <v>1</v>
      </c>
      <c r="E1146" s="1" t="s">
        <v>2314</v>
      </c>
    </row>
    <row r="1147" spans="1:5" x14ac:dyDescent="0.35">
      <c r="A1147" s="1" t="s">
        <v>2385</v>
      </c>
      <c r="B1147" s="45" t="s">
        <v>2386</v>
      </c>
      <c r="C1147">
        <v>1</v>
      </c>
      <c r="E1147" s="1" t="s">
        <v>2314</v>
      </c>
    </row>
    <row r="1148" spans="1:5" x14ac:dyDescent="0.35">
      <c r="A1148" s="1" t="s">
        <v>2387</v>
      </c>
      <c r="B1148" s="45" t="s">
        <v>2388</v>
      </c>
      <c r="C1148">
        <v>1</v>
      </c>
      <c r="E1148" s="1" t="s">
        <v>2314</v>
      </c>
    </row>
    <row r="1149" spans="1:5" x14ac:dyDescent="0.35">
      <c r="A1149" s="1" t="s">
        <v>2389</v>
      </c>
      <c r="B1149" s="45" t="s">
        <v>2390</v>
      </c>
      <c r="C1149">
        <v>1</v>
      </c>
      <c r="E1149" s="1" t="s">
        <v>2314</v>
      </c>
    </row>
    <row r="1150" spans="1:5" x14ac:dyDescent="0.35">
      <c r="A1150" s="1" t="s">
        <v>2391</v>
      </c>
      <c r="B1150" s="45" t="s">
        <v>2392</v>
      </c>
      <c r="C1150">
        <v>1</v>
      </c>
      <c r="E1150" s="1" t="s">
        <v>2314</v>
      </c>
    </row>
    <row r="1151" spans="1:5" x14ac:dyDescent="0.35">
      <c r="A1151" s="1" t="s">
        <v>2393</v>
      </c>
      <c r="B1151" s="45" t="s">
        <v>2394</v>
      </c>
      <c r="C1151">
        <v>1</v>
      </c>
      <c r="E1151" s="1" t="s">
        <v>2314</v>
      </c>
    </row>
    <row r="1152" spans="1:5" x14ac:dyDescent="0.35">
      <c r="A1152" s="1" t="s">
        <v>2395</v>
      </c>
      <c r="B1152" s="45" t="s">
        <v>486</v>
      </c>
      <c r="C1152">
        <v>1</v>
      </c>
      <c r="E1152" s="1" t="s">
        <v>2314</v>
      </c>
    </row>
    <row r="1153" spans="1:5" x14ac:dyDescent="0.35">
      <c r="A1153" s="1" t="s">
        <v>2396</v>
      </c>
      <c r="B1153" s="45" t="s">
        <v>2397</v>
      </c>
      <c r="C1153">
        <v>1</v>
      </c>
      <c r="E1153" s="1" t="s">
        <v>2314</v>
      </c>
    </row>
    <row r="1154" spans="1:5" x14ac:dyDescent="0.35">
      <c r="A1154" s="1" t="s">
        <v>2398</v>
      </c>
      <c r="B1154" s="45" t="s">
        <v>2399</v>
      </c>
      <c r="C1154">
        <v>1</v>
      </c>
      <c r="E1154" s="1" t="s">
        <v>2314</v>
      </c>
    </row>
    <row r="1155" spans="1:5" x14ac:dyDescent="0.35">
      <c r="A1155" s="1" t="s">
        <v>2400</v>
      </c>
      <c r="B1155" s="45" t="s">
        <v>2401</v>
      </c>
      <c r="C1155">
        <v>1</v>
      </c>
      <c r="E1155" s="1" t="s">
        <v>2314</v>
      </c>
    </row>
    <row r="1156" spans="1:5" x14ac:dyDescent="0.35">
      <c r="A1156" s="1" t="s">
        <v>2402</v>
      </c>
      <c r="B1156" s="45" t="s">
        <v>2403</v>
      </c>
      <c r="C1156">
        <v>1</v>
      </c>
      <c r="E1156" s="1" t="s">
        <v>2314</v>
      </c>
    </row>
    <row r="1157" spans="1:5" x14ac:dyDescent="0.35">
      <c r="A1157" s="1" t="s">
        <v>2404</v>
      </c>
      <c r="B1157" s="45" t="s">
        <v>636</v>
      </c>
      <c r="C1157">
        <v>1</v>
      </c>
      <c r="E1157" s="1" t="s">
        <v>2314</v>
      </c>
    </row>
    <row r="1158" spans="1:5" x14ac:dyDescent="0.35">
      <c r="A1158" s="1" t="s">
        <v>2405</v>
      </c>
      <c r="B1158" s="45" t="s">
        <v>2406</v>
      </c>
      <c r="C1158">
        <v>1</v>
      </c>
      <c r="E1158" s="1" t="s">
        <v>2314</v>
      </c>
    </row>
    <row r="1159" spans="1:5" x14ac:dyDescent="0.35">
      <c r="A1159" s="1" t="s">
        <v>2407</v>
      </c>
      <c r="B1159" s="45" t="s">
        <v>2408</v>
      </c>
      <c r="C1159">
        <v>1</v>
      </c>
      <c r="E1159" s="1" t="s">
        <v>2314</v>
      </c>
    </row>
    <row r="1160" spans="1:5" x14ac:dyDescent="0.35">
      <c r="A1160" s="1" t="s">
        <v>2409</v>
      </c>
      <c r="B1160" s="45" t="s">
        <v>2410</v>
      </c>
      <c r="C1160">
        <v>1</v>
      </c>
      <c r="E1160" s="1" t="s">
        <v>2314</v>
      </c>
    </row>
    <row r="1161" spans="1:5" x14ac:dyDescent="0.35">
      <c r="A1161" s="1" t="s">
        <v>2411</v>
      </c>
      <c r="B1161" s="45" t="s">
        <v>2412</v>
      </c>
      <c r="C1161">
        <v>1</v>
      </c>
      <c r="E1161" s="1" t="s">
        <v>2314</v>
      </c>
    </row>
    <row r="1162" spans="1:5" x14ac:dyDescent="0.35">
      <c r="A1162" s="1" t="s">
        <v>2413</v>
      </c>
      <c r="B1162" s="45" t="s">
        <v>2414</v>
      </c>
      <c r="C1162">
        <v>1</v>
      </c>
      <c r="E1162" s="1" t="s">
        <v>2314</v>
      </c>
    </row>
    <row r="1163" spans="1:5" x14ac:dyDescent="0.35">
      <c r="A1163" s="1" t="s">
        <v>2415</v>
      </c>
      <c r="B1163" s="45" t="s">
        <v>2416</v>
      </c>
      <c r="C1163">
        <v>1</v>
      </c>
      <c r="E1163" s="1" t="s">
        <v>2314</v>
      </c>
    </row>
    <row r="1164" spans="1:5" x14ac:dyDescent="0.35">
      <c r="A1164" s="1" t="s">
        <v>2417</v>
      </c>
      <c r="B1164" s="45" t="s">
        <v>632</v>
      </c>
      <c r="C1164">
        <v>1</v>
      </c>
      <c r="E1164" s="1" t="s">
        <v>2314</v>
      </c>
    </row>
    <row r="1165" spans="1:5" x14ac:dyDescent="0.35">
      <c r="A1165" s="1" t="s">
        <v>2418</v>
      </c>
      <c r="B1165" s="45" t="s">
        <v>2419</v>
      </c>
      <c r="C1165">
        <v>1</v>
      </c>
      <c r="E1165" s="1" t="s">
        <v>2314</v>
      </c>
    </row>
    <row r="1166" spans="1:5" x14ac:dyDescent="0.35">
      <c r="A1166" s="1" t="s">
        <v>2420</v>
      </c>
      <c r="B1166" s="45" t="s">
        <v>2421</v>
      </c>
      <c r="C1166">
        <v>1</v>
      </c>
      <c r="E1166" s="1" t="s">
        <v>2314</v>
      </c>
    </row>
    <row r="1167" spans="1:5" x14ac:dyDescent="0.35">
      <c r="A1167" s="1" t="s">
        <v>2422</v>
      </c>
      <c r="B1167" s="45" t="s">
        <v>582</v>
      </c>
      <c r="C1167">
        <v>1</v>
      </c>
      <c r="E1167" s="1" t="s">
        <v>2314</v>
      </c>
    </row>
    <row r="1168" spans="1:5" x14ac:dyDescent="0.35">
      <c r="A1168" s="1" t="s">
        <v>2423</v>
      </c>
      <c r="B1168" s="45" t="s">
        <v>512</v>
      </c>
      <c r="C1168">
        <v>1</v>
      </c>
      <c r="E1168" s="1" t="s">
        <v>2314</v>
      </c>
    </row>
    <row r="1169" spans="1:5" x14ac:dyDescent="0.35">
      <c r="A1169" s="1" t="s">
        <v>2424</v>
      </c>
      <c r="B1169" s="45" t="s">
        <v>2425</v>
      </c>
      <c r="C1169">
        <v>1</v>
      </c>
      <c r="E1169" s="1" t="s">
        <v>2314</v>
      </c>
    </row>
    <row r="1170" spans="1:5" x14ac:dyDescent="0.35">
      <c r="A1170" s="1" t="s">
        <v>2426</v>
      </c>
      <c r="B1170" s="45" t="s">
        <v>2427</v>
      </c>
      <c r="C1170">
        <v>1</v>
      </c>
      <c r="E1170" s="1" t="s">
        <v>2314</v>
      </c>
    </row>
    <row r="1171" spans="1:5" x14ac:dyDescent="0.35">
      <c r="A1171" s="1" t="s">
        <v>2428</v>
      </c>
      <c r="B1171" s="45" t="s">
        <v>2429</v>
      </c>
      <c r="C1171">
        <v>1</v>
      </c>
      <c r="E1171" s="1" t="s">
        <v>2314</v>
      </c>
    </row>
    <row r="1172" spans="1:5" x14ac:dyDescent="0.35">
      <c r="A1172" s="1" t="s">
        <v>2430</v>
      </c>
      <c r="B1172" s="45" t="s">
        <v>2431</v>
      </c>
      <c r="C1172">
        <v>1</v>
      </c>
      <c r="E1172" s="1" t="s">
        <v>2314</v>
      </c>
    </row>
    <row r="1173" spans="1:5" x14ac:dyDescent="0.35">
      <c r="A1173" s="1" t="s">
        <v>2432</v>
      </c>
      <c r="B1173" s="45" t="s">
        <v>2433</v>
      </c>
      <c r="C1173">
        <v>1</v>
      </c>
      <c r="E1173" s="1" t="s">
        <v>2314</v>
      </c>
    </row>
    <row r="1174" spans="1:5" x14ac:dyDescent="0.35">
      <c r="A1174" s="1" t="s">
        <v>2434</v>
      </c>
      <c r="B1174" s="45" t="s">
        <v>2435</v>
      </c>
      <c r="C1174">
        <v>1</v>
      </c>
      <c r="E1174" s="1" t="s">
        <v>2314</v>
      </c>
    </row>
    <row r="1175" spans="1:5" x14ac:dyDescent="0.35">
      <c r="A1175" s="1" t="s">
        <v>2436</v>
      </c>
      <c r="B1175" s="45" t="s">
        <v>2437</v>
      </c>
      <c r="C1175">
        <v>1</v>
      </c>
      <c r="E1175" s="1" t="s">
        <v>2314</v>
      </c>
    </row>
    <row r="1176" spans="1:5" x14ac:dyDescent="0.35">
      <c r="A1176" s="1" t="s">
        <v>2438</v>
      </c>
      <c r="B1176" s="45" t="s">
        <v>2439</v>
      </c>
      <c r="C1176">
        <v>1</v>
      </c>
      <c r="E1176" s="1" t="s">
        <v>2314</v>
      </c>
    </row>
    <row r="1177" spans="1:5" x14ac:dyDescent="0.35">
      <c r="A1177" s="1" t="s">
        <v>2440</v>
      </c>
      <c r="B1177" s="45" t="s">
        <v>2441</v>
      </c>
      <c r="C1177">
        <v>1</v>
      </c>
      <c r="E1177" s="1" t="s">
        <v>2314</v>
      </c>
    </row>
    <row r="1178" spans="1:5" x14ac:dyDescent="0.35">
      <c r="A1178" s="1" t="s">
        <v>2442</v>
      </c>
      <c r="B1178" s="45" t="s">
        <v>2134</v>
      </c>
      <c r="C1178">
        <v>1</v>
      </c>
      <c r="E1178" s="1" t="s">
        <v>2314</v>
      </c>
    </row>
    <row r="1179" spans="1:5" x14ac:dyDescent="0.35">
      <c r="A1179" s="1" t="s">
        <v>2443</v>
      </c>
      <c r="B1179" s="45" t="s">
        <v>2444</v>
      </c>
      <c r="C1179">
        <v>1</v>
      </c>
      <c r="E1179" s="1" t="s">
        <v>2314</v>
      </c>
    </row>
    <row r="1180" spans="1:5" x14ac:dyDescent="0.35">
      <c r="A1180" s="1" t="s">
        <v>2445</v>
      </c>
      <c r="B1180" s="45" t="s">
        <v>2446</v>
      </c>
      <c r="C1180">
        <v>1</v>
      </c>
      <c r="E1180" s="1" t="s">
        <v>2314</v>
      </c>
    </row>
    <row r="1181" spans="1:5" x14ac:dyDescent="0.35">
      <c r="A1181" s="1" t="s">
        <v>2447</v>
      </c>
      <c r="B1181" s="45" t="s">
        <v>2448</v>
      </c>
      <c r="C1181">
        <v>1</v>
      </c>
      <c r="E1181" s="1" t="s">
        <v>2314</v>
      </c>
    </row>
    <row r="1182" spans="1:5" x14ac:dyDescent="0.35">
      <c r="A1182" s="1" t="s">
        <v>2449</v>
      </c>
      <c r="B1182" s="45" t="s">
        <v>2450</v>
      </c>
      <c r="C1182">
        <v>1</v>
      </c>
      <c r="E1182" s="1" t="s">
        <v>2314</v>
      </c>
    </row>
    <row r="1183" spans="1:5" x14ac:dyDescent="0.35">
      <c r="A1183" s="1" t="s">
        <v>2451</v>
      </c>
      <c r="B1183" s="45" t="s">
        <v>2452</v>
      </c>
      <c r="C1183">
        <v>1</v>
      </c>
      <c r="E1183" s="1" t="s">
        <v>2314</v>
      </c>
    </row>
    <row r="1184" spans="1:5" x14ac:dyDescent="0.35">
      <c r="A1184" s="1" t="s">
        <v>2453</v>
      </c>
      <c r="B1184" s="45" t="s">
        <v>2454</v>
      </c>
      <c r="C1184">
        <v>1</v>
      </c>
      <c r="E1184" s="1" t="s">
        <v>2314</v>
      </c>
    </row>
    <row r="1185" spans="1:5" x14ac:dyDescent="0.35">
      <c r="A1185" s="1" t="s">
        <v>2455</v>
      </c>
      <c r="B1185" s="45" t="s">
        <v>2456</v>
      </c>
      <c r="C1185">
        <v>1</v>
      </c>
      <c r="E1185" s="1" t="s">
        <v>2314</v>
      </c>
    </row>
    <row r="1186" spans="1:5" x14ac:dyDescent="0.35">
      <c r="A1186" s="1" t="s">
        <v>2457</v>
      </c>
      <c r="B1186" s="45" t="s">
        <v>2458</v>
      </c>
      <c r="C1186">
        <v>1</v>
      </c>
      <c r="E1186" s="1" t="s">
        <v>2314</v>
      </c>
    </row>
    <row r="1187" spans="1:5" x14ac:dyDescent="0.35">
      <c r="A1187" s="1" t="s">
        <v>2459</v>
      </c>
      <c r="B1187" s="45" t="s">
        <v>2460</v>
      </c>
      <c r="C1187">
        <v>1</v>
      </c>
      <c r="E1187" s="1" t="s">
        <v>2314</v>
      </c>
    </row>
    <row r="1188" spans="1:5" x14ac:dyDescent="0.35">
      <c r="A1188" s="1" t="s">
        <v>2461</v>
      </c>
      <c r="B1188" s="45" t="s">
        <v>2462</v>
      </c>
      <c r="C1188">
        <v>1</v>
      </c>
      <c r="E1188" s="1" t="s">
        <v>2314</v>
      </c>
    </row>
    <row r="1189" spans="1:5" x14ac:dyDescent="0.35">
      <c r="A1189" s="1" t="s">
        <v>2463</v>
      </c>
      <c r="B1189" s="45" t="s">
        <v>963</v>
      </c>
      <c r="C1189">
        <v>1</v>
      </c>
      <c r="E1189" s="1" t="s">
        <v>2314</v>
      </c>
    </row>
    <row r="1190" spans="1:5" x14ac:dyDescent="0.35">
      <c r="A1190" s="1" t="s">
        <v>2464</v>
      </c>
      <c r="B1190" s="45" t="s">
        <v>2465</v>
      </c>
      <c r="C1190">
        <v>1</v>
      </c>
      <c r="E1190" s="1" t="s">
        <v>2314</v>
      </c>
    </row>
    <row r="1191" spans="1:5" x14ac:dyDescent="0.35">
      <c r="A1191" s="1" t="s">
        <v>2466</v>
      </c>
      <c r="B1191" s="45" t="s">
        <v>2467</v>
      </c>
      <c r="C1191">
        <v>1</v>
      </c>
      <c r="E1191" s="1" t="s">
        <v>2314</v>
      </c>
    </row>
    <row r="1192" spans="1:5" x14ac:dyDescent="0.35">
      <c r="A1192" s="1" t="s">
        <v>2468</v>
      </c>
      <c r="B1192" s="45" t="s">
        <v>1865</v>
      </c>
      <c r="C1192">
        <v>1</v>
      </c>
      <c r="E1192" s="1" t="s">
        <v>2314</v>
      </c>
    </row>
    <row r="1193" spans="1:5" x14ac:dyDescent="0.35">
      <c r="A1193" s="1" t="s">
        <v>2469</v>
      </c>
      <c r="B1193" s="45" t="s">
        <v>1868</v>
      </c>
      <c r="C1193">
        <v>1</v>
      </c>
      <c r="E1193" s="1" t="s">
        <v>2314</v>
      </c>
    </row>
    <row r="1194" spans="1:5" x14ac:dyDescent="0.35">
      <c r="A1194" s="1" t="s">
        <v>2470</v>
      </c>
      <c r="B1194" s="45" t="s">
        <v>504</v>
      </c>
      <c r="C1194">
        <v>1</v>
      </c>
      <c r="E1194" s="1" t="s">
        <v>2314</v>
      </c>
    </row>
    <row r="1195" spans="1:5" x14ac:dyDescent="0.35">
      <c r="A1195" s="1" t="s">
        <v>2471</v>
      </c>
      <c r="B1195" s="45" t="s">
        <v>1871</v>
      </c>
      <c r="C1195">
        <v>1</v>
      </c>
      <c r="E1195" s="1" t="s">
        <v>2314</v>
      </c>
    </row>
    <row r="1196" spans="1:5" x14ac:dyDescent="0.35">
      <c r="A1196" s="1" t="s">
        <v>2472</v>
      </c>
      <c r="B1196" s="45" t="s">
        <v>1873</v>
      </c>
      <c r="C1196">
        <v>1</v>
      </c>
      <c r="E1196" s="1" t="s">
        <v>2314</v>
      </c>
    </row>
    <row r="1197" spans="1:5" x14ac:dyDescent="0.35">
      <c r="A1197" s="1" t="s">
        <v>2473</v>
      </c>
      <c r="B1197" s="45" t="s">
        <v>1875</v>
      </c>
      <c r="C1197">
        <v>1</v>
      </c>
      <c r="E1197" s="1" t="s">
        <v>2314</v>
      </c>
    </row>
    <row r="1198" spans="1:5" x14ac:dyDescent="0.35">
      <c r="A1198" s="1" t="s">
        <v>2474</v>
      </c>
      <c r="B1198" s="45" t="s">
        <v>1877</v>
      </c>
      <c r="C1198">
        <v>1</v>
      </c>
      <c r="E1198" s="1" t="s">
        <v>2314</v>
      </c>
    </row>
    <row r="1199" spans="1:5" x14ac:dyDescent="0.35">
      <c r="A1199" s="1" t="s">
        <v>2475</v>
      </c>
      <c r="B1199" s="45" t="s">
        <v>1879</v>
      </c>
      <c r="C1199">
        <v>1</v>
      </c>
      <c r="E1199" s="1" t="s">
        <v>2314</v>
      </c>
    </row>
    <row r="1200" spans="1:5" x14ac:dyDescent="0.35">
      <c r="A1200" s="1" t="s">
        <v>2476</v>
      </c>
      <c r="B1200" s="45" t="s">
        <v>1881</v>
      </c>
      <c r="C1200">
        <v>1</v>
      </c>
      <c r="E1200" s="1" t="s">
        <v>2314</v>
      </c>
    </row>
    <row r="1201" spans="1:5" x14ac:dyDescent="0.35">
      <c r="A1201" s="1" t="s">
        <v>2477</v>
      </c>
      <c r="B1201" s="45" t="s">
        <v>536</v>
      </c>
      <c r="C1201">
        <v>1</v>
      </c>
      <c r="E1201" s="1" t="s">
        <v>2314</v>
      </c>
    </row>
    <row r="1202" spans="1:5" x14ac:dyDescent="0.35">
      <c r="A1202" s="1" t="s">
        <v>2478</v>
      </c>
      <c r="B1202" s="45" t="s">
        <v>598</v>
      </c>
      <c r="C1202">
        <v>1</v>
      </c>
      <c r="E1202" s="1" t="s">
        <v>2314</v>
      </c>
    </row>
    <row r="1203" spans="1:5" x14ac:dyDescent="0.35">
      <c r="A1203" s="1" t="s">
        <v>2479</v>
      </c>
      <c r="B1203" s="45" t="s">
        <v>1885</v>
      </c>
      <c r="C1203">
        <v>1</v>
      </c>
      <c r="E1203" s="1" t="s">
        <v>2314</v>
      </c>
    </row>
    <row r="1204" spans="1:5" x14ac:dyDescent="0.35">
      <c r="A1204" s="1" t="s">
        <v>2480</v>
      </c>
      <c r="B1204" s="45" t="s">
        <v>851</v>
      </c>
      <c r="C1204">
        <v>1</v>
      </c>
      <c r="E1204" s="1" t="s">
        <v>2314</v>
      </c>
    </row>
    <row r="1205" spans="1:5" x14ac:dyDescent="0.35">
      <c r="A1205" s="1" t="s">
        <v>2481</v>
      </c>
      <c r="B1205" s="45" t="s">
        <v>2482</v>
      </c>
      <c r="C1205">
        <v>1</v>
      </c>
      <c r="E1205" s="1" t="s">
        <v>2314</v>
      </c>
    </row>
    <row r="1206" spans="1:5" x14ac:dyDescent="0.35">
      <c r="A1206" s="1" t="s">
        <v>2483</v>
      </c>
      <c r="B1206" s="45" t="s">
        <v>2484</v>
      </c>
      <c r="C1206">
        <v>1</v>
      </c>
      <c r="E1206" s="1" t="s">
        <v>2314</v>
      </c>
    </row>
    <row r="1207" spans="1:5" x14ac:dyDescent="0.35">
      <c r="A1207" s="1" t="s">
        <v>2485</v>
      </c>
      <c r="B1207" s="45" t="s">
        <v>2486</v>
      </c>
      <c r="C1207">
        <v>1</v>
      </c>
      <c r="E1207" s="1" t="s">
        <v>2314</v>
      </c>
    </row>
    <row r="1208" spans="1:5" x14ac:dyDescent="0.35">
      <c r="A1208" s="1" t="s">
        <v>2487</v>
      </c>
      <c r="B1208" s="45" t="s">
        <v>2488</v>
      </c>
      <c r="C1208">
        <v>1</v>
      </c>
      <c r="E1208" s="1" t="s">
        <v>2314</v>
      </c>
    </row>
    <row r="1209" spans="1:5" x14ac:dyDescent="0.35">
      <c r="A1209" s="1" t="s">
        <v>2489</v>
      </c>
      <c r="B1209" s="45" t="s">
        <v>530</v>
      </c>
      <c r="C1209">
        <v>1</v>
      </c>
      <c r="E1209" s="1" t="s">
        <v>2314</v>
      </c>
    </row>
    <row r="1210" spans="1:5" x14ac:dyDescent="0.35">
      <c r="A1210" s="1" t="s">
        <v>2490</v>
      </c>
      <c r="B1210" s="45" t="s">
        <v>2491</v>
      </c>
      <c r="C1210">
        <v>1</v>
      </c>
      <c r="E1210" s="1" t="s">
        <v>2314</v>
      </c>
    </row>
    <row r="1211" spans="1:5" x14ac:dyDescent="0.35">
      <c r="A1211" s="1" t="s">
        <v>2492</v>
      </c>
      <c r="B1211" s="45" t="s">
        <v>2493</v>
      </c>
      <c r="C1211">
        <v>1</v>
      </c>
      <c r="E1211" s="1" t="s">
        <v>2314</v>
      </c>
    </row>
    <row r="1212" spans="1:5" x14ac:dyDescent="0.35">
      <c r="A1212" s="1" t="s">
        <v>2494</v>
      </c>
      <c r="B1212" s="45" t="s">
        <v>2495</v>
      </c>
      <c r="C1212">
        <v>1</v>
      </c>
      <c r="E1212" s="1" t="s">
        <v>2314</v>
      </c>
    </row>
    <row r="1213" spans="1:5" x14ac:dyDescent="0.35">
      <c r="A1213" s="1" t="s">
        <v>2496</v>
      </c>
      <c r="B1213" s="45" t="s">
        <v>2497</v>
      </c>
      <c r="C1213">
        <v>1</v>
      </c>
      <c r="E1213" s="1" t="s">
        <v>2314</v>
      </c>
    </row>
    <row r="1214" spans="1:5" x14ac:dyDescent="0.35">
      <c r="A1214" s="1" t="s">
        <v>2498</v>
      </c>
      <c r="B1214" s="45" t="s">
        <v>945</v>
      </c>
      <c r="C1214">
        <v>1</v>
      </c>
      <c r="E1214" s="1" t="s">
        <v>2314</v>
      </c>
    </row>
    <row r="1215" spans="1:5" x14ac:dyDescent="0.35">
      <c r="A1215" s="1" t="s">
        <v>2499</v>
      </c>
      <c r="B1215" s="45" t="s">
        <v>2500</v>
      </c>
      <c r="C1215">
        <v>1</v>
      </c>
      <c r="E1215" s="1" t="s">
        <v>2314</v>
      </c>
    </row>
    <row r="1216" spans="1:5" x14ac:dyDescent="0.35">
      <c r="A1216" s="1" t="s">
        <v>2501</v>
      </c>
      <c r="B1216" s="45" t="s">
        <v>997</v>
      </c>
      <c r="C1216">
        <v>1</v>
      </c>
      <c r="E1216" s="1" t="s">
        <v>2314</v>
      </c>
    </row>
    <row r="1217" spans="1:5" x14ac:dyDescent="0.35">
      <c r="A1217" s="1" t="s">
        <v>2502</v>
      </c>
      <c r="B1217" s="45" t="s">
        <v>2503</v>
      </c>
      <c r="C1217">
        <v>1</v>
      </c>
      <c r="E1217" s="1" t="s">
        <v>2314</v>
      </c>
    </row>
    <row r="1218" spans="1:5" x14ac:dyDescent="0.35">
      <c r="A1218" s="1" t="s">
        <v>2504</v>
      </c>
      <c r="B1218" s="45" t="s">
        <v>2505</v>
      </c>
      <c r="C1218">
        <v>1</v>
      </c>
      <c r="E1218" s="1" t="s">
        <v>2314</v>
      </c>
    </row>
    <row r="1219" spans="1:5" x14ac:dyDescent="0.35">
      <c r="A1219" s="1" t="s">
        <v>2506</v>
      </c>
      <c r="B1219" s="45" t="s">
        <v>2507</v>
      </c>
      <c r="C1219">
        <v>1</v>
      </c>
      <c r="E1219" s="1" t="s">
        <v>2314</v>
      </c>
    </row>
    <row r="1220" spans="1:5" x14ac:dyDescent="0.35">
      <c r="A1220" s="1" t="s">
        <v>2508</v>
      </c>
      <c r="B1220" s="45" t="s">
        <v>642</v>
      </c>
      <c r="C1220">
        <v>1</v>
      </c>
      <c r="E1220" s="1" t="s">
        <v>2314</v>
      </c>
    </row>
    <row r="1221" spans="1:5" x14ac:dyDescent="0.35">
      <c r="A1221" s="1" t="s">
        <v>2509</v>
      </c>
      <c r="B1221" s="45" t="s">
        <v>2510</v>
      </c>
      <c r="C1221">
        <v>1</v>
      </c>
      <c r="E1221" s="1" t="s">
        <v>2314</v>
      </c>
    </row>
    <row r="1222" spans="1:5" x14ac:dyDescent="0.35">
      <c r="A1222" s="1" t="s">
        <v>2511</v>
      </c>
      <c r="B1222" s="45" t="s">
        <v>1557</v>
      </c>
      <c r="C1222">
        <v>1</v>
      </c>
      <c r="E1222" s="1" t="s">
        <v>2314</v>
      </c>
    </row>
    <row r="1223" spans="1:5" x14ac:dyDescent="0.35">
      <c r="A1223" s="1" t="s">
        <v>2512</v>
      </c>
      <c r="B1223" s="45" t="s">
        <v>484</v>
      </c>
      <c r="C1223">
        <v>1</v>
      </c>
      <c r="E1223" s="1" t="s">
        <v>2314</v>
      </c>
    </row>
    <row r="1224" spans="1:5" x14ac:dyDescent="0.35">
      <c r="A1224" s="1" t="s">
        <v>2513</v>
      </c>
      <c r="B1224" s="45" t="s">
        <v>2514</v>
      </c>
      <c r="C1224">
        <v>1</v>
      </c>
      <c r="E1224" s="1" t="s">
        <v>2314</v>
      </c>
    </row>
    <row r="1225" spans="1:5" x14ac:dyDescent="0.35">
      <c r="A1225" s="1" t="s">
        <v>2515</v>
      </c>
      <c r="B1225" s="45" t="s">
        <v>560</v>
      </c>
      <c r="C1225">
        <v>1</v>
      </c>
      <c r="E1225" s="1" t="s">
        <v>2314</v>
      </c>
    </row>
    <row r="1226" spans="1:5" x14ac:dyDescent="0.35">
      <c r="A1226" s="1" t="s">
        <v>2516</v>
      </c>
      <c r="B1226" s="45" t="s">
        <v>2517</v>
      </c>
      <c r="C1226">
        <v>1</v>
      </c>
      <c r="E1226" s="1" t="s">
        <v>2314</v>
      </c>
    </row>
    <row r="1227" spans="1:5" x14ac:dyDescent="0.35">
      <c r="A1227" s="1" t="s">
        <v>2518</v>
      </c>
      <c r="B1227" s="45" t="s">
        <v>2519</v>
      </c>
      <c r="C1227">
        <v>1</v>
      </c>
      <c r="E1227" s="1" t="s">
        <v>2314</v>
      </c>
    </row>
    <row r="1228" spans="1:5" x14ac:dyDescent="0.35">
      <c r="A1228" s="1" t="s">
        <v>2520</v>
      </c>
      <c r="B1228" s="45" t="s">
        <v>2521</v>
      </c>
      <c r="C1228">
        <v>1</v>
      </c>
      <c r="E1228" s="1" t="s">
        <v>2314</v>
      </c>
    </row>
    <row r="1229" spans="1:5" x14ac:dyDescent="0.35">
      <c r="A1229" s="1" t="s">
        <v>2522</v>
      </c>
      <c r="B1229" s="45" t="s">
        <v>2523</v>
      </c>
      <c r="C1229">
        <v>1</v>
      </c>
      <c r="E1229" s="1" t="s">
        <v>2314</v>
      </c>
    </row>
    <row r="1230" spans="1:5" x14ac:dyDescent="0.35">
      <c r="A1230" s="1" t="s">
        <v>2524</v>
      </c>
      <c r="B1230" s="45" t="s">
        <v>490</v>
      </c>
      <c r="C1230">
        <v>1</v>
      </c>
      <c r="E1230" s="1" t="s">
        <v>2314</v>
      </c>
    </row>
    <row r="1231" spans="1:5" x14ac:dyDescent="0.35">
      <c r="A1231" s="1" t="s">
        <v>2525</v>
      </c>
      <c r="B1231" s="45" t="s">
        <v>2526</v>
      </c>
      <c r="C1231">
        <v>1</v>
      </c>
      <c r="E1231" s="1" t="s">
        <v>2314</v>
      </c>
    </row>
    <row r="1232" spans="1:5" x14ac:dyDescent="0.35">
      <c r="A1232" s="1" t="s">
        <v>2527</v>
      </c>
      <c r="B1232" s="45" t="s">
        <v>2528</v>
      </c>
      <c r="C1232">
        <v>1</v>
      </c>
      <c r="E1232" s="1" t="s">
        <v>2314</v>
      </c>
    </row>
    <row r="1233" spans="1:5" x14ac:dyDescent="0.35">
      <c r="A1233" s="1" t="s">
        <v>2529</v>
      </c>
      <c r="B1233" s="45" t="s">
        <v>2530</v>
      </c>
      <c r="C1233">
        <v>1</v>
      </c>
      <c r="E1233" s="1" t="s">
        <v>2314</v>
      </c>
    </row>
    <row r="1234" spans="1:5" x14ac:dyDescent="0.35">
      <c r="A1234" s="1" t="s">
        <v>2531</v>
      </c>
      <c r="B1234" s="45" t="s">
        <v>2532</v>
      </c>
      <c r="C1234">
        <v>1</v>
      </c>
      <c r="E1234" s="1" t="s">
        <v>2314</v>
      </c>
    </row>
    <row r="1235" spans="1:5" x14ac:dyDescent="0.35">
      <c r="A1235" s="1" t="s">
        <v>2533</v>
      </c>
      <c r="B1235" s="45" t="s">
        <v>2534</v>
      </c>
      <c r="C1235">
        <v>1</v>
      </c>
      <c r="E1235" s="1" t="s">
        <v>2314</v>
      </c>
    </row>
    <row r="1236" spans="1:5" x14ac:dyDescent="0.35">
      <c r="A1236" s="1" t="s">
        <v>2535</v>
      </c>
      <c r="B1236" s="45" t="s">
        <v>2536</v>
      </c>
      <c r="C1236">
        <v>1</v>
      </c>
      <c r="E1236" s="1" t="s">
        <v>2314</v>
      </c>
    </row>
    <row r="1237" spans="1:5" x14ac:dyDescent="0.35">
      <c r="A1237" s="1" t="s">
        <v>2537</v>
      </c>
      <c r="B1237" s="45" t="s">
        <v>2132</v>
      </c>
      <c r="C1237">
        <v>1</v>
      </c>
      <c r="E1237" s="1" t="s">
        <v>2314</v>
      </c>
    </row>
    <row r="1238" spans="1:5" x14ac:dyDescent="0.35">
      <c r="A1238" s="1" t="s">
        <v>2538</v>
      </c>
      <c r="B1238" s="45" t="s">
        <v>538</v>
      </c>
      <c r="C1238">
        <v>1</v>
      </c>
      <c r="E1238" s="1" t="s">
        <v>2314</v>
      </c>
    </row>
    <row r="1239" spans="1:5" x14ac:dyDescent="0.35">
      <c r="A1239" s="1" t="s">
        <v>2539</v>
      </c>
      <c r="B1239" s="45" t="s">
        <v>2540</v>
      </c>
      <c r="C1239">
        <v>1</v>
      </c>
      <c r="E1239" s="1" t="s">
        <v>2314</v>
      </c>
    </row>
    <row r="1240" spans="1:5" x14ac:dyDescent="0.35">
      <c r="A1240" s="1" t="s">
        <v>2541</v>
      </c>
      <c r="B1240" s="45" t="s">
        <v>2542</v>
      </c>
      <c r="C1240">
        <v>1</v>
      </c>
      <c r="E1240" s="1" t="s">
        <v>2314</v>
      </c>
    </row>
    <row r="1241" spans="1:5" x14ac:dyDescent="0.35">
      <c r="A1241" s="1" t="s">
        <v>2543</v>
      </c>
      <c r="B1241" s="45" t="s">
        <v>2544</v>
      </c>
      <c r="C1241">
        <v>1</v>
      </c>
      <c r="E1241" s="1" t="s">
        <v>2314</v>
      </c>
    </row>
    <row r="1242" spans="1:5" x14ac:dyDescent="0.35">
      <c r="A1242" s="1" t="s">
        <v>2545</v>
      </c>
      <c r="B1242" s="45" t="s">
        <v>2546</v>
      </c>
      <c r="C1242">
        <v>1</v>
      </c>
      <c r="E1242" s="1" t="s">
        <v>2314</v>
      </c>
    </row>
    <row r="1243" spans="1:5" x14ac:dyDescent="0.35">
      <c r="A1243" s="1" t="s">
        <v>2547</v>
      </c>
      <c r="B1243" s="45" t="s">
        <v>2548</v>
      </c>
      <c r="C1243">
        <v>1</v>
      </c>
      <c r="E1243" s="1" t="s">
        <v>2314</v>
      </c>
    </row>
    <row r="1244" spans="1:5" x14ac:dyDescent="0.35">
      <c r="A1244" s="1" t="s">
        <v>2549</v>
      </c>
      <c r="B1244" s="45" t="s">
        <v>965</v>
      </c>
      <c r="C1244">
        <v>1</v>
      </c>
      <c r="E1244" s="1" t="s">
        <v>2314</v>
      </c>
    </row>
    <row r="1245" spans="1:5" x14ac:dyDescent="0.35">
      <c r="A1245" s="1" t="s">
        <v>2550</v>
      </c>
      <c r="B1245" s="45" t="s">
        <v>2551</v>
      </c>
      <c r="C1245">
        <v>1</v>
      </c>
      <c r="E1245" s="1" t="s">
        <v>2314</v>
      </c>
    </row>
    <row r="1246" spans="1:5" x14ac:dyDescent="0.35">
      <c r="A1246" s="1" t="s">
        <v>2552</v>
      </c>
      <c r="B1246" s="45" t="s">
        <v>470</v>
      </c>
      <c r="C1246">
        <v>1</v>
      </c>
      <c r="E1246" s="1" t="s">
        <v>2314</v>
      </c>
    </row>
    <row r="1247" spans="1:5" x14ac:dyDescent="0.35">
      <c r="A1247" s="1" t="s">
        <v>2553</v>
      </c>
      <c r="B1247" s="45" t="s">
        <v>574</v>
      </c>
      <c r="C1247">
        <v>1</v>
      </c>
      <c r="E1247" s="1" t="s">
        <v>2314</v>
      </c>
    </row>
    <row r="1248" spans="1:5" x14ac:dyDescent="0.35">
      <c r="A1248" s="1" t="s">
        <v>2554</v>
      </c>
      <c r="B1248" s="45" t="s">
        <v>2555</v>
      </c>
      <c r="C1248">
        <v>1</v>
      </c>
      <c r="E1248" s="1" t="s">
        <v>2314</v>
      </c>
    </row>
    <row r="1249" spans="1:5" x14ac:dyDescent="0.35">
      <c r="A1249" s="1" t="s">
        <v>2556</v>
      </c>
      <c r="B1249" s="45" t="s">
        <v>600</v>
      </c>
      <c r="C1249">
        <v>1</v>
      </c>
      <c r="E1249" s="1" t="s">
        <v>2314</v>
      </c>
    </row>
    <row r="1250" spans="1:5" x14ac:dyDescent="0.35">
      <c r="A1250" s="1" t="s">
        <v>2557</v>
      </c>
      <c r="B1250" s="45" t="s">
        <v>2558</v>
      </c>
      <c r="C1250">
        <v>1</v>
      </c>
      <c r="E1250" s="1" t="s">
        <v>2314</v>
      </c>
    </row>
    <row r="1251" spans="1:5" x14ac:dyDescent="0.35">
      <c r="A1251" s="1" t="s">
        <v>2559</v>
      </c>
      <c r="B1251" s="45" t="s">
        <v>2560</v>
      </c>
      <c r="C1251">
        <v>1</v>
      </c>
      <c r="E1251" s="1" t="s">
        <v>2314</v>
      </c>
    </row>
    <row r="1252" spans="1:5" x14ac:dyDescent="0.35">
      <c r="A1252" s="1" t="s">
        <v>2561</v>
      </c>
      <c r="B1252" s="45" t="s">
        <v>2562</v>
      </c>
      <c r="C1252">
        <v>1</v>
      </c>
      <c r="E1252" s="1" t="s">
        <v>2314</v>
      </c>
    </row>
    <row r="1253" spans="1:5" x14ac:dyDescent="0.35">
      <c r="A1253" s="1" t="s">
        <v>2563</v>
      </c>
      <c r="B1253" s="45" t="s">
        <v>2564</v>
      </c>
      <c r="C1253">
        <v>1</v>
      </c>
      <c r="E1253" s="1" t="s">
        <v>2314</v>
      </c>
    </row>
    <row r="1254" spans="1:5" x14ac:dyDescent="0.35">
      <c r="A1254" s="1" t="s">
        <v>2565</v>
      </c>
      <c r="B1254" s="45" t="s">
        <v>2566</v>
      </c>
      <c r="C1254">
        <v>1</v>
      </c>
      <c r="E1254" s="1" t="s">
        <v>2314</v>
      </c>
    </row>
    <row r="1255" spans="1:5" x14ac:dyDescent="0.35">
      <c r="A1255" s="1" t="s">
        <v>2567</v>
      </c>
      <c r="B1255" s="45" t="s">
        <v>542</v>
      </c>
      <c r="C1255">
        <v>1</v>
      </c>
      <c r="E1255" s="1" t="s">
        <v>2314</v>
      </c>
    </row>
    <row r="1256" spans="1:5" x14ac:dyDescent="0.35">
      <c r="A1256" s="1" t="s">
        <v>2568</v>
      </c>
      <c r="B1256" s="45" t="s">
        <v>2569</v>
      </c>
      <c r="C1256">
        <v>1</v>
      </c>
      <c r="E1256" s="1" t="s">
        <v>2314</v>
      </c>
    </row>
    <row r="1257" spans="1:5" x14ac:dyDescent="0.35">
      <c r="A1257" s="1" t="s">
        <v>2570</v>
      </c>
      <c r="B1257" s="45" t="s">
        <v>2571</v>
      </c>
      <c r="C1257">
        <v>1</v>
      </c>
      <c r="E1257" s="1" t="s">
        <v>2314</v>
      </c>
    </row>
    <row r="1258" spans="1:5" x14ac:dyDescent="0.35">
      <c r="A1258" s="1" t="s">
        <v>2572</v>
      </c>
      <c r="B1258" s="45" t="s">
        <v>2573</v>
      </c>
      <c r="C1258">
        <v>1</v>
      </c>
      <c r="E1258" s="1" t="s">
        <v>2314</v>
      </c>
    </row>
    <row r="1259" spans="1:5" x14ac:dyDescent="0.35">
      <c r="A1259" s="1" t="s">
        <v>2574</v>
      </c>
      <c r="B1259" s="45" t="s">
        <v>2575</v>
      </c>
      <c r="C1259">
        <v>1</v>
      </c>
      <c r="E1259" s="1" t="s">
        <v>2314</v>
      </c>
    </row>
    <row r="1260" spans="1:5" x14ac:dyDescent="0.35">
      <c r="A1260" s="1" t="s">
        <v>2576</v>
      </c>
      <c r="B1260" s="45" t="s">
        <v>2577</v>
      </c>
      <c r="C1260">
        <v>1</v>
      </c>
      <c r="E1260" s="1" t="s">
        <v>2314</v>
      </c>
    </row>
    <row r="1261" spans="1:5" x14ac:dyDescent="0.35">
      <c r="A1261" s="1" t="s">
        <v>2578</v>
      </c>
      <c r="B1261" s="45" t="s">
        <v>2579</v>
      </c>
      <c r="C1261">
        <v>1</v>
      </c>
      <c r="E1261" s="1" t="s">
        <v>2314</v>
      </c>
    </row>
    <row r="1262" spans="1:5" x14ac:dyDescent="0.35">
      <c r="A1262" s="1" t="s">
        <v>2580</v>
      </c>
      <c r="B1262" s="45" t="s">
        <v>648</v>
      </c>
      <c r="C1262">
        <v>1</v>
      </c>
      <c r="E1262" s="1" t="s">
        <v>2314</v>
      </c>
    </row>
    <row r="1263" spans="1:5" x14ac:dyDescent="0.35">
      <c r="A1263" s="1" t="s">
        <v>2581</v>
      </c>
      <c r="B1263" s="45" t="s">
        <v>2582</v>
      </c>
      <c r="C1263">
        <v>1</v>
      </c>
      <c r="E1263" s="1" t="s">
        <v>2314</v>
      </c>
    </row>
    <row r="1264" spans="1:5" x14ac:dyDescent="0.35">
      <c r="A1264" s="1" t="s">
        <v>2583</v>
      </c>
      <c r="B1264" s="45" t="s">
        <v>550</v>
      </c>
      <c r="C1264">
        <v>1</v>
      </c>
      <c r="E1264" s="1" t="s">
        <v>2314</v>
      </c>
    </row>
    <row r="1265" spans="1:5" x14ac:dyDescent="0.35">
      <c r="A1265" s="1" t="s">
        <v>2584</v>
      </c>
      <c r="B1265" s="45" t="s">
        <v>207</v>
      </c>
      <c r="C1265">
        <v>1</v>
      </c>
      <c r="E1265" s="1" t="s">
        <v>2314</v>
      </c>
    </row>
    <row r="1266" spans="1:5" x14ac:dyDescent="0.35">
      <c r="A1266" s="1" t="s">
        <v>2585</v>
      </c>
      <c r="B1266" s="45" t="s">
        <v>2586</v>
      </c>
      <c r="C1266">
        <v>1</v>
      </c>
      <c r="E1266" s="1" t="s">
        <v>2314</v>
      </c>
    </row>
    <row r="1267" spans="1:5" x14ac:dyDescent="0.35">
      <c r="A1267" s="1" t="s">
        <v>2587</v>
      </c>
      <c r="B1267" s="45" t="s">
        <v>2588</v>
      </c>
      <c r="C1267">
        <v>1</v>
      </c>
      <c r="E1267" s="1" t="s">
        <v>2314</v>
      </c>
    </row>
    <row r="1268" spans="1:5" x14ac:dyDescent="0.35">
      <c r="A1268" s="1" t="s">
        <v>2589</v>
      </c>
      <c r="B1268" s="45" t="s">
        <v>2590</v>
      </c>
      <c r="C1268">
        <v>1</v>
      </c>
      <c r="E1268" s="1" t="s">
        <v>2314</v>
      </c>
    </row>
    <row r="1269" spans="1:5" x14ac:dyDescent="0.35">
      <c r="A1269" s="1" t="s">
        <v>2591</v>
      </c>
      <c r="B1269" s="45" t="s">
        <v>2592</v>
      </c>
      <c r="C1269">
        <v>1</v>
      </c>
      <c r="E1269" s="1" t="s">
        <v>2314</v>
      </c>
    </row>
    <row r="1270" spans="1:5" x14ac:dyDescent="0.35">
      <c r="A1270" s="1" t="s">
        <v>2593</v>
      </c>
      <c r="B1270" s="45" t="s">
        <v>849</v>
      </c>
      <c r="C1270">
        <v>1</v>
      </c>
      <c r="E1270" s="1" t="s">
        <v>2314</v>
      </c>
    </row>
    <row r="1271" spans="1:5" x14ac:dyDescent="0.35">
      <c r="A1271" s="1" t="s">
        <v>2594</v>
      </c>
      <c r="B1271" s="45" t="s">
        <v>2595</v>
      </c>
      <c r="C1271">
        <v>1</v>
      </c>
      <c r="E1271" s="1" t="s">
        <v>2314</v>
      </c>
    </row>
    <row r="1272" spans="1:5" x14ac:dyDescent="0.35">
      <c r="A1272" s="1" t="s">
        <v>2596</v>
      </c>
      <c r="B1272" s="45" t="s">
        <v>2597</v>
      </c>
      <c r="C1272">
        <v>1</v>
      </c>
      <c r="E1272" s="1" t="s">
        <v>2314</v>
      </c>
    </row>
    <row r="1273" spans="1:5" x14ac:dyDescent="0.35">
      <c r="A1273" s="1" t="s">
        <v>2598</v>
      </c>
      <c r="B1273" s="45" t="s">
        <v>2599</v>
      </c>
      <c r="C1273">
        <v>1</v>
      </c>
      <c r="E1273" s="1" t="s">
        <v>2314</v>
      </c>
    </row>
    <row r="1274" spans="1:5" x14ac:dyDescent="0.35">
      <c r="A1274" s="1" t="s">
        <v>2600</v>
      </c>
      <c r="B1274" s="45" t="s">
        <v>562</v>
      </c>
      <c r="C1274">
        <v>1</v>
      </c>
      <c r="E1274" s="1" t="s">
        <v>2314</v>
      </c>
    </row>
    <row r="1275" spans="1:5" x14ac:dyDescent="0.35">
      <c r="A1275" s="1" t="s">
        <v>2601</v>
      </c>
      <c r="B1275" s="45" t="s">
        <v>2602</v>
      </c>
      <c r="C1275">
        <v>1</v>
      </c>
      <c r="E1275" s="1" t="s">
        <v>2314</v>
      </c>
    </row>
    <row r="1276" spans="1:5" x14ac:dyDescent="0.35">
      <c r="A1276" s="1" t="s">
        <v>2603</v>
      </c>
      <c r="B1276" s="45" t="s">
        <v>2604</v>
      </c>
      <c r="C1276">
        <v>1</v>
      </c>
      <c r="E1276" s="1" t="s">
        <v>2314</v>
      </c>
    </row>
    <row r="1277" spans="1:5" x14ac:dyDescent="0.35">
      <c r="A1277" s="1" t="s">
        <v>2605</v>
      </c>
      <c r="B1277" s="45" t="s">
        <v>2606</v>
      </c>
      <c r="C1277">
        <v>1</v>
      </c>
      <c r="E1277" s="1" t="s">
        <v>2314</v>
      </c>
    </row>
    <row r="1278" spans="1:5" x14ac:dyDescent="0.35">
      <c r="A1278" s="1" t="s">
        <v>2607</v>
      </c>
      <c r="B1278" s="45" t="s">
        <v>654</v>
      </c>
      <c r="C1278">
        <v>1</v>
      </c>
      <c r="E1278" s="1" t="s">
        <v>2314</v>
      </c>
    </row>
    <row r="1279" spans="1:5" x14ac:dyDescent="0.35">
      <c r="A1279" s="1" t="s">
        <v>2608</v>
      </c>
      <c r="B1279" s="45" t="s">
        <v>638</v>
      </c>
      <c r="C1279">
        <v>1</v>
      </c>
      <c r="E1279" s="1" t="s">
        <v>2314</v>
      </c>
    </row>
    <row r="1280" spans="1:5" x14ac:dyDescent="0.35">
      <c r="A1280" s="1" t="s">
        <v>2609</v>
      </c>
      <c r="B1280" s="45" t="s">
        <v>2610</v>
      </c>
      <c r="C1280">
        <v>1</v>
      </c>
      <c r="E1280" s="1" t="s">
        <v>2314</v>
      </c>
    </row>
    <row r="1281" spans="1:5" x14ac:dyDescent="0.35">
      <c r="A1281" s="1" t="s">
        <v>2611</v>
      </c>
      <c r="B1281" s="45" t="s">
        <v>2612</v>
      </c>
      <c r="C1281">
        <v>1</v>
      </c>
      <c r="E1281" s="1" t="s">
        <v>2314</v>
      </c>
    </row>
    <row r="1282" spans="1:5" x14ac:dyDescent="0.35">
      <c r="A1282" s="1" t="s">
        <v>2613</v>
      </c>
      <c r="B1282" s="45" t="s">
        <v>468</v>
      </c>
      <c r="C1282">
        <v>1</v>
      </c>
      <c r="E1282" s="1" t="s">
        <v>2314</v>
      </c>
    </row>
    <row r="1283" spans="1:5" x14ac:dyDescent="0.35">
      <c r="A1283" s="1" t="s">
        <v>2614</v>
      </c>
      <c r="B1283" s="45" t="s">
        <v>2615</v>
      </c>
      <c r="C1283">
        <v>1</v>
      </c>
      <c r="E1283" s="1" t="s">
        <v>2314</v>
      </c>
    </row>
    <row r="1284" spans="1:5" x14ac:dyDescent="0.35">
      <c r="A1284" s="1" t="s">
        <v>2616</v>
      </c>
      <c r="B1284" s="45" t="s">
        <v>508</v>
      </c>
      <c r="C1284">
        <v>1</v>
      </c>
      <c r="E1284" s="1" t="s">
        <v>2314</v>
      </c>
    </row>
    <row r="1285" spans="1:5" x14ac:dyDescent="0.35">
      <c r="A1285" s="1" t="s">
        <v>2617</v>
      </c>
      <c r="B1285" s="45" t="s">
        <v>2618</v>
      </c>
      <c r="C1285">
        <v>1</v>
      </c>
      <c r="E1285" s="1" t="s">
        <v>2314</v>
      </c>
    </row>
    <row r="1286" spans="1:5" x14ac:dyDescent="0.35">
      <c r="A1286" s="1" t="s">
        <v>2619</v>
      </c>
      <c r="B1286" s="45" t="s">
        <v>2620</v>
      </c>
      <c r="C1286">
        <v>1</v>
      </c>
      <c r="E1286" s="1" t="s">
        <v>2314</v>
      </c>
    </row>
    <row r="1287" spans="1:5" x14ac:dyDescent="0.35">
      <c r="A1287" s="1" t="s">
        <v>2621</v>
      </c>
      <c r="B1287" s="45" t="s">
        <v>2142</v>
      </c>
      <c r="C1287">
        <v>1</v>
      </c>
      <c r="E1287" s="1" t="s">
        <v>2314</v>
      </c>
    </row>
    <row r="1288" spans="1:5" x14ac:dyDescent="0.35">
      <c r="A1288" s="1" t="s">
        <v>2622</v>
      </c>
      <c r="B1288" s="45" t="s">
        <v>2623</v>
      </c>
      <c r="C1288">
        <v>1</v>
      </c>
      <c r="E1288" s="1" t="s">
        <v>2314</v>
      </c>
    </row>
    <row r="1289" spans="1:5" x14ac:dyDescent="0.35">
      <c r="A1289" s="1" t="s">
        <v>2624</v>
      </c>
      <c r="B1289" s="45" t="s">
        <v>2625</v>
      </c>
      <c r="C1289">
        <v>1</v>
      </c>
      <c r="E1289" s="1" t="s">
        <v>2314</v>
      </c>
    </row>
    <row r="1290" spans="1:5" x14ac:dyDescent="0.35">
      <c r="A1290" s="1" t="s">
        <v>2626</v>
      </c>
      <c r="B1290" s="45" t="s">
        <v>2627</v>
      </c>
      <c r="C1290">
        <v>1</v>
      </c>
      <c r="E1290" s="1" t="s">
        <v>2314</v>
      </c>
    </row>
    <row r="1291" spans="1:5" x14ac:dyDescent="0.35">
      <c r="A1291" s="1" t="s">
        <v>2628</v>
      </c>
      <c r="B1291" s="45" t="s">
        <v>2629</v>
      </c>
      <c r="C1291">
        <v>1</v>
      </c>
      <c r="E1291" s="1" t="s">
        <v>2314</v>
      </c>
    </row>
    <row r="1292" spans="1:5" x14ac:dyDescent="0.35">
      <c r="A1292" s="1" t="s">
        <v>2630</v>
      </c>
      <c r="B1292" s="45" t="s">
        <v>2631</v>
      </c>
      <c r="C1292">
        <v>1</v>
      </c>
      <c r="E1292" s="1" t="s">
        <v>2314</v>
      </c>
    </row>
    <row r="1293" spans="1:5" x14ac:dyDescent="0.35">
      <c r="A1293" s="1" t="s">
        <v>2632</v>
      </c>
      <c r="B1293" s="45" t="s">
        <v>1001</v>
      </c>
      <c r="C1293">
        <v>1</v>
      </c>
      <c r="E1293" s="1" t="s">
        <v>2314</v>
      </c>
    </row>
    <row r="1294" spans="1:5" x14ac:dyDescent="0.35">
      <c r="A1294" s="1" t="s">
        <v>2633</v>
      </c>
      <c r="B1294" s="45" t="s">
        <v>480</v>
      </c>
      <c r="C1294">
        <v>1</v>
      </c>
      <c r="E1294" s="1" t="s">
        <v>2314</v>
      </c>
    </row>
    <row r="1295" spans="1:5" x14ac:dyDescent="0.35">
      <c r="A1295" s="1" t="s">
        <v>2634</v>
      </c>
      <c r="B1295" s="45" t="s">
        <v>2635</v>
      </c>
      <c r="C1295">
        <v>1</v>
      </c>
      <c r="E1295" s="1" t="s">
        <v>2314</v>
      </c>
    </row>
    <row r="1296" spans="1:5" x14ac:dyDescent="0.35">
      <c r="A1296" s="1" t="s">
        <v>2636</v>
      </c>
      <c r="B1296" s="45" t="s">
        <v>2637</v>
      </c>
      <c r="C1296">
        <v>1</v>
      </c>
      <c r="E1296" s="1" t="s">
        <v>2314</v>
      </c>
    </row>
    <row r="1297" spans="1:5" x14ac:dyDescent="0.35">
      <c r="A1297" s="1" t="s">
        <v>2638</v>
      </c>
      <c r="B1297" s="45" t="s">
        <v>2639</v>
      </c>
      <c r="C1297">
        <v>1</v>
      </c>
      <c r="E1297" s="1" t="s">
        <v>2314</v>
      </c>
    </row>
    <row r="1298" spans="1:5" x14ac:dyDescent="0.35">
      <c r="A1298" s="1" t="s">
        <v>2640</v>
      </c>
      <c r="B1298" s="45" t="s">
        <v>2641</v>
      </c>
      <c r="C1298">
        <v>1</v>
      </c>
      <c r="E1298" s="1" t="s">
        <v>2314</v>
      </c>
    </row>
    <row r="1299" spans="1:5" x14ac:dyDescent="0.35">
      <c r="A1299" s="1" t="s">
        <v>2642</v>
      </c>
      <c r="B1299" s="45" t="s">
        <v>2643</v>
      </c>
      <c r="C1299">
        <v>1</v>
      </c>
      <c r="E1299" s="1" t="s">
        <v>2314</v>
      </c>
    </row>
    <row r="1300" spans="1:5" x14ac:dyDescent="0.35">
      <c r="A1300" s="1" t="s">
        <v>2644</v>
      </c>
      <c r="B1300" s="45" t="s">
        <v>590</v>
      </c>
      <c r="C1300">
        <v>1</v>
      </c>
      <c r="E1300" s="1" t="s">
        <v>2314</v>
      </c>
    </row>
    <row r="1301" spans="1:5" x14ac:dyDescent="0.35">
      <c r="A1301" s="1" t="s">
        <v>2645</v>
      </c>
      <c r="B1301" s="45" t="s">
        <v>2646</v>
      </c>
      <c r="C1301">
        <v>1</v>
      </c>
      <c r="E1301" s="1" t="s">
        <v>2314</v>
      </c>
    </row>
    <row r="1302" spans="1:5" x14ac:dyDescent="0.35">
      <c r="A1302" s="1" t="s">
        <v>2647</v>
      </c>
      <c r="B1302" s="45" t="s">
        <v>2648</v>
      </c>
      <c r="C1302">
        <v>1</v>
      </c>
      <c r="E1302" s="1" t="s">
        <v>2314</v>
      </c>
    </row>
    <row r="1303" spans="1:5" x14ac:dyDescent="0.35">
      <c r="A1303" s="1" t="s">
        <v>2649</v>
      </c>
      <c r="B1303" s="45" t="s">
        <v>2136</v>
      </c>
      <c r="C1303">
        <v>1</v>
      </c>
      <c r="E1303" s="1" t="s">
        <v>2314</v>
      </c>
    </row>
    <row r="1304" spans="1:5" x14ac:dyDescent="0.35">
      <c r="A1304" s="1" t="s">
        <v>2650</v>
      </c>
      <c r="B1304" s="45" t="s">
        <v>2651</v>
      </c>
      <c r="C1304">
        <v>1</v>
      </c>
      <c r="E1304" s="1" t="s">
        <v>2314</v>
      </c>
    </row>
    <row r="1305" spans="1:5" x14ac:dyDescent="0.35">
      <c r="A1305" s="1" t="s">
        <v>2652</v>
      </c>
      <c r="B1305" s="45" t="s">
        <v>2653</v>
      </c>
      <c r="C1305">
        <v>1</v>
      </c>
      <c r="E1305" s="1" t="s">
        <v>2314</v>
      </c>
    </row>
    <row r="1306" spans="1:5" x14ac:dyDescent="0.35">
      <c r="A1306" s="1" t="s">
        <v>2654</v>
      </c>
      <c r="B1306" s="45" t="s">
        <v>2655</v>
      </c>
      <c r="C1306">
        <v>1</v>
      </c>
      <c r="E1306" s="1" t="s">
        <v>2314</v>
      </c>
    </row>
    <row r="1307" spans="1:5" x14ac:dyDescent="0.35">
      <c r="A1307" s="1" t="s">
        <v>2656</v>
      </c>
      <c r="B1307" s="45" t="s">
        <v>518</v>
      </c>
      <c r="C1307">
        <v>1</v>
      </c>
      <c r="E1307" s="1" t="s">
        <v>2314</v>
      </c>
    </row>
    <row r="1308" spans="1:5" x14ac:dyDescent="0.35">
      <c r="A1308" s="1" t="s">
        <v>2657</v>
      </c>
      <c r="B1308" s="45" t="s">
        <v>2658</v>
      </c>
      <c r="C1308">
        <v>1</v>
      </c>
      <c r="E1308" s="1" t="s">
        <v>2314</v>
      </c>
    </row>
    <row r="1309" spans="1:5" x14ac:dyDescent="0.35">
      <c r="A1309" s="1" t="s">
        <v>2659</v>
      </c>
      <c r="B1309" s="45" t="s">
        <v>2660</v>
      </c>
      <c r="C1309">
        <v>1</v>
      </c>
      <c r="E1309" s="1" t="s">
        <v>2314</v>
      </c>
    </row>
    <row r="1310" spans="1:5" x14ac:dyDescent="0.35">
      <c r="A1310" s="1" t="s">
        <v>2661</v>
      </c>
      <c r="B1310" s="45" t="s">
        <v>656</v>
      </c>
      <c r="C1310">
        <v>1</v>
      </c>
      <c r="E1310" s="1" t="s">
        <v>2314</v>
      </c>
    </row>
    <row r="1311" spans="1:5" x14ac:dyDescent="0.35">
      <c r="A1311" s="1" t="s">
        <v>2662</v>
      </c>
      <c r="B1311" s="45" t="s">
        <v>2663</v>
      </c>
      <c r="C1311">
        <v>1</v>
      </c>
      <c r="E1311" s="1" t="s">
        <v>2314</v>
      </c>
    </row>
    <row r="1312" spans="1:5" x14ac:dyDescent="0.35">
      <c r="A1312" s="1" t="s">
        <v>2664</v>
      </c>
      <c r="B1312" s="45" t="s">
        <v>2665</v>
      </c>
      <c r="C1312">
        <v>1</v>
      </c>
      <c r="E1312" s="1" t="s">
        <v>2314</v>
      </c>
    </row>
    <row r="1313" spans="1:5" x14ac:dyDescent="0.35">
      <c r="A1313" s="1" t="s">
        <v>2666</v>
      </c>
      <c r="B1313" s="45" t="s">
        <v>572</v>
      </c>
      <c r="C1313">
        <v>1</v>
      </c>
      <c r="E1313" s="1" t="s">
        <v>2314</v>
      </c>
    </row>
    <row r="1314" spans="1:5" x14ac:dyDescent="0.35">
      <c r="A1314" s="1" t="s">
        <v>2667</v>
      </c>
      <c r="B1314" s="45" t="s">
        <v>2668</v>
      </c>
      <c r="C1314">
        <v>1</v>
      </c>
      <c r="E1314" s="1" t="s">
        <v>2314</v>
      </c>
    </row>
    <row r="1315" spans="1:5" x14ac:dyDescent="0.35">
      <c r="A1315" s="1" t="s">
        <v>2669</v>
      </c>
      <c r="B1315" s="45" t="s">
        <v>2670</v>
      </c>
      <c r="C1315">
        <v>1</v>
      </c>
      <c r="E1315" s="1" t="s">
        <v>2314</v>
      </c>
    </row>
    <row r="1316" spans="1:5" x14ac:dyDescent="0.35">
      <c r="A1316" s="1" t="s">
        <v>2671</v>
      </c>
      <c r="B1316" s="45" t="s">
        <v>2672</v>
      </c>
      <c r="C1316">
        <v>1</v>
      </c>
      <c r="E1316" s="1" t="s">
        <v>2314</v>
      </c>
    </row>
    <row r="1317" spans="1:5" x14ac:dyDescent="0.35">
      <c r="A1317" s="1" t="s">
        <v>2673</v>
      </c>
      <c r="B1317" s="45" t="s">
        <v>2674</v>
      </c>
      <c r="C1317">
        <v>1</v>
      </c>
      <c r="E1317" s="1" t="s">
        <v>2314</v>
      </c>
    </row>
    <row r="1318" spans="1:5" x14ac:dyDescent="0.35">
      <c r="A1318" s="1" t="s">
        <v>2675</v>
      </c>
      <c r="B1318" s="45" t="s">
        <v>977</v>
      </c>
      <c r="C1318">
        <v>1</v>
      </c>
      <c r="E1318" s="1" t="s">
        <v>2314</v>
      </c>
    </row>
    <row r="1319" spans="1:5" x14ac:dyDescent="0.35">
      <c r="A1319" s="1" t="s">
        <v>2676</v>
      </c>
      <c r="B1319" s="45" t="s">
        <v>2677</v>
      </c>
      <c r="C1319">
        <v>1</v>
      </c>
      <c r="E1319" s="1" t="s">
        <v>2314</v>
      </c>
    </row>
    <row r="1320" spans="1:5" x14ac:dyDescent="0.35">
      <c r="A1320" s="1" t="s">
        <v>2678</v>
      </c>
      <c r="B1320" s="45" t="s">
        <v>2679</v>
      </c>
      <c r="C1320">
        <v>1</v>
      </c>
      <c r="E1320" s="1" t="s">
        <v>2314</v>
      </c>
    </row>
    <row r="1321" spans="1:5" x14ac:dyDescent="0.35">
      <c r="A1321" s="1" t="s">
        <v>2680</v>
      </c>
      <c r="B1321" s="45" t="s">
        <v>2681</v>
      </c>
      <c r="C1321">
        <v>1</v>
      </c>
      <c r="E1321" s="1" t="s">
        <v>2314</v>
      </c>
    </row>
    <row r="1322" spans="1:5" x14ac:dyDescent="0.35">
      <c r="A1322" s="1" t="s">
        <v>2682</v>
      </c>
      <c r="B1322" s="45" t="s">
        <v>2683</v>
      </c>
      <c r="C1322">
        <v>1</v>
      </c>
      <c r="E1322" s="1" t="s">
        <v>2314</v>
      </c>
    </row>
    <row r="1323" spans="1:5" x14ac:dyDescent="0.35">
      <c r="A1323" s="1" t="s">
        <v>2684</v>
      </c>
      <c r="B1323" s="45" t="s">
        <v>2685</v>
      </c>
      <c r="C1323">
        <v>1</v>
      </c>
      <c r="E1323" s="1" t="s">
        <v>2314</v>
      </c>
    </row>
    <row r="1324" spans="1:5" x14ac:dyDescent="0.35">
      <c r="A1324" s="1" t="s">
        <v>2686</v>
      </c>
      <c r="B1324" s="45" t="s">
        <v>2687</v>
      </c>
      <c r="C1324">
        <v>1</v>
      </c>
      <c r="E1324" s="1" t="s">
        <v>2314</v>
      </c>
    </row>
    <row r="1325" spans="1:5" x14ac:dyDescent="0.35">
      <c r="A1325" s="1" t="s">
        <v>2688</v>
      </c>
      <c r="B1325" s="45" t="s">
        <v>1019</v>
      </c>
      <c r="C1325">
        <v>1</v>
      </c>
      <c r="E1325" s="1" t="s">
        <v>2314</v>
      </c>
    </row>
    <row r="1326" spans="1:5" x14ac:dyDescent="0.35">
      <c r="A1326" s="1" t="s">
        <v>2689</v>
      </c>
      <c r="B1326" s="45" t="s">
        <v>2690</v>
      </c>
      <c r="C1326">
        <v>1</v>
      </c>
      <c r="E1326" s="1" t="s">
        <v>2314</v>
      </c>
    </row>
    <row r="1327" spans="1:5" x14ac:dyDescent="0.35">
      <c r="A1327" s="1" t="s">
        <v>2691</v>
      </c>
      <c r="B1327" s="45" t="s">
        <v>2692</v>
      </c>
      <c r="C1327">
        <v>1</v>
      </c>
      <c r="E1327" s="1" t="s">
        <v>2314</v>
      </c>
    </row>
    <row r="1328" spans="1:5" x14ac:dyDescent="0.35">
      <c r="A1328" s="1" t="s">
        <v>2693</v>
      </c>
      <c r="B1328" s="45" t="s">
        <v>2694</v>
      </c>
      <c r="C1328">
        <v>1</v>
      </c>
      <c r="E1328" s="1" t="s">
        <v>2314</v>
      </c>
    </row>
    <row r="1329" spans="1:5" x14ac:dyDescent="0.35">
      <c r="A1329" s="1" t="s">
        <v>2695</v>
      </c>
      <c r="B1329" s="45" t="s">
        <v>580</v>
      </c>
      <c r="C1329">
        <v>1</v>
      </c>
      <c r="E1329" s="1" t="s">
        <v>2314</v>
      </c>
    </row>
    <row r="1330" spans="1:5" x14ac:dyDescent="0.35">
      <c r="A1330" s="1" t="s">
        <v>2696</v>
      </c>
      <c r="B1330" s="45" t="s">
        <v>592</v>
      </c>
      <c r="C1330">
        <v>1</v>
      </c>
      <c r="E1330" s="1" t="s">
        <v>2314</v>
      </c>
    </row>
    <row r="1331" spans="1:5" x14ac:dyDescent="0.35">
      <c r="A1331" s="1" t="s">
        <v>2697</v>
      </c>
      <c r="B1331" s="45" t="s">
        <v>2698</v>
      </c>
      <c r="C1331">
        <v>1</v>
      </c>
      <c r="E1331" s="1" t="s">
        <v>2314</v>
      </c>
    </row>
    <row r="1332" spans="1:5" x14ac:dyDescent="0.35">
      <c r="A1332" s="1" t="s">
        <v>2699</v>
      </c>
      <c r="B1332" s="45" t="s">
        <v>2700</v>
      </c>
      <c r="C1332">
        <v>1</v>
      </c>
      <c r="E1332" s="1" t="s">
        <v>2314</v>
      </c>
    </row>
    <row r="1333" spans="1:5" x14ac:dyDescent="0.35">
      <c r="A1333" s="1" t="s">
        <v>2701</v>
      </c>
      <c r="B1333" s="45" t="s">
        <v>2702</v>
      </c>
      <c r="C1333">
        <v>1</v>
      </c>
      <c r="E1333" s="1" t="s">
        <v>2314</v>
      </c>
    </row>
    <row r="1334" spans="1:5" x14ac:dyDescent="0.35">
      <c r="A1334" s="1" t="s">
        <v>2703</v>
      </c>
      <c r="B1334" s="45" t="s">
        <v>2704</v>
      </c>
      <c r="C1334">
        <v>1</v>
      </c>
      <c r="E1334" s="1" t="s">
        <v>2314</v>
      </c>
    </row>
    <row r="1335" spans="1:5" x14ac:dyDescent="0.35">
      <c r="A1335" s="1" t="s">
        <v>2705</v>
      </c>
      <c r="B1335" s="45" t="s">
        <v>613</v>
      </c>
      <c r="C1335">
        <v>1</v>
      </c>
      <c r="E1335" s="1" t="s">
        <v>2314</v>
      </c>
    </row>
    <row r="1336" spans="1:5" x14ac:dyDescent="0.35">
      <c r="A1336" s="1" t="s">
        <v>2706</v>
      </c>
      <c r="B1336" s="45" t="s">
        <v>534</v>
      </c>
      <c r="C1336">
        <v>1</v>
      </c>
      <c r="E1336" s="1" t="s">
        <v>2314</v>
      </c>
    </row>
    <row r="1337" spans="1:5" x14ac:dyDescent="0.35">
      <c r="A1337" s="1" t="s">
        <v>2707</v>
      </c>
      <c r="B1337" s="45" t="s">
        <v>2708</v>
      </c>
      <c r="C1337">
        <v>1</v>
      </c>
      <c r="E1337" s="1" t="s">
        <v>2314</v>
      </c>
    </row>
    <row r="1338" spans="1:5" x14ac:dyDescent="0.35">
      <c r="A1338" s="1" t="s">
        <v>2709</v>
      </c>
      <c r="B1338" s="45" t="s">
        <v>2710</v>
      </c>
      <c r="C1338">
        <v>1</v>
      </c>
      <c r="E1338" s="1" t="s">
        <v>2314</v>
      </c>
    </row>
    <row r="1339" spans="1:5" x14ac:dyDescent="0.35">
      <c r="A1339" s="1" t="s">
        <v>2711</v>
      </c>
      <c r="B1339" s="45" t="s">
        <v>2712</v>
      </c>
      <c r="C1339">
        <v>1</v>
      </c>
      <c r="E1339" s="1" t="s">
        <v>2314</v>
      </c>
    </row>
    <row r="1340" spans="1:5" x14ac:dyDescent="0.35">
      <c r="A1340" s="1" t="s">
        <v>2713</v>
      </c>
      <c r="B1340" s="45" t="s">
        <v>929</v>
      </c>
      <c r="C1340">
        <v>1</v>
      </c>
      <c r="E1340" s="1" t="s">
        <v>2314</v>
      </c>
    </row>
    <row r="1341" spans="1:5" x14ac:dyDescent="0.35">
      <c r="A1341" s="1" t="s">
        <v>2714</v>
      </c>
      <c r="B1341" s="45" t="s">
        <v>2715</v>
      </c>
      <c r="C1341">
        <v>1</v>
      </c>
      <c r="E1341" s="1" t="s">
        <v>2314</v>
      </c>
    </row>
    <row r="1342" spans="1:5" x14ac:dyDescent="0.35">
      <c r="A1342" s="1" t="s">
        <v>2716</v>
      </c>
      <c r="B1342" s="45" t="s">
        <v>602</v>
      </c>
      <c r="C1342">
        <v>1</v>
      </c>
      <c r="E1342" s="1" t="s">
        <v>2314</v>
      </c>
    </row>
    <row r="1343" spans="1:5" x14ac:dyDescent="0.35">
      <c r="A1343" s="1" t="s">
        <v>2717</v>
      </c>
      <c r="B1343" s="45" t="s">
        <v>2718</v>
      </c>
      <c r="C1343">
        <v>1</v>
      </c>
      <c r="E1343" s="1" t="s">
        <v>2314</v>
      </c>
    </row>
    <row r="1344" spans="1:5" x14ac:dyDescent="0.35">
      <c r="A1344" s="1" t="s">
        <v>2719</v>
      </c>
      <c r="B1344" s="45" t="s">
        <v>644</v>
      </c>
      <c r="C1344">
        <v>1</v>
      </c>
      <c r="E1344" s="1" t="s">
        <v>2314</v>
      </c>
    </row>
    <row r="1345" spans="1:5" x14ac:dyDescent="0.35">
      <c r="A1345" s="1" t="s">
        <v>2720</v>
      </c>
      <c r="B1345" s="45" t="s">
        <v>2721</v>
      </c>
      <c r="C1345">
        <v>1</v>
      </c>
      <c r="E1345" s="1" t="s">
        <v>2314</v>
      </c>
    </row>
    <row r="1346" spans="1:5" x14ac:dyDescent="0.35">
      <c r="A1346" s="1" t="s">
        <v>2722</v>
      </c>
      <c r="B1346" s="45" t="s">
        <v>2723</v>
      </c>
      <c r="C1346">
        <v>1</v>
      </c>
      <c r="E1346" s="1" t="s">
        <v>2314</v>
      </c>
    </row>
    <row r="1347" spans="1:5" x14ac:dyDescent="0.35">
      <c r="A1347" s="1" t="s">
        <v>2724</v>
      </c>
      <c r="B1347" s="45" t="s">
        <v>2725</v>
      </c>
      <c r="C1347">
        <v>1</v>
      </c>
      <c r="E1347" s="1" t="s">
        <v>2314</v>
      </c>
    </row>
    <row r="1348" spans="1:5" x14ac:dyDescent="0.35">
      <c r="A1348" s="1" t="s">
        <v>2726</v>
      </c>
      <c r="B1348" s="45" t="s">
        <v>2727</v>
      </c>
      <c r="C1348">
        <v>1</v>
      </c>
      <c r="E1348" s="1" t="s">
        <v>2314</v>
      </c>
    </row>
    <row r="1349" spans="1:5" x14ac:dyDescent="0.35">
      <c r="A1349" s="1" t="s">
        <v>2728</v>
      </c>
      <c r="B1349" s="45" t="s">
        <v>2729</v>
      </c>
      <c r="C1349">
        <v>1</v>
      </c>
      <c r="E1349" s="1" t="s">
        <v>2314</v>
      </c>
    </row>
    <row r="1350" spans="1:5" x14ac:dyDescent="0.35">
      <c r="A1350" s="1" t="s">
        <v>2730</v>
      </c>
      <c r="B1350" s="45" t="s">
        <v>897</v>
      </c>
      <c r="C1350">
        <v>1</v>
      </c>
      <c r="E1350" s="1" t="s">
        <v>2314</v>
      </c>
    </row>
    <row r="1351" spans="1:5" x14ac:dyDescent="0.35">
      <c r="A1351" s="1" t="s">
        <v>2731</v>
      </c>
      <c r="B1351" s="45" t="s">
        <v>2732</v>
      </c>
      <c r="C1351">
        <v>1</v>
      </c>
      <c r="E1351" s="1" t="s">
        <v>2314</v>
      </c>
    </row>
    <row r="1352" spans="1:5" x14ac:dyDescent="0.35">
      <c r="A1352" s="1" t="s">
        <v>2733</v>
      </c>
      <c r="B1352" s="45" t="s">
        <v>554</v>
      </c>
      <c r="C1352">
        <v>1</v>
      </c>
      <c r="E1352" s="1" t="s">
        <v>2314</v>
      </c>
    </row>
    <row r="1353" spans="1:5" x14ac:dyDescent="0.35">
      <c r="A1353" s="1" t="s">
        <v>2734</v>
      </c>
      <c r="B1353" s="45" t="s">
        <v>2735</v>
      </c>
      <c r="C1353">
        <v>1</v>
      </c>
      <c r="E1353" s="1" t="s">
        <v>2314</v>
      </c>
    </row>
    <row r="1354" spans="1:5" x14ac:dyDescent="0.35">
      <c r="A1354" s="1" t="s">
        <v>2736</v>
      </c>
      <c r="B1354" s="45" t="s">
        <v>2737</v>
      </c>
      <c r="C1354">
        <v>1</v>
      </c>
      <c r="E1354" s="1" t="s">
        <v>2314</v>
      </c>
    </row>
    <row r="1355" spans="1:5" x14ac:dyDescent="0.35">
      <c r="A1355" s="1" t="s">
        <v>2738</v>
      </c>
      <c r="B1355" s="45" t="s">
        <v>546</v>
      </c>
      <c r="C1355">
        <v>1</v>
      </c>
      <c r="E1355" s="1" t="s">
        <v>2314</v>
      </c>
    </row>
    <row r="1356" spans="1:5" x14ac:dyDescent="0.35">
      <c r="A1356" s="1" t="s">
        <v>2739</v>
      </c>
      <c r="B1356" s="45" t="s">
        <v>2740</v>
      </c>
      <c r="C1356">
        <v>1</v>
      </c>
      <c r="E1356" s="1" t="s">
        <v>2314</v>
      </c>
    </row>
    <row r="1357" spans="1:5" x14ac:dyDescent="0.35">
      <c r="A1357" s="1" t="s">
        <v>2741</v>
      </c>
      <c r="B1357" s="45" t="s">
        <v>2742</v>
      </c>
      <c r="C1357">
        <v>1</v>
      </c>
      <c r="E1357" s="1" t="s">
        <v>2314</v>
      </c>
    </row>
    <row r="1358" spans="1:5" x14ac:dyDescent="0.35">
      <c r="A1358" s="1" t="s">
        <v>2743</v>
      </c>
      <c r="B1358" s="45" t="s">
        <v>2744</v>
      </c>
      <c r="C1358">
        <v>1</v>
      </c>
      <c r="E1358" s="1" t="s">
        <v>2314</v>
      </c>
    </row>
    <row r="1359" spans="1:5" x14ac:dyDescent="0.35">
      <c r="A1359" s="1" t="s">
        <v>2745</v>
      </c>
      <c r="B1359" s="45" t="s">
        <v>2746</v>
      </c>
      <c r="C1359">
        <v>1</v>
      </c>
      <c r="E1359" s="1" t="s">
        <v>2314</v>
      </c>
    </row>
    <row r="1360" spans="1:5" x14ac:dyDescent="0.35">
      <c r="A1360" s="1" t="s">
        <v>2747</v>
      </c>
      <c r="B1360" s="45" t="s">
        <v>2748</v>
      </c>
      <c r="C1360">
        <v>1</v>
      </c>
      <c r="E1360" s="1" t="s">
        <v>2314</v>
      </c>
    </row>
    <row r="1361" spans="1:5" x14ac:dyDescent="0.35">
      <c r="A1361" s="1" t="s">
        <v>2749</v>
      </c>
      <c r="B1361" s="45" t="s">
        <v>646</v>
      </c>
      <c r="C1361">
        <v>1</v>
      </c>
      <c r="E1361" s="1" t="s">
        <v>2314</v>
      </c>
    </row>
    <row r="1362" spans="1:5" x14ac:dyDescent="0.35">
      <c r="A1362" s="1" t="s">
        <v>2750</v>
      </c>
      <c r="B1362" s="45" t="s">
        <v>2751</v>
      </c>
      <c r="C1362">
        <v>1</v>
      </c>
      <c r="E1362" s="1" t="s">
        <v>2314</v>
      </c>
    </row>
    <row r="1363" spans="1:5" x14ac:dyDescent="0.35">
      <c r="A1363" s="1" t="s">
        <v>2752</v>
      </c>
      <c r="B1363" s="45" t="s">
        <v>2753</v>
      </c>
      <c r="C1363">
        <v>1</v>
      </c>
      <c r="E1363" s="1" t="s">
        <v>2314</v>
      </c>
    </row>
    <row r="1364" spans="1:5" x14ac:dyDescent="0.35">
      <c r="A1364" s="1" t="s">
        <v>2754</v>
      </c>
      <c r="B1364" s="45" t="s">
        <v>2755</v>
      </c>
      <c r="C1364">
        <v>1</v>
      </c>
      <c r="E1364" s="1" t="s">
        <v>2314</v>
      </c>
    </row>
    <row r="1365" spans="1:5" x14ac:dyDescent="0.35">
      <c r="A1365" s="1" t="s">
        <v>2756</v>
      </c>
      <c r="B1365" s="45" t="s">
        <v>640</v>
      </c>
      <c r="C1365">
        <v>1</v>
      </c>
      <c r="E1365" s="1" t="s">
        <v>2314</v>
      </c>
    </row>
    <row r="1366" spans="1:5" x14ac:dyDescent="0.35">
      <c r="A1366" s="1" t="s">
        <v>2757</v>
      </c>
      <c r="B1366" s="45" t="s">
        <v>2758</v>
      </c>
      <c r="C1366">
        <v>1</v>
      </c>
      <c r="E1366" s="1" t="s">
        <v>2314</v>
      </c>
    </row>
    <row r="1367" spans="1:5" x14ac:dyDescent="0.35">
      <c r="A1367" s="1" t="s">
        <v>2759</v>
      </c>
      <c r="B1367" s="45" t="s">
        <v>2760</v>
      </c>
      <c r="C1367">
        <v>1</v>
      </c>
      <c r="E1367" s="1" t="s">
        <v>2314</v>
      </c>
    </row>
    <row r="1368" spans="1:5" x14ac:dyDescent="0.35">
      <c r="A1368" s="1" t="s">
        <v>2761</v>
      </c>
      <c r="B1368" s="45" t="s">
        <v>2762</v>
      </c>
      <c r="C1368">
        <v>1</v>
      </c>
      <c r="E1368" s="1" t="s">
        <v>2314</v>
      </c>
    </row>
    <row r="1369" spans="1:5" x14ac:dyDescent="0.35">
      <c r="A1369" s="1" t="s">
        <v>2763</v>
      </c>
      <c r="B1369" s="45" t="s">
        <v>2764</v>
      </c>
      <c r="C1369">
        <v>1</v>
      </c>
      <c r="E1369" s="1" t="s">
        <v>2314</v>
      </c>
    </row>
    <row r="1370" spans="1:5" x14ac:dyDescent="0.35">
      <c r="A1370" s="1" t="s">
        <v>2765</v>
      </c>
      <c r="B1370" s="45" t="s">
        <v>2766</v>
      </c>
      <c r="C1370">
        <v>1</v>
      </c>
      <c r="E1370" s="1" t="s">
        <v>2314</v>
      </c>
    </row>
    <row r="1371" spans="1:5" x14ac:dyDescent="0.35">
      <c r="A1371" s="1" t="s">
        <v>2767</v>
      </c>
      <c r="B1371" s="45" t="s">
        <v>2768</v>
      </c>
      <c r="C1371">
        <v>1</v>
      </c>
      <c r="E1371" s="1" t="s">
        <v>2314</v>
      </c>
    </row>
    <row r="1372" spans="1:5" x14ac:dyDescent="0.35">
      <c r="A1372" s="1" t="s">
        <v>2769</v>
      </c>
      <c r="B1372" s="45" t="s">
        <v>2770</v>
      </c>
      <c r="C1372">
        <v>1</v>
      </c>
      <c r="E1372" s="1" t="s">
        <v>2314</v>
      </c>
    </row>
    <row r="1373" spans="1:5" x14ac:dyDescent="0.35">
      <c r="A1373" s="1" t="s">
        <v>2771</v>
      </c>
      <c r="B1373" s="45" t="s">
        <v>2772</v>
      </c>
      <c r="C1373">
        <v>1</v>
      </c>
      <c r="E1373" s="1" t="s">
        <v>2314</v>
      </c>
    </row>
    <row r="1374" spans="1:5" x14ac:dyDescent="0.35">
      <c r="A1374" s="1" t="s">
        <v>2773</v>
      </c>
      <c r="B1374" s="45" t="s">
        <v>2774</v>
      </c>
      <c r="C1374">
        <v>1</v>
      </c>
      <c r="E1374" s="1" t="s">
        <v>2314</v>
      </c>
    </row>
    <row r="1375" spans="1:5" x14ac:dyDescent="0.35">
      <c r="A1375" s="1" t="s">
        <v>2775</v>
      </c>
      <c r="B1375" s="45" t="s">
        <v>2776</v>
      </c>
      <c r="C1375">
        <v>1</v>
      </c>
      <c r="E1375" s="1" t="s">
        <v>2314</v>
      </c>
    </row>
    <row r="1376" spans="1:5" x14ac:dyDescent="0.35">
      <c r="A1376" s="1" t="s">
        <v>2777</v>
      </c>
      <c r="B1376" s="45" t="s">
        <v>2778</v>
      </c>
      <c r="C1376">
        <v>1</v>
      </c>
      <c r="E1376" s="1" t="s">
        <v>2314</v>
      </c>
    </row>
    <row r="1377" spans="1:5" x14ac:dyDescent="0.35">
      <c r="A1377" s="1" t="s">
        <v>2779</v>
      </c>
      <c r="B1377" s="45" t="s">
        <v>2780</v>
      </c>
      <c r="C1377">
        <v>1</v>
      </c>
      <c r="E1377" s="1" t="s">
        <v>2314</v>
      </c>
    </row>
    <row r="1378" spans="1:5" x14ac:dyDescent="0.35">
      <c r="A1378" s="1" t="s">
        <v>2781</v>
      </c>
      <c r="B1378" s="45" t="s">
        <v>2782</v>
      </c>
      <c r="C1378">
        <v>1</v>
      </c>
      <c r="E1378" s="1" t="s">
        <v>2314</v>
      </c>
    </row>
    <row r="1379" spans="1:5" x14ac:dyDescent="0.35">
      <c r="A1379" s="1" t="s">
        <v>2783</v>
      </c>
      <c r="B1379" s="45" t="s">
        <v>2784</v>
      </c>
      <c r="C1379">
        <v>1</v>
      </c>
      <c r="E1379" s="1" t="s">
        <v>2314</v>
      </c>
    </row>
    <row r="1380" spans="1:5" x14ac:dyDescent="0.35">
      <c r="A1380" s="1" t="s">
        <v>2785</v>
      </c>
      <c r="B1380" s="45" t="s">
        <v>2786</v>
      </c>
      <c r="C1380">
        <v>1</v>
      </c>
      <c r="E1380" s="1" t="s">
        <v>2314</v>
      </c>
    </row>
    <row r="1381" spans="1:5" x14ac:dyDescent="0.35">
      <c r="A1381" s="1" t="s">
        <v>2787</v>
      </c>
      <c r="B1381" s="45" t="s">
        <v>498</v>
      </c>
      <c r="C1381">
        <v>1</v>
      </c>
      <c r="E1381" s="1" t="s">
        <v>2314</v>
      </c>
    </row>
    <row r="1382" spans="1:5" x14ac:dyDescent="0.35">
      <c r="A1382" s="1" t="s">
        <v>2788</v>
      </c>
      <c r="B1382" s="45" t="s">
        <v>2789</v>
      </c>
      <c r="C1382">
        <v>1</v>
      </c>
      <c r="E1382" s="1" t="s">
        <v>2314</v>
      </c>
    </row>
    <row r="1383" spans="1:5" x14ac:dyDescent="0.35">
      <c r="A1383" s="1" t="s">
        <v>2790</v>
      </c>
      <c r="B1383" s="45" t="s">
        <v>2791</v>
      </c>
      <c r="C1383">
        <v>1</v>
      </c>
      <c r="E1383" s="1" t="s">
        <v>2314</v>
      </c>
    </row>
    <row r="1384" spans="1:5" x14ac:dyDescent="0.35">
      <c r="A1384" s="1" t="s">
        <v>2792</v>
      </c>
      <c r="B1384" s="45" t="s">
        <v>2138</v>
      </c>
      <c r="C1384">
        <v>1</v>
      </c>
      <c r="E1384" s="1" t="s">
        <v>2314</v>
      </c>
    </row>
    <row r="1385" spans="1:5" x14ac:dyDescent="0.35">
      <c r="A1385" s="1" t="s">
        <v>2793</v>
      </c>
      <c r="B1385" s="45" t="s">
        <v>2794</v>
      </c>
      <c r="C1385">
        <v>1</v>
      </c>
      <c r="E1385" s="1" t="s">
        <v>2314</v>
      </c>
    </row>
    <row r="1386" spans="1:5" x14ac:dyDescent="0.35">
      <c r="A1386" s="1" t="s">
        <v>2795</v>
      </c>
      <c r="B1386" s="45" t="s">
        <v>2796</v>
      </c>
      <c r="C1386">
        <v>1</v>
      </c>
      <c r="E1386" s="1" t="s">
        <v>2314</v>
      </c>
    </row>
    <row r="1387" spans="1:5" x14ac:dyDescent="0.35">
      <c r="A1387" s="1" t="s">
        <v>2797</v>
      </c>
      <c r="B1387" s="45" t="s">
        <v>566</v>
      </c>
      <c r="C1387">
        <v>1</v>
      </c>
      <c r="E1387" s="1" t="s">
        <v>2314</v>
      </c>
    </row>
    <row r="1388" spans="1:5" x14ac:dyDescent="0.35">
      <c r="A1388" s="1" t="s">
        <v>2798</v>
      </c>
      <c r="B1388" s="45" t="s">
        <v>2799</v>
      </c>
      <c r="C1388">
        <v>1</v>
      </c>
      <c r="E1388" s="1" t="s">
        <v>2314</v>
      </c>
    </row>
    <row r="1389" spans="1:5" x14ac:dyDescent="0.35">
      <c r="A1389" s="1" t="s">
        <v>2800</v>
      </c>
      <c r="B1389" s="45" t="s">
        <v>2801</v>
      </c>
      <c r="C1389">
        <v>1</v>
      </c>
      <c r="E1389" s="1" t="s">
        <v>2314</v>
      </c>
    </row>
    <row r="1390" spans="1:5" x14ac:dyDescent="0.35">
      <c r="A1390" s="1" t="s">
        <v>2802</v>
      </c>
      <c r="B1390" s="45" t="s">
        <v>520</v>
      </c>
      <c r="C1390">
        <v>1</v>
      </c>
      <c r="E1390" s="1" t="s">
        <v>2314</v>
      </c>
    </row>
    <row r="1391" spans="1:5" x14ac:dyDescent="0.35">
      <c r="A1391" s="1" t="s">
        <v>2803</v>
      </c>
      <c r="B1391" s="45" t="s">
        <v>2804</v>
      </c>
      <c r="C1391">
        <v>1</v>
      </c>
      <c r="E1391" s="1" t="s">
        <v>2314</v>
      </c>
    </row>
    <row r="1392" spans="1:5" x14ac:dyDescent="0.35">
      <c r="A1392" s="1" t="s">
        <v>2805</v>
      </c>
      <c r="B1392" s="45" t="s">
        <v>2806</v>
      </c>
      <c r="C1392">
        <v>1</v>
      </c>
      <c r="E1392" s="1" t="s">
        <v>2314</v>
      </c>
    </row>
    <row r="1393" spans="1:5" x14ac:dyDescent="0.35">
      <c r="A1393" s="1" t="s">
        <v>2807</v>
      </c>
      <c r="B1393" s="45" t="s">
        <v>2808</v>
      </c>
      <c r="C1393">
        <v>1</v>
      </c>
      <c r="E1393" s="1" t="s">
        <v>2314</v>
      </c>
    </row>
    <row r="1394" spans="1:5" x14ac:dyDescent="0.35">
      <c r="A1394" s="1" t="s">
        <v>2809</v>
      </c>
      <c r="B1394" s="45" t="s">
        <v>2810</v>
      </c>
      <c r="C1394">
        <v>1</v>
      </c>
      <c r="E1394" s="1" t="s">
        <v>2314</v>
      </c>
    </row>
    <row r="1395" spans="1:5" x14ac:dyDescent="0.35">
      <c r="A1395" s="1" t="s">
        <v>2811</v>
      </c>
      <c r="B1395" s="45" t="s">
        <v>2812</v>
      </c>
      <c r="C1395">
        <v>1</v>
      </c>
      <c r="E1395" s="1" t="s">
        <v>2314</v>
      </c>
    </row>
    <row r="1396" spans="1:5" x14ac:dyDescent="0.35">
      <c r="A1396" s="1" t="s">
        <v>2813</v>
      </c>
      <c r="B1396" s="45" t="s">
        <v>2814</v>
      </c>
      <c r="C1396">
        <v>1</v>
      </c>
      <c r="E1396" s="1" t="s">
        <v>2314</v>
      </c>
    </row>
    <row r="1397" spans="1:5" x14ac:dyDescent="0.35">
      <c r="A1397" s="1" t="s">
        <v>2815</v>
      </c>
      <c r="B1397" s="45" t="s">
        <v>2816</v>
      </c>
      <c r="C1397">
        <v>1</v>
      </c>
      <c r="E1397" s="1" t="s">
        <v>2314</v>
      </c>
    </row>
    <row r="1398" spans="1:5" x14ac:dyDescent="0.35">
      <c r="A1398" s="1" t="s">
        <v>2817</v>
      </c>
      <c r="B1398" s="45" t="s">
        <v>2818</v>
      </c>
      <c r="C1398">
        <v>1</v>
      </c>
      <c r="E1398" s="1" t="s">
        <v>2314</v>
      </c>
    </row>
    <row r="1399" spans="1:5" x14ac:dyDescent="0.35">
      <c r="A1399" s="1" t="s">
        <v>2819</v>
      </c>
      <c r="B1399" s="45" t="s">
        <v>540</v>
      </c>
      <c r="C1399">
        <v>1</v>
      </c>
      <c r="E1399" s="1" t="s">
        <v>2314</v>
      </c>
    </row>
    <row r="1400" spans="1:5" x14ac:dyDescent="0.35">
      <c r="A1400" s="1" t="s">
        <v>2820</v>
      </c>
      <c r="B1400" s="45" t="s">
        <v>564</v>
      </c>
      <c r="C1400">
        <v>1</v>
      </c>
      <c r="E1400" s="1" t="s">
        <v>2314</v>
      </c>
    </row>
    <row r="1401" spans="1:5" x14ac:dyDescent="0.35">
      <c r="A1401" s="1" t="s">
        <v>2821</v>
      </c>
      <c r="B1401" s="45" t="s">
        <v>2822</v>
      </c>
      <c r="C1401">
        <v>1</v>
      </c>
      <c r="E1401" s="1" t="s">
        <v>2314</v>
      </c>
    </row>
    <row r="1402" spans="1:5" x14ac:dyDescent="0.35">
      <c r="A1402" s="1" t="s">
        <v>2823</v>
      </c>
      <c r="B1402" s="45" t="s">
        <v>2824</v>
      </c>
      <c r="C1402">
        <v>1</v>
      </c>
      <c r="E1402" s="1" t="s">
        <v>2314</v>
      </c>
    </row>
    <row r="1403" spans="1:5" x14ac:dyDescent="0.35">
      <c r="A1403" s="1" t="s">
        <v>2825</v>
      </c>
      <c r="B1403" s="45" t="s">
        <v>2826</v>
      </c>
      <c r="C1403">
        <v>1</v>
      </c>
      <c r="E1403" s="1" t="s">
        <v>2314</v>
      </c>
    </row>
    <row r="1404" spans="1:5" x14ac:dyDescent="0.35">
      <c r="A1404" s="1" t="s">
        <v>2827</v>
      </c>
      <c r="B1404" s="45" t="s">
        <v>2828</v>
      </c>
      <c r="C1404">
        <v>1</v>
      </c>
      <c r="E1404" s="1" t="s">
        <v>2314</v>
      </c>
    </row>
    <row r="1405" spans="1:5" x14ac:dyDescent="0.35">
      <c r="A1405" s="1" t="s">
        <v>2829</v>
      </c>
      <c r="B1405" s="45" t="s">
        <v>524</v>
      </c>
      <c r="C1405">
        <v>1</v>
      </c>
      <c r="E1405" s="1" t="s">
        <v>2314</v>
      </c>
    </row>
    <row r="1406" spans="1:5" x14ac:dyDescent="0.35">
      <c r="A1406" s="1" t="s">
        <v>2830</v>
      </c>
      <c r="B1406" s="45" t="s">
        <v>2831</v>
      </c>
      <c r="C1406">
        <v>1</v>
      </c>
      <c r="E1406" s="1" t="s">
        <v>2314</v>
      </c>
    </row>
    <row r="1407" spans="1:5" x14ac:dyDescent="0.35">
      <c r="A1407" s="1" t="s">
        <v>2832</v>
      </c>
      <c r="B1407" s="45" t="s">
        <v>476</v>
      </c>
      <c r="C1407">
        <v>1</v>
      </c>
      <c r="E1407" s="1" t="s">
        <v>2314</v>
      </c>
    </row>
    <row r="1408" spans="1:5" x14ac:dyDescent="0.35">
      <c r="A1408" s="1" t="s">
        <v>2833</v>
      </c>
      <c r="B1408" s="45" t="s">
        <v>609</v>
      </c>
      <c r="C1408">
        <v>1</v>
      </c>
      <c r="E1408" s="1" t="s">
        <v>2314</v>
      </c>
    </row>
    <row r="1409" spans="1:5" x14ac:dyDescent="0.35">
      <c r="A1409" s="1" t="s">
        <v>2834</v>
      </c>
      <c r="B1409" s="45" t="s">
        <v>588</v>
      </c>
      <c r="C1409">
        <v>1</v>
      </c>
      <c r="E1409" s="1" t="s">
        <v>2314</v>
      </c>
    </row>
    <row r="1410" spans="1:5" x14ac:dyDescent="0.35">
      <c r="A1410" s="1" t="s">
        <v>2835</v>
      </c>
      <c r="B1410" s="45" t="s">
        <v>2836</v>
      </c>
      <c r="C1410">
        <v>1</v>
      </c>
      <c r="E1410" s="1" t="s">
        <v>2314</v>
      </c>
    </row>
    <row r="1411" spans="1:5" x14ac:dyDescent="0.35">
      <c r="A1411" s="1" t="s">
        <v>2837</v>
      </c>
      <c r="B1411" s="45" t="s">
        <v>516</v>
      </c>
      <c r="C1411">
        <v>1</v>
      </c>
      <c r="E1411" s="1" t="s">
        <v>2314</v>
      </c>
    </row>
    <row r="1412" spans="1:5" x14ac:dyDescent="0.35">
      <c r="A1412" s="1" t="s">
        <v>2838</v>
      </c>
      <c r="B1412" s="45" t="s">
        <v>999</v>
      </c>
      <c r="C1412">
        <v>1</v>
      </c>
      <c r="E1412" s="1" t="s">
        <v>2314</v>
      </c>
    </row>
    <row r="1413" spans="1:5" x14ac:dyDescent="0.35">
      <c r="A1413" s="1" t="s">
        <v>2839</v>
      </c>
      <c r="B1413" s="45" t="s">
        <v>2840</v>
      </c>
      <c r="C1413">
        <v>1</v>
      </c>
      <c r="E1413" s="1" t="s">
        <v>2314</v>
      </c>
    </row>
    <row r="1414" spans="1:5" x14ac:dyDescent="0.35">
      <c r="A1414" s="1" t="s">
        <v>2841</v>
      </c>
      <c r="B1414" s="45" t="s">
        <v>2842</v>
      </c>
      <c r="C1414">
        <v>1</v>
      </c>
      <c r="E1414" s="1" t="s">
        <v>2314</v>
      </c>
    </row>
    <row r="1415" spans="1:5" x14ac:dyDescent="0.35">
      <c r="A1415" s="1" t="s">
        <v>2843</v>
      </c>
      <c r="B1415" s="45" t="s">
        <v>883</v>
      </c>
      <c r="C1415">
        <v>1</v>
      </c>
      <c r="E1415" s="1" t="s">
        <v>2314</v>
      </c>
    </row>
    <row r="1416" spans="1:5" x14ac:dyDescent="0.35">
      <c r="A1416" s="1" t="s">
        <v>2844</v>
      </c>
      <c r="B1416" s="45" t="s">
        <v>2845</v>
      </c>
      <c r="C1416">
        <v>1</v>
      </c>
      <c r="E1416" s="1" t="s">
        <v>2314</v>
      </c>
    </row>
    <row r="1417" spans="1:5" x14ac:dyDescent="0.35">
      <c r="A1417" s="1" t="s">
        <v>2846</v>
      </c>
      <c r="B1417" s="45" t="s">
        <v>576</v>
      </c>
      <c r="C1417">
        <v>1</v>
      </c>
      <c r="E1417" s="1" t="s">
        <v>2314</v>
      </c>
    </row>
    <row r="1418" spans="1:5" x14ac:dyDescent="0.35">
      <c r="A1418" s="1" t="s">
        <v>2847</v>
      </c>
      <c r="B1418" s="45" t="s">
        <v>2848</v>
      </c>
      <c r="C1418">
        <v>1</v>
      </c>
      <c r="E1418" s="1" t="s">
        <v>2314</v>
      </c>
    </row>
    <row r="1419" spans="1:5" x14ac:dyDescent="0.35">
      <c r="A1419" s="1" t="s">
        <v>2849</v>
      </c>
      <c r="B1419" s="45" t="s">
        <v>1017</v>
      </c>
      <c r="C1419">
        <v>1</v>
      </c>
      <c r="E1419" s="1" t="s">
        <v>2314</v>
      </c>
    </row>
    <row r="1420" spans="1:5" x14ac:dyDescent="0.35">
      <c r="A1420" s="1" t="s">
        <v>2850</v>
      </c>
      <c r="B1420" s="45" t="s">
        <v>1015</v>
      </c>
      <c r="C1420">
        <v>1</v>
      </c>
      <c r="E1420" s="1" t="s">
        <v>2314</v>
      </c>
    </row>
    <row r="1421" spans="1:5" x14ac:dyDescent="0.35">
      <c r="A1421" s="1" t="s">
        <v>2851</v>
      </c>
      <c r="B1421" s="45" t="s">
        <v>2852</v>
      </c>
      <c r="C1421">
        <v>1</v>
      </c>
      <c r="E1421" s="1" t="s">
        <v>2314</v>
      </c>
    </row>
    <row r="1422" spans="1:5" x14ac:dyDescent="0.35">
      <c r="A1422" s="1" t="s">
        <v>2853</v>
      </c>
      <c r="B1422" s="45" t="s">
        <v>650</v>
      </c>
      <c r="C1422">
        <v>1</v>
      </c>
      <c r="E1422" s="1" t="s">
        <v>2314</v>
      </c>
    </row>
    <row r="1423" spans="1:5" x14ac:dyDescent="0.35">
      <c r="A1423" s="1" t="s">
        <v>2854</v>
      </c>
      <c r="B1423" s="45" t="s">
        <v>2855</v>
      </c>
      <c r="C1423">
        <v>1</v>
      </c>
      <c r="E1423" s="1" t="s">
        <v>2314</v>
      </c>
    </row>
    <row r="1424" spans="1:5" x14ac:dyDescent="0.35">
      <c r="A1424" s="1" t="s">
        <v>2856</v>
      </c>
      <c r="B1424" s="45" t="s">
        <v>502</v>
      </c>
      <c r="C1424">
        <v>1</v>
      </c>
      <c r="E1424" s="1" t="s">
        <v>2314</v>
      </c>
    </row>
    <row r="1425" spans="1:5" x14ac:dyDescent="0.35">
      <c r="A1425" s="1" t="s">
        <v>2857</v>
      </c>
      <c r="B1425" s="45" t="s">
        <v>2858</v>
      </c>
      <c r="C1425">
        <v>1</v>
      </c>
      <c r="E1425" s="1" t="s">
        <v>2314</v>
      </c>
    </row>
    <row r="1426" spans="1:5" x14ac:dyDescent="0.35">
      <c r="A1426" s="1" t="s">
        <v>2859</v>
      </c>
      <c r="B1426" s="45" t="s">
        <v>2860</v>
      </c>
      <c r="C1426">
        <v>1</v>
      </c>
      <c r="E1426" s="1" t="s">
        <v>2314</v>
      </c>
    </row>
    <row r="1427" spans="1:5" x14ac:dyDescent="0.35">
      <c r="A1427" s="1" t="s">
        <v>2861</v>
      </c>
      <c r="B1427" s="45" t="s">
        <v>2862</v>
      </c>
      <c r="C1427">
        <v>1</v>
      </c>
      <c r="E1427" s="1" t="s">
        <v>2314</v>
      </c>
    </row>
    <row r="1428" spans="1:5" x14ac:dyDescent="0.35">
      <c r="A1428" s="1" t="s">
        <v>2863</v>
      </c>
      <c r="B1428" s="45" t="s">
        <v>2864</v>
      </c>
      <c r="C1428">
        <v>1</v>
      </c>
      <c r="E1428" s="1" t="s">
        <v>2314</v>
      </c>
    </row>
    <row r="1429" spans="1:5" x14ac:dyDescent="0.35">
      <c r="A1429" s="1" t="s">
        <v>2865</v>
      </c>
      <c r="B1429" s="45" t="s">
        <v>2866</v>
      </c>
      <c r="C1429">
        <v>1</v>
      </c>
      <c r="E1429" s="1" t="s">
        <v>2314</v>
      </c>
    </row>
    <row r="1430" spans="1:5" x14ac:dyDescent="0.35">
      <c r="A1430" s="1" t="s">
        <v>2867</v>
      </c>
      <c r="B1430" s="45" t="s">
        <v>2868</v>
      </c>
      <c r="C1430">
        <v>1</v>
      </c>
      <c r="E1430" s="1" t="s">
        <v>2314</v>
      </c>
    </row>
    <row r="1431" spans="1:5" x14ac:dyDescent="0.35">
      <c r="A1431" s="1" t="s">
        <v>2869</v>
      </c>
      <c r="B1431" s="45" t="s">
        <v>2870</v>
      </c>
      <c r="C1431">
        <v>1</v>
      </c>
      <c r="E1431" s="1" t="s">
        <v>2314</v>
      </c>
    </row>
    <row r="1432" spans="1:5" x14ac:dyDescent="0.35">
      <c r="A1432" s="1" t="s">
        <v>2871</v>
      </c>
      <c r="B1432" s="45" t="s">
        <v>2872</v>
      </c>
      <c r="C1432">
        <v>1</v>
      </c>
      <c r="E1432" s="1" t="s">
        <v>2314</v>
      </c>
    </row>
    <row r="1433" spans="1:5" x14ac:dyDescent="0.35">
      <c r="A1433" s="1" t="s">
        <v>2873</v>
      </c>
      <c r="B1433" s="45" t="s">
        <v>2874</v>
      </c>
      <c r="C1433">
        <v>1</v>
      </c>
      <c r="E1433" s="1" t="s">
        <v>2314</v>
      </c>
    </row>
    <row r="1434" spans="1:5" x14ac:dyDescent="0.35">
      <c r="A1434" s="1" t="s">
        <v>2875</v>
      </c>
      <c r="B1434" s="45" t="s">
        <v>2876</v>
      </c>
      <c r="C1434">
        <v>1</v>
      </c>
      <c r="E1434" s="1" t="s">
        <v>2314</v>
      </c>
    </row>
    <row r="1435" spans="1:5" x14ac:dyDescent="0.35">
      <c r="A1435" s="1" t="s">
        <v>2877</v>
      </c>
      <c r="B1435" s="45" t="s">
        <v>2878</v>
      </c>
      <c r="C1435">
        <v>1</v>
      </c>
      <c r="E1435" s="1" t="s">
        <v>2314</v>
      </c>
    </row>
    <row r="1436" spans="1:5" x14ac:dyDescent="0.35">
      <c r="A1436" s="1" t="s">
        <v>2879</v>
      </c>
      <c r="B1436" s="45" t="s">
        <v>500</v>
      </c>
      <c r="C1436">
        <v>1</v>
      </c>
      <c r="E1436" s="1" t="s">
        <v>2314</v>
      </c>
    </row>
    <row r="1437" spans="1:5" x14ac:dyDescent="0.35">
      <c r="A1437" s="1" t="s">
        <v>2880</v>
      </c>
      <c r="B1437" s="45" t="s">
        <v>2881</v>
      </c>
      <c r="C1437">
        <v>1</v>
      </c>
      <c r="E1437" s="1" t="s">
        <v>2314</v>
      </c>
    </row>
    <row r="1438" spans="1:5" x14ac:dyDescent="0.35">
      <c r="A1438" s="1" t="s">
        <v>2882</v>
      </c>
      <c r="B1438" s="45" t="s">
        <v>2883</v>
      </c>
      <c r="C1438">
        <v>1</v>
      </c>
      <c r="E1438" s="1" t="s">
        <v>2314</v>
      </c>
    </row>
    <row r="1439" spans="1:5" x14ac:dyDescent="0.35">
      <c r="A1439" s="1" t="s">
        <v>2884</v>
      </c>
      <c r="B1439" s="45" t="s">
        <v>2885</v>
      </c>
      <c r="C1439">
        <v>1</v>
      </c>
      <c r="E1439" s="1" t="s">
        <v>2314</v>
      </c>
    </row>
    <row r="1440" spans="1:5" x14ac:dyDescent="0.35">
      <c r="A1440" s="1" t="s">
        <v>2886</v>
      </c>
      <c r="B1440" s="45" t="s">
        <v>2887</v>
      </c>
      <c r="C1440">
        <v>1</v>
      </c>
      <c r="E1440" s="1" t="s">
        <v>2314</v>
      </c>
    </row>
    <row r="1441" spans="1:5" x14ac:dyDescent="0.35">
      <c r="A1441" s="1" t="s">
        <v>2888</v>
      </c>
      <c r="B1441" s="45" t="s">
        <v>2889</v>
      </c>
      <c r="C1441">
        <v>1</v>
      </c>
      <c r="E1441" s="1" t="s">
        <v>2314</v>
      </c>
    </row>
    <row r="1442" spans="1:5" x14ac:dyDescent="0.35">
      <c r="A1442" s="1" t="s">
        <v>2890</v>
      </c>
      <c r="B1442" s="45" t="s">
        <v>2891</v>
      </c>
      <c r="C1442">
        <v>1</v>
      </c>
      <c r="E1442" s="1" t="s">
        <v>2314</v>
      </c>
    </row>
    <row r="1443" spans="1:5" x14ac:dyDescent="0.35">
      <c r="A1443" s="1" t="s">
        <v>2892</v>
      </c>
      <c r="B1443" s="45" t="s">
        <v>2893</v>
      </c>
      <c r="C1443">
        <v>1</v>
      </c>
      <c r="E1443" s="1" t="s">
        <v>2314</v>
      </c>
    </row>
    <row r="1444" spans="1:5" x14ac:dyDescent="0.35">
      <c r="A1444" s="1" t="s">
        <v>2894</v>
      </c>
      <c r="B1444" s="45" t="s">
        <v>2895</v>
      </c>
      <c r="C1444">
        <v>1</v>
      </c>
      <c r="E1444" s="1" t="s">
        <v>2314</v>
      </c>
    </row>
    <row r="1445" spans="1:5" x14ac:dyDescent="0.35">
      <c r="A1445" s="1" t="s">
        <v>2896</v>
      </c>
      <c r="B1445" s="45" t="s">
        <v>2897</v>
      </c>
      <c r="C1445">
        <v>1</v>
      </c>
      <c r="E1445" s="1" t="s">
        <v>2314</v>
      </c>
    </row>
    <row r="1446" spans="1:5" x14ac:dyDescent="0.35">
      <c r="A1446" s="1" t="s">
        <v>2898</v>
      </c>
      <c r="B1446" s="45" t="s">
        <v>2899</v>
      </c>
      <c r="C1446">
        <v>1</v>
      </c>
      <c r="E1446" s="1" t="s">
        <v>2314</v>
      </c>
    </row>
    <row r="1447" spans="1:5" x14ac:dyDescent="0.35">
      <c r="A1447" s="1" t="s">
        <v>2900</v>
      </c>
      <c r="B1447" s="45" t="s">
        <v>2901</v>
      </c>
      <c r="C1447">
        <v>1</v>
      </c>
      <c r="E1447" s="1" t="s">
        <v>2314</v>
      </c>
    </row>
    <row r="1448" spans="1:5" x14ac:dyDescent="0.35">
      <c r="A1448" s="1" t="s">
        <v>2902</v>
      </c>
      <c r="B1448" s="45" t="s">
        <v>967</v>
      </c>
      <c r="C1448">
        <v>1</v>
      </c>
      <c r="E1448" s="1" t="s">
        <v>2314</v>
      </c>
    </row>
    <row r="1449" spans="1:5" x14ac:dyDescent="0.35">
      <c r="A1449" s="1" t="s">
        <v>2903</v>
      </c>
      <c r="B1449" s="45" t="s">
        <v>2904</v>
      </c>
      <c r="C1449">
        <v>1</v>
      </c>
      <c r="E1449" s="1" t="s">
        <v>2314</v>
      </c>
    </row>
    <row r="1450" spans="1:5" x14ac:dyDescent="0.35">
      <c r="A1450" s="1" t="s">
        <v>2905</v>
      </c>
      <c r="B1450" s="45" t="s">
        <v>2906</v>
      </c>
      <c r="C1450">
        <v>1</v>
      </c>
      <c r="E1450" s="1" t="s">
        <v>2314</v>
      </c>
    </row>
    <row r="1451" spans="1:5" x14ac:dyDescent="0.35">
      <c r="A1451" s="1" t="s">
        <v>2907</v>
      </c>
      <c r="B1451" s="45" t="s">
        <v>362</v>
      </c>
      <c r="C1451">
        <v>1</v>
      </c>
      <c r="E1451" s="1" t="s">
        <v>2314</v>
      </c>
    </row>
    <row r="1452" spans="1:5" x14ac:dyDescent="0.35">
      <c r="A1452" s="1" t="s">
        <v>2908</v>
      </c>
      <c r="B1452" s="45" t="s">
        <v>2909</v>
      </c>
      <c r="C1452">
        <v>1</v>
      </c>
      <c r="E1452" s="1" t="s">
        <v>2314</v>
      </c>
    </row>
    <row r="1453" spans="1:5" x14ac:dyDescent="0.35">
      <c r="A1453" s="1" t="s">
        <v>2910</v>
      </c>
      <c r="B1453" s="45" t="s">
        <v>2911</v>
      </c>
      <c r="C1453">
        <v>1</v>
      </c>
      <c r="E1453" s="1" t="s">
        <v>2314</v>
      </c>
    </row>
    <row r="1454" spans="1:5" x14ac:dyDescent="0.35">
      <c r="A1454" s="1" t="s">
        <v>2912</v>
      </c>
      <c r="B1454" s="45" t="s">
        <v>2913</v>
      </c>
      <c r="C1454">
        <v>1</v>
      </c>
      <c r="E1454" s="1" t="s">
        <v>2314</v>
      </c>
    </row>
    <row r="1455" spans="1:5" x14ac:dyDescent="0.35">
      <c r="A1455" s="1" t="s">
        <v>2914</v>
      </c>
      <c r="B1455" s="45" t="s">
        <v>2915</v>
      </c>
      <c r="C1455">
        <v>1</v>
      </c>
      <c r="E1455" s="1" t="s">
        <v>2314</v>
      </c>
    </row>
    <row r="1456" spans="1:5" x14ac:dyDescent="0.35">
      <c r="A1456" s="1" t="s">
        <v>2916</v>
      </c>
      <c r="B1456" s="45" t="s">
        <v>2917</v>
      </c>
      <c r="C1456">
        <v>1</v>
      </c>
      <c r="E1456" s="1" t="s">
        <v>2314</v>
      </c>
    </row>
    <row r="1457" spans="1:5" x14ac:dyDescent="0.35">
      <c r="A1457" s="1" t="s">
        <v>2918</v>
      </c>
      <c r="B1457" s="45" t="s">
        <v>2919</v>
      </c>
      <c r="C1457">
        <v>1</v>
      </c>
      <c r="E1457" s="1" t="s">
        <v>2314</v>
      </c>
    </row>
    <row r="1458" spans="1:5" x14ac:dyDescent="0.35">
      <c r="A1458" s="1" t="s">
        <v>2920</v>
      </c>
      <c r="B1458" s="45" t="s">
        <v>2140</v>
      </c>
      <c r="C1458">
        <v>1</v>
      </c>
      <c r="E1458" s="1" t="s">
        <v>2314</v>
      </c>
    </row>
    <row r="1459" spans="1:5" x14ac:dyDescent="0.35">
      <c r="A1459" s="1" t="s">
        <v>2921</v>
      </c>
      <c r="B1459" s="45" t="s">
        <v>2922</v>
      </c>
      <c r="C1459">
        <v>1</v>
      </c>
      <c r="E1459" s="1" t="s">
        <v>2314</v>
      </c>
    </row>
    <row r="1460" spans="1:5" x14ac:dyDescent="0.35">
      <c r="A1460" s="1" t="s">
        <v>2923</v>
      </c>
      <c r="B1460" s="45" t="s">
        <v>2924</v>
      </c>
      <c r="C1460">
        <v>1</v>
      </c>
      <c r="E1460" s="1" t="s">
        <v>2314</v>
      </c>
    </row>
    <row r="1461" spans="1:5" x14ac:dyDescent="0.35">
      <c r="A1461" s="1" t="s">
        <v>2925</v>
      </c>
      <c r="B1461" s="45" t="s">
        <v>2926</v>
      </c>
      <c r="C1461">
        <v>1</v>
      </c>
      <c r="E1461" s="1" t="s">
        <v>2314</v>
      </c>
    </row>
    <row r="1462" spans="1:5" x14ac:dyDescent="0.35">
      <c r="A1462" s="1" t="s">
        <v>2927</v>
      </c>
      <c r="B1462" s="45" t="s">
        <v>320</v>
      </c>
      <c r="C1462">
        <v>1</v>
      </c>
      <c r="E1462" s="1" t="s">
        <v>2314</v>
      </c>
    </row>
    <row r="1463" spans="1:5" x14ac:dyDescent="0.35">
      <c r="A1463" s="1" t="s">
        <v>2928</v>
      </c>
      <c r="B1463" s="45" t="s">
        <v>2929</v>
      </c>
      <c r="C1463">
        <v>1</v>
      </c>
      <c r="E1463" s="1" t="s">
        <v>2314</v>
      </c>
    </row>
    <row r="1464" spans="1:5" x14ac:dyDescent="0.35">
      <c r="A1464" s="1" t="s">
        <v>2930</v>
      </c>
      <c r="B1464" s="45" t="s">
        <v>1295</v>
      </c>
      <c r="C1464">
        <v>1</v>
      </c>
      <c r="E1464" s="1" t="s">
        <v>2314</v>
      </c>
    </row>
    <row r="1465" spans="1:5" x14ac:dyDescent="0.35">
      <c r="A1465" s="1" t="s">
        <v>2931</v>
      </c>
      <c r="B1465" s="45" t="s">
        <v>2932</v>
      </c>
      <c r="C1465">
        <v>1</v>
      </c>
      <c r="E1465" s="1" t="s">
        <v>2314</v>
      </c>
    </row>
    <row r="1466" spans="1:5" x14ac:dyDescent="0.35">
      <c r="A1466" s="1" t="s">
        <v>2933</v>
      </c>
      <c r="B1466" s="45" t="s">
        <v>586</v>
      </c>
      <c r="C1466">
        <v>1</v>
      </c>
      <c r="E1466" s="1" t="s">
        <v>2314</v>
      </c>
    </row>
    <row r="1467" spans="1:5" x14ac:dyDescent="0.35">
      <c r="A1467" s="1" t="s">
        <v>2934</v>
      </c>
      <c r="B1467" s="45" t="s">
        <v>2935</v>
      </c>
      <c r="C1467">
        <v>1</v>
      </c>
      <c r="E1467" s="1" t="s">
        <v>2314</v>
      </c>
    </row>
    <row r="1468" spans="1:5" x14ac:dyDescent="0.35">
      <c r="A1468" s="1" t="s">
        <v>2936</v>
      </c>
      <c r="B1468" s="45" t="s">
        <v>2937</v>
      </c>
      <c r="C1468">
        <v>1</v>
      </c>
      <c r="E1468" s="1" t="s">
        <v>2314</v>
      </c>
    </row>
    <row r="1469" spans="1:5" x14ac:dyDescent="0.35">
      <c r="A1469" s="1" t="s">
        <v>2938</v>
      </c>
      <c r="B1469" s="45" t="s">
        <v>2939</v>
      </c>
      <c r="C1469">
        <v>1</v>
      </c>
      <c r="E1469" s="1" t="s">
        <v>2314</v>
      </c>
    </row>
    <row r="1470" spans="1:5" x14ac:dyDescent="0.35">
      <c r="A1470" s="1" t="s">
        <v>2940</v>
      </c>
      <c r="B1470" s="45" t="s">
        <v>2941</v>
      </c>
      <c r="C1470">
        <v>1</v>
      </c>
      <c r="E1470" s="1" t="s">
        <v>2314</v>
      </c>
    </row>
    <row r="1471" spans="1:5" x14ac:dyDescent="0.35">
      <c r="A1471" s="1" t="s">
        <v>2942</v>
      </c>
      <c r="B1471" s="45" t="s">
        <v>2943</v>
      </c>
      <c r="C1471">
        <v>1</v>
      </c>
      <c r="E1471" s="1" t="s">
        <v>2314</v>
      </c>
    </row>
    <row r="1472" spans="1:5" x14ac:dyDescent="0.35">
      <c r="A1472" s="1" t="s">
        <v>2944</v>
      </c>
      <c r="B1472" s="45" t="s">
        <v>1657</v>
      </c>
      <c r="C1472">
        <v>1</v>
      </c>
      <c r="E1472" s="1" t="s">
        <v>2314</v>
      </c>
    </row>
    <row r="1473" spans="1:5" x14ac:dyDescent="0.35">
      <c r="A1473" s="1" t="s">
        <v>2945</v>
      </c>
      <c r="B1473" s="45" t="s">
        <v>2946</v>
      </c>
      <c r="C1473">
        <v>1</v>
      </c>
      <c r="E1473" s="1" t="s">
        <v>2314</v>
      </c>
    </row>
    <row r="1474" spans="1:5" x14ac:dyDescent="0.35">
      <c r="A1474" s="1" t="s">
        <v>2947</v>
      </c>
      <c r="B1474" s="45" t="s">
        <v>2948</v>
      </c>
      <c r="C1474">
        <v>1</v>
      </c>
      <c r="E1474" s="1" t="s">
        <v>2314</v>
      </c>
    </row>
    <row r="1475" spans="1:5" x14ac:dyDescent="0.35">
      <c r="A1475" s="1" t="s">
        <v>2949</v>
      </c>
      <c r="B1475" s="45" t="s">
        <v>2950</v>
      </c>
      <c r="C1475">
        <v>1</v>
      </c>
      <c r="E1475" s="1" t="s">
        <v>2314</v>
      </c>
    </row>
    <row r="1476" spans="1:5" x14ac:dyDescent="0.35">
      <c r="A1476" s="1" t="s">
        <v>2951</v>
      </c>
      <c r="B1476" s="45" t="s">
        <v>1013</v>
      </c>
      <c r="C1476">
        <v>1</v>
      </c>
      <c r="E1476" s="1" t="s">
        <v>2314</v>
      </c>
    </row>
    <row r="1477" spans="1:5" x14ac:dyDescent="0.35">
      <c r="A1477" s="1" t="s">
        <v>2952</v>
      </c>
      <c r="B1477" s="45" t="s">
        <v>2953</v>
      </c>
      <c r="C1477">
        <v>1</v>
      </c>
      <c r="E1477" s="1" t="s">
        <v>2314</v>
      </c>
    </row>
    <row r="1478" spans="1:5" x14ac:dyDescent="0.35">
      <c r="A1478" s="1" t="s">
        <v>2954</v>
      </c>
      <c r="B1478" s="45" t="s">
        <v>2955</v>
      </c>
      <c r="C1478">
        <v>1</v>
      </c>
      <c r="E1478" s="1" t="s">
        <v>2314</v>
      </c>
    </row>
    <row r="1479" spans="1:5" x14ac:dyDescent="0.35">
      <c r="A1479" s="1" t="s">
        <v>2956</v>
      </c>
      <c r="B1479" s="45" t="s">
        <v>2957</v>
      </c>
      <c r="C1479">
        <v>1</v>
      </c>
      <c r="E1479" s="1" t="s">
        <v>2314</v>
      </c>
    </row>
    <row r="1480" spans="1:5" x14ac:dyDescent="0.35">
      <c r="A1480" s="1" t="s">
        <v>2958</v>
      </c>
      <c r="B1480" s="45" t="s">
        <v>2959</v>
      </c>
      <c r="C1480">
        <v>1</v>
      </c>
      <c r="E1480" s="1" t="s">
        <v>2314</v>
      </c>
    </row>
    <row r="1481" spans="1:5" x14ac:dyDescent="0.35">
      <c r="A1481" s="1" t="s">
        <v>2960</v>
      </c>
      <c r="B1481" s="45" t="s">
        <v>2961</v>
      </c>
      <c r="C1481">
        <v>1</v>
      </c>
      <c r="E1481" s="1" t="s">
        <v>2314</v>
      </c>
    </row>
    <row r="1482" spans="1:5" x14ac:dyDescent="0.35">
      <c r="A1482" s="1" t="s">
        <v>2962</v>
      </c>
      <c r="B1482" s="45" t="s">
        <v>514</v>
      </c>
      <c r="C1482">
        <v>1</v>
      </c>
      <c r="E1482" s="1" t="s">
        <v>2314</v>
      </c>
    </row>
    <row r="1483" spans="1:5" x14ac:dyDescent="0.35">
      <c r="A1483" s="1" t="s">
        <v>2963</v>
      </c>
      <c r="B1483" s="45" t="s">
        <v>578</v>
      </c>
      <c r="C1483">
        <v>1</v>
      </c>
      <c r="E1483" s="1" t="s">
        <v>2314</v>
      </c>
    </row>
    <row r="1484" spans="1:5" x14ac:dyDescent="0.35">
      <c r="A1484" s="1" t="s">
        <v>2964</v>
      </c>
      <c r="B1484" s="45" t="s">
        <v>1972</v>
      </c>
      <c r="C1484">
        <v>1</v>
      </c>
      <c r="E1484" s="1" t="s">
        <v>2314</v>
      </c>
    </row>
    <row r="1485" spans="1:5" x14ac:dyDescent="0.35">
      <c r="A1485" s="1" t="s">
        <v>2965</v>
      </c>
      <c r="B1485" s="45" t="s">
        <v>2966</v>
      </c>
      <c r="C1485">
        <v>1</v>
      </c>
      <c r="E1485" s="1" t="s">
        <v>2314</v>
      </c>
    </row>
    <row r="1486" spans="1:5" x14ac:dyDescent="0.35">
      <c r="A1486" s="1" t="s">
        <v>2967</v>
      </c>
      <c r="B1486" s="45" t="s">
        <v>2968</v>
      </c>
      <c r="C1486">
        <v>1</v>
      </c>
      <c r="E1486" s="1" t="s">
        <v>2314</v>
      </c>
    </row>
    <row r="1487" spans="1:5" x14ac:dyDescent="0.35">
      <c r="A1487" s="1" t="s">
        <v>2969</v>
      </c>
      <c r="B1487" s="45" t="s">
        <v>2970</v>
      </c>
      <c r="C1487">
        <v>1</v>
      </c>
      <c r="E1487" s="1" t="s">
        <v>2314</v>
      </c>
    </row>
    <row r="1488" spans="1:5" x14ac:dyDescent="0.35">
      <c r="A1488" s="1" t="s">
        <v>2971</v>
      </c>
      <c r="B1488" s="45" t="s">
        <v>2972</v>
      </c>
      <c r="C1488">
        <v>1</v>
      </c>
      <c r="E1488" s="1" t="s">
        <v>2314</v>
      </c>
    </row>
    <row r="1489" spans="1:5" x14ac:dyDescent="0.35">
      <c r="A1489" s="1" t="s">
        <v>2973</v>
      </c>
      <c r="B1489" s="45" t="s">
        <v>2974</v>
      </c>
      <c r="C1489">
        <v>1</v>
      </c>
      <c r="E1489" s="1" t="s">
        <v>2314</v>
      </c>
    </row>
    <row r="1490" spans="1:5" x14ac:dyDescent="0.35">
      <c r="A1490" s="1" t="s">
        <v>2975</v>
      </c>
      <c r="B1490" s="45" t="s">
        <v>2976</v>
      </c>
      <c r="C1490">
        <v>1</v>
      </c>
      <c r="E1490" s="1" t="s">
        <v>2314</v>
      </c>
    </row>
    <row r="1491" spans="1:5" x14ac:dyDescent="0.35">
      <c r="A1491" s="1" t="s">
        <v>2977</v>
      </c>
      <c r="B1491" s="45" t="s">
        <v>2978</v>
      </c>
      <c r="C1491">
        <v>1</v>
      </c>
      <c r="E1491" s="1" t="s">
        <v>2314</v>
      </c>
    </row>
    <row r="1493" spans="1:5" x14ac:dyDescent="0.35">
      <c r="A1493" s="1" t="s">
        <v>2979</v>
      </c>
      <c r="B1493" s="45" t="s">
        <v>2980</v>
      </c>
      <c r="C1493">
        <v>2</v>
      </c>
      <c r="E1493" s="1" t="s">
        <v>2314</v>
      </c>
    </row>
    <row r="1494" spans="1:5" x14ac:dyDescent="0.35">
      <c r="A1494" s="1" t="s">
        <v>2981</v>
      </c>
      <c r="B1494" s="45" t="s">
        <v>310</v>
      </c>
      <c r="C1494">
        <v>2</v>
      </c>
      <c r="E1494" s="1" t="s">
        <v>2314</v>
      </c>
    </row>
    <row r="1495" spans="1:5" x14ac:dyDescent="0.35">
      <c r="A1495" s="1" t="s">
        <v>2982</v>
      </c>
      <c r="B1495" s="45" t="s">
        <v>440</v>
      </c>
      <c r="C1495">
        <v>2</v>
      </c>
      <c r="E1495" s="1" t="s">
        <v>2314</v>
      </c>
    </row>
    <row r="1496" spans="1:5" x14ac:dyDescent="0.35">
      <c r="A1496" s="1" t="s">
        <v>2983</v>
      </c>
      <c r="B1496" s="45" t="s">
        <v>2984</v>
      </c>
      <c r="C1496">
        <v>2</v>
      </c>
      <c r="E1496" s="1" t="s">
        <v>2314</v>
      </c>
    </row>
    <row r="1497" spans="1:5" x14ac:dyDescent="0.35">
      <c r="A1497" s="1" t="s">
        <v>2985</v>
      </c>
      <c r="B1497" s="45" t="s">
        <v>2986</v>
      </c>
      <c r="C1497">
        <v>2</v>
      </c>
      <c r="E1497" s="1" t="s">
        <v>2314</v>
      </c>
    </row>
    <row r="1498" spans="1:5" x14ac:dyDescent="0.35">
      <c r="A1498" s="1" t="s">
        <v>2987</v>
      </c>
      <c r="B1498" s="45" t="s">
        <v>2988</v>
      </c>
      <c r="C1498">
        <v>2</v>
      </c>
      <c r="E1498" s="1" t="s">
        <v>2314</v>
      </c>
    </row>
    <row r="1499" spans="1:5" x14ac:dyDescent="0.35">
      <c r="A1499" s="1" t="s">
        <v>2989</v>
      </c>
      <c r="B1499" s="45" t="s">
        <v>2990</v>
      </c>
      <c r="C1499">
        <v>2</v>
      </c>
      <c r="E1499" s="1" t="s">
        <v>2314</v>
      </c>
    </row>
    <row r="1500" spans="1:5" x14ac:dyDescent="0.35">
      <c r="A1500" s="1" t="s">
        <v>2991</v>
      </c>
      <c r="B1500" s="45" t="s">
        <v>2992</v>
      </c>
      <c r="C1500">
        <v>2</v>
      </c>
      <c r="E1500" s="1" t="s">
        <v>2314</v>
      </c>
    </row>
    <row r="1501" spans="1:5" x14ac:dyDescent="0.35">
      <c r="A1501" s="1" t="s">
        <v>2993</v>
      </c>
      <c r="B1501" s="45" t="s">
        <v>2116</v>
      </c>
      <c r="C1501">
        <v>2</v>
      </c>
      <c r="E1501" s="1" t="s">
        <v>2314</v>
      </c>
    </row>
    <row r="1502" spans="1:5" x14ac:dyDescent="0.35">
      <c r="A1502" s="1" t="s">
        <v>2994</v>
      </c>
      <c r="B1502" s="45" t="s">
        <v>408</v>
      </c>
      <c r="C1502">
        <v>2</v>
      </c>
      <c r="E1502" s="1" t="s">
        <v>2314</v>
      </c>
    </row>
    <row r="1503" spans="1:5" x14ac:dyDescent="0.35">
      <c r="A1503" s="1" t="s">
        <v>2995</v>
      </c>
      <c r="B1503" s="45" t="s">
        <v>2996</v>
      </c>
      <c r="C1503">
        <v>2</v>
      </c>
      <c r="E1503" s="1" t="s">
        <v>2314</v>
      </c>
    </row>
    <row r="1504" spans="1:5" x14ac:dyDescent="0.35">
      <c r="A1504" s="1" t="s">
        <v>2997</v>
      </c>
      <c r="B1504" s="45" t="s">
        <v>2998</v>
      </c>
      <c r="C1504">
        <v>2</v>
      </c>
      <c r="E1504" s="1" t="s">
        <v>2314</v>
      </c>
    </row>
    <row r="1505" spans="1:5" x14ac:dyDescent="0.35">
      <c r="A1505" s="1" t="s">
        <v>2999</v>
      </c>
      <c r="B1505" s="45" t="s">
        <v>3000</v>
      </c>
      <c r="C1505">
        <v>2</v>
      </c>
      <c r="E1505" s="1" t="s">
        <v>2314</v>
      </c>
    </row>
    <row r="1506" spans="1:5" x14ac:dyDescent="0.35">
      <c r="A1506" s="1" t="s">
        <v>3001</v>
      </c>
      <c r="B1506" s="45" t="s">
        <v>3002</v>
      </c>
      <c r="C1506">
        <v>2</v>
      </c>
      <c r="E1506" s="1" t="s">
        <v>2314</v>
      </c>
    </row>
    <row r="1507" spans="1:5" x14ac:dyDescent="0.35">
      <c r="A1507" s="1" t="s">
        <v>3003</v>
      </c>
      <c r="B1507" s="45" t="s">
        <v>235</v>
      </c>
      <c r="C1507">
        <v>2</v>
      </c>
      <c r="E1507" s="1" t="s">
        <v>2314</v>
      </c>
    </row>
    <row r="1508" spans="1:5" x14ac:dyDescent="0.35">
      <c r="A1508" s="1" t="s">
        <v>3004</v>
      </c>
      <c r="B1508" s="45" t="s">
        <v>3005</v>
      </c>
      <c r="C1508">
        <v>2</v>
      </c>
      <c r="E1508" s="1" t="s">
        <v>2314</v>
      </c>
    </row>
    <row r="1509" spans="1:5" x14ac:dyDescent="0.35">
      <c r="A1509" s="1" t="s">
        <v>3006</v>
      </c>
      <c r="B1509" s="45" t="s">
        <v>3007</v>
      </c>
      <c r="C1509">
        <v>2</v>
      </c>
      <c r="E1509" s="1" t="s">
        <v>2314</v>
      </c>
    </row>
    <row r="1510" spans="1:5" x14ac:dyDescent="0.35">
      <c r="A1510" s="1" t="s">
        <v>3008</v>
      </c>
      <c r="B1510" s="45" t="s">
        <v>3009</v>
      </c>
      <c r="C1510">
        <v>2</v>
      </c>
      <c r="E1510" s="1" t="s">
        <v>2314</v>
      </c>
    </row>
    <row r="1511" spans="1:5" x14ac:dyDescent="0.35">
      <c r="A1511" s="1" t="s">
        <v>3010</v>
      </c>
      <c r="B1511" s="45" t="s">
        <v>3011</v>
      </c>
      <c r="C1511">
        <v>2</v>
      </c>
      <c r="E1511" s="1" t="s">
        <v>2314</v>
      </c>
    </row>
    <row r="1512" spans="1:5" x14ac:dyDescent="0.35">
      <c r="A1512" s="1" t="s">
        <v>3012</v>
      </c>
      <c r="B1512" s="45" t="s">
        <v>3013</v>
      </c>
      <c r="C1512">
        <v>2</v>
      </c>
      <c r="E1512" s="1" t="s">
        <v>2314</v>
      </c>
    </row>
    <row r="1513" spans="1:5" x14ac:dyDescent="0.35">
      <c r="A1513" s="1" t="s">
        <v>3014</v>
      </c>
      <c r="B1513" s="45" t="s">
        <v>3015</v>
      </c>
      <c r="C1513">
        <v>2</v>
      </c>
      <c r="E1513" s="1" t="s">
        <v>2314</v>
      </c>
    </row>
    <row r="1514" spans="1:5" x14ac:dyDescent="0.35">
      <c r="A1514" s="1" t="s">
        <v>3016</v>
      </c>
      <c r="B1514" s="45" t="s">
        <v>3017</v>
      </c>
      <c r="C1514">
        <v>2</v>
      </c>
      <c r="E1514" s="1" t="s">
        <v>2314</v>
      </c>
    </row>
    <row r="1515" spans="1:5" x14ac:dyDescent="0.35">
      <c r="A1515" s="1" t="s">
        <v>3018</v>
      </c>
      <c r="B1515" s="45" t="s">
        <v>3019</v>
      </c>
      <c r="C1515">
        <v>2</v>
      </c>
      <c r="E1515" s="1" t="s">
        <v>2314</v>
      </c>
    </row>
    <row r="1516" spans="1:5" x14ac:dyDescent="0.35">
      <c r="A1516" s="1" t="s">
        <v>3020</v>
      </c>
      <c r="B1516" s="45" t="s">
        <v>3021</v>
      </c>
      <c r="C1516">
        <v>2</v>
      </c>
      <c r="E1516" s="1" t="s">
        <v>2314</v>
      </c>
    </row>
    <row r="1517" spans="1:5" x14ac:dyDescent="0.35">
      <c r="A1517" s="1" t="s">
        <v>3022</v>
      </c>
      <c r="B1517" s="45" t="s">
        <v>3023</v>
      </c>
      <c r="C1517">
        <v>2</v>
      </c>
      <c r="E1517" s="1" t="s">
        <v>2314</v>
      </c>
    </row>
    <row r="1518" spans="1:5" x14ac:dyDescent="0.35">
      <c r="A1518" s="1" t="s">
        <v>3024</v>
      </c>
      <c r="B1518" s="45" t="s">
        <v>3025</v>
      </c>
      <c r="C1518">
        <v>2</v>
      </c>
      <c r="E1518" s="1" t="s">
        <v>2314</v>
      </c>
    </row>
    <row r="1519" spans="1:5" x14ac:dyDescent="0.35">
      <c r="A1519" s="1" t="s">
        <v>3026</v>
      </c>
      <c r="B1519" s="45" t="s">
        <v>3027</v>
      </c>
      <c r="C1519">
        <v>2</v>
      </c>
      <c r="E1519" s="1" t="s">
        <v>2314</v>
      </c>
    </row>
    <row r="1520" spans="1:5" x14ac:dyDescent="0.35">
      <c r="A1520" s="1" t="s">
        <v>3028</v>
      </c>
      <c r="B1520" s="45" t="s">
        <v>3029</v>
      </c>
      <c r="C1520">
        <v>2</v>
      </c>
      <c r="E1520" s="1" t="s">
        <v>2314</v>
      </c>
    </row>
    <row r="1521" spans="1:5" x14ac:dyDescent="0.35">
      <c r="A1521" s="1" t="s">
        <v>3030</v>
      </c>
      <c r="B1521" s="45" t="s">
        <v>3031</v>
      </c>
      <c r="C1521">
        <v>2</v>
      </c>
      <c r="E1521" s="1" t="s">
        <v>2314</v>
      </c>
    </row>
    <row r="1522" spans="1:5" x14ac:dyDescent="0.35">
      <c r="A1522" s="1" t="s">
        <v>3032</v>
      </c>
      <c r="B1522" s="45" t="s">
        <v>3033</v>
      </c>
      <c r="C1522">
        <v>2</v>
      </c>
      <c r="E1522" s="1" t="s">
        <v>2314</v>
      </c>
    </row>
    <row r="1523" spans="1:5" x14ac:dyDescent="0.35">
      <c r="A1523" s="1" t="s">
        <v>3034</v>
      </c>
      <c r="B1523" s="45" t="s">
        <v>3035</v>
      </c>
      <c r="C1523">
        <v>2</v>
      </c>
      <c r="E1523" s="1" t="s">
        <v>2314</v>
      </c>
    </row>
    <row r="1524" spans="1:5" x14ac:dyDescent="0.35">
      <c r="A1524" s="1" t="s">
        <v>3036</v>
      </c>
      <c r="B1524" s="45" t="s">
        <v>3037</v>
      </c>
      <c r="C1524">
        <v>2</v>
      </c>
      <c r="E1524" s="1" t="s">
        <v>2314</v>
      </c>
    </row>
    <row r="1525" spans="1:5" x14ac:dyDescent="0.35">
      <c r="A1525" s="1" t="s">
        <v>3038</v>
      </c>
      <c r="B1525" s="45" t="s">
        <v>3039</v>
      </c>
      <c r="C1525">
        <v>2</v>
      </c>
      <c r="E1525" s="1" t="s">
        <v>2314</v>
      </c>
    </row>
    <row r="1526" spans="1:5" x14ac:dyDescent="0.35">
      <c r="A1526" s="1" t="s">
        <v>3040</v>
      </c>
      <c r="B1526" s="45" t="s">
        <v>3041</v>
      </c>
      <c r="C1526">
        <v>2</v>
      </c>
      <c r="E1526" s="1" t="s">
        <v>2314</v>
      </c>
    </row>
    <row r="1527" spans="1:5" x14ac:dyDescent="0.35">
      <c r="A1527" s="1" t="s">
        <v>3042</v>
      </c>
      <c r="B1527" s="45" t="s">
        <v>3043</v>
      </c>
      <c r="C1527">
        <v>2</v>
      </c>
      <c r="E1527" s="1" t="s">
        <v>2314</v>
      </c>
    </row>
    <row r="1528" spans="1:5" x14ac:dyDescent="0.35">
      <c r="A1528" s="1" t="s">
        <v>3044</v>
      </c>
      <c r="B1528" s="45" t="s">
        <v>416</v>
      </c>
      <c r="C1528">
        <v>2</v>
      </c>
      <c r="E1528" s="1" t="s">
        <v>2314</v>
      </c>
    </row>
    <row r="1529" spans="1:5" x14ac:dyDescent="0.35">
      <c r="A1529" s="1" t="s">
        <v>3045</v>
      </c>
      <c r="B1529" s="45" t="s">
        <v>294</v>
      </c>
      <c r="C1529">
        <v>2</v>
      </c>
      <c r="E1529" s="1" t="s">
        <v>2314</v>
      </c>
    </row>
    <row r="1530" spans="1:5" x14ac:dyDescent="0.35">
      <c r="A1530" s="1" t="s">
        <v>3046</v>
      </c>
      <c r="B1530" s="45" t="s">
        <v>3047</v>
      </c>
      <c r="C1530">
        <v>2</v>
      </c>
      <c r="E1530" s="1" t="s">
        <v>2314</v>
      </c>
    </row>
    <row r="1531" spans="1:5" x14ac:dyDescent="0.35">
      <c r="A1531" s="1" t="s">
        <v>3048</v>
      </c>
      <c r="B1531" s="45" t="s">
        <v>3049</v>
      </c>
      <c r="C1531">
        <v>2</v>
      </c>
      <c r="E1531" s="1" t="s">
        <v>2314</v>
      </c>
    </row>
    <row r="1532" spans="1:5" x14ac:dyDescent="0.35">
      <c r="A1532" s="1" t="s">
        <v>3050</v>
      </c>
      <c r="B1532" s="45" t="s">
        <v>346</v>
      </c>
      <c r="C1532">
        <v>2</v>
      </c>
      <c r="E1532" s="1" t="s">
        <v>2314</v>
      </c>
    </row>
    <row r="1533" spans="1:5" x14ac:dyDescent="0.35">
      <c r="A1533" s="1" t="s">
        <v>3051</v>
      </c>
      <c r="B1533" s="45" t="s">
        <v>3052</v>
      </c>
      <c r="C1533">
        <v>2</v>
      </c>
      <c r="E1533" s="1" t="s">
        <v>2314</v>
      </c>
    </row>
    <row r="1534" spans="1:5" x14ac:dyDescent="0.35">
      <c r="A1534" s="1" t="s">
        <v>3053</v>
      </c>
      <c r="B1534" s="45" t="s">
        <v>3054</v>
      </c>
      <c r="C1534">
        <v>2</v>
      </c>
      <c r="E1534" s="1" t="s">
        <v>2314</v>
      </c>
    </row>
    <row r="1535" spans="1:5" x14ac:dyDescent="0.35">
      <c r="A1535" s="1" t="s">
        <v>3055</v>
      </c>
      <c r="B1535" s="45" t="s">
        <v>3056</v>
      </c>
      <c r="C1535">
        <v>2</v>
      </c>
      <c r="E1535" s="1" t="s">
        <v>2314</v>
      </c>
    </row>
    <row r="1536" spans="1:5" x14ac:dyDescent="0.35">
      <c r="A1536" s="1" t="s">
        <v>3057</v>
      </c>
      <c r="B1536" s="45" t="s">
        <v>2092</v>
      </c>
      <c r="C1536">
        <v>2</v>
      </c>
      <c r="E1536" s="1" t="s">
        <v>2314</v>
      </c>
    </row>
    <row r="1537" spans="1:5" x14ac:dyDescent="0.35">
      <c r="A1537" s="1" t="s">
        <v>3058</v>
      </c>
      <c r="B1537" s="45" t="s">
        <v>3059</v>
      </c>
      <c r="C1537">
        <v>2</v>
      </c>
      <c r="E1537" s="1" t="s">
        <v>2314</v>
      </c>
    </row>
    <row r="1538" spans="1:5" x14ac:dyDescent="0.35">
      <c r="A1538" s="1" t="s">
        <v>3060</v>
      </c>
      <c r="B1538" s="45" t="s">
        <v>3061</v>
      </c>
      <c r="C1538">
        <v>2</v>
      </c>
      <c r="E1538" s="1" t="s">
        <v>2314</v>
      </c>
    </row>
    <row r="1539" spans="1:5" x14ac:dyDescent="0.35">
      <c r="A1539" s="1" t="s">
        <v>3062</v>
      </c>
      <c r="B1539" s="45" t="s">
        <v>350</v>
      </c>
      <c r="C1539">
        <v>2</v>
      </c>
      <c r="E1539" s="1" t="s">
        <v>2314</v>
      </c>
    </row>
    <row r="1540" spans="1:5" x14ac:dyDescent="0.35">
      <c r="A1540" s="1" t="s">
        <v>3063</v>
      </c>
      <c r="B1540" s="45" t="s">
        <v>3064</v>
      </c>
      <c r="C1540">
        <v>2</v>
      </c>
      <c r="E1540" s="1" t="s">
        <v>2314</v>
      </c>
    </row>
    <row r="1541" spans="1:5" x14ac:dyDescent="0.35">
      <c r="A1541" s="1" t="s">
        <v>3065</v>
      </c>
      <c r="B1541" s="45" t="s">
        <v>3066</v>
      </c>
      <c r="C1541">
        <v>2</v>
      </c>
      <c r="E1541" s="1" t="s">
        <v>2314</v>
      </c>
    </row>
    <row r="1542" spans="1:5" x14ac:dyDescent="0.35">
      <c r="A1542" s="1" t="s">
        <v>3067</v>
      </c>
      <c r="B1542" s="45" t="s">
        <v>3068</v>
      </c>
      <c r="C1542">
        <v>2</v>
      </c>
      <c r="E1542" s="1" t="s">
        <v>2314</v>
      </c>
    </row>
    <row r="1543" spans="1:5" x14ac:dyDescent="0.35">
      <c r="A1543" s="1" t="s">
        <v>3069</v>
      </c>
      <c r="B1543" s="45" t="s">
        <v>3070</v>
      </c>
      <c r="C1543">
        <v>2</v>
      </c>
      <c r="E1543" s="1" t="s">
        <v>2314</v>
      </c>
    </row>
    <row r="1544" spans="1:5" x14ac:dyDescent="0.35">
      <c r="A1544" s="1" t="s">
        <v>3071</v>
      </c>
      <c r="B1544" s="45" t="s">
        <v>390</v>
      </c>
      <c r="C1544">
        <v>2</v>
      </c>
      <c r="E1544" s="1" t="s">
        <v>2314</v>
      </c>
    </row>
    <row r="1545" spans="1:5" x14ac:dyDescent="0.35">
      <c r="A1545" s="1" t="s">
        <v>3072</v>
      </c>
      <c r="B1545" s="45" t="s">
        <v>3073</v>
      </c>
      <c r="C1545">
        <v>2</v>
      </c>
      <c r="E1545" s="1" t="s">
        <v>2314</v>
      </c>
    </row>
    <row r="1546" spans="1:5" x14ac:dyDescent="0.35">
      <c r="A1546" s="1" t="s">
        <v>3074</v>
      </c>
      <c r="B1546" s="45" t="s">
        <v>3075</v>
      </c>
      <c r="C1546">
        <v>2</v>
      </c>
      <c r="E1546" s="1" t="s">
        <v>2314</v>
      </c>
    </row>
    <row r="1547" spans="1:5" x14ac:dyDescent="0.35">
      <c r="A1547" s="1" t="s">
        <v>3076</v>
      </c>
      <c r="B1547" s="45" t="s">
        <v>2114</v>
      </c>
      <c r="C1547">
        <v>2</v>
      </c>
      <c r="E1547" s="1" t="s">
        <v>2314</v>
      </c>
    </row>
    <row r="1548" spans="1:5" x14ac:dyDescent="0.35">
      <c r="A1548" s="1" t="s">
        <v>3077</v>
      </c>
      <c r="B1548" s="45" t="s">
        <v>3078</v>
      </c>
      <c r="C1548">
        <v>2</v>
      </c>
      <c r="E1548" s="1" t="s">
        <v>2314</v>
      </c>
    </row>
    <row r="1549" spans="1:5" x14ac:dyDescent="0.35">
      <c r="A1549" s="1" t="s">
        <v>3079</v>
      </c>
      <c r="B1549" s="45" t="s">
        <v>3080</v>
      </c>
      <c r="C1549">
        <v>2</v>
      </c>
      <c r="E1549" s="1" t="s">
        <v>2314</v>
      </c>
    </row>
    <row r="1550" spans="1:5" x14ac:dyDescent="0.35">
      <c r="A1550" s="1" t="s">
        <v>3081</v>
      </c>
      <c r="B1550" s="45" t="s">
        <v>3082</v>
      </c>
      <c r="C1550">
        <v>2</v>
      </c>
      <c r="E1550" s="1" t="s">
        <v>2314</v>
      </c>
    </row>
    <row r="1551" spans="1:5" x14ac:dyDescent="0.35">
      <c r="A1551" s="1" t="s">
        <v>3083</v>
      </c>
      <c r="B1551" s="45" t="s">
        <v>3084</v>
      </c>
      <c r="C1551">
        <v>2</v>
      </c>
      <c r="E1551" s="1" t="s">
        <v>2314</v>
      </c>
    </row>
    <row r="1552" spans="1:5" x14ac:dyDescent="0.35">
      <c r="A1552" s="1" t="s">
        <v>3085</v>
      </c>
      <c r="B1552" s="45" t="s">
        <v>2088</v>
      </c>
      <c r="C1552">
        <v>2</v>
      </c>
      <c r="E1552" s="1" t="s">
        <v>2314</v>
      </c>
    </row>
    <row r="1553" spans="1:5" x14ac:dyDescent="0.35">
      <c r="A1553" s="1" t="s">
        <v>3086</v>
      </c>
      <c r="B1553" s="45" t="s">
        <v>3087</v>
      </c>
      <c r="C1553">
        <v>2</v>
      </c>
      <c r="E1553" s="1" t="s">
        <v>2314</v>
      </c>
    </row>
    <row r="1554" spans="1:5" x14ac:dyDescent="0.35">
      <c r="A1554" s="1" t="s">
        <v>3088</v>
      </c>
      <c r="B1554" s="45" t="s">
        <v>3089</v>
      </c>
      <c r="C1554">
        <v>2</v>
      </c>
      <c r="E1554" s="1" t="s">
        <v>2314</v>
      </c>
    </row>
    <row r="1555" spans="1:5" x14ac:dyDescent="0.35">
      <c r="A1555" s="1" t="s">
        <v>3090</v>
      </c>
      <c r="B1555" s="45" t="s">
        <v>3091</v>
      </c>
      <c r="C1555">
        <v>2</v>
      </c>
      <c r="E1555" s="1" t="s">
        <v>2314</v>
      </c>
    </row>
    <row r="1556" spans="1:5" x14ac:dyDescent="0.35">
      <c r="A1556" s="1" t="s">
        <v>3092</v>
      </c>
      <c r="B1556" s="45" t="s">
        <v>3093</v>
      </c>
      <c r="C1556">
        <v>2</v>
      </c>
      <c r="E1556" s="1" t="s">
        <v>2314</v>
      </c>
    </row>
    <row r="1557" spans="1:5" x14ac:dyDescent="0.35">
      <c r="A1557" s="1" t="s">
        <v>3094</v>
      </c>
      <c r="B1557" s="45" t="s">
        <v>3095</v>
      </c>
      <c r="C1557">
        <v>2</v>
      </c>
      <c r="E1557" s="1" t="s">
        <v>2314</v>
      </c>
    </row>
    <row r="1558" spans="1:5" x14ac:dyDescent="0.35">
      <c r="A1558" s="1" t="s">
        <v>3096</v>
      </c>
      <c r="B1558" s="45" t="s">
        <v>3097</v>
      </c>
      <c r="C1558">
        <v>2</v>
      </c>
      <c r="E1558" s="1" t="s">
        <v>2314</v>
      </c>
    </row>
    <row r="1559" spans="1:5" x14ac:dyDescent="0.35">
      <c r="A1559" s="1" t="s">
        <v>3098</v>
      </c>
      <c r="B1559" s="45" t="s">
        <v>3099</v>
      </c>
      <c r="C1559">
        <v>2</v>
      </c>
      <c r="E1559" s="1" t="s">
        <v>2314</v>
      </c>
    </row>
    <row r="1560" spans="1:5" x14ac:dyDescent="0.35">
      <c r="A1560" s="1" t="s">
        <v>3100</v>
      </c>
      <c r="B1560" s="45" t="s">
        <v>3101</v>
      </c>
      <c r="C1560">
        <v>2</v>
      </c>
      <c r="E1560" s="1" t="s">
        <v>2314</v>
      </c>
    </row>
    <row r="1561" spans="1:5" x14ac:dyDescent="0.35">
      <c r="A1561" s="1" t="s">
        <v>3102</v>
      </c>
      <c r="B1561" s="45" t="s">
        <v>3103</v>
      </c>
      <c r="C1561">
        <v>2</v>
      </c>
      <c r="E1561" s="1" t="s">
        <v>2314</v>
      </c>
    </row>
    <row r="1562" spans="1:5" x14ac:dyDescent="0.35">
      <c r="A1562" s="1" t="s">
        <v>3104</v>
      </c>
      <c r="B1562" s="45" t="s">
        <v>3105</v>
      </c>
      <c r="C1562">
        <v>2</v>
      </c>
      <c r="E1562" s="1" t="s">
        <v>2314</v>
      </c>
    </row>
    <row r="1563" spans="1:5" x14ac:dyDescent="0.35">
      <c r="A1563" s="1" t="s">
        <v>3106</v>
      </c>
      <c r="B1563" s="45" t="s">
        <v>3107</v>
      </c>
      <c r="C1563">
        <v>2</v>
      </c>
      <c r="E1563" s="1" t="s">
        <v>2314</v>
      </c>
    </row>
    <row r="1564" spans="1:5" x14ac:dyDescent="0.35">
      <c r="A1564" s="1" t="s">
        <v>3108</v>
      </c>
      <c r="B1564" s="45" t="s">
        <v>3109</v>
      </c>
      <c r="C1564">
        <v>2</v>
      </c>
      <c r="E1564" s="1" t="s">
        <v>2314</v>
      </c>
    </row>
    <row r="1565" spans="1:5" x14ac:dyDescent="0.35">
      <c r="A1565" s="1" t="s">
        <v>3110</v>
      </c>
      <c r="B1565" s="45" t="s">
        <v>376</v>
      </c>
      <c r="C1565">
        <v>2</v>
      </c>
      <c r="E1565" s="1" t="s">
        <v>2314</v>
      </c>
    </row>
    <row r="1566" spans="1:5" x14ac:dyDescent="0.35">
      <c r="A1566" s="1" t="s">
        <v>3111</v>
      </c>
      <c r="B1566" s="45" t="s">
        <v>3112</v>
      </c>
      <c r="C1566">
        <v>2</v>
      </c>
      <c r="E1566" s="1" t="s">
        <v>2314</v>
      </c>
    </row>
    <row r="1567" spans="1:5" x14ac:dyDescent="0.35">
      <c r="A1567" s="1" t="s">
        <v>3113</v>
      </c>
      <c r="B1567" s="45" t="s">
        <v>3114</v>
      </c>
      <c r="C1567">
        <v>2</v>
      </c>
      <c r="E1567" s="1" t="s">
        <v>2314</v>
      </c>
    </row>
    <row r="1568" spans="1:5" x14ac:dyDescent="0.35">
      <c r="A1568" s="1" t="s">
        <v>3115</v>
      </c>
      <c r="B1568" s="45" t="s">
        <v>308</v>
      </c>
      <c r="C1568">
        <v>2</v>
      </c>
      <c r="E1568" s="1" t="s">
        <v>2314</v>
      </c>
    </row>
    <row r="1569" spans="1:5" x14ac:dyDescent="0.35">
      <c r="A1569" s="1" t="s">
        <v>3116</v>
      </c>
      <c r="B1569" s="45" t="s">
        <v>396</v>
      </c>
      <c r="C1569">
        <v>2</v>
      </c>
      <c r="E1569" s="1" t="s">
        <v>2314</v>
      </c>
    </row>
    <row r="1570" spans="1:5" x14ac:dyDescent="0.35">
      <c r="A1570" s="1" t="s">
        <v>3117</v>
      </c>
      <c r="B1570" s="45" t="s">
        <v>320</v>
      </c>
      <c r="C1570">
        <v>2</v>
      </c>
      <c r="E1570" s="1" t="s">
        <v>2314</v>
      </c>
    </row>
    <row r="1571" spans="1:5" x14ac:dyDescent="0.35">
      <c r="A1571" s="1" t="s">
        <v>3118</v>
      </c>
      <c r="B1571" s="45" t="s">
        <v>3119</v>
      </c>
      <c r="C1571">
        <v>2</v>
      </c>
      <c r="E1571" s="1" t="s">
        <v>2314</v>
      </c>
    </row>
    <row r="1572" spans="1:5" x14ac:dyDescent="0.35">
      <c r="A1572" s="1" t="s">
        <v>3120</v>
      </c>
      <c r="B1572" s="45" t="s">
        <v>3121</v>
      </c>
      <c r="C1572">
        <v>2</v>
      </c>
      <c r="E1572" s="1" t="s">
        <v>2314</v>
      </c>
    </row>
    <row r="1573" spans="1:5" x14ac:dyDescent="0.35">
      <c r="A1573" s="1" t="s">
        <v>3122</v>
      </c>
      <c r="B1573" s="45" t="s">
        <v>3123</v>
      </c>
      <c r="C1573">
        <v>2</v>
      </c>
      <c r="E1573" s="1" t="s">
        <v>2314</v>
      </c>
    </row>
    <row r="1574" spans="1:5" x14ac:dyDescent="0.35">
      <c r="A1574" s="1" t="s">
        <v>3124</v>
      </c>
      <c r="B1574" s="45" t="s">
        <v>3125</v>
      </c>
      <c r="C1574">
        <v>2</v>
      </c>
      <c r="E1574" s="1" t="s">
        <v>2314</v>
      </c>
    </row>
    <row r="1575" spans="1:5" x14ac:dyDescent="0.35">
      <c r="A1575" s="1" t="s">
        <v>3126</v>
      </c>
      <c r="B1575" s="45" t="s">
        <v>3127</v>
      </c>
      <c r="C1575">
        <v>2</v>
      </c>
      <c r="E1575" s="1" t="s">
        <v>2314</v>
      </c>
    </row>
    <row r="1576" spans="1:5" x14ac:dyDescent="0.35">
      <c r="A1576" s="1" t="s">
        <v>3128</v>
      </c>
      <c r="B1576" s="45" t="s">
        <v>3129</v>
      </c>
      <c r="C1576">
        <v>2</v>
      </c>
      <c r="E1576" s="1" t="s">
        <v>2314</v>
      </c>
    </row>
    <row r="1577" spans="1:5" x14ac:dyDescent="0.35">
      <c r="A1577" s="1" t="s">
        <v>3130</v>
      </c>
      <c r="B1577" s="45" t="s">
        <v>342</v>
      </c>
      <c r="C1577">
        <v>2</v>
      </c>
      <c r="E1577" s="1" t="s">
        <v>2314</v>
      </c>
    </row>
    <row r="1578" spans="1:5" x14ac:dyDescent="0.35">
      <c r="A1578" s="1" t="s">
        <v>3131</v>
      </c>
      <c r="B1578" s="45" t="s">
        <v>430</v>
      </c>
      <c r="C1578">
        <v>2</v>
      </c>
      <c r="E1578" s="1" t="s">
        <v>2314</v>
      </c>
    </row>
    <row r="1579" spans="1:5" x14ac:dyDescent="0.35">
      <c r="A1579" s="1" t="s">
        <v>3132</v>
      </c>
      <c r="B1579" s="45" t="s">
        <v>1889</v>
      </c>
      <c r="C1579">
        <v>2</v>
      </c>
      <c r="E1579" s="1" t="s">
        <v>2314</v>
      </c>
    </row>
    <row r="1580" spans="1:5" x14ac:dyDescent="0.35">
      <c r="A1580" s="1" t="s">
        <v>3133</v>
      </c>
      <c r="B1580" s="45" t="s">
        <v>1891</v>
      </c>
      <c r="C1580">
        <v>2</v>
      </c>
      <c r="E1580" s="1" t="s">
        <v>2314</v>
      </c>
    </row>
    <row r="1581" spans="1:5" x14ac:dyDescent="0.35">
      <c r="A1581" s="1" t="s">
        <v>3134</v>
      </c>
      <c r="B1581" s="45" t="s">
        <v>1893</v>
      </c>
      <c r="C1581">
        <v>2</v>
      </c>
      <c r="E1581" s="1" t="s">
        <v>2314</v>
      </c>
    </row>
    <row r="1582" spans="1:5" x14ac:dyDescent="0.35">
      <c r="A1582" s="1" t="s">
        <v>3135</v>
      </c>
      <c r="B1582" s="45" t="s">
        <v>1895</v>
      </c>
      <c r="C1582">
        <v>2</v>
      </c>
      <c r="E1582" s="1" t="s">
        <v>2314</v>
      </c>
    </row>
    <row r="1583" spans="1:5" x14ac:dyDescent="0.35">
      <c r="A1583" s="1" t="s">
        <v>3136</v>
      </c>
      <c r="B1583" s="45" t="s">
        <v>1897</v>
      </c>
      <c r="C1583">
        <v>2</v>
      </c>
      <c r="E1583" s="1" t="s">
        <v>2314</v>
      </c>
    </row>
    <row r="1584" spans="1:5" x14ac:dyDescent="0.35">
      <c r="A1584" s="1" t="s">
        <v>3137</v>
      </c>
      <c r="B1584" s="45" t="s">
        <v>1899</v>
      </c>
      <c r="C1584">
        <v>2</v>
      </c>
      <c r="E1584" s="1" t="s">
        <v>2314</v>
      </c>
    </row>
    <row r="1585" spans="1:5" x14ac:dyDescent="0.35">
      <c r="A1585" s="1" t="s">
        <v>3138</v>
      </c>
      <c r="B1585" s="45" t="s">
        <v>1901</v>
      </c>
      <c r="C1585">
        <v>2</v>
      </c>
      <c r="E1585" s="1" t="s">
        <v>2314</v>
      </c>
    </row>
    <row r="1586" spans="1:5" x14ac:dyDescent="0.35">
      <c r="A1586" s="1" t="s">
        <v>3139</v>
      </c>
      <c r="B1586" s="45" t="s">
        <v>1903</v>
      </c>
      <c r="C1586">
        <v>2</v>
      </c>
      <c r="E1586" s="1" t="s">
        <v>2314</v>
      </c>
    </row>
    <row r="1587" spans="1:5" x14ac:dyDescent="0.35">
      <c r="A1587" s="1" t="s">
        <v>3140</v>
      </c>
      <c r="B1587" s="45" t="s">
        <v>1905</v>
      </c>
      <c r="C1587">
        <v>2</v>
      </c>
      <c r="E1587" s="1" t="s">
        <v>2314</v>
      </c>
    </row>
    <row r="1588" spans="1:5" x14ac:dyDescent="0.35">
      <c r="A1588" s="1" t="s">
        <v>3141</v>
      </c>
      <c r="B1588" s="45" t="s">
        <v>1907</v>
      </c>
      <c r="C1588">
        <v>2</v>
      </c>
      <c r="E1588" s="1" t="s">
        <v>2314</v>
      </c>
    </row>
    <row r="1589" spans="1:5" x14ac:dyDescent="0.35">
      <c r="A1589" s="1" t="s">
        <v>3142</v>
      </c>
      <c r="B1589" s="45" t="s">
        <v>3143</v>
      </c>
      <c r="C1589">
        <v>2</v>
      </c>
      <c r="E1589" s="1" t="s">
        <v>2314</v>
      </c>
    </row>
    <row r="1590" spans="1:5" x14ac:dyDescent="0.35">
      <c r="A1590" s="1" t="s">
        <v>3144</v>
      </c>
      <c r="B1590" s="45" t="s">
        <v>3145</v>
      </c>
      <c r="C1590">
        <v>2</v>
      </c>
      <c r="E1590" s="1" t="s">
        <v>2314</v>
      </c>
    </row>
    <row r="1591" spans="1:5" x14ac:dyDescent="0.35">
      <c r="A1591" s="1" t="s">
        <v>3146</v>
      </c>
      <c r="B1591" s="45" t="s">
        <v>3147</v>
      </c>
      <c r="C1591">
        <v>2</v>
      </c>
      <c r="E1591" s="1" t="s">
        <v>2314</v>
      </c>
    </row>
    <row r="1592" spans="1:5" x14ac:dyDescent="0.35">
      <c r="A1592" s="1" t="s">
        <v>3148</v>
      </c>
      <c r="B1592" s="45" t="s">
        <v>3149</v>
      </c>
      <c r="C1592">
        <v>2</v>
      </c>
      <c r="E1592" s="1" t="s">
        <v>2314</v>
      </c>
    </row>
    <row r="1593" spans="1:5" x14ac:dyDescent="0.35">
      <c r="A1593" s="1" t="s">
        <v>3150</v>
      </c>
      <c r="B1593" s="45" t="s">
        <v>3151</v>
      </c>
      <c r="C1593">
        <v>2</v>
      </c>
      <c r="E1593" s="1" t="s">
        <v>2314</v>
      </c>
    </row>
    <row r="1594" spans="1:5" x14ac:dyDescent="0.35">
      <c r="A1594" s="1" t="s">
        <v>3152</v>
      </c>
      <c r="B1594" s="45" t="s">
        <v>3153</v>
      </c>
      <c r="C1594">
        <v>2</v>
      </c>
      <c r="E1594" s="1" t="s">
        <v>2314</v>
      </c>
    </row>
    <row r="1595" spans="1:5" x14ac:dyDescent="0.35">
      <c r="A1595" s="1" t="s">
        <v>3154</v>
      </c>
      <c r="B1595" s="45" t="s">
        <v>2079</v>
      </c>
      <c r="C1595">
        <v>2</v>
      </c>
      <c r="E1595" s="1" t="s">
        <v>2314</v>
      </c>
    </row>
    <row r="1596" spans="1:5" x14ac:dyDescent="0.35">
      <c r="A1596" s="1" t="s">
        <v>3155</v>
      </c>
      <c r="B1596" s="45" t="s">
        <v>3156</v>
      </c>
      <c r="C1596">
        <v>2</v>
      </c>
      <c r="E1596" s="1" t="s">
        <v>2314</v>
      </c>
    </row>
    <row r="1597" spans="1:5" x14ac:dyDescent="0.35">
      <c r="A1597" s="1" t="s">
        <v>3157</v>
      </c>
      <c r="B1597" s="45" t="s">
        <v>290</v>
      </c>
      <c r="C1597">
        <v>2</v>
      </c>
      <c r="E1597" s="1" t="s">
        <v>2314</v>
      </c>
    </row>
    <row r="1598" spans="1:5" x14ac:dyDescent="0.35">
      <c r="A1598" s="1" t="s">
        <v>3158</v>
      </c>
      <c r="B1598" s="45" t="s">
        <v>418</v>
      </c>
      <c r="C1598">
        <v>2</v>
      </c>
      <c r="E1598" s="1" t="s">
        <v>2314</v>
      </c>
    </row>
    <row r="1599" spans="1:5" x14ac:dyDescent="0.35">
      <c r="A1599" s="1" t="s">
        <v>3159</v>
      </c>
      <c r="B1599" s="45" t="s">
        <v>2111</v>
      </c>
      <c r="C1599">
        <v>2</v>
      </c>
      <c r="E1599" s="1" t="s">
        <v>2314</v>
      </c>
    </row>
    <row r="1600" spans="1:5" x14ac:dyDescent="0.35">
      <c r="A1600" s="1" t="s">
        <v>3160</v>
      </c>
      <c r="B1600" s="45" t="s">
        <v>2109</v>
      </c>
      <c r="C1600">
        <v>2</v>
      </c>
      <c r="E1600" s="1" t="s">
        <v>2314</v>
      </c>
    </row>
    <row r="1601" spans="1:5" x14ac:dyDescent="0.35">
      <c r="A1601" s="1" t="s">
        <v>3161</v>
      </c>
      <c r="B1601" s="45" t="s">
        <v>3162</v>
      </c>
      <c r="C1601">
        <v>2</v>
      </c>
      <c r="E1601" s="1" t="s">
        <v>2314</v>
      </c>
    </row>
    <row r="1602" spans="1:5" x14ac:dyDescent="0.35">
      <c r="A1602" s="1" t="s">
        <v>3163</v>
      </c>
      <c r="B1602" s="45" t="s">
        <v>3164</v>
      </c>
      <c r="C1602">
        <v>2</v>
      </c>
      <c r="E1602" s="1" t="s">
        <v>2314</v>
      </c>
    </row>
    <row r="1603" spans="1:5" x14ac:dyDescent="0.35">
      <c r="A1603" s="1" t="s">
        <v>3165</v>
      </c>
      <c r="B1603" s="45" t="s">
        <v>3166</v>
      </c>
      <c r="C1603">
        <v>2</v>
      </c>
      <c r="E1603" s="1" t="s">
        <v>2314</v>
      </c>
    </row>
    <row r="1604" spans="1:5" x14ac:dyDescent="0.35">
      <c r="A1604" s="1" t="s">
        <v>3167</v>
      </c>
      <c r="B1604" s="45" t="s">
        <v>726</v>
      </c>
      <c r="C1604">
        <v>2</v>
      </c>
      <c r="E1604" s="1" t="s">
        <v>2314</v>
      </c>
    </row>
    <row r="1605" spans="1:5" x14ac:dyDescent="0.35">
      <c r="A1605" s="1" t="s">
        <v>3168</v>
      </c>
      <c r="B1605" s="45" t="s">
        <v>3169</v>
      </c>
      <c r="C1605">
        <v>2</v>
      </c>
      <c r="E1605" s="1" t="s">
        <v>2314</v>
      </c>
    </row>
    <row r="1606" spans="1:5" x14ac:dyDescent="0.35">
      <c r="A1606" s="1" t="s">
        <v>3170</v>
      </c>
      <c r="B1606" s="45" t="s">
        <v>2023</v>
      </c>
      <c r="C1606">
        <v>2</v>
      </c>
      <c r="E1606" s="1" t="s">
        <v>2314</v>
      </c>
    </row>
    <row r="1607" spans="1:5" x14ac:dyDescent="0.35">
      <c r="A1607" s="1" t="s">
        <v>3171</v>
      </c>
      <c r="B1607" s="45" t="s">
        <v>3172</v>
      </c>
      <c r="C1607">
        <v>2</v>
      </c>
      <c r="E1607" s="1" t="s">
        <v>2314</v>
      </c>
    </row>
    <row r="1608" spans="1:5" x14ac:dyDescent="0.35">
      <c r="A1608" s="1" t="s">
        <v>3173</v>
      </c>
      <c r="B1608" s="45" t="s">
        <v>1563</v>
      </c>
      <c r="C1608">
        <v>2</v>
      </c>
      <c r="E1608" s="1" t="s">
        <v>2314</v>
      </c>
    </row>
    <row r="1609" spans="1:5" x14ac:dyDescent="0.35">
      <c r="A1609" s="1" t="s">
        <v>3174</v>
      </c>
      <c r="B1609" s="45" t="s">
        <v>2631</v>
      </c>
      <c r="C1609">
        <v>2</v>
      </c>
      <c r="E1609" s="1" t="s">
        <v>2314</v>
      </c>
    </row>
    <row r="1610" spans="1:5" x14ac:dyDescent="0.35">
      <c r="A1610" s="1" t="s">
        <v>3175</v>
      </c>
      <c r="B1610" s="45" t="s">
        <v>3176</v>
      </c>
      <c r="C1610">
        <v>2</v>
      </c>
      <c r="E1610" s="1" t="s">
        <v>2314</v>
      </c>
    </row>
    <row r="1611" spans="1:5" x14ac:dyDescent="0.35">
      <c r="A1611" s="1" t="s">
        <v>3177</v>
      </c>
      <c r="B1611" s="45" t="s">
        <v>3178</v>
      </c>
      <c r="C1611">
        <v>2</v>
      </c>
      <c r="E1611" s="1" t="s">
        <v>2314</v>
      </c>
    </row>
    <row r="1612" spans="1:5" x14ac:dyDescent="0.35">
      <c r="A1612" s="1" t="s">
        <v>3179</v>
      </c>
      <c r="B1612" s="45" t="s">
        <v>3180</v>
      </c>
      <c r="C1612">
        <v>2</v>
      </c>
      <c r="E1612" s="1" t="s">
        <v>2314</v>
      </c>
    </row>
    <row r="1613" spans="1:5" x14ac:dyDescent="0.35">
      <c r="A1613" s="1" t="s">
        <v>3181</v>
      </c>
      <c r="B1613" s="45" t="s">
        <v>3182</v>
      </c>
      <c r="C1613">
        <v>2</v>
      </c>
      <c r="E1613" s="1" t="s">
        <v>2314</v>
      </c>
    </row>
    <row r="1614" spans="1:5" x14ac:dyDescent="0.35">
      <c r="A1614" s="1" t="s">
        <v>3183</v>
      </c>
      <c r="B1614" s="45" t="s">
        <v>298</v>
      </c>
      <c r="C1614">
        <v>2</v>
      </c>
      <c r="E1614" s="1" t="s">
        <v>2314</v>
      </c>
    </row>
    <row r="1615" spans="1:5" x14ac:dyDescent="0.35">
      <c r="A1615" s="1" t="s">
        <v>3184</v>
      </c>
      <c r="B1615" s="45" t="s">
        <v>3185</v>
      </c>
      <c r="C1615">
        <v>2</v>
      </c>
      <c r="E1615" s="1" t="s">
        <v>2314</v>
      </c>
    </row>
    <row r="1616" spans="1:5" x14ac:dyDescent="0.35">
      <c r="A1616" s="1" t="s">
        <v>3186</v>
      </c>
      <c r="B1616" s="45" t="s">
        <v>1199</v>
      </c>
      <c r="C1616">
        <v>2</v>
      </c>
      <c r="E1616" s="1" t="s">
        <v>2314</v>
      </c>
    </row>
    <row r="1617" spans="1:5" x14ac:dyDescent="0.35">
      <c r="A1617" s="1" t="s">
        <v>3187</v>
      </c>
      <c r="B1617" s="45" t="s">
        <v>3188</v>
      </c>
      <c r="C1617">
        <v>2</v>
      </c>
      <c r="E1617" s="1" t="s">
        <v>2314</v>
      </c>
    </row>
    <row r="1618" spans="1:5" x14ac:dyDescent="0.35">
      <c r="A1618" s="1" t="s">
        <v>3189</v>
      </c>
      <c r="B1618" s="45" t="s">
        <v>336</v>
      </c>
      <c r="C1618">
        <v>2</v>
      </c>
      <c r="E1618" s="1" t="s">
        <v>2314</v>
      </c>
    </row>
    <row r="1619" spans="1:5" x14ac:dyDescent="0.35">
      <c r="A1619" s="1" t="s">
        <v>3190</v>
      </c>
      <c r="B1619" s="45" t="s">
        <v>3191</v>
      </c>
      <c r="C1619">
        <v>2</v>
      </c>
      <c r="E1619" s="1" t="s">
        <v>2314</v>
      </c>
    </row>
    <row r="1620" spans="1:5" x14ac:dyDescent="0.35">
      <c r="A1620" s="1" t="s">
        <v>3192</v>
      </c>
      <c r="B1620" s="45" t="s">
        <v>3193</v>
      </c>
      <c r="C1620">
        <v>2</v>
      </c>
      <c r="E1620" s="1" t="s">
        <v>2314</v>
      </c>
    </row>
    <row r="1621" spans="1:5" x14ac:dyDescent="0.35">
      <c r="A1621" s="1" t="s">
        <v>3194</v>
      </c>
      <c r="B1621" s="45" t="s">
        <v>241</v>
      </c>
      <c r="C1621">
        <v>2</v>
      </c>
      <c r="E1621" s="1" t="s">
        <v>2314</v>
      </c>
    </row>
    <row r="1622" spans="1:5" x14ac:dyDescent="0.35">
      <c r="A1622" s="1" t="s">
        <v>3195</v>
      </c>
      <c r="B1622" s="45" t="s">
        <v>3196</v>
      </c>
      <c r="C1622">
        <v>2</v>
      </c>
      <c r="E1622" s="1" t="s">
        <v>2314</v>
      </c>
    </row>
    <row r="1623" spans="1:5" x14ac:dyDescent="0.35">
      <c r="A1623" s="1" t="s">
        <v>3197</v>
      </c>
      <c r="B1623" s="45" t="s">
        <v>3198</v>
      </c>
      <c r="C1623">
        <v>2</v>
      </c>
      <c r="E1623" s="1" t="s">
        <v>2314</v>
      </c>
    </row>
    <row r="1624" spans="1:5" x14ac:dyDescent="0.35">
      <c r="A1624" s="1" t="s">
        <v>3199</v>
      </c>
      <c r="B1624" s="45" t="s">
        <v>233</v>
      </c>
      <c r="C1624">
        <v>2</v>
      </c>
      <c r="E1624" s="1" t="s">
        <v>2314</v>
      </c>
    </row>
    <row r="1625" spans="1:5" x14ac:dyDescent="0.35">
      <c r="A1625" s="1" t="s">
        <v>3200</v>
      </c>
      <c r="B1625" s="45" t="s">
        <v>3201</v>
      </c>
      <c r="C1625">
        <v>2</v>
      </c>
      <c r="E1625" s="1" t="s">
        <v>2314</v>
      </c>
    </row>
    <row r="1626" spans="1:5" x14ac:dyDescent="0.35">
      <c r="A1626" s="1" t="s">
        <v>3202</v>
      </c>
      <c r="B1626" s="45" t="s">
        <v>3203</v>
      </c>
      <c r="C1626">
        <v>2</v>
      </c>
      <c r="E1626" s="1" t="s">
        <v>2314</v>
      </c>
    </row>
    <row r="1627" spans="1:5" x14ac:dyDescent="0.35">
      <c r="A1627" s="1" t="s">
        <v>3204</v>
      </c>
      <c r="B1627" s="45" t="s">
        <v>3205</v>
      </c>
      <c r="C1627">
        <v>2</v>
      </c>
      <c r="E1627" s="1" t="s">
        <v>2314</v>
      </c>
    </row>
    <row r="1628" spans="1:5" x14ac:dyDescent="0.35">
      <c r="A1628" s="1" t="s">
        <v>3206</v>
      </c>
      <c r="B1628" s="45" t="s">
        <v>3207</v>
      </c>
      <c r="C1628">
        <v>2</v>
      </c>
      <c r="E1628" s="1" t="s">
        <v>2314</v>
      </c>
    </row>
    <row r="1629" spans="1:5" x14ac:dyDescent="0.35">
      <c r="A1629" s="1" t="s">
        <v>3208</v>
      </c>
      <c r="B1629" s="45" t="s">
        <v>648</v>
      </c>
      <c r="C1629">
        <v>2</v>
      </c>
      <c r="E1629" s="1" t="s">
        <v>2314</v>
      </c>
    </row>
    <row r="1630" spans="1:5" x14ac:dyDescent="0.35">
      <c r="A1630" s="1" t="s">
        <v>3209</v>
      </c>
      <c r="B1630" s="45" t="s">
        <v>219</v>
      </c>
      <c r="C1630">
        <v>2</v>
      </c>
      <c r="E1630" s="1" t="s">
        <v>2314</v>
      </c>
    </row>
    <row r="1631" spans="1:5" x14ac:dyDescent="0.35">
      <c r="A1631" s="1" t="s">
        <v>3210</v>
      </c>
      <c r="B1631" s="45" t="s">
        <v>3211</v>
      </c>
      <c r="C1631">
        <v>2</v>
      </c>
      <c r="E1631" s="1" t="s">
        <v>2314</v>
      </c>
    </row>
    <row r="1632" spans="1:5" x14ac:dyDescent="0.35">
      <c r="A1632" s="1" t="s">
        <v>3212</v>
      </c>
      <c r="B1632" s="45" t="s">
        <v>680</v>
      </c>
      <c r="C1632">
        <v>2</v>
      </c>
      <c r="E1632" s="1" t="s">
        <v>2314</v>
      </c>
    </row>
    <row r="1633" spans="1:5" x14ac:dyDescent="0.35">
      <c r="A1633" s="1" t="s">
        <v>3213</v>
      </c>
      <c r="B1633" s="45" t="s">
        <v>3214</v>
      </c>
      <c r="C1633">
        <v>2</v>
      </c>
      <c r="E1633" s="1" t="s">
        <v>2314</v>
      </c>
    </row>
    <row r="1634" spans="1:5" x14ac:dyDescent="0.35">
      <c r="A1634" s="1" t="s">
        <v>3215</v>
      </c>
      <c r="B1634" s="45" t="s">
        <v>3216</v>
      </c>
      <c r="C1634">
        <v>2</v>
      </c>
      <c r="E1634" s="1" t="s">
        <v>2314</v>
      </c>
    </row>
    <row r="1635" spans="1:5" x14ac:dyDescent="0.35">
      <c r="A1635" s="1" t="s">
        <v>3217</v>
      </c>
      <c r="B1635" s="45" t="s">
        <v>3218</v>
      </c>
      <c r="C1635">
        <v>2</v>
      </c>
      <c r="E1635" s="1" t="s">
        <v>2314</v>
      </c>
    </row>
    <row r="1636" spans="1:5" x14ac:dyDescent="0.35">
      <c r="A1636" s="1" t="s">
        <v>3219</v>
      </c>
      <c r="B1636" s="45" t="s">
        <v>3220</v>
      </c>
      <c r="C1636">
        <v>2</v>
      </c>
      <c r="E1636" s="1" t="s">
        <v>2314</v>
      </c>
    </row>
    <row r="1637" spans="1:5" x14ac:dyDescent="0.35">
      <c r="A1637" s="1" t="s">
        <v>3221</v>
      </c>
      <c r="B1637" s="45" t="s">
        <v>3222</v>
      </c>
      <c r="C1637">
        <v>2</v>
      </c>
      <c r="E1637" s="1" t="s">
        <v>2314</v>
      </c>
    </row>
    <row r="1638" spans="1:5" x14ac:dyDescent="0.35">
      <c r="A1638" s="1" t="s">
        <v>3223</v>
      </c>
      <c r="B1638" s="45" t="s">
        <v>3224</v>
      </c>
      <c r="C1638">
        <v>2</v>
      </c>
      <c r="E1638" s="1" t="s">
        <v>2314</v>
      </c>
    </row>
    <row r="1639" spans="1:5" x14ac:dyDescent="0.35">
      <c r="A1639" s="1" t="s">
        <v>3225</v>
      </c>
      <c r="B1639" s="45" t="s">
        <v>3226</v>
      </c>
      <c r="C1639">
        <v>2</v>
      </c>
      <c r="E1639" s="1" t="s">
        <v>2314</v>
      </c>
    </row>
    <row r="1640" spans="1:5" x14ac:dyDescent="0.35">
      <c r="A1640" s="1" t="s">
        <v>3227</v>
      </c>
      <c r="B1640" s="45" t="s">
        <v>3228</v>
      </c>
      <c r="C1640">
        <v>2</v>
      </c>
      <c r="E1640" s="1" t="s">
        <v>2314</v>
      </c>
    </row>
    <row r="1641" spans="1:5" x14ac:dyDescent="0.35">
      <c r="A1641" s="1" t="s">
        <v>3229</v>
      </c>
      <c r="B1641" s="45" t="s">
        <v>2118</v>
      </c>
      <c r="C1641">
        <v>2</v>
      </c>
      <c r="E1641" s="1" t="s">
        <v>2314</v>
      </c>
    </row>
    <row r="1642" spans="1:5" x14ac:dyDescent="0.35">
      <c r="A1642" s="1" t="s">
        <v>3230</v>
      </c>
      <c r="B1642" s="45" t="s">
        <v>3231</v>
      </c>
      <c r="C1642">
        <v>2</v>
      </c>
      <c r="E1642" s="1" t="s">
        <v>2314</v>
      </c>
    </row>
    <row r="1643" spans="1:5" x14ac:dyDescent="0.35">
      <c r="A1643" s="1" t="s">
        <v>3232</v>
      </c>
      <c r="B1643" s="45" t="s">
        <v>3233</v>
      </c>
      <c r="C1643">
        <v>2</v>
      </c>
      <c r="E1643" s="1" t="s">
        <v>2314</v>
      </c>
    </row>
    <row r="1644" spans="1:5" x14ac:dyDescent="0.35">
      <c r="A1644" s="1" t="s">
        <v>3234</v>
      </c>
      <c r="B1644" s="45" t="s">
        <v>404</v>
      </c>
      <c r="C1644">
        <v>2</v>
      </c>
      <c r="E1644" s="1" t="s">
        <v>2314</v>
      </c>
    </row>
    <row r="1645" spans="1:5" x14ac:dyDescent="0.35">
      <c r="A1645" s="1" t="s">
        <v>3235</v>
      </c>
      <c r="B1645" s="45" t="s">
        <v>3236</v>
      </c>
      <c r="C1645">
        <v>2</v>
      </c>
      <c r="E1645" s="1" t="s">
        <v>2314</v>
      </c>
    </row>
    <row r="1646" spans="1:5" x14ac:dyDescent="0.35">
      <c r="A1646" s="1" t="s">
        <v>3237</v>
      </c>
      <c r="B1646" s="45" t="s">
        <v>3238</v>
      </c>
      <c r="C1646">
        <v>2</v>
      </c>
      <c r="E1646" s="1" t="s">
        <v>2314</v>
      </c>
    </row>
    <row r="1647" spans="1:5" x14ac:dyDescent="0.35">
      <c r="A1647" s="1" t="s">
        <v>3239</v>
      </c>
      <c r="B1647" s="45" t="s">
        <v>3240</v>
      </c>
      <c r="C1647">
        <v>2</v>
      </c>
      <c r="E1647" s="1" t="s">
        <v>2314</v>
      </c>
    </row>
    <row r="1648" spans="1:5" x14ac:dyDescent="0.35">
      <c r="A1648" s="1" t="s">
        <v>3241</v>
      </c>
      <c r="B1648" s="45" t="s">
        <v>3242</v>
      </c>
      <c r="C1648">
        <v>2</v>
      </c>
      <c r="E1648" s="1" t="s">
        <v>2314</v>
      </c>
    </row>
    <row r="1649" spans="1:5" x14ac:dyDescent="0.35">
      <c r="A1649" s="1" t="s">
        <v>3243</v>
      </c>
      <c r="B1649" s="45" t="s">
        <v>3244</v>
      </c>
      <c r="C1649">
        <v>2</v>
      </c>
      <c r="E1649" s="1" t="s">
        <v>2314</v>
      </c>
    </row>
    <row r="1650" spans="1:5" x14ac:dyDescent="0.35">
      <c r="A1650" s="1" t="s">
        <v>3245</v>
      </c>
      <c r="B1650" s="45" t="s">
        <v>3246</v>
      </c>
      <c r="C1650">
        <v>2</v>
      </c>
      <c r="E1650" s="1" t="s">
        <v>2314</v>
      </c>
    </row>
    <row r="1651" spans="1:5" x14ac:dyDescent="0.35">
      <c r="A1651" s="1" t="s">
        <v>3247</v>
      </c>
      <c r="B1651" s="45" t="s">
        <v>2086</v>
      </c>
      <c r="C1651">
        <v>2</v>
      </c>
      <c r="E1651" s="1" t="s">
        <v>2314</v>
      </c>
    </row>
    <row r="1652" spans="1:5" x14ac:dyDescent="0.35">
      <c r="A1652" s="1" t="s">
        <v>3248</v>
      </c>
      <c r="B1652" s="45" t="s">
        <v>2084</v>
      </c>
      <c r="C1652">
        <v>2</v>
      </c>
      <c r="E1652" s="1" t="s">
        <v>2314</v>
      </c>
    </row>
    <row r="1653" spans="1:5" x14ac:dyDescent="0.35">
      <c r="A1653" s="1" t="s">
        <v>3249</v>
      </c>
      <c r="B1653" s="45" t="s">
        <v>3250</v>
      </c>
      <c r="C1653">
        <v>2</v>
      </c>
      <c r="E1653" s="1" t="s">
        <v>2314</v>
      </c>
    </row>
    <row r="1654" spans="1:5" x14ac:dyDescent="0.35">
      <c r="A1654" s="1" t="s">
        <v>3251</v>
      </c>
      <c r="B1654" s="45" t="s">
        <v>3252</v>
      </c>
      <c r="C1654">
        <v>2</v>
      </c>
      <c r="E1654" s="1" t="s">
        <v>2314</v>
      </c>
    </row>
    <row r="1655" spans="1:5" x14ac:dyDescent="0.35">
      <c r="A1655" s="1" t="s">
        <v>3253</v>
      </c>
      <c r="B1655" s="45" t="s">
        <v>3254</v>
      </c>
      <c r="C1655">
        <v>2</v>
      </c>
      <c r="E1655" s="1" t="s">
        <v>2314</v>
      </c>
    </row>
    <row r="1656" spans="1:5" x14ac:dyDescent="0.35">
      <c r="A1656" s="1" t="s">
        <v>3255</v>
      </c>
      <c r="B1656" s="45" t="s">
        <v>406</v>
      </c>
      <c r="C1656">
        <v>2</v>
      </c>
      <c r="E1656" s="1" t="s">
        <v>2314</v>
      </c>
    </row>
    <row r="1657" spans="1:5" x14ac:dyDescent="0.35">
      <c r="A1657" s="1" t="s">
        <v>3256</v>
      </c>
      <c r="B1657" s="45" t="s">
        <v>3257</v>
      </c>
      <c r="C1657">
        <v>2</v>
      </c>
      <c r="E1657" s="1" t="s">
        <v>2314</v>
      </c>
    </row>
    <row r="1658" spans="1:5" x14ac:dyDescent="0.35">
      <c r="A1658" s="1" t="s">
        <v>3258</v>
      </c>
      <c r="B1658" s="45" t="s">
        <v>364</v>
      </c>
      <c r="C1658">
        <v>2</v>
      </c>
      <c r="E1658" s="1" t="s">
        <v>2314</v>
      </c>
    </row>
    <row r="1659" spans="1:5" x14ac:dyDescent="0.35">
      <c r="A1659" s="1" t="s">
        <v>3259</v>
      </c>
      <c r="B1659" s="45" t="s">
        <v>3260</v>
      </c>
      <c r="C1659">
        <v>2</v>
      </c>
      <c r="E1659" s="1" t="s">
        <v>2314</v>
      </c>
    </row>
    <row r="1660" spans="1:5" x14ac:dyDescent="0.35">
      <c r="A1660" s="1" t="s">
        <v>3261</v>
      </c>
      <c r="B1660" s="45" t="s">
        <v>728</v>
      </c>
      <c r="C1660">
        <v>2</v>
      </c>
      <c r="E1660" s="1" t="s">
        <v>2314</v>
      </c>
    </row>
    <row r="1661" spans="1:5" x14ac:dyDescent="0.35">
      <c r="A1661" s="1" t="s">
        <v>3262</v>
      </c>
      <c r="B1661" s="45" t="s">
        <v>730</v>
      </c>
      <c r="C1661">
        <v>2</v>
      </c>
      <c r="E1661" s="1" t="s">
        <v>2314</v>
      </c>
    </row>
    <row r="1662" spans="1:5" x14ac:dyDescent="0.35">
      <c r="A1662" s="1" t="s">
        <v>3263</v>
      </c>
      <c r="B1662" s="45" t="s">
        <v>3264</v>
      </c>
      <c r="C1662">
        <v>2</v>
      </c>
      <c r="E1662" s="1" t="s">
        <v>2314</v>
      </c>
    </row>
    <row r="1663" spans="1:5" x14ac:dyDescent="0.35">
      <c r="A1663" s="1" t="s">
        <v>3265</v>
      </c>
      <c r="B1663" s="45" t="s">
        <v>288</v>
      </c>
      <c r="C1663">
        <v>2</v>
      </c>
      <c r="E1663" s="1" t="s">
        <v>2314</v>
      </c>
    </row>
    <row r="1664" spans="1:5" x14ac:dyDescent="0.35">
      <c r="A1664" s="1" t="s">
        <v>3266</v>
      </c>
      <c r="B1664" s="45" t="s">
        <v>2571</v>
      </c>
      <c r="C1664">
        <v>2</v>
      </c>
      <c r="E1664" s="1" t="s">
        <v>2314</v>
      </c>
    </row>
    <row r="1665" spans="1:5" x14ac:dyDescent="0.35">
      <c r="A1665" s="1" t="s">
        <v>3267</v>
      </c>
      <c r="B1665" s="45" t="s">
        <v>708</v>
      </c>
      <c r="C1665">
        <v>2</v>
      </c>
      <c r="E1665" s="1" t="s">
        <v>2314</v>
      </c>
    </row>
    <row r="1666" spans="1:5" x14ac:dyDescent="0.35">
      <c r="A1666" s="1" t="s">
        <v>3268</v>
      </c>
      <c r="B1666" s="45" t="s">
        <v>3269</v>
      </c>
      <c r="C1666">
        <v>2</v>
      </c>
      <c r="E1666" s="1" t="s">
        <v>2314</v>
      </c>
    </row>
    <row r="1667" spans="1:5" x14ac:dyDescent="0.35">
      <c r="A1667" s="1" t="s">
        <v>3270</v>
      </c>
      <c r="B1667" s="45" t="s">
        <v>3271</v>
      </c>
      <c r="C1667">
        <v>2</v>
      </c>
      <c r="E1667" s="1" t="s">
        <v>2314</v>
      </c>
    </row>
    <row r="1668" spans="1:5" x14ac:dyDescent="0.35">
      <c r="A1668" s="1" t="s">
        <v>3272</v>
      </c>
      <c r="B1668" s="45" t="s">
        <v>712</v>
      </c>
      <c r="C1668">
        <v>2</v>
      </c>
      <c r="E1668" s="1" t="s">
        <v>2314</v>
      </c>
    </row>
    <row r="1669" spans="1:5" x14ac:dyDescent="0.35">
      <c r="A1669" s="1" t="s">
        <v>3273</v>
      </c>
      <c r="B1669" s="45" t="s">
        <v>420</v>
      </c>
      <c r="C1669">
        <v>2</v>
      </c>
      <c r="E1669" s="1" t="s">
        <v>2314</v>
      </c>
    </row>
    <row r="1670" spans="1:5" x14ac:dyDescent="0.35">
      <c r="A1670" s="1" t="s">
        <v>3274</v>
      </c>
      <c r="B1670" s="45" t="s">
        <v>3275</v>
      </c>
      <c r="C1670">
        <v>2</v>
      </c>
      <c r="E1670" s="1" t="s">
        <v>2314</v>
      </c>
    </row>
    <row r="1671" spans="1:5" x14ac:dyDescent="0.35">
      <c r="A1671" s="1" t="s">
        <v>3276</v>
      </c>
      <c r="B1671" s="45" t="s">
        <v>300</v>
      </c>
      <c r="C1671">
        <v>2</v>
      </c>
      <c r="E1671" s="1" t="s">
        <v>2314</v>
      </c>
    </row>
    <row r="1672" spans="1:5" x14ac:dyDescent="0.35">
      <c r="A1672" s="1" t="s">
        <v>3277</v>
      </c>
      <c r="B1672" s="45" t="s">
        <v>322</v>
      </c>
      <c r="C1672">
        <v>2</v>
      </c>
      <c r="E1672" s="1" t="s">
        <v>2314</v>
      </c>
    </row>
    <row r="1673" spans="1:5" x14ac:dyDescent="0.35">
      <c r="A1673" s="1" t="s">
        <v>3278</v>
      </c>
      <c r="B1673" s="45" t="s">
        <v>380</v>
      </c>
      <c r="C1673">
        <v>2</v>
      </c>
      <c r="E1673" s="1" t="s">
        <v>2314</v>
      </c>
    </row>
    <row r="1674" spans="1:5" x14ac:dyDescent="0.35">
      <c r="A1674" s="1" t="s">
        <v>3279</v>
      </c>
      <c r="B1674" s="45" t="s">
        <v>3280</v>
      </c>
      <c r="C1674">
        <v>2</v>
      </c>
      <c r="E1674" s="1" t="s">
        <v>2314</v>
      </c>
    </row>
    <row r="1675" spans="1:5" x14ac:dyDescent="0.35">
      <c r="A1675" s="1" t="s">
        <v>3281</v>
      </c>
      <c r="B1675" s="45" t="s">
        <v>428</v>
      </c>
      <c r="C1675">
        <v>2</v>
      </c>
      <c r="E1675" s="1" t="s">
        <v>2314</v>
      </c>
    </row>
    <row r="1676" spans="1:5" x14ac:dyDescent="0.35">
      <c r="A1676" s="1" t="s">
        <v>3282</v>
      </c>
      <c r="B1676" s="45" t="s">
        <v>3283</v>
      </c>
      <c r="C1676">
        <v>2</v>
      </c>
      <c r="E1676" s="1" t="s">
        <v>2314</v>
      </c>
    </row>
    <row r="1677" spans="1:5" x14ac:dyDescent="0.35">
      <c r="A1677" s="1" t="s">
        <v>3284</v>
      </c>
      <c r="B1677" s="45" t="s">
        <v>3285</v>
      </c>
      <c r="C1677">
        <v>2</v>
      </c>
      <c r="E1677" s="1" t="s">
        <v>2314</v>
      </c>
    </row>
    <row r="1678" spans="1:5" x14ac:dyDescent="0.35">
      <c r="A1678" s="1" t="s">
        <v>3286</v>
      </c>
      <c r="B1678" s="45" t="s">
        <v>3287</v>
      </c>
      <c r="C1678">
        <v>2</v>
      </c>
      <c r="E1678" s="1" t="s">
        <v>2314</v>
      </c>
    </row>
    <row r="1679" spans="1:5" x14ac:dyDescent="0.35">
      <c r="A1679" s="1" t="s">
        <v>3288</v>
      </c>
      <c r="B1679" s="45" t="s">
        <v>3289</v>
      </c>
      <c r="C1679">
        <v>2</v>
      </c>
      <c r="E1679" s="1" t="s">
        <v>2314</v>
      </c>
    </row>
    <row r="1680" spans="1:5" x14ac:dyDescent="0.35">
      <c r="A1680" s="1" t="s">
        <v>3290</v>
      </c>
      <c r="B1680" s="45" t="s">
        <v>275</v>
      </c>
      <c r="C1680">
        <v>2</v>
      </c>
      <c r="E1680" s="1" t="s">
        <v>2314</v>
      </c>
    </row>
    <row r="1681" spans="1:5" x14ac:dyDescent="0.35">
      <c r="A1681" s="1" t="s">
        <v>3291</v>
      </c>
      <c r="B1681" s="45" t="s">
        <v>444</v>
      </c>
      <c r="C1681">
        <v>2</v>
      </c>
      <c r="E1681" s="1" t="s">
        <v>2314</v>
      </c>
    </row>
    <row r="1682" spans="1:5" x14ac:dyDescent="0.35">
      <c r="A1682" s="1" t="s">
        <v>3292</v>
      </c>
      <c r="B1682" s="45" t="s">
        <v>3293</v>
      </c>
      <c r="C1682">
        <v>2</v>
      </c>
      <c r="E1682" s="1" t="s">
        <v>2314</v>
      </c>
    </row>
    <row r="1683" spans="1:5" x14ac:dyDescent="0.35">
      <c r="A1683" s="1" t="s">
        <v>3294</v>
      </c>
      <c r="B1683" s="45" t="s">
        <v>3295</v>
      </c>
      <c r="C1683">
        <v>2</v>
      </c>
      <c r="E1683" s="1" t="s">
        <v>2314</v>
      </c>
    </row>
    <row r="1684" spans="1:5" x14ac:dyDescent="0.35">
      <c r="A1684" s="1" t="s">
        <v>3296</v>
      </c>
      <c r="B1684" s="45" t="s">
        <v>3297</v>
      </c>
      <c r="C1684">
        <v>2</v>
      </c>
      <c r="E1684" s="1" t="s">
        <v>2314</v>
      </c>
    </row>
    <row r="1685" spans="1:5" x14ac:dyDescent="0.35">
      <c r="A1685" s="1" t="s">
        <v>3298</v>
      </c>
      <c r="B1685" s="45" t="s">
        <v>3299</v>
      </c>
      <c r="C1685">
        <v>2</v>
      </c>
      <c r="E1685" s="1" t="s">
        <v>2314</v>
      </c>
    </row>
    <row r="1686" spans="1:5" x14ac:dyDescent="0.35">
      <c r="A1686" s="1" t="s">
        <v>3300</v>
      </c>
      <c r="B1686" s="45" t="s">
        <v>3301</v>
      </c>
      <c r="C1686">
        <v>2</v>
      </c>
      <c r="E1686" s="1" t="s">
        <v>2314</v>
      </c>
    </row>
    <row r="1687" spans="1:5" x14ac:dyDescent="0.35">
      <c r="A1687" s="1" t="s">
        <v>3302</v>
      </c>
      <c r="B1687" s="45" t="s">
        <v>2097</v>
      </c>
      <c r="C1687">
        <v>2</v>
      </c>
      <c r="E1687" s="1" t="s">
        <v>2314</v>
      </c>
    </row>
    <row r="1688" spans="1:5" x14ac:dyDescent="0.35">
      <c r="A1688" s="1" t="s">
        <v>3303</v>
      </c>
      <c r="B1688" s="45" t="s">
        <v>3304</v>
      </c>
      <c r="C1688">
        <v>2</v>
      </c>
      <c r="E1688" s="1" t="s">
        <v>2314</v>
      </c>
    </row>
    <row r="1689" spans="1:5" x14ac:dyDescent="0.35">
      <c r="A1689" s="1" t="s">
        <v>3305</v>
      </c>
      <c r="B1689" s="45" t="s">
        <v>3306</v>
      </c>
      <c r="C1689">
        <v>2</v>
      </c>
      <c r="E1689" s="1" t="s">
        <v>2314</v>
      </c>
    </row>
    <row r="1690" spans="1:5" x14ac:dyDescent="0.35">
      <c r="A1690" s="1" t="s">
        <v>3307</v>
      </c>
      <c r="B1690" s="45" t="s">
        <v>424</v>
      </c>
      <c r="C1690">
        <v>2</v>
      </c>
      <c r="E1690" s="1" t="s">
        <v>2314</v>
      </c>
    </row>
    <row r="1691" spans="1:5" x14ac:dyDescent="0.35">
      <c r="A1691" s="1" t="s">
        <v>3308</v>
      </c>
      <c r="B1691" s="45" t="s">
        <v>3309</v>
      </c>
      <c r="C1691">
        <v>2</v>
      </c>
      <c r="E1691" s="1" t="s">
        <v>2314</v>
      </c>
    </row>
    <row r="1692" spans="1:5" x14ac:dyDescent="0.35">
      <c r="A1692" s="1" t="s">
        <v>3310</v>
      </c>
      <c r="B1692" s="45" t="s">
        <v>3311</v>
      </c>
      <c r="C1692">
        <v>2</v>
      </c>
      <c r="E1692" s="1" t="s">
        <v>2314</v>
      </c>
    </row>
    <row r="1693" spans="1:5" x14ac:dyDescent="0.35">
      <c r="A1693" s="1" t="s">
        <v>3312</v>
      </c>
      <c r="B1693" s="45" t="s">
        <v>278</v>
      </c>
      <c r="C1693">
        <v>2</v>
      </c>
      <c r="E1693" s="1" t="s">
        <v>2314</v>
      </c>
    </row>
    <row r="1694" spans="1:5" x14ac:dyDescent="0.35">
      <c r="A1694" s="1" t="s">
        <v>3313</v>
      </c>
      <c r="B1694" s="45" t="s">
        <v>3314</v>
      </c>
      <c r="C1694">
        <v>2</v>
      </c>
      <c r="E1694" s="1" t="s">
        <v>2314</v>
      </c>
    </row>
    <row r="1695" spans="1:5" x14ac:dyDescent="0.35">
      <c r="A1695" s="1" t="s">
        <v>3315</v>
      </c>
      <c r="B1695" s="45" t="s">
        <v>3316</v>
      </c>
      <c r="C1695">
        <v>2</v>
      </c>
      <c r="E1695" s="1" t="s">
        <v>2314</v>
      </c>
    </row>
    <row r="1696" spans="1:5" x14ac:dyDescent="0.35">
      <c r="A1696" s="1" t="s">
        <v>3317</v>
      </c>
      <c r="B1696" s="45" t="s">
        <v>3318</v>
      </c>
      <c r="C1696">
        <v>2</v>
      </c>
      <c r="E1696" s="1" t="s">
        <v>2314</v>
      </c>
    </row>
    <row r="1697" spans="1:5" x14ac:dyDescent="0.35">
      <c r="A1697" s="1" t="s">
        <v>3319</v>
      </c>
      <c r="B1697" s="45" t="s">
        <v>2103</v>
      </c>
      <c r="C1697">
        <v>2</v>
      </c>
      <c r="E1697" s="1" t="s">
        <v>2314</v>
      </c>
    </row>
    <row r="1698" spans="1:5" x14ac:dyDescent="0.35">
      <c r="A1698" s="1" t="s">
        <v>3320</v>
      </c>
      <c r="B1698" s="45" t="s">
        <v>3321</v>
      </c>
      <c r="C1698">
        <v>2</v>
      </c>
      <c r="E1698" s="1" t="s">
        <v>2314</v>
      </c>
    </row>
    <row r="1699" spans="1:5" x14ac:dyDescent="0.35">
      <c r="A1699" s="1" t="s">
        <v>3322</v>
      </c>
      <c r="B1699" s="45" t="s">
        <v>402</v>
      </c>
      <c r="C1699">
        <v>2</v>
      </c>
      <c r="E1699" s="1" t="s">
        <v>2314</v>
      </c>
    </row>
    <row r="1700" spans="1:5" x14ac:dyDescent="0.35">
      <c r="A1700" s="1" t="s">
        <v>3323</v>
      </c>
      <c r="B1700" s="45" t="s">
        <v>3324</v>
      </c>
      <c r="C1700">
        <v>2</v>
      </c>
      <c r="E1700" s="1" t="s">
        <v>2314</v>
      </c>
    </row>
    <row r="1701" spans="1:5" x14ac:dyDescent="0.35">
      <c r="A1701" s="1" t="s">
        <v>3325</v>
      </c>
      <c r="B1701" s="45" t="s">
        <v>3326</v>
      </c>
      <c r="C1701">
        <v>2</v>
      </c>
      <c r="E1701" s="1" t="s">
        <v>2314</v>
      </c>
    </row>
    <row r="1702" spans="1:5" x14ac:dyDescent="0.35">
      <c r="A1702" s="1" t="s">
        <v>3327</v>
      </c>
      <c r="B1702" s="45" t="s">
        <v>3328</v>
      </c>
      <c r="C1702">
        <v>2</v>
      </c>
      <c r="E1702" s="1" t="s">
        <v>2314</v>
      </c>
    </row>
    <row r="1703" spans="1:5" x14ac:dyDescent="0.35">
      <c r="A1703" s="1" t="s">
        <v>3329</v>
      </c>
      <c r="B1703" s="45" t="s">
        <v>3330</v>
      </c>
      <c r="C1703">
        <v>2</v>
      </c>
      <c r="E1703" s="1" t="s">
        <v>2314</v>
      </c>
    </row>
    <row r="1704" spans="1:5" x14ac:dyDescent="0.35">
      <c r="A1704" s="1" t="s">
        <v>3331</v>
      </c>
      <c r="B1704" s="45" t="s">
        <v>3332</v>
      </c>
      <c r="C1704">
        <v>2</v>
      </c>
      <c r="E1704" s="1" t="s">
        <v>2314</v>
      </c>
    </row>
    <row r="1705" spans="1:5" x14ac:dyDescent="0.35">
      <c r="A1705" s="1" t="s">
        <v>3333</v>
      </c>
      <c r="B1705" s="45" t="s">
        <v>3334</v>
      </c>
      <c r="C1705">
        <v>2</v>
      </c>
      <c r="E1705" s="1" t="s">
        <v>2314</v>
      </c>
    </row>
    <row r="1706" spans="1:5" x14ac:dyDescent="0.35">
      <c r="A1706" s="1" t="s">
        <v>3335</v>
      </c>
      <c r="B1706" s="45" t="s">
        <v>3336</v>
      </c>
      <c r="C1706">
        <v>2</v>
      </c>
      <c r="E1706" s="1" t="s">
        <v>2314</v>
      </c>
    </row>
    <row r="1707" spans="1:5" x14ac:dyDescent="0.35">
      <c r="A1707" s="1" t="s">
        <v>3337</v>
      </c>
      <c r="B1707" s="45" t="s">
        <v>3338</v>
      </c>
      <c r="C1707">
        <v>2</v>
      </c>
      <c r="E1707" s="1" t="s">
        <v>2314</v>
      </c>
    </row>
    <row r="1708" spans="1:5" x14ac:dyDescent="0.35">
      <c r="A1708" s="1" t="s">
        <v>3339</v>
      </c>
      <c r="B1708" s="45" t="s">
        <v>2099</v>
      </c>
      <c r="C1708">
        <v>2</v>
      </c>
      <c r="E1708" s="1" t="s">
        <v>2314</v>
      </c>
    </row>
    <row r="1709" spans="1:5" x14ac:dyDescent="0.35">
      <c r="A1709" s="1" t="s">
        <v>3340</v>
      </c>
      <c r="B1709" s="45" t="s">
        <v>3341</v>
      </c>
      <c r="C1709">
        <v>2</v>
      </c>
      <c r="E1709" s="1" t="s">
        <v>2314</v>
      </c>
    </row>
    <row r="1710" spans="1:5" x14ac:dyDescent="0.35">
      <c r="A1710" s="1" t="s">
        <v>3342</v>
      </c>
      <c r="B1710" s="45" t="s">
        <v>3343</v>
      </c>
      <c r="C1710">
        <v>2</v>
      </c>
      <c r="E1710" s="1" t="s">
        <v>2314</v>
      </c>
    </row>
    <row r="1711" spans="1:5" x14ac:dyDescent="0.35">
      <c r="A1711" s="1" t="s">
        <v>3344</v>
      </c>
      <c r="B1711" s="45" t="s">
        <v>3345</v>
      </c>
      <c r="C1711">
        <v>2</v>
      </c>
      <c r="E1711" s="1" t="s">
        <v>2314</v>
      </c>
    </row>
    <row r="1712" spans="1:5" x14ac:dyDescent="0.35">
      <c r="A1712" s="1" t="s">
        <v>3346</v>
      </c>
      <c r="B1712" s="45" t="s">
        <v>3347</v>
      </c>
      <c r="C1712">
        <v>2</v>
      </c>
      <c r="E1712" s="1" t="s">
        <v>2314</v>
      </c>
    </row>
    <row r="1713" spans="1:5" x14ac:dyDescent="0.35">
      <c r="A1713" s="1" t="s">
        <v>3348</v>
      </c>
      <c r="B1713" s="45" t="s">
        <v>3349</v>
      </c>
      <c r="C1713">
        <v>2</v>
      </c>
      <c r="E1713" s="1" t="s">
        <v>2314</v>
      </c>
    </row>
    <row r="1714" spans="1:5" x14ac:dyDescent="0.35">
      <c r="A1714" s="1" t="s">
        <v>3350</v>
      </c>
      <c r="B1714" s="45" t="s">
        <v>3351</v>
      </c>
      <c r="C1714">
        <v>2</v>
      </c>
      <c r="E1714" s="1" t="s">
        <v>2314</v>
      </c>
    </row>
    <row r="1715" spans="1:5" x14ac:dyDescent="0.35">
      <c r="A1715" s="1" t="s">
        <v>3352</v>
      </c>
      <c r="B1715" s="45" t="s">
        <v>354</v>
      </c>
      <c r="C1715">
        <v>2</v>
      </c>
      <c r="E1715" s="1" t="s">
        <v>2314</v>
      </c>
    </row>
    <row r="1716" spans="1:5" x14ac:dyDescent="0.35">
      <c r="A1716" s="1" t="s">
        <v>3353</v>
      </c>
      <c r="B1716" s="45" t="s">
        <v>3354</v>
      </c>
      <c r="C1716">
        <v>2</v>
      </c>
      <c r="E1716" s="1" t="s">
        <v>2314</v>
      </c>
    </row>
    <row r="1717" spans="1:5" x14ac:dyDescent="0.35">
      <c r="A1717" s="1" t="s">
        <v>3355</v>
      </c>
      <c r="B1717" s="45" t="s">
        <v>3356</v>
      </c>
      <c r="C1717">
        <v>2</v>
      </c>
      <c r="E1717" s="1" t="s">
        <v>2314</v>
      </c>
    </row>
    <row r="1718" spans="1:5" x14ac:dyDescent="0.35">
      <c r="A1718" s="1" t="s">
        <v>3357</v>
      </c>
      <c r="B1718" s="45" t="s">
        <v>3358</v>
      </c>
      <c r="C1718">
        <v>2</v>
      </c>
      <c r="E1718" s="1" t="s">
        <v>2314</v>
      </c>
    </row>
    <row r="1719" spans="1:5" x14ac:dyDescent="0.35">
      <c r="A1719" s="1" t="s">
        <v>3359</v>
      </c>
      <c r="B1719" s="45" t="s">
        <v>360</v>
      </c>
      <c r="C1719">
        <v>2</v>
      </c>
      <c r="E1719" s="1" t="s">
        <v>2314</v>
      </c>
    </row>
    <row r="1720" spans="1:5" x14ac:dyDescent="0.35">
      <c r="A1720" s="1" t="s">
        <v>3360</v>
      </c>
      <c r="B1720" s="45" t="s">
        <v>3361</v>
      </c>
      <c r="C1720">
        <v>2</v>
      </c>
      <c r="E1720" s="1" t="s">
        <v>2314</v>
      </c>
    </row>
    <row r="1721" spans="1:5" x14ac:dyDescent="0.35">
      <c r="A1721" s="1" t="s">
        <v>3362</v>
      </c>
      <c r="B1721" s="45" t="s">
        <v>3363</v>
      </c>
      <c r="C1721">
        <v>2</v>
      </c>
      <c r="E1721" s="1" t="s">
        <v>2314</v>
      </c>
    </row>
    <row r="1722" spans="1:5" x14ac:dyDescent="0.35">
      <c r="A1722" s="1" t="s">
        <v>3364</v>
      </c>
      <c r="B1722" s="45" t="s">
        <v>3365</v>
      </c>
      <c r="C1722">
        <v>2</v>
      </c>
      <c r="E1722" s="1" t="s">
        <v>2314</v>
      </c>
    </row>
    <row r="1723" spans="1:5" x14ac:dyDescent="0.35">
      <c r="A1723" s="1" t="s">
        <v>3366</v>
      </c>
      <c r="B1723" s="45" t="s">
        <v>3367</v>
      </c>
      <c r="C1723">
        <v>2</v>
      </c>
      <c r="E1723" s="1" t="s">
        <v>2314</v>
      </c>
    </row>
    <row r="1724" spans="1:5" x14ac:dyDescent="0.35">
      <c r="A1724" s="1" t="s">
        <v>3368</v>
      </c>
      <c r="B1724" s="45" t="s">
        <v>3369</v>
      </c>
      <c r="C1724">
        <v>2</v>
      </c>
      <c r="E1724" s="1" t="s">
        <v>2314</v>
      </c>
    </row>
    <row r="1725" spans="1:5" x14ac:dyDescent="0.35">
      <c r="A1725" s="1" t="s">
        <v>3370</v>
      </c>
      <c r="B1725" s="45" t="s">
        <v>450</v>
      </c>
      <c r="C1725">
        <v>2</v>
      </c>
      <c r="E1725" s="1" t="s">
        <v>2314</v>
      </c>
    </row>
    <row r="1726" spans="1:5" x14ac:dyDescent="0.35">
      <c r="A1726" s="1" t="s">
        <v>3371</v>
      </c>
      <c r="B1726" s="45" t="s">
        <v>3372</v>
      </c>
      <c r="C1726">
        <v>2</v>
      </c>
      <c r="E1726" s="1" t="s">
        <v>2314</v>
      </c>
    </row>
    <row r="1727" spans="1:5" x14ac:dyDescent="0.35">
      <c r="A1727" s="1" t="s">
        <v>3373</v>
      </c>
      <c r="B1727" s="45" t="s">
        <v>3374</v>
      </c>
      <c r="C1727">
        <v>2</v>
      </c>
      <c r="E1727" s="1" t="s">
        <v>2314</v>
      </c>
    </row>
    <row r="1728" spans="1:5" x14ac:dyDescent="0.35">
      <c r="A1728" s="1" t="s">
        <v>3375</v>
      </c>
      <c r="B1728" s="45" t="s">
        <v>458</v>
      </c>
      <c r="C1728">
        <v>2</v>
      </c>
      <c r="E1728" s="1" t="s">
        <v>2314</v>
      </c>
    </row>
    <row r="1729" spans="1:5" x14ac:dyDescent="0.35">
      <c r="A1729" s="1" t="s">
        <v>3376</v>
      </c>
      <c r="B1729" s="45" t="s">
        <v>3377</v>
      </c>
      <c r="C1729">
        <v>2</v>
      </c>
      <c r="E1729" s="1" t="s">
        <v>2314</v>
      </c>
    </row>
    <row r="1730" spans="1:5" x14ac:dyDescent="0.35">
      <c r="A1730" s="1" t="s">
        <v>3378</v>
      </c>
      <c r="B1730" s="45" t="s">
        <v>658</v>
      </c>
      <c r="C1730">
        <v>2</v>
      </c>
      <c r="E1730" s="1" t="s">
        <v>2314</v>
      </c>
    </row>
    <row r="1731" spans="1:5" x14ac:dyDescent="0.35">
      <c r="A1731" s="1" t="s">
        <v>3379</v>
      </c>
      <c r="B1731" s="45" t="s">
        <v>3380</v>
      </c>
      <c r="C1731">
        <v>2</v>
      </c>
      <c r="E1731" s="1" t="s">
        <v>2314</v>
      </c>
    </row>
    <row r="1732" spans="1:5" x14ac:dyDescent="0.35">
      <c r="A1732" s="1" t="s">
        <v>3381</v>
      </c>
      <c r="B1732" s="45" t="s">
        <v>3382</v>
      </c>
      <c r="C1732">
        <v>2</v>
      </c>
      <c r="E1732" s="1" t="s">
        <v>2314</v>
      </c>
    </row>
    <row r="1733" spans="1:5" x14ac:dyDescent="0.35">
      <c r="A1733" s="1" t="s">
        <v>3383</v>
      </c>
      <c r="B1733" s="45" t="s">
        <v>3384</v>
      </c>
      <c r="C1733">
        <v>2</v>
      </c>
      <c r="E1733" s="1" t="s">
        <v>2314</v>
      </c>
    </row>
    <row r="1734" spans="1:5" x14ac:dyDescent="0.35">
      <c r="A1734" s="1" t="s">
        <v>3385</v>
      </c>
      <c r="B1734" s="45" t="s">
        <v>225</v>
      </c>
      <c r="C1734">
        <v>2</v>
      </c>
      <c r="E1734" s="1" t="s">
        <v>2314</v>
      </c>
    </row>
    <row r="1735" spans="1:5" x14ac:dyDescent="0.35">
      <c r="A1735" s="1" t="s">
        <v>3386</v>
      </c>
      <c r="B1735" s="45" t="s">
        <v>3387</v>
      </c>
      <c r="C1735">
        <v>2</v>
      </c>
      <c r="E1735" s="1" t="s">
        <v>2314</v>
      </c>
    </row>
    <row r="1736" spans="1:5" x14ac:dyDescent="0.35">
      <c r="A1736" s="1" t="s">
        <v>3388</v>
      </c>
      <c r="B1736" s="45" t="s">
        <v>358</v>
      </c>
      <c r="C1736">
        <v>2</v>
      </c>
      <c r="E1736" s="1" t="s">
        <v>2314</v>
      </c>
    </row>
    <row r="1737" spans="1:5" x14ac:dyDescent="0.35">
      <c r="A1737" s="1" t="s">
        <v>3389</v>
      </c>
      <c r="B1737" s="45" t="s">
        <v>3390</v>
      </c>
      <c r="C1737">
        <v>2</v>
      </c>
      <c r="E1737" s="1" t="s">
        <v>2314</v>
      </c>
    </row>
    <row r="1738" spans="1:5" x14ac:dyDescent="0.35">
      <c r="A1738" s="1" t="s">
        <v>3391</v>
      </c>
      <c r="B1738" s="45" t="s">
        <v>314</v>
      </c>
      <c r="C1738">
        <v>2</v>
      </c>
      <c r="E1738" s="1" t="s">
        <v>2314</v>
      </c>
    </row>
    <row r="1739" spans="1:5" x14ac:dyDescent="0.35">
      <c r="A1739" s="1" t="s">
        <v>3392</v>
      </c>
      <c r="B1739" s="45" t="s">
        <v>3393</v>
      </c>
      <c r="C1739">
        <v>2</v>
      </c>
      <c r="E1739" s="1" t="s">
        <v>2314</v>
      </c>
    </row>
    <row r="1740" spans="1:5" x14ac:dyDescent="0.35">
      <c r="A1740" s="1" t="s">
        <v>3394</v>
      </c>
      <c r="B1740" s="45" t="s">
        <v>817</v>
      </c>
      <c r="C1740">
        <v>2</v>
      </c>
      <c r="E1740" s="1" t="s">
        <v>2314</v>
      </c>
    </row>
    <row r="1741" spans="1:5" x14ac:dyDescent="0.35">
      <c r="A1741" s="1" t="s">
        <v>3395</v>
      </c>
      <c r="B1741" s="45" t="s">
        <v>3396</v>
      </c>
      <c r="C1741">
        <v>2</v>
      </c>
      <c r="E1741" s="1" t="s">
        <v>2314</v>
      </c>
    </row>
    <row r="1742" spans="1:5" x14ac:dyDescent="0.35">
      <c r="A1742" s="1" t="s">
        <v>3397</v>
      </c>
      <c r="B1742" s="45" t="s">
        <v>3398</v>
      </c>
      <c r="C1742">
        <v>2</v>
      </c>
      <c r="E1742" s="1" t="s">
        <v>2314</v>
      </c>
    </row>
    <row r="1743" spans="1:5" x14ac:dyDescent="0.35">
      <c r="A1743" s="1" t="s">
        <v>3399</v>
      </c>
      <c r="B1743" s="45" t="s">
        <v>3400</v>
      </c>
      <c r="C1743">
        <v>2</v>
      </c>
      <c r="E1743" s="1" t="s">
        <v>2314</v>
      </c>
    </row>
    <row r="1744" spans="1:5" x14ac:dyDescent="0.35">
      <c r="A1744" s="1" t="s">
        <v>3401</v>
      </c>
      <c r="B1744" s="45" t="s">
        <v>438</v>
      </c>
      <c r="C1744">
        <v>2</v>
      </c>
      <c r="E1744" s="1" t="s">
        <v>2314</v>
      </c>
    </row>
    <row r="1745" spans="1:5" x14ac:dyDescent="0.35">
      <c r="A1745" s="1" t="s">
        <v>3402</v>
      </c>
      <c r="B1745" s="45" t="s">
        <v>326</v>
      </c>
      <c r="C1745">
        <v>2</v>
      </c>
      <c r="E1745" s="1" t="s">
        <v>2314</v>
      </c>
    </row>
    <row r="1746" spans="1:5" x14ac:dyDescent="0.35">
      <c r="A1746" s="1" t="s">
        <v>3403</v>
      </c>
      <c r="B1746" s="45" t="s">
        <v>3404</v>
      </c>
      <c r="C1746">
        <v>2</v>
      </c>
      <c r="E1746" s="1" t="s">
        <v>2314</v>
      </c>
    </row>
    <row r="1747" spans="1:5" x14ac:dyDescent="0.35">
      <c r="A1747" s="1" t="s">
        <v>3405</v>
      </c>
      <c r="B1747" s="45" t="s">
        <v>3406</v>
      </c>
      <c r="C1747">
        <v>2</v>
      </c>
      <c r="E1747" s="1" t="s">
        <v>2314</v>
      </c>
    </row>
    <row r="1748" spans="1:5" x14ac:dyDescent="0.35">
      <c r="A1748" s="1" t="s">
        <v>3407</v>
      </c>
      <c r="B1748" s="45" t="s">
        <v>3408</v>
      </c>
      <c r="C1748">
        <v>2</v>
      </c>
      <c r="E1748" s="1" t="s">
        <v>2314</v>
      </c>
    </row>
    <row r="1749" spans="1:5" x14ac:dyDescent="0.35">
      <c r="A1749" s="1" t="s">
        <v>3409</v>
      </c>
      <c r="B1749" s="45" t="s">
        <v>3410</v>
      </c>
      <c r="C1749">
        <v>2</v>
      </c>
      <c r="E1749" s="1" t="s">
        <v>2314</v>
      </c>
    </row>
    <row r="1750" spans="1:5" x14ac:dyDescent="0.35">
      <c r="A1750" s="1" t="s">
        <v>3411</v>
      </c>
      <c r="B1750" s="45" t="s">
        <v>304</v>
      </c>
      <c r="C1750">
        <v>2</v>
      </c>
      <c r="E1750" s="1" t="s">
        <v>2314</v>
      </c>
    </row>
    <row r="1751" spans="1:5" x14ac:dyDescent="0.35">
      <c r="A1751" s="1" t="s">
        <v>3412</v>
      </c>
      <c r="B1751" s="45" t="s">
        <v>292</v>
      </c>
      <c r="C1751">
        <v>2</v>
      </c>
      <c r="E1751" s="1" t="s">
        <v>2314</v>
      </c>
    </row>
    <row r="1752" spans="1:5" x14ac:dyDescent="0.35">
      <c r="A1752" s="1" t="s">
        <v>3413</v>
      </c>
      <c r="B1752" s="45" t="s">
        <v>3414</v>
      </c>
      <c r="C1752">
        <v>2</v>
      </c>
      <c r="E1752" s="1" t="s">
        <v>2314</v>
      </c>
    </row>
    <row r="1753" spans="1:5" x14ac:dyDescent="0.35">
      <c r="A1753" s="1" t="s">
        <v>3415</v>
      </c>
      <c r="B1753" s="45" t="s">
        <v>3416</v>
      </c>
      <c r="C1753">
        <v>2</v>
      </c>
      <c r="E1753" s="1" t="s">
        <v>2314</v>
      </c>
    </row>
    <row r="1754" spans="1:5" x14ac:dyDescent="0.35">
      <c r="A1754" s="1" t="s">
        <v>3417</v>
      </c>
      <c r="B1754" s="45" t="s">
        <v>3418</v>
      </c>
      <c r="C1754">
        <v>2</v>
      </c>
      <c r="E1754" s="1" t="s">
        <v>2314</v>
      </c>
    </row>
    <row r="1755" spans="1:5" x14ac:dyDescent="0.35">
      <c r="A1755" s="1" t="s">
        <v>3419</v>
      </c>
      <c r="B1755" s="45" t="s">
        <v>732</v>
      </c>
      <c r="C1755">
        <v>2</v>
      </c>
      <c r="E1755" s="1" t="s">
        <v>2314</v>
      </c>
    </row>
    <row r="1756" spans="1:5" x14ac:dyDescent="0.35">
      <c r="A1756" s="1" t="s">
        <v>3420</v>
      </c>
      <c r="B1756" s="45" t="s">
        <v>3421</v>
      </c>
      <c r="C1756">
        <v>2</v>
      </c>
      <c r="E1756" s="1" t="s">
        <v>2314</v>
      </c>
    </row>
    <row r="1757" spans="1:5" x14ac:dyDescent="0.35">
      <c r="A1757" s="1" t="s">
        <v>3422</v>
      </c>
      <c r="B1757" s="45" t="s">
        <v>3423</v>
      </c>
      <c r="C1757">
        <v>2</v>
      </c>
      <c r="E1757" s="1" t="s">
        <v>2314</v>
      </c>
    </row>
    <row r="1758" spans="1:5" x14ac:dyDescent="0.35">
      <c r="A1758" s="1" t="s">
        <v>3424</v>
      </c>
      <c r="B1758" s="45" t="s">
        <v>3425</v>
      </c>
      <c r="C1758">
        <v>2</v>
      </c>
      <c r="E1758" s="1" t="s">
        <v>2314</v>
      </c>
    </row>
    <row r="1759" spans="1:5" x14ac:dyDescent="0.35">
      <c r="A1759" s="1" t="s">
        <v>3426</v>
      </c>
      <c r="B1759" s="45" t="s">
        <v>3427</v>
      </c>
      <c r="C1759">
        <v>2</v>
      </c>
      <c r="E1759" s="1" t="s">
        <v>2314</v>
      </c>
    </row>
    <row r="1760" spans="1:5" x14ac:dyDescent="0.35">
      <c r="A1760" s="1" t="s">
        <v>3428</v>
      </c>
      <c r="B1760" s="45" t="s">
        <v>3429</v>
      </c>
      <c r="C1760">
        <v>2</v>
      </c>
      <c r="E1760" s="1" t="s">
        <v>2314</v>
      </c>
    </row>
    <row r="1761" spans="1:5" x14ac:dyDescent="0.35">
      <c r="A1761" s="1" t="s">
        <v>3430</v>
      </c>
      <c r="B1761" s="45" t="s">
        <v>3431</v>
      </c>
      <c r="C1761">
        <v>2</v>
      </c>
      <c r="E1761" s="1" t="s">
        <v>2314</v>
      </c>
    </row>
    <row r="1762" spans="1:5" x14ac:dyDescent="0.35">
      <c r="A1762" s="1" t="s">
        <v>3432</v>
      </c>
      <c r="B1762" s="45" t="s">
        <v>770</v>
      </c>
      <c r="C1762">
        <v>2</v>
      </c>
      <c r="E1762" s="1" t="s">
        <v>2314</v>
      </c>
    </row>
    <row r="1763" spans="1:5" x14ac:dyDescent="0.35">
      <c r="A1763" s="1" t="s">
        <v>3433</v>
      </c>
      <c r="B1763" s="45" t="s">
        <v>3434</v>
      </c>
      <c r="C1763">
        <v>2</v>
      </c>
      <c r="E1763" s="1" t="s">
        <v>2314</v>
      </c>
    </row>
    <row r="1764" spans="1:5" x14ac:dyDescent="0.35">
      <c r="A1764" s="1" t="s">
        <v>3435</v>
      </c>
      <c r="B1764" s="45" t="s">
        <v>3436</v>
      </c>
      <c r="C1764">
        <v>2</v>
      </c>
      <c r="E1764" s="1" t="s">
        <v>2314</v>
      </c>
    </row>
    <row r="1765" spans="1:5" x14ac:dyDescent="0.35">
      <c r="A1765" s="1" t="s">
        <v>3437</v>
      </c>
      <c r="B1765" s="45" t="s">
        <v>3438</v>
      </c>
      <c r="C1765">
        <v>2</v>
      </c>
      <c r="E1765" s="1" t="s">
        <v>2314</v>
      </c>
    </row>
    <row r="1766" spans="1:5" x14ac:dyDescent="0.35">
      <c r="A1766" s="1" t="s">
        <v>3439</v>
      </c>
      <c r="B1766" s="45" t="s">
        <v>3440</v>
      </c>
      <c r="C1766">
        <v>2</v>
      </c>
      <c r="E1766" s="1" t="s">
        <v>2314</v>
      </c>
    </row>
    <row r="1767" spans="1:5" x14ac:dyDescent="0.35">
      <c r="A1767" s="1" t="s">
        <v>3441</v>
      </c>
      <c r="B1767" s="45" t="s">
        <v>284</v>
      </c>
      <c r="C1767">
        <v>2</v>
      </c>
      <c r="E1767" s="1" t="s">
        <v>2314</v>
      </c>
    </row>
    <row r="1768" spans="1:5" x14ac:dyDescent="0.35">
      <c r="A1768" s="1" t="s">
        <v>3442</v>
      </c>
      <c r="B1768" s="45" t="s">
        <v>3443</v>
      </c>
      <c r="C1768">
        <v>2</v>
      </c>
      <c r="E1768" s="1" t="s">
        <v>2314</v>
      </c>
    </row>
    <row r="1769" spans="1:5" x14ac:dyDescent="0.35">
      <c r="A1769" s="1" t="s">
        <v>3444</v>
      </c>
      <c r="B1769" s="45" t="s">
        <v>3445</v>
      </c>
      <c r="C1769">
        <v>2</v>
      </c>
      <c r="E1769" s="1" t="s">
        <v>2314</v>
      </c>
    </row>
    <row r="1770" spans="1:5" x14ac:dyDescent="0.35">
      <c r="A1770" s="1" t="s">
        <v>3446</v>
      </c>
      <c r="B1770" s="45" t="s">
        <v>370</v>
      </c>
      <c r="C1770">
        <v>2</v>
      </c>
      <c r="E1770" s="1" t="s">
        <v>2314</v>
      </c>
    </row>
    <row r="1771" spans="1:5" x14ac:dyDescent="0.35">
      <c r="A1771" s="1" t="s">
        <v>3447</v>
      </c>
      <c r="B1771" s="45" t="s">
        <v>3448</v>
      </c>
      <c r="C1771">
        <v>2</v>
      </c>
      <c r="E1771" s="1" t="s">
        <v>2314</v>
      </c>
    </row>
    <row r="1772" spans="1:5" x14ac:dyDescent="0.35">
      <c r="A1772" s="1" t="s">
        <v>3449</v>
      </c>
      <c r="B1772" s="45" t="s">
        <v>3450</v>
      </c>
      <c r="C1772">
        <v>2</v>
      </c>
      <c r="E1772" s="1" t="s">
        <v>2314</v>
      </c>
    </row>
    <row r="1773" spans="1:5" x14ac:dyDescent="0.35">
      <c r="A1773" s="1" t="s">
        <v>3451</v>
      </c>
      <c r="B1773" s="45" t="s">
        <v>422</v>
      </c>
      <c r="C1773">
        <v>2</v>
      </c>
      <c r="E1773" s="1" t="s">
        <v>2314</v>
      </c>
    </row>
    <row r="1774" spans="1:5" x14ac:dyDescent="0.35">
      <c r="A1774" s="1" t="s">
        <v>3452</v>
      </c>
      <c r="B1774" s="45" t="s">
        <v>3453</v>
      </c>
      <c r="C1774">
        <v>2</v>
      </c>
      <c r="E1774" s="1" t="s">
        <v>2314</v>
      </c>
    </row>
    <row r="1775" spans="1:5" x14ac:dyDescent="0.35">
      <c r="A1775" s="1" t="s">
        <v>3454</v>
      </c>
      <c r="B1775" s="45" t="s">
        <v>3455</v>
      </c>
      <c r="C1775">
        <v>2</v>
      </c>
      <c r="E1775" s="1" t="s">
        <v>2314</v>
      </c>
    </row>
    <row r="1776" spans="1:5" x14ac:dyDescent="0.35">
      <c r="A1776" s="1" t="s">
        <v>3456</v>
      </c>
      <c r="B1776" s="45" t="s">
        <v>3457</v>
      </c>
      <c r="C1776">
        <v>2</v>
      </c>
      <c r="E1776" s="1" t="s">
        <v>2314</v>
      </c>
    </row>
    <row r="1777" spans="1:5" x14ac:dyDescent="0.35">
      <c r="A1777" s="1" t="s">
        <v>3458</v>
      </c>
      <c r="B1777" s="45" t="s">
        <v>3459</v>
      </c>
      <c r="C1777">
        <v>2</v>
      </c>
      <c r="E1777" s="1" t="s">
        <v>2314</v>
      </c>
    </row>
    <row r="1778" spans="1:5" x14ac:dyDescent="0.35">
      <c r="A1778" s="1" t="s">
        <v>3460</v>
      </c>
      <c r="B1778" s="45" t="s">
        <v>3461</v>
      </c>
      <c r="C1778">
        <v>2</v>
      </c>
      <c r="E1778" s="1" t="s">
        <v>2314</v>
      </c>
    </row>
    <row r="1779" spans="1:5" x14ac:dyDescent="0.35">
      <c r="A1779" s="1" t="s">
        <v>3462</v>
      </c>
      <c r="B1779" s="45" t="s">
        <v>3463</v>
      </c>
      <c r="C1779">
        <v>2</v>
      </c>
      <c r="E1779" s="1" t="s">
        <v>2314</v>
      </c>
    </row>
    <row r="1780" spans="1:5" x14ac:dyDescent="0.35">
      <c r="A1780" s="1" t="s">
        <v>3464</v>
      </c>
      <c r="B1780" s="45" t="s">
        <v>302</v>
      </c>
      <c r="C1780">
        <v>2</v>
      </c>
      <c r="E1780" s="1" t="s">
        <v>2314</v>
      </c>
    </row>
    <row r="1781" spans="1:5" x14ac:dyDescent="0.35">
      <c r="A1781" s="1" t="s">
        <v>3465</v>
      </c>
      <c r="B1781" s="45" t="s">
        <v>3466</v>
      </c>
      <c r="C1781">
        <v>2</v>
      </c>
      <c r="E1781" s="1" t="s">
        <v>2314</v>
      </c>
    </row>
    <row r="1782" spans="1:5" x14ac:dyDescent="0.35">
      <c r="A1782" s="1" t="s">
        <v>3467</v>
      </c>
      <c r="B1782" s="45" t="s">
        <v>3468</v>
      </c>
      <c r="C1782">
        <v>2</v>
      </c>
      <c r="E1782" s="1" t="s">
        <v>2314</v>
      </c>
    </row>
    <row r="1783" spans="1:5" x14ac:dyDescent="0.35">
      <c r="A1783" s="1" t="s">
        <v>3469</v>
      </c>
      <c r="B1783" s="45" t="s">
        <v>3470</v>
      </c>
      <c r="C1783">
        <v>2</v>
      </c>
      <c r="E1783" s="1" t="s">
        <v>2314</v>
      </c>
    </row>
    <row r="1784" spans="1:5" x14ac:dyDescent="0.35">
      <c r="A1784" s="1" t="s">
        <v>3471</v>
      </c>
      <c r="B1784" s="45" t="s">
        <v>3472</v>
      </c>
      <c r="C1784">
        <v>2</v>
      </c>
      <c r="E1784" s="1" t="s">
        <v>2314</v>
      </c>
    </row>
    <row r="1785" spans="1:5" x14ac:dyDescent="0.35">
      <c r="A1785" s="1" t="s">
        <v>3473</v>
      </c>
      <c r="B1785" s="45" t="s">
        <v>3474</v>
      </c>
      <c r="C1785">
        <v>2</v>
      </c>
      <c r="E1785" s="1" t="s">
        <v>2314</v>
      </c>
    </row>
    <row r="1786" spans="1:5" x14ac:dyDescent="0.35">
      <c r="A1786" s="1" t="s">
        <v>3475</v>
      </c>
      <c r="B1786" s="45" t="s">
        <v>384</v>
      </c>
      <c r="C1786">
        <v>2</v>
      </c>
      <c r="E1786" s="1" t="s">
        <v>2314</v>
      </c>
    </row>
    <row r="1787" spans="1:5" x14ac:dyDescent="0.35">
      <c r="A1787" s="1" t="s">
        <v>3476</v>
      </c>
      <c r="B1787" s="45" t="s">
        <v>714</v>
      </c>
      <c r="C1787">
        <v>2</v>
      </c>
      <c r="E1787" s="1" t="s">
        <v>2314</v>
      </c>
    </row>
    <row r="1788" spans="1:5" x14ac:dyDescent="0.35">
      <c r="A1788" s="1" t="s">
        <v>3477</v>
      </c>
      <c r="B1788" s="45" t="s">
        <v>2943</v>
      </c>
      <c r="C1788">
        <v>2</v>
      </c>
      <c r="E1788" s="1" t="s">
        <v>2314</v>
      </c>
    </row>
    <row r="1789" spans="1:5" x14ac:dyDescent="0.35">
      <c r="A1789" s="1" t="s">
        <v>3478</v>
      </c>
      <c r="B1789" s="45" t="s">
        <v>3479</v>
      </c>
      <c r="C1789">
        <v>2</v>
      </c>
      <c r="E1789" s="1" t="s">
        <v>2314</v>
      </c>
    </row>
    <row r="1790" spans="1:5" x14ac:dyDescent="0.35">
      <c r="A1790" s="1" t="s">
        <v>3480</v>
      </c>
      <c r="B1790" s="45" t="s">
        <v>3481</v>
      </c>
      <c r="C1790">
        <v>2</v>
      </c>
      <c r="E1790" s="1" t="s">
        <v>2314</v>
      </c>
    </row>
    <row r="1791" spans="1:5" x14ac:dyDescent="0.35">
      <c r="A1791" s="1" t="s">
        <v>3482</v>
      </c>
      <c r="B1791" s="45" t="s">
        <v>3483</v>
      </c>
      <c r="C1791">
        <v>2</v>
      </c>
      <c r="E1791" s="1" t="s">
        <v>2314</v>
      </c>
    </row>
    <row r="1792" spans="1:5" x14ac:dyDescent="0.35">
      <c r="A1792" s="1" t="s">
        <v>3484</v>
      </c>
      <c r="B1792" s="45" t="s">
        <v>3485</v>
      </c>
      <c r="C1792">
        <v>2</v>
      </c>
      <c r="E1792" s="1" t="s">
        <v>2314</v>
      </c>
    </row>
    <row r="1793" spans="1:5" x14ac:dyDescent="0.35">
      <c r="A1793" s="1" t="s">
        <v>3486</v>
      </c>
      <c r="B1793" s="45" t="s">
        <v>3487</v>
      </c>
      <c r="C1793">
        <v>2</v>
      </c>
      <c r="E1793" s="1" t="s">
        <v>2314</v>
      </c>
    </row>
    <row r="1794" spans="1:5" x14ac:dyDescent="0.35">
      <c r="A1794" s="1" t="s">
        <v>3488</v>
      </c>
      <c r="B1794" s="45" t="s">
        <v>3489</v>
      </c>
      <c r="C1794">
        <v>2</v>
      </c>
      <c r="E1794" s="1" t="s">
        <v>2314</v>
      </c>
    </row>
    <row r="1795" spans="1:5" x14ac:dyDescent="0.35">
      <c r="A1795" s="1" t="s">
        <v>3490</v>
      </c>
      <c r="B1795" s="45" t="s">
        <v>3491</v>
      </c>
      <c r="C1795">
        <v>2</v>
      </c>
      <c r="E1795" s="1" t="s">
        <v>2314</v>
      </c>
    </row>
    <row r="1796" spans="1:5" x14ac:dyDescent="0.35">
      <c r="A1796" s="1" t="s">
        <v>3492</v>
      </c>
      <c r="B1796" s="45" t="s">
        <v>412</v>
      </c>
      <c r="C1796">
        <v>2</v>
      </c>
      <c r="E1796" s="1" t="s">
        <v>2314</v>
      </c>
    </row>
    <row r="1797" spans="1:5" x14ac:dyDescent="0.35">
      <c r="A1797" s="1" t="s">
        <v>3493</v>
      </c>
      <c r="B1797" s="45" t="s">
        <v>221</v>
      </c>
      <c r="C1797">
        <v>2</v>
      </c>
      <c r="E1797" s="1" t="s">
        <v>2314</v>
      </c>
    </row>
    <row r="1798" spans="1:5" x14ac:dyDescent="0.35">
      <c r="A1798" s="1" t="s">
        <v>3494</v>
      </c>
      <c r="B1798" s="45" t="s">
        <v>372</v>
      </c>
      <c r="C1798">
        <v>2</v>
      </c>
      <c r="E1798" s="1" t="s">
        <v>2314</v>
      </c>
    </row>
    <row r="1799" spans="1:5" x14ac:dyDescent="0.35">
      <c r="A1799" s="1" t="s">
        <v>3495</v>
      </c>
      <c r="B1799" s="45" t="s">
        <v>3496</v>
      </c>
      <c r="C1799">
        <v>2</v>
      </c>
      <c r="E1799" s="1" t="s">
        <v>2314</v>
      </c>
    </row>
    <row r="1800" spans="1:5" x14ac:dyDescent="0.35">
      <c r="A1800" s="1" t="s">
        <v>3497</v>
      </c>
      <c r="B1800" s="45" t="s">
        <v>3498</v>
      </c>
      <c r="C1800">
        <v>2</v>
      </c>
      <c r="E1800" s="1" t="s">
        <v>2314</v>
      </c>
    </row>
    <row r="1801" spans="1:5" x14ac:dyDescent="0.35">
      <c r="A1801" s="1" t="s">
        <v>3499</v>
      </c>
      <c r="B1801" s="45" t="s">
        <v>352</v>
      </c>
      <c r="C1801">
        <v>2</v>
      </c>
      <c r="E1801" s="1" t="s">
        <v>2314</v>
      </c>
    </row>
    <row r="1802" spans="1:5" x14ac:dyDescent="0.35">
      <c r="A1802" s="1" t="s">
        <v>3500</v>
      </c>
      <c r="B1802" s="45" t="s">
        <v>368</v>
      </c>
      <c r="C1802">
        <v>2</v>
      </c>
      <c r="E1802" s="1" t="s">
        <v>2314</v>
      </c>
    </row>
    <row r="1803" spans="1:5" x14ac:dyDescent="0.35">
      <c r="A1803" s="1" t="s">
        <v>3501</v>
      </c>
      <c r="B1803" s="45" t="s">
        <v>3502</v>
      </c>
      <c r="C1803">
        <v>2</v>
      </c>
      <c r="E1803" s="1" t="s">
        <v>2314</v>
      </c>
    </row>
    <row r="1804" spans="1:5" x14ac:dyDescent="0.35">
      <c r="A1804" s="1" t="s">
        <v>3503</v>
      </c>
      <c r="B1804" s="45" t="s">
        <v>3504</v>
      </c>
      <c r="C1804">
        <v>2</v>
      </c>
      <c r="E1804" s="1" t="s">
        <v>2314</v>
      </c>
    </row>
    <row r="1805" spans="1:5" x14ac:dyDescent="0.35">
      <c r="A1805" s="1" t="s">
        <v>3505</v>
      </c>
      <c r="B1805" s="45" t="s">
        <v>3506</v>
      </c>
      <c r="C1805">
        <v>2</v>
      </c>
      <c r="E1805" s="1" t="s">
        <v>2314</v>
      </c>
    </row>
    <row r="1806" spans="1:5" x14ac:dyDescent="0.35">
      <c r="A1806" s="1" t="s">
        <v>3507</v>
      </c>
      <c r="B1806" s="45" t="s">
        <v>466</v>
      </c>
      <c r="C1806">
        <v>2</v>
      </c>
      <c r="E1806" s="1" t="s">
        <v>2314</v>
      </c>
    </row>
    <row r="1807" spans="1:5" x14ac:dyDescent="0.35">
      <c r="A1807" s="1" t="s">
        <v>3508</v>
      </c>
      <c r="B1807" s="45" t="s">
        <v>3509</v>
      </c>
      <c r="C1807">
        <v>2</v>
      </c>
      <c r="E1807" s="1" t="s">
        <v>2314</v>
      </c>
    </row>
    <row r="1808" spans="1:5" x14ac:dyDescent="0.35">
      <c r="A1808" s="1" t="s">
        <v>3510</v>
      </c>
      <c r="B1808" s="45" t="s">
        <v>3511</v>
      </c>
      <c r="C1808">
        <v>2</v>
      </c>
      <c r="E1808" s="1" t="s">
        <v>2314</v>
      </c>
    </row>
    <row r="1809" spans="1:5" x14ac:dyDescent="0.35">
      <c r="A1809" s="1" t="s">
        <v>3512</v>
      </c>
      <c r="B1809" s="45" t="s">
        <v>3513</v>
      </c>
      <c r="C1809">
        <v>2</v>
      </c>
      <c r="E1809" s="1" t="s">
        <v>2314</v>
      </c>
    </row>
    <row r="1810" spans="1:5" x14ac:dyDescent="0.35">
      <c r="A1810" s="1" t="s">
        <v>3514</v>
      </c>
      <c r="B1810" s="45" t="s">
        <v>231</v>
      </c>
      <c r="C1810">
        <v>2</v>
      </c>
      <c r="E1810" s="1" t="s">
        <v>2314</v>
      </c>
    </row>
    <row r="1811" spans="1:5" x14ac:dyDescent="0.35">
      <c r="A1811" s="1" t="s">
        <v>3515</v>
      </c>
      <c r="B1811" s="45" t="s">
        <v>3516</v>
      </c>
      <c r="C1811">
        <v>2</v>
      </c>
      <c r="E1811" s="1" t="s">
        <v>2314</v>
      </c>
    </row>
    <row r="1812" spans="1:5" x14ac:dyDescent="0.35">
      <c r="A1812" s="1" t="s">
        <v>3517</v>
      </c>
      <c r="B1812" s="45" t="s">
        <v>3518</v>
      </c>
      <c r="C1812">
        <v>2</v>
      </c>
      <c r="E1812" s="1" t="s">
        <v>2314</v>
      </c>
    </row>
    <row r="1813" spans="1:5" x14ac:dyDescent="0.35">
      <c r="A1813" s="1" t="s">
        <v>3519</v>
      </c>
      <c r="B1813" s="45" t="s">
        <v>3520</v>
      </c>
      <c r="C1813">
        <v>2</v>
      </c>
      <c r="E1813" s="1" t="s">
        <v>2314</v>
      </c>
    </row>
    <row r="1814" spans="1:5" x14ac:dyDescent="0.35">
      <c r="A1814" s="1" t="s">
        <v>3521</v>
      </c>
      <c r="B1814" s="45" t="s">
        <v>3522</v>
      </c>
      <c r="C1814">
        <v>2</v>
      </c>
      <c r="E1814" s="1" t="s">
        <v>2314</v>
      </c>
    </row>
    <row r="1815" spans="1:5" x14ac:dyDescent="0.35">
      <c r="A1815" s="1" t="s">
        <v>3523</v>
      </c>
      <c r="B1815" s="45" t="s">
        <v>3524</v>
      </c>
      <c r="C1815">
        <v>2</v>
      </c>
      <c r="E1815" s="1" t="s">
        <v>2314</v>
      </c>
    </row>
    <row r="1816" spans="1:5" x14ac:dyDescent="0.35">
      <c r="A1816" s="1" t="s">
        <v>3525</v>
      </c>
      <c r="B1816" s="45" t="s">
        <v>454</v>
      </c>
      <c r="C1816">
        <v>2</v>
      </c>
      <c r="E1816" s="1" t="s">
        <v>2314</v>
      </c>
    </row>
    <row r="1817" spans="1:5" x14ac:dyDescent="0.35">
      <c r="A1817" s="1" t="s">
        <v>3526</v>
      </c>
      <c r="B1817" s="45" t="s">
        <v>3527</v>
      </c>
      <c r="C1817">
        <v>2</v>
      </c>
      <c r="E1817" s="1" t="s">
        <v>2314</v>
      </c>
    </row>
    <row r="1818" spans="1:5" x14ac:dyDescent="0.35">
      <c r="A1818" s="1" t="s">
        <v>3528</v>
      </c>
      <c r="B1818" s="45" t="s">
        <v>362</v>
      </c>
      <c r="C1818">
        <v>2</v>
      </c>
      <c r="E1818" s="1" t="s">
        <v>2314</v>
      </c>
    </row>
    <row r="1819" spans="1:5" x14ac:dyDescent="0.35">
      <c r="A1819" s="1" t="s">
        <v>3529</v>
      </c>
      <c r="B1819" s="45" t="s">
        <v>3530</v>
      </c>
      <c r="C1819">
        <v>2</v>
      </c>
      <c r="E1819" s="1" t="s">
        <v>2314</v>
      </c>
    </row>
    <row r="1820" spans="1:5" x14ac:dyDescent="0.35">
      <c r="A1820" s="1" t="s">
        <v>3531</v>
      </c>
      <c r="B1820" s="45" t="s">
        <v>3532</v>
      </c>
      <c r="C1820">
        <v>2</v>
      </c>
      <c r="E1820" s="1" t="s">
        <v>2314</v>
      </c>
    </row>
    <row r="1821" spans="1:5" x14ac:dyDescent="0.35">
      <c r="A1821" s="1" t="s">
        <v>3533</v>
      </c>
      <c r="B1821" s="45" t="s">
        <v>3534</v>
      </c>
      <c r="C1821">
        <v>2</v>
      </c>
      <c r="E1821" s="1" t="s">
        <v>2314</v>
      </c>
    </row>
    <row r="1822" spans="1:5" x14ac:dyDescent="0.35">
      <c r="A1822" s="1" t="s">
        <v>3535</v>
      </c>
      <c r="B1822" s="45" t="s">
        <v>3536</v>
      </c>
      <c r="C1822">
        <v>2</v>
      </c>
      <c r="E1822" s="1" t="s">
        <v>2314</v>
      </c>
    </row>
    <row r="1823" spans="1:5" x14ac:dyDescent="0.35">
      <c r="A1823" s="1" t="s">
        <v>3537</v>
      </c>
      <c r="B1823" s="45" t="s">
        <v>2845</v>
      </c>
      <c r="C1823">
        <v>2</v>
      </c>
      <c r="E1823" s="1" t="s">
        <v>2314</v>
      </c>
    </row>
    <row r="1824" spans="1:5" x14ac:dyDescent="0.35">
      <c r="A1824" s="1" t="s">
        <v>3538</v>
      </c>
      <c r="B1824" s="45" t="s">
        <v>3539</v>
      </c>
      <c r="C1824">
        <v>2</v>
      </c>
      <c r="E1824" s="1" t="s">
        <v>2314</v>
      </c>
    </row>
    <row r="1825" spans="1:5" x14ac:dyDescent="0.35">
      <c r="A1825" s="1" t="s">
        <v>3540</v>
      </c>
      <c r="B1825" s="45" t="s">
        <v>446</v>
      </c>
      <c r="C1825">
        <v>2</v>
      </c>
      <c r="E1825" s="1" t="s">
        <v>2314</v>
      </c>
    </row>
    <row r="1826" spans="1:5" x14ac:dyDescent="0.35">
      <c r="A1826" s="1" t="s">
        <v>3541</v>
      </c>
      <c r="B1826" s="45" t="s">
        <v>229</v>
      </c>
      <c r="C1826">
        <v>2</v>
      </c>
      <c r="E1826" s="1" t="s">
        <v>2314</v>
      </c>
    </row>
    <row r="1827" spans="1:5" x14ac:dyDescent="0.35">
      <c r="A1827" s="1" t="s">
        <v>3542</v>
      </c>
      <c r="B1827" s="45" t="s">
        <v>3543</v>
      </c>
      <c r="C1827">
        <v>2</v>
      </c>
      <c r="E1827" s="1" t="s">
        <v>2314</v>
      </c>
    </row>
    <row r="1828" spans="1:5" x14ac:dyDescent="0.35">
      <c r="A1828" s="1" t="s">
        <v>3544</v>
      </c>
      <c r="B1828" s="45" t="s">
        <v>2094</v>
      </c>
      <c r="C1828">
        <v>2</v>
      </c>
      <c r="E1828" s="1" t="s">
        <v>2314</v>
      </c>
    </row>
    <row r="1829" spans="1:5" x14ac:dyDescent="0.35">
      <c r="A1829" s="1" t="s">
        <v>3545</v>
      </c>
      <c r="B1829" s="45" t="s">
        <v>3546</v>
      </c>
      <c r="C1829">
        <v>2</v>
      </c>
      <c r="E1829" s="1" t="s">
        <v>2314</v>
      </c>
    </row>
    <row r="1830" spans="1:5" x14ac:dyDescent="0.35">
      <c r="A1830" s="1" t="s">
        <v>3547</v>
      </c>
      <c r="B1830" s="45" t="s">
        <v>2164</v>
      </c>
      <c r="C1830">
        <v>2</v>
      </c>
      <c r="E1830" s="1" t="s">
        <v>2314</v>
      </c>
    </row>
    <row r="1831" spans="1:5" x14ac:dyDescent="0.35">
      <c r="A1831" s="1" t="s">
        <v>3548</v>
      </c>
      <c r="B1831" s="45" t="s">
        <v>312</v>
      </c>
      <c r="C1831">
        <v>2</v>
      </c>
      <c r="E1831" s="1" t="s">
        <v>2314</v>
      </c>
    </row>
    <row r="1832" spans="1:5" x14ac:dyDescent="0.35">
      <c r="A1832" s="1" t="s">
        <v>3549</v>
      </c>
      <c r="B1832" s="45" t="s">
        <v>2090</v>
      </c>
      <c r="C1832">
        <v>2</v>
      </c>
      <c r="E1832" s="1" t="s">
        <v>2314</v>
      </c>
    </row>
    <row r="1833" spans="1:5" x14ac:dyDescent="0.35">
      <c r="A1833" s="1" t="s">
        <v>3550</v>
      </c>
      <c r="B1833" s="45" t="s">
        <v>286</v>
      </c>
      <c r="C1833">
        <v>2</v>
      </c>
      <c r="E1833" s="1" t="s">
        <v>2314</v>
      </c>
    </row>
    <row r="1834" spans="1:5" x14ac:dyDescent="0.35">
      <c r="A1834" s="1" t="s">
        <v>3551</v>
      </c>
      <c r="B1834" s="45" t="s">
        <v>374</v>
      </c>
      <c r="C1834">
        <v>2</v>
      </c>
      <c r="E1834" s="1" t="s">
        <v>2314</v>
      </c>
    </row>
    <row r="1835" spans="1:5" x14ac:dyDescent="0.35">
      <c r="A1835" s="1" t="s">
        <v>3552</v>
      </c>
      <c r="B1835" s="45" t="s">
        <v>3553</v>
      </c>
      <c r="C1835">
        <v>2</v>
      </c>
      <c r="E1835" s="1" t="s">
        <v>2314</v>
      </c>
    </row>
    <row r="1836" spans="1:5" x14ac:dyDescent="0.35">
      <c r="A1836" s="1" t="s">
        <v>3554</v>
      </c>
      <c r="B1836" s="45" t="s">
        <v>678</v>
      </c>
      <c r="C1836">
        <v>2</v>
      </c>
      <c r="E1836" s="1" t="s">
        <v>2314</v>
      </c>
    </row>
    <row r="1837" spans="1:5" x14ac:dyDescent="0.35">
      <c r="A1837" s="1" t="s">
        <v>3555</v>
      </c>
      <c r="B1837" s="45" t="s">
        <v>3556</v>
      </c>
      <c r="C1837">
        <v>2</v>
      </c>
      <c r="E1837" s="1" t="s">
        <v>2314</v>
      </c>
    </row>
    <row r="1838" spans="1:5" x14ac:dyDescent="0.35">
      <c r="A1838" s="1" t="s">
        <v>3557</v>
      </c>
      <c r="B1838" s="45" t="s">
        <v>3558</v>
      </c>
      <c r="C1838">
        <v>2</v>
      </c>
      <c r="E1838" s="1" t="s">
        <v>2314</v>
      </c>
    </row>
    <row r="1839" spans="1:5" x14ac:dyDescent="0.35">
      <c r="A1839" s="1" t="s">
        <v>3559</v>
      </c>
      <c r="B1839" s="45" t="s">
        <v>3560</v>
      </c>
      <c r="C1839">
        <v>2</v>
      </c>
      <c r="E1839" s="1" t="s">
        <v>2314</v>
      </c>
    </row>
    <row r="1840" spans="1:5" x14ac:dyDescent="0.35">
      <c r="A1840" s="1" t="s">
        <v>3561</v>
      </c>
      <c r="B1840" s="45" t="s">
        <v>3562</v>
      </c>
      <c r="C1840">
        <v>2</v>
      </c>
      <c r="E1840" s="1" t="s">
        <v>2314</v>
      </c>
    </row>
    <row r="1841" spans="1:5" x14ac:dyDescent="0.35">
      <c r="A1841" s="1" t="s">
        <v>3563</v>
      </c>
      <c r="B1841" s="45" t="s">
        <v>3564</v>
      </c>
      <c r="C1841">
        <v>2</v>
      </c>
      <c r="E1841" s="1" t="s">
        <v>2314</v>
      </c>
    </row>
    <row r="1842" spans="1:5" x14ac:dyDescent="0.35">
      <c r="A1842" s="1" t="s">
        <v>3565</v>
      </c>
      <c r="B1842" s="45" t="s">
        <v>442</v>
      </c>
      <c r="C1842">
        <v>2</v>
      </c>
      <c r="E1842" s="1" t="s">
        <v>2314</v>
      </c>
    </row>
    <row r="1843" spans="1:5" x14ac:dyDescent="0.35">
      <c r="A1843" s="1" t="s">
        <v>3566</v>
      </c>
      <c r="B1843" s="45" t="s">
        <v>3567</v>
      </c>
      <c r="C1843">
        <v>2</v>
      </c>
      <c r="E1843" s="1" t="s">
        <v>2314</v>
      </c>
    </row>
    <row r="1844" spans="1:5" x14ac:dyDescent="0.35">
      <c r="A1844" s="1" t="s">
        <v>3568</v>
      </c>
      <c r="B1844" s="45" t="s">
        <v>3569</v>
      </c>
      <c r="C1844">
        <v>2</v>
      </c>
      <c r="E1844" s="1" t="s">
        <v>2314</v>
      </c>
    </row>
    <row r="1845" spans="1:5" x14ac:dyDescent="0.35">
      <c r="A1845" s="1" t="s">
        <v>3570</v>
      </c>
      <c r="B1845" s="45" t="s">
        <v>3571</v>
      </c>
      <c r="C1845">
        <v>2</v>
      </c>
      <c r="E1845" s="1" t="s">
        <v>2314</v>
      </c>
    </row>
    <row r="1846" spans="1:5" x14ac:dyDescent="0.35">
      <c r="A1846" s="1" t="s">
        <v>3572</v>
      </c>
      <c r="B1846" s="45" t="s">
        <v>3573</v>
      </c>
      <c r="C1846">
        <v>2</v>
      </c>
      <c r="E1846" s="1" t="s">
        <v>2314</v>
      </c>
    </row>
    <row r="1847" spans="1:5" x14ac:dyDescent="0.35">
      <c r="A1847" s="1" t="s">
        <v>3574</v>
      </c>
      <c r="B1847" s="45" t="s">
        <v>2107</v>
      </c>
      <c r="C1847">
        <v>2</v>
      </c>
      <c r="E1847" s="1" t="s">
        <v>2314</v>
      </c>
    </row>
    <row r="1848" spans="1:5" x14ac:dyDescent="0.35">
      <c r="A1848" s="1" t="s">
        <v>3575</v>
      </c>
      <c r="B1848" s="45" t="s">
        <v>3576</v>
      </c>
      <c r="C1848">
        <v>2</v>
      </c>
      <c r="E1848" s="1" t="s">
        <v>2314</v>
      </c>
    </row>
    <row r="1849" spans="1:5" x14ac:dyDescent="0.35">
      <c r="A1849" s="1" t="s">
        <v>3577</v>
      </c>
      <c r="B1849" s="45" t="s">
        <v>3578</v>
      </c>
      <c r="C1849">
        <v>2</v>
      </c>
      <c r="E1849" s="1" t="s">
        <v>2314</v>
      </c>
    </row>
    <row r="1850" spans="1:5" x14ac:dyDescent="0.35">
      <c r="A1850" s="1" t="s">
        <v>3579</v>
      </c>
      <c r="B1850" s="45" t="s">
        <v>394</v>
      </c>
      <c r="C1850">
        <v>2</v>
      </c>
      <c r="E1850" s="1" t="s">
        <v>2314</v>
      </c>
    </row>
    <row r="1851" spans="1:5" x14ac:dyDescent="0.35">
      <c r="A1851" s="1" t="s">
        <v>3580</v>
      </c>
      <c r="B1851" s="45" t="s">
        <v>3581</v>
      </c>
      <c r="C1851">
        <v>2</v>
      </c>
      <c r="E1851" s="1" t="s">
        <v>2314</v>
      </c>
    </row>
    <row r="1852" spans="1:5" x14ac:dyDescent="0.35">
      <c r="A1852" s="1" t="s">
        <v>3582</v>
      </c>
      <c r="B1852" s="45" t="s">
        <v>3583</v>
      </c>
      <c r="C1852">
        <v>2</v>
      </c>
      <c r="E1852" s="1" t="s">
        <v>2314</v>
      </c>
    </row>
    <row r="1853" spans="1:5" x14ac:dyDescent="0.35">
      <c r="A1853" s="1" t="s">
        <v>3584</v>
      </c>
      <c r="B1853" s="45" t="s">
        <v>3585</v>
      </c>
      <c r="C1853">
        <v>2</v>
      </c>
      <c r="E1853" s="1" t="s">
        <v>2314</v>
      </c>
    </row>
    <row r="1854" spans="1:5" x14ac:dyDescent="0.35">
      <c r="A1854" s="1" t="s">
        <v>3586</v>
      </c>
      <c r="B1854" s="45" t="s">
        <v>3587</v>
      </c>
      <c r="C1854">
        <v>2</v>
      </c>
      <c r="E1854" s="1" t="s">
        <v>2314</v>
      </c>
    </row>
    <row r="1855" spans="1:5" x14ac:dyDescent="0.35">
      <c r="A1855" s="1" t="s">
        <v>3588</v>
      </c>
      <c r="B1855" s="45" t="s">
        <v>464</v>
      </c>
      <c r="C1855">
        <v>2</v>
      </c>
      <c r="E1855" s="1" t="s">
        <v>2314</v>
      </c>
    </row>
    <row r="1856" spans="1:5" x14ac:dyDescent="0.35">
      <c r="A1856" s="1" t="s">
        <v>3589</v>
      </c>
      <c r="B1856" s="45" t="s">
        <v>3590</v>
      </c>
      <c r="C1856">
        <v>2</v>
      </c>
      <c r="E1856" s="1" t="s">
        <v>2314</v>
      </c>
    </row>
    <row r="1857" spans="1:5" x14ac:dyDescent="0.35">
      <c r="A1857" s="1" t="s">
        <v>3591</v>
      </c>
      <c r="B1857" s="45" t="s">
        <v>388</v>
      </c>
      <c r="C1857">
        <v>2</v>
      </c>
      <c r="E1857" s="1" t="s">
        <v>2314</v>
      </c>
    </row>
    <row r="1858" spans="1:5" x14ac:dyDescent="0.35">
      <c r="A1858" s="1" t="s">
        <v>3592</v>
      </c>
      <c r="B1858" s="45" t="s">
        <v>1651</v>
      </c>
      <c r="C1858">
        <v>2</v>
      </c>
      <c r="E1858" s="1" t="s">
        <v>2314</v>
      </c>
    </row>
    <row r="1859" spans="1:5" x14ac:dyDescent="0.35">
      <c r="A1859" s="1" t="s">
        <v>3593</v>
      </c>
      <c r="B1859" s="45" t="s">
        <v>3594</v>
      </c>
      <c r="C1859">
        <v>2</v>
      </c>
      <c r="E1859" s="1" t="s">
        <v>2314</v>
      </c>
    </row>
    <row r="1860" spans="1:5" x14ac:dyDescent="0.35">
      <c r="A1860" s="1" t="s">
        <v>3595</v>
      </c>
      <c r="B1860" s="45" t="s">
        <v>356</v>
      </c>
      <c r="C1860">
        <v>2</v>
      </c>
      <c r="E1860" s="1" t="s">
        <v>2314</v>
      </c>
    </row>
    <row r="1861" spans="1:5" x14ac:dyDescent="0.35">
      <c r="A1861" s="1" t="s">
        <v>3596</v>
      </c>
      <c r="B1861" s="45" t="s">
        <v>3597</v>
      </c>
      <c r="C1861">
        <v>2</v>
      </c>
      <c r="E1861" s="1" t="s">
        <v>2314</v>
      </c>
    </row>
    <row r="1862" spans="1:5" x14ac:dyDescent="0.35">
      <c r="A1862" s="1" t="s">
        <v>3598</v>
      </c>
      <c r="B1862" s="45" t="s">
        <v>3599</v>
      </c>
      <c r="C1862">
        <v>2</v>
      </c>
      <c r="E1862" s="1" t="s">
        <v>2314</v>
      </c>
    </row>
    <row r="1863" spans="1:5" x14ac:dyDescent="0.35">
      <c r="A1863" s="1" t="s">
        <v>3600</v>
      </c>
      <c r="B1863" s="45" t="s">
        <v>3601</v>
      </c>
      <c r="C1863">
        <v>2</v>
      </c>
      <c r="E1863" s="1" t="s">
        <v>2314</v>
      </c>
    </row>
    <row r="1864" spans="1:5" x14ac:dyDescent="0.35">
      <c r="A1864" s="1" t="s">
        <v>3602</v>
      </c>
      <c r="B1864" s="45" t="s">
        <v>710</v>
      </c>
      <c r="C1864">
        <v>2</v>
      </c>
      <c r="E1864" s="1" t="s">
        <v>2314</v>
      </c>
    </row>
    <row r="1865" spans="1:5" x14ac:dyDescent="0.35">
      <c r="A1865" s="1" t="s">
        <v>3603</v>
      </c>
      <c r="B1865" s="45" t="s">
        <v>3604</v>
      </c>
      <c r="C1865">
        <v>2</v>
      </c>
      <c r="E1865" s="1" t="s">
        <v>2314</v>
      </c>
    </row>
    <row r="1866" spans="1:5" x14ac:dyDescent="0.35">
      <c r="A1866" s="1" t="s">
        <v>3605</v>
      </c>
      <c r="B1866" s="45" t="s">
        <v>801</v>
      </c>
      <c r="C1866">
        <v>2</v>
      </c>
      <c r="E1866" s="1" t="s">
        <v>2314</v>
      </c>
    </row>
    <row r="1867" spans="1:5" x14ac:dyDescent="0.35">
      <c r="A1867" s="1" t="s">
        <v>3606</v>
      </c>
      <c r="B1867" s="45" t="s">
        <v>3607</v>
      </c>
      <c r="C1867">
        <v>2</v>
      </c>
      <c r="E1867" s="1" t="s">
        <v>2314</v>
      </c>
    </row>
    <row r="1868" spans="1:5" x14ac:dyDescent="0.35">
      <c r="A1868" s="1" t="s">
        <v>3608</v>
      </c>
      <c r="B1868" s="45" t="s">
        <v>3609</v>
      </c>
      <c r="C1868">
        <v>2</v>
      </c>
      <c r="E1868" s="1" t="s">
        <v>2314</v>
      </c>
    </row>
    <row r="1869" spans="1:5" x14ac:dyDescent="0.35">
      <c r="A1869" s="1" t="s">
        <v>3610</v>
      </c>
      <c r="B1869" s="45" t="s">
        <v>3611</v>
      </c>
      <c r="C1869">
        <v>2</v>
      </c>
      <c r="E1869" s="1" t="s">
        <v>2314</v>
      </c>
    </row>
    <row r="1870" spans="1:5" x14ac:dyDescent="0.35">
      <c r="A1870" s="1" t="s">
        <v>3612</v>
      </c>
      <c r="B1870" s="45" t="s">
        <v>3613</v>
      </c>
      <c r="C1870">
        <v>2</v>
      </c>
      <c r="E1870" s="1" t="s">
        <v>2314</v>
      </c>
    </row>
    <row r="1871" spans="1:5" x14ac:dyDescent="0.35">
      <c r="A1871" s="1" t="s">
        <v>3614</v>
      </c>
      <c r="B1871" s="45" t="s">
        <v>434</v>
      </c>
      <c r="C1871">
        <v>2</v>
      </c>
      <c r="E1871" s="1" t="s">
        <v>2314</v>
      </c>
    </row>
    <row r="1872" spans="1:5" x14ac:dyDescent="0.35">
      <c r="A1872" s="1" t="s">
        <v>3615</v>
      </c>
      <c r="B1872" s="45" t="s">
        <v>3616</v>
      </c>
      <c r="C1872">
        <v>2</v>
      </c>
      <c r="E1872" s="1" t="s">
        <v>2314</v>
      </c>
    </row>
    <row r="1873" spans="1:5" x14ac:dyDescent="0.35">
      <c r="A1873" s="1" t="s">
        <v>3617</v>
      </c>
      <c r="B1873" s="45" t="s">
        <v>237</v>
      </c>
      <c r="C1873">
        <v>2</v>
      </c>
      <c r="E1873" s="1" t="s">
        <v>2314</v>
      </c>
    </row>
    <row r="1874" spans="1:5" x14ac:dyDescent="0.35">
      <c r="A1874" s="1" t="s">
        <v>3618</v>
      </c>
      <c r="B1874" s="45" t="s">
        <v>3619</v>
      </c>
      <c r="C1874">
        <v>2</v>
      </c>
      <c r="E1874" s="1" t="s">
        <v>2314</v>
      </c>
    </row>
    <row r="1875" spans="1:5" x14ac:dyDescent="0.35">
      <c r="A1875" s="1" t="s">
        <v>3620</v>
      </c>
      <c r="B1875" s="45" t="s">
        <v>3621</v>
      </c>
      <c r="C1875">
        <v>2</v>
      </c>
      <c r="E1875" s="1" t="s">
        <v>2314</v>
      </c>
    </row>
    <row r="1876" spans="1:5" x14ac:dyDescent="0.35">
      <c r="A1876" s="1" t="s">
        <v>3622</v>
      </c>
      <c r="B1876" s="45" t="s">
        <v>676</v>
      </c>
      <c r="C1876">
        <v>2</v>
      </c>
      <c r="E1876" s="1" t="s">
        <v>2314</v>
      </c>
    </row>
    <row r="1878" spans="1:5" x14ac:dyDescent="0.35">
      <c r="A1878" s="1" t="s">
        <v>1860</v>
      </c>
      <c r="B1878" s="1" t="s">
        <v>1861</v>
      </c>
      <c r="C1878">
        <v>2</v>
      </c>
      <c r="E1878" s="1" t="s">
        <v>3623</v>
      </c>
    </row>
    <row r="1879" spans="1:5" x14ac:dyDescent="0.35">
      <c r="A1879" s="1" t="s">
        <v>3624</v>
      </c>
      <c r="B1879" s="1" t="s">
        <v>3625</v>
      </c>
      <c r="C1879">
        <v>2</v>
      </c>
      <c r="E1879" s="1" t="s">
        <v>3623</v>
      </c>
    </row>
    <row r="1880" spans="1:5" x14ac:dyDescent="0.35">
      <c r="A1880" s="1" t="s">
        <v>3626</v>
      </c>
      <c r="B1880" s="1" t="s">
        <v>3627</v>
      </c>
      <c r="C1880">
        <v>2</v>
      </c>
      <c r="E1880" s="1" t="s">
        <v>3623</v>
      </c>
    </row>
    <row r="1881" spans="1:5" x14ac:dyDescent="0.35">
      <c r="A1881" s="1" t="s">
        <v>3628</v>
      </c>
      <c r="B1881" s="1" t="s">
        <v>3629</v>
      </c>
      <c r="C1881">
        <v>2</v>
      </c>
      <c r="E1881" s="1" t="s">
        <v>3623</v>
      </c>
    </row>
    <row r="1882" spans="1:5" x14ac:dyDescent="0.35">
      <c r="A1882" s="1" t="s">
        <v>3630</v>
      </c>
      <c r="B1882" s="1" t="s">
        <v>3631</v>
      </c>
      <c r="C1882">
        <v>2</v>
      </c>
      <c r="E1882" s="1" t="s">
        <v>3623</v>
      </c>
    </row>
    <row r="1883" spans="1:5" x14ac:dyDescent="0.35">
      <c r="A1883" s="1" t="s">
        <v>3632</v>
      </c>
      <c r="B1883" s="1" t="s">
        <v>3633</v>
      </c>
      <c r="C1883">
        <v>2</v>
      </c>
      <c r="E1883" s="1" t="s">
        <v>3623</v>
      </c>
    </row>
    <row r="1884" spans="1:5" x14ac:dyDescent="0.35">
      <c r="A1884" s="1" t="s">
        <v>3634</v>
      </c>
      <c r="B1884" s="1" t="s">
        <v>3635</v>
      </c>
      <c r="C1884">
        <v>2</v>
      </c>
      <c r="E1884" s="1" t="s">
        <v>3623</v>
      </c>
    </row>
    <row r="1885" spans="1:5" x14ac:dyDescent="0.35">
      <c r="A1885" s="1" t="s">
        <v>3636</v>
      </c>
      <c r="B1885" s="1" t="s">
        <v>3637</v>
      </c>
      <c r="C1885">
        <v>2</v>
      </c>
      <c r="E1885" s="1" t="s">
        <v>3623</v>
      </c>
    </row>
    <row r="1887" spans="1:5" x14ac:dyDescent="0.35">
      <c r="A1887" s="1" t="s">
        <v>1862</v>
      </c>
      <c r="B1887" s="1" t="s">
        <v>1863</v>
      </c>
      <c r="C1887">
        <v>1</v>
      </c>
      <c r="E1887" s="1" t="s">
        <v>3623</v>
      </c>
    </row>
    <row r="1888" spans="1:5" x14ac:dyDescent="0.35">
      <c r="A1888" s="1" t="s">
        <v>3638</v>
      </c>
      <c r="B1888" s="1" t="s">
        <v>3639</v>
      </c>
      <c r="C1888">
        <v>1</v>
      </c>
      <c r="E1888" s="1" t="s">
        <v>3623</v>
      </c>
    </row>
    <row r="1889" spans="1:5" x14ac:dyDescent="0.35">
      <c r="A1889" s="1" t="s">
        <v>3640</v>
      </c>
      <c r="B1889" s="1" t="s">
        <v>3641</v>
      </c>
      <c r="C1889">
        <v>1</v>
      </c>
      <c r="E1889" s="1" t="s">
        <v>3623</v>
      </c>
    </row>
    <row r="1890" spans="1:5" x14ac:dyDescent="0.35">
      <c r="A1890" s="1" t="s">
        <v>3642</v>
      </c>
      <c r="B1890" s="1" t="s">
        <v>3643</v>
      </c>
      <c r="C1890">
        <v>1</v>
      </c>
      <c r="E1890" s="1" t="s">
        <v>3623</v>
      </c>
    </row>
    <row r="1891" spans="1:5" x14ac:dyDescent="0.35">
      <c r="A1891" s="1" t="s">
        <v>3644</v>
      </c>
      <c r="B1891" s="1" t="s">
        <v>3645</v>
      </c>
      <c r="C1891">
        <v>1</v>
      </c>
      <c r="E1891" s="1" t="s">
        <v>3623</v>
      </c>
    </row>
    <row r="1892" spans="1:5" x14ac:dyDescent="0.35">
      <c r="A1892" s="1" t="s">
        <v>3646</v>
      </c>
      <c r="B1892" s="1" t="s">
        <v>3647</v>
      </c>
      <c r="C1892">
        <v>1</v>
      </c>
      <c r="E1892" s="1" t="s">
        <v>3623</v>
      </c>
    </row>
    <row r="1893" spans="1:5" x14ac:dyDescent="0.35">
      <c r="A1893" s="1" t="s">
        <v>3648</v>
      </c>
      <c r="B1893" s="1" t="s">
        <v>3649</v>
      </c>
      <c r="C1893">
        <v>1</v>
      </c>
      <c r="E1893" s="1" t="s">
        <v>3623</v>
      </c>
    </row>
    <row r="1894" spans="1:5" x14ac:dyDescent="0.35">
      <c r="A1894" s="1" t="s">
        <v>3650</v>
      </c>
      <c r="B1894" s="1" t="s">
        <v>3651</v>
      </c>
      <c r="C1894">
        <v>1</v>
      </c>
      <c r="E1894" s="1" t="s">
        <v>3623</v>
      </c>
    </row>
    <row r="1895" spans="1:5" x14ac:dyDescent="0.35">
      <c r="A1895" s="1" t="s">
        <v>3652</v>
      </c>
      <c r="B1895" s="1" t="s">
        <v>3332</v>
      </c>
      <c r="C1895">
        <v>1</v>
      </c>
      <c r="E1895" s="1" t="s">
        <v>3623</v>
      </c>
    </row>
    <row r="1896" spans="1:5" x14ac:dyDescent="0.35">
      <c r="A1896" s="1" t="s">
        <v>3653</v>
      </c>
      <c r="B1896" s="1" t="s">
        <v>3654</v>
      </c>
      <c r="C1896">
        <v>1</v>
      </c>
      <c r="E1896" s="1" t="s">
        <v>3623</v>
      </c>
    </row>
    <row r="1897" spans="1:5" x14ac:dyDescent="0.35">
      <c r="A1897" s="1" t="s">
        <v>3655</v>
      </c>
      <c r="B1897" s="1" t="s">
        <v>3656</v>
      </c>
      <c r="C1897">
        <v>1</v>
      </c>
      <c r="E1897" s="1" t="s">
        <v>3623</v>
      </c>
    </row>
    <row r="1898" spans="1:5" x14ac:dyDescent="0.35">
      <c r="A1898" s="1" t="s">
        <v>3657</v>
      </c>
      <c r="B1898" s="1" t="s">
        <v>3658</v>
      </c>
      <c r="C1898">
        <v>1</v>
      </c>
      <c r="E1898" s="1" t="s">
        <v>3623</v>
      </c>
    </row>
    <row r="1900" spans="1:5" x14ac:dyDescent="0.35">
      <c r="A1900" s="1" t="s">
        <v>3659</v>
      </c>
      <c r="B1900" t="s">
        <v>1563</v>
      </c>
      <c r="C1900">
        <v>1</v>
      </c>
      <c r="E1900" s="1" t="s">
        <v>3660</v>
      </c>
    </row>
    <row r="1901" spans="1:5" x14ac:dyDescent="0.35">
      <c r="A1901" s="1" t="s">
        <v>3661</v>
      </c>
      <c r="B1901" t="s">
        <v>2220</v>
      </c>
      <c r="C1901">
        <v>1</v>
      </c>
      <c r="E1901" s="1" t="s">
        <v>3660</v>
      </c>
    </row>
    <row r="1902" spans="1:5" x14ac:dyDescent="0.35">
      <c r="A1902" s="1" t="s">
        <v>3662</v>
      </c>
      <c r="B1902" t="s">
        <v>1833</v>
      </c>
      <c r="C1902">
        <v>1</v>
      </c>
      <c r="E1902" s="1" t="s">
        <v>3660</v>
      </c>
    </row>
    <row r="1903" spans="1:5" x14ac:dyDescent="0.35">
      <c r="A1903" s="1" t="s">
        <v>3663</v>
      </c>
      <c r="B1903" t="s">
        <v>2225</v>
      </c>
      <c r="C1903">
        <v>1</v>
      </c>
      <c r="E1903" s="1" t="s">
        <v>3660</v>
      </c>
    </row>
    <row r="1904" spans="1:5" x14ac:dyDescent="0.35">
      <c r="A1904" s="1" t="s">
        <v>3664</v>
      </c>
      <c r="B1904" t="s">
        <v>2227</v>
      </c>
      <c r="C1904">
        <v>1</v>
      </c>
      <c r="E1904" s="1" t="s">
        <v>3660</v>
      </c>
    </row>
    <row r="1905" spans="1:5" x14ac:dyDescent="0.35">
      <c r="A1905" s="1" t="s">
        <v>3665</v>
      </c>
      <c r="B1905" t="s">
        <v>2229</v>
      </c>
      <c r="C1905">
        <v>1</v>
      </c>
      <c r="E1905" s="1" t="s">
        <v>3660</v>
      </c>
    </row>
    <row r="1906" spans="1:5" x14ac:dyDescent="0.35">
      <c r="A1906" s="1" t="s">
        <v>3666</v>
      </c>
      <c r="B1906" t="s">
        <v>2231</v>
      </c>
      <c r="C1906">
        <v>1</v>
      </c>
      <c r="E1906" s="1" t="s">
        <v>3660</v>
      </c>
    </row>
    <row r="1907" spans="1:5" x14ac:dyDescent="0.35">
      <c r="A1907" s="1" t="s">
        <v>3667</v>
      </c>
      <c r="B1907" t="s">
        <v>2235</v>
      </c>
      <c r="C1907">
        <v>1</v>
      </c>
      <c r="E1907" s="1" t="s">
        <v>3660</v>
      </c>
    </row>
    <row r="1908" spans="1:5" x14ac:dyDescent="0.35">
      <c r="A1908" s="1" t="s">
        <v>3668</v>
      </c>
      <c r="B1908" t="s">
        <v>2240</v>
      </c>
      <c r="C1908">
        <v>1</v>
      </c>
      <c r="E1908" s="1" t="s">
        <v>3660</v>
      </c>
    </row>
    <row r="1909" spans="1:5" x14ac:dyDescent="0.35">
      <c r="A1909" s="1" t="s">
        <v>3669</v>
      </c>
      <c r="B1909" t="s">
        <v>2248</v>
      </c>
      <c r="C1909">
        <v>1</v>
      </c>
      <c r="E1909" s="1" t="s">
        <v>3660</v>
      </c>
    </row>
    <row r="1910" spans="1:5" x14ac:dyDescent="0.35">
      <c r="A1910" s="1" t="s">
        <v>3670</v>
      </c>
      <c r="B1910" t="s">
        <v>2252</v>
      </c>
      <c r="C1910">
        <v>1</v>
      </c>
      <c r="E1910" s="1" t="s">
        <v>3660</v>
      </c>
    </row>
    <row r="1911" spans="1:5" x14ac:dyDescent="0.35">
      <c r="A1911" s="1" t="s">
        <v>3671</v>
      </c>
      <c r="B1911" t="s">
        <v>2254</v>
      </c>
      <c r="C1911">
        <v>1</v>
      </c>
      <c r="E1911" s="1" t="s">
        <v>3660</v>
      </c>
    </row>
    <row r="1912" spans="1:5" x14ac:dyDescent="0.35">
      <c r="A1912" s="1" t="s">
        <v>3672</v>
      </c>
      <c r="B1912" t="s">
        <v>2256</v>
      </c>
      <c r="C1912">
        <v>1</v>
      </c>
      <c r="E1912" s="1" t="s">
        <v>3660</v>
      </c>
    </row>
    <row r="1913" spans="1:5" x14ac:dyDescent="0.35">
      <c r="A1913" s="1" t="s">
        <v>3673</v>
      </c>
      <c r="B1913" t="s">
        <v>2258</v>
      </c>
      <c r="C1913">
        <v>1</v>
      </c>
      <c r="E1913" s="1" t="s">
        <v>3660</v>
      </c>
    </row>
    <row r="1914" spans="1:5" x14ac:dyDescent="0.35">
      <c r="A1914" s="1" t="s">
        <v>3674</v>
      </c>
      <c r="B1914" t="s">
        <v>3675</v>
      </c>
      <c r="C1914">
        <v>1</v>
      </c>
      <c r="E1914" s="1" t="s">
        <v>3660</v>
      </c>
    </row>
    <row r="1915" spans="1:5" x14ac:dyDescent="0.35">
      <c r="A1915" s="1" t="s">
        <v>3676</v>
      </c>
      <c r="B1915" t="s">
        <v>2264</v>
      </c>
      <c r="C1915">
        <v>1</v>
      </c>
      <c r="E1915" s="1" t="s">
        <v>3660</v>
      </c>
    </row>
    <row r="1916" spans="1:5" x14ac:dyDescent="0.35">
      <c r="A1916" s="1" t="s">
        <v>3677</v>
      </c>
      <c r="B1916" t="s">
        <v>2266</v>
      </c>
      <c r="C1916">
        <v>1</v>
      </c>
      <c r="E1916" s="1" t="s">
        <v>3660</v>
      </c>
    </row>
    <row r="1917" spans="1:5" x14ac:dyDescent="0.35">
      <c r="A1917" s="1" t="s">
        <v>3678</v>
      </c>
      <c r="B1917" t="s">
        <v>2270</v>
      </c>
      <c r="C1917">
        <v>1</v>
      </c>
      <c r="E1917" s="1" t="s">
        <v>3660</v>
      </c>
    </row>
    <row r="1918" spans="1:5" x14ac:dyDescent="0.35">
      <c r="A1918" s="1" t="s">
        <v>3679</v>
      </c>
      <c r="B1918" t="s">
        <v>2274</v>
      </c>
      <c r="C1918">
        <v>1</v>
      </c>
      <c r="E1918" s="1" t="s">
        <v>3660</v>
      </c>
    </row>
    <row r="1919" spans="1:5" x14ac:dyDescent="0.35">
      <c r="A1919" s="1" t="s">
        <v>3680</v>
      </c>
      <c r="B1919" t="s">
        <v>2278</v>
      </c>
      <c r="C1919">
        <v>1</v>
      </c>
      <c r="E1919" s="1" t="s">
        <v>3660</v>
      </c>
    </row>
    <row r="1920" spans="1:5" x14ac:dyDescent="0.35">
      <c r="A1920" s="1" t="s">
        <v>3681</v>
      </c>
      <c r="B1920" t="s">
        <v>2282</v>
      </c>
      <c r="C1920">
        <v>1</v>
      </c>
      <c r="E1920" s="1" t="s">
        <v>3660</v>
      </c>
    </row>
    <row r="1921" spans="1:5" x14ac:dyDescent="0.35">
      <c r="A1921" s="1" t="s">
        <v>3682</v>
      </c>
      <c r="B1921" t="s">
        <v>2284</v>
      </c>
      <c r="C1921">
        <v>1</v>
      </c>
      <c r="E1921" s="1" t="s">
        <v>3660</v>
      </c>
    </row>
    <row r="1922" spans="1:5" x14ac:dyDescent="0.35">
      <c r="A1922" s="1" t="s">
        <v>3683</v>
      </c>
      <c r="B1922" t="s">
        <v>2286</v>
      </c>
      <c r="C1922">
        <v>1</v>
      </c>
      <c r="E1922" s="1" t="s">
        <v>3660</v>
      </c>
    </row>
    <row r="1923" spans="1:5" x14ac:dyDescent="0.35">
      <c r="A1923" s="1" t="s">
        <v>3684</v>
      </c>
      <c r="B1923" t="s">
        <v>3685</v>
      </c>
      <c r="C1923">
        <v>1</v>
      </c>
      <c r="E1923" s="1" t="s">
        <v>3660</v>
      </c>
    </row>
    <row r="1924" spans="1:5" x14ac:dyDescent="0.35">
      <c r="A1924" s="1" t="s">
        <v>3686</v>
      </c>
      <c r="B1924" t="s">
        <v>2296</v>
      </c>
      <c r="C1924">
        <v>1</v>
      </c>
      <c r="E1924" s="1" t="s">
        <v>3660</v>
      </c>
    </row>
    <row r="1925" spans="1:5" x14ac:dyDescent="0.35">
      <c r="A1925" s="1" t="s">
        <v>3687</v>
      </c>
      <c r="B1925" t="s">
        <v>2298</v>
      </c>
      <c r="C1925">
        <v>1</v>
      </c>
      <c r="E1925" s="1" t="s">
        <v>3660</v>
      </c>
    </row>
    <row r="1926" spans="1:5" x14ac:dyDescent="0.35">
      <c r="A1926" s="1" t="s">
        <v>3688</v>
      </c>
      <c r="B1926" t="s">
        <v>2300</v>
      </c>
      <c r="C1926">
        <v>1</v>
      </c>
      <c r="E1926" s="1" t="s">
        <v>3660</v>
      </c>
    </row>
    <row r="1927" spans="1:5" x14ac:dyDescent="0.35">
      <c r="A1927" s="1" t="s">
        <v>3689</v>
      </c>
      <c r="B1927" t="s">
        <v>2302</v>
      </c>
      <c r="C1927">
        <v>1</v>
      </c>
      <c r="E1927" s="1" t="s">
        <v>3660</v>
      </c>
    </row>
    <row r="1928" spans="1:5" x14ac:dyDescent="0.35">
      <c r="A1928" s="1" t="s">
        <v>3690</v>
      </c>
      <c r="B1928" t="s">
        <v>2304</v>
      </c>
      <c r="C1928">
        <v>1</v>
      </c>
      <c r="E1928" s="1" t="s">
        <v>3660</v>
      </c>
    </row>
    <row r="1929" spans="1:5" x14ac:dyDescent="0.35">
      <c r="A1929" s="1" t="s">
        <v>3691</v>
      </c>
      <c r="B1929" t="s">
        <v>2306</v>
      </c>
      <c r="C1929">
        <v>1</v>
      </c>
      <c r="E1929" s="1" t="s">
        <v>3660</v>
      </c>
    </row>
    <row r="1930" spans="1:5" x14ac:dyDescent="0.35">
      <c r="A1930" s="1" t="s">
        <v>3692</v>
      </c>
      <c r="B1930" t="s">
        <v>2262</v>
      </c>
      <c r="C1930">
        <v>1</v>
      </c>
      <c r="E1930" s="1" t="s">
        <v>3660</v>
      </c>
    </row>
    <row r="1931" spans="1:5" x14ac:dyDescent="0.35">
      <c r="A1931" s="1" t="s">
        <v>3693</v>
      </c>
      <c r="B1931" t="s">
        <v>3694</v>
      </c>
      <c r="C1931">
        <v>1</v>
      </c>
      <c r="E1931" s="1" t="s">
        <v>3660</v>
      </c>
    </row>
    <row r="1932" spans="1:5" x14ac:dyDescent="0.35">
      <c r="A1932" s="1" t="s">
        <v>3695</v>
      </c>
      <c r="B1932" t="s">
        <v>3696</v>
      </c>
      <c r="C1932">
        <v>1</v>
      </c>
      <c r="E1932" s="1" t="s">
        <v>3660</v>
      </c>
    </row>
    <row r="1933" spans="1:5" x14ac:dyDescent="0.35">
      <c r="A1933" s="1" t="s">
        <v>3697</v>
      </c>
      <c r="B1933" t="s">
        <v>330</v>
      </c>
      <c r="C1933">
        <v>1</v>
      </c>
      <c r="E1933" s="1" t="s">
        <v>3660</v>
      </c>
    </row>
    <row r="1934" spans="1:5" x14ac:dyDescent="0.35">
      <c r="A1934" s="1" t="s">
        <v>3698</v>
      </c>
      <c r="B1934" t="s">
        <v>3699</v>
      </c>
      <c r="C1934">
        <v>1</v>
      </c>
      <c r="E1934" s="1" t="s">
        <v>3660</v>
      </c>
    </row>
    <row r="1935" spans="1:5" x14ac:dyDescent="0.35">
      <c r="A1935" s="1" t="s">
        <v>3700</v>
      </c>
      <c r="B1935" t="s">
        <v>3701</v>
      </c>
      <c r="C1935">
        <v>1</v>
      </c>
      <c r="E1935" s="1" t="s">
        <v>3660</v>
      </c>
    </row>
    <row r="1936" spans="1:5" x14ac:dyDescent="0.35">
      <c r="A1936" s="1" t="s">
        <v>3702</v>
      </c>
      <c r="B1936" t="s">
        <v>3703</v>
      </c>
      <c r="C1936">
        <v>1</v>
      </c>
      <c r="E1936" s="1" t="s">
        <v>3660</v>
      </c>
    </row>
    <row r="1937" spans="1:5" x14ac:dyDescent="0.35">
      <c r="A1937" s="1" t="s">
        <v>3704</v>
      </c>
      <c r="B1937" t="s">
        <v>3705</v>
      </c>
      <c r="C1937">
        <v>1</v>
      </c>
      <c r="E1937" s="1" t="s">
        <v>3660</v>
      </c>
    </row>
    <row r="1938" spans="1:5" x14ac:dyDescent="0.35">
      <c r="A1938" s="1" t="s">
        <v>3706</v>
      </c>
      <c r="B1938" t="s">
        <v>3707</v>
      </c>
      <c r="C1938">
        <v>1</v>
      </c>
      <c r="E1938" s="1" t="s">
        <v>3660</v>
      </c>
    </row>
    <row r="1939" spans="1:5" x14ac:dyDescent="0.35">
      <c r="A1939" s="1" t="s">
        <v>3708</v>
      </c>
      <c r="B1939" t="s">
        <v>3709</v>
      </c>
      <c r="C1939">
        <v>1</v>
      </c>
      <c r="E1939" s="1" t="s">
        <v>3660</v>
      </c>
    </row>
    <row r="1940" spans="1:5" x14ac:dyDescent="0.35">
      <c r="A1940" s="1" t="s">
        <v>3710</v>
      </c>
      <c r="B1940" t="s">
        <v>3711</v>
      </c>
      <c r="C1940">
        <v>1</v>
      </c>
      <c r="E1940" s="1" t="s">
        <v>3660</v>
      </c>
    </row>
    <row r="1941" spans="1:5" x14ac:dyDescent="0.35">
      <c r="A1941" s="1" t="s">
        <v>3712</v>
      </c>
      <c r="B1941" t="s">
        <v>3713</v>
      </c>
      <c r="C1941">
        <v>1</v>
      </c>
      <c r="E1941" s="1" t="s">
        <v>3660</v>
      </c>
    </row>
    <row r="1942" spans="1:5" x14ac:dyDescent="0.35">
      <c r="A1942" s="1" t="s">
        <v>3714</v>
      </c>
      <c r="B1942" t="s">
        <v>3715</v>
      </c>
      <c r="C1942">
        <v>1</v>
      </c>
      <c r="E1942" s="1" t="s">
        <v>3660</v>
      </c>
    </row>
    <row r="1943" spans="1:5" x14ac:dyDescent="0.35">
      <c r="A1943" s="1" t="s">
        <v>3716</v>
      </c>
      <c r="B1943" t="s">
        <v>3717</v>
      </c>
      <c r="C1943">
        <v>1</v>
      </c>
      <c r="E1943" s="1" t="s">
        <v>3660</v>
      </c>
    </row>
    <row r="1944" spans="1:5" x14ac:dyDescent="0.35">
      <c r="A1944" s="1" t="s">
        <v>3718</v>
      </c>
      <c r="B1944" t="s">
        <v>3719</v>
      </c>
      <c r="C1944">
        <v>1</v>
      </c>
      <c r="E1944" s="1" t="s">
        <v>3660</v>
      </c>
    </row>
    <row r="1945" spans="1:5" x14ac:dyDescent="0.35">
      <c r="A1945" s="1" t="s">
        <v>3720</v>
      </c>
      <c r="B1945" t="s">
        <v>3721</v>
      </c>
      <c r="C1945">
        <v>1</v>
      </c>
      <c r="E1945" s="1" t="s">
        <v>3660</v>
      </c>
    </row>
    <row r="1946" spans="1:5" x14ac:dyDescent="0.35">
      <c r="A1946" s="1" t="s">
        <v>3722</v>
      </c>
      <c r="B1946" t="s">
        <v>3723</v>
      </c>
      <c r="C1946">
        <v>1</v>
      </c>
      <c r="E1946" s="1" t="s">
        <v>3660</v>
      </c>
    </row>
    <row r="1947" spans="1:5" x14ac:dyDescent="0.35">
      <c r="A1947" s="1" t="s">
        <v>3724</v>
      </c>
      <c r="B1947" t="s">
        <v>3725</v>
      </c>
      <c r="C1947">
        <v>1</v>
      </c>
      <c r="E1947" s="1" t="s">
        <v>3660</v>
      </c>
    </row>
    <row r="1948" spans="1:5" x14ac:dyDescent="0.35">
      <c r="A1948" s="1" t="s">
        <v>3726</v>
      </c>
      <c r="B1948" t="s">
        <v>3727</v>
      </c>
      <c r="C1948">
        <v>1</v>
      </c>
      <c r="E1948" s="1" t="s">
        <v>3660</v>
      </c>
    </row>
    <row r="1949" spans="1:5" x14ac:dyDescent="0.35">
      <c r="A1949" s="1" t="s">
        <v>3728</v>
      </c>
      <c r="B1949" t="s">
        <v>2558</v>
      </c>
      <c r="C1949">
        <v>1</v>
      </c>
      <c r="E1949" s="1" t="s">
        <v>3660</v>
      </c>
    </row>
    <row r="1950" spans="1:5" x14ac:dyDescent="0.35">
      <c r="A1950" s="1" t="s">
        <v>3729</v>
      </c>
      <c r="B1950" t="s">
        <v>3730</v>
      </c>
      <c r="C1950">
        <v>1</v>
      </c>
      <c r="E1950" s="1" t="s">
        <v>3660</v>
      </c>
    </row>
    <row r="1951" spans="1:5" x14ac:dyDescent="0.35">
      <c r="A1951" s="1" t="s">
        <v>3731</v>
      </c>
      <c r="B1951" t="s">
        <v>3732</v>
      </c>
      <c r="C1951">
        <v>1</v>
      </c>
      <c r="E1951" s="1" t="s">
        <v>3660</v>
      </c>
    </row>
    <row r="1952" spans="1:5" x14ac:dyDescent="0.35">
      <c r="A1952" s="1" t="s">
        <v>3733</v>
      </c>
      <c r="B1952" t="s">
        <v>3734</v>
      </c>
      <c r="C1952">
        <v>1</v>
      </c>
      <c r="E1952" s="1" t="s">
        <v>3660</v>
      </c>
    </row>
    <row r="1953" spans="1:5" x14ac:dyDescent="0.35">
      <c r="A1953" s="1" t="s">
        <v>3735</v>
      </c>
      <c r="B1953" t="s">
        <v>3736</v>
      </c>
      <c r="C1953">
        <v>1</v>
      </c>
      <c r="E1953" s="1" t="s">
        <v>3660</v>
      </c>
    </row>
    <row r="1954" spans="1:5" x14ac:dyDescent="0.35">
      <c r="A1954" s="1" t="s">
        <v>3737</v>
      </c>
      <c r="B1954" t="s">
        <v>3738</v>
      </c>
      <c r="C1954">
        <v>1</v>
      </c>
      <c r="E1954" s="1" t="s">
        <v>3660</v>
      </c>
    </row>
    <row r="1955" spans="1:5" x14ac:dyDescent="0.35">
      <c r="A1955" s="1" t="s">
        <v>3739</v>
      </c>
      <c r="B1955" t="s">
        <v>3740</v>
      </c>
      <c r="C1955">
        <v>1</v>
      </c>
      <c r="E1955" s="1" t="s">
        <v>3660</v>
      </c>
    </row>
    <row r="1956" spans="1:5" x14ac:dyDescent="0.35">
      <c r="A1956" s="1" t="s">
        <v>3741</v>
      </c>
      <c r="B1956" t="s">
        <v>3742</v>
      </c>
      <c r="C1956">
        <v>1</v>
      </c>
      <c r="E1956" s="1" t="s">
        <v>3660</v>
      </c>
    </row>
    <row r="1957" spans="1:5" x14ac:dyDescent="0.35">
      <c r="A1957" s="1" t="s">
        <v>3743</v>
      </c>
      <c r="B1957" t="s">
        <v>3744</v>
      </c>
      <c r="C1957">
        <v>1</v>
      </c>
      <c r="E1957" s="1" t="s">
        <v>3660</v>
      </c>
    </row>
    <row r="1958" spans="1:5" x14ac:dyDescent="0.35">
      <c r="A1958" s="1" t="s">
        <v>3745</v>
      </c>
      <c r="B1958" t="s">
        <v>3746</v>
      </c>
      <c r="C1958">
        <v>1</v>
      </c>
      <c r="E1958" s="1" t="s">
        <v>3660</v>
      </c>
    </row>
    <row r="1959" spans="1:5" x14ac:dyDescent="0.35">
      <c r="A1959" s="1" t="s">
        <v>3747</v>
      </c>
      <c r="B1959" t="s">
        <v>3748</v>
      </c>
      <c r="C1959">
        <v>1</v>
      </c>
      <c r="E1959" s="1" t="s">
        <v>3660</v>
      </c>
    </row>
    <row r="1960" spans="1:5" x14ac:dyDescent="0.35">
      <c r="A1960" s="1" t="s">
        <v>3749</v>
      </c>
      <c r="B1960" t="s">
        <v>3487</v>
      </c>
      <c r="C1960">
        <v>1</v>
      </c>
      <c r="E1960" s="1" t="s">
        <v>3660</v>
      </c>
    </row>
    <row r="1961" spans="1:5" x14ac:dyDescent="0.35">
      <c r="A1961" s="1" t="s">
        <v>3750</v>
      </c>
      <c r="B1961" t="s">
        <v>3196</v>
      </c>
      <c r="C1961">
        <v>1</v>
      </c>
      <c r="E1961" s="1" t="s">
        <v>3660</v>
      </c>
    </row>
    <row r="1962" spans="1:5" x14ac:dyDescent="0.35">
      <c r="A1962" s="1" t="s">
        <v>3751</v>
      </c>
      <c r="B1962" t="s">
        <v>3318</v>
      </c>
      <c r="C1962">
        <v>1</v>
      </c>
      <c r="E1962" s="1" t="s">
        <v>3660</v>
      </c>
    </row>
    <row r="1963" spans="1:5" x14ac:dyDescent="0.35">
      <c r="A1963" s="1" t="s">
        <v>3752</v>
      </c>
      <c r="B1963" t="s">
        <v>3459</v>
      </c>
      <c r="C1963">
        <v>1</v>
      </c>
      <c r="E1963" s="1" t="s">
        <v>3660</v>
      </c>
    </row>
    <row r="1964" spans="1:5" x14ac:dyDescent="0.35">
      <c r="A1964" s="1" t="s">
        <v>3753</v>
      </c>
      <c r="B1964" t="s">
        <v>3025</v>
      </c>
      <c r="C1964">
        <v>1</v>
      </c>
      <c r="E1964" s="1" t="s">
        <v>3660</v>
      </c>
    </row>
    <row r="1965" spans="1:5" x14ac:dyDescent="0.35">
      <c r="A1965" s="1" t="s">
        <v>3754</v>
      </c>
      <c r="B1965" t="s">
        <v>3567</v>
      </c>
      <c r="C1965">
        <v>1</v>
      </c>
      <c r="E1965" s="1" t="s">
        <v>3660</v>
      </c>
    </row>
    <row r="1966" spans="1:5" x14ac:dyDescent="0.35">
      <c r="A1966" s="1" t="s">
        <v>3755</v>
      </c>
      <c r="B1966" t="s">
        <v>2217</v>
      </c>
      <c r="C1966">
        <v>1</v>
      </c>
      <c r="E1966" s="1" t="s">
        <v>3660</v>
      </c>
    </row>
    <row r="1967" spans="1:5" x14ac:dyDescent="0.35">
      <c r="A1967" s="1" t="s">
        <v>3756</v>
      </c>
      <c r="B1967" t="s">
        <v>2242</v>
      </c>
      <c r="C1967">
        <v>1</v>
      </c>
      <c r="E1967" s="1" t="s">
        <v>3660</v>
      </c>
    </row>
    <row r="1968" spans="1:5" x14ac:dyDescent="0.35">
      <c r="A1968" s="1" t="s">
        <v>3757</v>
      </c>
      <c r="B1968" t="s">
        <v>3758</v>
      </c>
      <c r="C1968">
        <v>1</v>
      </c>
      <c r="E1968" s="1" t="s">
        <v>3660</v>
      </c>
    </row>
    <row r="1969" spans="1:5" x14ac:dyDescent="0.35">
      <c r="A1969" s="1" t="s">
        <v>3759</v>
      </c>
      <c r="B1969" t="s">
        <v>2280</v>
      </c>
      <c r="C1969">
        <v>1</v>
      </c>
      <c r="E1969" s="1" t="s">
        <v>3660</v>
      </c>
    </row>
    <row r="1970" spans="1:5" x14ac:dyDescent="0.35">
      <c r="A1970" s="1" t="s">
        <v>3760</v>
      </c>
      <c r="B1970" t="s">
        <v>3761</v>
      </c>
      <c r="C1970">
        <v>1</v>
      </c>
      <c r="E1970" s="1" t="s">
        <v>3660</v>
      </c>
    </row>
    <row r="1971" spans="1:5" x14ac:dyDescent="0.35">
      <c r="A1971" s="1" t="s">
        <v>3762</v>
      </c>
      <c r="B1971" t="s">
        <v>3763</v>
      </c>
      <c r="C1971">
        <v>1</v>
      </c>
      <c r="E1971" s="1" t="s">
        <v>3660</v>
      </c>
    </row>
    <row r="1972" spans="1:5" x14ac:dyDescent="0.35">
      <c r="C1972" s="1"/>
    </row>
    <row r="1974" spans="1:5" x14ac:dyDescent="0.35">
      <c r="A1974" s="1" t="s">
        <v>3764</v>
      </c>
      <c r="B1974" t="s">
        <v>3765</v>
      </c>
      <c r="C1974">
        <v>2</v>
      </c>
      <c r="E1974" s="1" t="s">
        <v>3660</v>
      </c>
    </row>
    <row r="1975" spans="1:5" x14ac:dyDescent="0.35">
      <c r="A1975" s="1" t="s">
        <v>3766</v>
      </c>
      <c r="B1975" t="s">
        <v>3767</v>
      </c>
      <c r="C1975">
        <v>2</v>
      </c>
      <c r="E1975" s="1" t="s">
        <v>3660</v>
      </c>
    </row>
    <row r="1976" spans="1:5" x14ac:dyDescent="0.35">
      <c r="A1976" s="1" t="s">
        <v>3768</v>
      </c>
      <c r="B1976" t="s">
        <v>3769</v>
      </c>
      <c r="C1976">
        <v>2</v>
      </c>
      <c r="E1976" s="1" t="s">
        <v>3660</v>
      </c>
    </row>
    <row r="1977" spans="1:5" x14ac:dyDescent="0.35">
      <c r="A1977" s="1" t="s">
        <v>3770</v>
      </c>
      <c r="B1977" t="s">
        <v>3771</v>
      </c>
      <c r="C1977">
        <v>2</v>
      </c>
      <c r="E1977" s="1" t="s">
        <v>3660</v>
      </c>
    </row>
    <row r="1978" spans="1:5" x14ac:dyDescent="0.35">
      <c r="A1978" s="1" t="s">
        <v>3772</v>
      </c>
      <c r="B1978" t="s">
        <v>3773</v>
      </c>
      <c r="C1978">
        <v>2</v>
      </c>
      <c r="E1978" s="1" t="s">
        <v>3660</v>
      </c>
    </row>
    <row r="1979" spans="1:5" x14ac:dyDescent="0.35">
      <c r="A1979" s="1" t="s">
        <v>3774</v>
      </c>
      <c r="B1979" t="s">
        <v>3775</v>
      </c>
      <c r="C1979">
        <v>2</v>
      </c>
      <c r="E1979" s="1" t="s">
        <v>3660</v>
      </c>
    </row>
    <row r="1980" spans="1:5" x14ac:dyDescent="0.35">
      <c r="A1980" s="1" t="s">
        <v>3776</v>
      </c>
      <c r="B1980" t="s">
        <v>3777</v>
      </c>
      <c r="C1980">
        <v>2</v>
      </c>
      <c r="E1980" s="1" t="s">
        <v>3660</v>
      </c>
    </row>
    <row r="1981" spans="1:5" x14ac:dyDescent="0.35">
      <c r="A1981" s="1" t="s">
        <v>3778</v>
      </c>
      <c r="B1981" t="s">
        <v>3779</v>
      </c>
      <c r="C1981">
        <v>2</v>
      </c>
      <c r="E1981" s="1" t="s">
        <v>3660</v>
      </c>
    </row>
    <row r="1982" spans="1:5" x14ac:dyDescent="0.35">
      <c r="A1982" s="1" t="s">
        <v>3780</v>
      </c>
      <c r="B1982" t="s">
        <v>3781</v>
      </c>
      <c r="C1982">
        <v>2</v>
      </c>
      <c r="E1982" s="1" t="s">
        <v>3660</v>
      </c>
    </row>
    <row r="1983" spans="1:5" x14ac:dyDescent="0.35">
      <c r="A1983" s="1" t="s">
        <v>3782</v>
      </c>
      <c r="B1983" t="s">
        <v>3783</v>
      </c>
      <c r="C1983">
        <v>2</v>
      </c>
      <c r="E1983" s="1" t="s">
        <v>3660</v>
      </c>
    </row>
    <row r="1984" spans="1:5" x14ac:dyDescent="0.35">
      <c r="A1984" s="1" t="s">
        <v>3784</v>
      </c>
      <c r="B1984" t="s">
        <v>3785</v>
      </c>
      <c r="C1984">
        <v>2</v>
      </c>
      <c r="E1984" s="1" t="s">
        <v>3660</v>
      </c>
    </row>
    <row r="1985" spans="1:5" x14ac:dyDescent="0.35">
      <c r="A1985" s="1" t="s">
        <v>3786</v>
      </c>
      <c r="B1985" t="s">
        <v>3787</v>
      </c>
      <c r="C1985">
        <v>2</v>
      </c>
      <c r="E1985" s="1" t="s">
        <v>3660</v>
      </c>
    </row>
    <row r="1986" spans="1:5" x14ac:dyDescent="0.35">
      <c r="A1986" s="1" t="s">
        <v>3788</v>
      </c>
      <c r="B1986" t="s">
        <v>3789</v>
      </c>
      <c r="C1986">
        <v>2</v>
      </c>
      <c r="E1986" s="1" t="s">
        <v>3660</v>
      </c>
    </row>
    <row r="1987" spans="1:5" x14ac:dyDescent="0.35">
      <c r="A1987" s="1" t="s">
        <v>3790</v>
      </c>
      <c r="B1987" t="s">
        <v>3791</v>
      </c>
      <c r="C1987">
        <v>2</v>
      </c>
      <c r="E1987" s="1" t="s">
        <v>3660</v>
      </c>
    </row>
    <row r="1988" spans="1:5" x14ac:dyDescent="0.35">
      <c r="A1988" s="1" t="s">
        <v>3792</v>
      </c>
      <c r="B1988" t="s">
        <v>617</v>
      </c>
      <c r="C1988">
        <v>2</v>
      </c>
      <c r="E1988" s="1" t="s">
        <v>3660</v>
      </c>
    </row>
    <row r="1989" spans="1:5" x14ac:dyDescent="0.35">
      <c r="A1989" s="1" t="s">
        <v>3793</v>
      </c>
      <c r="B1989" t="s">
        <v>3794</v>
      </c>
      <c r="C1989">
        <v>2</v>
      </c>
      <c r="E1989" s="1" t="s">
        <v>3660</v>
      </c>
    </row>
    <row r="1990" spans="1:5" x14ac:dyDescent="0.35">
      <c r="A1990" s="1" t="s">
        <v>3795</v>
      </c>
      <c r="B1990" t="s">
        <v>3796</v>
      </c>
      <c r="C1990">
        <v>2</v>
      </c>
      <c r="E1990" s="1" t="s">
        <v>3660</v>
      </c>
    </row>
    <row r="1991" spans="1:5" x14ac:dyDescent="0.35">
      <c r="A1991" s="1" t="s">
        <v>3797</v>
      </c>
      <c r="B1991" t="s">
        <v>3798</v>
      </c>
      <c r="C1991">
        <v>2</v>
      </c>
      <c r="E1991" s="1" t="s">
        <v>3660</v>
      </c>
    </row>
    <row r="1992" spans="1:5" x14ac:dyDescent="0.35">
      <c r="A1992" s="1" t="s">
        <v>3799</v>
      </c>
      <c r="B1992" t="s">
        <v>3800</v>
      </c>
      <c r="C1992">
        <v>2</v>
      </c>
      <c r="E1992" s="1" t="s">
        <v>3660</v>
      </c>
    </row>
    <row r="1993" spans="1:5" x14ac:dyDescent="0.35">
      <c r="A1993" s="1" t="s">
        <v>3801</v>
      </c>
      <c r="B1993" t="s">
        <v>3802</v>
      </c>
      <c r="C1993">
        <v>2</v>
      </c>
      <c r="E1993" s="1" t="s">
        <v>3660</v>
      </c>
    </row>
    <row r="1994" spans="1:5" x14ac:dyDescent="0.35">
      <c r="A1994" s="1" t="s">
        <v>3803</v>
      </c>
      <c r="B1994" t="s">
        <v>3804</v>
      </c>
      <c r="C1994">
        <v>2</v>
      </c>
      <c r="E1994" s="1" t="s">
        <v>3660</v>
      </c>
    </row>
    <row r="1995" spans="1:5" x14ac:dyDescent="0.35">
      <c r="A1995" s="1" t="s">
        <v>3805</v>
      </c>
      <c r="B1995" t="s">
        <v>3806</v>
      </c>
      <c r="C1995">
        <v>2</v>
      </c>
      <c r="E1995" s="1" t="s">
        <v>3660</v>
      </c>
    </row>
    <row r="1996" spans="1:5" x14ac:dyDescent="0.35">
      <c r="A1996" s="1" t="s">
        <v>3807</v>
      </c>
      <c r="B1996" t="s">
        <v>3808</v>
      </c>
      <c r="C1996">
        <v>2</v>
      </c>
      <c r="E1996" s="1" t="s">
        <v>3660</v>
      </c>
    </row>
    <row r="1997" spans="1:5" x14ac:dyDescent="0.35">
      <c r="A1997" s="1" t="s">
        <v>3809</v>
      </c>
      <c r="B1997" t="s">
        <v>3810</v>
      </c>
      <c r="C1997">
        <v>2</v>
      </c>
      <c r="E1997" s="1" t="s">
        <v>3660</v>
      </c>
    </row>
    <row r="1998" spans="1:5" x14ac:dyDescent="0.35">
      <c r="A1998" s="1" t="s">
        <v>3811</v>
      </c>
      <c r="B1998" t="s">
        <v>3812</v>
      </c>
      <c r="C1998">
        <v>2</v>
      </c>
      <c r="E1998" s="1" t="s">
        <v>3660</v>
      </c>
    </row>
    <row r="1999" spans="1:5" x14ac:dyDescent="0.35">
      <c r="A1999" s="1" t="s">
        <v>3813</v>
      </c>
      <c r="B1999" t="s">
        <v>3814</v>
      </c>
      <c r="C1999">
        <v>2</v>
      </c>
      <c r="E1999" s="1" t="s">
        <v>3660</v>
      </c>
    </row>
    <row r="2000" spans="1:5" x14ac:dyDescent="0.35">
      <c r="A2000" s="1" t="s">
        <v>3815</v>
      </c>
      <c r="B2000" t="s">
        <v>3816</v>
      </c>
      <c r="C2000">
        <v>2</v>
      </c>
      <c r="E2000" s="1" t="s">
        <v>3660</v>
      </c>
    </row>
    <row r="2001" spans="1:5" x14ac:dyDescent="0.35">
      <c r="A2001" s="1" t="s">
        <v>3817</v>
      </c>
      <c r="B2001" t="s">
        <v>3818</v>
      </c>
      <c r="C2001">
        <v>2</v>
      </c>
      <c r="E2001" s="1" t="s">
        <v>3660</v>
      </c>
    </row>
    <row r="2002" spans="1:5" x14ac:dyDescent="0.35">
      <c r="A2002" s="1" t="s">
        <v>3819</v>
      </c>
      <c r="B2002" t="s">
        <v>3820</v>
      </c>
      <c r="C2002">
        <v>2</v>
      </c>
      <c r="E2002" s="1" t="s">
        <v>3660</v>
      </c>
    </row>
    <row r="2003" spans="1:5" x14ac:dyDescent="0.35">
      <c r="A2003" s="1" t="s">
        <v>3821</v>
      </c>
      <c r="B2003" t="s">
        <v>3822</v>
      </c>
      <c r="C2003">
        <v>2</v>
      </c>
      <c r="E2003" s="1" t="s">
        <v>3660</v>
      </c>
    </row>
    <row r="2004" spans="1:5" x14ac:dyDescent="0.35">
      <c r="A2004" s="1" t="s">
        <v>3823</v>
      </c>
      <c r="B2004" t="s">
        <v>3824</v>
      </c>
      <c r="C2004">
        <v>2</v>
      </c>
      <c r="E2004" s="1" t="s">
        <v>3660</v>
      </c>
    </row>
    <row r="2005" spans="1:5" x14ac:dyDescent="0.35">
      <c r="A2005" s="1" t="s">
        <v>3825</v>
      </c>
      <c r="B2005" t="s">
        <v>3826</v>
      </c>
      <c r="C2005">
        <v>2</v>
      </c>
      <c r="E2005" s="1" t="s">
        <v>3660</v>
      </c>
    </row>
    <row r="2006" spans="1:5" x14ac:dyDescent="0.35">
      <c r="A2006" s="1" t="s">
        <v>3827</v>
      </c>
      <c r="B2006" t="s">
        <v>3828</v>
      </c>
      <c r="C2006">
        <v>2</v>
      </c>
      <c r="E2006" s="1" t="s">
        <v>3660</v>
      </c>
    </row>
    <row r="2007" spans="1:5" x14ac:dyDescent="0.35">
      <c r="A2007" s="1" t="s">
        <v>3829</v>
      </c>
      <c r="B2007" t="s">
        <v>3830</v>
      </c>
      <c r="C2007">
        <v>2</v>
      </c>
      <c r="E2007" s="1" t="s">
        <v>3660</v>
      </c>
    </row>
    <row r="2008" spans="1:5" x14ac:dyDescent="0.35">
      <c r="A2008" s="1" t="s">
        <v>3831</v>
      </c>
      <c r="B2008" t="s">
        <v>3832</v>
      </c>
      <c r="C2008">
        <v>2</v>
      </c>
      <c r="E2008" s="1" t="s">
        <v>3660</v>
      </c>
    </row>
    <row r="2009" spans="1:5" x14ac:dyDescent="0.35">
      <c r="A2009" s="1" t="s">
        <v>3833</v>
      </c>
      <c r="B2009" t="s">
        <v>3834</v>
      </c>
      <c r="C2009">
        <v>2</v>
      </c>
      <c r="E2009" s="1" t="s">
        <v>3660</v>
      </c>
    </row>
    <row r="2010" spans="1:5" x14ac:dyDescent="0.35">
      <c r="A2010" s="1" t="s">
        <v>3835</v>
      </c>
      <c r="B2010" t="s">
        <v>3836</v>
      </c>
      <c r="C2010">
        <v>2</v>
      </c>
      <c r="E2010" s="1" t="s">
        <v>3660</v>
      </c>
    </row>
    <row r="2011" spans="1:5" x14ac:dyDescent="0.35">
      <c r="A2011" s="1" t="s">
        <v>3837</v>
      </c>
      <c r="B2011" t="s">
        <v>3838</v>
      </c>
      <c r="C2011">
        <v>2</v>
      </c>
      <c r="E2011" s="1" t="s">
        <v>3660</v>
      </c>
    </row>
    <row r="2012" spans="1:5" x14ac:dyDescent="0.35">
      <c r="A2012" s="1" t="s">
        <v>3839</v>
      </c>
      <c r="B2012" t="s">
        <v>3840</v>
      </c>
      <c r="C2012">
        <v>2</v>
      </c>
      <c r="E2012" s="1" t="s">
        <v>3660</v>
      </c>
    </row>
    <row r="2013" spans="1:5" x14ac:dyDescent="0.35">
      <c r="A2013" s="1" t="s">
        <v>3841</v>
      </c>
      <c r="B2013" t="s">
        <v>3842</v>
      </c>
      <c r="C2013">
        <v>2</v>
      </c>
      <c r="E2013" s="1" t="s">
        <v>3660</v>
      </c>
    </row>
    <row r="2014" spans="1:5" x14ac:dyDescent="0.35">
      <c r="A2014" s="1" t="s">
        <v>3843</v>
      </c>
      <c r="B2014" t="s">
        <v>3844</v>
      </c>
      <c r="C2014">
        <v>2</v>
      </c>
      <c r="E2014" s="1" t="s">
        <v>3660</v>
      </c>
    </row>
    <row r="2015" spans="1:5" x14ac:dyDescent="0.35">
      <c r="A2015" s="1" t="s">
        <v>3845</v>
      </c>
      <c r="B2015" t="s">
        <v>3846</v>
      </c>
      <c r="C2015">
        <v>2</v>
      </c>
      <c r="E2015" s="1" t="s">
        <v>3660</v>
      </c>
    </row>
    <row r="2016" spans="1:5" x14ac:dyDescent="0.35">
      <c r="A2016" s="1" t="s">
        <v>3847</v>
      </c>
      <c r="B2016" t="s">
        <v>2229</v>
      </c>
      <c r="C2016">
        <v>2</v>
      </c>
      <c r="E2016" s="1" t="s">
        <v>3660</v>
      </c>
    </row>
    <row r="2017" spans="1:5" x14ac:dyDescent="0.35">
      <c r="A2017" s="1" t="s">
        <v>3848</v>
      </c>
      <c r="B2017" t="s">
        <v>3849</v>
      </c>
      <c r="C2017">
        <v>2</v>
      </c>
      <c r="E2017" s="1" t="s">
        <v>3660</v>
      </c>
    </row>
    <row r="2018" spans="1:5" x14ac:dyDescent="0.35">
      <c r="A2018" s="1" t="s">
        <v>3850</v>
      </c>
      <c r="B2018" t="s">
        <v>3851</v>
      </c>
      <c r="C2018">
        <v>2</v>
      </c>
      <c r="E2018" s="1" t="s">
        <v>3660</v>
      </c>
    </row>
    <row r="2019" spans="1:5" x14ac:dyDescent="0.35">
      <c r="A2019" s="1" t="s">
        <v>3852</v>
      </c>
      <c r="B2019" t="s">
        <v>3853</v>
      </c>
      <c r="C2019">
        <v>2</v>
      </c>
      <c r="E2019" s="1" t="s">
        <v>3660</v>
      </c>
    </row>
    <row r="2020" spans="1:5" x14ac:dyDescent="0.35">
      <c r="A2020" s="1" t="s">
        <v>3854</v>
      </c>
      <c r="B2020" t="s">
        <v>3855</v>
      </c>
      <c r="C2020">
        <v>2</v>
      </c>
      <c r="E2020" s="1" t="s">
        <v>3660</v>
      </c>
    </row>
    <row r="2021" spans="1:5" x14ac:dyDescent="0.35">
      <c r="A2021" s="1" t="s">
        <v>3856</v>
      </c>
      <c r="B2021" t="s">
        <v>1657</v>
      </c>
      <c r="C2021">
        <v>2</v>
      </c>
      <c r="E2021" s="1" t="s">
        <v>3660</v>
      </c>
    </row>
    <row r="2022" spans="1:5" x14ac:dyDescent="0.35">
      <c r="A2022" s="1" t="s">
        <v>3857</v>
      </c>
      <c r="B2022" t="s">
        <v>2885</v>
      </c>
      <c r="C2022">
        <v>2</v>
      </c>
      <c r="E2022" s="1" t="s">
        <v>3660</v>
      </c>
    </row>
    <row r="2023" spans="1:5" x14ac:dyDescent="0.35">
      <c r="A2023" s="1" t="s">
        <v>3858</v>
      </c>
      <c r="B2023" t="s">
        <v>1871</v>
      </c>
      <c r="C2023">
        <v>2</v>
      </c>
      <c r="E2023" s="1" t="s">
        <v>3660</v>
      </c>
    </row>
    <row r="2024" spans="1:5" x14ac:dyDescent="0.35">
      <c r="A2024" s="1" t="s">
        <v>3859</v>
      </c>
      <c r="B2024" t="s">
        <v>2390</v>
      </c>
      <c r="C2024">
        <v>2</v>
      </c>
      <c r="E2024" s="1" t="s">
        <v>3660</v>
      </c>
    </row>
    <row r="2025" spans="1:5" x14ac:dyDescent="0.35">
      <c r="A2025" s="1" t="s">
        <v>3860</v>
      </c>
      <c r="B2025" t="s">
        <v>626</v>
      </c>
      <c r="C2025">
        <v>2</v>
      </c>
      <c r="E2025" s="1" t="s">
        <v>3660</v>
      </c>
    </row>
    <row r="2026" spans="1:5" x14ac:dyDescent="0.35">
      <c r="A2026" s="1" t="s">
        <v>3861</v>
      </c>
      <c r="B2026" t="s">
        <v>2961</v>
      </c>
      <c r="C2026">
        <v>2</v>
      </c>
      <c r="E2026" s="1" t="s">
        <v>3660</v>
      </c>
    </row>
    <row r="2027" spans="1:5" x14ac:dyDescent="0.35">
      <c r="A2027" s="1" t="s">
        <v>3862</v>
      </c>
      <c r="B2027" t="s">
        <v>2959</v>
      </c>
      <c r="C2027">
        <v>2</v>
      </c>
      <c r="E2027" s="1" t="s">
        <v>3660</v>
      </c>
    </row>
    <row r="2028" spans="1:5" x14ac:dyDescent="0.35">
      <c r="A2028" s="1" t="s">
        <v>3863</v>
      </c>
      <c r="B2028" t="s">
        <v>2530</v>
      </c>
      <c r="C2028">
        <v>2</v>
      </c>
      <c r="E2028" s="1" t="s">
        <v>3660</v>
      </c>
    </row>
    <row r="2029" spans="1:5" x14ac:dyDescent="0.35">
      <c r="A2029" s="1" t="s">
        <v>3864</v>
      </c>
      <c r="B2029" t="s">
        <v>3865</v>
      </c>
      <c r="C2029">
        <v>2</v>
      </c>
      <c r="E2029" s="1" t="s">
        <v>3660</v>
      </c>
    </row>
    <row r="2030" spans="1:5" x14ac:dyDescent="0.35">
      <c r="A2030" s="1" t="s">
        <v>3866</v>
      </c>
      <c r="B2030" t="s">
        <v>2791</v>
      </c>
      <c r="C2030">
        <v>2</v>
      </c>
      <c r="E2030" s="1" t="s">
        <v>3660</v>
      </c>
    </row>
    <row r="2031" spans="1:5" x14ac:dyDescent="0.35">
      <c r="A2031" s="1" t="s">
        <v>3867</v>
      </c>
      <c r="B2031" t="s">
        <v>508</v>
      </c>
      <c r="C2031">
        <v>2</v>
      </c>
      <c r="E2031" s="1" t="s">
        <v>3660</v>
      </c>
    </row>
    <row r="2032" spans="1:5" x14ac:dyDescent="0.35">
      <c r="A2032" s="1" t="s">
        <v>3868</v>
      </c>
      <c r="B2032" t="s">
        <v>472</v>
      </c>
      <c r="C2032">
        <v>2</v>
      </c>
      <c r="E2032" s="1" t="s">
        <v>3660</v>
      </c>
    </row>
    <row r="2033" spans="1:5" x14ac:dyDescent="0.35">
      <c r="A2033" s="1" t="s">
        <v>3869</v>
      </c>
      <c r="B2033" t="s">
        <v>2770</v>
      </c>
      <c r="C2033">
        <v>2</v>
      </c>
      <c r="E2033" s="1" t="s">
        <v>3660</v>
      </c>
    </row>
    <row r="2034" spans="1:5" x14ac:dyDescent="0.35">
      <c r="A2034" s="1" t="s">
        <v>3870</v>
      </c>
      <c r="B2034" t="s">
        <v>2808</v>
      </c>
      <c r="C2034">
        <v>2</v>
      </c>
      <c r="E2034" s="1" t="s">
        <v>3660</v>
      </c>
    </row>
    <row r="2035" spans="1:5" x14ac:dyDescent="0.35">
      <c r="A2035" s="1" t="s">
        <v>3871</v>
      </c>
      <c r="B2035" t="s">
        <v>611</v>
      </c>
      <c r="C2035">
        <v>2</v>
      </c>
      <c r="E2035" s="1" t="s">
        <v>3660</v>
      </c>
    </row>
    <row r="2036" spans="1:5" x14ac:dyDescent="0.35">
      <c r="A2036" s="1" t="s">
        <v>3872</v>
      </c>
      <c r="B2036" t="s">
        <v>2562</v>
      </c>
      <c r="C2036">
        <v>2</v>
      </c>
      <c r="E2036" s="1" t="s">
        <v>3660</v>
      </c>
    </row>
    <row r="2037" spans="1:5" x14ac:dyDescent="0.35">
      <c r="A2037" s="1" t="s">
        <v>3873</v>
      </c>
      <c r="B2037" t="s">
        <v>2410</v>
      </c>
      <c r="C2037">
        <v>2</v>
      </c>
      <c r="E2037" s="1" t="s">
        <v>3660</v>
      </c>
    </row>
    <row r="2038" spans="1:5" x14ac:dyDescent="0.35">
      <c r="A2038" s="1" t="s">
        <v>3874</v>
      </c>
      <c r="B2038" t="s">
        <v>2555</v>
      </c>
      <c r="C2038">
        <v>2</v>
      </c>
      <c r="E2038" s="1" t="s">
        <v>3660</v>
      </c>
    </row>
    <row r="2039" spans="1:5" x14ac:dyDescent="0.35">
      <c r="A2039" s="1" t="s">
        <v>3875</v>
      </c>
      <c r="B2039" t="s">
        <v>2380</v>
      </c>
      <c r="C2039">
        <v>2</v>
      </c>
      <c r="E2039" s="1" t="s">
        <v>3660</v>
      </c>
    </row>
    <row r="2040" spans="1:5" x14ac:dyDescent="0.35">
      <c r="A2040" s="1" t="s">
        <v>3876</v>
      </c>
      <c r="B2040" t="s">
        <v>2866</v>
      </c>
      <c r="C2040">
        <v>2</v>
      </c>
      <c r="E2040" s="1" t="s">
        <v>3660</v>
      </c>
    </row>
    <row r="2041" spans="1:5" x14ac:dyDescent="0.35">
      <c r="A2041" s="1" t="s">
        <v>3877</v>
      </c>
      <c r="B2041" t="s">
        <v>2864</v>
      </c>
      <c r="C2041">
        <v>2</v>
      </c>
      <c r="E2041" s="1" t="s">
        <v>3660</v>
      </c>
    </row>
    <row r="2042" spans="1:5" x14ac:dyDescent="0.35">
      <c r="A2042" s="1" t="s">
        <v>3878</v>
      </c>
      <c r="B2042" t="s">
        <v>997</v>
      </c>
      <c r="C2042">
        <v>2</v>
      </c>
      <c r="E2042" s="1" t="s">
        <v>3660</v>
      </c>
    </row>
    <row r="2043" spans="1:5" x14ac:dyDescent="0.35">
      <c r="A2043" s="1" t="s">
        <v>3879</v>
      </c>
      <c r="B2043" t="s">
        <v>3880</v>
      </c>
      <c r="C2043">
        <v>2</v>
      </c>
      <c r="E2043" s="1" t="s">
        <v>3660</v>
      </c>
    </row>
    <row r="2044" spans="1:5" x14ac:dyDescent="0.35">
      <c r="A2044" s="1" t="s">
        <v>3881</v>
      </c>
      <c r="B2044" t="s">
        <v>2966</v>
      </c>
      <c r="C2044">
        <v>2</v>
      </c>
      <c r="E2044" s="1" t="s">
        <v>3660</v>
      </c>
    </row>
    <row r="2045" spans="1:5" x14ac:dyDescent="0.35">
      <c r="A2045" s="1" t="s">
        <v>3882</v>
      </c>
      <c r="B2045" t="s">
        <v>654</v>
      </c>
      <c r="C2045">
        <v>2</v>
      </c>
      <c r="E2045" s="1" t="s">
        <v>3660</v>
      </c>
    </row>
    <row r="2047" spans="1:5" x14ac:dyDescent="0.35">
      <c r="A2047" s="1" t="s">
        <v>3883</v>
      </c>
      <c r="B2047" s="1" t="s">
        <v>3884</v>
      </c>
      <c r="C2047">
        <v>1</v>
      </c>
      <c r="D2047"/>
      <c r="E2047" s="1" t="s">
        <v>3885</v>
      </c>
    </row>
    <row r="2048" spans="1:5" x14ac:dyDescent="0.35">
      <c r="A2048" s="1" t="s">
        <v>3886</v>
      </c>
      <c r="B2048" s="1" t="s">
        <v>492</v>
      </c>
      <c r="C2048">
        <v>1</v>
      </c>
      <c r="D2048"/>
      <c r="E2048" s="1" t="s">
        <v>3885</v>
      </c>
    </row>
    <row r="2049" spans="1:5" x14ac:dyDescent="0.35">
      <c r="A2049" s="1" t="s">
        <v>3887</v>
      </c>
      <c r="B2049" s="1" t="s">
        <v>3888</v>
      </c>
      <c r="C2049">
        <v>1</v>
      </c>
      <c r="D2049"/>
      <c r="E2049" s="1" t="s">
        <v>3885</v>
      </c>
    </row>
    <row r="2050" spans="1:5" x14ac:dyDescent="0.35">
      <c r="A2050" s="1" t="s">
        <v>3889</v>
      </c>
      <c r="B2050" s="1" t="s">
        <v>3890</v>
      </c>
      <c r="C2050">
        <v>1</v>
      </c>
      <c r="D2050"/>
      <c r="E2050" s="1" t="s">
        <v>3885</v>
      </c>
    </row>
    <row r="2051" spans="1:5" x14ac:dyDescent="0.35">
      <c r="A2051" s="1" t="s">
        <v>3891</v>
      </c>
      <c r="B2051" s="1" t="s">
        <v>3892</v>
      </c>
      <c r="C2051">
        <v>1</v>
      </c>
      <c r="D2051"/>
      <c r="E2051" s="1" t="s">
        <v>3885</v>
      </c>
    </row>
    <row r="2052" spans="1:5" x14ac:dyDescent="0.35">
      <c r="A2052" s="1" t="s">
        <v>3893</v>
      </c>
      <c r="B2052" s="1" t="s">
        <v>3894</v>
      </c>
      <c r="C2052">
        <v>1</v>
      </c>
      <c r="D2052"/>
      <c r="E2052" s="1" t="s">
        <v>3885</v>
      </c>
    </row>
    <row r="2053" spans="1:5" x14ac:dyDescent="0.35">
      <c r="A2053" s="1" t="s">
        <v>3895</v>
      </c>
      <c r="B2053" s="1" t="s">
        <v>3896</v>
      </c>
      <c r="C2053">
        <v>1</v>
      </c>
      <c r="D2053"/>
      <c r="E2053" s="1" t="s">
        <v>3885</v>
      </c>
    </row>
    <row r="2054" spans="1:5" x14ac:dyDescent="0.35">
      <c r="A2054" s="1" t="s">
        <v>3897</v>
      </c>
      <c r="B2054" s="1" t="s">
        <v>3898</v>
      </c>
      <c r="C2054">
        <v>1</v>
      </c>
      <c r="D2054"/>
      <c r="E2054" s="1" t="s">
        <v>3885</v>
      </c>
    </row>
    <row r="2055" spans="1:5" x14ac:dyDescent="0.35">
      <c r="A2055" s="1" t="s">
        <v>3899</v>
      </c>
      <c r="B2055" s="1" t="s">
        <v>3900</v>
      </c>
      <c r="C2055">
        <v>1</v>
      </c>
      <c r="D2055"/>
      <c r="E2055" s="1" t="s">
        <v>3885</v>
      </c>
    </row>
    <row r="2056" spans="1:5" x14ac:dyDescent="0.35">
      <c r="A2056" s="1" t="s">
        <v>3901</v>
      </c>
      <c r="B2056" s="1" t="s">
        <v>3902</v>
      </c>
      <c r="C2056">
        <v>1</v>
      </c>
      <c r="D2056"/>
      <c r="E2056" s="1" t="s">
        <v>3885</v>
      </c>
    </row>
    <row r="2057" spans="1:5" x14ac:dyDescent="0.35">
      <c r="A2057" s="1" t="s">
        <v>3903</v>
      </c>
      <c r="B2057" s="1" t="s">
        <v>3904</v>
      </c>
      <c r="C2057">
        <v>1</v>
      </c>
      <c r="D2057"/>
      <c r="E2057" s="1" t="s">
        <v>3885</v>
      </c>
    </row>
    <row r="2058" spans="1:5" x14ac:dyDescent="0.35">
      <c r="A2058" s="1" t="s">
        <v>3905</v>
      </c>
      <c r="B2058" s="1" t="s">
        <v>3906</v>
      </c>
      <c r="C2058">
        <v>1</v>
      </c>
      <c r="D2058"/>
      <c r="E2058" s="1" t="s">
        <v>3885</v>
      </c>
    </row>
    <row r="2059" spans="1:5" x14ac:dyDescent="0.35">
      <c r="A2059"/>
      <c r="B2059"/>
      <c r="D2059"/>
      <c r="E2059"/>
    </row>
    <row r="2060" spans="1:5" x14ac:dyDescent="0.35">
      <c r="A2060" s="1" t="s">
        <v>3907</v>
      </c>
      <c r="B2060" s="1" t="s">
        <v>3908</v>
      </c>
      <c r="C2060">
        <v>2</v>
      </c>
      <c r="D2060"/>
      <c r="E2060" s="1" t="s">
        <v>3885</v>
      </c>
    </row>
    <row r="2061" spans="1:5" x14ac:dyDescent="0.35">
      <c r="A2061" s="1" t="s">
        <v>3909</v>
      </c>
      <c r="B2061" s="1" t="s">
        <v>3910</v>
      </c>
      <c r="C2061">
        <v>2</v>
      </c>
      <c r="D2061"/>
      <c r="E2061" s="1" t="s">
        <v>3885</v>
      </c>
    </row>
    <row r="2062" spans="1:5" x14ac:dyDescent="0.35">
      <c r="A2062" s="1" t="s">
        <v>3911</v>
      </c>
      <c r="B2062" s="1" t="s">
        <v>3912</v>
      </c>
      <c r="C2062">
        <v>2</v>
      </c>
      <c r="D2062"/>
      <c r="E2062" s="1" t="s">
        <v>3885</v>
      </c>
    </row>
    <row r="2063" spans="1:5" x14ac:dyDescent="0.35">
      <c r="A2063" s="1" t="s">
        <v>3913</v>
      </c>
      <c r="B2063" s="1" t="s">
        <v>3914</v>
      </c>
      <c r="C2063">
        <v>2</v>
      </c>
      <c r="D2063"/>
      <c r="E2063" s="1" t="s">
        <v>3885</v>
      </c>
    </row>
    <row r="2064" spans="1:5" x14ac:dyDescent="0.35">
      <c r="A2064" s="1" t="s">
        <v>3915</v>
      </c>
      <c r="B2064" s="1" t="s">
        <v>3916</v>
      </c>
      <c r="C2064">
        <v>2</v>
      </c>
      <c r="D2064"/>
      <c r="E2064" s="1" t="s">
        <v>3885</v>
      </c>
    </row>
    <row r="2065" spans="1:5" x14ac:dyDescent="0.35">
      <c r="A2065" s="1" t="s">
        <v>3917</v>
      </c>
      <c r="B2065" s="1" t="s">
        <v>3918</v>
      </c>
      <c r="C2065">
        <v>2</v>
      </c>
      <c r="D2065"/>
      <c r="E2065" s="1" t="s">
        <v>3885</v>
      </c>
    </row>
    <row r="2066" spans="1:5" x14ac:dyDescent="0.35">
      <c r="A2066" s="1" t="s">
        <v>3919</v>
      </c>
      <c r="B2066" s="1" t="s">
        <v>3920</v>
      </c>
      <c r="C2066">
        <v>2</v>
      </c>
      <c r="D2066"/>
      <c r="E2066" s="1" t="s">
        <v>3885</v>
      </c>
    </row>
    <row r="2067" spans="1:5" x14ac:dyDescent="0.35">
      <c r="A2067" s="1" t="s">
        <v>3921</v>
      </c>
      <c r="B2067" s="1" t="s">
        <v>3922</v>
      </c>
      <c r="C2067">
        <v>2</v>
      </c>
      <c r="D2067"/>
      <c r="E2067" s="1" t="s">
        <v>3885</v>
      </c>
    </row>
    <row r="2069" spans="1:5" x14ac:dyDescent="0.35">
      <c r="A2069" s="1" t="s">
        <v>3923</v>
      </c>
      <c r="B2069" s="1" t="s">
        <v>3924</v>
      </c>
      <c r="C2069">
        <v>1</v>
      </c>
      <c r="E2069" s="81" t="s">
        <v>3925</v>
      </c>
    </row>
    <row r="2070" spans="1:5" x14ac:dyDescent="0.35">
      <c r="A2070" s="1" t="s">
        <v>3926</v>
      </c>
      <c r="B2070" s="1" t="s">
        <v>3927</v>
      </c>
      <c r="C2070">
        <v>1</v>
      </c>
      <c r="E2070" s="81" t="s">
        <v>3925</v>
      </c>
    </row>
    <row r="2071" spans="1:5" x14ac:dyDescent="0.35">
      <c r="A2071" s="1" t="s">
        <v>3928</v>
      </c>
      <c r="B2071" s="1" t="s">
        <v>3929</v>
      </c>
      <c r="C2071">
        <v>1</v>
      </c>
      <c r="E2071" s="81" t="s">
        <v>3925</v>
      </c>
    </row>
    <row r="2072" spans="1:5" x14ac:dyDescent="0.35">
      <c r="A2072" s="1" t="s">
        <v>3930</v>
      </c>
      <c r="B2072" s="1" t="s">
        <v>3931</v>
      </c>
      <c r="C2072">
        <v>1</v>
      </c>
      <c r="E2072" s="81" t="s">
        <v>3925</v>
      </c>
    </row>
    <row r="2073" spans="1:5" x14ac:dyDescent="0.35">
      <c r="A2073" s="1" t="s">
        <v>3932</v>
      </c>
      <c r="B2073" s="1" t="s">
        <v>3933</v>
      </c>
      <c r="C2073">
        <v>1</v>
      </c>
      <c r="E2073" s="81" t="s">
        <v>3925</v>
      </c>
    </row>
    <row r="2074" spans="1:5" x14ac:dyDescent="0.35">
      <c r="A2074" s="1" t="s">
        <v>3934</v>
      </c>
      <c r="B2074" s="1" t="s">
        <v>3935</v>
      </c>
      <c r="C2074">
        <v>1</v>
      </c>
      <c r="E2074" s="81" t="s">
        <v>3925</v>
      </c>
    </row>
    <row r="2075" spans="1:5" x14ac:dyDescent="0.35">
      <c r="A2075" s="1" t="s">
        <v>3936</v>
      </c>
      <c r="B2075" s="1" t="s">
        <v>3937</v>
      </c>
      <c r="C2075">
        <v>1</v>
      </c>
      <c r="E2075" s="81" t="s">
        <v>3925</v>
      </c>
    </row>
    <row r="2076" spans="1:5" x14ac:dyDescent="0.35">
      <c r="A2076" s="1" t="s">
        <v>3938</v>
      </c>
      <c r="B2076" s="1" t="s">
        <v>3939</v>
      </c>
      <c r="C2076">
        <v>1</v>
      </c>
      <c r="E2076" s="81" t="s">
        <v>3925</v>
      </c>
    </row>
    <row r="2077" spans="1:5" x14ac:dyDescent="0.35">
      <c r="A2077" s="1" t="s">
        <v>3940</v>
      </c>
      <c r="B2077" s="1" t="s">
        <v>3941</v>
      </c>
      <c r="C2077">
        <v>1</v>
      </c>
      <c r="E2077" s="81" t="s">
        <v>3925</v>
      </c>
    </row>
    <row r="2078" spans="1:5" x14ac:dyDescent="0.35">
      <c r="A2078" s="1" t="s">
        <v>3942</v>
      </c>
      <c r="B2078" s="1" t="s">
        <v>3943</v>
      </c>
      <c r="C2078">
        <v>1</v>
      </c>
      <c r="E2078" s="81" t="s">
        <v>3925</v>
      </c>
    </row>
    <row r="2079" spans="1:5" x14ac:dyDescent="0.35">
      <c r="A2079" s="1" t="s">
        <v>3944</v>
      </c>
      <c r="B2079" s="1" t="s">
        <v>3945</v>
      </c>
      <c r="C2079">
        <v>1</v>
      </c>
      <c r="E2079" s="81" t="s">
        <v>3925</v>
      </c>
    </row>
    <row r="2080" spans="1:5" x14ac:dyDescent="0.35">
      <c r="A2080" s="1" t="s">
        <v>3946</v>
      </c>
      <c r="B2080" s="1" t="s">
        <v>3947</v>
      </c>
      <c r="C2080">
        <v>1</v>
      </c>
      <c r="E2080" s="81" t="s">
        <v>3925</v>
      </c>
    </row>
    <row r="2081" spans="1:5" x14ac:dyDescent="0.35">
      <c r="A2081" s="1" t="s">
        <v>3948</v>
      </c>
      <c r="B2081" s="1" t="s">
        <v>3949</v>
      </c>
      <c r="C2081">
        <v>1</v>
      </c>
      <c r="E2081" s="81" t="s">
        <v>3925</v>
      </c>
    </row>
    <row r="2082" spans="1:5" x14ac:dyDescent="0.35">
      <c r="A2082" s="1" t="s">
        <v>3950</v>
      </c>
      <c r="B2082" s="1" t="s">
        <v>3951</v>
      </c>
      <c r="C2082">
        <v>1</v>
      </c>
      <c r="E2082" s="81" t="s">
        <v>3925</v>
      </c>
    </row>
    <row r="2083" spans="1:5" x14ac:dyDescent="0.35">
      <c r="A2083" s="1" t="s">
        <v>3952</v>
      </c>
      <c r="B2083" s="1" t="s">
        <v>3953</v>
      </c>
      <c r="C2083">
        <v>1</v>
      </c>
      <c r="E2083" s="81" t="s">
        <v>3925</v>
      </c>
    </row>
    <row r="2084" spans="1:5" x14ac:dyDescent="0.35">
      <c r="A2084" s="1" t="s">
        <v>3954</v>
      </c>
      <c r="B2084" s="1" t="s">
        <v>3955</v>
      </c>
      <c r="C2084">
        <v>1</v>
      </c>
      <c r="E2084" s="81" t="s">
        <v>3925</v>
      </c>
    </row>
    <row r="2085" spans="1:5" x14ac:dyDescent="0.35">
      <c r="A2085" s="1" t="s">
        <v>3956</v>
      </c>
      <c r="B2085" s="1" t="s">
        <v>3957</v>
      </c>
      <c r="C2085">
        <v>1</v>
      </c>
      <c r="E2085" s="81" t="s">
        <v>3925</v>
      </c>
    </row>
    <row r="2086" spans="1:5" x14ac:dyDescent="0.35">
      <c r="A2086" s="1" t="s">
        <v>3958</v>
      </c>
      <c r="B2086" s="1" t="s">
        <v>3959</v>
      </c>
      <c r="C2086">
        <v>1</v>
      </c>
      <c r="E2086" s="81" t="s">
        <v>3925</v>
      </c>
    </row>
    <row r="2087" spans="1:5" x14ac:dyDescent="0.35">
      <c r="A2087" s="1" t="s">
        <v>3960</v>
      </c>
      <c r="B2087" s="1" t="s">
        <v>3961</v>
      </c>
      <c r="C2087">
        <v>1</v>
      </c>
      <c r="E2087" s="81" t="s">
        <v>3925</v>
      </c>
    </row>
    <row r="2088" spans="1:5" x14ac:dyDescent="0.35">
      <c r="A2088" s="1" t="s">
        <v>3962</v>
      </c>
      <c r="B2088" s="1" t="s">
        <v>3963</v>
      </c>
      <c r="C2088">
        <v>1</v>
      </c>
      <c r="E2088" s="81" t="s">
        <v>3925</v>
      </c>
    </row>
    <row r="2089" spans="1:5" x14ac:dyDescent="0.35">
      <c r="A2089" s="1" t="s">
        <v>3964</v>
      </c>
      <c r="B2089" s="1" t="s">
        <v>3965</v>
      </c>
      <c r="C2089">
        <v>1</v>
      </c>
      <c r="E2089" s="81" t="s">
        <v>3925</v>
      </c>
    </row>
    <row r="2090" spans="1:5" x14ac:dyDescent="0.35">
      <c r="A2090" s="1" t="s">
        <v>3966</v>
      </c>
      <c r="B2090" s="1" t="s">
        <v>3967</v>
      </c>
      <c r="C2090">
        <v>1</v>
      </c>
      <c r="E2090" s="81" t="s">
        <v>3925</v>
      </c>
    </row>
    <row r="2091" spans="1:5" x14ac:dyDescent="0.35">
      <c r="A2091" s="1" t="s">
        <v>3968</v>
      </c>
      <c r="B2091" s="1" t="s">
        <v>3969</v>
      </c>
      <c r="C2091">
        <v>1</v>
      </c>
      <c r="E2091" s="81" t="s">
        <v>3925</v>
      </c>
    </row>
    <row r="2092" spans="1:5" x14ac:dyDescent="0.35">
      <c r="A2092" s="1" t="s">
        <v>3970</v>
      </c>
      <c r="B2092" s="1" t="s">
        <v>3971</v>
      </c>
      <c r="C2092">
        <v>1</v>
      </c>
      <c r="E2092" s="81" t="s">
        <v>3925</v>
      </c>
    </row>
    <row r="2093" spans="1:5" x14ac:dyDescent="0.35">
      <c r="A2093" s="1" t="s">
        <v>3972</v>
      </c>
      <c r="B2093" s="1" t="s">
        <v>3973</v>
      </c>
      <c r="C2093">
        <v>1</v>
      </c>
      <c r="E2093" s="81" t="s">
        <v>3974</v>
      </c>
    </row>
    <row r="2094" spans="1:5" x14ac:dyDescent="0.35">
      <c r="A2094" s="1" t="s">
        <v>3975</v>
      </c>
      <c r="B2094" s="1" t="s">
        <v>3976</v>
      </c>
      <c r="C2094">
        <v>1</v>
      </c>
      <c r="E2094" s="81" t="s">
        <v>3974</v>
      </c>
    </row>
    <row r="2095" spans="1:5" x14ac:dyDescent="0.35">
      <c r="A2095" s="1" t="s">
        <v>3977</v>
      </c>
      <c r="B2095" s="1" t="s">
        <v>3978</v>
      </c>
      <c r="C2095">
        <v>1</v>
      </c>
      <c r="E2095" s="81" t="s">
        <v>3974</v>
      </c>
    </row>
    <row r="2096" spans="1:5" x14ac:dyDescent="0.35">
      <c r="A2096" s="1" t="s">
        <v>3979</v>
      </c>
      <c r="B2096" s="1" t="s">
        <v>3980</v>
      </c>
      <c r="C2096">
        <v>1</v>
      </c>
      <c r="E2096" s="81" t="s">
        <v>3974</v>
      </c>
    </row>
    <row r="2097" spans="1:5" x14ac:dyDescent="0.35">
      <c r="A2097" s="1" t="s">
        <v>3981</v>
      </c>
      <c r="B2097" s="1" t="s">
        <v>3982</v>
      </c>
      <c r="C2097">
        <v>1</v>
      </c>
      <c r="E2097" s="81" t="s">
        <v>3974</v>
      </c>
    </row>
    <row r="2098" spans="1:5" x14ac:dyDescent="0.35">
      <c r="A2098" s="1" t="s">
        <v>3983</v>
      </c>
      <c r="B2098" s="1" t="s">
        <v>3984</v>
      </c>
      <c r="C2098">
        <v>1</v>
      </c>
      <c r="E2098" s="81" t="s">
        <v>3974</v>
      </c>
    </row>
    <row r="2099" spans="1:5" x14ac:dyDescent="0.35">
      <c r="A2099" s="1" t="s">
        <v>3985</v>
      </c>
      <c r="B2099" s="1" t="s">
        <v>2231</v>
      </c>
      <c r="C2099">
        <v>1</v>
      </c>
      <c r="E2099" s="81" t="s">
        <v>3974</v>
      </c>
    </row>
    <row r="2100" spans="1:5" x14ac:dyDescent="0.35">
      <c r="A2100" s="1" t="s">
        <v>3986</v>
      </c>
      <c r="B2100" s="1" t="s">
        <v>2235</v>
      </c>
      <c r="C2100">
        <v>1</v>
      </c>
      <c r="E2100" s="81" t="s">
        <v>3974</v>
      </c>
    </row>
    <row r="2101" spans="1:5" x14ac:dyDescent="0.35">
      <c r="A2101" s="1" t="s">
        <v>3987</v>
      </c>
      <c r="B2101" s="1" t="s">
        <v>2240</v>
      </c>
      <c r="C2101">
        <v>1</v>
      </c>
      <c r="E2101" s="81" t="s">
        <v>3974</v>
      </c>
    </row>
    <row r="2102" spans="1:5" x14ac:dyDescent="0.35">
      <c r="A2102" s="1" t="s">
        <v>3988</v>
      </c>
      <c r="B2102" s="1" t="s">
        <v>2248</v>
      </c>
      <c r="C2102">
        <v>1</v>
      </c>
      <c r="E2102" s="81" t="s">
        <v>3974</v>
      </c>
    </row>
    <row r="2103" spans="1:5" x14ac:dyDescent="0.35">
      <c r="A2103" s="1" t="s">
        <v>3989</v>
      </c>
      <c r="B2103" s="1" t="s">
        <v>2252</v>
      </c>
      <c r="C2103">
        <v>1</v>
      </c>
      <c r="E2103" s="81" t="s">
        <v>3974</v>
      </c>
    </row>
    <row r="2104" spans="1:5" x14ac:dyDescent="0.35">
      <c r="A2104" s="1" t="s">
        <v>3990</v>
      </c>
      <c r="B2104" s="1" t="s">
        <v>2254</v>
      </c>
      <c r="C2104">
        <v>1</v>
      </c>
      <c r="E2104" s="81" t="s">
        <v>3974</v>
      </c>
    </row>
    <row r="2105" spans="1:5" x14ac:dyDescent="0.35">
      <c r="A2105" s="1" t="s">
        <v>3991</v>
      </c>
      <c r="B2105" s="1" t="s">
        <v>2256</v>
      </c>
      <c r="C2105">
        <v>1</v>
      </c>
      <c r="E2105" s="81" t="s">
        <v>3974</v>
      </c>
    </row>
    <row r="2106" spans="1:5" x14ac:dyDescent="0.35">
      <c r="A2106" s="1" t="s">
        <v>3992</v>
      </c>
      <c r="B2106" s="1" t="s">
        <v>2258</v>
      </c>
      <c r="C2106">
        <v>1</v>
      </c>
      <c r="E2106" s="81" t="s">
        <v>3974</v>
      </c>
    </row>
    <row r="2107" spans="1:5" x14ac:dyDescent="0.35">
      <c r="A2107" s="1" t="s">
        <v>3993</v>
      </c>
      <c r="B2107" s="1" t="s">
        <v>3675</v>
      </c>
      <c r="C2107">
        <v>1</v>
      </c>
      <c r="E2107" s="81" t="s">
        <v>3974</v>
      </c>
    </row>
    <row r="2108" spans="1:5" x14ac:dyDescent="0.35">
      <c r="A2108" s="1" t="s">
        <v>3994</v>
      </c>
      <c r="B2108" s="1" t="s">
        <v>2264</v>
      </c>
      <c r="C2108">
        <v>1</v>
      </c>
      <c r="E2108" s="81" t="s">
        <v>3974</v>
      </c>
    </row>
    <row r="2109" spans="1:5" x14ac:dyDescent="0.35">
      <c r="A2109" s="1" t="s">
        <v>3995</v>
      </c>
      <c r="B2109" s="1" t="s">
        <v>2266</v>
      </c>
      <c r="C2109">
        <v>1</v>
      </c>
      <c r="E2109" s="81" t="s">
        <v>3974</v>
      </c>
    </row>
    <row r="2110" spans="1:5" x14ac:dyDescent="0.35">
      <c r="A2110" s="1" t="s">
        <v>3996</v>
      </c>
      <c r="B2110" s="1" t="s">
        <v>2270</v>
      </c>
      <c r="C2110">
        <v>1</v>
      </c>
      <c r="E2110" s="81" t="s">
        <v>3974</v>
      </c>
    </row>
    <row r="2111" spans="1:5" x14ac:dyDescent="0.35">
      <c r="A2111" s="1" t="s">
        <v>3997</v>
      </c>
      <c r="B2111" s="1" t="s">
        <v>2274</v>
      </c>
      <c r="C2111">
        <v>1</v>
      </c>
      <c r="E2111" s="81" t="s">
        <v>3974</v>
      </c>
    </row>
    <row r="2112" spans="1:5" x14ac:dyDescent="0.35">
      <c r="A2112" s="1" t="s">
        <v>3998</v>
      </c>
      <c r="B2112" s="1" t="s">
        <v>2278</v>
      </c>
      <c r="C2112">
        <v>1</v>
      </c>
      <c r="E2112" s="81" t="s">
        <v>3974</v>
      </c>
    </row>
    <row r="2113" spans="1:5" x14ac:dyDescent="0.35">
      <c r="A2113" s="1" t="s">
        <v>3999</v>
      </c>
      <c r="B2113" s="1" t="s">
        <v>2282</v>
      </c>
      <c r="C2113">
        <v>1</v>
      </c>
      <c r="E2113" s="81" t="s">
        <v>3974</v>
      </c>
    </row>
    <row r="2114" spans="1:5" x14ac:dyDescent="0.35">
      <c r="A2114" s="1" t="s">
        <v>4000</v>
      </c>
      <c r="B2114" s="1" t="s">
        <v>2284</v>
      </c>
      <c r="C2114">
        <v>1</v>
      </c>
      <c r="E2114" s="81" t="s">
        <v>3974</v>
      </c>
    </row>
    <row r="2115" spans="1:5" x14ac:dyDescent="0.35">
      <c r="A2115" s="1" t="s">
        <v>4001</v>
      </c>
      <c r="B2115" s="1" t="s">
        <v>2286</v>
      </c>
      <c r="C2115">
        <v>1</v>
      </c>
      <c r="E2115" s="81" t="s">
        <v>3974</v>
      </c>
    </row>
    <row r="2116" spans="1:5" x14ac:dyDescent="0.35">
      <c r="A2116" s="1" t="s">
        <v>4002</v>
      </c>
      <c r="B2116" s="1" t="s">
        <v>3685</v>
      </c>
      <c r="C2116">
        <v>1</v>
      </c>
      <c r="E2116" s="81" t="s">
        <v>3974</v>
      </c>
    </row>
    <row r="2117" spans="1:5" x14ac:dyDescent="0.35">
      <c r="A2117" s="1" t="s">
        <v>4003</v>
      </c>
      <c r="B2117" s="1" t="s">
        <v>2296</v>
      </c>
      <c r="C2117">
        <v>1</v>
      </c>
      <c r="E2117" s="81" t="s">
        <v>4004</v>
      </c>
    </row>
    <row r="2118" spans="1:5" x14ac:dyDescent="0.35">
      <c r="A2118" s="1" t="s">
        <v>4005</v>
      </c>
      <c r="B2118" s="1" t="s">
        <v>2298</v>
      </c>
      <c r="C2118">
        <v>1</v>
      </c>
      <c r="E2118" s="81" t="s">
        <v>4004</v>
      </c>
    </row>
    <row r="2119" spans="1:5" x14ac:dyDescent="0.35">
      <c r="A2119" s="1" t="s">
        <v>4006</v>
      </c>
      <c r="B2119" s="1" t="s">
        <v>2300</v>
      </c>
      <c r="C2119">
        <v>1</v>
      </c>
      <c r="E2119" s="81" t="s">
        <v>4004</v>
      </c>
    </row>
    <row r="2120" spans="1:5" x14ac:dyDescent="0.35">
      <c r="A2120" s="1" t="s">
        <v>4007</v>
      </c>
      <c r="B2120" s="1" t="s">
        <v>2302</v>
      </c>
      <c r="C2120">
        <v>1</v>
      </c>
      <c r="E2120" s="81" t="s">
        <v>4004</v>
      </c>
    </row>
    <row r="2121" spans="1:5" x14ac:dyDescent="0.35">
      <c r="A2121" s="1" t="s">
        <v>4008</v>
      </c>
      <c r="B2121" s="1" t="s">
        <v>2304</v>
      </c>
      <c r="C2121">
        <v>1</v>
      </c>
      <c r="E2121" s="81" t="s">
        <v>4004</v>
      </c>
    </row>
    <row r="2122" spans="1:5" x14ac:dyDescent="0.35">
      <c r="A2122" s="1" t="s">
        <v>4009</v>
      </c>
      <c r="B2122" s="1" t="s">
        <v>2306</v>
      </c>
      <c r="C2122">
        <v>1</v>
      </c>
      <c r="E2122" s="81" t="s">
        <v>4004</v>
      </c>
    </row>
    <row r="2123" spans="1:5" x14ac:dyDescent="0.35">
      <c r="A2123" s="1" t="s">
        <v>4010</v>
      </c>
      <c r="B2123" s="1" t="s">
        <v>2262</v>
      </c>
      <c r="C2123">
        <v>1</v>
      </c>
      <c r="E2123" s="81" t="s">
        <v>4004</v>
      </c>
    </row>
    <row r="2124" spans="1:5" x14ac:dyDescent="0.35">
      <c r="A2124" s="1" t="s">
        <v>4011</v>
      </c>
      <c r="B2124" s="1" t="s">
        <v>3694</v>
      </c>
      <c r="C2124">
        <v>1</v>
      </c>
      <c r="E2124" s="81" t="s">
        <v>4004</v>
      </c>
    </row>
    <row r="2125" spans="1:5" x14ac:dyDescent="0.35">
      <c r="A2125" s="1" t="s">
        <v>4012</v>
      </c>
      <c r="B2125" s="1" t="s">
        <v>3696</v>
      </c>
      <c r="C2125">
        <v>1</v>
      </c>
      <c r="E2125" s="81" t="s">
        <v>4004</v>
      </c>
    </row>
    <row r="2126" spans="1:5" x14ac:dyDescent="0.35">
      <c r="A2126" s="1" t="s">
        <v>4013</v>
      </c>
      <c r="B2126" s="1" t="s">
        <v>330</v>
      </c>
      <c r="C2126">
        <v>1</v>
      </c>
      <c r="E2126" s="81" t="s">
        <v>4004</v>
      </c>
    </row>
    <row r="2127" spans="1:5" x14ac:dyDescent="0.35">
      <c r="A2127" s="1" t="s">
        <v>4014</v>
      </c>
      <c r="B2127" s="1" t="s">
        <v>3699</v>
      </c>
      <c r="C2127">
        <v>1</v>
      </c>
      <c r="E2127" s="81" t="s">
        <v>4004</v>
      </c>
    </row>
    <row r="2128" spans="1:5" x14ac:dyDescent="0.35">
      <c r="A2128" s="1" t="s">
        <v>4015</v>
      </c>
      <c r="B2128" s="1" t="s">
        <v>3701</v>
      </c>
      <c r="C2128">
        <v>1</v>
      </c>
      <c r="E2128" s="81" t="s">
        <v>4004</v>
      </c>
    </row>
    <row r="2129" spans="1:5" x14ac:dyDescent="0.35">
      <c r="A2129" s="1" t="s">
        <v>4016</v>
      </c>
      <c r="B2129" s="1" t="s">
        <v>3703</v>
      </c>
      <c r="C2129">
        <v>1</v>
      </c>
      <c r="E2129" s="81" t="s">
        <v>4004</v>
      </c>
    </row>
    <row r="2130" spans="1:5" x14ac:dyDescent="0.35">
      <c r="A2130" s="1" t="s">
        <v>4017</v>
      </c>
      <c r="B2130" s="1" t="s">
        <v>3705</v>
      </c>
      <c r="C2130">
        <v>1</v>
      </c>
      <c r="E2130" s="81" t="s">
        <v>4004</v>
      </c>
    </row>
    <row r="2131" spans="1:5" x14ac:dyDescent="0.35">
      <c r="A2131" s="1" t="s">
        <v>4018</v>
      </c>
      <c r="B2131" s="1" t="s">
        <v>3707</v>
      </c>
      <c r="C2131">
        <v>1</v>
      </c>
      <c r="E2131" s="81" t="s">
        <v>4004</v>
      </c>
    </row>
    <row r="2132" spans="1:5" x14ac:dyDescent="0.35">
      <c r="A2132" s="1" t="s">
        <v>4019</v>
      </c>
      <c r="B2132" s="1" t="s">
        <v>3709</v>
      </c>
      <c r="C2132">
        <v>1</v>
      </c>
      <c r="E2132" s="81" t="s">
        <v>4004</v>
      </c>
    </row>
    <row r="2133" spans="1:5" x14ac:dyDescent="0.35">
      <c r="A2133" s="1" t="s">
        <v>4020</v>
      </c>
      <c r="B2133" s="1" t="s">
        <v>4021</v>
      </c>
      <c r="C2133">
        <v>1</v>
      </c>
      <c r="E2133" s="81" t="s">
        <v>4004</v>
      </c>
    </row>
    <row r="2134" spans="1:5" x14ac:dyDescent="0.35">
      <c r="A2134" s="1" t="s">
        <v>4022</v>
      </c>
      <c r="B2134" s="1" t="s">
        <v>3713</v>
      </c>
      <c r="C2134">
        <v>1</v>
      </c>
      <c r="E2134" s="81" t="s">
        <v>4004</v>
      </c>
    </row>
    <row r="2135" spans="1:5" x14ac:dyDescent="0.35">
      <c r="A2135" s="1" t="s">
        <v>4023</v>
      </c>
      <c r="B2135" s="1" t="s">
        <v>3715</v>
      </c>
      <c r="C2135">
        <v>1</v>
      </c>
      <c r="E2135" s="81" t="s">
        <v>4004</v>
      </c>
    </row>
    <row r="2136" spans="1:5" x14ac:dyDescent="0.35">
      <c r="A2136" s="1" t="s">
        <v>4024</v>
      </c>
      <c r="B2136" s="1" t="s">
        <v>3717</v>
      </c>
      <c r="C2136">
        <v>1</v>
      </c>
      <c r="E2136" s="81" t="s">
        <v>4004</v>
      </c>
    </row>
    <row r="2137" spans="1:5" x14ac:dyDescent="0.35">
      <c r="A2137" s="1" t="s">
        <v>4025</v>
      </c>
      <c r="B2137" s="1" t="s">
        <v>3719</v>
      </c>
      <c r="C2137">
        <v>1</v>
      </c>
      <c r="E2137" s="81" t="s">
        <v>4004</v>
      </c>
    </row>
    <row r="2138" spans="1:5" x14ac:dyDescent="0.35">
      <c r="A2138" s="1" t="s">
        <v>4026</v>
      </c>
      <c r="B2138" s="1" t="s">
        <v>3721</v>
      </c>
      <c r="C2138">
        <v>1</v>
      </c>
      <c r="E2138" s="81" t="s">
        <v>4004</v>
      </c>
    </row>
    <row r="2139" spans="1:5" x14ac:dyDescent="0.35">
      <c r="A2139" s="1" t="s">
        <v>4027</v>
      </c>
      <c r="B2139" s="1" t="s">
        <v>3723</v>
      </c>
      <c r="C2139">
        <v>1</v>
      </c>
      <c r="E2139" s="81" t="s">
        <v>4004</v>
      </c>
    </row>
    <row r="2140" spans="1:5" x14ac:dyDescent="0.35">
      <c r="A2140" s="1" t="s">
        <v>4028</v>
      </c>
      <c r="B2140" s="1" t="s">
        <v>3725</v>
      </c>
      <c r="C2140">
        <v>1</v>
      </c>
      <c r="E2140" s="81" t="s">
        <v>4004</v>
      </c>
    </row>
    <row r="2141" spans="1:5" x14ac:dyDescent="0.35">
      <c r="A2141" s="1" t="s">
        <v>4029</v>
      </c>
      <c r="B2141" s="1" t="s">
        <v>3727</v>
      </c>
      <c r="C2141">
        <v>1</v>
      </c>
      <c r="E2141" s="81" t="s">
        <v>4030</v>
      </c>
    </row>
    <row r="2142" spans="1:5" x14ac:dyDescent="0.35">
      <c r="A2142" s="1" t="s">
        <v>4031</v>
      </c>
      <c r="B2142" s="1" t="s">
        <v>2558</v>
      </c>
      <c r="C2142">
        <v>1</v>
      </c>
      <c r="E2142" s="81" t="s">
        <v>4030</v>
      </c>
    </row>
    <row r="2143" spans="1:5" x14ac:dyDescent="0.35">
      <c r="A2143" s="1" t="s">
        <v>4032</v>
      </c>
      <c r="B2143" s="1" t="s">
        <v>3730</v>
      </c>
      <c r="C2143">
        <v>1</v>
      </c>
      <c r="E2143" s="81" t="s">
        <v>4030</v>
      </c>
    </row>
    <row r="2144" spans="1:5" x14ac:dyDescent="0.35">
      <c r="A2144" s="1" t="s">
        <v>4033</v>
      </c>
      <c r="B2144" s="1" t="s">
        <v>3732</v>
      </c>
      <c r="C2144">
        <v>1</v>
      </c>
      <c r="E2144" s="81" t="s">
        <v>4030</v>
      </c>
    </row>
    <row r="2145" spans="1:5" x14ac:dyDescent="0.35">
      <c r="A2145" s="1" t="s">
        <v>4034</v>
      </c>
      <c r="B2145" s="1" t="s">
        <v>3734</v>
      </c>
      <c r="C2145">
        <v>1</v>
      </c>
      <c r="E2145" s="81" t="s">
        <v>4030</v>
      </c>
    </row>
    <row r="2146" spans="1:5" x14ac:dyDescent="0.35">
      <c r="A2146" s="1" t="s">
        <v>4035</v>
      </c>
      <c r="B2146" s="1" t="s">
        <v>3736</v>
      </c>
      <c r="C2146">
        <v>1</v>
      </c>
      <c r="E2146" s="81" t="s">
        <v>4030</v>
      </c>
    </row>
    <row r="2147" spans="1:5" x14ac:dyDescent="0.35">
      <c r="A2147" s="1" t="s">
        <v>4036</v>
      </c>
      <c r="B2147" s="1" t="s">
        <v>3738</v>
      </c>
      <c r="C2147">
        <v>1</v>
      </c>
      <c r="E2147" s="81" t="s">
        <v>4030</v>
      </c>
    </row>
    <row r="2148" spans="1:5" x14ac:dyDescent="0.35">
      <c r="A2148" s="1" t="s">
        <v>4037</v>
      </c>
      <c r="B2148" s="1" t="s">
        <v>3740</v>
      </c>
      <c r="C2148">
        <v>1</v>
      </c>
      <c r="E2148" s="81" t="s">
        <v>4030</v>
      </c>
    </row>
    <row r="2149" spans="1:5" x14ac:dyDescent="0.35">
      <c r="A2149" s="1" t="s">
        <v>4038</v>
      </c>
      <c r="B2149" s="1" t="s">
        <v>3742</v>
      </c>
      <c r="C2149">
        <v>1</v>
      </c>
      <c r="E2149" s="81" t="s">
        <v>4030</v>
      </c>
    </row>
    <row r="2150" spans="1:5" x14ac:dyDescent="0.35">
      <c r="A2150" s="1" t="s">
        <v>4039</v>
      </c>
      <c r="B2150" s="1" t="s">
        <v>3744</v>
      </c>
      <c r="C2150">
        <v>1</v>
      </c>
      <c r="E2150" s="81" t="s">
        <v>4030</v>
      </c>
    </row>
    <row r="2151" spans="1:5" x14ac:dyDescent="0.35">
      <c r="A2151" s="1" t="s">
        <v>4040</v>
      </c>
      <c r="B2151" s="1" t="s">
        <v>3746</v>
      </c>
      <c r="C2151">
        <v>1</v>
      </c>
      <c r="E2151" s="81" t="s">
        <v>4030</v>
      </c>
    </row>
    <row r="2152" spans="1:5" x14ac:dyDescent="0.35">
      <c r="A2152" s="1" t="s">
        <v>4041</v>
      </c>
      <c r="B2152" s="1" t="s">
        <v>3748</v>
      </c>
      <c r="C2152">
        <v>1</v>
      </c>
      <c r="E2152" s="81" t="s">
        <v>4030</v>
      </c>
    </row>
    <row r="2153" spans="1:5" x14ac:dyDescent="0.35">
      <c r="A2153" s="1" t="s">
        <v>4042</v>
      </c>
      <c r="B2153" s="1" t="s">
        <v>3487</v>
      </c>
      <c r="C2153">
        <v>1</v>
      </c>
      <c r="E2153" s="81" t="s">
        <v>4030</v>
      </c>
    </row>
    <row r="2154" spans="1:5" x14ac:dyDescent="0.35">
      <c r="A2154" s="1" t="s">
        <v>4043</v>
      </c>
      <c r="B2154" s="1" t="s">
        <v>3196</v>
      </c>
      <c r="C2154">
        <v>1</v>
      </c>
      <c r="E2154" s="81" t="s">
        <v>4030</v>
      </c>
    </row>
    <row r="2155" spans="1:5" x14ac:dyDescent="0.35">
      <c r="A2155" s="1" t="s">
        <v>4044</v>
      </c>
      <c r="B2155" s="1" t="s">
        <v>3318</v>
      </c>
      <c r="C2155">
        <v>1</v>
      </c>
      <c r="E2155" s="81" t="s">
        <v>4030</v>
      </c>
    </row>
    <row r="2156" spans="1:5" x14ac:dyDescent="0.35">
      <c r="A2156" s="1" t="s">
        <v>4045</v>
      </c>
      <c r="B2156" s="1" t="s">
        <v>3459</v>
      </c>
      <c r="C2156">
        <v>1</v>
      </c>
      <c r="E2156" s="81" t="s">
        <v>4030</v>
      </c>
    </row>
    <row r="2157" spans="1:5" x14ac:dyDescent="0.35">
      <c r="A2157" s="1" t="s">
        <v>4046</v>
      </c>
      <c r="B2157" s="1" t="s">
        <v>3025</v>
      </c>
      <c r="C2157">
        <v>1</v>
      </c>
      <c r="E2157" s="81" t="s">
        <v>4030</v>
      </c>
    </row>
    <row r="2158" spans="1:5" x14ac:dyDescent="0.35">
      <c r="A2158" s="1" t="s">
        <v>4047</v>
      </c>
      <c r="B2158" s="1" t="s">
        <v>3567</v>
      </c>
      <c r="C2158">
        <v>1</v>
      </c>
      <c r="E2158" s="81" t="s">
        <v>4030</v>
      </c>
    </row>
    <row r="2159" spans="1:5" x14ac:dyDescent="0.35">
      <c r="A2159" s="1" t="s">
        <v>4048</v>
      </c>
      <c r="B2159" s="1" t="s">
        <v>2217</v>
      </c>
      <c r="C2159">
        <v>1</v>
      </c>
      <c r="E2159" s="81" t="s">
        <v>4030</v>
      </c>
    </row>
    <row r="2160" spans="1:5" x14ac:dyDescent="0.35">
      <c r="A2160" s="1" t="s">
        <v>4049</v>
      </c>
      <c r="B2160" s="1" t="s">
        <v>2242</v>
      </c>
      <c r="C2160">
        <v>1</v>
      </c>
      <c r="E2160" s="81" t="s">
        <v>4030</v>
      </c>
    </row>
    <row r="2161" spans="1:5" x14ac:dyDescent="0.35">
      <c r="A2161" s="1" t="s">
        <v>4050</v>
      </c>
      <c r="B2161" s="1" t="s">
        <v>3758</v>
      </c>
      <c r="C2161">
        <v>1</v>
      </c>
      <c r="E2161" s="81" t="s">
        <v>4030</v>
      </c>
    </row>
    <row r="2162" spans="1:5" x14ac:dyDescent="0.35">
      <c r="A2162" s="1" t="s">
        <v>4051</v>
      </c>
      <c r="B2162" s="1" t="s">
        <v>2280</v>
      </c>
      <c r="C2162">
        <v>1</v>
      </c>
      <c r="E2162" s="81" t="s">
        <v>4030</v>
      </c>
    </row>
    <row r="2163" spans="1:5" x14ac:dyDescent="0.35">
      <c r="A2163" s="1" t="s">
        <v>4052</v>
      </c>
      <c r="B2163" s="1" t="s">
        <v>3761</v>
      </c>
      <c r="C2163">
        <v>1</v>
      </c>
      <c r="E2163" s="81" t="s">
        <v>4030</v>
      </c>
    </row>
    <row r="2164" spans="1:5" x14ac:dyDescent="0.35">
      <c r="A2164" s="1" t="s">
        <v>4053</v>
      </c>
      <c r="B2164" s="1" t="s">
        <v>3763</v>
      </c>
      <c r="C2164">
        <v>1</v>
      </c>
      <c r="E2164" s="81" t="s">
        <v>4030</v>
      </c>
    </row>
    <row r="2165" spans="1:5" x14ac:dyDescent="0.35">
      <c r="E2165" s="81"/>
    </row>
    <row r="2166" spans="1:5" x14ac:dyDescent="0.35">
      <c r="A2166" s="81" t="s">
        <v>4054</v>
      </c>
      <c r="B2166" s="81" t="s">
        <v>1855</v>
      </c>
      <c r="C2166">
        <v>2</v>
      </c>
      <c r="E2166" s="81" t="s">
        <v>4055</v>
      </c>
    </row>
    <row r="2168" spans="1:5" x14ac:dyDescent="0.35">
      <c r="A2168" s="125" t="s">
        <v>4056</v>
      </c>
      <c r="B2168" s="43" t="s">
        <v>368</v>
      </c>
      <c r="C2168" s="125">
        <v>1</v>
      </c>
      <c r="D2168" s="125"/>
      <c r="E2168" s="125" t="s">
        <v>4057</v>
      </c>
    </row>
    <row r="2169" spans="1:5" x14ac:dyDescent="0.35">
      <c r="A2169" s="125" t="s">
        <v>4058</v>
      </c>
      <c r="B2169" s="43" t="s">
        <v>2079</v>
      </c>
      <c r="C2169" s="125">
        <v>1</v>
      </c>
      <c r="D2169" s="125"/>
      <c r="E2169" s="125" t="s">
        <v>4057</v>
      </c>
    </row>
    <row r="2170" spans="1:5" x14ac:dyDescent="0.35">
      <c r="A2170" s="125" t="s">
        <v>4059</v>
      </c>
      <c r="B2170" s="43" t="s">
        <v>2081</v>
      </c>
      <c r="C2170" s="125">
        <v>1</v>
      </c>
      <c r="D2170" s="125"/>
      <c r="E2170" s="125" t="s">
        <v>4057</v>
      </c>
    </row>
    <row r="2171" spans="1:5" x14ac:dyDescent="0.35">
      <c r="A2171" s="125" t="s">
        <v>4060</v>
      </c>
      <c r="B2171" s="43" t="s">
        <v>710</v>
      </c>
      <c r="C2171" s="125">
        <v>1</v>
      </c>
      <c r="D2171" s="125"/>
      <c r="E2171" s="125" t="s">
        <v>4057</v>
      </c>
    </row>
    <row r="2172" spans="1:5" x14ac:dyDescent="0.35">
      <c r="A2172" s="125" t="s">
        <v>4061</v>
      </c>
      <c r="B2172" s="43" t="s">
        <v>2084</v>
      </c>
      <c r="C2172" s="125">
        <v>1</v>
      </c>
      <c r="D2172" s="125"/>
      <c r="E2172" s="125" t="s">
        <v>4057</v>
      </c>
    </row>
    <row r="2173" spans="1:5" x14ac:dyDescent="0.35">
      <c r="A2173" s="125" t="s">
        <v>4062</v>
      </c>
      <c r="B2173" s="43" t="s">
        <v>2086</v>
      </c>
      <c r="C2173" s="125">
        <v>1</v>
      </c>
      <c r="D2173" s="125"/>
      <c r="E2173" s="125" t="s">
        <v>4057</v>
      </c>
    </row>
    <row r="2174" spans="1:5" x14ac:dyDescent="0.35">
      <c r="A2174" s="125" t="s">
        <v>4063</v>
      </c>
      <c r="B2174" s="43" t="s">
        <v>2088</v>
      </c>
      <c r="C2174" s="125">
        <v>1</v>
      </c>
      <c r="D2174" s="125"/>
      <c r="E2174" s="125" t="s">
        <v>4057</v>
      </c>
    </row>
    <row r="2175" spans="1:5" x14ac:dyDescent="0.35">
      <c r="A2175" s="125" t="s">
        <v>4064</v>
      </c>
      <c r="B2175" s="43" t="s">
        <v>2090</v>
      </c>
      <c r="C2175" s="125">
        <v>1</v>
      </c>
      <c r="D2175" s="125"/>
      <c r="E2175" s="125" t="s">
        <v>4057</v>
      </c>
    </row>
    <row r="2176" spans="1:5" x14ac:dyDescent="0.35">
      <c r="A2176" s="125" t="s">
        <v>4065</v>
      </c>
      <c r="B2176" s="43" t="s">
        <v>2092</v>
      </c>
      <c r="C2176" s="125">
        <v>1</v>
      </c>
      <c r="D2176" s="125"/>
      <c r="E2176" s="125" t="s">
        <v>4057</v>
      </c>
    </row>
    <row r="2177" spans="1:5" x14ac:dyDescent="0.35">
      <c r="A2177" s="125" t="s">
        <v>4066</v>
      </c>
      <c r="B2177" s="43" t="s">
        <v>2094</v>
      </c>
      <c r="C2177" s="125">
        <v>1</v>
      </c>
      <c r="D2177" s="125"/>
      <c r="E2177" s="125" t="s">
        <v>4057</v>
      </c>
    </row>
    <row r="2178" spans="1:5" x14ac:dyDescent="0.35">
      <c r="A2178" s="125" t="s">
        <v>4067</v>
      </c>
      <c r="B2178" s="43" t="s">
        <v>324</v>
      </c>
      <c r="C2178" s="125">
        <v>1</v>
      </c>
      <c r="D2178" s="125"/>
      <c r="E2178" s="125" t="s">
        <v>4057</v>
      </c>
    </row>
    <row r="2179" spans="1:5" x14ac:dyDescent="0.35">
      <c r="A2179" s="125" t="s">
        <v>4068</v>
      </c>
      <c r="B2179" s="43" t="s">
        <v>2097</v>
      </c>
      <c r="C2179" s="125">
        <v>1</v>
      </c>
      <c r="D2179" s="125"/>
      <c r="E2179" s="125" t="s">
        <v>4057</v>
      </c>
    </row>
    <row r="2180" spans="1:5" x14ac:dyDescent="0.35">
      <c r="A2180" s="125" t="s">
        <v>4069</v>
      </c>
      <c r="B2180" s="43" t="s">
        <v>368</v>
      </c>
      <c r="C2180" s="125">
        <v>1</v>
      </c>
      <c r="D2180" s="125"/>
      <c r="E2180" s="125" t="s">
        <v>4057</v>
      </c>
    </row>
    <row r="2181" spans="1:5" x14ac:dyDescent="0.35">
      <c r="A2181" s="125" t="s">
        <v>4070</v>
      </c>
      <c r="B2181" s="43" t="s">
        <v>2079</v>
      </c>
      <c r="C2181" s="125">
        <v>1</v>
      </c>
      <c r="D2181" s="125"/>
      <c r="E2181" s="125" t="s">
        <v>4057</v>
      </c>
    </row>
    <row r="2182" spans="1:5" x14ac:dyDescent="0.35">
      <c r="A2182" s="125" t="s">
        <v>4071</v>
      </c>
      <c r="B2182" s="43" t="s">
        <v>2081</v>
      </c>
      <c r="C2182" s="125">
        <v>1</v>
      </c>
      <c r="D2182" s="125"/>
      <c r="E2182" s="125" t="s">
        <v>4057</v>
      </c>
    </row>
    <row r="2183" spans="1:5" x14ac:dyDescent="0.35">
      <c r="A2183" s="125" t="s">
        <v>4072</v>
      </c>
      <c r="B2183" s="43" t="s">
        <v>710</v>
      </c>
      <c r="C2183" s="125">
        <v>1</v>
      </c>
      <c r="D2183" s="125"/>
      <c r="E2183" s="125" t="s">
        <v>4057</v>
      </c>
    </row>
    <row r="2184" spans="1:5" x14ac:dyDescent="0.35">
      <c r="A2184" s="125" t="s">
        <v>4073</v>
      </c>
      <c r="B2184" s="43" t="s">
        <v>2084</v>
      </c>
      <c r="C2184" s="125">
        <v>1</v>
      </c>
      <c r="D2184" s="125"/>
      <c r="E2184" s="125" t="s">
        <v>4057</v>
      </c>
    </row>
    <row r="2185" spans="1:5" x14ac:dyDescent="0.35">
      <c r="A2185" s="125" t="s">
        <v>4074</v>
      </c>
      <c r="B2185" s="43" t="s">
        <v>2086</v>
      </c>
      <c r="C2185" s="125">
        <v>1</v>
      </c>
      <c r="D2185" s="125"/>
      <c r="E2185" s="125" t="s">
        <v>4057</v>
      </c>
    </row>
    <row r="2186" spans="1:5" x14ac:dyDescent="0.35">
      <c r="A2186" s="125" t="s">
        <v>4075</v>
      </c>
      <c r="B2186" s="43" t="s">
        <v>2088</v>
      </c>
      <c r="C2186" s="125">
        <v>1</v>
      </c>
      <c r="D2186" s="125"/>
      <c r="E2186" s="125" t="s">
        <v>4057</v>
      </c>
    </row>
    <row r="2187" spans="1:5" x14ac:dyDescent="0.35">
      <c r="A2187" s="125" t="s">
        <v>4076</v>
      </c>
      <c r="B2187" s="43" t="s">
        <v>2090</v>
      </c>
      <c r="C2187" s="125">
        <v>1</v>
      </c>
      <c r="D2187" s="125"/>
      <c r="E2187" s="125" t="s">
        <v>4057</v>
      </c>
    </row>
    <row r="2188" spans="1:5" x14ac:dyDescent="0.35">
      <c r="A2188" s="125" t="s">
        <v>4077</v>
      </c>
      <c r="B2188" s="43" t="s">
        <v>2092</v>
      </c>
      <c r="C2188" s="125">
        <v>1</v>
      </c>
      <c r="D2188" s="125"/>
      <c r="E2188" s="125" t="s">
        <v>4057</v>
      </c>
    </row>
    <row r="2189" spans="1:5" x14ac:dyDescent="0.35">
      <c r="A2189" s="125" t="s">
        <v>4078</v>
      </c>
      <c r="B2189" s="43" t="s">
        <v>2094</v>
      </c>
      <c r="C2189" s="125">
        <v>1</v>
      </c>
      <c r="D2189" s="125"/>
      <c r="E2189" s="125" t="s">
        <v>4057</v>
      </c>
    </row>
    <row r="2190" spans="1:5" x14ac:dyDescent="0.35">
      <c r="A2190" s="125" t="s">
        <v>4079</v>
      </c>
      <c r="B2190" s="43" t="s">
        <v>324</v>
      </c>
      <c r="C2190" s="125">
        <v>1</v>
      </c>
      <c r="D2190" s="125"/>
      <c r="E2190" s="125" t="s">
        <v>4057</v>
      </c>
    </row>
    <row r="2191" spans="1:5" x14ac:dyDescent="0.35">
      <c r="A2191" s="125" t="s">
        <v>4080</v>
      </c>
      <c r="B2191" s="43" t="s">
        <v>2097</v>
      </c>
      <c r="C2191" s="125">
        <v>1</v>
      </c>
      <c r="D2191" s="125"/>
      <c r="E2191" s="125" t="s">
        <v>4057</v>
      </c>
    </row>
    <row r="2192" spans="1:5" x14ac:dyDescent="0.35">
      <c r="A2192" s="125" t="s">
        <v>4081</v>
      </c>
      <c r="B2192" s="43" t="s">
        <v>368</v>
      </c>
      <c r="C2192" s="125">
        <v>1</v>
      </c>
      <c r="D2192" s="125"/>
      <c r="E2192" s="125" t="s">
        <v>4057</v>
      </c>
    </row>
    <row r="2193" spans="1:5" x14ac:dyDescent="0.35">
      <c r="A2193" s="125" t="s">
        <v>4082</v>
      </c>
      <c r="B2193" s="43" t="s">
        <v>2079</v>
      </c>
      <c r="C2193" s="125">
        <v>1</v>
      </c>
      <c r="D2193" s="125"/>
      <c r="E2193" s="125" t="s">
        <v>4057</v>
      </c>
    </row>
    <row r="2194" spans="1:5" x14ac:dyDescent="0.35">
      <c r="A2194" s="125" t="s">
        <v>4083</v>
      </c>
      <c r="B2194" s="43" t="s">
        <v>2081</v>
      </c>
      <c r="C2194" s="125">
        <v>1</v>
      </c>
      <c r="D2194" s="125"/>
      <c r="E2194" s="125" t="s">
        <v>4057</v>
      </c>
    </row>
    <row r="2195" spans="1:5" x14ac:dyDescent="0.35">
      <c r="A2195" s="125" t="s">
        <v>4084</v>
      </c>
      <c r="B2195" s="43" t="s">
        <v>710</v>
      </c>
      <c r="C2195" s="125">
        <v>1</v>
      </c>
      <c r="D2195" s="125"/>
      <c r="E2195" s="125" t="s">
        <v>4057</v>
      </c>
    </row>
    <row r="2196" spans="1:5" x14ac:dyDescent="0.35">
      <c r="A2196" s="125" t="s">
        <v>4085</v>
      </c>
      <c r="B2196" s="43" t="s">
        <v>2084</v>
      </c>
      <c r="C2196" s="125">
        <v>1</v>
      </c>
      <c r="D2196" s="125"/>
      <c r="E2196" s="125" t="s">
        <v>4057</v>
      </c>
    </row>
    <row r="2197" spans="1:5" x14ac:dyDescent="0.35">
      <c r="A2197" s="125" t="s">
        <v>4086</v>
      </c>
      <c r="B2197" s="43" t="s">
        <v>2086</v>
      </c>
      <c r="C2197" s="125">
        <v>1</v>
      </c>
      <c r="D2197" s="125"/>
      <c r="E2197" s="125" t="s">
        <v>4057</v>
      </c>
    </row>
    <row r="2198" spans="1:5" x14ac:dyDescent="0.35">
      <c r="A2198" s="125" t="s">
        <v>4087</v>
      </c>
      <c r="B2198" s="43" t="s">
        <v>2088</v>
      </c>
      <c r="C2198" s="125">
        <v>1</v>
      </c>
      <c r="D2198" s="125"/>
      <c r="E2198" s="125" t="s">
        <v>4057</v>
      </c>
    </row>
    <row r="2199" spans="1:5" x14ac:dyDescent="0.35">
      <c r="A2199" s="125" t="s">
        <v>4088</v>
      </c>
      <c r="B2199" s="43" t="s">
        <v>2090</v>
      </c>
      <c r="C2199" s="125">
        <v>1</v>
      </c>
      <c r="D2199" s="125"/>
      <c r="E2199" s="125" t="s">
        <v>4057</v>
      </c>
    </row>
    <row r="2200" spans="1:5" x14ac:dyDescent="0.35">
      <c r="A2200" s="125" t="s">
        <v>4089</v>
      </c>
      <c r="B2200" s="43" t="s">
        <v>2092</v>
      </c>
      <c r="C2200" s="125">
        <v>1</v>
      </c>
      <c r="D2200" s="125"/>
      <c r="E2200" s="125" t="s">
        <v>4057</v>
      </c>
    </row>
    <row r="2201" spans="1:5" x14ac:dyDescent="0.35">
      <c r="A2201" s="125" t="s">
        <v>4090</v>
      </c>
      <c r="B2201" s="43" t="s">
        <v>2094</v>
      </c>
      <c r="C2201" s="125">
        <v>1</v>
      </c>
      <c r="D2201" s="125"/>
      <c r="E2201" s="125" t="s">
        <v>4057</v>
      </c>
    </row>
    <row r="2202" spans="1:5" x14ac:dyDescent="0.35">
      <c r="A2202" s="125" t="s">
        <v>4091</v>
      </c>
      <c r="B2202" s="43" t="s">
        <v>324</v>
      </c>
      <c r="C2202" s="125">
        <v>1</v>
      </c>
      <c r="D2202" s="125"/>
      <c r="E2202" s="125" t="s">
        <v>4057</v>
      </c>
    </row>
    <row r="2203" spans="1:5" x14ac:dyDescent="0.35">
      <c r="A2203" s="125" t="s">
        <v>4092</v>
      </c>
      <c r="B2203" s="43" t="s">
        <v>2097</v>
      </c>
      <c r="C2203" s="125">
        <v>1</v>
      </c>
      <c r="D2203" s="125"/>
      <c r="E2203" s="125" t="s">
        <v>4057</v>
      </c>
    </row>
    <row r="2204" spans="1:5" x14ac:dyDescent="0.35">
      <c r="A2204" s="125" t="s">
        <v>4093</v>
      </c>
      <c r="B2204" s="43" t="s">
        <v>368</v>
      </c>
      <c r="C2204" s="125">
        <v>1</v>
      </c>
      <c r="D2204" s="125"/>
      <c r="E2204" s="125" t="s">
        <v>4057</v>
      </c>
    </row>
    <row r="2205" spans="1:5" x14ac:dyDescent="0.35">
      <c r="A2205" s="125" t="s">
        <v>4094</v>
      </c>
      <c r="B2205" s="43" t="s">
        <v>2079</v>
      </c>
      <c r="C2205" s="125">
        <v>1</v>
      </c>
      <c r="D2205" s="125"/>
      <c r="E2205" s="125" t="s">
        <v>4057</v>
      </c>
    </row>
    <row r="2206" spans="1:5" x14ac:dyDescent="0.35">
      <c r="A2206" s="125" t="s">
        <v>4095</v>
      </c>
      <c r="B2206" s="43" t="s">
        <v>2081</v>
      </c>
      <c r="C2206" s="125">
        <v>1</v>
      </c>
      <c r="D2206" s="125"/>
      <c r="E2206" s="125" t="s">
        <v>4057</v>
      </c>
    </row>
    <row r="2207" spans="1:5" x14ac:dyDescent="0.35">
      <c r="A2207" s="125" t="s">
        <v>4096</v>
      </c>
      <c r="B2207" s="43" t="s">
        <v>710</v>
      </c>
      <c r="C2207" s="125">
        <v>1</v>
      </c>
      <c r="D2207" s="125"/>
      <c r="E2207" s="125" t="s">
        <v>4057</v>
      </c>
    </row>
    <row r="2208" spans="1:5" x14ac:dyDescent="0.35">
      <c r="A2208" s="125" t="s">
        <v>4097</v>
      </c>
      <c r="B2208" s="43" t="s">
        <v>2084</v>
      </c>
      <c r="C2208" s="125">
        <v>1</v>
      </c>
      <c r="D2208" s="125"/>
      <c r="E2208" s="125" t="s">
        <v>4057</v>
      </c>
    </row>
    <row r="2209" spans="1:5" x14ac:dyDescent="0.35">
      <c r="A2209" s="125" t="s">
        <v>4098</v>
      </c>
      <c r="B2209" s="43" t="s">
        <v>2086</v>
      </c>
      <c r="C2209" s="125">
        <v>1</v>
      </c>
      <c r="D2209" s="125"/>
      <c r="E2209" s="125" t="s">
        <v>4057</v>
      </c>
    </row>
    <row r="2210" spans="1:5" x14ac:dyDescent="0.35">
      <c r="A2210" s="125" t="s">
        <v>4099</v>
      </c>
      <c r="B2210" s="43" t="s">
        <v>2088</v>
      </c>
      <c r="C2210" s="125">
        <v>1</v>
      </c>
      <c r="D2210" s="125"/>
      <c r="E2210" s="125" t="s">
        <v>4057</v>
      </c>
    </row>
    <row r="2211" spans="1:5" x14ac:dyDescent="0.35">
      <c r="A2211" s="125" t="s">
        <v>4100</v>
      </c>
      <c r="B2211" s="43" t="s">
        <v>2090</v>
      </c>
      <c r="C2211" s="125">
        <v>1</v>
      </c>
      <c r="D2211" s="125"/>
      <c r="E2211" s="125" t="s">
        <v>4057</v>
      </c>
    </row>
    <row r="2212" spans="1:5" x14ac:dyDescent="0.35">
      <c r="A2212" s="125" t="s">
        <v>4101</v>
      </c>
      <c r="B2212" s="43" t="s">
        <v>2092</v>
      </c>
      <c r="C2212" s="125">
        <v>1</v>
      </c>
      <c r="D2212" s="125"/>
      <c r="E2212" s="125" t="s">
        <v>4057</v>
      </c>
    </row>
    <row r="2213" spans="1:5" x14ac:dyDescent="0.35">
      <c r="A2213" s="125" t="s">
        <v>4102</v>
      </c>
      <c r="B2213" s="43" t="s">
        <v>2094</v>
      </c>
      <c r="C2213" s="125">
        <v>1</v>
      </c>
      <c r="D2213" s="125"/>
      <c r="E2213" s="125" t="s">
        <v>4057</v>
      </c>
    </row>
    <row r="2214" spans="1:5" x14ac:dyDescent="0.35">
      <c r="A2214" s="125" t="s">
        <v>4103</v>
      </c>
      <c r="B2214" s="43" t="s">
        <v>324</v>
      </c>
      <c r="C2214" s="125">
        <v>1</v>
      </c>
      <c r="D2214" s="125"/>
      <c r="E2214" s="125" t="s">
        <v>4057</v>
      </c>
    </row>
    <row r="2215" spans="1:5" x14ac:dyDescent="0.35">
      <c r="A2215" s="125" t="s">
        <v>4104</v>
      </c>
      <c r="B2215" s="43" t="s">
        <v>2097</v>
      </c>
      <c r="C2215" s="125">
        <v>1</v>
      </c>
      <c r="D2215" s="125"/>
      <c r="E2215" s="125" t="s">
        <v>4057</v>
      </c>
    </row>
    <row r="2216" spans="1:5" x14ac:dyDescent="0.35">
      <c r="A2216" s="125" t="s">
        <v>4105</v>
      </c>
      <c r="B2216" s="43" t="s">
        <v>368</v>
      </c>
      <c r="C2216" s="125">
        <v>1</v>
      </c>
      <c r="D2216" s="125"/>
      <c r="E2216" s="125" t="s">
        <v>4057</v>
      </c>
    </row>
    <row r="2217" spans="1:5" x14ac:dyDescent="0.35">
      <c r="A2217" s="125" t="s">
        <v>4106</v>
      </c>
      <c r="B2217" s="43" t="s">
        <v>2079</v>
      </c>
      <c r="C2217" s="125">
        <v>1</v>
      </c>
      <c r="D2217" s="125"/>
      <c r="E2217" s="125" t="s">
        <v>4057</v>
      </c>
    </row>
    <row r="2218" spans="1:5" x14ac:dyDescent="0.35">
      <c r="A2218" s="125" t="s">
        <v>4107</v>
      </c>
      <c r="B2218" s="43" t="s">
        <v>2081</v>
      </c>
      <c r="C2218" s="125">
        <v>1</v>
      </c>
      <c r="D2218" s="125"/>
      <c r="E2218" s="125" t="s">
        <v>4057</v>
      </c>
    </row>
    <row r="2219" spans="1:5" x14ac:dyDescent="0.35">
      <c r="A2219" s="125" t="s">
        <v>4108</v>
      </c>
      <c r="B2219" s="43" t="s">
        <v>710</v>
      </c>
      <c r="C2219" s="125">
        <v>1</v>
      </c>
      <c r="D2219" s="125"/>
      <c r="E2219" s="125" t="s">
        <v>4057</v>
      </c>
    </row>
    <row r="2220" spans="1:5" x14ac:dyDescent="0.35">
      <c r="A2220" s="125" t="s">
        <v>4109</v>
      </c>
      <c r="B2220" s="43" t="s">
        <v>2084</v>
      </c>
      <c r="C2220" s="125">
        <v>1</v>
      </c>
      <c r="D2220" s="125"/>
      <c r="E2220" s="125" t="s">
        <v>4057</v>
      </c>
    </row>
    <row r="2221" spans="1:5" x14ac:dyDescent="0.35">
      <c r="A2221" s="125" t="s">
        <v>4110</v>
      </c>
      <c r="B2221" s="43" t="s">
        <v>2086</v>
      </c>
      <c r="C2221" s="125">
        <v>1</v>
      </c>
      <c r="D2221" s="125"/>
      <c r="E2221" s="125" t="s">
        <v>4057</v>
      </c>
    </row>
    <row r="2222" spans="1:5" x14ac:dyDescent="0.35">
      <c r="A2222" s="125" t="s">
        <v>4111</v>
      </c>
      <c r="B2222" s="43" t="s">
        <v>2088</v>
      </c>
      <c r="C2222" s="125">
        <v>1</v>
      </c>
      <c r="D2222" s="125"/>
      <c r="E2222" s="125" t="s">
        <v>4057</v>
      </c>
    </row>
    <row r="2223" spans="1:5" x14ac:dyDescent="0.35">
      <c r="A2223" s="125" t="s">
        <v>4112</v>
      </c>
      <c r="B2223" s="43" t="s">
        <v>2090</v>
      </c>
      <c r="C2223" s="125">
        <v>1</v>
      </c>
      <c r="D2223" s="125"/>
      <c r="E2223" s="125" t="s">
        <v>4057</v>
      </c>
    </row>
    <row r="2224" spans="1:5" x14ac:dyDescent="0.35">
      <c r="A2224" s="125" t="s">
        <v>4113</v>
      </c>
      <c r="B2224" s="43" t="s">
        <v>2092</v>
      </c>
      <c r="C2224" s="125">
        <v>1</v>
      </c>
      <c r="D2224" s="125"/>
      <c r="E2224" s="125" t="s">
        <v>4057</v>
      </c>
    </row>
    <row r="2225" spans="1:5" x14ac:dyDescent="0.35">
      <c r="A2225" s="125" t="s">
        <v>4114</v>
      </c>
      <c r="B2225" s="43" t="s">
        <v>2094</v>
      </c>
      <c r="C2225" s="125">
        <v>1</v>
      </c>
      <c r="D2225" s="125"/>
      <c r="E2225" s="125" t="s">
        <v>4057</v>
      </c>
    </row>
    <row r="2226" spans="1:5" x14ac:dyDescent="0.35">
      <c r="A2226" s="125" t="s">
        <v>4115</v>
      </c>
      <c r="B2226" s="43" t="s">
        <v>324</v>
      </c>
      <c r="C2226" s="125">
        <v>1</v>
      </c>
      <c r="D2226" s="125"/>
      <c r="E2226" s="125" t="s">
        <v>4057</v>
      </c>
    </row>
    <row r="2227" spans="1:5" x14ac:dyDescent="0.35">
      <c r="A2227" s="125" t="s">
        <v>4116</v>
      </c>
      <c r="B2227" s="43" t="s">
        <v>2097</v>
      </c>
      <c r="C2227" s="125">
        <v>1</v>
      </c>
      <c r="D2227" s="125"/>
      <c r="E2227" s="125" t="s">
        <v>4057</v>
      </c>
    </row>
    <row r="2228" spans="1:5" x14ac:dyDescent="0.35">
      <c r="A2228" s="125" t="s">
        <v>4117</v>
      </c>
      <c r="B2228" s="43" t="s">
        <v>368</v>
      </c>
      <c r="C2228" s="125">
        <v>1</v>
      </c>
      <c r="D2228" s="125"/>
      <c r="E2228" s="125" t="s">
        <v>4057</v>
      </c>
    </row>
    <row r="2229" spans="1:5" x14ac:dyDescent="0.35">
      <c r="A2229" s="125" t="s">
        <v>4118</v>
      </c>
      <c r="B2229" s="43" t="s">
        <v>2079</v>
      </c>
      <c r="C2229" s="125">
        <v>1</v>
      </c>
      <c r="D2229" s="125"/>
      <c r="E2229" s="125" t="s">
        <v>4057</v>
      </c>
    </row>
    <row r="2230" spans="1:5" x14ac:dyDescent="0.35">
      <c r="A2230" s="125" t="s">
        <v>4119</v>
      </c>
      <c r="B2230" s="43" t="s">
        <v>2081</v>
      </c>
      <c r="C2230" s="125">
        <v>1</v>
      </c>
      <c r="D2230" s="125"/>
      <c r="E2230" s="125" t="s">
        <v>4057</v>
      </c>
    </row>
    <row r="2231" spans="1:5" x14ac:dyDescent="0.35">
      <c r="A2231" s="125" t="s">
        <v>4120</v>
      </c>
      <c r="B2231" s="43" t="s">
        <v>710</v>
      </c>
      <c r="C2231" s="125">
        <v>1</v>
      </c>
      <c r="D2231" s="125"/>
      <c r="E2231" s="125" t="s">
        <v>4057</v>
      </c>
    </row>
    <row r="2232" spans="1:5" x14ac:dyDescent="0.35">
      <c r="A2232" s="125" t="s">
        <v>4121</v>
      </c>
      <c r="B2232" s="43" t="s">
        <v>2084</v>
      </c>
      <c r="C2232" s="125">
        <v>1</v>
      </c>
      <c r="D2232" s="125"/>
      <c r="E2232" s="125" t="s">
        <v>4057</v>
      </c>
    </row>
    <row r="2233" spans="1:5" x14ac:dyDescent="0.35">
      <c r="A2233" s="125" t="s">
        <v>4122</v>
      </c>
      <c r="B2233" s="43" t="s">
        <v>2086</v>
      </c>
      <c r="C2233" s="125">
        <v>1</v>
      </c>
      <c r="D2233" s="125"/>
      <c r="E2233" s="125" t="s">
        <v>4057</v>
      </c>
    </row>
    <row r="2234" spans="1:5" x14ac:dyDescent="0.35">
      <c r="A2234" s="125" t="s">
        <v>4123</v>
      </c>
      <c r="B2234" s="43" t="s">
        <v>2088</v>
      </c>
      <c r="C2234" s="125">
        <v>1</v>
      </c>
      <c r="D2234" s="125"/>
      <c r="E2234" s="125" t="s">
        <v>4057</v>
      </c>
    </row>
    <row r="2235" spans="1:5" x14ac:dyDescent="0.35">
      <c r="A2235" s="125" t="s">
        <v>4124</v>
      </c>
      <c r="B2235" s="43" t="s">
        <v>2090</v>
      </c>
      <c r="C2235" s="125">
        <v>1</v>
      </c>
      <c r="D2235" s="125"/>
      <c r="E2235" s="125" t="s">
        <v>4057</v>
      </c>
    </row>
    <row r="2236" spans="1:5" x14ac:dyDescent="0.35">
      <c r="A2236" s="125" t="s">
        <v>4125</v>
      </c>
      <c r="B2236" s="43" t="s">
        <v>2092</v>
      </c>
      <c r="C2236" s="125">
        <v>1</v>
      </c>
      <c r="D2236" s="125"/>
      <c r="E2236" s="125" t="s">
        <v>4057</v>
      </c>
    </row>
    <row r="2237" spans="1:5" x14ac:dyDescent="0.35">
      <c r="A2237" s="125" t="s">
        <v>4126</v>
      </c>
      <c r="B2237" s="43" t="s">
        <v>2094</v>
      </c>
      <c r="C2237" s="125">
        <v>1</v>
      </c>
      <c r="D2237" s="125"/>
      <c r="E2237" s="125" t="s">
        <v>4057</v>
      </c>
    </row>
    <row r="2238" spans="1:5" x14ac:dyDescent="0.35">
      <c r="A2238" s="125" t="s">
        <v>4127</v>
      </c>
      <c r="B2238" s="43" t="s">
        <v>324</v>
      </c>
      <c r="C2238" s="125">
        <v>1</v>
      </c>
      <c r="D2238" s="125"/>
      <c r="E2238" s="125" t="s">
        <v>4057</v>
      </c>
    </row>
    <row r="2239" spans="1:5" x14ac:dyDescent="0.35">
      <c r="A2239" s="125" t="s">
        <v>4128</v>
      </c>
      <c r="B2239" s="43" t="s">
        <v>2097</v>
      </c>
      <c r="C2239" s="125">
        <v>1</v>
      </c>
      <c r="D2239" s="125"/>
      <c r="E2239" s="125" t="s">
        <v>4057</v>
      </c>
    </row>
    <row r="2240" spans="1:5" x14ac:dyDescent="0.35">
      <c r="A2240" s="125" t="s">
        <v>4129</v>
      </c>
      <c r="B2240" s="43" t="s">
        <v>368</v>
      </c>
      <c r="C2240" s="125">
        <v>1</v>
      </c>
      <c r="D2240" s="125"/>
      <c r="E2240" s="125" t="s">
        <v>4057</v>
      </c>
    </row>
    <row r="2241" spans="1:5" x14ac:dyDescent="0.35">
      <c r="A2241" s="125" t="s">
        <v>4130</v>
      </c>
      <c r="B2241" s="43" t="s">
        <v>2079</v>
      </c>
      <c r="C2241" s="125">
        <v>1</v>
      </c>
      <c r="D2241" s="125"/>
      <c r="E2241" s="125" t="s">
        <v>4057</v>
      </c>
    </row>
    <row r="2242" spans="1:5" x14ac:dyDescent="0.35">
      <c r="A2242" s="125" t="s">
        <v>4131</v>
      </c>
      <c r="B2242" s="43" t="s">
        <v>2081</v>
      </c>
      <c r="C2242" s="125">
        <v>1</v>
      </c>
      <c r="D2242" s="125"/>
      <c r="E2242" s="125" t="s">
        <v>4057</v>
      </c>
    </row>
    <row r="2243" spans="1:5" x14ac:dyDescent="0.35">
      <c r="A2243" s="125" t="s">
        <v>4132</v>
      </c>
      <c r="B2243" s="43" t="s">
        <v>710</v>
      </c>
      <c r="C2243" s="125">
        <v>1</v>
      </c>
      <c r="D2243" s="125"/>
      <c r="E2243" s="125" t="s">
        <v>4057</v>
      </c>
    </row>
    <row r="2244" spans="1:5" x14ac:dyDescent="0.35">
      <c r="A2244" s="125" t="s">
        <v>4133</v>
      </c>
      <c r="B2244" s="43" t="s">
        <v>2084</v>
      </c>
      <c r="C2244" s="125">
        <v>1</v>
      </c>
      <c r="D2244" s="125"/>
      <c r="E2244" s="125" t="s">
        <v>4057</v>
      </c>
    </row>
    <row r="2245" spans="1:5" x14ac:dyDescent="0.35">
      <c r="A2245" s="125" t="s">
        <v>4134</v>
      </c>
      <c r="B2245" s="43" t="s">
        <v>2086</v>
      </c>
      <c r="C2245" s="125">
        <v>1</v>
      </c>
      <c r="D2245" s="125"/>
      <c r="E2245" s="125" t="s">
        <v>4057</v>
      </c>
    </row>
    <row r="2246" spans="1:5" x14ac:dyDescent="0.35">
      <c r="A2246" s="125" t="s">
        <v>4135</v>
      </c>
      <c r="B2246" s="43" t="s">
        <v>2088</v>
      </c>
      <c r="C2246" s="125">
        <v>1</v>
      </c>
      <c r="D2246" s="125"/>
      <c r="E2246" s="125" t="s">
        <v>4057</v>
      </c>
    </row>
    <row r="2247" spans="1:5" x14ac:dyDescent="0.35">
      <c r="A2247" s="125" t="s">
        <v>4136</v>
      </c>
      <c r="B2247" s="43" t="s">
        <v>2090</v>
      </c>
      <c r="C2247" s="125">
        <v>1</v>
      </c>
      <c r="D2247" s="125"/>
      <c r="E2247" s="125" t="s">
        <v>4057</v>
      </c>
    </row>
    <row r="2248" spans="1:5" x14ac:dyDescent="0.35">
      <c r="A2248" s="125" t="s">
        <v>4137</v>
      </c>
      <c r="B2248" s="43" t="s">
        <v>2092</v>
      </c>
      <c r="C2248" s="125">
        <v>1</v>
      </c>
      <c r="D2248" s="125"/>
      <c r="E2248" s="125" t="s">
        <v>4057</v>
      </c>
    </row>
    <row r="2249" spans="1:5" x14ac:dyDescent="0.35">
      <c r="A2249" s="125" t="s">
        <v>4138</v>
      </c>
      <c r="B2249" s="43" t="s">
        <v>2094</v>
      </c>
      <c r="C2249" s="125">
        <v>1</v>
      </c>
      <c r="D2249" s="125"/>
      <c r="E2249" s="125" t="s">
        <v>4057</v>
      </c>
    </row>
    <row r="2250" spans="1:5" x14ac:dyDescent="0.35">
      <c r="A2250" s="125" t="s">
        <v>4139</v>
      </c>
      <c r="B2250" s="43" t="s">
        <v>324</v>
      </c>
      <c r="C2250" s="125">
        <v>1</v>
      </c>
      <c r="D2250" s="125"/>
      <c r="E2250" s="125" t="s">
        <v>4057</v>
      </c>
    </row>
    <row r="2251" spans="1:5" x14ac:dyDescent="0.35">
      <c r="A2251" s="125" t="s">
        <v>4140</v>
      </c>
      <c r="B2251" s="43" t="s">
        <v>2097</v>
      </c>
      <c r="C2251" s="125">
        <v>1</v>
      </c>
      <c r="D2251" s="125"/>
      <c r="E2251" s="125" t="s">
        <v>4057</v>
      </c>
    </row>
    <row r="2252" spans="1:5" x14ac:dyDescent="0.35">
      <c r="A2252" s="125" t="s">
        <v>4141</v>
      </c>
      <c r="B2252" s="43" t="s">
        <v>368</v>
      </c>
      <c r="C2252" s="125">
        <v>1</v>
      </c>
      <c r="D2252" s="125"/>
      <c r="E2252" s="125" t="s">
        <v>4057</v>
      </c>
    </row>
    <row r="2253" spans="1:5" x14ac:dyDescent="0.35">
      <c r="A2253" s="125" t="s">
        <v>4142</v>
      </c>
      <c r="B2253" s="43" t="s">
        <v>2079</v>
      </c>
      <c r="C2253" s="125">
        <v>1</v>
      </c>
      <c r="D2253" s="125"/>
      <c r="E2253" s="125" t="s">
        <v>4057</v>
      </c>
    </row>
    <row r="2254" spans="1:5" x14ac:dyDescent="0.35">
      <c r="A2254" s="125" t="s">
        <v>4143</v>
      </c>
      <c r="B2254" s="43" t="s">
        <v>2081</v>
      </c>
      <c r="C2254" s="125">
        <v>1</v>
      </c>
      <c r="D2254" s="125"/>
      <c r="E2254" s="125" t="s">
        <v>4057</v>
      </c>
    </row>
    <row r="2255" spans="1:5" x14ac:dyDescent="0.35">
      <c r="A2255" s="125" t="s">
        <v>4144</v>
      </c>
      <c r="B2255" s="43" t="s">
        <v>710</v>
      </c>
      <c r="C2255" s="125">
        <v>1</v>
      </c>
      <c r="D2255" s="125"/>
      <c r="E2255" s="125" t="s">
        <v>4057</v>
      </c>
    </row>
    <row r="2256" spans="1:5" x14ac:dyDescent="0.35">
      <c r="A2256" s="125" t="s">
        <v>4145</v>
      </c>
      <c r="B2256" s="43" t="s">
        <v>2084</v>
      </c>
      <c r="C2256" s="125">
        <v>1</v>
      </c>
      <c r="D2256" s="125"/>
      <c r="E2256" s="125" t="s">
        <v>4057</v>
      </c>
    </row>
    <row r="2257" spans="1:5" x14ac:dyDescent="0.35">
      <c r="A2257" s="125" t="s">
        <v>4146</v>
      </c>
      <c r="B2257" s="43" t="s">
        <v>2086</v>
      </c>
      <c r="C2257" s="125">
        <v>1</v>
      </c>
      <c r="D2257" s="125"/>
      <c r="E2257" s="125" t="s">
        <v>4057</v>
      </c>
    </row>
    <row r="2258" spans="1:5" x14ac:dyDescent="0.35">
      <c r="A2258" s="125" t="s">
        <v>4147</v>
      </c>
      <c r="B2258" s="43" t="s">
        <v>2088</v>
      </c>
      <c r="C2258" s="125">
        <v>1</v>
      </c>
      <c r="D2258" s="125"/>
      <c r="E2258" s="125" t="s">
        <v>4057</v>
      </c>
    </row>
    <row r="2259" spans="1:5" x14ac:dyDescent="0.35">
      <c r="A2259" s="125" t="s">
        <v>4148</v>
      </c>
      <c r="B2259" s="43" t="s">
        <v>2090</v>
      </c>
      <c r="C2259" s="125">
        <v>1</v>
      </c>
      <c r="D2259" s="125"/>
      <c r="E2259" s="125" t="s">
        <v>4057</v>
      </c>
    </row>
    <row r="2260" spans="1:5" x14ac:dyDescent="0.35">
      <c r="A2260" s="125" t="s">
        <v>4149</v>
      </c>
      <c r="B2260" s="43" t="s">
        <v>2092</v>
      </c>
      <c r="C2260" s="125">
        <v>1</v>
      </c>
      <c r="D2260" s="125"/>
      <c r="E2260" s="125" t="s">
        <v>4057</v>
      </c>
    </row>
    <row r="2261" spans="1:5" x14ac:dyDescent="0.35">
      <c r="A2261" s="125" t="s">
        <v>4150</v>
      </c>
      <c r="B2261" s="43" t="s">
        <v>2094</v>
      </c>
      <c r="C2261" s="125">
        <v>1</v>
      </c>
      <c r="D2261" s="125"/>
      <c r="E2261" s="125" t="s">
        <v>4057</v>
      </c>
    </row>
    <row r="2262" spans="1:5" x14ac:dyDescent="0.35">
      <c r="A2262" s="125" t="s">
        <v>4151</v>
      </c>
      <c r="B2262" s="43" t="s">
        <v>324</v>
      </c>
      <c r="C2262" s="125">
        <v>1</v>
      </c>
      <c r="D2262" s="125"/>
      <c r="E2262" s="125" t="s">
        <v>4057</v>
      </c>
    </row>
    <row r="2263" spans="1:5" x14ac:dyDescent="0.35">
      <c r="A2263" s="125" t="s">
        <v>4152</v>
      </c>
      <c r="B2263" s="43" t="s">
        <v>2097</v>
      </c>
      <c r="C2263" s="125">
        <v>1</v>
      </c>
      <c r="D2263" s="125"/>
      <c r="E2263" s="125" t="s">
        <v>4057</v>
      </c>
    </row>
    <row r="2264" spans="1:5" x14ac:dyDescent="0.35">
      <c r="A2264" s="125"/>
      <c r="B2264" s="125"/>
      <c r="C2264" s="125"/>
      <c r="D2264" s="125"/>
      <c r="E2264" s="125"/>
    </row>
    <row r="2265" spans="1:5" x14ac:dyDescent="0.35">
      <c r="A2265" s="125" t="s">
        <v>4153</v>
      </c>
      <c r="B2265" s="43" t="s">
        <v>243</v>
      </c>
      <c r="C2265" s="125">
        <v>2</v>
      </c>
      <c r="D2265" s="125"/>
      <c r="E2265" s="125" t="s">
        <v>4057</v>
      </c>
    </row>
    <row r="2266" spans="1:5" x14ac:dyDescent="0.35">
      <c r="A2266" s="125" t="s">
        <v>4154</v>
      </c>
      <c r="B2266" s="43" t="s">
        <v>243</v>
      </c>
      <c r="C2266" s="125">
        <v>2</v>
      </c>
      <c r="D2266" s="125"/>
      <c r="E2266" s="125" t="s">
        <v>4057</v>
      </c>
    </row>
    <row r="2267" spans="1:5" x14ac:dyDescent="0.35">
      <c r="A2267" s="125" t="s">
        <v>4155</v>
      </c>
      <c r="B2267" s="43" t="s">
        <v>243</v>
      </c>
      <c r="C2267" s="125">
        <v>2</v>
      </c>
      <c r="D2267" s="125"/>
      <c r="E2267" s="125" t="s">
        <v>4057</v>
      </c>
    </row>
    <row r="2268" spans="1:5" x14ac:dyDescent="0.35">
      <c r="A2268" s="125" t="s">
        <v>4156</v>
      </c>
      <c r="B2268" s="43" t="s">
        <v>243</v>
      </c>
      <c r="C2268" s="125">
        <v>2</v>
      </c>
      <c r="D2268" s="125"/>
      <c r="E2268" s="125" t="s">
        <v>4057</v>
      </c>
    </row>
    <row r="2269" spans="1:5" x14ac:dyDescent="0.35">
      <c r="A2269" s="125" t="s">
        <v>4157</v>
      </c>
      <c r="B2269" s="43" t="s">
        <v>243</v>
      </c>
      <c r="C2269" s="125">
        <v>2</v>
      </c>
      <c r="D2269" s="125"/>
      <c r="E2269" s="125" t="s">
        <v>4057</v>
      </c>
    </row>
    <row r="2270" spans="1:5" x14ac:dyDescent="0.35">
      <c r="A2270" s="125" t="s">
        <v>4158</v>
      </c>
      <c r="B2270" s="43" t="s">
        <v>243</v>
      </c>
      <c r="C2270" s="125">
        <v>2</v>
      </c>
      <c r="D2270" s="125"/>
      <c r="E2270" s="125" t="s">
        <v>4057</v>
      </c>
    </row>
    <row r="2271" spans="1:5" x14ac:dyDescent="0.35">
      <c r="A2271" s="125" t="s">
        <v>4159</v>
      </c>
      <c r="B2271" s="43" t="s">
        <v>243</v>
      </c>
      <c r="C2271" s="125">
        <v>2</v>
      </c>
      <c r="D2271" s="125"/>
      <c r="E2271" s="125" t="s">
        <v>4057</v>
      </c>
    </row>
    <row r="2272" spans="1:5" x14ac:dyDescent="0.35">
      <c r="A2272" s="125" t="s">
        <v>4160</v>
      </c>
      <c r="B2272" s="43" t="s">
        <v>243</v>
      </c>
      <c r="C2272" s="125">
        <v>2</v>
      </c>
      <c r="D2272" s="125"/>
      <c r="E2272" s="125" t="s">
        <v>4057</v>
      </c>
    </row>
    <row r="2273" spans="1:5" x14ac:dyDescent="0.35">
      <c r="A2273" s="125" t="s">
        <v>4161</v>
      </c>
      <c r="B2273" s="43" t="s">
        <v>243</v>
      </c>
      <c r="C2273" s="125">
        <v>2</v>
      </c>
      <c r="D2273" s="125"/>
      <c r="E2273" s="125" t="s">
        <v>4057</v>
      </c>
    </row>
    <row r="2274" spans="1:5" x14ac:dyDescent="0.35">
      <c r="A2274" s="125" t="s">
        <v>4162</v>
      </c>
      <c r="B2274" s="43" t="s">
        <v>243</v>
      </c>
      <c r="C2274" s="125">
        <v>2</v>
      </c>
      <c r="D2274" s="125"/>
      <c r="E2274" s="125" t="s">
        <v>4057</v>
      </c>
    </row>
    <row r="2275" spans="1:5" x14ac:dyDescent="0.35">
      <c r="A2275" s="125" t="s">
        <v>4163</v>
      </c>
      <c r="B2275" s="43" t="s">
        <v>243</v>
      </c>
      <c r="C2275" s="125">
        <v>2</v>
      </c>
      <c r="D2275" s="125"/>
      <c r="E2275" s="125" t="s">
        <v>4057</v>
      </c>
    </row>
    <row r="2276" spans="1:5" x14ac:dyDescent="0.35">
      <c r="A2276" s="125" t="s">
        <v>4164</v>
      </c>
      <c r="B2276" s="43" t="s">
        <v>243</v>
      </c>
      <c r="C2276" s="125">
        <v>2</v>
      </c>
      <c r="D2276" s="125"/>
      <c r="E2276" s="125" t="s">
        <v>4057</v>
      </c>
    </row>
    <row r="2277" spans="1:5" x14ac:dyDescent="0.35">
      <c r="A2277" s="125" t="s">
        <v>4165</v>
      </c>
      <c r="B2277" s="43" t="s">
        <v>245</v>
      </c>
      <c r="C2277" s="125">
        <v>2</v>
      </c>
      <c r="D2277" s="125"/>
      <c r="E2277" s="125" t="s">
        <v>4057</v>
      </c>
    </row>
    <row r="2278" spans="1:5" x14ac:dyDescent="0.35">
      <c r="A2278" s="125" t="s">
        <v>4166</v>
      </c>
      <c r="B2278" s="43" t="s">
        <v>245</v>
      </c>
      <c r="C2278" s="125">
        <v>2</v>
      </c>
      <c r="D2278" s="125"/>
      <c r="E2278" s="125" t="s">
        <v>4057</v>
      </c>
    </row>
    <row r="2279" spans="1:5" x14ac:dyDescent="0.35">
      <c r="A2279" s="125" t="s">
        <v>4167</v>
      </c>
      <c r="B2279" s="43" t="s">
        <v>245</v>
      </c>
      <c r="C2279" s="125">
        <v>2</v>
      </c>
      <c r="D2279" s="125"/>
      <c r="E2279" s="125" t="s">
        <v>4057</v>
      </c>
    </row>
    <row r="2280" spans="1:5" x14ac:dyDescent="0.35">
      <c r="A2280" s="125" t="s">
        <v>4168</v>
      </c>
      <c r="B2280" s="43" t="s">
        <v>245</v>
      </c>
      <c r="C2280" s="125">
        <v>2</v>
      </c>
      <c r="D2280" s="125"/>
      <c r="E2280" s="125" t="s">
        <v>4057</v>
      </c>
    </row>
    <row r="2281" spans="1:5" x14ac:dyDescent="0.35">
      <c r="A2281" s="125" t="s">
        <v>4169</v>
      </c>
      <c r="B2281" s="43" t="s">
        <v>245</v>
      </c>
      <c r="C2281" s="125">
        <v>2</v>
      </c>
      <c r="D2281" s="125"/>
      <c r="E2281" s="125" t="s">
        <v>4057</v>
      </c>
    </row>
    <row r="2282" spans="1:5" x14ac:dyDescent="0.35">
      <c r="A2282" s="125" t="s">
        <v>4170</v>
      </c>
      <c r="B2282" s="43" t="s">
        <v>245</v>
      </c>
      <c r="C2282" s="125">
        <v>2</v>
      </c>
      <c r="D2282" s="125"/>
      <c r="E2282" s="125" t="s">
        <v>4057</v>
      </c>
    </row>
    <row r="2283" spans="1:5" x14ac:dyDescent="0.35">
      <c r="A2283" s="125" t="s">
        <v>4171</v>
      </c>
      <c r="B2283" s="43" t="s">
        <v>245</v>
      </c>
      <c r="C2283" s="125">
        <v>2</v>
      </c>
      <c r="D2283" s="125"/>
      <c r="E2283" s="125" t="s">
        <v>4057</v>
      </c>
    </row>
    <row r="2284" spans="1:5" x14ac:dyDescent="0.35">
      <c r="A2284" s="125" t="s">
        <v>4172</v>
      </c>
      <c r="B2284" s="43" t="s">
        <v>245</v>
      </c>
      <c r="C2284" s="125">
        <v>2</v>
      </c>
      <c r="D2284" s="125"/>
      <c r="E2284" s="125" t="s">
        <v>4057</v>
      </c>
    </row>
    <row r="2285" spans="1:5" x14ac:dyDescent="0.35">
      <c r="A2285" s="125" t="s">
        <v>4173</v>
      </c>
      <c r="B2285" s="43" t="s">
        <v>245</v>
      </c>
      <c r="C2285" s="125">
        <v>2</v>
      </c>
      <c r="D2285" s="125"/>
      <c r="E2285" s="125" t="s">
        <v>4057</v>
      </c>
    </row>
    <row r="2286" spans="1:5" x14ac:dyDescent="0.35">
      <c r="A2286" s="125" t="s">
        <v>4174</v>
      </c>
      <c r="B2286" s="43" t="s">
        <v>245</v>
      </c>
      <c r="C2286" s="125">
        <v>2</v>
      </c>
      <c r="D2286" s="125"/>
      <c r="E2286" s="125" t="s">
        <v>4057</v>
      </c>
    </row>
    <row r="2287" spans="1:5" x14ac:dyDescent="0.35">
      <c r="A2287" s="125" t="s">
        <v>4175</v>
      </c>
      <c r="B2287" s="43" t="s">
        <v>245</v>
      </c>
      <c r="C2287" s="125">
        <v>2</v>
      </c>
      <c r="D2287" s="125"/>
      <c r="E2287" s="125" t="s">
        <v>4057</v>
      </c>
    </row>
    <row r="2288" spans="1:5" x14ac:dyDescent="0.35">
      <c r="A2288" s="125" t="s">
        <v>4176</v>
      </c>
      <c r="B2288" s="43" t="s">
        <v>245</v>
      </c>
      <c r="C2288" s="125">
        <v>2</v>
      </c>
      <c r="D2288" s="125"/>
      <c r="E2288" s="125" t="s">
        <v>4057</v>
      </c>
    </row>
    <row r="2289" spans="1:5" x14ac:dyDescent="0.35">
      <c r="A2289" s="125" t="s">
        <v>4177</v>
      </c>
      <c r="B2289" s="43" t="s">
        <v>247</v>
      </c>
      <c r="C2289" s="125">
        <v>2</v>
      </c>
      <c r="D2289" s="125"/>
      <c r="E2289" s="125" t="s">
        <v>4057</v>
      </c>
    </row>
    <row r="2290" spans="1:5" x14ac:dyDescent="0.35">
      <c r="A2290" s="125" t="s">
        <v>4178</v>
      </c>
      <c r="B2290" s="43" t="s">
        <v>247</v>
      </c>
      <c r="C2290" s="125">
        <v>2</v>
      </c>
      <c r="D2290" s="125"/>
      <c r="E2290" s="125" t="s">
        <v>4057</v>
      </c>
    </row>
    <row r="2291" spans="1:5" x14ac:dyDescent="0.35">
      <c r="A2291" s="125" t="s">
        <v>4179</v>
      </c>
      <c r="B2291" s="43" t="s">
        <v>247</v>
      </c>
      <c r="C2291" s="125">
        <v>2</v>
      </c>
      <c r="D2291" s="125"/>
      <c r="E2291" s="125" t="s">
        <v>4057</v>
      </c>
    </row>
    <row r="2292" spans="1:5" x14ac:dyDescent="0.35">
      <c r="A2292" s="125" t="s">
        <v>4180</v>
      </c>
      <c r="B2292" s="43" t="s">
        <v>247</v>
      </c>
      <c r="C2292" s="125">
        <v>2</v>
      </c>
      <c r="D2292" s="125"/>
      <c r="E2292" s="125" t="s">
        <v>4057</v>
      </c>
    </row>
    <row r="2293" spans="1:5" x14ac:dyDescent="0.35">
      <c r="A2293" s="125" t="s">
        <v>4181</v>
      </c>
      <c r="B2293" s="43" t="s">
        <v>247</v>
      </c>
      <c r="C2293" s="125">
        <v>2</v>
      </c>
      <c r="D2293" s="125"/>
      <c r="E2293" s="125" t="s">
        <v>4057</v>
      </c>
    </row>
    <row r="2294" spans="1:5" x14ac:dyDescent="0.35">
      <c r="A2294" s="125" t="s">
        <v>4182</v>
      </c>
      <c r="B2294" s="43" t="s">
        <v>247</v>
      </c>
      <c r="C2294" s="125">
        <v>2</v>
      </c>
      <c r="D2294" s="125"/>
      <c r="E2294" s="125" t="s">
        <v>4057</v>
      </c>
    </row>
    <row r="2295" spans="1:5" x14ac:dyDescent="0.35">
      <c r="A2295" s="125" t="s">
        <v>4183</v>
      </c>
      <c r="B2295" s="43" t="s">
        <v>247</v>
      </c>
      <c r="C2295" s="125">
        <v>2</v>
      </c>
      <c r="D2295" s="125"/>
      <c r="E2295" s="125" t="s">
        <v>4057</v>
      </c>
    </row>
    <row r="2296" spans="1:5" x14ac:dyDescent="0.35">
      <c r="A2296" s="125" t="s">
        <v>4184</v>
      </c>
      <c r="B2296" s="43" t="s">
        <v>247</v>
      </c>
      <c r="C2296" s="125">
        <v>2</v>
      </c>
      <c r="D2296" s="125"/>
      <c r="E2296" s="125" t="s">
        <v>4057</v>
      </c>
    </row>
    <row r="2297" spans="1:5" x14ac:dyDescent="0.35">
      <c r="A2297" s="125" t="s">
        <v>4185</v>
      </c>
      <c r="B2297" s="43" t="s">
        <v>247</v>
      </c>
      <c r="C2297" s="125">
        <v>2</v>
      </c>
      <c r="D2297" s="125"/>
      <c r="E2297" s="125" t="s">
        <v>4057</v>
      </c>
    </row>
    <row r="2298" spans="1:5" x14ac:dyDescent="0.35">
      <c r="A2298" s="125" t="s">
        <v>4186</v>
      </c>
      <c r="B2298" s="43" t="s">
        <v>247</v>
      </c>
      <c r="C2298" s="125">
        <v>2</v>
      </c>
      <c r="D2298" s="125"/>
      <c r="E2298" s="125" t="s">
        <v>4057</v>
      </c>
    </row>
    <row r="2299" spans="1:5" x14ac:dyDescent="0.35">
      <c r="A2299" s="125" t="s">
        <v>4187</v>
      </c>
      <c r="B2299" s="43" t="s">
        <v>247</v>
      </c>
      <c r="C2299" s="125">
        <v>2</v>
      </c>
      <c r="D2299" s="125"/>
      <c r="E2299" s="125" t="s">
        <v>4057</v>
      </c>
    </row>
    <row r="2300" spans="1:5" x14ac:dyDescent="0.35">
      <c r="A2300" s="125" t="s">
        <v>4188</v>
      </c>
      <c r="B2300" s="43" t="s">
        <v>247</v>
      </c>
      <c r="C2300" s="125">
        <v>2</v>
      </c>
      <c r="D2300" s="125"/>
      <c r="E2300" s="125" t="s">
        <v>4057</v>
      </c>
    </row>
    <row r="2301" spans="1:5" x14ac:dyDescent="0.35">
      <c r="A2301" s="125" t="s">
        <v>4189</v>
      </c>
      <c r="B2301" s="43" t="s">
        <v>249</v>
      </c>
      <c r="C2301" s="125">
        <v>2</v>
      </c>
      <c r="D2301" s="125"/>
      <c r="E2301" s="125" t="s">
        <v>4057</v>
      </c>
    </row>
    <row r="2302" spans="1:5" x14ac:dyDescent="0.35">
      <c r="A2302" s="125" t="s">
        <v>4190</v>
      </c>
      <c r="B2302" s="43" t="s">
        <v>249</v>
      </c>
      <c r="C2302" s="125">
        <v>2</v>
      </c>
      <c r="D2302" s="125"/>
      <c r="E2302" s="125" t="s">
        <v>4057</v>
      </c>
    </row>
    <row r="2303" spans="1:5" x14ac:dyDescent="0.35">
      <c r="A2303" s="125" t="s">
        <v>4191</v>
      </c>
      <c r="B2303" s="43" t="s">
        <v>249</v>
      </c>
      <c r="C2303" s="125">
        <v>2</v>
      </c>
      <c r="D2303" s="125"/>
      <c r="E2303" s="125" t="s">
        <v>4057</v>
      </c>
    </row>
    <row r="2304" spans="1:5" x14ac:dyDescent="0.35">
      <c r="A2304" s="125" t="s">
        <v>4192</v>
      </c>
      <c r="B2304" s="43" t="s">
        <v>249</v>
      </c>
      <c r="C2304" s="125">
        <v>2</v>
      </c>
      <c r="D2304" s="125"/>
      <c r="E2304" s="125" t="s">
        <v>4057</v>
      </c>
    </row>
    <row r="2305" spans="1:5" x14ac:dyDescent="0.35">
      <c r="A2305" s="125" t="s">
        <v>4193</v>
      </c>
      <c r="B2305" s="43" t="s">
        <v>249</v>
      </c>
      <c r="C2305" s="125">
        <v>2</v>
      </c>
      <c r="D2305" s="125"/>
      <c r="E2305" s="125" t="s">
        <v>4057</v>
      </c>
    </row>
    <row r="2306" spans="1:5" x14ac:dyDescent="0.35">
      <c r="A2306" s="125" t="s">
        <v>4194</v>
      </c>
      <c r="B2306" s="43" t="s">
        <v>249</v>
      </c>
      <c r="C2306" s="125">
        <v>2</v>
      </c>
      <c r="D2306" s="125"/>
      <c r="E2306" s="125" t="s">
        <v>4057</v>
      </c>
    </row>
    <row r="2307" spans="1:5" x14ac:dyDescent="0.35">
      <c r="A2307" s="125" t="s">
        <v>4195</v>
      </c>
      <c r="B2307" s="43" t="s">
        <v>249</v>
      </c>
      <c r="C2307" s="125">
        <v>2</v>
      </c>
      <c r="D2307" s="125"/>
      <c r="E2307" s="125" t="s">
        <v>4057</v>
      </c>
    </row>
    <row r="2308" spans="1:5" x14ac:dyDescent="0.35">
      <c r="A2308" s="125" t="s">
        <v>4196</v>
      </c>
      <c r="B2308" s="43" t="s">
        <v>249</v>
      </c>
      <c r="C2308" s="125">
        <v>2</v>
      </c>
      <c r="D2308" s="125"/>
      <c r="E2308" s="125" t="s">
        <v>4057</v>
      </c>
    </row>
    <row r="2309" spans="1:5" x14ac:dyDescent="0.35">
      <c r="A2309" s="125" t="s">
        <v>4197</v>
      </c>
      <c r="B2309" s="43" t="s">
        <v>249</v>
      </c>
      <c r="C2309" s="125">
        <v>2</v>
      </c>
      <c r="D2309" s="125"/>
      <c r="E2309" s="125" t="s">
        <v>4057</v>
      </c>
    </row>
    <row r="2310" spans="1:5" x14ac:dyDescent="0.35">
      <c r="A2310" s="125" t="s">
        <v>4198</v>
      </c>
      <c r="B2310" s="43" t="s">
        <v>249</v>
      </c>
      <c r="C2310" s="125">
        <v>2</v>
      </c>
      <c r="D2310" s="125"/>
      <c r="E2310" s="125" t="s">
        <v>4057</v>
      </c>
    </row>
    <row r="2311" spans="1:5" x14ac:dyDescent="0.35">
      <c r="A2311" s="125" t="s">
        <v>4199</v>
      </c>
      <c r="B2311" s="43" t="s">
        <v>249</v>
      </c>
      <c r="C2311" s="125">
        <v>2</v>
      </c>
      <c r="D2311" s="125"/>
      <c r="E2311" s="125" t="s">
        <v>4057</v>
      </c>
    </row>
    <row r="2312" spans="1:5" x14ac:dyDescent="0.35">
      <c r="A2312" s="125" t="s">
        <v>4200</v>
      </c>
      <c r="B2312" s="43" t="s">
        <v>249</v>
      </c>
      <c r="C2312" s="125">
        <v>2</v>
      </c>
      <c r="D2312" s="125"/>
      <c r="E2312" s="125" t="s">
        <v>4057</v>
      </c>
    </row>
    <row r="2313" spans="1:5" x14ac:dyDescent="0.35">
      <c r="A2313" s="125" t="s">
        <v>4201</v>
      </c>
      <c r="B2313" s="43" t="s">
        <v>251</v>
      </c>
      <c r="C2313" s="125">
        <v>2</v>
      </c>
      <c r="D2313" s="125"/>
      <c r="E2313" s="125" t="s">
        <v>4057</v>
      </c>
    </row>
    <row r="2314" spans="1:5" x14ac:dyDescent="0.35">
      <c r="A2314" s="125" t="s">
        <v>4202</v>
      </c>
      <c r="B2314" s="43" t="s">
        <v>251</v>
      </c>
      <c r="C2314" s="125">
        <v>2</v>
      </c>
      <c r="D2314" s="125"/>
      <c r="E2314" s="125" t="s">
        <v>4057</v>
      </c>
    </row>
    <row r="2315" spans="1:5" x14ac:dyDescent="0.35">
      <c r="A2315" s="125" t="s">
        <v>4203</v>
      </c>
      <c r="B2315" s="43" t="s">
        <v>251</v>
      </c>
      <c r="C2315" s="125">
        <v>2</v>
      </c>
      <c r="D2315" s="125"/>
      <c r="E2315" s="125" t="s">
        <v>4057</v>
      </c>
    </row>
    <row r="2316" spans="1:5" x14ac:dyDescent="0.35">
      <c r="A2316" s="125" t="s">
        <v>4204</v>
      </c>
      <c r="B2316" s="43" t="s">
        <v>251</v>
      </c>
      <c r="C2316" s="125">
        <v>2</v>
      </c>
      <c r="D2316" s="125"/>
      <c r="E2316" s="125" t="s">
        <v>4057</v>
      </c>
    </row>
    <row r="2317" spans="1:5" x14ac:dyDescent="0.35">
      <c r="A2317" s="125" t="s">
        <v>4205</v>
      </c>
      <c r="B2317" s="43" t="s">
        <v>251</v>
      </c>
      <c r="C2317" s="125">
        <v>2</v>
      </c>
      <c r="D2317" s="125"/>
      <c r="E2317" s="125" t="s">
        <v>4057</v>
      </c>
    </row>
    <row r="2318" spans="1:5" x14ac:dyDescent="0.35">
      <c r="A2318" s="125" t="s">
        <v>4206</v>
      </c>
      <c r="B2318" s="43" t="s">
        <v>251</v>
      </c>
      <c r="C2318" s="125">
        <v>2</v>
      </c>
      <c r="D2318" s="125"/>
      <c r="E2318" s="125" t="s">
        <v>4057</v>
      </c>
    </row>
    <row r="2319" spans="1:5" x14ac:dyDescent="0.35">
      <c r="A2319" s="125" t="s">
        <v>4207</v>
      </c>
      <c r="B2319" s="43" t="s">
        <v>251</v>
      </c>
      <c r="C2319" s="125">
        <v>2</v>
      </c>
      <c r="D2319" s="125"/>
      <c r="E2319" s="125" t="s">
        <v>4057</v>
      </c>
    </row>
    <row r="2320" spans="1:5" x14ac:dyDescent="0.35">
      <c r="A2320" s="125" t="s">
        <v>4208</v>
      </c>
      <c r="B2320" s="43" t="s">
        <v>251</v>
      </c>
      <c r="C2320" s="125">
        <v>2</v>
      </c>
      <c r="D2320" s="125"/>
      <c r="E2320" s="125" t="s">
        <v>4057</v>
      </c>
    </row>
    <row r="2321" spans="1:5" x14ac:dyDescent="0.35">
      <c r="A2321" s="125" t="s">
        <v>4209</v>
      </c>
      <c r="B2321" s="43" t="s">
        <v>251</v>
      </c>
      <c r="C2321" s="125">
        <v>2</v>
      </c>
      <c r="D2321" s="125"/>
      <c r="E2321" s="125" t="s">
        <v>4057</v>
      </c>
    </row>
    <row r="2322" spans="1:5" x14ac:dyDescent="0.35">
      <c r="A2322" s="125" t="s">
        <v>4210</v>
      </c>
      <c r="B2322" s="43" t="s">
        <v>251</v>
      </c>
      <c r="C2322" s="125">
        <v>2</v>
      </c>
      <c r="D2322" s="125"/>
      <c r="E2322" s="125" t="s">
        <v>4057</v>
      </c>
    </row>
    <row r="2323" spans="1:5" x14ac:dyDescent="0.35">
      <c r="A2323" s="125" t="s">
        <v>4211</v>
      </c>
      <c r="B2323" s="43" t="s">
        <v>251</v>
      </c>
      <c r="C2323" s="125">
        <v>2</v>
      </c>
      <c r="D2323" s="125"/>
      <c r="E2323" s="125" t="s">
        <v>4057</v>
      </c>
    </row>
    <row r="2324" spans="1:5" x14ac:dyDescent="0.35">
      <c r="A2324" s="125" t="s">
        <v>4212</v>
      </c>
      <c r="B2324" s="43" t="s">
        <v>251</v>
      </c>
      <c r="C2324" s="125">
        <v>2</v>
      </c>
      <c r="D2324" s="125"/>
      <c r="E2324" s="125" t="s">
        <v>4057</v>
      </c>
    </row>
    <row r="2325" spans="1:5" x14ac:dyDescent="0.35">
      <c r="A2325" s="125" t="s">
        <v>4213</v>
      </c>
      <c r="B2325" s="43" t="s">
        <v>253</v>
      </c>
      <c r="C2325" s="125">
        <v>2</v>
      </c>
      <c r="D2325" s="125"/>
      <c r="E2325" s="125" t="s">
        <v>4057</v>
      </c>
    </row>
    <row r="2326" spans="1:5" x14ac:dyDescent="0.35">
      <c r="A2326" s="125" t="s">
        <v>4214</v>
      </c>
      <c r="B2326" s="43" t="s">
        <v>253</v>
      </c>
      <c r="C2326" s="125">
        <v>2</v>
      </c>
      <c r="D2326" s="125"/>
      <c r="E2326" s="125" t="s">
        <v>4057</v>
      </c>
    </row>
    <row r="2327" spans="1:5" x14ac:dyDescent="0.35">
      <c r="A2327" s="125" t="s">
        <v>4215</v>
      </c>
      <c r="B2327" s="43" t="s">
        <v>253</v>
      </c>
      <c r="C2327" s="125">
        <v>2</v>
      </c>
      <c r="D2327" s="125"/>
      <c r="E2327" s="125" t="s">
        <v>4057</v>
      </c>
    </row>
    <row r="2328" spans="1:5" x14ac:dyDescent="0.35">
      <c r="A2328" s="125" t="s">
        <v>4216</v>
      </c>
      <c r="B2328" s="43" t="s">
        <v>253</v>
      </c>
      <c r="C2328" s="125">
        <v>2</v>
      </c>
      <c r="D2328" s="125"/>
      <c r="E2328" s="125" t="s">
        <v>4057</v>
      </c>
    </row>
    <row r="2329" spans="1:5" x14ac:dyDescent="0.35">
      <c r="A2329" s="125" t="s">
        <v>4217</v>
      </c>
      <c r="B2329" s="43" t="s">
        <v>253</v>
      </c>
      <c r="C2329" s="125">
        <v>2</v>
      </c>
      <c r="D2329" s="125"/>
      <c r="E2329" s="125" t="s">
        <v>4057</v>
      </c>
    </row>
    <row r="2330" spans="1:5" x14ac:dyDescent="0.35">
      <c r="A2330" s="125" t="s">
        <v>4218</v>
      </c>
      <c r="B2330" s="43" t="s">
        <v>253</v>
      </c>
      <c r="C2330" s="125">
        <v>2</v>
      </c>
      <c r="D2330" s="125"/>
      <c r="E2330" s="125" t="s">
        <v>4057</v>
      </c>
    </row>
    <row r="2331" spans="1:5" x14ac:dyDescent="0.35">
      <c r="A2331" s="125" t="s">
        <v>4219</v>
      </c>
      <c r="B2331" s="43" t="s">
        <v>253</v>
      </c>
      <c r="C2331" s="125">
        <v>2</v>
      </c>
      <c r="D2331" s="125"/>
      <c r="E2331" s="125" t="s">
        <v>4057</v>
      </c>
    </row>
    <row r="2332" spans="1:5" x14ac:dyDescent="0.35">
      <c r="A2332" s="125" t="s">
        <v>4220</v>
      </c>
      <c r="B2332" s="43" t="s">
        <v>253</v>
      </c>
      <c r="C2332" s="125">
        <v>2</v>
      </c>
      <c r="D2332" s="125"/>
      <c r="E2332" s="125" t="s">
        <v>4057</v>
      </c>
    </row>
    <row r="2333" spans="1:5" x14ac:dyDescent="0.35">
      <c r="A2333" s="125" t="s">
        <v>4221</v>
      </c>
      <c r="B2333" s="43" t="s">
        <v>253</v>
      </c>
      <c r="C2333" s="125">
        <v>2</v>
      </c>
      <c r="D2333" s="125"/>
      <c r="E2333" s="125" t="s">
        <v>4057</v>
      </c>
    </row>
    <row r="2334" spans="1:5" x14ac:dyDescent="0.35">
      <c r="A2334" s="125" t="s">
        <v>4222</v>
      </c>
      <c r="B2334" s="43" t="s">
        <v>253</v>
      </c>
      <c r="C2334" s="125">
        <v>2</v>
      </c>
      <c r="D2334" s="125"/>
      <c r="E2334" s="125" t="s">
        <v>4057</v>
      </c>
    </row>
    <row r="2335" spans="1:5" x14ac:dyDescent="0.35">
      <c r="A2335" s="125" t="s">
        <v>4223</v>
      </c>
      <c r="B2335" s="43" t="s">
        <v>253</v>
      </c>
      <c r="C2335" s="125">
        <v>2</v>
      </c>
      <c r="D2335" s="125"/>
      <c r="E2335" s="125" t="s">
        <v>4057</v>
      </c>
    </row>
    <row r="2336" spans="1:5" x14ac:dyDescent="0.35">
      <c r="A2336" s="125" t="s">
        <v>4224</v>
      </c>
      <c r="B2336" s="43" t="s">
        <v>253</v>
      </c>
      <c r="C2336" s="125">
        <v>2</v>
      </c>
      <c r="D2336" s="125"/>
      <c r="E2336" s="125" t="s">
        <v>4057</v>
      </c>
    </row>
    <row r="2337" spans="1:5" x14ac:dyDescent="0.35">
      <c r="A2337" s="125" t="s">
        <v>4225</v>
      </c>
      <c r="B2337" s="43" t="s">
        <v>255</v>
      </c>
      <c r="C2337" s="125">
        <v>2</v>
      </c>
      <c r="D2337" s="125"/>
      <c r="E2337" s="125" t="s">
        <v>4057</v>
      </c>
    </row>
    <row r="2338" spans="1:5" x14ac:dyDescent="0.35">
      <c r="A2338" s="125" t="s">
        <v>4226</v>
      </c>
      <c r="B2338" s="43" t="s">
        <v>255</v>
      </c>
      <c r="C2338" s="125">
        <v>2</v>
      </c>
      <c r="D2338" s="125"/>
      <c r="E2338" s="125" t="s">
        <v>4057</v>
      </c>
    </row>
    <row r="2339" spans="1:5" x14ac:dyDescent="0.35">
      <c r="A2339" s="125" t="s">
        <v>4227</v>
      </c>
      <c r="B2339" s="43" t="s">
        <v>255</v>
      </c>
      <c r="C2339" s="125">
        <v>2</v>
      </c>
      <c r="D2339" s="125"/>
      <c r="E2339" s="125" t="s">
        <v>4057</v>
      </c>
    </row>
    <row r="2340" spans="1:5" x14ac:dyDescent="0.35">
      <c r="A2340" s="125" t="s">
        <v>4228</v>
      </c>
      <c r="B2340" s="43" t="s">
        <v>255</v>
      </c>
      <c r="C2340" s="125">
        <v>2</v>
      </c>
      <c r="D2340" s="125"/>
      <c r="E2340" s="125" t="s">
        <v>4057</v>
      </c>
    </row>
    <row r="2341" spans="1:5" x14ac:dyDescent="0.35">
      <c r="A2341" s="125" t="s">
        <v>4229</v>
      </c>
      <c r="B2341" s="43" t="s">
        <v>255</v>
      </c>
      <c r="C2341" s="125">
        <v>2</v>
      </c>
      <c r="D2341" s="125"/>
      <c r="E2341" s="125" t="s">
        <v>4057</v>
      </c>
    </row>
    <row r="2342" spans="1:5" x14ac:dyDescent="0.35">
      <c r="A2342" s="125" t="s">
        <v>4230</v>
      </c>
      <c r="B2342" s="43" t="s">
        <v>255</v>
      </c>
      <c r="C2342" s="125">
        <v>2</v>
      </c>
      <c r="D2342" s="125"/>
      <c r="E2342" s="125" t="s">
        <v>4057</v>
      </c>
    </row>
    <row r="2343" spans="1:5" x14ac:dyDescent="0.35">
      <c r="A2343" s="125" t="s">
        <v>4231</v>
      </c>
      <c r="B2343" s="43" t="s">
        <v>255</v>
      </c>
      <c r="C2343" s="125">
        <v>2</v>
      </c>
      <c r="D2343" s="125"/>
      <c r="E2343" s="125" t="s">
        <v>4057</v>
      </c>
    </row>
    <row r="2344" spans="1:5" x14ac:dyDescent="0.35">
      <c r="A2344" s="125" t="s">
        <v>4232</v>
      </c>
      <c r="B2344" s="43" t="s">
        <v>255</v>
      </c>
      <c r="C2344" s="125">
        <v>2</v>
      </c>
      <c r="D2344" s="125"/>
      <c r="E2344" s="125" t="s">
        <v>4057</v>
      </c>
    </row>
    <row r="2345" spans="1:5" x14ac:dyDescent="0.35">
      <c r="A2345" s="125" t="s">
        <v>4233</v>
      </c>
      <c r="B2345" s="43" t="s">
        <v>255</v>
      </c>
      <c r="C2345" s="125">
        <v>2</v>
      </c>
      <c r="D2345" s="125"/>
      <c r="E2345" s="125" t="s">
        <v>4057</v>
      </c>
    </row>
    <row r="2346" spans="1:5" x14ac:dyDescent="0.35">
      <c r="A2346" s="125" t="s">
        <v>4234</v>
      </c>
      <c r="B2346" s="43" t="s">
        <v>255</v>
      </c>
      <c r="C2346" s="125">
        <v>2</v>
      </c>
      <c r="D2346" s="125"/>
      <c r="E2346" s="125" t="s">
        <v>4057</v>
      </c>
    </row>
    <row r="2347" spans="1:5" x14ac:dyDescent="0.35">
      <c r="A2347" s="125" t="s">
        <v>4235</v>
      </c>
      <c r="B2347" s="43" t="s">
        <v>255</v>
      </c>
      <c r="C2347" s="125">
        <v>2</v>
      </c>
      <c r="D2347" s="125"/>
      <c r="E2347" s="125" t="s">
        <v>4057</v>
      </c>
    </row>
    <row r="2348" spans="1:5" x14ac:dyDescent="0.35">
      <c r="A2348" s="125" t="s">
        <v>4236</v>
      </c>
      <c r="B2348" s="43" t="s">
        <v>255</v>
      </c>
      <c r="C2348" s="125">
        <v>2</v>
      </c>
      <c r="D2348" s="125"/>
      <c r="E2348" s="125" t="s">
        <v>4057</v>
      </c>
    </row>
    <row r="2349" spans="1:5" x14ac:dyDescent="0.35">
      <c r="A2349" s="125" t="s">
        <v>4237</v>
      </c>
      <c r="B2349" s="43" t="s">
        <v>257</v>
      </c>
      <c r="C2349" s="125">
        <v>2</v>
      </c>
      <c r="D2349" s="125"/>
      <c r="E2349" s="125" t="s">
        <v>4057</v>
      </c>
    </row>
    <row r="2350" spans="1:5" x14ac:dyDescent="0.35">
      <c r="A2350" s="125" t="s">
        <v>4238</v>
      </c>
      <c r="B2350" s="43" t="s">
        <v>257</v>
      </c>
      <c r="C2350" s="125">
        <v>2</v>
      </c>
      <c r="D2350" s="125"/>
      <c r="E2350" s="125" t="s">
        <v>4057</v>
      </c>
    </row>
    <row r="2351" spans="1:5" x14ac:dyDescent="0.35">
      <c r="A2351" s="125" t="s">
        <v>4239</v>
      </c>
      <c r="B2351" s="43" t="s">
        <v>257</v>
      </c>
      <c r="C2351" s="125">
        <v>2</v>
      </c>
      <c r="D2351" s="125"/>
      <c r="E2351" s="125" t="s">
        <v>4057</v>
      </c>
    </row>
    <row r="2352" spans="1:5" x14ac:dyDescent="0.35">
      <c r="A2352" s="125" t="s">
        <v>4240</v>
      </c>
      <c r="B2352" s="43" t="s">
        <v>257</v>
      </c>
      <c r="C2352" s="125">
        <v>2</v>
      </c>
      <c r="D2352" s="125"/>
      <c r="E2352" s="125" t="s">
        <v>4057</v>
      </c>
    </row>
    <row r="2353" spans="1:5" x14ac:dyDescent="0.35">
      <c r="A2353" s="125" t="s">
        <v>4241</v>
      </c>
      <c r="B2353" s="43" t="s">
        <v>257</v>
      </c>
      <c r="C2353" s="125">
        <v>2</v>
      </c>
      <c r="D2353" s="125"/>
      <c r="E2353" s="125" t="s">
        <v>4057</v>
      </c>
    </row>
    <row r="2354" spans="1:5" x14ac:dyDescent="0.35">
      <c r="A2354" s="125" t="s">
        <v>4242</v>
      </c>
      <c r="B2354" s="43" t="s">
        <v>257</v>
      </c>
      <c r="C2354" s="125">
        <v>2</v>
      </c>
      <c r="D2354" s="125"/>
      <c r="E2354" s="125" t="s">
        <v>4057</v>
      </c>
    </row>
    <row r="2355" spans="1:5" x14ac:dyDescent="0.35">
      <c r="A2355" s="125" t="s">
        <v>4243</v>
      </c>
      <c r="B2355" s="43" t="s">
        <v>257</v>
      </c>
      <c r="C2355" s="125">
        <v>2</v>
      </c>
      <c r="D2355" s="125"/>
      <c r="E2355" s="125" t="s">
        <v>4057</v>
      </c>
    </row>
    <row r="2356" spans="1:5" x14ac:dyDescent="0.35">
      <c r="A2356" s="125" t="s">
        <v>4244</v>
      </c>
      <c r="B2356" s="43" t="s">
        <v>257</v>
      </c>
      <c r="C2356" s="125">
        <v>2</v>
      </c>
      <c r="D2356" s="125"/>
      <c r="E2356" s="125" t="s">
        <v>4057</v>
      </c>
    </row>
    <row r="2357" spans="1:5" x14ac:dyDescent="0.35">
      <c r="A2357" s="125" t="s">
        <v>4245</v>
      </c>
      <c r="B2357" s="43" t="s">
        <v>257</v>
      </c>
      <c r="C2357" s="125">
        <v>2</v>
      </c>
      <c r="D2357" s="125"/>
      <c r="E2357" s="125" t="s">
        <v>4057</v>
      </c>
    </row>
    <row r="2358" spans="1:5" x14ac:dyDescent="0.35">
      <c r="A2358" s="125" t="s">
        <v>4246</v>
      </c>
      <c r="B2358" s="43" t="s">
        <v>257</v>
      </c>
      <c r="C2358" s="125">
        <v>2</v>
      </c>
      <c r="D2358" s="125"/>
      <c r="E2358" s="125" t="s">
        <v>4057</v>
      </c>
    </row>
    <row r="2359" spans="1:5" x14ac:dyDescent="0.35">
      <c r="A2359" s="125" t="s">
        <v>4247</v>
      </c>
      <c r="B2359" s="43" t="s">
        <v>257</v>
      </c>
      <c r="C2359" s="125">
        <v>2</v>
      </c>
      <c r="D2359" s="125"/>
      <c r="E2359" s="125" t="s">
        <v>4057</v>
      </c>
    </row>
    <row r="2360" spans="1:5" x14ac:dyDescent="0.35">
      <c r="A2360" s="125" t="s">
        <v>4248</v>
      </c>
      <c r="B2360" s="43" t="s">
        <v>257</v>
      </c>
      <c r="C2360" s="125">
        <v>2</v>
      </c>
      <c r="D2360" s="125"/>
      <c r="E2360" s="125" t="s">
        <v>4057</v>
      </c>
    </row>
    <row r="2362" spans="1:5" x14ac:dyDescent="0.35">
      <c r="A2362" s="40" t="s">
        <v>4249</v>
      </c>
      <c r="B2362" s="41" t="s">
        <v>4250</v>
      </c>
      <c r="C2362">
        <v>1</v>
      </c>
      <c r="E2362" s="81" t="s">
        <v>4251</v>
      </c>
    </row>
    <row r="2363" spans="1:5" x14ac:dyDescent="0.35">
      <c r="A2363" s="40" t="s">
        <v>4252</v>
      </c>
      <c r="B2363" s="41" t="s">
        <v>4253</v>
      </c>
      <c r="C2363">
        <v>1</v>
      </c>
      <c r="E2363" s="81" t="s">
        <v>4251</v>
      </c>
    </row>
    <row r="2364" spans="1:5" x14ac:dyDescent="0.35">
      <c r="A2364" s="40" t="s">
        <v>4254</v>
      </c>
      <c r="B2364" s="41" t="s">
        <v>4255</v>
      </c>
      <c r="C2364">
        <v>1</v>
      </c>
      <c r="E2364" s="81" t="s">
        <v>4251</v>
      </c>
    </row>
    <row r="2365" spans="1:5" x14ac:dyDescent="0.35">
      <c r="A2365" s="40" t="s">
        <v>4256</v>
      </c>
      <c r="B2365" s="41" t="s">
        <v>4257</v>
      </c>
      <c r="C2365">
        <v>1</v>
      </c>
      <c r="E2365" s="81" t="s">
        <v>4251</v>
      </c>
    </row>
    <row r="2366" spans="1:5" x14ac:dyDescent="0.35">
      <c r="A2366" s="40" t="s">
        <v>4258</v>
      </c>
      <c r="B2366" s="41" t="s">
        <v>4259</v>
      </c>
      <c r="C2366">
        <v>1</v>
      </c>
      <c r="E2366" s="81" t="s">
        <v>4251</v>
      </c>
    </row>
    <row r="2367" spans="1:5" x14ac:dyDescent="0.35">
      <c r="A2367" s="40" t="s">
        <v>4260</v>
      </c>
      <c r="B2367" s="41" t="s">
        <v>4261</v>
      </c>
      <c r="C2367">
        <v>1</v>
      </c>
      <c r="E2367" s="81" t="s">
        <v>4251</v>
      </c>
    </row>
    <row r="2368" spans="1:5" x14ac:dyDescent="0.35">
      <c r="A2368" s="40" t="s">
        <v>4262</v>
      </c>
      <c r="B2368" s="41" t="s">
        <v>4263</v>
      </c>
      <c r="C2368">
        <v>1</v>
      </c>
      <c r="E2368" s="81" t="s">
        <v>4251</v>
      </c>
    </row>
    <row r="2369" spans="1:5" x14ac:dyDescent="0.35">
      <c r="A2369" s="40" t="s">
        <v>4264</v>
      </c>
      <c r="B2369" s="41" t="s">
        <v>4265</v>
      </c>
      <c r="C2369">
        <v>1</v>
      </c>
      <c r="E2369" s="81" t="s">
        <v>4251</v>
      </c>
    </row>
    <row r="2370" spans="1:5" x14ac:dyDescent="0.35">
      <c r="A2370" s="40" t="s">
        <v>4266</v>
      </c>
      <c r="B2370" s="41" t="s">
        <v>1307</v>
      </c>
      <c r="C2370">
        <v>1</v>
      </c>
      <c r="E2370" s="81" t="s">
        <v>4251</v>
      </c>
    </row>
    <row r="2371" spans="1:5" x14ac:dyDescent="0.35">
      <c r="A2371" s="40" t="s">
        <v>4267</v>
      </c>
      <c r="B2371" s="41" t="s">
        <v>4268</v>
      </c>
      <c r="C2371">
        <v>1</v>
      </c>
      <c r="E2371" s="81" t="s">
        <v>4251</v>
      </c>
    </row>
    <row r="2372" spans="1:5" x14ac:dyDescent="0.35">
      <c r="A2372" s="40" t="s">
        <v>4269</v>
      </c>
      <c r="B2372" s="41" t="s">
        <v>4270</v>
      </c>
      <c r="C2372">
        <v>1</v>
      </c>
      <c r="E2372" s="81" t="s">
        <v>4251</v>
      </c>
    </row>
    <row r="2373" spans="1:5" x14ac:dyDescent="0.35">
      <c r="A2373" s="40" t="s">
        <v>4271</v>
      </c>
      <c r="B2373" s="41" t="s">
        <v>4272</v>
      </c>
      <c r="C2373">
        <v>1</v>
      </c>
      <c r="E2373" s="81" t="s">
        <v>4251</v>
      </c>
    </row>
    <row r="2374" spans="1:5" x14ac:dyDescent="0.35">
      <c r="A2374" s="40" t="s">
        <v>4273</v>
      </c>
      <c r="B2374" s="41" t="s">
        <v>4274</v>
      </c>
      <c r="C2374">
        <v>1</v>
      </c>
      <c r="E2374" s="81" t="s">
        <v>4251</v>
      </c>
    </row>
    <row r="2375" spans="1:5" x14ac:dyDescent="0.35">
      <c r="A2375" s="40" t="s">
        <v>4275</v>
      </c>
      <c r="B2375" s="41" t="s">
        <v>4276</v>
      </c>
      <c r="C2375">
        <v>1</v>
      </c>
      <c r="E2375" s="81" t="s">
        <v>4251</v>
      </c>
    </row>
    <row r="2376" spans="1:5" x14ac:dyDescent="0.35">
      <c r="A2376" s="40" t="s">
        <v>4277</v>
      </c>
      <c r="B2376" s="41" t="s">
        <v>4278</v>
      </c>
      <c r="C2376">
        <v>1</v>
      </c>
      <c r="E2376" s="81" t="s">
        <v>4251</v>
      </c>
    </row>
    <row r="2377" spans="1:5" x14ac:dyDescent="0.35">
      <c r="A2377" s="40" t="s">
        <v>4279</v>
      </c>
      <c r="B2377" s="41" t="s">
        <v>4280</v>
      </c>
      <c r="C2377">
        <v>1</v>
      </c>
      <c r="E2377" s="81" t="s">
        <v>4251</v>
      </c>
    </row>
    <row r="2378" spans="1:5" x14ac:dyDescent="0.35">
      <c r="A2378" s="40" t="s">
        <v>4281</v>
      </c>
      <c r="B2378" s="41" t="s">
        <v>4282</v>
      </c>
      <c r="C2378">
        <v>1</v>
      </c>
      <c r="E2378" s="81" t="s">
        <v>4251</v>
      </c>
    </row>
    <row r="2379" spans="1:5" x14ac:dyDescent="0.35">
      <c r="A2379" s="40" t="s">
        <v>4283</v>
      </c>
      <c r="B2379" s="41" t="s">
        <v>4284</v>
      </c>
      <c r="C2379">
        <v>1</v>
      </c>
      <c r="E2379" s="81" t="s">
        <v>4251</v>
      </c>
    </row>
    <row r="2380" spans="1:5" x14ac:dyDescent="0.35">
      <c r="A2380" s="40" t="s">
        <v>4285</v>
      </c>
      <c r="B2380" s="41" t="s">
        <v>4286</v>
      </c>
      <c r="C2380">
        <v>1</v>
      </c>
      <c r="E2380" s="81" t="s">
        <v>4251</v>
      </c>
    </row>
    <row r="2381" spans="1:5" x14ac:dyDescent="0.35">
      <c r="A2381" s="40" t="s">
        <v>4287</v>
      </c>
      <c r="B2381" s="41" t="s">
        <v>4288</v>
      </c>
      <c r="C2381">
        <v>1</v>
      </c>
      <c r="E2381" s="81" t="s">
        <v>4251</v>
      </c>
    </row>
    <row r="2382" spans="1:5" x14ac:dyDescent="0.35">
      <c r="A2382" s="40" t="s">
        <v>4289</v>
      </c>
      <c r="B2382" s="41" t="s">
        <v>4290</v>
      </c>
      <c r="C2382">
        <v>1</v>
      </c>
      <c r="E2382" s="81" t="s">
        <v>4251</v>
      </c>
    </row>
    <row r="2383" spans="1:5" x14ac:dyDescent="0.35">
      <c r="A2383" s="40" t="s">
        <v>4291</v>
      </c>
      <c r="B2383" s="41" t="s">
        <v>4292</v>
      </c>
      <c r="C2383">
        <v>1</v>
      </c>
      <c r="E2383" s="81" t="s">
        <v>4251</v>
      </c>
    </row>
    <row r="2384" spans="1:5" x14ac:dyDescent="0.35">
      <c r="A2384" s="40" t="s">
        <v>4293</v>
      </c>
      <c r="B2384" s="41" t="s">
        <v>4294</v>
      </c>
      <c r="C2384">
        <v>1</v>
      </c>
      <c r="E2384" s="81" t="s">
        <v>4251</v>
      </c>
    </row>
    <row r="2385" spans="1:5" x14ac:dyDescent="0.35">
      <c r="A2385" s="40" t="s">
        <v>4295</v>
      </c>
      <c r="B2385" s="41" t="s">
        <v>4296</v>
      </c>
      <c r="C2385">
        <v>1</v>
      </c>
      <c r="E2385" s="81" t="s">
        <v>4251</v>
      </c>
    </row>
    <row r="2386" spans="1:5" x14ac:dyDescent="0.35">
      <c r="A2386" s="40" t="s">
        <v>4297</v>
      </c>
      <c r="B2386" s="41" t="s">
        <v>2051</v>
      </c>
      <c r="C2386">
        <v>1</v>
      </c>
      <c r="E2386" s="81" t="s">
        <v>4251</v>
      </c>
    </row>
    <row r="2387" spans="1:5" x14ac:dyDescent="0.35">
      <c r="A2387" s="40" t="s">
        <v>4298</v>
      </c>
      <c r="B2387" s="41" t="s">
        <v>2049</v>
      </c>
      <c r="C2387">
        <v>1</v>
      </c>
      <c r="E2387" s="81" t="s">
        <v>4251</v>
      </c>
    </row>
    <row r="2388" spans="1:5" x14ac:dyDescent="0.35">
      <c r="A2388" s="40" t="s">
        <v>4299</v>
      </c>
      <c r="B2388" s="41" t="s">
        <v>2047</v>
      </c>
      <c r="C2388">
        <v>1</v>
      </c>
      <c r="E2388" s="81" t="s">
        <v>4251</v>
      </c>
    </row>
    <row r="2389" spans="1:5" x14ac:dyDescent="0.35">
      <c r="A2389" s="40" t="s">
        <v>4300</v>
      </c>
      <c r="B2389" s="41" t="s">
        <v>2045</v>
      </c>
      <c r="C2389">
        <v>1</v>
      </c>
      <c r="E2389" s="81" t="s">
        <v>4251</v>
      </c>
    </row>
    <row r="2390" spans="1:5" x14ac:dyDescent="0.35">
      <c r="A2390" s="40" t="s">
        <v>4301</v>
      </c>
      <c r="B2390" s="41" t="s">
        <v>2043</v>
      </c>
      <c r="C2390">
        <v>1</v>
      </c>
      <c r="E2390" s="81" t="s">
        <v>4251</v>
      </c>
    </row>
    <row r="2391" spans="1:5" x14ac:dyDescent="0.35">
      <c r="A2391" s="40" t="s">
        <v>4302</v>
      </c>
      <c r="B2391" s="41" t="s">
        <v>2041</v>
      </c>
      <c r="C2391">
        <v>1</v>
      </c>
      <c r="E2391" s="81" t="s">
        <v>4251</v>
      </c>
    </row>
    <row r="2392" spans="1:5" x14ac:dyDescent="0.35">
      <c r="A2392" s="40" t="s">
        <v>4303</v>
      </c>
      <c r="B2392" s="41" t="s">
        <v>2039</v>
      </c>
      <c r="C2392">
        <v>1</v>
      </c>
      <c r="E2392" s="81" t="s">
        <v>4251</v>
      </c>
    </row>
    <row r="2393" spans="1:5" x14ac:dyDescent="0.35">
      <c r="A2393" s="40" t="s">
        <v>4304</v>
      </c>
      <c r="B2393" s="41" t="s">
        <v>2037</v>
      </c>
      <c r="C2393">
        <v>1</v>
      </c>
      <c r="E2393" s="81" t="s">
        <v>4251</v>
      </c>
    </row>
    <row r="2394" spans="1:5" x14ac:dyDescent="0.35">
      <c r="A2394" s="40" t="s">
        <v>4305</v>
      </c>
      <c r="B2394" s="40" t="s">
        <v>2035</v>
      </c>
      <c r="C2394">
        <v>1</v>
      </c>
      <c r="E2394" s="81" t="s">
        <v>4251</v>
      </c>
    </row>
    <row r="2395" spans="1:5" x14ac:dyDescent="0.35">
      <c r="A2395" s="40" t="s">
        <v>4306</v>
      </c>
      <c r="B2395" s="40" t="s">
        <v>2033</v>
      </c>
      <c r="C2395">
        <v>1</v>
      </c>
      <c r="E2395" s="81" t="s">
        <v>4251</v>
      </c>
    </row>
    <row r="2396" spans="1:5" x14ac:dyDescent="0.35">
      <c r="A2396" s="40" t="s">
        <v>4307</v>
      </c>
      <c r="B2396" s="40" t="s">
        <v>2031</v>
      </c>
      <c r="C2396">
        <v>1</v>
      </c>
      <c r="E2396" s="81" t="s">
        <v>4251</v>
      </c>
    </row>
    <row r="2397" spans="1:5" x14ac:dyDescent="0.35">
      <c r="A2397" s="40" t="s">
        <v>4308</v>
      </c>
      <c r="B2397" s="40" t="s">
        <v>2029</v>
      </c>
      <c r="C2397">
        <v>1</v>
      </c>
      <c r="E2397" s="81" t="s">
        <v>4251</v>
      </c>
    </row>
    <row r="2398" spans="1:5" x14ac:dyDescent="0.35">
      <c r="A2398" s="40" t="s">
        <v>4309</v>
      </c>
      <c r="B2398" s="40" t="s">
        <v>2027</v>
      </c>
      <c r="C2398">
        <v>1</v>
      </c>
      <c r="E2398" s="81" t="s">
        <v>4251</v>
      </c>
    </row>
    <row r="2399" spans="1:5" x14ac:dyDescent="0.35">
      <c r="A2399" s="40" t="s">
        <v>4310</v>
      </c>
      <c r="B2399" s="40" t="s">
        <v>2025</v>
      </c>
      <c r="C2399">
        <v>1</v>
      </c>
      <c r="E2399" s="81" t="s">
        <v>4251</v>
      </c>
    </row>
    <row r="2400" spans="1:5" x14ac:dyDescent="0.35">
      <c r="A2400" s="40" t="s">
        <v>4311</v>
      </c>
      <c r="B2400" s="40" t="s">
        <v>2023</v>
      </c>
      <c r="C2400">
        <v>1</v>
      </c>
      <c r="E2400" s="81" t="s">
        <v>4251</v>
      </c>
    </row>
    <row r="2401" spans="1:5" x14ac:dyDescent="0.35">
      <c r="A2401" s="40" t="s">
        <v>4312</v>
      </c>
      <c r="B2401" s="40" t="s">
        <v>2021</v>
      </c>
      <c r="C2401">
        <v>1</v>
      </c>
      <c r="E2401" s="81" t="s">
        <v>4251</v>
      </c>
    </row>
    <row r="2402" spans="1:5" x14ac:dyDescent="0.35">
      <c r="A2402" s="40" t="s">
        <v>4313</v>
      </c>
      <c r="B2402" s="40" t="s">
        <v>2019</v>
      </c>
      <c r="C2402">
        <v>1</v>
      </c>
      <c r="E2402" s="81" t="s">
        <v>4251</v>
      </c>
    </row>
    <row r="2403" spans="1:5" x14ac:dyDescent="0.35">
      <c r="A2403" s="40" t="s">
        <v>4314</v>
      </c>
      <c r="B2403" s="40" t="s">
        <v>2017</v>
      </c>
      <c r="C2403">
        <v>1</v>
      </c>
      <c r="E2403" s="81" t="s">
        <v>4251</v>
      </c>
    </row>
    <row r="2404" spans="1:5" x14ac:dyDescent="0.35">
      <c r="A2404" s="40" t="s">
        <v>4315</v>
      </c>
      <c r="B2404" s="40" t="s">
        <v>2015</v>
      </c>
      <c r="C2404">
        <v>1</v>
      </c>
      <c r="E2404" s="81" t="s">
        <v>4251</v>
      </c>
    </row>
    <row r="2405" spans="1:5" x14ac:dyDescent="0.35">
      <c r="A2405" s="40" t="s">
        <v>4316</v>
      </c>
      <c r="B2405" s="40" t="s">
        <v>2013</v>
      </c>
      <c r="C2405">
        <v>1</v>
      </c>
      <c r="E2405" s="81" t="s">
        <v>4251</v>
      </c>
    </row>
    <row r="2406" spans="1:5" x14ac:dyDescent="0.35">
      <c r="A2406" s="40" t="s">
        <v>4317</v>
      </c>
      <c r="B2406" s="40" t="s">
        <v>2011</v>
      </c>
      <c r="C2406">
        <v>1</v>
      </c>
      <c r="E2406" s="81" t="s">
        <v>4251</v>
      </c>
    </row>
    <row r="2407" spans="1:5" x14ac:dyDescent="0.35">
      <c r="A2407" s="40" t="s">
        <v>4318</v>
      </c>
      <c r="B2407" s="40" t="s">
        <v>2009</v>
      </c>
      <c r="C2407">
        <v>1</v>
      </c>
      <c r="E2407" s="81" t="s">
        <v>4251</v>
      </c>
    </row>
    <row r="2408" spans="1:5" x14ac:dyDescent="0.35">
      <c r="A2408" s="40" t="s">
        <v>4319</v>
      </c>
      <c r="B2408" s="40" t="s">
        <v>2007</v>
      </c>
      <c r="C2408">
        <v>1</v>
      </c>
      <c r="E2408" s="81" t="s">
        <v>4251</v>
      </c>
    </row>
    <row r="2409" spans="1:5" x14ac:dyDescent="0.35">
      <c r="A2409" s="40" t="s">
        <v>4320</v>
      </c>
      <c r="B2409" s="40" t="s">
        <v>2005</v>
      </c>
      <c r="C2409">
        <v>1</v>
      </c>
      <c r="E2409" s="81" t="s">
        <v>4251</v>
      </c>
    </row>
    <row r="2410" spans="1:5" x14ac:dyDescent="0.35">
      <c r="B2410" s="32" t="s">
        <v>242</v>
      </c>
    </row>
    <row r="2411" spans="1:5" x14ac:dyDescent="0.35">
      <c r="A2411" s="40" t="s">
        <v>4321</v>
      </c>
      <c r="B2411" s="41" t="s">
        <v>1958</v>
      </c>
      <c r="C2411">
        <v>2</v>
      </c>
      <c r="E2411" s="81" t="s">
        <v>4251</v>
      </c>
    </row>
    <row r="2412" spans="1:5" x14ac:dyDescent="0.35">
      <c r="A2412" s="40" t="s">
        <v>4322</v>
      </c>
      <c r="B2412" s="41" t="s">
        <v>1960</v>
      </c>
      <c r="C2412">
        <v>2</v>
      </c>
      <c r="E2412" s="81" t="s">
        <v>4251</v>
      </c>
    </row>
    <row r="2413" spans="1:5" x14ac:dyDescent="0.35">
      <c r="A2413" s="40" t="s">
        <v>4323</v>
      </c>
      <c r="B2413" s="41" t="s">
        <v>1962</v>
      </c>
      <c r="C2413">
        <v>2</v>
      </c>
      <c r="E2413" s="81" t="s">
        <v>4251</v>
      </c>
    </row>
    <row r="2414" spans="1:5" x14ac:dyDescent="0.35">
      <c r="A2414" s="40" t="s">
        <v>4324</v>
      </c>
      <c r="B2414" s="41" t="s">
        <v>1964</v>
      </c>
      <c r="C2414">
        <v>2</v>
      </c>
      <c r="E2414" s="81" t="s">
        <v>4251</v>
      </c>
    </row>
    <row r="2415" spans="1:5" x14ac:dyDescent="0.35">
      <c r="A2415" s="40" t="s">
        <v>4325</v>
      </c>
      <c r="B2415" s="41" t="s">
        <v>1966</v>
      </c>
      <c r="C2415">
        <v>2</v>
      </c>
      <c r="E2415" s="81" t="s">
        <v>4251</v>
      </c>
    </row>
    <row r="2416" spans="1:5" x14ac:dyDescent="0.35">
      <c r="A2416" s="40" t="s">
        <v>4326</v>
      </c>
      <c r="B2416" s="41" t="s">
        <v>1968</v>
      </c>
      <c r="C2416">
        <v>2</v>
      </c>
      <c r="E2416" s="81" t="s">
        <v>4251</v>
      </c>
    </row>
    <row r="2417" spans="1:5" x14ac:dyDescent="0.35">
      <c r="A2417" s="40" t="s">
        <v>4327</v>
      </c>
      <c r="B2417" s="41" t="s">
        <v>1970</v>
      </c>
      <c r="C2417">
        <v>2</v>
      </c>
      <c r="E2417" s="81" t="s">
        <v>4251</v>
      </c>
    </row>
    <row r="2418" spans="1:5" x14ac:dyDescent="0.35">
      <c r="A2418" s="40" t="s">
        <v>4328</v>
      </c>
      <c r="B2418" s="41" t="s">
        <v>1972</v>
      </c>
      <c r="C2418">
        <v>2</v>
      </c>
      <c r="E2418" s="81" t="s">
        <v>4251</v>
      </c>
    </row>
    <row r="2419" spans="1:5" x14ac:dyDescent="0.35">
      <c r="A2419" s="40" t="s">
        <v>4329</v>
      </c>
      <c r="B2419" s="41" t="s">
        <v>1974</v>
      </c>
      <c r="C2419">
        <v>2</v>
      </c>
      <c r="E2419" s="81" t="s">
        <v>4251</v>
      </c>
    </row>
    <row r="2420" spans="1:5" x14ac:dyDescent="0.35">
      <c r="A2420" s="40" t="s">
        <v>4330</v>
      </c>
      <c r="B2420" s="41" t="s">
        <v>1976</v>
      </c>
      <c r="C2420">
        <v>2</v>
      </c>
      <c r="E2420" s="81" t="s">
        <v>4251</v>
      </c>
    </row>
    <row r="2421" spans="1:5" x14ac:dyDescent="0.35">
      <c r="A2421" s="40" t="s">
        <v>4331</v>
      </c>
      <c r="B2421" s="41" t="s">
        <v>1978</v>
      </c>
      <c r="C2421">
        <v>2</v>
      </c>
      <c r="E2421" s="81" t="s">
        <v>4251</v>
      </c>
    </row>
    <row r="2422" spans="1:5" x14ac:dyDescent="0.35">
      <c r="A2422" s="40" t="s">
        <v>4332</v>
      </c>
      <c r="B2422" s="41" t="s">
        <v>1980</v>
      </c>
      <c r="C2422">
        <v>2</v>
      </c>
      <c r="E2422" s="81" t="s">
        <v>4251</v>
      </c>
    </row>
    <row r="2423" spans="1:5" x14ac:dyDescent="0.35">
      <c r="A2423" s="40" t="s">
        <v>4333</v>
      </c>
      <c r="B2423" s="41" t="s">
        <v>1982</v>
      </c>
      <c r="C2423">
        <v>2</v>
      </c>
      <c r="E2423" s="81" t="s">
        <v>4251</v>
      </c>
    </row>
    <row r="2424" spans="1:5" x14ac:dyDescent="0.35">
      <c r="A2424" s="40" t="s">
        <v>4334</v>
      </c>
      <c r="B2424" s="41" t="s">
        <v>1329</v>
      </c>
      <c r="C2424">
        <v>2</v>
      </c>
      <c r="E2424" s="81" t="s">
        <v>4251</v>
      </c>
    </row>
    <row r="2425" spans="1:5" x14ac:dyDescent="0.35">
      <c r="A2425" s="40" t="s">
        <v>4335</v>
      </c>
      <c r="B2425" s="41" t="s">
        <v>1985</v>
      </c>
      <c r="C2425">
        <v>2</v>
      </c>
      <c r="E2425" s="81" t="s">
        <v>4251</v>
      </c>
    </row>
    <row r="2426" spans="1:5" x14ac:dyDescent="0.35">
      <c r="A2426" s="40" t="s">
        <v>4336</v>
      </c>
      <c r="B2426" s="41" t="s">
        <v>1987</v>
      </c>
      <c r="C2426">
        <v>2</v>
      </c>
      <c r="E2426" s="81" t="s">
        <v>4251</v>
      </c>
    </row>
    <row r="2427" spans="1:5" x14ac:dyDescent="0.35">
      <c r="A2427" s="40" t="s">
        <v>4337</v>
      </c>
      <c r="B2427" s="41" t="s">
        <v>1989</v>
      </c>
      <c r="C2427">
        <v>2</v>
      </c>
      <c r="E2427" s="81" t="s">
        <v>4251</v>
      </c>
    </row>
    <row r="2428" spans="1:5" x14ac:dyDescent="0.35">
      <c r="A2428" s="40" t="s">
        <v>4338</v>
      </c>
      <c r="B2428" s="41" t="s">
        <v>1991</v>
      </c>
      <c r="C2428">
        <v>2</v>
      </c>
      <c r="E2428" s="81" t="s">
        <v>4251</v>
      </c>
    </row>
    <row r="2429" spans="1:5" x14ac:dyDescent="0.35">
      <c r="A2429" s="40" t="s">
        <v>4339</v>
      </c>
      <c r="B2429" s="41" t="s">
        <v>1993</v>
      </c>
      <c r="C2429">
        <v>2</v>
      </c>
      <c r="E2429" s="81" t="s">
        <v>4251</v>
      </c>
    </row>
    <row r="2430" spans="1:5" x14ac:dyDescent="0.35">
      <c r="A2430" s="40" t="s">
        <v>4340</v>
      </c>
      <c r="B2430" s="41" t="s">
        <v>1995</v>
      </c>
      <c r="C2430">
        <v>2</v>
      </c>
      <c r="E2430" s="81" t="s">
        <v>4251</v>
      </c>
    </row>
    <row r="2431" spans="1:5" x14ac:dyDescent="0.35">
      <c r="A2431" s="40" t="s">
        <v>4341</v>
      </c>
      <c r="B2431" s="41" t="s">
        <v>1997</v>
      </c>
      <c r="C2431">
        <v>2</v>
      </c>
      <c r="E2431" s="81" t="s">
        <v>4251</v>
      </c>
    </row>
    <row r="2432" spans="1:5" x14ac:dyDescent="0.35">
      <c r="A2432" s="40" t="s">
        <v>4342</v>
      </c>
      <c r="B2432" s="41" t="s">
        <v>1999</v>
      </c>
      <c r="C2432">
        <v>2</v>
      </c>
      <c r="E2432" s="81" t="s">
        <v>4251</v>
      </c>
    </row>
    <row r="2433" spans="1:5" x14ac:dyDescent="0.35">
      <c r="A2433" s="40" t="s">
        <v>4343</v>
      </c>
      <c r="B2433" s="41" t="s">
        <v>2001</v>
      </c>
      <c r="C2433">
        <v>2</v>
      </c>
      <c r="E2433" s="81" t="s">
        <v>4251</v>
      </c>
    </row>
    <row r="2434" spans="1:5" x14ac:dyDescent="0.35">
      <c r="A2434" s="40" t="s">
        <v>4344</v>
      </c>
      <c r="B2434" s="41" t="s">
        <v>2003</v>
      </c>
      <c r="C2434">
        <v>2</v>
      </c>
      <c r="E2434" s="81" t="s">
        <v>4251</v>
      </c>
    </row>
    <row r="2435" spans="1:5" x14ac:dyDescent="0.35">
      <c r="A2435" s="40" t="s">
        <v>4345</v>
      </c>
      <c r="B2435" s="41" t="s">
        <v>4250</v>
      </c>
      <c r="C2435">
        <v>2</v>
      </c>
      <c r="E2435" s="81" t="s">
        <v>4251</v>
      </c>
    </row>
    <row r="2436" spans="1:5" x14ac:dyDescent="0.35">
      <c r="A2436" s="40" t="s">
        <v>4346</v>
      </c>
      <c r="B2436" s="41" t="s">
        <v>4253</v>
      </c>
      <c r="C2436">
        <v>2</v>
      </c>
      <c r="E2436" s="81" t="s">
        <v>4251</v>
      </c>
    </row>
    <row r="2437" spans="1:5" x14ac:dyDescent="0.35">
      <c r="A2437" s="40" t="s">
        <v>4347</v>
      </c>
      <c r="B2437" s="41" t="s">
        <v>4255</v>
      </c>
      <c r="C2437">
        <v>2</v>
      </c>
      <c r="E2437" s="81" t="s">
        <v>4251</v>
      </c>
    </row>
    <row r="2438" spans="1:5" x14ac:dyDescent="0.35">
      <c r="A2438" s="40" t="s">
        <v>4348</v>
      </c>
      <c r="B2438" s="41" t="s">
        <v>4257</v>
      </c>
      <c r="C2438">
        <v>2</v>
      </c>
      <c r="E2438" s="81" t="s">
        <v>4251</v>
      </c>
    </row>
    <row r="2439" spans="1:5" x14ac:dyDescent="0.35">
      <c r="A2439" s="40" t="s">
        <v>4349</v>
      </c>
      <c r="B2439" s="41" t="s">
        <v>4259</v>
      </c>
      <c r="C2439">
        <v>2</v>
      </c>
      <c r="E2439" s="81" t="s">
        <v>4251</v>
      </c>
    </row>
    <row r="2440" spans="1:5" x14ac:dyDescent="0.35">
      <c r="A2440" s="40" t="s">
        <v>4350</v>
      </c>
      <c r="B2440" s="41" t="s">
        <v>4261</v>
      </c>
      <c r="C2440">
        <v>2</v>
      </c>
      <c r="E2440" s="81" t="s">
        <v>4251</v>
      </c>
    </row>
    <row r="2441" spans="1:5" x14ac:dyDescent="0.35">
      <c r="A2441" s="40" t="s">
        <v>4351</v>
      </c>
      <c r="B2441" s="41" t="s">
        <v>4263</v>
      </c>
      <c r="C2441">
        <v>2</v>
      </c>
      <c r="E2441" s="81" t="s">
        <v>4251</v>
      </c>
    </row>
    <row r="2442" spans="1:5" x14ac:dyDescent="0.35">
      <c r="A2442" s="40" t="s">
        <v>4352</v>
      </c>
      <c r="B2442" s="41" t="s">
        <v>4265</v>
      </c>
      <c r="C2442">
        <v>2</v>
      </c>
      <c r="E2442" s="81" t="s">
        <v>4251</v>
      </c>
    </row>
    <row r="2443" spans="1:5" x14ac:dyDescent="0.35">
      <c r="A2443" s="40" t="s">
        <v>4353</v>
      </c>
      <c r="B2443" s="40" t="s">
        <v>1307</v>
      </c>
      <c r="C2443">
        <v>2</v>
      </c>
      <c r="E2443" s="81" t="s">
        <v>4251</v>
      </c>
    </row>
    <row r="2444" spans="1:5" x14ac:dyDescent="0.35">
      <c r="A2444" s="40" t="s">
        <v>4354</v>
      </c>
      <c r="B2444" s="40" t="s">
        <v>4268</v>
      </c>
      <c r="C2444">
        <v>2</v>
      </c>
      <c r="E2444" s="81" t="s">
        <v>4251</v>
      </c>
    </row>
    <row r="2445" spans="1:5" x14ac:dyDescent="0.35">
      <c r="A2445" s="40" t="s">
        <v>4355</v>
      </c>
      <c r="B2445" s="40" t="s">
        <v>4270</v>
      </c>
      <c r="C2445">
        <v>2</v>
      </c>
      <c r="E2445" s="81" t="s">
        <v>4251</v>
      </c>
    </row>
    <row r="2446" spans="1:5" x14ac:dyDescent="0.35">
      <c r="A2446" s="40" t="s">
        <v>4356</v>
      </c>
      <c r="B2446" s="40" t="s">
        <v>4272</v>
      </c>
      <c r="C2446">
        <v>2</v>
      </c>
      <c r="E2446" s="81" t="s">
        <v>4251</v>
      </c>
    </row>
    <row r="2447" spans="1:5" x14ac:dyDescent="0.35">
      <c r="A2447" s="40" t="s">
        <v>4357</v>
      </c>
      <c r="B2447" s="40" t="s">
        <v>4274</v>
      </c>
      <c r="C2447">
        <v>2</v>
      </c>
      <c r="E2447" s="81" t="s">
        <v>4251</v>
      </c>
    </row>
    <row r="2448" spans="1:5" x14ac:dyDescent="0.35">
      <c r="A2448" s="40" t="s">
        <v>4358</v>
      </c>
      <c r="B2448" s="40" t="s">
        <v>4276</v>
      </c>
      <c r="C2448">
        <v>2</v>
      </c>
      <c r="E2448" s="81" t="s">
        <v>4251</v>
      </c>
    </row>
    <row r="2449" spans="1:5" x14ac:dyDescent="0.35">
      <c r="A2449" s="40" t="s">
        <v>4359</v>
      </c>
      <c r="B2449" s="40" t="s">
        <v>4278</v>
      </c>
      <c r="C2449">
        <v>2</v>
      </c>
      <c r="E2449" s="81" t="s">
        <v>4251</v>
      </c>
    </row>
    <row r="2450" spans="1:5" x14ac:dyDescent="0.35">
      <c r="A2450" s="40" t="s">
        <v>4360</v>
      </c>
      <c r="B2450" s="40" t="s">
        <v>4280</v>
      </c>
      <c r="C2450">
        <v>2</v>
      </c>
      <c r="E2450" s="81" t="s">
        <v>4251</v>
      </c>
    </row>
    <row r="2451" spans="1:5" x14ac:dyDescent="0.35">
      <c r="A2451" s="40" t="s">
        <v>4361</v>
      </c>
      <c r="B2451" s="40" t="s">
        <v>4282</v>
      </c>
      <c r="C2451">
        <v>2</v>
      </c>
      <c r="E2451" s="81" t="s">
        <v>4251</v>
      </c>
    </row>
    <row r="2452" spans="1:5" x14ac:dyDescent="0.35">
      <c r="A2452" s="40" t="s">
        <v>4362</v>
      </c>
      <c r="B2452" s="40" t="s">
        <v>4284</v>
      </c>
      <c r="C2452">
        <v>2</v>
      </c>
      <c r="E2452" s="81" t="s">
        <v>4251</v>
      </c>
    </row>
    <row r="2453" spans="1:5" x14ac:dyDescent="0.35">
      <c r="A2453" s="40" t="s">
        <v>4363</v>
      </c>
      <c r="B2453" s="40" t="s">
        <v>4286</v>
      </c>
      <c r="C2453">
        <v>2</v>
      </c>
      <c r="E2453" s="81" t="s">
        <v>4251</v>
      </c>
    </row>
    <row r="2454" spans="1:5" x14ac:dyDescent="0.35">
      <c r="A2454" s="40" t="s">
        <v>4364</v>
      </c>
      <c r="B2454" s="40" t="s">
        <v>4288</v>
      </c>
      <c r="C2454">
        <v>2</v>
      </c>
      <c r="E2454" s="81" t="s">
        <v>4251</v>
      </c>
    </row>
    <row r="2455" spans="1:5" x14ac:dyDescent="0.35">
      <c r="A2455" s="40" t="s">
        <v>4365</v>
      </c>
      <c r="B2455" s="40" t="s">
        <v>4290</v>
      </c>
      <c r="C2455">
        <v>2</v>
      </c>
      <c r="E2455" s="81" t="s">
        <v>4251</v>
      </c>
    </row>
    <row r="2456" spans="1:5" x14ac:dyDescent="0.35">
      <c r="A2456" s="40" t="s">
        <v>4366</v>
      </c>
      <c r="B2456" s="40" t="s">
        <v>4292</v>
      </c>
      <c r="C2456">
        <v>2</v>
      </c>
      <c r="E2456" s="81" t="s">
        <v>4251</v>
      </c>
    </row>
    <row r="2457" spans="1:5" x14ac:dyDescent="0.35">
      <c r="A2457" s="40" t="s">
        <v>4367</v>
      </c>
      <c r="B2457" s="40" t="s">
        <v>4294</v>
      </c>
      <c r="C2457">
        <v>2</v>
      </c>
      <c r="E2457" s="81" t="s">
        <v>4251</v>
      </c>
    </row>
    <row r="2458" spans="1:5" x14ac:dyDescent="0.35">
      <c r="A2458" s="40" t="s">
        <v>4368</v>
      </c>
      <c r="B2458" s="40" t="s">
        <v>4296</v>
      </c>
      <c r="C2458">
        <v>2</v>
      </c>
      <c r="E2458" s="81" t="s">
        <v>4251</v>
      </c>
    </row>
    <row r="2460" spans="1:5" x14ac:dyDescent="0.35">
      <c r="A2460" s="1" t="s">
        <v>4369</v>
      </c>
      <c r="B2460" s="1" t="s">
        <v>4370</v>
      </c>
      <c r="C2460">
        <v>1</v>
      </c>
      <c r="E2460" s="1" t="s">
        <v>4371</v>
      </c>
    </row>
    <row r="2461" spans="1:5" x14ac:dyDescent="0.35">
      <c r="A2461" s="1" t="s">
        <v>4372</v>
      </c>
      <c r="B2461" s="1" t="s">
        <v>4373</v>
      </c>
      <c r="C2461">
        <v>1</v>
      </c>
      <c r="E2461" s="1" t="s">
        <v>4371</v>
      </c>
    </row>
    <row r="2462" spans="1:5" x14ac:dyDescent="0.35">
      <c r="A2462" s="1" t="s">
        <v>4374</v>
      </c>
      <c r="B2462" s="1" t="s">
        <v>4375</v>
      </c>
      <c r="C2462">
        <v>1</v>
      </c>
      <c r="E2462" s="1" t="s">
        <v>4371</v>
      </c>
    </row>
    <row r="2463" spans="1:5" x14ac:dyDescent="0.35">
      <c r="A2463" s="1" t="s">
        <v>4376</v>
      </c>
      <c r="B2463" s="1" t="s">
        <v>4377</v>
      </c>
      <c r="C2463">
        <v>1</v>
      </c>
      <c r="E2463" s="1" t="s">
        <v>4371</v>
      </c>
    </row>
    <row r="2464" spans="1:5" x14ac:dyDescent="0.35">
      <c r="A2464" s="1" t="s">
        <v>4378</v>
      </c>
      <c r="B2464" s="1" t="s">
        <v>4379</v>
      </c>
      <c r="C2464">
        <v>1</v>
      </c>
      <c r="E2464" s="1" t="s">
        <v>4371</v>
      </c>
    </row>
    <row r="2465" spans="1:5" x14ac:dyDescent="0.35">
      <c r="A2465" s="1" t="s">
        <v>4380</v>
      </c>
      <c r="B2465" s="1" t="s">
        <v>578</v>
      </c>
      <c r="C2465">
        <v>1</v>
      </c>
      <c r="E2465" s="1" t="s">
        <v>4371</v>
      </c>
    </row>
    <row r="2466" spans="1:5" x14ac:dyDescent="0.35">
      <c r="A2466" s="1" t="s">
        <v>4381</v>
      </c>
      <c r="B2466" s="1" t="s">
        <v>4382</v>
      </c>
      <c r="C2466">
        <v>1</v>
      </c>
      <c r="E2466" s="1" t="s">
        <v>4371</v>
      </c>
    </row>
    <row r="2467" spans="1:5" x14ac:dyDescent="0.35">
      <c r="A2467" s="1" t="s">
        <v>4383</v>
      </c>
      <c r="B2467" s="1" t="s">
        <v>4384</v>
      </c>
      <c r="C2467">
        <v>1</v>
      </c>
      <c r="E2467" s="1" t="s">
        <v>4371</v>
      </c>
    </row>
    <row r="2468" spans="1:5" x14ac:dyDescent="0.35">
      <c r="A2468" s="1" t="s">
        <v>4385</v>
      </c>
      <c r="B2468" s="1" t="s">
        <v>4386</v>
      </c>
      <c r="C2468">
        <v>1</v>
      </c>
      <c r="E2468" s="1" t="s">
        <v>4371</v>
      </c>
    </row>
    <row r="2469" spans="1:5" x14ac:dyDescent="0.35">
      <c r="A2469" s="1" t="s">
        <v>4387</v>
      </c>
      <c r="B2469" s="1" t="s">
        <v>4388</v>
      </c>
      <c r="C2469">
        <v>1</v>
      </c>
      <c r="E2469" s="1" t="s">
        <v>4371</v>
      </c>
    </row>
    <row r="2470" spans="1:5" x14ac:dyDescent="0.35">
      <c r="A2470" s="1" t="s">
        <v>4389</v>
      </c>
      <c r="B2470" s="1" t="s">
        <v>4390</v>
      </c>
      <c r="C2470">
        <v>1</v>
      </c>
      <c r="E2470" s="1" t="s">
        <v>4371</v>
      </c>
    </row>
    <row r="2471" spans="1:5" x14ac:dyDescent="0.35">
      <c r="A2471" s="1" t="s">
        <v>4391</v>
      </c>
      <c r="B2471" s="1" t="s">
        <v>4392</v>
      </c>
      <c r="C2471">
        <v>1</v>
      </c>
      <c r="E2471" s="1" t="s">
        <v>4371</v>
      </c>
    </row>
    <row r="2472" spans="1:5" x14ac:dyDescent="0.35">
      <c r="A2472" s="1" t="s">
        <v>4393</v>
      </c>
      <c r="B2472" s="1" t="s">
        <v>4394</v>
      </c>
      <c r="C2472">
        <v>1</v>
      </c>
      <c r="E2472" s="1" t="s">
        <v>4371</v>
      </c>
    </row>
    <row r="2473" spans="1:5" x14ac:dyDescent="0.35">
      <c r="A2473" s="1" t="s">
        <v>4395</v>
      </c>
      <c r="B2473" s="1" t="s">
        <v>4396</v>
      </c>
      <c r="C2473">
        <v>1</v>
      </c>
      <c r="E2473" s="1" t="s">
        <v>4371</v>
      </c>
    </row>
    <row r="2474" spans="1:5" x14ac:dyDescent="0.35">
      <c r="A2474" s="1" t="s">
        <v>4397</v>
      </c>
      <c r="B2474" s="1" t="s">
        <v>4398</v>
      </c>
      <c r="C2474">
        <v>1</v>
      </c>
      <c r="E2474" s="1" t="s">
        <v>4371</v>
      </c>
    </row>
    <row r="2475" spans="1:5" x14ac:dyDescent="0.35">
      <c r="A2475" s="1" t="s">
        <v>4399</v>
      </c>
      <c r="B2475" s="1" t="s">
        <v>4400</v>
      </c>
      <c r="C2475">
        <v>1</v>
      </c>
      <c r="E2475" s="1" t="s">
        <v>4371</v>
      </c>
    </row>
    <row r="2476" spans="1:5" x14ac:dyDescent="0.35">
      <c r="A2476" s="1" t="s">
        <v>4401</v>
      </c>
      <c r="B2476" s="1" t="s">
        <v>4402</v>
      </c>
      <c r="C2476">
        <v>1</v>
      </c>
      <c r="E2476" s="1" t="s">
        <v>4371</v>
      </c>
    </row>
    <row r="2477" spans="1:5" x14ac:dyDescent="0.35">
      <c r="A2477" s="1" t="s">
        <v>4403</v>
      </c>
      <c r="B2477" s="1" t="s">
        <v>4404</v>
      </c>
      <c r="C2477">
        <v>1</v>
      </c>
      <c r="E2477" s="1" t="s">
        <v>4371</v>
      </c>
    </row>
    <row r="2478" spans="1:5" x14ac:dyDescent="0.35">
      <c r="A2478" s="1" t="s">
        <v>4405</v>
      </c>
      <c r="B2478" s="1" t="s">
        <v>4406</v>
      </c>
      <c r="C2478">
        <v>1</v>
      </c>
      <c r="E2478" s="1" t="s">
        <v>4371</v>
      </c>
    </row>
    <row r="2479" spans="1:5" x14ac:dyDescent="0.35">
      <c r="A2479" s="1" t="s">
        <v>4407</v>
      </c>
      <c r="B2479" s="1" t="s">
        <v>4408</v>
      </c>
      <c r="C2479">
        <v>1</v>
      </c>
      <c r="E2479" s="1" t="s">
        <v>4371</v>
      </c>
    </row>
    <row r="2480" spans="1:5" x14ac:dyDescent="0.35">
      <c r="A2480" s="1" t="s">
        <v>4409</v>
      </c>
      <c r="B2480" s="1" t="s">
        <v>4410</v>
      </c>
      <c r="C2480">
        <v>1</v>
      </c>
      <c r="E2480" s="1" t="s">
        <v>4371</v>
      </c>
    </row>
    <row r="2481" spans="1:5" x14ac:dyDescent="0.35">
      <c r="A2481" s="1" t="s">
        <v>4411</v>
      </c>
      <c r="B2481" s="1" t="s">
        <v>4412</v>
      </c>
      <c r="C2481">
        <v>1</v>
      </c>
      <c r="E2481" s="1" t="s">
        <v>4371</v>
      </c>
    </row>
    <row r="2482" spans="1:5" x14ac:dyDescent="0.35">
      <c r="A2482" s="1" t="s">
        <v>4413</v>
      </c>
      <c r="B2482" s="1" t="s">
        <v>4414</v>
      </c>
      <c r="C2482">
        <v>1</v>
      </c>
      <c r="E2482" s="1" t="s">
        <v>4371</v>
      </c>
    </row>
    <row r="2483" spans="1:5" x14ac:dyDescent="0.35">
      <c r="A2483" s="1" t="s">
        <v>4415</v>
      </c>
      <c r="B2483" s="1" t="s">
        <v>4416</v>
      </c>
      <c r="C2483">
        <v>1</v>
      </c>
      <c r="E2483" s="1" t="s">
        <v>4371</v>
      </c>
    </row>
    <row r="2484" spans="1:5" x14ac:dyDescent="0.35">
      <c r="A2484" s="1" t="s">
        <v>4417</v>
      </c>
      <c r="B2484" s="1" t="s">
        <v>4418</v>
      </c>
      <c r="C2484">
        <v>1</v>
      </c>
      <c r="E2484" s="1" t="s">
        <v>4371</v>
      </c>
    </row>
    <row r="2485" spans="1:5" x14ac:dyDescent="0.35">
      <c r="A2485" s="1" t="s">
        <v>4419</v>
      </c>
      <c r="B2485" s="1" t="s">
        <v>4420</v>
      </c>
      <c r="C2485">
        <v>1</v>
      </c>
      <c r="E2485" s="1" t="s">
        <v>4371</v>
      </c>
    </row>
    <row r="2486" spans="1:5" x14ac:dyDescent="0.35">
      <c r="A2486" s="1" t="s">
        <v>4421</v>
      </c>
      <c r="B2486" s="1" t="s">
        <v>4422</v>
      </c>
      <c r="C2486">
        <v>1</v>
      </c>
      <c r="E2486" s="1" t="s">
        <v>4371</v>
      </c>
    </row>
    <row r="2487" spans="1:5" x14ac:dyDescent="0.35">
      <c r="A2487" s="1" t="s">
        <v>4423</v>
      </c>
      <c r="B2487" s="1" t="s">
        <v>4424</v>
      </c>
      <c r="C2487">
        <v>1</v>
      </c>
      <c r="E2487" s="1" t="s">
        <v>4371</v>
      </c>
    </row>
    <row r="2488" spans="1:5" x14ac:dyDescent="0.35">
      <c r="A2488" s="1" t="s">
        <v>4425</v>
      </c>
      <c r="B2488" s="1" t="s">
        <v>4426</v>
      </c>
      <c r="C2488">
        <v>1</v>
      </c>
      <c r="E2488" s="1" t="s">
        <v>4371</v>
      </c>
    </row>
    <row r="2489" spans="1:5" x14ac:dyDescent="0.35">
      <c r="A2489" s="1" t="s">
        <v>4427</v>
      </c>
      <c r="B2489" s="1" t="s">
        <v>4428</v>
      </c>
      <c r="C2489">
        <v>1</v>
      </c>
      <c r="E2489" s="1" t="s">
        <v>4371</v>
      </c>
    </row>
    <row r="2490" spans="1:5" x14ac:dyDescent="0.35">
      <c r="A2490" s="1" t="s">
        <v>4429</v>
      </c>
      <c r="B2490" s="1" t="s">
        <v>4430</v>
      </c>
      <c r="C2490">
        <v>1</v>
      </c>
      <c r="E2490" s="1" t="s">
        <v>4371</v>
      </c>
    </row>
    <row r="2491" spans="1:5" x14ac:dyDescent="0.35">
      <c r="A2491" s="1" t="s">
        <v>4431</v>
      </c>
      <c r="B2491" s="1" t="s">
        <v>4432</v>
      </c>
      <c r="C2491">
        <v>1</v>
      </c>
      <c r="E2491" s="1" t="s">
        <v>4371</v>
      </c>
    </row>
    <row r="2492" spans="1:5" x14ac:dyDescent="0.35">
      <c r="A2492" s="1" t="s">
        <v>4433</v>
      </c>
      <c r="B2492" s="1" t="s">
        <v>4434</v>
      </c>
      <c r="C2492">
        <v>1</v>
      </c>
      <c r="E2492" s="1" t="s">
        <v>4371</v>
      </c>
    </row>
    <row r="2493" spans="1:5" x14ac:dyDescent="0.35">
      <c r="A2493" s="1" t="s">
        <v>4435</v>
      </c>
      <c r="B2493" s="1" t="s">
        <v>4436</v>
      </c>
      <c r="C2493">
        <v>1</v>
      </c>
      <c r="E2493" s="1" t="s">
        <v>4371</v>
      </c>
    </row>
    <row r="2494" spans="1:5" x14ac:dyDescent="0.35">
      <c r="A2494" s="1" t="s">
        <v>4437</v>
      </c>
      <c r="B2494" s="1" t="s">
        <v>4438</v>
      </c>
      <c r="C2494">
        <v>1</v>
      </c>
      <c r="E2494" s="1" t="s">
        <v>4371</v>
      </c>
    </row>
    <row r="2495" spans="1:5" x14ac:dyDescent="0.35">
      <c r="A2495" s="1" t="s">
        <v>4439</v>
      </c>
      <c r="B2495" s="1" t="s">
        <v>4440</v>
      </c>
      <c r="C2495">
        <v>1</v>
      </c>
      <c r="E2495" s="1" t="s">
        <v>4371</v>
      </c>
    </row>
    <row r="2496" spans="1:5" x14ac:dyDescent="0.35">
      <c r="A2496" s="1" t="s">
        <v>4441</v>
      </c>
      <c r="B2496" s="1" t="s">
        <v>4442</v>
      </c>
      <c r="C2496">
        <v>1</v>
      </c>
      <c r="E2496" s="1" t="s">
        <v>4371</v>
      </c>
    </row>
    <row r="2497" spans="1:5" x14ac:dyDescent="0.35">
      <c r="A2497" s="1" t="s">
        <v>4443</v>
      </c>
      <c r="B2497" s="1" t="s">
        <v>4444</v>
      </c>
      <c r="C2497">
        <v>1</v>
      </c>
      <c r="E2497" s="1" t="s">
        <v>4371</v>
      </c>
    </row>
    <row r="2498" spans="1:5" x14ac:dyDescent="0.35">
      <c r="A2498" s="1" t="s">
        <v>4445</v>
      </c>
      <c r="B2498" s="1" t="s">
        <v>4446</v>
      </c>
      <c r="C2498">
        <v>1</v>
      </c>
      <c r="E2498" s="1" t="s">
        <v>4371</v>
      </c>
    </row>
    <row r="2499" spans="1:5" x14ac:dyDescent="0.35">
      <c r="A2499" s="1" t="s">
        <v>4447</v>
      </c>
      <c r="B2499" s="1" t="s">
        <v>4448</v>
      </c>
      <c r="C2499">
        <v>1</v>
      </c>
      <c r="E2499" s="1" t="s">
        <v>4371</v>
      </c>
    </row>
    <row r="2500" spans="1:5" x14ac:dyDescent="0.35">
      <c r="A2500" s="1" t="s">
        <v>4449</v>
      </c>
      <c r="B2500" s="1" t="s">
        <v>4450</v>
      </c>
      <c r="C2500">
        <v>1</v>
      </c>
      <c r="E2500" s="1" t="s">
        <v>4371</v>
      </c>
    </row>
    <row r="2501" spans="1:5" x14ac:dyDescent="0.35">
      <c r="A2501" s="1" t="s">
        <v>4451</v>
      </c>
      <c r="B2501" s="1" t="s">
        <v>4452</v>
      </c>
      <c r="C2501">
        <v>1</v>
      </c>
      <c r="E2501" s="1" t="s">
        <v>4371</v>
      </c>
    </row>
    <row r="2502" spans="1:5" x14ac:dyDescent="0.35">
      <c r="A2502" s="1" t="s">
        <v>4453</v>
      </c>
      <c r="B2502" s="1" t="s">
        <v>4454</v>
      </c>
      <c r="C2502">
        <v>1</v>
      </c>
      <c r="E2502" s="1" t="s">
        <v>4371</v>
      </c>
    </row>
    <row r="2503" spans="1:5" x14ac:dyDescent="0.35">
      <c r="A2503" s="1" t="s">
        <v>4455</v>
      </c>
      <c r="B2503" s="1" t="s">
        <v>4456</v>
      </c>
      <c r="C2503">
        <v>1</v>
      </c>
      <c r="E2503" s="1" t="s">
        <v>4371</v>
      </c>
    </row>
    <row r="2504" spans="1:5" x14ac:dyDescent="0.35">
      <c r="A2504" s="1" t="s">
        <v>4457</v>
      </c>
      <c r="B2504" s="1" t="s">
        <v>4458</v>
      </c>
      <c r="C2504">
        <v>1</v>
      </c>
      <c r="E2504" s="1" t="s">
        <v>4371</v>
      </c>
    </row>
    <row r="2505" spans="1:5" x14ac:dyDescent="0.35">
      <c r="A2505" s="1" t="s">
        <v>4459</v>
      </c>
      <c r="B2505" s="1" t="s">
        <v>4460</v>
      </c>
      <c r="C2505">
        <v>1</v>
      </c>
      <c r="E2505" s="1" t="s">
        <v>4371</v>
      </c>
    </row>
    <row r="2506" spans="1:5" x14ac:dyDescent="0.35">
      <c r="A2506" s="1" t="s">
        <v>4461</v>
      </c>
      <c r="B2506" s="1" t="s">
        <v>4462</v>
      </c>
      <c r="C2506">
        <v>1</v>
      </c>
      <c r="E2506" s="1" t="s">
        <v>4371</v>
      </c>
    </row>
    <row r="2507" spans="1:5" x14ac:dyDescent="0.35">
      <c r="A2507" s="1" t="s">
        <v>4463</v>
      </c>
      <c r="B2507" s="1" t="s">
        <v>4464</v>
      </c>
      <c r="C2507">
        <v>1</v>
      </c>
      <c r="E2507" s="1" t="s">
        <v>4371</v>
      </c>
    </row>
    <row r="2508" spans="1:5" x14ac:dyDescent="0.35">
      <c r="A2508" s="1" t="s">
        <v>4465</v>
      </c>
      <c r="B2508" s="1" t="s">
        <v>4466</v>
      </c>
      <c r="C2508">
        <v>1</v>
      </c>
      <c r="E2508" s="1" t="s">
        <v>4371</v>
      </c>
    </row>
    <row r="2509" spans="1:5" x14ac:dyDescent="0.35">
      <c r="A2509" s="1" t="s">
        <v>4467</v>
      </c>
      <c r="B2509" s="1" t="s">
        <v>4468</v>
      </c>
      <c r="C2509">
        <v>1</v>
      </c>
      <c r="E2509" s="1" t="s">
        <v>4371</v>
      </c>
    </row>
    <row r="2510" spans="1:5" x14ac:dyDescent="0.35">
      <c r="A2510" s="1" t="s">
        <v>4469</v>
      </c>
      <c r="B2510" s="1" t="s">
        <v>4470</v>
      </c>
      <c r="C2510">
        <v>1</v>
      </c>
      <c r="E2510" s="1" t="s">
        <v>4371</v>
      </c>
    </row>
    <row r="2511" spans="1:5" x14ac:dyDescent="0.35">
      <c r="A2511" s="1" t="s">
        <v>4471</v>
      </c>
      <c r="B2511" s="1" t="s">
        <v>4472</v>
      </c>
      <c r="C2511">
        <v>1</v>
      </c>
      <c r="E2511" s="1" t="s">
        <v>4371</v>
      </c>
    </row>
    <row r="2512" spans="1:5" x14ac:dyDescent="0.35">
      <c r="A2512" s="1" t="s">
        <v>4473</v>
      </c>
      <c r="B2512" s="1" t="s">
        <v>4474</v>
      </c>
      <c r="C2512">
        <v>1</v>
      </c>
      <c r="E2512" s="1" t="s">
        <v>4371</v>
      </c>
    </row>
    <row r="2513" spans="1:5" x14ac:dyDescent="0.35">
      <c r="A2513" s="1" t="s">
        <v>4475</v>
      </c>
      <c r="B2513" s="1" t="s">
        <v>4476</v>
      </c>
      <c r="C2513">
        <v>1</v>
      </c>
      <c r="E2513" s="1" t="s">
        <v>4371</v>
      </c>
    </row>
    <row r="2514" spans="1:5" x14ac:dyDescent="0.35">
      <c r="A2514" s="1" t="s">
        <v>4477</v>
      </c>
      <c r="B2514" s="1" t="s">
        <v>4478</v>
      </c>
      <c r="C2514">
        <v>1</v>
      </c>
      <c r="E2514" s="1" t="s">
        <v>4371</v>
      </c>
    </row>
    <row r="2515" spans="1:5" x14ac:dyDescent="0.35">
      <c r="A2515" s="1" t="s">
        <v>4479</v>
      </c>
      <c r="B2515" s="1" t="s">
        <v>4480</v>
      </c>
      <c r="C2515">
        <v>1</v>
      </c>
      <c r="E2515" s="1" t="s">
        <v>4371</v>
      </c>
    </row>
    <row r="2516" spans="1:5" x14ac:dyDescent="0.35">
      <c r="A2516" s="1" t="s">
        <v>4481</v>
      </c>
      <c r="B2516" s="1" t="s">
        <v>4482</v>
      </c>
      <c r="C2516">
        <v>1</v>
      </c>
      <c r="E2516" s="1" t="s">
        <v>4371</v>
      </c>
    </row>
    <row r="2517" spans="1:5" x14ac:dyDescent="0.35">
      <c r="A2517" s="1" t="s">
        <v>4483</v>
      </c>
      <c r="B2517" s="1" t="s">
        <v>4484</v>
      </c>
      <c r="C2517">
        <v>1</v>
      </c>
      <c r="E2517" s="1" t="s">
        <v>4371</v>
      </c>
    </row>
    <row r="2518" spans="1:5" x14ac:dyDescent="0.35">
      <c r="A2518" s="1" t="s">
        <v>4485</v>
      </c>
      <c r="B2518" s="1" t="s">
        <v>4486</v>
      </c>
      <c r="C2518">
        <v>1</v>
      </c>
      <c r="E2518" s="1" t="s">
        <v>4371</v>
      </c>
    </row>
    <row r="2519" spans="1:5" x14ac:dyDescent="0.35">
      <c r="A2519" s="1" t="s">
        <v>4487</v>
      </c>
      <c r="B2519" s="1" t="s">
        <v>4488</v>
      </c>
      <c r="C2519">
        <v>1</v>
      </c>
      <c r="E2519" s="1" t="s">
        <v>4371</v>
      </c>
    </row>
    <row r="2520" spans="1:5" x14ac:dyDescent="0.35">
      <c r="A2520" s="1" t="s">
        <v>4489</v>
      </c>
      <c r="B2520" s="1" t="s">
        <v>4490</v>
      </c>
      <c r="C2520">
        <v>1</v>
      </c>
      <c r="E2520" s="1" t="s">
        <v>4371</v>
      </c>
    </row>
    <row r="2521" spans="1:5" x14ac:dyDescent="0.35">
      <c r="A2521" s="1" t="s">
        <v>4491</v>
      </c>
      <c r="B2521" s="1" t="s">
        <v>4492</v>
      </c>
      <c r="C2521">
        <v>1</v>
      </c>
      <c r="E2521" s="1" t="s">
        <v>4371</v>
      </c>
    </row>
    <row r="2522" spans="1:5" x14ac:dyDescent="0.35">
      <c r="A2522" s="1" t="s">
        <v>4493</v>
      </c>
      <c r="B2522" s="1" t="s">
        <v>4494</v>
      </c>
      <c r="C2522">
        <v>1</v>
      </c>
      <c r="E2522" s="1" t="s">
        <v>4371</v>
      </c>
    </row>
    <row r="2523" spans="1:5" x14ac:dyDescent="0.35">
      <c r="A2523" s="1" t="s">
        <v>4495</v>
      </c>
      <c r="B2523" s="1" t="s">
        <v>4496</v>
      </c>
      <c r="C2523">
        <v>1</v>
      </c>
      <c r="E2523" s="1" t="s">
        <v>4371</v>
      </c>
    </row>
    <row r="2524" spans="1:5" x14ac:dyDescent="0.35">
      <c r="A2524" s="1" t="s">
        <v>4497</v>
      </c>
      <c r="B2524" s="1" t="s">
        <v>4498</v>
      </c>
      <c r="C2524">
        <v>1</v>
      </c>
      <c r="E2524" s="1" t="s">
        <v>4371</v>
      </c>
    </row>
    <row r="2525" spans="1:5" x14ac:dyDescent="0.35">
      <c r="A2525" s="1" t="s">
        <v>4499</v>
      </c>
      <c r="B2525" s="1" t="s">
        <v>4500</v>
      </c>
      <c r="C2525">
        <v>1</v>
      </c>
      <c r="E2525" s="1" t="s">
        <v>4371</v>
      </c>
    </row>
    <row r="2526" spans="1:5" x14ac:dyDescent="0.35">
      <c r="A2526" s="1" t="s">
        <v>4501</v>
      </c>
      <c r="B2526" s="1" t="s">
        <v>4502</v>
      </c>
      <c r="C2526">
        <v>1</v>
      </c>
      <c r="E2526" s="1" t="s">
        <v>4371</v>
      </c>
    </row>
    <row r="2527" spans="1:5" x14ac:dyDescent="0.35">
      <c r="A2527" s="1" t="s">
        <v>4503</v>
      </c>
      <c r="B2527" s="1" t="s">
        <v>1901</v>
      </c>
      <c r="C2527">
        <v>1</v>
      </c>
      <c r="E2527" s="1" t="s">
        <v>4371</v>
      </c>
    </row>
    <row r="2528" spans="1:5" x14ac:dyDescent="0.35">
      <c r="A2528" s="1" t="s">
        <v>4504</v>
      </c>
      <c r="B2528" s="1" t="s">
        <v>4505</v>
      </c>
      <c r="C2528">
        <v>1</v>
      </c>
      <c r="E2528" s="1" t="s">
        <v>4371</v>
      </c>
    </row>
    <row r="2529" spans="1:5" x14ac:dyDescent="0.35">
      <c r="A2529" s="1" t="s">
        <v>4506</v>
      </c>
      <c r="B2529" s="1" t="s">
        <v>4507</v>
      </c>
      <c r="C2529">
        <v>1</v>
      </c>
      <c r="E2529" s="1" t="s">
        <v>4371</v>
      </c>
    </row>
    <row r="2530" spans="1:5" x14ac:dyDescent="0.35">
      <c r="A2530" s="1" t="s">
        <v>4508</v>
      </c>
      <c r="B2530" s="1" t="s">
        <v>4509</v>
      </c>
      <c r="C2530">
        <v>1</v>
      </c>
      <c r="E2530" s="1" t="s">
        <v>4371</v>
      </c>
    </row>
    <row r="2531" spans="1:5" x14ac:dyDescent="0.35">
      <c r="A2531" s="1" t="s">
        <v>4510</v>
      </c>
      <c r="B2531" s="1" t="s">
        <v>4511</v>
      </c>
      <c r="C2531">
        <v>1</v>
      </c>
      <c r="E2531" s="1" t="s">
        <v>4371</v>
      </c>
    </row>
    <row r="2532" spans="1:5" x14ac:dyDescent="0.35">
      <c r="A2532" s="1" t="s">
        <v>4512</v>
      </c>
      <c r="B2532" s="1" t="s">
        <v>4513</v>
      </c>
      <c r="C2532">
        <v>1</v>
      </c>
      <c r="E2532" s="1" t="s">
        <v>4371</v>
      </c>
    </row>
    <row r="2533" spans="1:5" x14ac:dyDescent="0.35">
      <c r="A2533" s="1" t="s">
        <v>4514</v>
      </c>
      <c r="B2533" s="1" t="s">
        <v>4515</v>
      </c>
      <c r="C2533">
        <v>1</v>
      </c>
      <c r="E2533" s="1" t="s">
        <v>4371</v>
      </c>
    </row>
    <row r="2534" spans="1:5" x14ac:dyDescent="0.35">
      <c r="A2534" s="1" t="s">
        <v>4516</v>
      </c>
      <c r="B2534" s="1" t="s">
        <v>4517</v>
      </c>
      <c r="C2534">
        <v>1</v>
      </c>
      <c r="E2534" s="1" t="s">
        <v>4371</v>
      </c>
    </row>
    <row r="2535" spans="1:5" x14ac:dyDescent="0.35">
      <c r="A2535" s="1" t="s">
        <v>4518</v>
      </c>
      <c r="B2535" s="1" t="s">
        <v>4519</v>
      </c>
      <c r="C2535">
        <v>1</v>
      </c>
      <c r="E2535" s="1" t="s">
        <v>4371</v>
      </c>
    </row>
    <row r="2536" spans="1:5" x14ac:dyDescent="0.35">
      <c r="A2536" s="1" t="s">
        <v>4520</v>
      </c>
      <c r="B2536" s="1" t="s">
        <v>4521</v>
      </c>
      <c r="C2536">
        <v>1</v>
      </c>
      <c r="E2536" s="1" t="s">
        <v>4371</v>
      </c>
    </row>
    <row r="2537" spans="1:5" x14ac:dyDescent="0.35">
      <c r="A2537" s="1" t="s">
        <v>4522</v>
      </c>
      <c r="B2537" s="1" t="s">
        <v>4523</v>
      </c>
      <c r="C2537">
        <v>1</v>
      </c>
      <c r="E2537" s="1" t="s">
        <v>4371</v>
      </c>
    </row>
    <row r="2538" spans="1:5" x14ac:dyDescent="0.35">
      <c r="A2538" s="1" t="s">
        <v>4524</v>
      </c>
      <c r="B2538" s="1" t="s">
        <v>4525</v>
      </c>
      <c r="C2538">
        <v>1</v>
      </c>
      <c r="E2538" s="1" t="s">
        <v>4371</v>
      </c>
    </row>
    <row r="2539" spans="1:5" x14ac:dyDescent="0.35">
      <c r="A2539" s="1" t="s">
        <v>4526</v>
      </c>
      <c r="B2539" s="1" t="s">
        <v>4527</v>
      </c>
      <c r="C2539">
        <v>1</v>
      </c>
      <c r="E2539" s="1" t="s">
        <v>4371</v>
      </c>
    </row>
    <row r="2540" spans="1:5" x14ac:dyDescent="0.35">
      <c r="A2540" s="1" t="s">
        <v>4528</v>
      </c>
      <c r="B2540" s="1" t="s">
        <v>4529</v>
      </c>
      <c r="C2540">
        <v>1</v>
      </c>
      <c r="E2540" s="1" t="s">
        <v>4371</v>
      </c>
    </row>
    <row r="2541" spans="1:5" x14ac:dyDescent="0.35">
      <c r="A2541" s="1" t="s">
        <v>4530</v>
      </c>
      <c r="B2541" s="1" t="s">
        <v>4531</v>
      </c>
      <c r="C2541">
        <v>1</v>
      </c>
      <c r="E2541" s="1" t="s">
        <v>4371</v>
      </c>
    </row>
    <row r="2542" spans="1:5" x14ac:dyDescent="0.35">
      <c r="A2542" s="1" t="s">
        <v>4532</v>
      </c>
      <c r="B2542" s="1" t="s">
        <v>4533</v>
      </c>
      <c r="C2542">
        <v>1</v>
      </c>
      <c r="E2542" s="1" t="s">
        <v>4371</v>
      </c>
    </row>
    <row r="2543" spans="1:5" x14ac:dyDescent="0.35">
      <c r="A2543" s="1" t="s">
        <v>4534</v>
      </c>
      <c r="B2543" s="1" t="s">
        <v>4535</v>
      </c>
      <c r="C2543">
        <v>1</v>
      </c>
      <c r="E2543" s="1" t="s">
        <v>4371</v>
      </c>
    </row>
    <row r="2544" spans="1:5" x14ac:dyDescent="0.35">
      <c r="A2544" s="1" t="s">
        <v>4536</v>
      </c>
      <c r="B2544" s="1" t="s">
        <v>4537</v>
      </c>
      <c r="C2544">
        <v>1</v>
      </c>
      <c r="E2544" s="1" t="s">
        <v>4371</v>
      </c>
    </row>
    <row r="2545" spans="1:5" x14ac:dyDescent="0.35">
      <c r="A2545" s="1" t="s">
        <v>4538</v>
      </c>
      <c r="B2545" s="1" t="s">
        <v>4539</v>
      </c>
      <c r="C2545">
        <v>1</v>
      </c>
      <c r="E2545" s="1" t="s">
        <v>4371</v>
      </c>
    </row>
    <row r="2546" spans="1:5" x14ac:dyDescent="0.35">
      <c r="A2546" s="1" t="s">
        <v>4540</v>
      </c>
      <c r="B2546" s="1" t="s">
        <v>4541</v>
      </c>
      <c r="C2546">
        <v>1</v>
      </c>
      <c r="E2546" s="1" t="s">
        <v>4371</v>
      </c>
    </row>
    <row r="2547" spans="1:5" x14ac:dyDescent="0.35">
      <c r="A2547" s="1" t="s">
        <v>4542</v>
      </c>
      <c r="B2547" s="1" t="s">
        <v>4543</v>
      </c>
      <c r="C2547">
        <v>1</v>
      </c>
      <c r="E2547" s="1" t="s">
        <v>4371</v>
      </c>
    </row>
    <row r="2548" spans="1:5" x14ac:dyDescent="0.35">
      <c r="A2548" s="1" t="s">
        <v>4544</v>
      </c>
      <c r="B2548" s="1" t="s">
        <v>4545</v>
      </c>
      <c r="C2548">
        <v>1</v>
      </c>
      <c r="E2548" s="1" t="s">
        <v>4371</v>
      </c>
    </row>
    <row r="2549" spans="1:5" x14ac:dyDescent="0.35">
      <c r="A2549" s="1" t="s">
        <v>4546</v>
      </c>
      <c r="B2549" s="1" t="s">
        <v>4547</v>
      </c>
      <c r="C2549">
        <v>1</v>
      </c>
      <c r="E2549" s="1" t="s">
        <v>4371</v>
      </c>
    </row>
    <row r="2550" spans="1:5" x14ac:dyDescent="0.35">
      <c r="A2550" s="1" t="s">
        <v>4548</v>
      </c>
      <c r="B2550" s="1" t="s">
        <v>4549</v>
      </c>
      <c r="C2550">
        <v>1</v>
      </c>
      <c r="E2550" s="1" t="s">
        <v>4371</v>
      </c>
    </row>
    <row r="2551" spans="1:5" x14ac:dyDescent="0.35">
      <c r="A2551" s="1" t="s">
        <v>4550</v>
      </c>
      <c r="B2551" s="1" t="s">
        <v>4551</v>
      </c>
      <c r="C2551">
        <v>1</v>
      </c>
      <c r="E2551" s="1" t="s">
        <v>4371</v>
      </c>
    </row>
    <row r="2552" spans="1:5" x14ac:dyDescent="0.35">
      <c r="A2552" s="1" t="s">
        <v>4552</v>
      </c>
      <c r="B2552" s="1" t="s">
        <v>4553</v>
      </c>
      <c r="C2552">
        <v>1</v>
      </c>
      <c r="E2552" s="1" t="s">
        <v>4371</v>
      </c>
    </row>
    <row r="2553" spans="1:5" x14ac:dyDescent="0.35">
      <c r="A2553" s="1" t="s">
        <v>4554</v>
      </c>
      <c r="B2553" s="1" t="s">
        <v>4555</v>
      </c>
      <c r="C2553">
        <v>1</v>
      </c>
      <c r="E2553" s="1" t="s">
        <v>4371</v>
      </c>
    </row>
    <row r="2554" spans="1:5" x14ac:dyDescent="0.35">
      <c r="A2554" s="1" t="s">
        <v>4556</v>
      </c>
      <c r="B2554" s="1" t="s">
        <v>4557</v>
      </c>
      <c r="C2554">
        <v>1</v>
      </c>
      <c r="E2554" s="1" t="s">
        <v>4371</v>
      </c>
    </row>
    <row r="2555" spans="1:5" x14ac:dyDescent="0.35">
      <c r="A2555" s="1" t="s">
        <v>4558</v>
      </c>
      <c r="B2555" s="1" t="s">
        <v>4559</v>
      </c>
      <c r="C2555">
        <v>1</v>
      </c>
      <c r="E2555" s="1" t="s">
        <v>4371</v>
      </c>
    </row>
    <row r="2557" spans="1:5" x14ac:dyDescent="0.35">
      <c r="A2557" s="1" t="s">
        <v>4560</v>
      </c>
      <c r="B2557" s="1" t="s">
        <v>4561</v>
      </c>
      <c r="C2557">
        <v>2</v>
      </c>
      <c r="E2557" s="1" t="s">
        <v>4371</v>
      </c>
    </row>
    <row r="2558" spans="1:5" x14ac:dyDescent="0.35">
      <c r="A2558" s="1" t="s">
        <v>4562</v>
      </c>
      <c r="B2558" s="1" t="s">
        <v>4563</v>
      </c>
      <c r="C2558">
        <v>2</v>
      </c>
      <c r="E2558" s="1" t="s">
        <v>4371</v>
      </c>
    </row>
    <row r="2559" spans="1:5" x14ac:dyDescent="0.35">
      <c r="A2559" s="1" t="s">
        <v>4564</v>
      </c>
      <c r="B2559" s="1" t="s">
        <v>4565</v>
      </c>
      <c r="C2559">
        <v>2</v>
      </c>
      <c r="E2559" s="1" t="s">
        <v>4371</v>
      </c>
    </row>
    <row r="2560" spans="1:5" x14ac:dyDescent="0.35">
      <c r="A2560" s="1" t="s">
        <v>4566</v>
      </c>
      <c r="B2560" s="1" t="s">
        <v>4567</v>
      </c>
      <c r="C2560">
        <v>2</v>
      </c>
      <c r="E2560" s="1" t="s">
        <v>4371</v>
      </c>
    </row>
    <row r="2561" spans="1:5" x14ac:dyDescent="0.35">
      <c r="A2561" s="1" t="s">
        <v>4568</v>
      </c>
      <c r="B2561" s="1" t="s">
        <v>4569</v>
      </c>
      <c r="C2561">
        <v>2</v>
      </c>
      <c r="E2561" s="1" t="s">
        <v>4371</v>
      </c>
    </row>
    <row r="2562" spans="1:5" x14ac:dyDescent="0.35">
      <c r="A2562" s="1" t="s">
        <v>4570</v>
      </c>
      <c r="B2562" s="1" t="s">
        <v>4571</v>
      </c>
      <c r="C2562">
        <v>2</v>
      </c>
      <c r="E2562" s="1" t="s">
        <v>4371</v>
      </c>
    </row>
    <row r="2563" spans="1:5" x14ac:dyDescent="0.35">
      <c r="A2563" s="1" t="s">
        <v>4572</v>
      </c>
      <c r="B2563" s="1" t="s">
        <v>4573</v>
      </c>
      <c r="C2563">
        <v>2</v>
      </c>
      <c r="E2563" s="1" t="s">
        <v>4371</v>
      </c>
    </row>
    <row r="2564" spans="1:5" x14ac:dyDescent="0.35">
      <c r="A2564" s="1" t="s">
        <v>4574</v>
      </c>
      <c r="B2564" s="1" t="s">
        <v>4575</v>
      </c>
      <c r="C2564">
        <v>2</v>
      </c>
      <c r="E2564" s="1" t="s">
        <v>4371</v>
      </c>
    </row>
    <row r="2565" spans="1:5" x14ac:dyDescent="0.35">
      <c r="A2565" s="1" t="s">
        <v>4576</v>
      </c>
      <c r="B2565" s="1" t="s">
        <v>4577</v>
      </c>
      <c r="C2565">
        <v>2</v>
      </c>
      <c r="E2565" s="1" t="s">
        <v>4371</v>
      </c>
    </row>
    <row r="2566" spans="1:5" x14ac:dyDescent="0.35">
      <c r="A2566" s="1" t="s">
        <v>4578</v>
      </c>
      <c r="B2566" s="1" t="s">
        <v>4579</v>
      </c>
      <c r="C2566">
        <v>2</v>
      </c>
      <c r="E2566" s="1" t="s">
        <v>4371</v>
      </c>
    </row>
    <row r="2567" spans="1:5" x14ac:dyDescent="0.35">
      <c r="A2567" s="1" t="s">
        <v>4580</v>
      </c>
      <c r="B2567" s="1" t="s">
        <v>4581</v>
      </c>
      <c r="C2567">
        <v>2</v>
      </c>
      <c r="E2567" s="1" t="s">
        <v>4371</v>
      </c>
    </row>
    <row r="2568" spans="1:5" x14ac:dyDescent="0.35">
      <c r="A2568" s="1" t="s">
        <v>4582</v>
      </c>
      <c r="B2568" s="1" t="s">
        <v>4583</v>
      </c>
      <c r="C2568">
        <v>2</v>
      </c>
      <c r="E2568" s="1" t="s">
        <v>4371</v>
      </c>
    </row>
    <row r="2569" spans="1:5" x14ac:dyDescent="0.35">
      <c r="A2569" s="1" t="s">
        <v>4584</v>
      </c>
      <c r="B2569" s="1" t="s">
        <v>4585</v>
      </c>
      <c r="C2569">
        <v>2</v>
      </c>
      <c r="E2569" s="1" t="s">
        <v>4371</v>
      </c>
    </row>
    <row r="2570" spans="1:5" x14ac:dyDescent="0.35">
      <c r="A2570" s="1" t="s">
        <v>4586</v>
      </c>
      <c r="B2570" s="1" t="s">
        <v>4587</v>
      </c>
      <c r="C2570">
        <v>2</v>
      </c>
      <c r="E2570" s="1" t="s">
        <v>4371</v>
      </c>
    </row>
    <row r="2571" spans="1:5" x14ac:dyDescent="0.35">
      <c r="A2571" s="1" t="s">
        <v>4588</v>
      </c>
      <c r="B2571" s="1" t="s">
        <v>4589</v>
      </c>
      <c r="C2571">
        <v>2</v>
      </c>
      <c r="E2571" s="1" t="s">
        <v>4371</v>
      </c>
    </row>
    <row r="2572" spans="1:5" x14ac:dyDescent="0.35">
      <c r="A2572" s="1" t="s">
        <v>4590</v>
      </c>
      <c r="B2572" s="1" t="s">
        <v>4591</v>
      </c>
      <c r="C2572">
        <v>2</v>
      </c>
      <c r="E2572" s="1" t="s">
        <v>4371</v>
      </c>
    </row>
    <row r="2573" spans="1:5" x14ac:dyDescent="0.35">
      <c r="A2573" s="1" t="s">
        <v>4592</v>
      </c>
      <c r="B2573" s="1" t="s">
        <v>4593</v>
      </c>
      <c r="C2573">
        <v>2</v>
      </c>
      <c r="E2573" s="1" t="s">
        <v>4371</v>
      </c>
    </row>
    <row r="2574" spans="1:5" x14ac:dyDescent="0.35">
      <c r="A2574" s="1" t="s">
        <v>4594</v>
      </c>
      <c r="B2574" s="1" t="s">
        <v>4595</v>
      </c>
      <c r="C2574">
        <v>2</v>
      </c>
      <c r="E2574" s="1" t="s">
        <v>4371</v>
      </c>
    </row>
    <row r="2575" spans="1:5" x14ac:dyDescent="0.35">
      <c r="A2575" s="1" t="s">
        <v>4596</v>
      </c>
      <c r="B2575" s="1" t="s">
        <v>4597</v>
      </c>
      <c r="C2575">
        <v>2</v>
      </c>
      <c r="E2575" s="1" t="s">
        <v>4371</v>
      </c>
    </row>
    <row r="2576" spans="1:5" x14ac:dyDescent="0.35">
      <c r="A2576" s="1" t="s">
        <v>4598</v>
      </c>
      <c r="B2576" s="1" t="s">
        <v>2320</v>
      </c>
      <c r="C2576">
        <v>2</v>
      </c>
      <c r="E2576" s="1" t="s">
        <v>4371</v>
      </c>
    </row>
    <row r="2577" spans="1:5" x14ac:dyDescent="0.35">
      <c r="A2577" s="1" t="s">
        <v>4599</v>
      </c>
      <c r="B2577" s="1" t="s">
        <v>4600</v>
      </c>
      <c r="C2577">
        <v>2</v>
      </c>
      <c r="E2577" s="1" t="s">
        <v>4371</v>
      </c>
    </row>
    <row r="2578" spans="1:5" x14ac:dyDescent="0.35">
      <c r="A2578" s="1" t="s">
        <v>4601</v>
      </c>
      <c r="B2578" s="1" t="s">
        <v>4602</v>
      </c>
      <c r="C2578">
        <v>2</v>
      </c>
      <c r="E2578" s="1" t="s">
        <v>4371</v>
      </c>
    </row>
    <row r="2579" spans="1:5" x14ac:dyDescent="0.35">
      <c r="A2579" s="1" t="s">
        <v>4603</v>
      </c>
      <c r="B2579" s="1" t="s">
        <v>4604</v>
      </c>
      <c r="C2579">
        <v>2</v>
      </c>
      <c r="E2579" s="1" t="s">
        <v>4371</v>
      </c>
    </row>
    <row r="2580" spans="1:5" x14ac:dyDescent="0.35">
      <c r="A2580" s="1" t="s">
        <v>4605</v>
      </c>
      <c r="B2580" s="1" t="s">
        <v>4606</v>
      </c>
      <c r="C2580">
        <v>2</v>
      </c>
      <c r="E2580" s="1" t="s">
        <v>4371</v>
      </c>
    </row>
    <row r="2581" spans="1:5" x14ac:dyDescent="0.35">
      <c r="A2581" s="1" t="s">
        <v>4607</v>
      </c>
      <c r="B2581" s="1" t="s">
        <v>4608</v>
      </c>
      <c r="C2581">
        <v>2</v>
      </c>
      <c r="E2581" s="1" t="s">
        <v>4371</v>
      </c>
    </row>
    <row r="2582" spans="1:5" x14ac:dyDescent="0.35">
      <c r="A2582" s="1" t="s">
        <v>4609</v>
      </c>
      <c r="B2582" s="1" t="s">
        <v>4610</v>
      </c>
      <c r="C2582">
        <v>2</v>
      </c>
      <c r="E2582" s="1" t="s">
        <v>4371</v>
      </c>
    </row>
    <row r="2583" spans="1:5" x14ac:dyDescent="0.35">
      <c r="A2583" s="1" t="s">
        <v>4611</v>
      </c>
      <c r="B2583" s="1" t="s">
        <v>4612</v>
      </c>
      <c r="C2583">
        <v>2</v>
      </c>
      <c r="E2583" s="1" t="s">
        <v>4371</v>
      </c>
    </row>
    <row r="2584" spans="1:5" x14ac:dyDescent="0.35">
      <c r="A2584" s="1" t="s">
        <v>4613</v>
      </c>
      <c r="B2584" s="1" t="s">
        <v>4614</v>
      </c>
      <c r="C2584">
        <v>2</v>
      </c>
      <c r="E2584" s="1" t="s">
        <v>4371</v>
      </c>
    </row>
    <row r="2585" spans="1:5" x14ac:dyDescent="0.35">
      <c r="A2585" s="1" t="s">
        <v>4615</v>
      </c>
      <c r="B2585" s="1" t="s">
        <v>4616</v>
      </c>
      <c r="C2585">
        <v>2</v>
      </c>
      <c r="E2585" s="1" t="s">
        <v>4371</v>
      </c>
    </row>
    <row r="2586" spans="1:5" x14ac:dyDescent="0.35">
      <c r="A2586" s="1" t="s">
        <v>4617</v>
      </c>
      <c r="B2586" s="1" t="s">
        <v>4618</v>
      </c>
      <c r="C2586">
        <v>2</v>
      </c>
      <c r="E2586" s="1" t="s">
        <v>4371</v>
      </c>
    </row>
    <row r="2587" spans="1:5" x14ac:dyDescent="0.35">
      <c r="A2587" s="1" t="s">
        <v>4619</v>
      </c>
      <c r="B2587" s="1" t="s">
        <v>4620</v>
      </c>
      <c r="C2587">
        <v>2</v>
      </c>
      <c r="E2587" s="1" t="s">
        <v>4371</v>
      </c>
    </row>
    <row r="2588" spans="1:5" x14ac:dyDescent="0.35">
      <c r="A2588" s="1" t="s">
        <v>4621</v>
      </c>
      <c r="B2588" s="1" t="s">
        <v>4622</v>
      </c>
      <c r="C2588">
        <v>2</v>
      </c>
      <c r="E2588" s="1" t="s">
        <v>4371</v>
      </c>
    </row>
    <row r="2589" spans="1:5" x14ac:dyDescent="0.35">
      <c r="A2589" s="1" t="s">
        <v>4623</v>
      </c>
      <c r="B2589" s="1" t="s">
        <v>4624</v>
      </c>
      <c r="C2589">
        <v>2</v>
      </c>
      <c r="E2589" s="1" t="s">
        <v>4371</v>
      </c>
    </row>
    <row r="2590" spans="1:5" x14ac:dyDescent="0.35">
      <c r="A2590" s="1" t="s">
        <v>4625</v>
      </c>
      <c r="B2590" s="1" t="s">
        <v>4626</v>
      </c>
      <c r="C2590">
        <v>2</v>
      </c>
      <c r="E2590" s="1" t="s">
        <v>4371</v>
      </c>
    </row>
    <row r="2591" spans="1:5" x14ac:dyDescent="0.35">
      <c r="A2591" s="1" t="s">
        <v>4627</v>
      </c>
      <c r="B2591" s="1" t="s">
        <v>4628</v>
      </c>
      <c r="C2591">
        <v>2</v>
      </c>
      <c r="E2591" s="1" t="s">
        <v>4371</v>
      </c>
    </row>
    <row r="2592" spans="1:5" x14ac:dyDescent="0.35">
      <c r="A2592" s="1" t="s">
        <v>4629</v>
      </c>
      <c r="B2592" s="1" t="s">
        <v>4630</v>
      </c>
      <c r="C2592">
        <v>2</v>
      </c>
      <c r="E2592" s="1" t="s">
        <v>4371</v>
      </c>
    </row>
    <row r="2593" spans="1:5" x14ac:dyDescent="0.35">
      <c r="A2593" s="1" t="s">
        <v>4631</v>
      </c>
      <c r="B2593" s="1" t="s">
        <v>4632</v>
      </c>
      <c r="C2593">
        <v>2</v>
      </c>
      <c r="E2593" s="1" t="s">
        <v>4371</v>
      </c>
    </row>
    <row r="2594" spans="1:5" x14ac:dyDescent="0.35">
      <c r="A2594" s="1" t="s">
        <v>4633</v>
      </c>
      <c r="B2594" s="1" t="s">
        <v>4634</v>
      </c>
      <c r="C2594">
        <v>2</v>
      </c>
      <c r="E2594" s="1" t="s">
        <v>4371</v>
      </c>
    </row>
    <row r="2595" spans="1:5" x14ac:dyDescent="0.35">
      <c r="A2595" s="1" t="s">
        <v>4635</v>
      </c>
      <c r="B2595" s="1" t="s">
        <v>4636</v>
      </c>
      <c r="C2595">
        <v>2</v>
      </c>
      <c r="E2595" s="1" t="s">
        <v>4371</v>
      </c>
    </row>
    <row r="2596" spans="1:5" x14ac:dyDescent="0.35">
      <c r="A2596" s="1" t="s">
        <v>4637</v>
      </c>
      <c r="B2596" s="1" t="s">
        <v>4638</v>
      </c>
      <c r="C2596">
        <v>2</v>
      </c>
      <c r="E2596" s="1" t="s">
        <v>4371</v>
      </c>
    </row>
    <row r="2597" spans="1:5" x14ac:dyDescent="0.35">
      <c r="A2597" s="1" t="s">
        <v>4639</v>
      </c>
      <c r="B2597" s="1" t="s">
        <v>4640</v>
      </c>
      <c r="C2597">
        <v>2</v>
      </c>
      <c r="E2597" s="1" t="s">
        <v>4371</v>
      </c>
    </row>
    <row r="2598" spans="1:5" x14ac:dyDescent="0.35">
      <c r="A2598" s="1" t="s">
        <v>4641</v>
      </c>
      <c r="B2598" s="1" t="s">
        <v>4642</v>
      </c>
      <c r="C2598">
        <v>2</v>
      </c>
      <c r="E2598" s="1" t="s">
        <v>4371</v>
      </c>
    </row>
    <row r="2599" spans="1:5" x14ac:dyDescent="0.35">
      <c r="A2599" s="1" t="s">
        <v>4643</v>
      </c>
      <c r="B2599" s="1" t="s">
        <v>4644</v>
      </c>
      <c r="C2599">
        <v>2</v>
      </c>
      <c r="E2599" s="1" t="s">
        <v>4371</v>
      </c>
    </row>
    <row r="2600" spans="1:5" x14ac:dyDescent="0.35">
      <c r="A2600" s="1" t="s">
        <v>4645</v>
      </c>
      <c r="B2600" s="1" t="s">
        <v>4646</v>
      </c>
      <c r="C2600">
        <v>2</v>
      </c>
      <c r="E2600" s="1" t="s">
        <v>4371</v>
      </c>
    </row>
    <row r="2601" spans="1:5" x14ac:dyDescent="0.35">
      <c r="A2601" s="1" t="s">
        <v>4647</v>
      </c>
      <c r="B2601" s="1" t="s">
        <v>4648</v>
      </c>
      <c r="C2601">
        <v>2</v>
      </c>
      <c r="E2601" s="1" t="s">
        <v>4371</v>
      </c>
    </row>
    <row r="2602" spans="1:5" x14ac:dyDescent="0.35">
      <c r="A2602" s="1" t="s">
        <v>4649</v>
      </c>
      <c r="B2602" s="1" t="s">
        <v>4650</v>
      </c>
      <c r="C2602">
        <v>2</v>
      </c>
      <c r="E2602" s="1" t="s">
        <v>4371</v>
      </c>
    </row>
    <row r="2603" spans="1:5" x14ac:dyDescent="0.35">
      <c r="A2603" s="1" t="s">
        <v>4651</v>
      </c>
      <c r="B2603" s="1" t="s">
        <v>4652</v>
      </c>
      <c r="C2603">
        <v>2</v>
      </c>
      <c r="E2603" s="1" t="s">
        <v>4371</v>
      </c>
    </row>
    <row r="2604" spans="1:5" x14ac:dyDescent="0.35">
      <c r="A2604" s="1" t="s">
        <v>4653</v>
      </c>
      <c r="B2604" s="1" t="s">
        <v>4654</v>
      </c>
      <c r="C2604">
        <v>2</v>
      </c>
      <c r="E2604" s="1" t="s">
        <v>4371</v>
      </c>
    </row>
    <row r="2605" spans="1:5" x14ac:dyDescent="0.35">
      <c r="A2605" s="1" t="s">
        <v>4655</v>
      </c>
      <c r="B2605" s="1" t="s">
        <v>4656</v>
      </c>
      <c r="C2605">
        <v>2</v>
      </c>
      <c r="E2605" s="1" t="s">
        <v>4371</v>
      </c>
    </row>
    <row r="2606" spans="1:5" x14ac:dyDescent="0.35">
      <c r="A2606" s="1" t="s">
        <v>4657</v>
      </c>
      <c r="B2606" s="1" t="s">
        <v>4658</v>
      </c>
      <c r="C2606">
        <v>2</v>
      </c>
      <c r="E2606" s="1" t="s">
        <v>4371</v>
      </c>
    </row>
    <row r="2607" spans="1:5" x14ac:dyDescent="0.35">
      <c r="A2607" s="1" t="s">
        <v>4659</v>
      </c>
      <c r="B2607" s="1" t="s">
        <v>4660</v>
      </c>
      <c r="C2607">
        <v>2</v>
      </c>
      <c r="E2607" s="1" t="s">
        <v>4371</v>
      </c>
    </row>
    <row r="2608" spans="1:5" x14ac:dyDescent="0.35">
      <c r="A2608" s="1" t="s">
        <v>4661</v>
      </c>
      <c r="B2608" s="1" t="s">
        <v>4662</v>
      </c>
      <c r="C2608">
        <v>2</v>
      </c>
      <c r="E2608" s="1" t="s">
        <v>4371</v>
      </c>
    </row>
    <row r="2609" spans="1:5" x14ac:dyDescent="0.35">
      <c r="A2609" s="1" t="s">
        <v>4663</v>
      </c>
      <c r="B2609" s="1" t="s">
        <v>4664</v>
      </c>
      <c r="C2609">
        <v>2</v>
      </c>
      <c r="E2609" s="1" t="s">
        <v>4371</v>
      </c>
    </row>
    <row r="2610" spans="1:5" x14ac:dyDescent="0.35">
      <c r="A2610" s="1" t="s">
        <v>4665</v>
      </c>
      <c r="B2610" s="1" t="s">
        <v>290</v>
      </c>
      <c r="C2610">
        <v>2</v>
      </c>
      <c r="E2610" s="1" t="s">
        <v>4371</v>
      </c>
    </row>
    <row r="2611" spans="1:5" x14ac:dyDescent="0.35">
      <c r="A2611" s="1" t="s">
        <v>4666</v>
      </c>
      <c r="B2611" s="1" t="s">
        <v>4667</v>
      </c>
      <c r="C2611">
        <v>2</v>
      </c>
      <c r="E2611" s="1" t="s">
        <v>4371</v>
      </c>
    </row>
    <row r="2612" spans="1:5" x14ac:dyDescent="0.35">
      <c r="A2612" s="1" t="s">
        <v>4668</v>
      </c>
      <c r="B2612" s="1" t="s">
        <v>4669</v>
      </c>
      <c r="C2612">
        <v>2</v>
      </c>
      <c r="E2612" s="1" t="s">
        <v>4371</v>
      </c>
    </row>
    <row r="2613" spans="1:5" x14ac:dyDescent="0.35">
      <c r="A2613" s="1" t="s">
        <v>4670</v>
      </c>
      <c r="B2613" s="1" t="s">
        <v>4671</v>
      </c>
      <c r="C2613">
        <v>2</v>
      </c>
      <c r="E2613" s="1" t="s">
        <v>4371</v>
      </c>
    </row>
    <row r="2614" spans="1:5" x14ac:dyDescent="0.35">
      <c r="A2614" s="1" t="s">
        <v>4672</v>
      </c>
      <c r="B2614" s="1" t="s">
        <v>4673</v>
      </c>
      <c r="C2614">
        <v>2</v>
      </c>
      <c r="E2614" s="1" t="s">
        <v>4371</v>
      </c>
    </row>
    <row r="2615" spans="1:5" x14ac:dyDescent="0.35">
      <c r="A2615" s="1" t="s">
        <v>4674</v>
      </c>
      <c r="B2615" s="1" t="s">
        <v>4675</v>
      </c>
      <c r="C2615">
        <v>2</v>
      </c>
      <c r="E2615" s="1" t="s">
        <v>4371</v>
      </c>
    </row>
    <row r="2616" spans="1:5" x14ac:dyDescent="0.35">
      <c r="A2616" s="1" t="s">
        <v>4676</v>
      </c>
      <c r="B2616" s="1" t="s">
        <v>4677</v>
      </c>
      <c r="C2616">
        <v>2</v>
      </c>
      <c r="E2616" s="1" t="s">
        <v>4371</v>
      </c>
    </row>
    <row r="2617" spans="1:5" x14ac:dyDescent="0.35">
      <c r="A2617" s="1" t="s">
        <v>4678</v>
      </c>
      <c r="B2617" s="1" t="s">
        <v>4679</v>
      </c>
      <c r="C2617">
        <v>2</v>
      </c>
      <c r="E2617" s="1" t="s">
        <v>4371</v>
      </c>
    </row>
    <row r="2618" spans="1:5" x14ac:dyDescent="0.35">
      <c r="A2618" s="1" t="s">
        <v>4680</v>
      </c>
      <c r="B2618" s="1" t="s">
        <v>4681</v>
      </c>
      <c r="C2618">
        <v>2</v>
      </c>
      <c r="E2618" s="1" t="s">
        <v>4371</v>
      </c>
    </row>
    <row r="2619" spans="1:5" x14ac:dyDescent="0.35">
      <c r="A2619" s="1" t="s">
        <v>4682</v>
      </c>
      <c r="B2619" s="1" t="s">
        <v>4683</v>
      </c>
      <c r="C2619">
        <v>2</v>
      </c>
      <c r="E2619" s="1" t="s">
        <v>4371</v>
      </c>
    </row>
    <row r="2620" spans="1:5" x14ac:dyDescent="0.35">
      <c r="A2620" s="1" t="s">
        <v>4684</v>
      </c>
      <c r="B2620" s="1" t="s">
        <v>4685</v>
      </c>
      <c r="C2620">
        <v>2</v>
      </c>
      <c r="E2620" s="1" t="s">
        <v>4371</v>
      </c>
    </row>
    <row r="2621" spans="1:5" x14ac:dyDescent="0.35">
      <c r="A2621" s="1" t="s">
        <v>4686</v>
      </c>
      <c r="B2621" s="1" t="s">
        <v>4687</v>
      </c>
      <c r="C2621">
        <v>2</v>
      </c>
      <c r="E2621" s="1" t="s">
        <v>4371</v>
      </c>
    </row>
    <row r="2622" spans="1:5" x14ac:dyDescent="0.35">
      <c r="A2622" s="1" t="s">
        <v>4688</v>
      </c>
      <c r="B2622" s="1" t="s">
        <v>4689</v>
      </c>
      <c r="C2622">
        <v>2</v>
      </c>
      <c r="E2622" s="1" t="s">
        <v>4371</v>
      </c>
    </row>
    <row r="2623" spans="1:5" x14ac:dyDescent="0.35">
      <c r="A2623" s="1" t="s">
        <v>4690</v>
      </c>
      <c r="B2623" s="1" t="s">
        <v>4691</v>
      </c>
      <c r="C2623">
        <v>2</v>
      </c>
      <c r="E2623" s="1" t="s">
        <v>4371</v>
      </c>
    </row>
    <row r="2624" spans="1:5" x14ac:dyDescent="0.35">
      <c r="A2624" s="1" t="s">
        <v>4692</v>
      </c>
      <c r="B2624" s="1" t="s">
        <v>4693</v>
      </c>
      <c r="C2624">
        <v>2</v>
      </c>
      <c r="E2624" s="1" t="s">
        <v>4371</v>
      </c>
    </row>
    <row r="2625" spans="1:5" x14ac:dyDescent="0.35">
      <c r="A2625" s="1" t="s">
        <v>4694</v>
      </c>
      <c r="B2625" s="1" t="s">
        <v>4695</v>
      </c>
      <c r="C2625">
        <v>2</v>
      </c>
      <c r="E2625" s="1" t="s">
        <v>4371</v>
      </c>
    </row>
    <row r="2626" spans="1:5" x14ac:dyDescent="0.35">
      <c r="A2626" s="1" t="s">
        <v>4696</v>
      </c>
      <c r="B2626" s="1" t="s">
        <v>4697</v>
      </c>
      <c r="C2626">
        <v>2</v>
      </c>
      <c r="E2626" s="1" t="s">
        <v>4371</v>
      </c>
    </row>
    <row r="2627" spans="1:5" x14ac:dyDescent="0.35">
      <c r="A2627" s="1" t="s">
        <v>4698</v>
      </c>
      <c r="B2627" s="1" t="s">
        <v>4699</v>
      </c>
      <c r="C2627">
        <v>2</v>
      </c>
      <c r="E2627" s="1" t="s">
        <v>4371</v>
      </c>
    </row>
    <row r="2628" spans="1:5" x14ac:dyDescent="0.35">
      <c r="A2628" s="1" t="s">
        <v>4700</v>
      </c>
      <c r="B2628" s="1" t="s">
        <v>4701</v>
      </c>
      <c r="C2628">
        <v>2</v>
      </c>
      <c r="E2628" s="1" t="s">
        <v>4371</v>
      </c>
    </row>
    <row r="2629" spans="1:5" x14ac:dyDescent="0.35">
      <c r="A2629" s="1" t="s">
        <v>4702</v>
      </c>
      <c r="B2629" s="1" t="s">
        <v>4703</v>
      </c>
      <c r="C2629">
        <v>2</v>
      </c>
      <c r="E2629" s="1" t="s">
        <v>4371</v>
      </c>
    </row>
    <row r="2630" spans="1:5" x14ac:dyDescent="0.35">
      <c r="A2630" s="1" t="s">
        <v>4704</v>
      </c>
      <c r="B2630" s="1" t="s">
        <v>4705</v>
      </c>
      <c r="C2630">
        <v>2</v>
      </c>
      <c r="E2630" s="1" t="s">
        <v>4371</v>
      </c>
    </row>
    <row r="2631" spans="1:5" x14ac:dyDescent="0.35">
      <c r="A2631" s="1" t="s">
        <v>4706</v>
      </c>
      <c r="B2631" s="1" t="s">
        <v>4707</v>
      </c>
      <c r="C2631">
        <v>2</v>
      </c>
      <c r="E2631" s="1" t="s">
        <v>4371</v>
      </c>
    </row>
    <row r="2632" spans="1:5" x14ac:dyDescent="0.35">
      <c r="A2632" s="1" t="s">
        <v>4708</v>
      </c>
      <c r="B2632" s="1" t="s">
        <v>4709</v>
      </c>
      <c r="C2632">
        <v>2</v>
      </c>
      <c r="E2632" s="1" t="s">
        <v>4371</v>
      </c>
    </row>
    <row r="2633" spans="1:5" x14ac:dyDescent="0.35">
      <c r="A2633" s="1" t="s">
        <v>4710</v>
      </c>
      <c r="B2633" s="1" t="s">
        <v>4711</v>
      </c>
      <c r="C2633">
        <v>2</v>
      </c>
      <c r="E2633" s="1" t="s">
        <v>4371</v>
      </c>
    </row>
    <row r="2634" spans="1:5" x14ac:dyDescent="0.35">
      <c r="A2634" s="1" t="s">
        <v>4712</v>
      </c>
      <c r="B2634" s="1" t="s">
        <v>4713</v>
      </c>
      <c r="C2634">
        <v>2</v>
      </c>
      <c r="E2634" s="1" t="s">
        <v>4371</v>
      </c>
    </row>
    <row r="2635" spans="1:5" x14ac:dyDescent="0.35">
      <c r="A2635" s="1" t="s">
        <v>4714</v>
      </c>
      <c r="B2635" s="1" t="s">
        <v>4715</v>
      </c>
      <c r="C2635">
        <v>2</v>
      </c>
      <c r="E2635" s="1" t="s">
        <v>4371</v>
      </c>
    </row>
    <row r="2636" spans="1:5" x14ac:dyDescent="0.35">
      <c r="A2636" s="1" t="s">
        <v>4716</v>
      </c>
      <c r="B2636" s="1" t="s">
        <v>4717</v>
      </c>
      <c r="C2636">
        <v>2</v>
      </c>
      <c r="E2636" s="1" t="s">
        <v>4371</v>
      </c>
    </row>
    <row r="2637" spans="1:5" x14ac:dyDescent="0.35">
      <c r="A2637" s="1" t="s">
        <v>4718</v>
      </c>
      <c r="B2637" s="1" t="s">
        <v>4719</v>
      </c>
      <c r="C2637">
        <v>2</v>
      </c>
      <c r="E2637" s="1" t="s">
        <v>4371</v>
      </c>
    </row>
    <row r="2638" spans="1:5" x14ac:dyDescent="0.35">
      <c r="A2638" s="1" t="s">
        <v>4720</v>
      </c>
      <c r="B2638" s="1" t="s">
        <v>4721</v>
      </c>
      <c r="C2638">
        <v>2</v>
      </c>
      <c r="E2638" s="1" t="s">
        <v>4371</v>
      </c>
    </row>
    <row r="2639" spans="1:5" x14ac:dyDescent="0.35">
      <c r="A2639" s="1" t="s">
        <v>4722</v>
      </c>
      <c r="B2639" s="1" t="s">
        <v>4723</v>
      </c>
      <c r="C2639">
        <v>2</v>
      </c>
      <c r="E2639" s="1" t="s">
        <v>4371</v>
      </c>
    </row>
    <row r="2640" spans="1:5" x14ac:dyDescent="0.35">
      <c r="A2640" s="1" t="s">
        <v>4724</v>
      </c>
      <c r="B2640" s="1" t="s">
        <v>4725</v>
      </c>
      <c r="C2640">
        <v>2</v>
      </c>
      <c r="E2640" s="1" t="s">
        <v>4371</v>
      </c>
    </row>
    <row r="2641" spans="1:5" x14ac:dyDescent="0.35">
      <c r="A2641" s="1" t="s">
        <v>4726</v>
      </c>
      <c r="B2641" s="1" t="s">
        <v>4727</v>
      </c>
      <c r="C2641">
        <v>2</v>
      </c>
      <c r="E2641" s="1" t="s">
        <v>4371</v>
      </c>
    </row>
    <row r="2642" spans="1:5" x14ac:dyDescent="0.35">
      <c r="A2642" s="1" t="s">
        <v>4728</v>
      </c>
      <c r="B2642" s="1" t="s">
        <v>4729</v>
      </c>
      <c r="C2642">
        <v>2</v>
      </c>
      <c r="E2642" s="1" t="s">
        <v>4371</v>
      </c>
    </row>
    <row r="2643" spans="1:5" x14ac:dyDescent="0.35">
      <c r="A2643" s="1" t="s">
        <v>4730</v>
      </c>
      <c r="B2643" s="1" t="s">
        <v>4731</v>
      </c>
      <c r="C2643">
        <v>2</v>
      </c>
      <c r="E2643" s="1" t="s">
        <v>4371</v>
      </c>
    </row>
    <row r="2644" spans="1:5" x14ac:dyDescent="0.35">
      <c r="A2644" s="1" t="s">
        <v>4732</v>
      </c>
      <c r="B2644" s="1" t="s">
        <v>4733</v>
      </c>
      <c r="C2644">
        <v>2</v>
      </c>
      <c r="E2644" s="1" t="s">
        <v>4371</v>
      </c>
    </row>
    <row r="2645" spans="1:5" x14ac:dyDescent="0.35">
      <c r="A2645" s="1" t="s">
        <v>4734</v>
      </c>
      <c r="B2645" s="1" t="s">
        <v>4735</v>
      </c>
      <c r="C2645">
        <v>2</v>
      </c>
      <c r="E2645" s="1" t="s">
        <v>4371</v>
      </c>
    </row>
    <row r="2646" spans="1:5" x14ac:dyDescent="0.35">
      <c r="A2646" s="1" t="s">
        <v>4736</v>
      </c>
      <c r="B2646" s="1" t="s">
        <v>4737</v>
      </c>
      <c r="C2646">
        <v>2</v>
      </c>
      <c r="E2646" s="1" t="s">
        <v>4371</v>
      </c>
    </row>
    <row r="2647" spans="1:5" x14ac:dyDescent="0.35">
      <c r="A2647" s="1" t="s">
        <v>4738</v>
      </c>
      <c r="B2647" s="1" t="s">
        <v>4739</v>
      </c>
      <c r="C2647">
        <v>2</v>
      </c>
      <c r="E2647" s="1" t="s">
        <v>4371</v>
      </c>
    </row>
    <row r="2648" spans="1:5" x14ac:dyDescent="0.35">
      <c r="A2648" s="1" t="s">
        <v>4740</v>
      </c>
      <c r="B2648" s="1" t="s">
        <v>4741</v>
      </c>
      <c r="C2648">
        <v>2</v>
      </c>
      <c r="E2648" s="1" t="s">
        <v>4371</v>
      </c>
    </row>
    <row r="2649" spans="1:5" x14ac:dyDescent="0.35">
      <c r="A2649" s="1" t="s">
        <v>4742</v>
      </c>
      <c r="B2649" s="1" t="s">
        <v>4743</v>
      </c>
      <c r="C2649">
        <v>2</v>
      </c>
      <c r="E2649" s="1" t="s">
        <v>4371</v>
      </c>
    </row>
    <row r="2650" spans="1:5" x14ac:dyDescent="0.35">
      <c r="A2650" s="1" t="s">
        <v>4744</v>
      </c>
      <c r="B2650" s="1" t="s">
        <v>4745</v>
      </c>
      <c r="C2650">
        <v>2</v>
      </c>
      <c r="E2650" s="1" t="s">
        <v>4371</v>
      </c>
    </row>
    <row r="2651" spans="1:5" x14ac:dyDescent="0.35">
      <c r="A2651" s="1" t="s">
        <v>4746</v>
      </c>
      <c r="B2651" s="1" t="s">
        <v>4747</v>
      </c>
      <c r="C2651">
        <v>2</v>
      </c>
      <c r="E2651" s="1" t="s">
        <v>4371</v>
      </c>
    </row>
    <row r="2652" spans="1:5" x14ac:dyDescent="0.35">
      <c r="A2652" s="1" t="s">
        <v>4748</v>
      </c>
      <c r="B2652" s="1" t="s">
        <v>4749</v>
      </c>
      <c r="C2652">
        <v>2</v>
      </c>
      <c r="E2652" s="1" t="s">
        <v>4371</v>
      </c>
    </row>
    <row r="2654" spans="1:5" x14ac:dyDescent="0.35">
      <c r="A2654" s="1" t="s">
        <v>4750</v>
      </c>
      <c r="B2654" s="1" t="s">
        <v>4751</v>
      </c>
      <c r="C2654">
        <v>1</v>
      </c>
      <c r="E2654" s="1" t="s">
        <v>4752</v>
      </c>
    </row>
    <row r="2655" spans="1:5" x14ac:dyDescent="0.35">
      <c r="A2655" s="1" t="s">
        <v>4753</v>
      </c>
      <c r="B2655" s="1" t="s">
        <v>4754</v>
      </c>
      <c r="C2655">
        <v>1</v>
      </c>
      <c r="E2655" s="1" t="s">
        <v>4752</v>
      </c>
    </row>
    <row r="2656" spans="1:5" x14ac:dyDescent="0.35">
      <c r="A2656" s="1" t="s">
        <v>4755</v>
      </c>
      <c r="B2656" s="1" t="s">
        <v>4756</v>
      </c>
      <c r="C2656">
        <v>1</v>
      </c>
      <c r="E2656" s="1" t="s">
        <v>4752</v>
      </c>
    </row>
    <row r="2657" spans="1:5" x14ac:dyDescent="0.35">
      <c r="A2657" s="1" t="s">
        <v>4757</v>
      </c>
      <c r="B2657" s="1" t="s">
        <v>4758</v>
      </c>
      <c r="C2657">
        <v>1</v>
      </c>
      <c r="E2657" s="1" t="s">
        <v>4752</v>
      </c>
    </row>
    <row r="2658" spans="1:5" x14ac:dyDescent="0.35">
      <c r="A2658" s="1" t="s">
        <v>4759</v>
      </c>
      <c r="B2658" s="1" t="s">
        <v>4760</v>
      </c>
      <c r="C2658">
        <v>1</v>
      </c>
      <c r="E2658" s="1" t="s">
        <v>4752</v>
      </c>
    </row>
    <row r="2659" spans="1:5" x14ac:dyDescent="0.35">
      <c r="A2659" s="1" t="s">
        <v>4761</v>
      </c>
      <c r="B2659" s="1" t="s">
        <v>4762</v>
      </c>
      <c r="C2659">
        <v>1</v>
      </c>
      <c r="E2659" s="1" t="s">
        <v>4752</v>
      </c>
    </row>
    <row r="2660" spans="1:5" x14ac:dyDescent="0.35">
      <c r="A2660" s="1" t="s">
        <v>4763</v>
      </c>
      <c r="B2660" s="1" t="s">
        <v>4764</v>
      </c>
      <c r="C2660">
        <v>1</v>
      </c>
      <c r="E2660" s="1" t="s">
        <v>4752</v>
      </c>
    </row>
    <row r="2661" spans="1:5" x14ac:dyDescent="0.35">
      <c r="A2661" s="1" t="s">
        <v>4765</v>
      </c>
      <c r="B2661" s="1" t="s">
        <v>4766</v>
      </c>
      <c r="C2661">
        <v>1</v>
      </c>
      <c r="E2661" s="1" t="s">
        <v>4752</v>
      </c>
    </row>
    <row r="2662" spans="1:5" x14ac:dyDescent="0.35">
      <c r="A2662" s="1" t="s">
        <v>4767</v>
      </c>
      <c r="B2662" s="1" t="s">
        <v>4768</v>
      </c>
      <c r="C2662">
        <v>1</v>
      </c>
      <c r="E2662" s="1" t="s">
        <v>4752</v>
      </c>
    </row>
    <row r="2663" spans="1:5" x14ac:dyDescent="0.35">
      <c r="A2663" s="1" t="s">
        <v>4769</v>
      </c>
      <c r="B2663" s="1" t="s">
        <v>4770</v>
      </c>
      <c r="C2663">
        <v>1</v>
      </c>
      <c r="E2663" s="1" t="s">
        <v>4752</v>
      </c>
    </row>
    <row r="2664" spans="1:5" x14ac:dyDescent="0.35">
      <c r="A2664" s="1" t="s">
        <v>4771</v>
      </c>
      <c r="B2664" s="1" t="s">
        <v>4772</v>
      </c>
      <c r="C2664">
        <v>1</v>
      </c>
      <c r="E2664" s="1" t="s">
        <v>4752</v>
      </c>
    </row>
    <row r="2665" spans="1:5" x14ac:dyDescent="0.35">
      <c r="A2665" s="1" t="s">
        <v>4773</v>
      </c>
      <c r="B2665" s="1" t="s">
        <v>4774</v>
      </c>
      <c r="C2665">
        <v>1</v>
      </c>
      <c r="E2665" s="1" t="s">
        <v>4752</v>
      </c>
    </row>
    <row r="2666" spans="1:5" x14ac:dyDescent="0.35">
      <c r="A2666" s="1" t="s">
        <v>4775</v>
      </c>
      <c r="B2666" s="1" t="s">
        <v>4776</v>
      </c>
      <c r="C2666">
        <v>1</v>
      </c>
      <c r="E2666" s="1" t="s">
        <v>4752</v>
      </c>
    </row>
    <row r="2667" spans="1:5" x14ac:dyDescent="0.35">
      <c r="A2667" s="1" t="s">
        <v>4777</v>
      </c>
      <c r="B2667" s="1" t="s">
        <v>4778</v>
      </c>
      <c r="C2667">
        <v>1</v>
      </c>
      <c r="E2667" s="1" t="s">
        <v>4752</v>
      </c>
    </row>
    <row r="2668" spans="1:5" x14ac:dyDescent="0.35">
      <c r="A2668" s="1" t="s">
        <v>4779</v>
      </c>
      <c r="B2668" s="1" t="s">
        <v>275</v>
      </c>
      <c r="C2668">
        <v>1</v>
      </c>
      <c r="E2668" s="1" t="s">
        <v>4752</v>
      </c>
    </row>
    <row r="2669" spans="1:5" x14ac:dyDescent="0.35">
      <c r="A2669" s="1" t="s">
        <v>4780</v>
      </c>
      <c r="B2669" s="1" t="s">
        <v>4781</v>
      </c>
      <c r="C2669">
        <v>1</v>
      </c>
      <c r="E2669" s="1" t="s">
        <v>4752</v>
      </c>
    </row>
    <row r="2670" spans="1:5" x14ac:dyDescent="0.35">
      <c r="A2670" s="1" t="s">
        <v>4782</v>
      </c>
      <c r="B2670" s="1" t="s">
        <v>4783</v>
      </c>
      <c r="C2670">
        <v>1</v>
      </c>
      <c r="E2670" s="1" t="s">
        <v>4752</v>
      </c>
    </row>
    <row r="2671" spans="1:5" x14ac:dyDescent="0.35">
      <c r="A2671" s="1" t="s">
        <v>4784</v>
      </c>
      <c r="B2671" s="1" t="s">
        <v>4785</v>
      </c>
      <c r="C2671">
        <v>1</v>
      </c>
      <c r="E2671" s="1" t="s">
        <v>4752</v>
      </c>
    </row>
    <row r="2672" spans="1:5" x14ac:dyDescent="0.35">
      <c r="A2672" s="1" t="s">
        <v>4786</v>
      </c>
      <c r="B2672" s="1" t="s">
        <v>4787</v>
      </c>
      <c r="C2672">
        <v>1</v>
      </c>
      <c r="E2672" s="1" t="s">
        <v>4752</v>
      </c>
    </row>
    <row r="2673" spans="1:5" x14ac:dyDescent="0.35">
      <c r="A2673" s="1" t="s">
        <v>4788</v>
      </c>
      <c r="B2673" s="1" t="s">
        <v>4789</v>
      </c>
      <c r="C2673">
        <v>1</v>
      </c>
      <c r="E2673" s="1" t="s">
        <v>4752</v>
      </c>
    </row>
    <row r="2674" spans="1:5" x14ac:dyDescent="0.35">
      <c r="A2674" s="1" t="s">
        <v>4790</v>
      </c>
      <c r="B2674" s="1" t="s">
        <v>4791</v>
      </c>
      <c r="C2674">
        <v>1</v>
      </c>
      <c r="E2674" s="1" t="s">
        <v>4752</v>
      </c>
    </row>
    <row r="2675" spans="1:5" x14ac:dyDescent="0.35">
      <c r="A2675" s="1" t="s">
        <v>4792</v>
      </c>
      <c r="B2675" s="1" t="s">
        <v>4793</v>
      </c>
      <c r="C2675">
        <v>1</v>
      </c>
      <c r="E2675" s="1" t="s">
        <v>4752</v>
      </c>
    </row>
    <row r="2676" spans="1:5" x14ac:dyDescent="0.35">
      <c r="A2676" s="1" t="s">
        <v>4794</v>
      </c>
      <c r="B2676" s="1" t="s">
        <v>4795</v>
      </c>
      <c r="C2676">
        <v>1</v>
      </c>
      <c r="E2676" s="1" t="s">
        <v>4752</v>
      </c>
    </row>
    <row r="2677" spans="1:5" x14ac:dyDescent="0.35">
      <c r="A2677" s="1" t="s">
        <v>4796</v>
      </c>
      <c r="B2677" s="1" t="s">
        <v>4797</v>
      </c>
      <c r="C2677">
        <v>1</v>
      </c>
      <c r="E2677" s="1" t="s">
        <v>4752</v>
      </c>
    </row>
    <row r="2678" spans="1:5" x14ac:dyDescent="0.35">
      <c r="A2678" s="1" t="s">
        <v>4798</v>
      </c>
      <c r="B2678" s="1" t="s">
        <v>4799</v>
      </c>
      <c r="C2678">
        <v>1</v>
      </c>
      <c r="E2678" s="1" t="s">
        <v>4752</v>
      </c>
    </row>
    <row r="2679" spans="1:5" x14ac:dyDescent="0.35">
      <c r="A2679" s="1" t="s">
        <v>4800</v>
      </c>
      <c r="B2679" s="1" t="s">
        <v>4801</v>
      </c>
      <c r="C2679">
        <v>1</v>
      </c>
      <c r="E2679" s="1" t="s">
        <v>4752</v>
      </c>
    </row>
    <row r="2680" spans="1:5" x14ac:dyDescent="0.35">
      <c r="A2680" s="1" t="s">
        <v>4802</v>
      </c>
      <c r="B2680" s="1" t="s">
        <v>3742</v>
      </c>
      <c r="C2680">
        <v>1</v>
      </c>
      <c r="E2680" s="1" t="s">
        <v>4752</v>
      </c>
    </row>
    <row r="2681" spans="1:5" x14ac:dyDescent="0.35">
      <c r="A2681" s="1" t="s">
        <v>4803</v>
      </c>
      <c r="B2681" s="1" t="s">
        <v>4804</v>
      </c>
      <c r="C2681">
        <v>1</v>
      </c>
      <c r="E2681" s="1" t="s">
        <v>4752</v>
      </c>
    </row>
    <row r="2682" spans="1:5" x14ac:dyDescent="0.35">
      <c r="A2682" s="1" t="s">
        <v>4805</v>
      </c>
      <c r="B2682" s="1" t="s">
        <v>4806</v>
      </c>
      <c r="C2682">
        <v>1</v>
      </c>
      <c r="E2682" s="1" t="s">
        <v>4752</v>
      </c>
    </row>
    <row r="2683" spans="1:5" x14ac:dyDescent="0.35">
      <c r="A2683" s="1" t="s">
        <v>4807</v>
      </c>
      <c r="B2683" s="1" t="s">
        <v>4808</v>
      </c>
      <c r="C2683">
        <v>1</v>
      </c>
      <c r="E2683" s="1" t="s">
        <v>4752</v>
      </c>
    </row>
    <row r="2684" spans="1:5" x14ac:dyDescent="0.35">
      <c r="A2684" s="1" t="s">
        <v>4809</v>
      </c>
      <c r="B2684" s="1" t="s">
        <v>4810</v>
      </c>
      <c r="C2684">
        <v>1</v>
      </c>
      <c r="E2684" s="1" t="s">
        <v>4752</v>
      </c>
    </row>
    <row r="2685" spans="1:5" x14ac:dyDescent="0.35">
      <c r="A2685" s="1" t="s">
        <v>4811</v>
      </c>
      <c r="B2685" s="1" t="s">
        <v>4812</v>
      </c>
      <c r="C2685">
        <v>1</v>
      </c>
      <c r="E2685" s="1" t="s">
        <v>4752</v>
      </c>
    </row>
    <row r="2686" spans="1:5" x14ac:dyDescent="0.35">
      <c r="A2686" s="1" t="s">
        <v>4813</v>
      </c>
      <c r="B2686" s="1" t="s">
        <v>4814</v>
      </c>
      <c r="C2686">
        <v>1</v>
      </c>
      <c r="E2686" s="1" t="s">
        <v>4752</v>
      </c>
    </row>
    <row r="2687" spans="1:5" x14ac:dyDescent="0.35">
      <c r="A2687" s="1" t="s">
        <v>4815</v>
      </c>
      <c r="B2687" s="1" t="s">
        <v>4816</v>
      </c>
      <c r="C2687">
        <v>1</v>
      </c>
      <c r="E2687" s="1" t="s">
        <v>4752</v>
      </c>
    </row>
    <row r="2688" spans="1:5" x14ac:dyDescent="0.35">
      <c r="A2688" s="1" t="s">
        <v>4817</v>
      </c>
      <c r="B2688" s="1" t="s">
        <v>4818</v>
      </c>
      <c r="C2688">
        <v>1</v>
      </c>
      <c r="E2688" s="1" t="s">
        <v>4752</v>
      </c>
    </row>
    <row r="2689" spans="1:5" x14ac:dyDescent="0.35">
      <c r="A2689" s="1" t="s">
        <v>4819</v>
      </c>
      <c r="B2689" s="1" t="s">
        <v>4820</v>
      </c>
      <c r="C2689">
        <v>1</v>
      </c>
      <c r="E2689" s="1" t="s">
        <v>4752</v>
      </c>
    </row>
    <row r="2690" spans="1:5" x14ac:dyDescent="0.35">
      <c r="A2690" s="1" t="s">
        <v>4821</v>
      </c>
      <c r="B2690" s="1" t="s">
        <v>4822</v>
      </c>
      <c r="C2690">
        <v>1</v>
      </c>
      <c r="E2690" s="1" t="s">
        <v>4752</v>
      </c>
    </row>
    <row r="2691" spans="1:5" x14ac:dyDescent="0.35">
      <c r="A2691" s="1" t="s">
        <v>4823</v>
      </c>
      <c r="B2691" s="1" t="s">
        <v>4824</v>
      </c>
      <c r="C2691">
        <v>1</v>
      </c>
      <c r="E2691" s="1" t="s">
        <v>4752</v>
      </c>
    </row>
    <row r="2692" spans="1:5" x14ac:dyDescent="0.35">
      <c r="A2692" s="1" t="s">
        <v>4825</v>
      </c>
      <c r="B2692" s="1" t="s">
        <v>4826</v>
      </c>
      <c r="C2692">
        <v>1</v>
      </c>
      <c r="E2692" s="1" t="s">
        <v>4752</v>
      </c>
    </row>
    <row r="2693" spans="1:5" x14ac:dyDescent="0.35">
      <c r="A2693" s="1" t="s">
        <v>4827</v>
      </c>
      <c r="B2693" s="1" t="s">
        <v>3099</v>
      </c>
      <c r="C2693">
        <v>1</v>
      </c>
      <c r="E2693" s="1" t="s">
        <v>4752</v>
      </c>
    </row>
    <row r="2694" spans="1:5" x14ac:dyDescent="0.35">
      <c r="A2694" s="1" t="s">
        <v>4828</v>
      </c>
      <c r="B2694" s="1" t="s">
        <v>4829</v>
      </c>
      <c r="C2694">
        <v>1</v>
      </c>
      <c r="E2694" s="1" t="s">
        <v>4752</v>
      </c>
    </row>
    <row r="2695" spans="1:5" x14ac:dyDescent="0.35">
      <c r="A2695" s="1" t="s">
        <v>4830</v>
      </c>
      <c r="B2695" s="1" t="s">
        <v>4831</v>
      </c>
      <c r="C2695">
        <v>1</v>
      </c>
      <c r="E2695" s="1" t="s">
        <v>4752</v>
      </c>
    </row>
    <row r="2696" spans="1:5" x14ac:dyDescent="0.35">
      <c r="A2696" s="1" t="s">
        <v>4832</v>
      </c>
      <c r="B2696" s="1" t="s">
        <v>4833</v>
      </c>
      <c r="C2696">
        <v>1</v>
      </c>
      <c r="E2696" s="1" t="s">
        <v>4752</v>
      </c>
    </row>
    <row r="2697" spans="1:5" x14ac:dyDescent="0.35">
      <c r="A2697" s="1" t="s">
        <v>4834</v>
      </c>
      <c r="B2697" s="1" t="s">
        <v>4547</v>
      </c>
      <c r="C2697">
        <v>1</v>
      </c>
      <c r="E2697" s="1" t="s">
        <v>4752</v>
      </c>
    </row>
    <row r="2698" spans="1:5" x14ac:dyDescent="0.35">
      <c r="A2698" s="1" t="s">
        <v>4835</v>
      </c>
      <c r="B2698" s="1" t="s">
        <v>4836</v>
      </c>
      <c r="C2698">
        <v>1</v>
      </c>
      <c r="E2698" s="1" t="s">
        <v>4752</v>
      </c>
    </row>
    <row r="2699" spans="1:5" x14ac:dyDescent="0.35">
      <c r="A2699" s="1" t="s">
        <v>4837</v>
      </c>
      <c r="B2699" s="1" t="s">
        <v>4838</v>
      </c>
      <c r="C2699">
        <v>1</v>
      </c>
      <c r="E2699" s="1" t="s">
        <v>4752</v>
      </c>
    </row>
    <row r="2700" spans="1:5" x14ac:dyDescent="0.35">
      <c r="A2700" s="1" t="s">
        <v>4839</v>
      </c>
      <c r="B2700" s="1" t="s">
        <v>4840</v>
      </c>
      <c r="C2700">
        <v>1</v>
      </c>
      <c r="E2700" s="1" t="s">
        <v>4752</v>
      </c>
    </row>
    <row r="2701" spans="1:5" x14ac:dyDescent="0.35">
      <c r="A2701" s="1" t="s">
        <v>4841</v>
      </c>
      <c r="B2701" s="1" t="s">
        <v>4842</v>
      </c>
      <c r="C2701">
        <v>1</v>
      </c>
      <c r="E2701" s="1" t="s">
        <v>4752</v>
      </c>
    </row>
    <row r="2702" spans="1:5" x14ac:dyDescent="0.35">
      <c r="A2702" s="1" t="s">
        <v>4843</v>
      </c>
      <c r="B2702" s="1" t="s">
        <v>4844</v>
      </c>
      <c r="C2702">
        <v>1</v>
      </c>
      <c r="E2702" s="1" t="s">
        <v>4752</v>
      </c>
    </row>
    <row r="2703" spans="1:5" x14ac:dyDescent="0.35">
      <c r="A2703" s="1" t="s">
        <v>4845</v>
      </c>
      <c r="B2703" s="1" t="s">
        <v>4846</v>
      </c>
      <c r="C2703">
        <v>1</v>
      </c>
      <c r="E2703" s="1" t="s">
        <v>4752</v>
      </c>
    </row>
    <row r="2704" spans="1:5" x14ac:dyDescent="0.35">
      <c r="A2704" s="1" t="s">
        <v>4847</v>
      </c>
      <c r="B2704" s="1" t="s">
        <v>4848</v>
      </c>
      <c r="C2704">
        <v>1</v>
      </c>
      <c r="E2704" s="1" t="s">
        <v>4752</v>
      </c>
    </row>
    <row r="2705" spans="1:5" x14ac:dyDescent="0.35">
      <c r="A2705" s="1" t="s">
        <v>4849</v>
      </c>
      <c r="B2705" s="1" t="s">
        <v>4850</v>
      </c>
      <c r="C2705">
        <v>1</v>
      </c>
      <c r="E2705" s="1" t="s">
        <v>4752</v>
      </c>
    </row>
    <row r="2706" spans="1:5" x14ac:dyDescent="0.35">
      <c r="A2706" s="1" t="s">
        <v>4851</v>
      </c>
      <c r="B2706" s="1" t="s">
        <v>4852</v>
      </c>
      <c r="C2706">
        <v>1</v>
      </c>
      <c r="E2706" s="1" t="s">
        <v>4752</v>
      </c>
    </row>
    <row r="2707" spans="1:5" x14ac:dyDescent="0.35">
      <c r="A2707" s="1" t="s">
        <v>4853</v>
      </c>
      <c r="B2707" s="1" t="s">
        <v>4854</v>
      </c>
      <c r="C2707">
        <v>1</v>
      </c>
      <c r="E2707" s="1" t="s">
        <v>4752</v>
      </c>
    </row>
    <row r="2708" spans="1:5" x14ac:dyDescent="0.35">
      <c r="A2708" s="1" t="s">
        <v>4855</v>
      </c>
      <c r="B2708" s="1" t="s">
        <v>4856</v>
      </c>
      <c r="C2708">
        <v>1</v>
      </c>
      <c r="E2708" s="1" t="s">
        <v>4752</v>
      </c>
    </row>
    <row r="2709" spans="1:5" x14ac:dyDescent="0.35">
      <c r="A2709" s="1" t="s">
        <v>4857</v>
      </c>
      <c r="B2709" s="1" t="s">
        <v>4612</v>
      </c>
      <c r="C2709">
        <v>1</v>
      </c>
      <c r="E2709" s="1" t="s">
        <v>4752</v>
      </c>
    </row>
    <row r="2710" spans="1:5" x14ac:dyDescent="0.35">
      <c r="A2710" s="1" t="s">
        <v>4858</v>
      </c>
      <c r="B2710" s="1" t="s">
        <v>1877</v>
      </c>
      <c r="C2710">
        <v>1</v>
      </c>
      <c r="E2710" s="1" t="s">
        <v>4752</v>
      </c>
    </row>
    <row r="2711" spans="1:5" x14ac:dyDescent="0.35">
      <c r="A2711" s="1" t="s">
        <v>4859</v>
      </c>
      <c r="B2711" s="1" t="s">
        <v>4860</v>
      </c>
      <c r="C2711">
        <v>1</v>
      </c>
      <c r="E2711" s="1" t="s">
        <v>4752</v>
      </c>
    </row>
    <row r="2712" spans="1:5" x14ac:dyDescent="0.35">
      <c r="A2712" s="1" t="s">
        <v>4861</v>
      </c>
      <c r="B2712" s="1" t="s">
        <v>4862</v>
      </c>
      <c r="C2712">
        <v>1</v>
      </c>
      <c r="E2712" s="1" t="s">
        <v>4752</v>
      </c>
    </row>
    <row r="2713" spans="1:5" x14ac:dyDescent="0.35">
      <c r="A2713" s="1" t="s">
        <v>4863</v>
      </c>
      <c r="B2713" s="1" t="s">
        <v>4864</v>
      </c>
      <c r="C2713">
        <v>1</v>
      </c>
      <c r="E2713" s="1" t="s">
        <v>4752</v>
      </c>
    </row>
    <row r="2714" spans="1:5" x14ac:dyDescent="0.35">
      <c r="A2714" s="1" t="s">
        <v>4865</v>
      </c>
      <c r="B2714" s="1" t="s">
        <v>4866</v>
      </c>
      <c r="C2714">
        <v>1</v>
      </c>
      <c r="E2714" s="1" t="s">
        <v>4752</v>
      </c>
    </row>
    <row r="2715" spans="1:5" x14ac:dyDescent="0.35">
      <c r="A2715" s="1" t="s">
        <v>4867</v>
      </c>
      <c r="B2715" s="1" t="s">
        <v>4868</v>
      </c>
      <c r="C2715">
        <v>1</v>
      </c>
      <c r="E2715" s="1" t="s">
        <v>4752</v>
      </c>
    </row>
    <row r="2716" spans="1:5" x14ac:dyDescent="0.35">
      <c r="A2716" s="1" t="s">
        <v>4869</v>
      </c>
      <c r="B2716" s="1" t="s">
        <v>4870</v>
      </c>
      <c r="C2716">
        <v>1</v>
      </c>
      <c r="E2716" s="1" t="s">
        <v>4752</v>
      </c>
    </row>
    <row r="2717" spans="1:5" x14ac:dyDescent="0.35">
      <c r="A2717" s="1" t="s">
        <v>4871</v>
      </c>
      <c r="B2717" s="1" t="s">
        <v>4872</v>
      </c>
      <c r="C2717">
        <v>1</v>
      </c>
      <c r="E2717" s="1" t="s">
        <v>4752</v>
      </c>
    </row>
    <row r="2718" spans="1:5" x14ac:dyDescent="0.35">
      <c r="A2718" s="1" t="s">
        <v>4873</v>
      </c>
      <c r="B2718" s="1" t="s">
        <v>4874</v>
      </c>
      <c r="C2718">
        <v>1</v>
      </c>
      <c r="E2718" s="1" t="s">
        <v>4752</v>
      </c>
    </row>
    <row r="2719" spans="1:5" x14ac:dyDescent="0.35">
      <c r="A2719" s="1" t="s">
        <v>4875</v>
      </c>
      <c r="B2719" s="1" t="s">
        <v>4876</v>
      </c>
      <c r="C2719">
        <v>1</v>
      </c>
      <c r="E2719" s="1" t="s">
        <v>4752</v>
      </c>
    </row>
    <row r="2720" spans="1:5" x14ac:dyDescent="0.35">
      <c r="A2720" s="1" t="s">
        <v>4877</v>
      </c>
      <c r="B2720" s="1" t="s">
        <v>4878</v>
      </c>
      <c r="C2720">
        <v>1</v>
      </c>
      <c r="E2720" s="1" t="s">
        <v>4752</v>
      </c>
    </row>
    <row r="2721" spans="1:5" x14ac:dyDescent="0.35">
      <c r="A2721" s="1" t="s">
        <v>4879</v>
      </c>
      <c r="B2721" s="1" t="s">
        <v>4880</v>
      </c>
      <c r="C2721">
        <v>1</v>
      </c>
      <c r="E2721" s="1" t="s">
        <v>4752</v>
      </c>
    </row>
    <row r="2722" spans="1:5" x14ac:dyDescent="0.35">
      <c r="A2722" s="1" t="s">
        <v>4881</v>
      </c>
      <c r="B2722" s="1" t="s">
        <v>4882</v>
      </c>
      <c r="C2722">
        <v>1</v>
      </c>
      <c r="E2722" s="1" t="s">
        <v>4752</v>
      </c>
    </row>
    <row r="2723" spans="1:5" x14ac:dyDescent="0.35">
      <c r="A2723" s="1" t="s">
        <v>4883</v>
      </c>
      <c r="B2723" s="1" t="s">
        <v>4884</v>
      </c>
      <c r="C2723">
        <v>1</v>
      </c>
      <c r="E2723" s="1" t="s">
        <v>4752</v>
      </c>
    </row>
    <row r="2724" spans="1:5" x14ac:dyDescent="0.35">
      <c r="A2724" s="1" t="s">
        <v>4885</v>
      </c>
      <c r="B2724" s="1" t="s">
        <v>442</v>
      </c>
      <c r="C2724">
        <v>1</v>
      </c>
      <c r="E2724" s="1" t="s">
        <v>4752</v>
      </c>
    </row>
    <row r="2725" spans="1:5" x14ac:dyDescent="0.35">
      <c r="A2725" s="1" t="s">
        <v>4886</v>
      </c>
      <c r="B2725" s="1" t="s">
        <v>2864</v>
      </c>
      <c r="C2725">
        <v>1</v>
      </c>
      <c r="E2725" s="1" t="s">
        <v>4752</v>
      </c>
    </row>
    <row r="2726" spans="1:5" x14ac:dyDescent="0.35">
      <c r="A2726" s="1" t="s">
        <v>4887</v>
      </c>
      <c r="B2726" s="1" t="s">
        <v>4888</v>
      </c>
      <c r="C2726">
        <v>1</v>
      </c>
      <c r="E2726" s="1" t="s">
        <v>4752</v>
      </c>
    </row>
    <row r="2727" spans="1:5" x14ac:dyDescent="0.35">
      <c r="A2727" s="1" t="s">
        <v>4889</v>
      </c>
      <c r="B2727" s="1" t="s">
        <v>4890</v>
      </c>
      <c r="C2727">
        <v>1</v>
      </c>
      <c r="E2727" s="1" t="s">
        <v>4752</v>
      </c>
    </row>
    <row r="2728" spans="1:5" x14ac:dyDescent="0.35">
      <c r="A2728" s="1" t="s">
        <v>4891</v>
      </c>
      <c r="B2728" s="1" t="s">
        <v>4892</v>
      </c>
      <c r="C2728">
        <v>1</v>
      </c>
      <c r="E2728" s="1" t="s">
        <v>4752</v>
      </c>
    </row>
    <row r="2729" spans="1:5" x14ac:dyDescent="0.35">
      <c r="A2729" s="1" t="s">
        <v>4893</v>
      </c>
      <c r="B2729" s="1" t="s">
        <v>4894</v>
      </c>
      <c r="C2729">
        <v>1</v>
      </c>
      <c r="E2729" s="1" t="s">
        <v>4752</v>
      </c>
    </row>
    <row r="2730" spans="1:5" x14ac:dyDescent="0.35">
      <c r="A2730" s="1" t="s">
        <v>4895</v>
      </c>
      <c r="B2730" s="1" t="s">
        <v>4896</v>
      </c>
      <c r="C2730">
        <v>1</v>
      </c>
      <c r="E2730" s="1" t="s">
        <v>4752</v>
      </c>
    </row>
    <row r="2731" spans="1:5" x14ac:dyDescent="0.35">
      <c r="A2731" s="1" t="s">
        <v>4897</v>
      </c>
      <c r="B2731" s="1" t="s">
        <v>4898</v>
      </c>
      <c r="C2731">
        <v>1</v>
      </c>
      <c r="E2731" s="1" t="s">
        <v>4752</v>
      </c>
    </row>
    <row r="2732" spans="1:5" x14ac:dyDescent="0.35">
      <c r="A2732" s="1" t="s">
        <v>4899</v>
      </c>
      <c r="B2732" s="1" t="s">
        <v>4900</v>
      </c>
      <c r="C2732">
        <v>1</v>
      </c>
      <c r="E2732" s="1" t="s">
        <v>4752</v>
      </c>
    </row>
    <row r="2733" spans="1:5" x14ac:dyDescent="0.35">
      <c r="A2733" s="1" t="s">
        <v>4901</v>
      </c>
      <c r="B2733" s="1" t="s">
        <v>4902</v>
      </c>
      <c r="C2733">
        <v>1</v>
      </c>
      <c r="E2733" s="1" t="s">
        <v>4752</v>
      </c>
    </row>
    <row r="2734" spans="1:5" x14ac:dyDescent="0.35">
      <c r="A2734" s="1" t="s">
        <v>4903</v>
      </c>
      <c r="B2734" s="1" t="s">
        <v>4904</v>
      </c>
      <c r="C2734">
        <v>1</v>
      </c>
      <c r="E2734" s="1" t="s">
        <v>4752</v>
      </c>
    </row>
    <row r="2735" spans="1:5" x14ac:dyDescent="0.35">
      <c r="A2735" s="1" t="s">
        <v>4905</v>
      </c>
      <c r="B2735" s="1" t="s">
        <v>4906</v>
      </c>
      <c r="C2735">
        <v>1</v>
      </c>
      <c r="E2735" s="1" t="s">
        <v>4752</v>
      </c>
    </row>
    <row r="2736" spans="1:5" x14ac:dyDescent="0.35">
      <c r="A2736" s="1" t="s">
        <v>4907</v>
      </c>
      <c r="B2736" s="1" t="s">
        <v>4908</v>
      </c>
      <c r="C2736">
        <v>1</v>
      </c>
      <c r="E2736" s="1" t="s">
        <v>4752</v>
      </c>
    </row>
    <row r="2737" spans="1:5" x14ac:dyDescent="0.35">
      <c r="A2737" s="1" t="s">
        <v>4909</v>
      </c>
      <c r="B2737" s="1" t="s">
        <v>4910</v>
      </c>
      <c r="C2737">
        <v>1</v>
      </c>
      <c r="E2737" s="1" t="s">
        <v>4752</v>
      </c>
    </row>
    <row r="2738" spans="1:5" x14ac:dyDescent="0.35">
      <c r="A2738" s="1" t="s">
        <v>4911</v>
      </c>
      <c r="B2738" s="1" t="s">
        <v>4912</v>
      </c>
      <c r="C2738">
        <v>1</v>
      </c>
      <c r="E2738" s="1" t="s">
        <v>4752</v>
      </c>
    </row>
    <row r="2739" spans="1:5" x14ac:dyDescent="0.35">
      <c r="A2739" s="1" t="s">
        <v>4913</v>
      </c>
      <c r="B2739" s="1" t="s">
        <v>4914</v>
      </c>
      <c r="C2739">
        <v>1</v>
      </c>
      <c r="E2739" s="1" t="s">
        <v>4752</v>
      </c>
    </row>
    <row r="2740" spans="1:5" x14ac:dyDescent="0.35">
      <c r="A2740" s="1" t="s">
        <v>4915</v>
      </c>
      <c r="B2740" s="1" t="s">
        <v>4916</v>
      </c>
      <c r="C2740">
        <v>1</v>
      </c>
      <c r="E2740" s="1" t="s">
        <v>4752</v>
      </c>
    </row>
    <row r="2741" spans="1:5" x14ac:dyDescent="0.35">
      <c r="A2741" s="1" t="s">
        <v>4917</v>
      </c>
      <c r="B2741" s="1" t="s">
        <v>4918</v>
      </c>
      <c r="C2741">
        <v>1</v>
      </c>
      <c r="E2741" s="1" t="s">
        <v>4752</v>
      </c>
    </row>
    <row r="2742" spans="1:5" x14ac:dyDescent="0.35">
      <c r="A2742" s="1" t="s">
        <v>4919</v>
      </c>
      <c r="B2742" s="1" t="s">
        <v>4920</v>
      </c>
      <c r="C2742">
        <v>1</v>
      </c>
      <c r="E2742" s="1" t="s">
        <v>4752</v>
      </c>
    </row>
    <row r="2743" spans="1:5" x14ac:dyDescent="0.35">
      <c r="A2743" s="1" t="s">
        <v>4921</v>
      </c>
      <c r="B2743" s="1" t="s">
        <v>4922</v>
      </c>
      <c r="C2743">
        <v>1</v>
      </c>
      <c r="E2743" s="1" t="s">
        <v>4752</v>
      </c>
    </row>
    <row r="2744" spans="1:5" x14ac:dyDescent="0.35">
      <c r="A2744" s="1" t="s">
        <v>4923</v>
      </c>
      <c r="B2744" s="1" t="s">
        <v>4924</v>
      </c>
      <c r="C2744">
        <v>1</v>
      </c>
      <c r="E2744" s="1" t="s">
        <v>4752</v>
      </c>
    </row>
    <row r="2745" spans="1:5" x14ac:dyDescent="0.35">
      <c r="A2745" s="1" t="s">
        <v>4925</v>
      </c>
      <c r="B2745" s="1" t="s">
        <v>4926</v>
      </c>
      <c r="C2745">
        <v>1</v>
      </c>
      <c r="E2745" s="1" t="s">
        <v>4752</v>
      </c>
    </row>
    <row r="2746" spans="1:5" x14ac:dyDescent="0.35">
      <c r="A2746" s="1" t="s">
        <v>4927</v>
      </c>
      <c r="B2746" s="1" t="s">
        <v>4928</v>
      </c>
      <c r="C2746">
        <v>1</v>
      </c>
      <c r="E2746" s="1" t="s">
        <v>4752</v>
      </c>
    </row>
    <row r="2747" spans="1:5" x14ac:dyDescent="0.35">
      <c r="A2747" s="1" t="s">
        <v>4929</v>
      </c>
      <c r="B2747" s="1" t="s">
        <v>4930</v>
      </c>
      <c r="C2747">
        <v>1</v>
      </c>
      <c r="E2747" s="1" t="s">
        <v>4752</v>
      </c>
    </row>
    <row r="2748" spans="1:5" x14ac:dyDescent="0.35">
      <c r="A2748" s="1" t="s">
        <v>4931</v>
      </c>
      <c r="B2748" s="1" t="s">
        <v>4932</v>
      </c>
      <c r="C2748">
        <v>1</v>
      </c>
      <c r="E2748" s="1" t="s">
        <v>4752</v>
      </c>
    </row>
    <row r="2749" spans="1:5" x14ac:dyDescent="0.35">
      <c r="A2749" s="1" t="s">
        <v>4933</v>
      </c>
      <c r="B2749" s="1" t="s">
        <v>4934</v>
      </c>
      <c r="C2749">
        <v>1</v>
      </c>
      <c r="E2749" s="1" t="s">
        <v>4752</v>
      </c>
    </row>
    <row r="2751" spans="1:5" x14ac:dyDescent="0.35">
      <c r="A2751" s="1" t="s">
        <v>4935</v>
      </c>
      <c r="B2751" s="1" t="s">
        <v>4936</v>
      </c>
      <c r="C2751">
        <v>2</v>
      </c>
      <c r="E2751" s="1" t="s">
        <v>4752</v>
      </c>
    </row>
    <row r="2752" spans="1:5" x14ac:dyDescent="0.35">
      <c r="A2752" s="1" t="s">
        <v>4937</v>
      </c>
      <c r="B2752" s="1" t="s">
        <v>4938</v>
      </c>
      <c r="C2752">
        <v>2</v>
      </c>
      <c r="E2752" s="1" t="s">
        <v>4752</v>
      </c>
    </row>
    <row r="2753" spans="1:5" x14ac:dyDescent="0.35">
      <c r="A2753" s="1" t="s">
        <v>4939</v>
      </c>
      <c r="B2753" s="1" t="s">
        <v>4940</v>
      </c>
      <c r="C2753">
        <v>2</v>
      </c>
      <c r="E2753" s="1" t="s">
        <v>4752</v>
      </c>
    </row>
    <row r="2754" spans="1:5" x14ac:dyDescent="0.35">
      <c r="A2754" s="1" t="s">
        <v>4941</v>
      </c>
      <c r="B2754" s="1" t="s">
        <v>4942</v>
      </c>
      <c r="C2754">
        <v>2</v>
      </c>
      <c r="E2754" s="1" t="s">
        <v>4752</v>
      </c>
    </row>
    <row r="2755" spans="1:5" x14ac:dyDescent="0.35">
      <c r="A2755" s="1" t="s">
        <v>4943</v>
      </c>
      <c r="B2755" s="1" t="s">
        <v>4944</v>
      </c>
      <c r="C2755">
        <v>2</v>
      </c>
      <c r="E2755" s="1" t="s">
        <v>4752</v>
      </c>
    </row>
    <row r="2756" spans="1:5" x14ac:dyDescent="0.35">
      <c r="A2756" s="1" t="s">
        <v>4945</v>
      </c>
      <c r="B2756" s="1" t="s">
        <v>4946</v>
      </c>
      <c r="C2756">
        <v>2</v>
      </c>
      <c r="E2756" s="1" t="s">
        <v>4752</v>
      </c>
    </row>
    <row r="2757" spans="1:5" x14ac:dyDescent="0.35">
      <c r="A2757" s="1" t="s">
        <v>4947</v>
      </c>
      <c r="B2757" s="1" t="s">
        <v>4948</v>
      </c>
      <c r="C2757">
        <v>2</v>
      </c>
      <c r="E2757" s="1" t="s">
        <v>4752</v>
      </c>
    </row>
    <row r="2758" spans="1:5" x14ac:dyDescent="0.35">
      <c r="A2758" s="1" t="s">
        <v>4949</v>
      </c>
      <c r="B2758" s="1" t="s">
        <v>4950</v>
      </c>
      <c r="C2758">
        <v>2</v>
      </c>
      <c r="E2758" s="1" t="s">
        <v>4752</v>
      </c>
    </row>
    <row r="2759" spans="1:5" x14ac:dyDescent="0.35">
      <c r="A2759" s="1" t="s">
        <v>4951</v>
      </c>
      <c r="B2759" s="1" t="s">
        <v>4952</v>
      </c>
      <c r="C2759">
        <v>2</v>
      </c>
      <c r="E2759" s="1" t="s">
        <v>4752</v>
      </c>
    </row>
    <row r="2760" spans="1:5" x14ac:dyDescent="0.35">
      <c r="A2760" s="1" t="s">
        <v>4953</v>
      </c>
      <c r="B2760" s="1" t="s">
        <v>4954</v>
      </c>
      <c r="C2760">
        <v>2</v>
      </c>
      <c r="E2760" s="1" t="s">
        <v>4752</v>
      </c>
    </row>
    <row r="2761" spans="1:5" x14ac:dyDescent="0.35">
      <c r="A2761" s="1" t="s">
        <v>4955</v>
      </c>
      <c r="B2761" s="1" t="s">
        <v>4956</v>
      </c>
      <c r="C2761">
        <v>2</v>
      </c>
      <c r="E2761" s="1" t="s">
        <v>4752</v>
      </c>
    </row>
    <row r="2762" spans="1:5" x14ac:dyDescent="0.35">
      <c r="A2762" s="1" t="s">
        <v>4957</v>
      </c>
      <c r="B2762" s="1" t="s">
        <v>4958</v>
      </c>
      <c r="C2762">
        <v>2</v>
      </c>
      <c r="E2762" s="1" t="s">
        <v>4752</v>
      </c>
    </row>
    <row r="2763" spans="1:5" x14ac:dyDescent="0.35">
      <c r="A2763" s="1" t="s">
        <v>4959</v>
      </c>
      <c r="B2763" s="1" t="s">
        <v>2862</v>
      </c>
      <c r="C2763">
        <v>2</v>
      </c>
      <c r="E2763" s="1" t="s">
        <v>4752</v>
      </c>
    </row>
    <row r="2764" spans="1:5" x14ac:dyDescent="0.35">
      <c r="A2764" s="1" t="s">
        <v>4960</v>
      </c>
      <c r="B2764" s="1" t="s">
        <v>4961</v>
      </c>
      <c r="C2764">
        <v>2</v>
      </c>
      <c r="E2764" s="1" t="s">
        <v>4752</v>
      </c>
    </row>
    <row r="2765" spans="1:5" x14ac:dyDescent="0.35">
      <c r="A2765" s="1" t="s">
        <v>4962</v>
      </c>
      <c r="B2765" s="1" t="s">
        <v>4963</v>
      </c>
      <c r="C2765">
        <v>2</v>
      </c>
      <c r="E2765" s="1" t="s">
        <v>4752</v>
      </c>
    </row>
    <row r="2766" spans="1:5" x14ac:dyDescent="0.35">
      <c r="A2766" s="1" t="s">
        <v>4964</v>
      </c>
      <c r="B2766" s="1" t="s">
        <v>4965</v>
      </c>
      <c r="C2766">
        <v>2</v>
      </c>
      <c r="E2766" s="1" t="s">
        <v>4752</v>
      </c>
    </row>
    <row r="2767" spans="1:5" x14ac:dyDescent="0.35">
      <c r="A2767" s="1" t="s">
        <v>4966</v>
      </c>
      <c r="B2767" s="1" t="s">
        <v>4967</v>
      </c>
      <c r="C2767">
        <v>2</v>
      </c>
      <c r="E2767" s="1" t="s">
        <v>4752</v>
      </c>
    </row>
    <row r="2768" spans="1:5" x14ac:dyDescent="0.35">
      <c r="A2768" s="1" t="s">
        <v>4968</v>
      </c>
      <c r="B2768" s="1" t="s">
        <v>4969</v>
      </c>
      <c r="C2768">
        <v>2</v>
      </c>
      <c r="E2768" s="1" t="s">
        <v>4752</v>
      </c>
    </row>
    <row r="2769" spans="1:5" x14ac:dyDescent="0.35">
      <c r="A2769" s="1" t="s">
        <v>4970</v>
      </c>
      <c r="B2769" s="1" t="s">
        <v>4971</v>
      </c>
      <c r="C2769">
        <v>2</v>
      </c>
      <c r="E2769" s="1" t="s">
        <v>4752</v>
      </c>
    </row>
    <row r="2770" spans="1:5" x14ac:dyDescent="0.35">
      <c r="A2770" s="1" t="s">
        <v>4972</v>
      </c>
      <c r="B2770" s="1" t="s">
        <v>4973</v>
      </c>
      <c r="C2770">
        <v>2</v>
      </c>
      <c r="E2770" s="1" t="s">
        <v>4752</v>
      </c>
    </row>
    <row r="2771" spans="1:5" x14ac:dyDescent="0.35">
      <c r="A2771" s="1" t="s">
        <v>4974</v>
      </c>
      <c r="B2771" s="1" t="s">
        <v>4975</v>
      </c>
      <c r="C2771">
        <v>2</v>
      </c>
      <c r="E2771" s="1" t="s">
        <v>4752</v>
      </c>
    </row>
    <row r="2772" spans="1:5" x14ac:dyDescent="0.35">
      <c r="A2772" s="1" t="s">
        <v>4976</v>
      </c>
      <c r="B2772" s="1" t="s">
        <v>4977</v>
      </c>
      <c r="C2772">
        <v>2</v>
      </c>
      <c r="E2772" s="1" t="s">
        <v>4752</v>
      </c>
    </row>
    <row r="2773" spans="1:5" x14ac:dyDescent="0.35">
      <c r="A2773" s="1" t="s">
        <v>4978</v>
      </c>
      <c r="B2773" s="1" t="s">
        <v>4979</v>
      </c>
      <c r="C2773">
        <v>2</v>
      </c>
      <c r="E2773" s="1" t="s">
        <v>4752</v>
      </c>
    </row>
    <row r="2774" spans="1:5" x14ac:dyDescent="0.35">
      <c r="A2774" s="1" t="s">
        <v>4980</v>
      </c>
      <c r="B2774" s="1" t="s">
        <v>4981</v>
      </c>
      <c r="C2774">
        <v>2</v>
      </c>
      <c r="E2774" s="1" t="s">
        <v>4752</v>
      </c>
    </row>
    <row r="2775" spans="1:5" x14ac:dyDescent="0.35">
      <c r="A2775" s="1" t="s">
        <v>4982</v>
      </c>
      <c r="B2775" s="1" t="s">
        <v>4983</v>
      </c>
      <c r="C2775">
        <v>2</v>
      </c>
      <c r="E2775" s="1" t="s">
        <v>4752</v>
      </c>
    </row>
    <row r="2776" spans="1:5" x14ac:dyDescent="0.35">
      <c r="A2776" s="1" t="s">
        <v>4984</v>
      </c>
      <c r="B2776" s="1" t="s">
        <v>3431</v>
      </c>
      <c r="C2776">
        <v>2</v>
      </c>
      <c r="E2776" s="1" t="s">
        <v>4752</v>
      </c>
    </row>
    <row r="2777" spans="1:5" x14ac:dyDescent="0.35">
      <c r="A2777" s="1" t="s">
        <v>4985</v>
      </c>
      <c r="B2777" s="1" t="s">
        <v>4986</v>
      </c>
      <c r="C2777">
        <v>2</v>
      </c>
      <c r="E2777" s="1" t="s">
        <v>4752</v>
      </c>
    </row>
    <row r="2778" spans="1:5" x14ac:dyDescent="0.35">
      <c r="A2778" s="1" t="s">
        <v>4987</v>
      </c>
      <c r="B2778" s="1" t="s">
        <v>4988</v>
      </c>
      <c r="C2778">
        <v>2</v>
      </c>
      <c r="E2778" s="1" t="s">
        <v>4752</v>
      </c>
    </row>
    <row r="2779" spans="1:5" x14ac:dyDescent="0.35">
      <c r="A2779" s="1" t="s">
        <v>4989</v>
      </c>
      <c r="B2779" s="1" t="s">
        <v>4990</v>
      </c>
      <c r="C2779">
        <v>2</v>
      </c>
      <c r="E2779" s="1" t="s">
        <v>4752</v>
      </c>
    </row>
    <row r="2780" spans="1:5" x14ac:dyDescent="0.35">
      <c r="A2780" s="1" t="s">
        <v>4991</v>
      </c>
      <c r="B2780" s="1" t="s">
        <v>4992</v>
      </c>
      <c r="C2780">
        <v>2</v>
      </c>
      <c r="E2780" s="1" t="s">
        <v>4752</v>
      </c>
    </row>
    <row r="2781" spans="1:5" x14ac:dyDescent="0.35">
      <c r="A2781" s="1" t="s">
        <v>4993</v>
      </c>
      <c r="B2781" s="1" t="s">
        <v>4994</v>
      </c>
      <c r="C2781">
        <v>2</v>
      </c>
      <c r="E2781" s="1" t="s">
        <v>4752</v>
      </c>
    </row>
    <row r="2782" spans="1:5" x14ac:dyDescent="0.35">
      <c r="A2782" s="1" t="s">
        <v>4995</v>
      </c>
      <c r="B2782" s="1" t="s">
        <v>4996</v>
      </c>
      <c r="C2782">
        <v>2</v>
      </c>
      <c r="E2782" s="1" t="s">
        <v>4752</v>
      </c>
    </row>
    <row r="2783" spans="1:5" x14ac:dyDescent="0.35">
      <c r="A2783" s="1" t="s">
        <v>4997</v>
      </c>
      <c r="B2783" s="1" t="s">
        <v>4998</v>
      </c>
      <c r="C2783">
        <v>2</v>
      </c>
      <c r="E2783" s="1" t="s">
        <v>4752</v>
      </c>
    </row>
    <row r="2784" spans="1:5" x14ac:dyDescent="0.35">
      <c r="A2784" s="1" t="s">
        <v>4999</v>
      </c>
      <c r="B2784" s="1" t="s">
        <v>5000</v>
      </c>
      <c r="C2784">
        <v>2</v>
      </c>
      <c r="E2784" s="1" t="s">
        <v>4752</v>
      </c>
    </row>
    <row r="2785" spans="1:5" x14ac:dyDescent="0.35">
      <c r="A2785" s="1" t="s">
        <v>5001</v>
      </c>
      <c r="B2785" s="1" t="s">
        <v>5002</v>
      </c>
      <c r="C2785">
        <v>2</v>
      </c>
      <c r="E2785" s="1" t="s">
        <v>4752</v>
      </c>
    </row>
    <row r="2786" spans="1:5" x14ac:dyDescent="0.35">
      <c r="A2786" s="1" t="s">
        <v>5003</v>
      </c>
      <c r="B2786" s="1" t="s">
        <v>5004</v>
      </c>
      <c r="C2786">
        <v>2</v>
      </c>
      <c r="E2786" s="1" t="s">
        <v>4752</v>
      </c>
    </row>
    <row r="2787" spans="1:5" x14ac:dyDescent="0.35">
      <c r="A2787" s="1" t="s">
        <v>5005</v>
      </c>
      <c r="B2787" s="1" t="s">
        <v>5006</v>
      </c>
      <c r="C2787">
        <v>2</v>
      </c>
      <c r="E2787" s="1" t="s">
        <v>4752</v>
      </c>
    </row>
    <row r="2788" spans="1:5" x14ac:dyDescent="0.35">
      <c r="A2788" s="1" t="s">
        <v>5007</v>
      </c>
      <c r="B2788" s="1" t="s">
        <v>5008</v>
      </c>
      <c r="C2788">
        <v>2</v>
      </c>
      <c r="E2788" s="1" t="s">
        <v>4752</v>
      </c>
    </row>
    <row r="2789" spans="1:5" x14ac:dyDescent="0.35">
      <c r="A2789" s="1" t="s">
        <v>5009</v>
      </c>
      <c r="B2789" s="1" t="s">
        <v>5010</v>
      </c>
      <c r="C2789">
        <v>2</v>
      </c>
      <c r="E2789" s="1" t="s">
        <v>4752</v>
      </c>
    </row>
    <row r="2790" spans="1:5" x14ac:dyDescent="0.35">
      <c r="A2790" s="1" t="s">
        <v>5011</v>
      </c>
      <c r="B2790" s="1" t="s">
        <v>5012</v>
      </c>
      <c r="C2790">
        <v>2</v>
      </c>
      <c r="E2790" s="1" t="s">
        <v>4752</v>
      </c>
    </row>
    <row r="2791" spans="1:5" x14ac:dyDescent="0.35">
      <c r="A2791" s="1" t="s">
        <v>5013</v>
      </c>
      <c r="B2791" s="1" t="s">
        <v>5014</v>
      </c>
      <c r="C2791">
        <v>2</v>
      </c>
      <c r="E2791" s="1" t="s">
        <v>4752</v>
      </c>
    </row>
    <row r="2792" spans="1:5" x14ac:dyDescent="0.35">
      <c r="A2792" s="1" t="s">
        <v>5015</v>
      </c>
      <c r="B2792" s="1" t="s">
        <v>5016</v>
      </c>
      <c r="C2792">
        <v>2</v>
      </c>
      <c r="E2792" s="1" t="s">
        <v>4752</v>
      </c>
    </row>
    <row r="2793" spans="1:5" x14ac:dyDescent="0.35">
      <c r="A2793" s="1" t="s">
        <v>5017</v>
      </c>
      <c r="B2793" s="1" t="s">
        <v>5018</v>
      </c>
      <c r="C2793">
        <v>2</v>
      </c>
      <c r="E2793" s="1" t="s">
        <v>4752</v>
      </c>
    </row>
    <row r="2794" spans="1:5" x14ac:dyDescent="0.35">
      <c r="A2794" s="1" t="s">
        <v>5019</v>
      </c>
      <c r="B2794" s="1" t="s">
        <v>5020</v>
      </c>
      <c r="C2794">
        <v>2</v>
      </c>
      <c r="E2794" s="1" t="s">
        <v>4752</v>
      </c>
    </row>
    <row r="2795" spans="1:5" x14ac:dyDescent="0.35">
      <c r="A2795" s="1" t="s">
        <v>5021</v>
      </c>
      <c r="B2795" s="1" t="s">
        <v>5022</v>
      </c>
      <c r="C2795">
        <v>2</v>
      </c>
      <c r="E2795" s="1" t="s">
        <v>4752</v>
      </c>
    </row>
    <row r="2796" spans="1:5" x14ac:dyDescent="0.35">
      <c r="A2796" s="1" t="s">
        <v>5023</v>
      </c>
      <c r="B2796" s="1" t="s">
        <v>5024</v>
      </c>
      <c r="C2796">
        <v>2</v>
      </c>
      <c r="E2796" s="1" t="s">
        <v>4752</v>
      </c>
    </row>
    <row r="2797" spans="1:5" x14ac:dyDescent="0.35">
      <c r="A2797" s="1" t="s">
        <v>5025</v>
      </c>
      <c r="B2797" s="1" t="s">
        <v>5026</v>
      </c>
      <c r="C2797">
        <v>2</v>
      </c>
      <c r="E2797" s="1" t="s">
        <v>4752</v>
      </c>
    </row>
    <row r="2798" spans="1:5" x14ac:dyDescent="0.35">
      <c r="A2798" s="1" t="s">
        <v>5027</v>
      </c>
      <c r="B2798" s="1" t="s">
        <v>5028</v>
      </c>
      <c r="C2798">
        <v>2</v>
      </c>
      <c r="E2798" s="1" t="s">
        <v>4752</v>
      </c>
    </row>
    <row r="2799" spans="1:5" x14ac:dyDescent="0.35">
      <c r="A2799" s="1" t="s">
        <v>5029</v>
      </c>
      <c r="B2799" s="1" t="s">
        <v>5030</v>
      </c>
      <c r="C2799">
        <v>2</v>
      </c>
      <c r="E2799" s="1" t="s">
        <v>4752</v>
      </c>
    </row>
    <row r="2800" spans="1:5" x14ac:dyDescent="0.35">
      <c r="A2800" s="1" t="s">
        <v>5031</v>
      </c>
      <c r="B2800" s="1" t="s">
        <v>3707</v>
      </c>
      <c r="C2800">
        <v>2</v>
      </c>
      <c r="E2800" s="1" t="s">
        <v>4752</v>
      </c>
    </row>
    <row r="2801" spans="1:5" x14ac:dyDescent="0.35">
      <c r="A2801" s="1" t="s">
        <v>5032</v>
      </c>
      <c r="B2801" s="1" t="s">
        <v>5033</v>
      </c>
      <c r="C2801">
        <v>2</v>
      </c>
      <c r="E2801" s="1" t="s">
        <v>4752</v>
      </c>
    </row>
    <row r="2802" spans="1:5" x14ac:dyDescent="0.35">
      <c r="A2802" s="1" t="s">
        <v>5034</v>
      </c>
      <c r="B2802" s="1" t="s">
        <v>2891</v>
      </c>
      <c r="C2802">
        <v>2</v>
      </c>
      <c r="E2802" s="1" t="s">
        <v>4752</v>
      </c>
    </row>
    <row r="2803" spans="1:5" x14ac:dyDescent="0.35">
      <c r="A2803" s="1" t="s">
        <v>5035</v>
      </c>
      <c r="B2803" s="1" t="s">
        <v>5036</v>
      </c>
      <c r="C2803">
        <v>2</v>
      </c>
      <c r="E2803" s="1" t="s">
        <v>4752</v>
      </c>
    </row>
    <row r="2804" spans="1:5" x14ac:dyDescent="0.35">
      <c r="A2804" s="1" t="s">
        <v>5037</v>
      </c>
      <c r="B2804" s="1" t="s">
        <v>5038</v>
      </c>
      <c r="C2804">
        <v>2</v>
      </c>
      <c r="E2804" s="1" t="s">
        <v>4752</v>
      </c>
    </row>
    <row r="2805" spans="1:5" x14ac:dyDescent="0.35">
      <c r="A2805" s="1" t="s">
        <v>5039</v>
      </c>
      <c r="B2805" s="1" t="s">
        <v>5040</v>
      </c>
      <c r="C2805">
        <v>2</v>
      </c>
      <c r="E2805" s="1" t="s">
        <v>4752</v>
      </c>
    </row>
    <row r="2806" spans="1:5" x14ac:dyDescent="0.35">
      <c r="A2806" s="1" t="s">
        <v>5041</v>
      </c>
      <c r="B2806" s="1" t="s">
        <v>5042</v>
      </c>
      <c r="C2806">
        <v>2</v>
      </c>
      <c r="E2806" s="1" t="s">
        <v>4752</v>
      </c>
    </row>
    <row r="2807" spans="1:5" x14ac:dyDescent="0.35">
      <c r="A2807" s="1" t="s">
        <v>5043</v>
      </c>
      <c r="B2807" s="1" t="s">
        <v>5044</v>
      </c>
      <c r="C2807">
        <v>2</v>
      </c>
      <c r="E2807" s="1" t="s">
        <v>4752</v>
      </c>
    </row>
    <row r="2808" spans="1:5" x14ac:dyDescent="0.35">
      <c r="A2808" s="1" t="s">
        <v>5045</v>
      </c>
      <c r="B2808" s="1" t="s">
        <v>5046</v>
      </c>
      <c r="C2808">
        <v>2</v>
      </c>
      <c r="E2808" s="1" t="s">
        <v>4752</v>
      </c>
    </row>
    <row r="2809" spans="1:5" x14ac:dyDescent="0.35">
      <c r="A2809" s="1" t="s">
        <v>5047</v>
      </c>
      <c r="B2809" s="1" t="s">
        <v>5048</v>
      </c>
      <c r="C2809">
        <v>2</v>
      </c>
      <c r="E2809" s="1" t="s">
        <v>4752</v>
      </c>
    </row>
    <row r="2810" spans="1:5" x14ac:dyDescent="0.35">
      <c r="A2810" s="1" t="s">
        <v>5049</v>
      </c>
      <c r="B2810" s="1" t="s">
        <v>5050</v>
      </c>
      <c r="C2810">
        <v>2</v>
      </c>
      <c r="E2810" s="1" t="s">
        <v>4752</v>
      </c>
    </row>
    <row r="2811" spans="1:5" x14ac:dyDescent="0.35">
      <c r="A2811" s="1" t="s">
        <v>5051</v>
      </c>
      <c r="B2811" s="1" t="s">
        <v>2812</v>
      </c>
      <c r="C2811">
        <v>2</v>
      </c>
      <c r="E2811" s="1" t="s">
        <v>4752</v>
      </c>
    </row>
    <row r="2812" spans="1:5" x14ac:dyDescent="0.35">
      <c r="A2812" s="1" t="s">
        <v>5052</v>
      </c>
      <c r="B2812" s="1" t="s">
        <v>5053</v>
      </c>
      <c r="C2812">
        <v>2</v>
      </c>
      <c r="E2812" s="1" t="s">
        <v>4752</v>
      </c>
    </row>
    <row r="2813" spans="1:5" x14ac:dyDescent="0.35">
      <c r="A2813" s="1" t="s">
        <v>5054</v>
      </c>
      <c r="B2813" s="1" t="s">
        <v>3205</v>
      </c>
      <c r="C2813">
        <v>2</v>
      </c>
      <c r="E2813" s="1" t="s">
        <v>4752</v>
      </c>
    </row>
    <row r="2814" spans="1:5" x14ac:dyDescent="0.35">
      <c r="A2814" s="1" t="s">
        <v>5055</v>
      </c>
      <c r="B2814" s="1" t="s">
        <v>5056</v>
      </c>
      <c r="C2814">
        <v>2</v>
      </c>
      <c r="E2814" s="1" t="s">
        <v>4752</v>
      </c>
    </row>
    <row r="2815" spans="1:5" x14ac:dyDescent="0.35">
      <c r="A2815" s="1" t="s">
        <v>5057</v>
      </c>
      <c r="B2815" s="1" t="s">
        <v>5058</v>
      </c>
      <c r="C2815">
        <v>2</v>
      </c>
      <c r="E2815" s="1" t="s">
        <v>4752</v>
      </c>
    </row>
    <row r="2816" spans="1:5" x14ac:dyDescent="0.35">
      <c r="A2816" s="1" t="s">
        <v>5059</v>
      </c>
      <c r="B2816" s="1" t="s">
        <v>5060</v>
      </c>
      <c r="C2816">
        <v>2</v>
      </c>
      <c r="E2816" s="1" t="s">
        <v>4752</v>
      </c>
    </row>
    <row r="2817" spans="1:5" x14ac:dyDescent="0.35">
      <c r="A2817" s="1" t="s">
        <v>5061</v>
      </c>
      <c r="B2817" s="1" t="s">
        <v>5062</v>
      </c>
      <c r="C2817">
        <v>2</v>
      </c>
      <c r="E2817" s="1" t="s">
        <v>4752</v>
      </c>
    </row>
    <row r="2818" spans="1:5" x14ac:dyDescent="0.35">
      <c r="A2818" s="1" t="s">
        <v>5063</v>
      </c>
      <c r="B2818" s="1" t="s">
        <v>5064</v>
      </c>
      <c r="C2818">
        <v>2</v>
      </c>
      <c r="E2818" s="1" t="s">
        <v>4752</v>
      </c>
    </row>
    <row r="2819" spans="1:5" x14ac:dyDescent="0.35">
      <c r="A2819" s="1" t="s">
        <v>5065</v>
      </c>
      <c r="B2819" s="1" t="s">
        <v>5066</v>
      </c>
      <c r="C2819">
        <v>2</v>
      </c>
      <c r="E2819" s="1" t="s">
        <v>4752</v>
      </c>
    </row>
    <row r="2820" spans="1:5" x14ac:dyDescent="0.35">
      <c r="A2820" s="1" t="s">
        <v>5067</v>
      </c>
      <c r="B2820" s="1" t="s">
        <v>5068</v>
      </c>
      <c r="C2820">
        <v>2</v>
      </c>
      <c r="E2820" s="1" t="s">
        <v>4752</v>
      </c>
    </row>
    <row r="2821" spans="1:5" x14ac:dyDescent="0.35">
      <c r="A2821" s="1" t="s">
        <v>5069</v>
      </c>
      <c r="B2821" s="1" t="s">
        <v>5070</v>
      </c>
      <c r="C2821">
        <v>2</v>
      </c>
      <c r="E2821" s="1" t="s">
        <v>4752</v>
      </c>
    </row>
    <row r="2822" spans="1:5" x14ac:dyDescent="0.35">
      <c r="A2822" s="1" t="s">
        <v>5071</v>
      </c>
      <c r="B2822" s="1" t="s">
        <v>5072</v>
      </c>
      <c r="C2822">
        <v>2</v>
      </c>
      <c r="E2822" s="1" t="s">
        <v>4752</v>
      </c>
    </row>
    <row r="2823" spans="1:5" x14ac:dyDescent="0.35">
      <c r="A2823" s="1" t="s">
        <v>5073</v>
      </c>
      <c r="B2823" s="1" t="s">
        <v>5074</v>
      </c>
      <c r="C2823">
        <v>2</v>
      </c>
      <c r="E2823" s="1" t="s">
        <v>4752</v>
      </c>
    </row>
    <row r="2824" spans="1:5" x14ac:dyDescent="0.35">
      <c r="A2824" s="1" t="s">
        <v>5075</v>
      </c>
      <c r="B2824" s="1" t="s">
        <v>5076</v>
      </c>
      <c r="C2824">
        <v>2</v>
      </c>
      <c r="E2824" s="1" t="s">
        <v>4752</v>
      </c>
    </row>
    <row r="2825" spans="1:5" x14ac:dyDescent="0.35">
      <c r="A2825" s="1" t="s">
        <v>5077</v>
      </c>
      <c r="B2825" s="1" t="s">
        <v>5078</v>
      </c>
      <c r="C2825">
        <v>2</v>
      </c>
      <c r="E2825" s="1" t="s">
        <v>4752</v>
      </c>
    </row>
    <row r="2826" spans="1:5" x14ac:dyDescent="0.35">
      <c r="A2826" s="1" t="s">
        <v>5079</v>
      </c>
      <c r="B2826" s="1" t="s">
        <v>5080</v>
      </c>
      <c r="C2826">
        <v>2</v>
      </c>
      <c r="E2826" s="1" t="s">
        <v>4752</v>
      </c>
    </row>
    <row r="2827" spans="1:5" x14ac:dyDescent="0.35">
      <c r="A2827" s="1" t="s">
        <v>5081</v>
      </c>
      <c r="B2827" s="1" t="s">
        <v>5082</v>
      </c>
      <c r="C2827">
        <v>2</v>
      </c>
      <c r="E2827" s="1" t="s">
        <v>4752</v>
      </c>
    </row>
    <row r="2828" spans="1:5" x14ac:dyDescent="0.35">
      <c r="A2828" s="1" t="s">
        <v>5083</v>
      </c>
      <c r="B2828" s="1" t="s">
        <v>5084</v>
      </c>
      <c r="C2828">
        <v>2</v>
      </c>
      <c r="E2828" s="1" t="s">
        <v>4752</v>
      </c>
    </row>
    <row r="2829" spans="1:5" x14ac:dyDescent="0.35">
      <c r="A2829" s="1" t="s">
        <v>5085</v>
      </c>
      <c r="B2829" s="1" t="s">
        <v>5086</v>
      </c>
      <c r="C2829">
        <v>2</v>
      </c>
      <c r="E2829" s="1" t="s">
        <v>4752</v>
      </c>
    </row>
    <row r="2830" spans="1:5" x14ac:dyDescent="0.35">
      <c r="A2830" s="1" t="s">
        <v>5087</v>
      </c>
      <c r="B2830" s="1" t="s">
        <v>5088</v>
      </c>
      <c r="C2830">
        <v>2</v>
      </c>
      <c r="E2830" s="1" t="s">
        <v>4752</v>
      </c>
    </row>
    <row r="2831" spans="1:5" x14ac:dyDescent="0.35">
      <c r="A2831" s="1" t="s">
        <v>5089</v>
      </c>
      <c r="B2831" s="1" t="s">
        <v>5090</v>
      </c>
      <c r="C2831">
        <v>2</v>
      </c>
      <c r="E2831" s="1" t="s">
        <v>4752</v>
      </c>
    </row>
    <row r="2832" spans="1:5" x14ac:dyDescent="0.35">
      <c r="A2832" s="1" t="s">
        <v>5091</v>
      </c>
      <c r="B2832" s="1" t="s">
        <v>5092</v>
      </c>
      <c r="C2832">
        <v>2</v>
      </c>
      <c r="E2832" s="1" t="s">
        <v>4752</v>
      </c>
    </row>
    <row r="2833" spans="1:5" x14ac:dyDescent="0.35">
      <c r="A2833" s="1" t="s">
        <v>5093</v>
      </c>
      <c r="B2833" s="1" t="s">
        <v>5094</v>
      </c>
      <c r="C2833">
        <v>2</v>
      </c>
      <c r="E2833" s="1" t="s">
        <v>4752</v>
      </c>
    </row>
    <row r="2834" spans="1:5" x14ac:dyDescent="0.35">
      <c r="A2834" s="1" t="s">
        <v>5095</v>
      </c>
      <c r="B2834" s="1" t="s">
        <v>5096</v>
      </c>
      <c r="C2834">
        <v>2</v>
      </c>
      <c r="E2834" s="1" t="s">
        <v>4752</v>
      </c>
    </row>
    <row r="2835" spans="1:5" x14ac:dyDescent="0.35">
      <c r="A2835" s="1" t="s">
        <v>5097</v>
      </c>
      <c r="B2835" s="1" t="s">
        <v>5098</v>
      </c>
      <c r="C2835">
        <v>2</v>
      </c>
      <c r="E2835" s="1" t="s">
        <v>4752</v>
      </c>
    </row>
    <row r="2836" spans="1:5" x14ac:dyDescent="0.35">
      <c r="A2836" s="1" t="s">
        <v>5099</v>
      </c>
      <c r="B2836" s="1" t="s">
        <v>3384</v>
      </c>
      <c r="C2836">
        <v>2</v>
      </c>
      <c r="E2836" s="1" t="s">
        <v>4752</v>
      </c>
    </row>
    <row r="2837" spans="1:5" x14ac:dyDescent="0.35">
      <c r="A2837" s="1" t="s">
        <v>5100</v>
      </c>
      <c r="B2837" s="1" t="s">
        <v>5101</v>
      </c>
      <c r="C2837">
        <v>2</v>
      </c>
      <c r="E2837" s="1" t="s">
        <v>4752</v>
      </c>
    </row>
    <row r="2838" spans="1:5" x14ac:dyDescent="0.35">
      <c r="A2838" s="1" t="s">
        <v>5102</v>
      </c>
      <c r="B2838" s="1" t="s">
        <v>5103</v>
      </c>
      <c r="C2838">
        <v>2</v>
      </c>
      <c r="E2838" s="1" t="s">
        <v>4752</v>
      </c>
    </row>
    <row r="2839" spans="1:5" x14ac:dyDescent="0.35">
      <c r="A2839" s="1" t="s">
        <v>5104</v>
      </c>
      <c r="B2839" s="1" t="s">
        <v>5105</v>
      </c>
      <c r="C2839">
        <v>2</v>
      </c>
      <c r="E2839" s="1" t="s">
        <v>4752</v>
      </c>
    </row>
    <row r="2840" spans="1:5" x14ac:dyDescent="0.35">
      <c r="A2840" s="1" t="s">
        <v>5106</v>
      </c>
      <c r="B2840" s="1" t="s">
        <v>5107</v>
      </c>
      <c r="C2840">
        <v>2</v>
      </c>
      <c r="E2840" s="1" t="s">
        <v>4752</v>
      </c>
    </row>
    <row r="2841" spans="1:5" x14ac:dyDescent="0.35">
      <c r="A2841" s="1" t="s">
        <v>5108</v>
      </c>
      <c r="B2841" s="1" t="s">
        <v>5109</v>
      </c>
      <c r="C2841">
        <v>2</v>
      </c>
      <c r="E2841" s="1" t="s">
        <v>4752</v>
      </c>
    </row>
    <row r="2842" spans="1:5" x14ac:dyDescent="0.35">
      <c r="A2842" s="1" t="s">
        <v>5110</v>
      </c>
      <c r="B2842" s="1" t="s">
        <v>5111</v>
      </c>
      <c r="C2842">
        <v>2</v>
      </c>
      <c r="E2842" s="1" t="s">
        <v>4752</v>
      </c>
    </row>
    <row r="2843" spans="1:5" x14ac:dyDescent="0.35">
      <c r="A2843" s="1" t="s">
        <v>5112</v>
      </c>
      <c r="B2843" s="1" t="s">
        <v>5113</v>
      </c>
      <c r="C2843">
        <v>2</v>
      </c>
      <c r="E2843" s="1" t="s">
        <v>4752</v>
      </c>
    </row>
    <row r="2844" spans="1:5" x14ac:dyDescent="0.35">
      <c r="A2844" s="1" t="s">
        <v>5114</v>
      </c>
      <c r="B2844" s="1" t="s">
        <v>5115</v>
      </c>
      <c r="C2844">
        <v>2</v>
      </c>
      <c r="E2844" s="1" t="s">
        <v>4752</v>
      </c>
    </row>
    <row r="2845" spans="1:5" x14ac:dyDescent="0.35">
      <c r="A2845" s="1" t="s">
        <v>5116</v>
      </c>
      <c r="B2845" s="1" t="s">
        <v>5117</v>
      </c>
      <c r="C2845">
        <v>2</v>
      </c>
      <c r="E2845" s="1" t="s">
        <v>4752</v>
      </c>
    </row>
    <row r="2846" spans="1:5" x14ac:dyDescent="0.35">
      <c r="A2846" s="1" t="s">
        <v>5118</v>
      </c>
      <c r="B2846" s="1" t="s">
        <v>5119</v>
      </c>
      <c r="C2846">
        <v>2</v>
      </c>
      <c r="E2846" s="1" t="s">
        <v>4752</v>
      </c>
    </row>
    <row r="2848" spans="1:5" x14ac:dyDescent="0.35">
      <c r="A2848" s="1" t="s">
        <v>5120</v>
      </c>
      <c r="B2848" s="1" t="s">
        <v>5121</v>
      </c>
      <c r="C2848">
        <v>1</v>
      </c>
      <c r="E2848" s="1" t="s">
        <v>5122</v>
      </c>
    </row>
    <row r="2849" spans="1:5" x14ac:dyDescent="0.35">
      <c r="A2849" s="1" t="s">
        <v>5123</v>
      </c>
      <c r="B2849" s="1" t="s">
        <v>5124</v>
      </c>
      <c r="C2849">
        <v>1</v>
      </c>
      <c r="E2849" s="1" t="s">
        <v>5122</v>
      </c>
    </row>
    <row r="2850" spans="1:5" x14ac:dyDescent="0.35">
      <c r="A2850" s="1" t="s">
        <v>5125</v>
      </c>
      <c r="B2850" s="1" t="s">
        <v>5126</v>
      </c>
      <c r="C2850">
        <v>1</v>
      </c>
      <c r="E2850" s="1" t="s">
        <v>5122</v>
      </c>
    </row>
    <row r="2851" spans="1:5" x14ac:dyDescent="0.35">
      <c r="A2851" s="1" t="s">
        <v>5127</v>
      </c>
      <c r="B2851" s="1" t="s">
        <v>5128</v>
      </c>
      <c r="C2851">
        <v>1</v>
      </c>
      <c r="E2851" s="1" t="s">
        <v>5122</v>
      </c>
    </row>
    <row r="2852" spans="1:5" x14ac:dyDescent="0.35">
      <c r="A2852" s="1" t="s">
        <v>5129</v>
      </c>
      <c r="B2852" s="1" t="s">
        <v>5130</v>
      </c>
      <c r="C2852">
        <v>1</v>
      </c>
      <c r="E2852" s="1" t="s">
        <v>5122</v>
      </c>
    </row>
    <row r="2853" spans="1:5" x14ac:dyDescent="0.35">
      <c r="A2853" s="1" t="s">
        <v>5131</v>
      </c>
      <c r="B2853" s="1" t="s">
        <v>5132</v>
      </c>
      <c r="C2853">
        <v>1</v>
      </c>
      <c r="E2853" s="1" t="s">
        <v>5122</v>
      </c>
    </row>
    <row r="2854" spans="1:5" x14ac:dyDescent="0.35">
      <c r="A2854" s="1" t="s">
        <v>5133</v>
      </c>
      <c r="B2854" s="1" t="s">
        <v>5134</v>
      </c>
      <c r="C2854">
        <v>1</v>
      </c>
      <c r="E2854" s="1" t="s">
        <v>5122</v>
      </c>
    </row>
    <row r="2855" spans="1:5" x14ac:dyDescent="0.35">
      <c r="A2855" s="1" t="s">
        <v>5135</v>
      </c>
      <c r="B2855" s="1" t="s">
        <v>5136</v>
      </c>
      <c r="C2855">
        <v>1</v>
      </c>
      <c r="E2855" s="1" t="s">
        <v>5122</v>
      </c>
    </row>
    <row r="2856" spans="1:5" x14ac:dyDescent="0.35">
      <c r="A2856" s="1" t="s">
        <v>5137</v>
      </c>
      <c r="B2856" s="1" t="s">
        <v>5138</v>
      </c>
      <c r="C2856">
        <v>1</v>
      </c>
      <c r="E2856" s="1" t="s">
        <v>5122</v>
      </c>
    </row>
    <row r="2857" spans="1:5" x14ac:dyDescent="0.35">
      <c r="A2857" s="1" t="s">
        <v>5139</v>
      </c>
      <c r="B2857" s="1" t="s">
        <v>5140</v>
      </c>
      <c r="C2857">
        <v>1</v>
      </c>
      <c r="E2857" s="1" t="s">
        <v>5122</v>
      </c>
    </row>
    <row r="2858" spans="1:5" x14ac:dyDescent="0.35">
      <c r="A2858" s="1" t="s">
        <v>5141</v>
      </c>
      <c r="B2858" s="1" t="s">
        <v>5142</v>
      </c>
      <c r="C2858">
        <v>1</v>
      </c>
      <c r="E2858" s="1" t="s">
        <v>5122</v>
      </c>
    </row>
    <row r="2859" spans="1:5" x14ac:dyDescent="0.35">
      <c r="A2859" s="1" t="s">
        <v>5143</v>
      </c>
      <c r="B2859" s="1" t="s">
        <v>5144</v>
      </c>
      <c r="C2859">
        <v>1</v>
      </c>
      <c r="E2859" s="1" t="s">
        <v>5122</v>
      </c>
    </row>
    <row r="2860" spans="1:5" x14ac:dyDescent="0.35">
      <c r="A2860" s="1" t="s">
        <v>5145</v>
      </c>
      <c r="B2860" s="1" t="s">
        <v>5146</v>
      </c>
      <c r="C2860">
        <v>1</v>
      </c>
      <c r="E2860" s="1" t="s">
        <v>5122</v>
      </c>
    </row>
    <row r="2861" spans="1:5" x14ac:dyDescent="0.35">
      <c r="A2861" s="1" t="s">
        <v>5147</v>
      </c>
      <c r="B2861" s="1" t="s">
        <v>5148</v>
      </c>
      <c r="C2861">
        <v>1</v>
      </c>
      <c r="E2861" s="1" t="s">
        <v>5122</v>
      </c>
    </row>
    <row r="2862" spans="1:5" x14ac:dyDescent="0.35">
      <c r="A2862" s="1" t="s">
        <v>5149</v>
      </c>
      <c r="B2862" s="1" t="s">
        <v>5150</v>
      </c>
      <c r="C2862">
        <v>1</v>
      </c>
      <c r="E2862" s="1" t="s">
        <v>5122</v>
      </c>
    </row>
    <row r="2863" spans="1:5" x14ac:dyDescent="0.35">
      <c r="A2863" s="1" t="s">
        <v>5151</v>
      </c>
      <c r="B2863" s="1" t="s">
        <v>955</v>
      </c>
      <c r="C2863">
        <v>1</v>
      </c>
      <c r="E2863" s="1" t="s">
        <v>5122</v>
      </c>
    </row>
    <row r="2864" spans="1:5" x14ac:dyDescent="0.35">
      <c r="A2864" s="1" t="s">
        <v>5152</v>
      </c>
      <c r="B2864" s="1" t="s">
        <v>5153</v>
      </c>
      <c r="C2864">
        <v>1</v>
      </c>
      <c r="E2864" s="1" t="s">
        <v>5122</v>
      </c>
    </row>
    <row r="2865" spans="1:5" x14ac:dyDescent="0.35">
      <c r="A2865" s="1" t="s">
        <v>5154</v>
      </c>
      <c r="B2865" s="1" t="s">
        <v>5155</v>
      </c>
      <c r="C2865">
        <v>1</v>
      </c>
      <c r="E2865" s="1" t="s">
        <v>5122</v>
      </c>
    </row>
    <row r="2866" spans="1:5" x14ac:dyDescent="0.35">
      <c r="A2866" s="1" t="s">
        <v>5156</v>
      </c>
      <c r="B2866" s="1" t="s">
        <v>5157</v>
      </c>
      <c r="C2866">
        <v>1</v>
      </c>
      <c r="E2866" s="1" t="s">
        <v>5122</v>
      </c>
    </row>
    <row r="2867" spans="1:5" x14ac:dyDescent="0.35">
      <c r="A2867" s="1" t="s">
        <v>5158</v>
      </c>
      <c r="B2867" s="1" t="s">
        <v>5159</v>
      </c>
      <c r="C2867">
        <v>1</v>
      </c>
      <c r="E2867" s="1" t="s">
        <v>5122</v>
      </c>
    </row>
    <row r="2868" spans="1:5" x14ac:dyDescent="0.35">
      <c r="A2868" s="1" t="s">
        <v>5160</v>
      </c>
      <c r="B2868" s="1" t="s">
        <v>5161</v>
      </c>
      <c r="C2868">
        <v>1</v>
      </c>
      <c r="E2868" s="1" t="s">
        <v>5122</v>
      </c>
    </row>
    <row r="2869" spans="1:5" x14ac:dyDescent="0.35">
      <c r="A2869" s="1" t="s">
        <v>5162</v>
      </c>
      <c r="B2869" s="1" t="s">
        <v>5163</v>
      </c>
      <c r="C2869">
        <v>1</v>
      </c>
      <c r="E2869" s="1" t="s">
        <v>5122</v>
      </c>
    </row>
    <row r="2870" spans="1:5" x14ac:dyDescent="0.35">
      <c r="A2870" s="1" t="s">
        <v>5164</v>
      </c>
      <c r="B2870" s="1" t="s">
        <v>5165</v>
      </c>
      <c r="C2870">
        <v>1</v>
      </c>
      <c r="E2870" s="1" t="s">
        <v>5122</v>
      </c>
    </row>
    <row r="2871" spans="1:5" x14ac:dyDescent="0.35">
      <c r="A2871" s="1" t="s">
        <v>5166</v>
      </c>
      <c r="B2871" s="1" t="s">
        <v>4426</v>
      </c>
      <c r="C2871">
        <v>1</v>
      </c>
      <c r="E2871" s="1" t="s">
        <v>5122</v>
      </c>
    </row>
    <row r="2872" spans="1:5" x14ac:dyDescent="0.35">
      <c r="A2872" s="1" t="s">
        <v>5167</v>
      </c>
      <c r="B2872" s="1" t="s">
        <v>5168</v>
      </c>
      <c r="C2872">
        <v>1</v>
      </c>
      <c r="E2872" s="1" t="s">
        <v>5122</v>
      </c>
    </row>
    <row r="2873" spans="1:5" x14ac:dyDescent="0.35">
      <c r="A2873" s="1" t="s">
        <v>5169</v>
      </c>
      <c r="B2873" s="1" t="s">
        <v>5170</v>
      </c>
      <c r="C2873">
        <v>1</v>
      </c>
      <c r="E2873" s="1" t="s">
        <v>5122</v>
      </c>
    </row>
    <row r="2874" spans="1:5" x14ac:dyDescent="0.35">
      <c r="A2874" s="1" t="s">
        <v>5171</v>
      </c>
      <c r="B2874" s="1" t="s">
        <v>5172</v>
      </c>
      <c r="C2874">
        <v>1</v>
      </c>
      <c r="E2874" s="1" t="s">
        <v>5122</v>
      </c>
    </row>
    <row r="2875" spans="1:5" x14ac:dyDescent="0.35">
      <c r="A2875" s="1" t="s">
        <v>5173</v>
      </c>
      <c r="B2875" s="1" t="s">
        <v>5174</v>
      </c>
      <c r="C2875">
        <v>1</v>
      </c>
      <c r="E2875" s="1" t="s">
        <v>5122</v>
      </c>
    </row>
    <row r="2876" spans="1:5" x14ac:dyDescent="0.35">
      <c r="A2876" s="1" t="s">
        <v>5175</v>
      </c>
      <c r="B2876" s="1" t="s">
        <v>5176</v>
      </c>
      <c r="C2876">
        <v>1</v>
      </c>
      <c r="E2876" s="1" t="s">
        <v>5122</v>
      </c>
    </row>
    <row r="2877" spans="1:5" x14ac:dyDescent="0.35">
      <c r="A2877" s="1" t="s">
        <v>5177</v>
      </c>
      <c r="B2877" s="1" t="s">
        <v>5178</v>
      </c>
      <c r="C2877">
        <v>1</v>
      </c>
      <c r="E2877" s="1" t="s">
        <v>5122</v>
      </c>
    </row>
    <row r="2878" spans="1:5" x14ac:dyDescent="0.35">
      <c r="A2878" s="1" t="s">
        <v>5179</v>
      </c>
      <c r="B2878" s="128" t="s">
        <v>5180</v>
      </c>
      <c r="C2878">
        <v>1</v>
      </c>
      <c r="E2878" s="1" t="s">
        <v>5122</v>
      </c>
    </row>
    <row r="2879" spans="1:5" x14ac:dyDescent="0.35">
      <c r="A2879" s="1" t="s">
        <v>5181</v>
      </c>
      <c r="B2879" s="1" t="s">
        <v>5182</v>
      </c>
      <c r="C2879">
        <v>1</v>
      </c>
      <c r="E2879" s="1" t="s">
        <v>5122</v>
      </c>
    </row>
    <row r="2880" spans="1:5" x14ac:dyDescent="0.35">
      <c r="A2880" s="1" t="s">
        <v>5183</v>
      </c>
      <c r="B2880" s="1" t="s">
        <v>5184</v>
      </c>
      <c r="C2880">
        <v>1</v>
      </c>
      <c r="E2880" s="1" t="s">
        <v>5122</v>
      </c>
    </row>
    <row r="2881" spans="1:5" x14ac:dyDescent="0.35">
      <c r="A2881" s="1" t="s">
        <v>5185</v>
      </c>
      <c r="B2881" s="1" t="s">
        <v>5186</v>
      </c>
      <c r="C2881">
        <v>1</v>
      </c>
      <c r="E2881" s="1" t="s">
        <v>5122</v>
      </c>
    </row>
    <row r="2882" spans="1:5" x14ac:dyDescent="0.35">
      <c r="A2882" s="1" t="s">
        <v>5187</v>
      </c>
      <c r="B2882" s="1" t="s">
        <v>5188</v>
      </c>
      <c r="C2882">
        <v>1</v>
      </c>
      <c r="E2882" s="1" t="s">
        <v>5122</v>
      </c>
    </row>
    <row r="2883" spans="1:5" x14ac:dyDescent="0.35">
      <c r="A2883" s="1" t="s">
        <v>5189</v>
      </c>
      <c r="B2883" s="1" t="s">
        <v>5190</v>
      </c>
      <c r="C2883">
        <v>1</v>
      </c>
      <c r="E2883" s="1" t="s">
        <v>5122</v>
      </c>
    </row>
    <row r="2884" spans="1:5" x14ac:dyDescent="0.35">
      <c r="A2884" s="1" t="s">
        <v>5191</v>
      </c>
      <c r="B2884" s="1" t="s">
        <v>5192</v>
      </c>
      <c r="C2884">
        <v>1</v>
      </c>
      <c r="E2884" s="1" t="s">
        <v>5122</v>
      </c>
    </row>
    <row r="2885" spans="1:5" x14ac:dyDescent="0.35">
      <c r="A2885" s="1" t="s">
        <v>5193</v>
      </c>
      <c r="B2885" s="1" t="s">
        <v>5194</v>
      </c>
      <c r="C2885">
        <v>1</v>
      </c>
      <c r="E2885" s="1" t="s">
        <v>5122</v>
      </c>
    </row>
    <row r="2886" spans="1:5" x14ac:dyDescent="0.35">
      <c r="A2886" s="1" t="s">
        <v>5195</v>
      </c>
      <c r="B2886" s="1" t="s">
        <v>5196</v>
      </c>
      <c r="C2886">
        <v>1</v>
      </c>
      <c r="E2886" s="1" t="s">
        <v>5122</v>
      </c>
    </row>
    <row r="2887" spans="1:5" x14ac:dyDescent="0.35">
      <c r="A2887" s="1" t="s">
        <v>5197</v>
      </c>
      <c r="B2887" s="1" t="s">
        <v>1388</v>
      </c>
      <c r="C2887">
        <v>1</v>
      </c>
      <c r="E2887" s="1" t="s">
        <v>5122</v>
      </c>
    </row>
    <row r="2888" spans="1:5" x14ac:dyDescent="0.35">
      <c r="A2888" s="1" t="s">
        <v>5198</v>
      </c>
      <c r="B2888" s="1" t="s">
        <v>5199</v>
      </c>
      <c r="C2888">
        <v>1</v>
      </c>
      <c r="E2888" s="1" t="s">
        <v>5122</v>
      </c>
    </row>
    <row r="2889" spans="1:5" x14ac:dyDescent="0.35">
      <c r="A2889" s="1" t="s">
        <v>5200</v>
      </c>
      <c r="B2889" s="1" t="s">
        <v>5201</v>
      </c>
      <c r="C2889">
        <v>1</v>
      </c>
      <c r="E2889" s="1" t="s">
        <v>5122</v>
      </c>
    </row>
    <row r="2890" spans="1:5" x14ac:dyDescent="0.35">
      <c r="A2890" s="1" t="s">
        <v>5202</v>
      </c>
      <c r="B2890" s="1" t="s">
        <v>5203</v>
      </c>
      <c r="C2890">
        <v>1</v>
      </c>
      <c r="E2890" s="1" t="s">
        <v>5122</v>
      </c>
    </row>
    <row r="2891" spans="1:5" x14ac:dyDescent="0.35">
      <c r="A2891" s="1" t="s">
        <v>5204</v>
      </c>
      <c r="B2891" s="1" t="s">
        <v>5205</v>
      </c>
      <c r="C2891">
        <v>1</v>
      </c>
      <c r="E2891" s="1" t="s">
        <v>5122</v>
      </c>
    </row>
    <row r="2892" spans="1:5" x14ac:dyDescent="0.35">
      <c r="A2892" s="1" t="s">
        <v>5206</v>
      </c>
      <c r="B2892" s="1" t="s">
        <v>5207</v>
      </c>
      <c r="C2892">
        <v>1</v>
      </c>
      <c r="E2892" s="1" t="s">
        <v>5122</v>
      </c>
    </row>
    <row r="2893" spans="1:5" x14ac:dyDescent="0.35">
      <c r="A2893" s="1" t="s">
        <v>5208</v>
      </c>
      <c r="B2893" s="1" t="s">
        <v>5209</v>
      </c>
      <c r="C2893">
        <v>1</v>
      </c>
      <c r="E2893" s="1" t="s">
        <v>5122</v>
      </c>
    </row>
    <row r="2894" spans="1:5" x14ac:dyDescent="0.35">
      <c r="A2894" s="1" t="s">
        <v>5210</v>
      </c>
      <c r="B2894" s="1" t="s">
        <v>5211</v>
      </c>
      <c r="C2894">
        <v>1</v>
      </c>
      <c r="E2894" s="1" t="s">
        <v>5122</v>
      </c>
    </row>
    <row r="2895" spans="1:5" x14ac:dyDescent="0.35">
      <c r="A2895" s="1" t="s">
        <v>5212</v>
      </c>
      <c r="B2895" s="1" t="s">
        <v>5213</v>
      </c>
      <c r="C2895">
        <v>1</v>
      </c>
      <c r="E2895" s="1" t="s">
        <v>5122</v>
      </c>
    </row>
    <row r="2896" spans="1:5" x14ac:dyDescent="0.35">
      <c r="A2896" s="1" t="s">
        <v>5214</v>
      </c>
      <c r="B2896" s="1" t="s">
        <v>5215</v>
      </c>
      <c r="C2896">
        <v>1</v>
      </c>
      <c r="E2896" s="1" t="s">
        <v>5122</v>
      </c>
    </row>
    <row r="2897" spans="1:5" x14ac:dyDescent="0.35">
      <c r="A2897" s="1" t="s">
        <v>5216</v>
      </c>
      <c r="B2897" s="1" t="s">
        <v>5217</v>
      </c>
      <c r="C2897">
        <v>1</v>
      </c>
      <c r="E2897" s="1" t="s">
        <v>5122</v>
      </c>
    </row>
    <row r="2898" spans="1:5" x14ac:dyDescent="0.35">
      <c r="A2898" s="1" t="s">
        <v>5218</v>
      </c>
      <c r="B2898" s="1" t="s">
        <v>5219</v>
      </c>
      <c r="C2898">
        <v>1</v>
      </c>
      <c r="E2898" s="1" t="s">
        <v>5122</v>
      </c>
    </row>
    <row r="2899" spans="1:5" x14ac:dyDescent="0.35">
      <c r="A2899" s="1" t="s">
        <v>5220</v>
      </c>
      <c r="B2899" s="1" t="s">
        <v>5221</v>
      </c>
      <c r="C2899">
        <v>1</v>
      </c>
      <c r="E2899" s="1" t="s">
        <v>5122</v>
      </c>
    </row>
    <row r="2900" spans="1:5" x14ac:dyDescent="0.35">
      <c r="A2900" s="1" t="s">
        <v>5222</v>
      </c>
      <c r="B2900" s="1" t="s">
        <v>5223</v>
      </c>
      <c r="C2900">
        <v>1</v>
      </c>
      <c r="E2900" s="1" t="s">
        <v>5122</v>
      </c>
    </row>
    <row r="2901" spans="1:5" x14ac:dyDescent="0.35">
      <c r="A2901" s="1" t="s">
        <v>5224</v>
      </c>
      <c r="B2901" s="1" t="s">
        <v>5225</v>
      </c>
      <c r="C2901">
        <v>1</v>
      </c>
      <c r="E2901" s="1" t="s">
        <v>5122</v>
      </c>
    </row>
    <row r="2902" spans="1:5" x14ac:dyDescent="0.35">
      <c r="A2902" s="1" t="s">
        <v>5226</v>
      </c>
      <c r="B2902" s="1" t="s">
        <v>5227</v>
      </c>
      <c r="C2902">
        <v>1</v>
      </c>
      <c r="E2902" s="1" t="s">
        <v>5122</v>
      </c>
    </row>
    <row r="2903" spans="1:5" x14ac:dyDescent="0.35">
      <c r="A2903" s="1" t="s">
        <v>5228</v>
      </c>
      <c r="B2903" s="1" t="s">
        <v>5229</v>
      </c>
      <c r="C2903">
        <v>1</v>
      </c>
      <c r="E2903" s="1" t="s">
        <v>5122</v>
      </c>
    </row>
    <row r="2904" spans="1:5" x14ac:dyDescent="0.35">
      <c r="A2904" s="1" t="s">
        <v>5230</v>
      </c>
      <c r="B2904" s="1" t="s">
        <v>5231</v>
      </c>
      <c r="C2904">
        <v>1</v>
      </c>
      <c r="E2904" s="1" t="s">
        <v>5122</v>
      </c>
    </row>
    <row r="2905" spans="1:5" x14ac:dyDescent="0.35">
      <c r="A2905" s="1" t="s">
        <v>5232</v>
      </c>
      <c r="B2905" s="1" t="s">
        <v>5233</v>
      </c>
      <c r="C2905">
        <v>1</v>
      </c>
      <c r="E2905" s="1" t="s">
        <v>5122</v>
      </c>
    </row>
    <row r="2906" spans="1:5" x14ac:dyDescent="0.35">
      <c r="A2906" s="1" t="s">
        <v>5234</v>
      </c>
      <c r="B2906" s="1" t="s">
        <v>5235</v>
      </c>
      <c r="C2906">
        <v>1</v>
      </c>
      <c r="E2906" s="1" t="s">
        <v>5122</v>
      </c>
    </row>
    <row r="2907" spans="1:5" x14ac:dyDescent="0.35">
      <c r="A2907" s="1" t="s">
        <v>5236</v>
      </c>
      <c r="B2907" s="1" t="s">
        <v>5237</v>
      </c>
      <c r="C2907">
        <v>1</v>
      </c>
      <c r="E2907" s="1" t="s">
        <v>5122</v>
      </c>
    </row>
    <row r="2908" spans="1:5" x14ac:dyDescent="0.35">
      <c r="A2908" s="1" t="s">
        <v>5238</v>
      </c>
      <c r="B2908" s="1" t="s">
        <v>5239</v>
      </c>
      <c r="C2908">
        <v>1</v>
      </c>
      <c r="E2908" s="1" t="s">
        <v>5122</v>
      </c>
    </row>
    <row r="2909" spans="1:5" x14ac:dyDescent="0.35">
      <c r="A2909" s="1" t="s">
        <v>5240</v>
      </c>
      <c r="B2909" s="1" t="s">
        <v>5241</v>
      </c>
      <c r="C2909">
        <v>1</v>
      </c>
      <c r="E2909" s="1" t="s">
        <v>5122</v>
      </c>
    </row>
    <row r="2910" spans="1:5" x14ac:dyDescent="0.35">
      <c r="A2910" s="1" t="s">
        <v>5242</v>
      </c>
      <c r="B2910" s="1" t="s">
        <v>5243</v>
      </c>
      <c r="C2910">
        <v>1</v>
      </c>
      <c r="E2910" s="1" t="s">
        <v>5122</v>
      </c>
    </row>
    <row r="2911" spans="1:5" x14ac:dyDescent="0.35">
      <c r="A2911" s="1" t="s">
        <v>5244</v>
      </c>
      <c r="B2911" s="1" t="s">
        <v>5245</v>
      </c>
      <c r="C2911">
        <v>1</v>
      </c>
      <c r="E2911" s="1" t="s">
        <v>5122</v>
      </c>
    </row>
    <row r="2912" spans="1:5" x14ac:dyDescent="0.35">
      <c r="A2912" s="1" t="s">
        <v>5246</v>
      </c>
      <c r="B2912" s="1" t="s">
        <v>5247</v>
      </c>
      <c r="C2912">
        <v>1</v>
      </c>
      <c r="E2912" s="1" t="s">
        <v>5122</v>
      </c>
    </row>
    <row r="2913" spans="1:5" x14ac:dyDescent="0.35">
      <c r="A2913" s="1" t="s">
        <v>5248</v>
      </c>
      <c r="B2913" s="1" t="s">
        <v>5249</v>
      </c>
      <c r="C2913">
        <v>1</v>
      </c>
      <c r="E2913" s="1" t="s">
        <v>5122</v>
      </c>
    </row>
    <row r="2914" spans="1:5" x14ac:dyDescent="0.35">
      <c r="A2914" s="1" t="s">
        <v>5250</v>
      </c>
      <c r="B2914" s="1" t="s">
        <v>5251</v>
      </c>
      <c r="C2914">
        <v>1</v>
      </c>
      <c r="E2914" s="1" t="s">
        <v>5122</v>
      </c>
    </row>
    <row r="2915" spans="1:5" x14ac:dyDescent="0.35">
      <c r="A2915" s="1" t="s">
        <v>5252</v>
      </c>
      <c r="B2915" s="1" t="s">
        <v>5253</v>
      </c>
      <c r="C2915">
        <v>1</v>
      </c>
      <c r="E2915" s="1" t="s">
        <v>5122</v>
      </c>
    </row>
    <row r="2916" spans="1:5" x14ac:dyDescent="0.35">
      <c r="A2916" s="1" t="s">
        <v>5254</v>
      </c>
      <c r="B2916" s="1" t="s">
        <v>5255</v>
      </c>
      <c r="C2916">
        <v>1</v>
      </c>
      <c r="E2916" s="1" t="s">
        <v>5122</v>
      </c>
    </row>
    <row r="2917" spans="1:5" x14ac:dyDescent="0.35">
      <c r="A2917" s="1" t="s">
        <v>5256</v>
      </c>
      <c r="B2917" s="1" t="s">
        <v>5257</v>
      </c>
      <c r="C2917">
        <v>1</v>
      </c>
      <c r="E2917" s="1" t="s">
        <v>5122</v>
      </c>
    </row>
    <row r="2918" spans="1:5" x14ac:dyDescent="0.35">
      <c r="A2918" s="1" t="s">
        <v>5258</v>
      </c>
      <c r="B2918" s="1" t="s">
        <v>5259</v>
      </c>
      <c r="C2918">
        <v>1</v>
      </c>
      <c r="E2918" s="1" t="s">
        <v>5122</v>
      </c>
    </row>
    <row r="2919" spans="1:5" x14ac:dyDescent="0.35">
      <c r="A2919" s="1" t="s">
        <v>5260</v>
      </c>
      <c r="B2919" s="1" t="s">
        <v>5261</v>
      </c>
      <c r="C2919">
        <v>1</v>
      </c>
      <c r="E2919" s="1" t="s">
        <v>5122</v>
      </c>
    </row>
    <row r="2920" spans="1:5" x14ac:dyDescent="0.35">
      <c r="A2920" s="1" t="s">
        <v>5262</v>
      </c>
      <c r="B2920" s="1" t="s">
        <v>5263</v>
      </c>
      <c r="C2920">
        <v>1</v>
      </c>
      <c r="E2920" s="1" t="s">
        <v>5122</v>
      </c>
    </row>
    <row r="2921" spans="1:5" x14ac:dyDescent="0.35">
      <c r="A2921" s="1" t="s">
        <v>5264</v>
      </c>
      <c r="B2921" s="1" t="s">
        <v>5265</v>
      </c>
      <c r="C2921">
        <v>1</v>
      </c>
      <c r="E2921" s="1" t="s">
        <v>5122</v>
      </c>
    </row>
    <row r="2922" spans="1:5" x14ac:dyDescent="0.35">
      <c r="A2922" s="1" t="s">
        <v>5266</v>
      </c>
      <c r="B2922" s="1" t="s">
        <v>5267</v>
      </c>
      <c r="C2922">
        <v>1</v>
      </c>
      <c r="E2922" s="1" t="s">
        <v>5122</v>
      </c>
    </row>
    <row r="2923" spans="1:5" x14ac:dyDescent="0.35">
      <c r="A2923" s="1" t="s">
        <v>5268</v>
      </c>
      <c r="B2923" s="1" t="s">
        <v>5269</v>
      </c>
      <c r="C2923">
        <v>1</v>
      </c>
      <c r="E2923" s="1" t="s">
        <v>5122</v>
      </c>
    </row>
    <row r="2924" spans="1:5" x14ac:dyDescent="0.35">
      <c r="A2924" s="1" t="s">
        <v>5270</v>
      </c>
      <c r="B2924" s="1" t="s">
        <v>3445</v>
      </c>
      <c r="C2924">
        <v>1</v>
      </c>
      <c r="E2924" s="1" t="s">
        <v>5122</v>
      </c>
    </row>
    <row r="2925" spans="1:5" x14ac:dyDescent="0.35">
      <c r="A2925" s="1" t="s">
        <v>5271</v>
      </c>
      <c r="B2925" s="1" t="s">
        <v>5272</v>
      </c>
      <c r="C2925">
        <v>1</v>
      </c>
      <c r="E2925" s="1" t="s">
        <v>5122</v>
      </c>
    </row>
    <row r="2926" spans="1:5" x14ac:dyDescent="0.35">
      <c r="A2926" s="1" t="s">
        <v>5273</v>
      </c>
      <c r="B2926" s="1" t="s">
        <v>5274</v>
      </c>
      <c r="C2926">
        <v>1</v>
      </c>
      <c r="E2926" s="1" t="s">
        <v>5122</v>
      </c>
    </row>
    <row r="2927" spans="1:5" x14ac:dyDescent="0.35">
      <c r="A2927" s="1" t="s">
        <v>5275</v>
      </c>
      <c r="B2927" s="1" t="s">
        <v>5276</v>
      </c>
      <c r="C2927">
        <v>1</v>
      </c>
      <c r="E2927" s="1" t="s">
        <v>5122</v>
      </c>
    </row>
    <row r="2928" spans="1:5" x14ac:dyDescent="0.35">
      <c r="A2928" s="1" t="s">
        <v>5277</v>
      </c>
      <c r="B2928" s="1" t="s">
        <v>5278</v>
      </c>
      <c r="C2928">
        <v>1</v>
      </c>
      <c r="E2928" s="1" t="s">
        <v>5122</v>
      </c>
    </row>
    <row r="2929" spans="1:5" x14ac:dyDescent="0.35">
      <c r="A2929" s="1" t="s">
        <v>5279</v>
      </c>
      <c r="B2929" s="1" t="s">
        <v>5280</v>
      </c>
      <c r="C2929">
        <v>1</v>
      </c>
      <c r="E2929" s="1" t="s">
        <v>5122</v>
      </c>
    </row>
    <row r="2930" spans="1:5" x14ac:dyDescent="0.35">
      <c r="A2930" s="1" t="s">
        <v>5281</v>
      </c>
      <c r="B2930" s="1" t="s">
        <v>5282</v>
      </c>
      <c r="C2930">
        <v>1</v>
      </c>
      <c r="E2930" s="1" t="s">
        <v>5122</v>
      </c>
    </row>
    <row r="2931" spans="1:5" x14ac:dyDescent="0.35">
      <c r="A2931" s="1" t="s">
        <v>5283</v>
      </c>
      <c r="B2931" s="1" t="s">
        <v>5284</v>
      </c>
      <c r="C2931">
        <v>1</v>
      </c>
      <c r="E2931" s="1" t="s">
        <v>5122</v>
      </c>
    </row>
    <row r="2932" spans="1:5" x14ac:dyDescent="0.35">
      <c r="A2932" s="1" t="s">
        <v>5285</v>
      </c>
      <c r="B2932" s="1" t="s">
        <v>5286</v>
      </c>
      <c r="C2932">
        <v>1</v>
      </c>
      <c r="E2932" s="1" t="s">
        <v>5122</v>
      </c>
    </row>
    <row r="2933" spans="1:5" x14ac:dyDescent="0.35">
      <c r="A2933" s="1" t="s">
        <v>5287</v>
      </c>
      <c r="B2933" s="1" t="s">
        <v>5288</v>
      </c>
      <c r="C2933">
        <v>1</v>
      </c>
      <c r="E2933" s="1" t="s">
        <v>5122</v>
      </c>
    </row>
    <row r="2934" spans="1:5" x14ac:dyDescent="0.35">
      <c r="A2934" s="1" t="s">
        <v>5289</v>
      </c>
      <c r="B2934" s="1" t="s">
        <v>5290</v>
      </c>
      <c r="C2934">
        <v>1</v>
      </c>
      <c r="E2934" s="1" t="s">
        <v>5122</v>
      </c>
    </row>
    <row r="2935" spans="1:5" x14ac:dyDescent="0.35">
      <c r="A2935" s="1" t="s">
        <v>5291</v>
      </c>
      <c r="B2935" s="1" t="s">
        <v>5292</v>
      </c>
      <c r="C2935">
        <v>1</v>
      </c>
      <c r="E2935" s="1" t="s">
        <v>5122</v>
      </c>
    </row>
    <row r="2936" spans="1:5" x14ac:dyDescent="0.35">
      <c r="A2936" s="1" t="s">
        <v>5293</v>
      </c>
      <c r="B2936" s="1" t="s">
        <v>5294</v>
      </c>
      <c r="C2936">
        <v>1</v>
      </c>
      <c r="E2936" s="1" t="s">
        <v>5122</v>
      </c>
    </row>
    <row r="2937" spans="1:5" x14ac:dyDescent="0.35">
      <c r="A2937" s="1" t="s">
        <v>5295</v>
      </c>
      <c r="B2937" s="1" t="s">
        <v>5296</v>
      </c>
      <c r="C2937">
        <v>1</v>
      </c>
      <c r="E2937" s="1" t="s">
        <v>5122</v>
      </c>
    </row>
    <row r="2938" spans="1:5" x14ac:dyDescent="0.35">
      <c r="A2938" s="1" t="s">
        <v>5297</v>
      </c>
      <c r="B2938" s="1" t="s">
        <v>5298</v>
      </c>
      <c r="C2938">
        <v>1</v>
      </c>
      <c r="E2938" s="1" t="s">
        <v>5122</v>
      </c>
    </row>
    <row r="2939" spans="1:5" x14ac:dyDescent="0.35">
      <c r="A2939" s="1" t="s">
        <v>5299</v>
      </c>
      <c r="B2939" s="1" t="s">
        <v>5300</v>
      </c>
      <c r="C2939">
        <v>1</v>
      </c>
      <c r="E2939" s="1" t="s">
        <v>5122</v>
      </c>
    </row>
    <row r="2940" spans="1:5" x14ac:dyDescent="0.35">
      <c r="A2940" s="1" t="s">
        <v>5301</v>
      </c>
      <c r="B2940" s="1" t="s">
        <v>5302</v>
      </c>
      <c r="C2940">
        <v>1</v>
      </c>
      <c r="E2940" s="1" t="s">
        <v>5122</v>
      </c>
    </row>
    <row r="2941" spans="1:5" x14ac:dyDescent="0.35">
      <c r="A2941" s="1" t="s">
        <v>5303</v>
      </c>
      <c r="B2941" s="1" t="s">
        <v>5304</v>
      </c>
      <c r="C2941">
        <v>1</v>
      </c>
      <c r="E2941" s="1" t="s">
        <v>5122</v>
      </c>
    </row>
    <row r="2942" spans="1:5" x14ac:dyDescent="0.35">
      <c r="A2942" s="1" t="s">
        <v>5305</v>
      </c>
      <c r="B2942" s="1" t="s">
        <v>5306</v>
      </c>
      <c r="C2942">
        <v>1</v>
      </c>
      <c r="E2942" s="1" t="s">
        <v>5122</v>
      </c>
    </row>
    <row r="2943" spans="1:5" x14ac:dyDescent="0.35">
      <c r="A2943" s="1" t="s">
        <v>5307</v>
      </c>
      <c r="B2943" s="1" t="s">
        <v>5308</v>
      </c>
      <c r="C2943">
        <v>1</v>
      </c>
      <c r="E2943" s="1" t="s">
        <v>5122</v>
      </c>
    </row>
    <row r="2945" spans="1:5" x14ac:dyDescent="0.35">
      <c r="A2945" s="1" t="s">
        <v>5309</v>
      </c>
      <c r="B2945" s="1" t="s">
        <v>5310</v>
      </c>
      <c r="C2945">
        <v>2</v>
      </c>
      <c r="E2945" s="1" t="s">
        <v>5122</v>
      </c>
    </row>
    <row r="2946" spans="1:5" x14ac:dyDescent="0.35">
      <c r="A2946" s="1" t="s">
        <v>5311</v>
      </c>
      <c r="B2946" s="1" t="s">
        <v>5312</v>
      </c>
      <c r="C2946">
        <v>2</v>
      </c>
      <c r="E2946" s="1" t="s">
        <v>5122</v>
      </c>
    </row>
    <row r="2947" spans="1:5" x14ac:dyDescent="0.35">
      <c r="A2947" s="1" t="s">
        <v>5313</v>
      </c>
      <c r="B2947" s="1" t="s">
        <v>5314</v>
      </c>
      <c r="C2947">
        <v>2</v>
      </c>
      <c r="E2947" s="1" t="s">
        <v>5122</v>
      </c>
    </row>
    <row r="2948" spans="1:5" x14ac:dyDescent="0.35">
      <c r="A2948" s="1" t="s">
        <v>5315</v>
      </c>
      <c r="B2948" s="1" t="s">
        <v>5316</v>
      </c>
      <c r="C2948">
        <v>2</v>
      </c>
      <c r="E2948" s="1" t="s">
        <v>5122</v>
      </c>
    </row>
    <row r="2949" spans="1:5" x14ac:dyDescent="0.35">
      <c r="A2949" s="1" t="s">
        <v>5317</v>
      </c>
      <c r="B2949" s="1" t="s">
        <v>5318</v>
      </c>
      <c r="C2949">
        <v>2</v>
      </c>
      <c r="E2949" s="1" t="s">
        <v>5122</v>
      </c>
    </row>
    <row r="2950" spans="1:5" x14ac:dyDescent="0.35">
      <c r="A2950" s="1" t="s">
        <v>5319</v>
      </c>
      <c r="B2950" s="1" t="s">
        <v>5320</v>
      </c>
      <c r="C2950">
        <v>2</v>
      </c>
      <c r="E2950" s="1" t="s">
        <v>5122</v>
      </c>
    </row>
    <row r="2951" spans="1:5" x14ac:dyDescent="0.35">
      <c r="A2951" s="1" t="s">
        <v>5321</v>
      </c>
      <c r="B2951" s="1" t="s">
        <v>5322</v>
      </c>
      <c r="C2951">
        <v>2</v>
      </c>
      <c r="E2951" s="1" t="s">
        <v>5122</v>
      </c>
    </row>
    <row r="2952" spans="1:5" x14ac:dyDescent="0.35">
      <c r="A2952" s="1" t="s">
        <v>5323</v>
      </c>
      <c r="B2952" s="1" t="s">
        <v>5324</v>
      </c>
      <c r="C2952">
        <v>2</v>
      </c>
      <c r="E2952" s="1" t="s">
        <v>5122</v>
      </c>
    </row>
    <row r="2953" spans="1:5" x14ac:dyDescent="0.35">
      <c r="A2953" s="1" t="s">
        <v>5325</v>
      </c>
      <c r="B2953" s="1" t="s">
        <v>5326</v>
      </c>
      <c r="C2953">
        <v>2</v>
      </c>
      <c r="E2953" s="1" t="s">
        <v>5122</v>
      </c>
    </row>
    <row r="2954" spans="1:5" x14ac:dyDescent="0.35">
      <c r="A2954" s="1" t="s">
        <v>5327</v>
      </c>
      <c r="B2954" s="1" t="s">
        <v>5328</v>
      </c>
      <c r="C2954">
        <v>2</v>
      </c>
      <c r="E2954" s="1" t="s">
        <v>5122</v>
      </c>
    </row>
    <row r="2955" spans="1:5" x14ac:dyDescent="0.35">
      <c r="A2955" s="1" t="s">
        <v>5329</v>
      </c>
      <c r="B2955" s="1" t="s">
        <v>5330</v>
      </c>
      <c r="C2955">
        <v>2</v>
      </c>
      <c r="E2955" s="1" t="s">
        <v>5122</v>
      </c>
    </row>
    <row r="2956" spans="1:5" x14ac:dyDescent="0.35">
      <c r="A2956" s="1" t="s">
        <v>5331</v>
      </c>
      <c r="B2956" s="1" t="s">
        <v>5332</v>
      </c>
      <c r="C2956">
        <v>2</v>
      </c>
      <c r="E2956" s="1" t="s">
        <v>5122</v>
      </c>
    </row>
    <row r="2957" spans="1:5" x14ac:dyDescent="0.35">
      <c r="A2957" s="1" t="s">
        <v>5333</v>
      </c>
      <c r="B2957" s="1" t="s">
        <v>5334</v>
      </c>
      <c r="C2957">
        <v>2</v>
      </c>
      <c r="E2957" s="1" t="s">
        <v>5122</v>
      </c>
    </row>
    <row r="2958" spans="1:5" x14ac:dyDescent="0.35">
      <c r="A2958" s="1" t="s">
        <v>5335</v>
      </c>
      <c r="B2958" s="1" t="s">
        <v>5336</v>
      </c>
      <c r="C2958">
        <v>2</v>
      </c>
      <c r="E2958" s="1" t="s">
        <v>5122</v>
      </c>
    </row>
    <row r="2959" spans="1:5" x14ac:dyDescent="0.35">
      <c r="A2959" s="1" t="s">
        <v>5337</v>
      </c>
      <c r="B2959" s="1" t="s">
        <v>5338</v>
      </c>
      <c r="C2959">
        <v>2</v>
      </c>
      <c r="E2959" s="1" t="s">
        <v>5122</v>
      </c>
    </row>
    <row r="2960" spans="1:5" x14ac:dyDescent="0.35">
      <c r="A2960" s="1" t="s">
        <v>5339</v>
      </c>
      <c r="B2960" s="1" t="s">
        <v>5340</v>
      </c>
      <c r="C2960">
        <v>2</v>
      </c>
      <c r="E2960" s="1" t="s">
        <v>5122</v>
      </c>
    </row>
    <row r="2961" spans="1:5" x14ac:dyDescent="0.35">
      <c r="A2961" s="1" t="s">
        <v>5341</v>
      </c>
      <c r="B2961" s="1" t="s">
        <v>5342</v>
      </c>
      <c r="C2961">
        <v>2</v>
      </c>
      <c r="E2961" s="1" t="s">
        <v>5122</v>
      </c>
    </row>
    <row r="2962" spans="1:5" x14ac:dyDescent="0.35">
      <c r="A2962" s="1" t="s">
        <v>5343</v>
      </c>
      <c r="B2962" s="1" t="s">
        <v>5344</v>
      </c>
      <c r="C2962">
        <v>2</v>
      </c>
      <c r="E2962" s="1" t="s">
        <v>5122</v>
      </c>
    </row>
    <row r="2963" spans="1:5" x14ac:dyDescent="0.35">
      <c r="A2963" s="1" t="s">
        <v>5345</v>
      </c>
      <c r="B2963" s="1" t="s">
        <v>5346</v>
      </c>
      <c r="C2963">
        <v>2</v>
      </c>
      <c r="E2963" s="1" t="s">
        <v>5122</v>
      </c>
    </row>
    <row r="2964" spans="1:5" x14ac:dyDescent="0.35">
      <c r="A2964" s="1" t="s">
        <v>5347</v>
      </c>
      <c r="B2964" s="1" t="s">
        <v>1449</v>
      </c>
      <c r="C2964">
        <v>2</v>
      </c>
      <c r="E2964" s="1" t="s">
        <v>5122</v>
      </c>
    </row>
    <row r="2965" spans="1:5" x14ac:dyDescent="0.35">
      <c r="A2965" s="1" t="s">
        <v>5348</v>
      </c>
      <c r="B2965" s="1" t="s">
        <v>5349</v>
      </c>
      <c r="C2965">
        <v>2</v>
      </c>
      <c r="E2965" s="1" t="s">
        <v>5122</v>
      </c>
    </row>
    <row r="2966" spans="1:5" x14ac:dyDescent="0.35">
      <c r="A2966" s="1" t="s">
        <v>5350</v>
      </c>
      <c r="B2966" s="1" t="s">
        <v>5351</v>
      </c>
      <c r="C2966">
        <v>2</v>
      </c>
      <c r="E2966" s="1" t="s">
        <v>5122</v>
      </c>
    </row>
    <row r="2967" spans="1:5" x14ac:dyDescent="0.35">
      <c r="A2967" s="1" t="s">
        <v>5352</v>
      </c>
      <c r="B2967" s="1" t="s">
        <v>5353</v>
      </c>
      <c r="C2967">
        <v>2</v>
      </c>
      <c r="E2967" s="1" t="s">
        <v>5122</v>
      </c>
    </row>
    <row r="2968" spans="1:5" x14ac:dyDescent="0.35">
      <c r="A2968" s="1" t="s">
        <v>5354</v>
      </c>
      <c r="B2968" s="1" t="s">
        <v>5355</v>
      </c>
      <c r="C2968">
        <v>2</v>
      </c>
      <c r="E2968" s="1" t="s">
        <v>5122</v>
      </c>
    </row>
    <row r="2969" spans="1:5" x14ac:dyDescent="0.35">
      <c r="A2969" s="1" t="s">
        <v>5356</v>
      </c>
      <c r="B2969" s="1" t="s">
        <v>5357</v>
      </c>
      <c r="C2969">
        <v>2</v>
      </c>
      <c r="E2969" s="1" t="s">
        <v>5122</v>
      </c>
    </row>
    <row r="2970" spans="1:5" x14ac:dyDescent="0.35">
      <c r="A2970" s="1" t="s">
        <v>5358</v>
      </c>
      <c r="B2970" s="1" t="s">
        <v>5359</v>
      </c>
      <c r="C2970">
        <v>2</v>
      </c>
      <c r="E2970" s="1" t="s">
        <v>5122</v>
      </c>
    </row>
    <row r="2971" spans="1:5" x14ac:dyDescent="0.35">
      <c r="A2971" s="1" t="s">
        <v>5360</v>
      </c>
      <c r="B2971" s="1" t="s">
        <v>452</v>
      </c>
      <c r="C2971">
        <v>2</v>
      </c>
      <c r="E2971" s="1" t="s">
        <v>5122</v>
      </c>
    </row>
    <row r="2972" spans="1:5" x14ac:dyDescent="0.35">
      <c r="A2972" s="1" t="s">
        <v>5361</v>
      </c>
      <c r="B2972" s="1" t="s">
        <v>5362</v>
      </c>
      <c r="C2972">
        <v>2</v>
      </c>
      <c r="E2972" s="1" t="s">
        <v>5122</v>
      </c>
    </row>
    <row r="2973" spans="1:5" x14ac:dyDescent="0.35">
      <c r="A2973" s="1" t="s">
        <v>5363</v>
      </c>
      <c r="B2973" s="1" t="s">
        <v>5364</v>
      </c>
      <c r="C2973">
        <v>2</v>
      </c>
      <c r="E2973" s="1" t="s">
        <v>5122</v>
      </c>
    </row>
    <row r="2974" spans="1:5" x14ac:dyDescent="0.35">
      <c r="A2974" s="1" t="s">
        <v>5365</v>
      </c>
      <c r="B2974" s="1" t="s">
        <v>5366</v>
      </c>
      <c r="C2974">
        <v>2</v>
      </c>
      <c r="E2974" s="1" t="s">
        <v>5122</v>
      </c>
    </row>
    <row r="2975" spans="1:5" x14ac:dyDescent="0.35">
      <c r="A2975" s="1" t="s">
        <v>5367</v>
      </c>
      <c r="B2975" s="1" t="s">
        <v>5368</v>
      </c>
      <c r="C2975">
        <v>2</v>
      </c>
      <c r="E2975" s="1" t="s">
        <v>5122</v>
      </c>
    </row>
    <row r="2976" spans="1:5" x14ac:dyDescent="0.35">
      <c r="A2976" s="1" t="s">
        <v>5369</v>
      </c>
      <c r="B2976" s="1" t="s">
        <v>5370</v>
      </c>
      <c r="C2976">
        <v>2</v>
      </c>
      <c r="E2976" s="1" t="s">
        <v>5122</v>
      </c>
    </row>
    <row r="2977" spans="1:5" x14ac:dyDescent="0.35">
      <c r="A2977" s="1" t="s">
        <v>5371</v>
      </c>
      <c r="B2977" s="1" t="s">
        <v>943</v>
      </c>
      <c r="C2977">
        <v>2</v>
      </c>
      <c r="E2977" s="1" t="s">
        <v>5122</v>
      </c>
    </row>
    <row r="2978" spans="1:5" x14ac:dyDescent="0.35">
      <c r="A2978" s="1" t="s">
        <v>5372</v>
      </c>
      <c r="B2978" s="1" t="s">
        <v>5373</v>
      </c>
      <c r="C2978">
        <v>2</v>
      </c>
      <c r="E2978" s="1" t="s">
        <v>5122</v>
      </c>
    </row>
    <row r="2979" spans="1:5" x14ac:dyDescent="0.35">
      <c r="A2979" s="1" t="s">
        <v>5374</v>
      </c>
      <c r="B2979" s="1" t="s">
        <v>5375</v>
      </c>
      <c r="C2979">
        <v>2</v>
      </c>
      <c r="E2979" s="1" t="s">
        <v>5122</v>
      </c>
    </row>
    <row r="2980" spans="1:5" x14ac:dyDescent="0.35">
      <c r="A2980" s="1" t="s">
        <v>5376</v>
      </c>
      <c r="B2980" s="1" t="s">
        <v>5377</v>
      </c>
      <c r="C2980">
        <v>2</v>
      </c>
      <c r="E2980" s="1" t="s">
        <v>5122</v>
      </c>
    </row>
    <row r="2981" spans="1:5" x14ac:dyDescent="0.35">
      <c r="A2981" s="1" t="s">
        <v>5378</v>
      </c>
      <c r="B2981" s="1" t="s">
        <v>5379</v>
      </c>
      <c r="C2981">
        <v>2</v>
      </c>
      <c r="E2981" s="1" t="s">
        <v>5122</v>
      </c>
    </row>
    <row r="2982" spans="1:5" x14ac:dyDescent="0.35">
      <c r="A2982" s="1" t="s">
        <v>5380</v>
      </c>
      <c r="B2982" s="1" t="s">
        <v>5381</v>
      </c>
      <c r="C2982">
        <v>2</v>
      </c>
      <c r="E2982" s="1" t="s">
        <v>5122</v>
      </c>
    </row>
    <row r="2983" spans="1:5" x14ac:dyDescent="0.35">
      <c r="A2983" s="1" t="s">
        <v>5382</v>
      </c>
      <c r="B2983" s="1" t="s">
        <v>4703</v>
      </c>
      <c r="C2983">
        <v>2</v>
      </c>
      <c r="E2983" s="1" t="s">
        <v>5122</v>
      </c>
    </row>
    <row r="2984" spans="1:5" x14ac:dyDescent="0.35">
      <c r="A2984" s="1" t="s">
        <v>5383</v>
      </c>
      <c r="B2984" s="1" t="s">
        <v>5384</v>
      </c>
      <c r="C2984">
        <v>2</v>
      </c>
      <c r="E2984" s="1" t="s">
        <v>5122</v>
      </c>
    </row>
    <row r="2985" spans="1:5" x14ac:dyDescent="0.35">
      <c r="A2985" s="1" t="s">
        <v>5385</v>
      </c>
      <c r="B2985" s="1" t="s">
        <v>899</v>
      </c>
      <c r="C2985">
        <v>2</v>
      </c>
      <c r="E2985" s="1" t="s">
        <v>5122</v>
      </c>
    </row>
    <row r="2986" spans="1:5" x14ac:dyDescent="0.35">
      <c r="A2986" s="1" t="s">
        <v>5386</v>
      </c>
      <c r="B2986" s="1" t="s">
        <v>5387</v>
      </c>
      <c r="C2986">
        <v>2</v>
      </c>
      <c r="E2986" s="1" t="s">
        <v>5122</v>
      </c>
    </row>
    <row r="2987" spans="1:5" x14ac:dyDescent="0.35">
      <c r="A2987" s="1" t="s">
        <v>5388</v>
      </c>
      <c r="B2987" s="1" t="s">
        <v>5389</v>
      </c>
      <c r="C2987">
        <v>2</v>
      </c>
      <c r="E2987" s="1" t="s">
        <v>5122</v>
      </c>
    </row>
    <row r="2988" spans="1:5" x14ac:dyDescent="0.35">
      <c r="A2988" s="1" t="s">
        <v>5390</v>
      </c>
      <c r="B2988" s="1" t="s">
        <v>5391</v>
      </c>
      <c r="C2988">
        <v>2</v>
      </c>
      <c r="E2988" s="1" t="s">
        <v>5122</v>
      </c>
    </row>
    <row r="2989" spans="1:5" x14ac:dyDescent="0.35">
      <c r="A2989" s="1" t="s">
        <v>5392</v>
      </c>
      <c r="B2989" s="1" t="s">
        <v>5393</v>
      </c>
      <c r="C2989">
        <v>2</v>
      </c>
      <c r="E2989" s="1" t="s">
        <v>5122</v>
      </c>
    </row>
    <row r="2990" spans="1:5" x14ac:dyDescent="0.35">
      <c r="A2990" s="1" t="s">
        <v>5394</v>
      </c>
      <c r="B2990" s="1" t="s">
        <v>5395</v>
      </c>
      <c r="C2990">
        <v>2</v>
      </c>
      <c r="E2990" s="1" t="s">
        <v>5122</v>
      </c>
    </row>
    <row r="2991" spans="1:5" x14ac:dyDescent="0.35">
      <c r="A2991" s="1" t="s">
        <v>5396</v>
      </c>
      <c r="B2991" s="1" t="s">
        <v>5397</v>
      </c>
      <c r="C2991">
        <v>2</v>
      </c>
      <c r="E2991" s="1" t="s">
        <v>5122</v>
      </c>
    </row>
    <row r="2992" spans="1:5" x14ac:dyDescent="0.35">
      <c r="A2992" s="1" t="s">
        <v>5398</v>
      </c>
      <c r="B2992" s="1" t="s">
        <v>5399</v>
      </c>
      <c r="C2992">
        <v>2</v>
      </c>
      <c r="E2992" s="1" t="s">
        <v>5122</v>
      </c>
    </row>
    <row r="2993" spans="1:5" x14ac:dyDescent="0.35">
      <c r="A2993" s="1" t="s">
        <v>5400</v>
      </c>
      <c r="B2993" s="1" t="s">
        <v>5401</v>
      </c>
      <c r="C2993">
        <v>2</v>
      </c>
      <c r="E2993" s="1" t="s">
        <v>5122</v>
      </c>
    </row>
    <row r="2994" spans="1:5" x14ac:dyDescent="0.35">
      <c r="A2994" s="1" t="s">
        <v>5402</v>
      </c>
      <c r="B2994" s="1" t="s">
        <v>5403</v>
      </c>
      <c r="C2994">
        <v>2</v>
      </c>
      <c r="E2994" s="1" t="s">
        <v>5122</v>
      </c>
    </row>
    <row r="2995" spans="1:5" x14ac:dyDescent="0.35">
      <c r="A2995" s="1" t="s">
        <v>5404</v>
      </c>
      <c r="B2995" s="1" t="s">
        <v>5405</v>
      </c>
      <c r="C2995">
        <v>2</v>
      </c>
      <c r="E2995" s="1" t="s">
        <v>5122</v>
      </c>
    </row>
    <row r="2996" spans="1:5" x14ac:dyDescent="0.35">
      <c r="A2996" s="1" t="s">
        <v>5406</v>
      </c>
      <c r="B2996" s="1" t="s">
        <v>5407</v>
      </c>
      <c r="C2996">
        <v>2</v>
      </c>
      <c r="E2996" s="1" t="s">
        <v>5122</v>
      </c>
    </row>
    <row r="2997" spans="1:5" x14ac:dyDescent="0.35">
      <c r="A2997" s="1" t="s">
        <v>5408</v>
      </c>
      <c r="B2997" s="1" t="s">
        <v>5409</v>
      </c>
      <c r="C2997">
        <v>2</v>
      </c>
      <c r="E2997" s="1" t="s">
        <v>5122</v>
      </c>
    </row>
    <row r="2998" spans="1:5" x14ac:dyDescent="0.35">
      <c r="A2998" s="1" t="s">
        <v>5410</v>
      </c>
      <c r="B2998" s="1" t="s">
        <v>5411</v>
      </c>
      <c r="C2998">
        <v>2</v>
      </c>
      <c r="E2998" s="1" t="s">
        <v>5122</v>
      </c>
    </row>
    <row r="2999" spans="1:5" x14ac:dyDescent="0.35">
      <c r="A2999" s="1" t="s">
        <v>5412</v>
      </c>
      <c r="B2999" s="1" t="s">
        <v>5413</v>
      </c>
      <c r="C2999">
        <v>2</v>
      </c>
      <c r="E2999" s="1" t="s">
        <v>5122</v>
      </c>
    </row>
    <row r="3000" spans="1:5" x14ac:dyDescent="0.35">
      <c r="A3000" s="1" t="s">
        <v>5414</v>
      </c>
      <c r="B3000" s="1" t="s">
        <v>5415</v>
      </c>
      <c r="C3000">
        <v>2</v>
      </c>
      <c r="E3000" s="1" t="s">
        <v>5122</v>
      </c>
    </row>
    <row r="3001" spans="1:5" x14ac:dyDescent="0.35">
      <c r="A3001" s="1" t="s">
        <v>5416</v>
      </c>
      <c r="B3001" s="1" t="s">
        <v>5417</v>
      </c>
      <c r="C3001">
        <v>2</v>
      </c>
      <c r="E3001" s="1" t="s">
        <v>5122</v>
      </c>
    </row>
    <row r="3002" spans="1:5" x14ac:dyDescent="0.35">
      <c r="A3002" s="1" t="s">
        <v>5418</v>
      </c>
      <c r="B3002" s="1" t="s">
        <v>5419</v>
      </c>
      <c r="C3002">
        <v>2</v>
      </c>
      <c r="E3002" s="1" t="s">
        <v>5122</v>
      </c>
    </row>
    <row r="3003" spans="1:5" x14ac:dyDescent="0.35">
      <c r="A3003" s="1" t="s">
        <v>5420</v>
      </c>
      <c r="B3003" s="1" t="s">
        <v>5421</v>
      </c>
      <c r="C3003">
        <v>2</v>
      </c>
      <c r="E3003" s="1" t="s">
        <v>5122</v>
      </c>
    </row>
    <row r="3004" spans="1:5" x14ac:dyDescent="0.35">
      <c r="A3004" s="1" t="s">
        <v>5422</v>
      </c>
      <c r="B3004" s="1" t="s">
        <v>5423</v>
      </c>
      <c r="C3004">
        <v>2</v>
      </c>
      <c r="E3004" s="1" t="s">
        <v>5122</v>
      </c>
    </row>
    <row r="3005" spans="1:5" x14ac:dyDescent="0.35">
      <c r="A3005" s="1" t="s">
        <v>5424</v>
      </c>
      <c r="B3005" s="1" t="s">
        <v>5425</v>
      </c>
      <c r="C3005">
        <v>2</v>
      </c>
      <c r="E3005" s="1" t="s">
        <v>5122</v>
      </c>
    </row>
    <row r="3006" spans="1:5" x14ac:dyDescent="0.35">
      <c r="A3006" s="1" t="s">
        <v>5426</v>
      </c>
      <c r="B3006" s="1" t="s">
        <v>5427</v>
      </c>
      <c r="C3006">
        <v>2</v>
      </c>
      <c r="E3006" s="1" t="s">
        <v>5122</v>
      </c>
    </row>
    <row r="3007" spans="1:5" x14ac:dyDescent="0.35">
      <c r="A3007" s="1" t="s">
        <v>5428</v>
      </c>
      <c r="B3007" s="1" t="s">
        <v>5429</v>
      </c>
      <c r="C3007">
        <v>2</v>
      </c>
      <c r="E3007" s="1" t="s">
        <v>5122</v>
      </c>
    </row>
    <row r="3008" spans="1:5" x14ac:dyDescent="0.35">
      <c r="A3008" s="1" t="s">
        <v>5430</v>
      </c>
      <c r="B3008" s="1" t="s">
        <v>5431</v>
      </c>
      <c r="C3008">
        <v>2</v>
      </c>
      <c r="E3008" s="1" t="s">
        <v>5122</v>
      </c>
    </row>
    <row r="3009" spans="1:5" x14ac:dyDescent="0.35">
      <c r="A3009" s="1" t="s">
        <v>5432</v>
      </c>
      <c r="B3009" s="1" t="s">
        <v>2013</v>
      </c>
      <c r="C3009">
        <v>2</v>
      </c>
      <c r="E3009" s="1" t="s">
        <v>5122</v>
      </c>
    </row>
    <row r="3010" spans="1:5" x14ac:dyDescent="0.35">
      <c r="A3010" s="1" t="s">
        <v>5433</v>
      </c>
      <c r="B3010" s="1" t="s">
        <v>5434</v>
      </c>
      <c r="C3010">
        <v>2</v>
      </c>
      <c r="E3010" s="1" t="s">
        <v>5122</v>
      </c>
    </row>
    <row r="3011" spans="1:5" x14ac:dyDescent="0.35">
      <c r="A3011" s="1" t="s">
        <v>5435</v>
      </c>
      <c r="B3011" s="1" t="s">
        <v>5436</v>
      </c>
      <c r="C3011">
        <v>2</v>
      </c>
      <c r="E3011" s="1" t="s">
        <v>5122</v>
      </c>
    </row>
    <row r="3012" spans="1:5" x14ac:dyDescent="0.35">
      <c r="A3012" s="1" t="s">
        <v>5437</v>
      </c>
      <c r="B3012" s="1" t="s">
        <v>5438</v>
      </c>
      <c r="C3012">
        <v>2</v>
      </c>
      <c r="E3012" s="1" t="s">
        <v>5122</v>
      </c>
    </row>
    <row r="3013" spans="1:5" x14ac:dyDescent="0.35">
      <c r="A3013" s="1" t="s">
        <v>5439</v>
      </c>
      <c r="B3013" s="1" t="s">
        <v>5440</v>
      </c>
      <c r="C3013">
        <v>2</v>
      </c>
      <c r="E3013" s="1" t="s">
        <v>5122</v>
      </c>
    </row>
    <row r="3014" spans="1:5" x14ac:dyDescent="0.35">
      <c r="A3014" s="1" t="s">
        <v>5441</v>
      </c>
      <c r="B3014" s="1" t="s">
        <v>5442</v>
      </c>
      <c r="C3014">
        <v>2</v>
      </c>
      <c r="E3014" s="1" t="s">
        <v>5122</v>
      </c>
    </row>
    <row r="3015" spans="1:5" x14ac:dyDescent="0.35">
      <c r="A3015" s="1" t="s">
        <v>5443</v>
      </c>
      <c r="B3015" s="1" t="s">
        <v>5444</v>
      </c>
      <c r="C3015">
        <v>2</v>
      </c>
      <c r="E3015" s="1" t="s">
        <v>5122</v>
      </c>
    </row>
    <row r="3016" spans="1:5" x14ac:dyDescent="0.35">
      <c r="A3016" s="1" t="s">
        <v>5445</v>
      </c>
      <c r="B3016" s="1" t="s">
        <v>5446</v>
      </c>
      <c r="C3016">
        <v>2</v>
      </c>
      <c r="E3016" s="1" t="s">
        <v>5122</v>
      </c>
    </row>
    <row r="3017" spans="1:5" x14ac:dyDescent="0.35">
      <c r="A3017" s="1" t="s">
        <v>5447</v>
      </c>
      <c r="B3017" s="1" t="s">
        <v>5448</v>
      </c>
      <c r="C3017">
        <v>2</v>
      </c>
      <c r="E3017" s="1" t="s">
        <v>5122</v>
      </c>
    </row>
    <row r="3018" spans="1:5" x14ac:dyDescent="0.35">
      <c r="A3018" s="1" t="s">
        <v>5449</v>
      </c>
      <c r="B3018" s="1" t="s">
        <v>5450</v>
      </c>
      <c r="C3018">
        <v>2</v>
      </c>
      <c r="E3018" s="1" t="s">
        <v>5122</v>
      </c>
    </row>
    <row r="3019" spans="1:5" x14ac:dyDescent="0.35">
      <c r="A3019" s="1" t="s">
        <v>5451</v>
      </c>
      <c r="B3019" s="1" t="s">
        <v>5452</v>
      </c>
      <c r="C3019">
        <v>2</v>
      </c>
      <c r="E3019" s="1" t="s">
        <v>5122</v>
      </c>
    </row>
    <row r="3020" spans="1:5" x14ac:dyDescent="0.35">
      <c r="A3020" s="1" t="s">
        <v>5453</v>
      </c>
      <c r="B3020" s="1" t="s">
        <v>5454</v>
      </c>
      <c r="C3020">
        <v>2</v>
      </c>
      <c r="E3020" s="1" t="s">
        <v>5122</v>
      </c>
    </row>
    <row r="3021" spans="1:5" x14ac:dyDescent="0.35">
      <c r="A3021" s="1" t="s">
        <v>5455</v>
      </c>
      <c r="B3021" s="1" t="s">
        <v>5456</v>
      </c>
      <c r="C3021">
        <v>2</v>
      </c>
      <c r="E3021" s="1" t="s">
        <v>5122</v>
      </c>
    </row>
    <row r="3022" spans="1:5" x14ac:dyDescent="0.35">
      <c r="A3022" s="1" t="s">
        <v>5457</v>
      </c>
      <c r="B3022" s="1" t="s">
        <v>5458</v>
      </c>
      <c r="C3022">
        <v>2</v>
      </c>
      <c r="E3022" s="1" t="s">
        <v>5122</v>
      </c>
    </row>
    <row r="3023" spans="1:5" x14ac:dyDescent="0.35">
      <c r="A3023" s="1" t="s">
        <v>5459</v>
      </c>
      <c r="B3023" s="1" t="s">
        <v>5460</v>
      </c>
      <c r="C3023">
        <v>2</v>
      </c>
      <c r="E3023" s="1" t="s">
        <v>5122</v>
      </c>
    </row>
    <row r="3024" spans="1:5" x14ac:dyDescent="0.35">
      <c r="A3024" s="1" t="s">
        <v>5461</v>
      </c>
      <c r="B3024" s="1" t="s">
        <v>5462</v>
      </c>
      <c r="C3024">
        <v>2</v>
      </c>
      <c r="E3024" s="1" t="s">
        <v>5122</v>
      </c>
    </row>
    <row r="3025" spans="1:5" x14ac:dyDescent="0.35">
      <c r="A3025" s="1" t="s">
        <v>5463</v>
      </c>
      <c r="B3025" s="1" t="s">
        <v>5464</v>
      </c>
      <c r="C3025">
        <v>2</v>
      </c>
      <c r="E3025" s="1" t="s">
        <v>5122</v>
      </c>
    </row>
    <row r="3026" spans="1:5" x14ac:dyDescent="0.35">
      <c r="A3026" s="1" t="s">
        <v>5465</v>
      </c>
      <c r="B3026" s="1" t="s">
        <v>5466</v>
      </c>
      <c r="C3026">
        <v>2</v>
      </c>
      <c r="E3026" s="1" t="s">
        <v>5122</v>
      </c>
    </row>
    <row r="3027" spans="1:5" x14ac:dyDescent="0.35">
      <c r="A3027" s="1" t="s">
        <v>5467</v>
      </c>
      <c r="B3027" s="1" t="s">
        <v>5468</v>
      </c>
      <c r="C3027">
        <v>2</v>
      </c>
      <c r="E3027" s="1" t="s">
        <v>5122</v>
      </c>
    </row>
    <row r="3028" spans="1:5" x14ac:dyDescent="0.35">
      <c r="A3028" s="1" t="s">
        <v>5469</v>
      </c>
      <c r="B3028" s="1" t="s">
        <v>5470</v>
      </c>
      <c r="C3028">
        <v>2</v>
      </c>
      <c r="E3028" s="1" t="s">
        <v>5122</v>
      </c>
    </row>
    <row r="3029" spans="1:5" x14ac:dyDescent="0.35">
      <c r="A3029" s="1" t="s">
        <v>5471</v>
      </c>
      <c r="B3029" s="1" t="s">
        <v>5472</v>
      </c>
      <c r="C3029">
        <v>2</v>
      </c>
      <c r="E3029" s="1" t="s">
        <v>5122</v>
      </c>
    </row>
    <row r="3030" spans="1:5" x14ac:dyDescent="0.35">
      <c r="A3030" s="1" t="s">
        <v>5473</v>
      </c>
      <c r="B3030" s="1" t="s">
        <v>5474</v>
      </c>
      <c r="C3030">
        <v>2</v>
      </c>
      <c r="E3030" s="1" t="s">
        <v>5122</v>
      </c>
    </row>
    <row r="3031" spans="1:5" x14ac:dyDescent="0.35">
      <c r="A3031" s="1" t="s">
        <v>5475</v>
      </c>
      <c r="B3031" s="1" t="s">
        <v>5476</v>
      </c>
      <c r="C3031">
        <v>2</v>
      </c>
      <c r="E3031" s="1" t="s">
        <v>5122</v>
      </c>
    </row>
    <row r="3032" spans="1:5" x14ac:dyDescent="0.35">
      <c r="A3032" s="1" t="s">
        <v>5477</v>
      </c>
      <c r="B3032" s="1" t="s">
        <v>5478</v>
      </c>
      <c r="C3032">
        <v>2</v>
      </c>
      <c r="E3032" s="1" t="s">
        <v>5122</v>
      </c>
    </row>
    <row r="3033" spans="1:5" x14ac:dyDescent="0.35">
      <c r="A3033" s="1" t="s">
        <v>5479</v>
      </c>
      <c r="B3033" s="1" t="s">
        <v>5480</v>
      </c>
      <c r="C3033">
        <v>2</v>
      </c>
      <c r="E3033" s="1" t="s">
        <v>5122</v>
      </c>
    </row>
    <row r="3034" spans="1:5" x14ac:dyDescent="0.35">
      <c r="A3034" s="1" t="s">
        <v>5481</v>
      </c>
      <c r="B3034" s="1" t="s">
        <v>5482</v>
      </c>
      <c r="C3034">
        <v>2</v>
      </c>
      <c r="E3034" s="1" t="s">
        <v>5122</v>
      </c>
    </row>
    <row r="3035" spans="1:5" x14ac:dyDescent="0.35">
      <c r="A3035" s="1" t="s">
        <v>5483</v>
      </c>
      <c r="B3035" s="1" t="s">
        <v>5484</v>
      </c>
      <c r="C3035">
        <v>2</v>
      </c>
      <c r="E3035" s="1" t="s">
        <v>5122</v>
      </c>
    </row>
    <row r="3036" spans="1:5" x14ac:dyDescent="0.35">
      <c r="A3036" s="1" t="s">
        <v>5485</v>
      </c>
      <c r="B3036" s="1" t="s">
        <v>5486</v>
      </c>
      <c r="C3036">
        <v>2</v>
      </c>
      <c r="E3036" s="1" t="s">
        <v>5122</v>
      </c>
    </row>
    <row r="3037" spans="1:5" x14ac:dyDescent="0.35">
      <c r="A3037" s="1" t="s">
        <v>5487</v>
      </c>
      <c r="B3037" s="1" t="s">
        <v>5488</v>
      </c>
      <c r="C3037">
        <v>2</v>
      </c>
      <c r="E3037" s="1" t="s">
        <v>5122</v>
      </c>
    </row>
    <row r="3038" spans="1:5" x14ac:dyDescent="0.35">
      <c r="A3038" s="1" t="s">
        <v>5489</v>
      </c>
      <c r="B3038" s="1" t="s">
        <v>5490</v>
      </c>
      <c r="C3038">
        <v>2</v>
      </c>
      <c r="E3038" s="1" t="s">
        <v>5122</v>
      </c>
    </row>
    <row r="3039" spans="1:5" x14ac:dyDescent="0.35">
      <c r="A3039" s="1" t="s">
        <v>5491</v>
      </c>
      <c r="B3039" s="1" t="s">
        <v>5492</v>
      </c>
      <c r="C3039">
        <v>2</v>
      </c>
      <c r="E3039" s="1" t="s">
        <v>5122</v>
      </c>
    </row>
    <row r="3040" spans="1:5" x14ac:dyDescent="0.35">
      <c r="A3040" s="1" t="s">
        <v>5493</v>
      </c>
      <c r="B3040" s="1" t="s">
        <v>5494</v>
      </c>
      <c r="C3040">
        <v>2</v>
      </c>
      <c r="E3040" s="1" t="s">
        <v>5122</v>
      </c>
    </row>
    <row r="3042" spans="1:5" x14ac:dyDescent="0.35">
      <c r="A3042" s="1" t="s">
        <v>6352</v>
      </c>
      <c r="B3042" s="1" t="s">
        <v>6353</v>
      </c>
      <c r="C3042">
        <v>1</v>
      </c>
      <c r="E3042" s="1" t="s">
        <v>6354</v>
      </c>
    </row>
    <row r="3043" spans="1:5" x14ac:dyDescent="0.35">
      <c r="A3043" s="1" t="s">
        <v>6355</v>
      </c>
      <c r="B3043" s="1" t="s">
        <v>6356</v>
      </c>
      <c r="C3043">
        <v>1</v>
      </c>
      <c r="E3043" s="1" t="s">
        <v>6354</v>
      </c>
    </row>
    <row r="3044" spans="1:5" x14ac:dyDescent="0.35">
      <c r="A3044" s="1" t="s">
        <v>6357</v>
      </c>
      <c r="B3044" s="1" t="s">
        <v>6358</v>
      </c>
      <c r="C3044">
        <v>1</v>
      </c>
      <c r="E3044" s="1" t="s">
        <v>6354</v>
      </c>
    </row>
    <row r="3045" spans="1:5" x14ac:dyDescent="0.35">
      <c r="A3045" s="1" t="s">
        <v>6359</v>
      </c>
      <c r="B3045" s="1" t="s">
        <v>6360</v>
      </c>
      <c r="C3045">
        <v>1</v>
      </c>
      <c r="E3045" s="1" t="s">
        <v>6354</v>
      </c>
    </row>
    <row r="3046" spans="1:5" x14ac:dyDescent="0.35">
      <c r="A3046" s="1" t="s">
        <v>6361</v>
      </c>
      <c r="B3046" s="1" t="s">
        <v>6362</v>
      </c>
      <c r="C3046">
        <v>1</v>
      </c>
      <c r="E3046" s="1" t="s">
        <v>6354</v>
      </c>
    </row>
    <row r="3047" spans="1:5" x14ac:dyDescent="0.35">
      <c r="A3047" s="1" t="s">
        <v>6363</v>
      </c>
      <c r="B3047" s="1" t="s">
        <v>6364</v>
      </c>
      <c r="C3047">
        <v>1</v>
      </c>
      <c r="E3047" s="1" t="s">
        <v>6354</v>
      </c>
    </row>
    <row r="3048" spans="1:5" x14ac:dyDescent="0.35">
      <c r="A3048" s="1" t="s">
        <v>6365</v>
      </c>
      <c r="B3048" s="1" t="s">
        <v>3524</v>
      </c>
      <c r="C3048">
        <v>1</v>
      </c>
      <c r="E3048" s="1" t="s">
        <v>6354</v>
      </c>
    </row>
    <row r="3049" spans="1:5" x14ac:dyDescent="0.35">
      <c r="A3049" s="1" t="s">
        <v>6366</v>
      </c>
      <c r="B3049" s="1" t="s">
        <v>6367</v>
      </c>
      <c r="C3049">
        <v>1</v>
      </c>
      <c r="E3049" s="1" t="s">
        <v>6354</v>
      </c>
    </row>
    <row r="3050" spans="1:5" x14ac:dyDescent="0.35">
      <c r="A3050" s="1" t="s">
        <v>6368</v>
      </c>
      <c r="B3050" s="1" t="s">
        <v>6369</v>
      </c>
      <c r="C3050">
        <v>1</v>
      </c>
      <c r="E3050" s="1" t="s">
        <v>6354</v>
      </c>
    </row>
    <row r="3051" spans="1:5" x14ac:dyDescent="0.35">
      <c r="A3051" s="1" t="s">
        <v>6370</v>
      </c>
      <c r="B3051" s="1" t="s">
        <v>6371</v>
      </c>
      <c r="C3051">
        <v>1</v>
      </c>
      <c r="E3051" s="1" t="s">
        <v>6354</v>
      </c>
    </row>
    <row r="3052" spans="1:5" x14ac:dyDescent="0.35">
      <c r="A3052" s="1" t="s">
        <v>6372</v>
      </c>
      <c r="B3052" s="1" t="s">
        <v>6373</v>
      </c>
      <c r="C3052">
        <v>1</v>
      </c>
      <c r="E3052" s="1" t="s">
        <v>6354</v>
      </c>
    </row>
    <row r="3053" spans="1:5" x14ac:dyDescent="0.35">
      <c r="A3053" s="1" t="s">
        <v>6374</v>
      </c>
      <c r="B3053" s="1" t="s">
        <v>6375</v>
      </c>
      <c r="C3053">
        <v>1</v>
      </c>
      <c r="E3053" s="1" t="s">
        <v>6354</v>
      </c>
    </row>
    <row r="3055" spans="1:5" x14ac:dyDescent="0.35">
      <c r="A3055" s="1" t="s">
        <v>6376</v>
      </c>
      <c r="B3055" s="1" t="s">
        <v>243</v>
      </c>
      <c r="C3055">
        <v>2</v>
      </c>
      <c r="E3055" s="1" t="s">
        <v>6354</v>
      </c>
    </row>
    <row r="3056" spans="1:5" x14ac:dyDescent="0.35">
      <c r="A3056" s="1" t="s">
        <v>6377</v>
      </c>
      <c r="B3056" s="1" t="s">
        <v>245</v>
      </c>
      <c r="C3056">
        <v>2</v>
      </c>
      <c r="E3056" s="1" t="s">
        <v>6354</v>
      </c>
    </row>
    <row r="3057" spans="1:5" x14ac:dyDescent="0.35">
      <c r="A3057" s="1" t="s">
        <v>6378</v>
      </c>
      <c r="B3057" s="1" t="s">
        <v>247</v>
      </c>
      <c r="C3057">
        <v>2</v>
      </c>
      <c r="E3057" s="1" t="s">
        <v>6354</v>
      </c>
    </row>
    <row r="3058" spans="1:5" x14ac:dyDescent="0.35">
      <c r="A3058" s="1" t="s">
        <v>6379</v>
      </c>
      <c r="B3058" s="1" t="s">
        <v>249</v>
      </c>
      <c r="C3058">
        <v>2</v>
      </c>
      <c r="E3058" s="1" t="s">
        <v>6354</v>
      </c>
    </row>
    <row r="3059" spans="1:5" x14ac:dyDescent="0.35">
      <c r="A3059" s="1" t="s">
        <v>6380</v>
      </c>
      <c r="B3059" s="1" t="s">
        <v>251</v>
      </c>
      <c r="C3059">
        <v>2</v>
      </c>
      <c r="E3059" s="1" t="s">
        <v>6354</v>
      </c>
    </row>
    <row r="3060" spans="1:5" x14ac:dyDescent="0.35">
      <c r="A3060" s="1" t="s">
        <v>6381</v>
      </c>
      <c r="B3060" s="1" t="s">
        <v>253</v>
      </c>
      <c r="C3060">
        <v>2</v>
      </c>
      <c r="E3060" s="1" t="s">
        <v>6354</v>
      </c>
    </row>
    <row r="3061" spans="1:5" x14ac:dyDescent="0.35">
      <c r="A3061" s="1" t="s">
        <v>6382</v>
      </c>
      <c r="B3061" s="1" t="s">
        <v>255</v>
      </c>
      <c r="C3061">
        <v>2</v>
      </c>
      <c r="E3061" s="1" t="s">
        <v>6354</v>
      </c>
    </row>
    <row r="3062" spans="1:5" x14ac:dyDescent="0.35">
      <c r="A3062" s="1" t="s">
        <v>6383</v>
      </c>
      <c r="B3062" s="1" t="s">
        <v>257</v>
      </c>
      <c r="C3062">
        <v>2</v>
      </c>
      <c r="E3062" s="1" t="s">
        <v>6354</v>
      </c>
    </row>
  </sheetData>
  <conditionalFormatting sqref="A2556">
    <cfRule type="duplicateValues" dxfId="5" priority="2"/>
  </conditionalFormatting>
  <conditionalFormatting sqref="A2848:A3040">
    <cfRule type="duplicateValues" dxfId="4" priority="1"/>
  </conditionalFormatting>
  <conditionalFormatting sqref="B1493:B1876">
    <cfRule type="duplicateValues" dxfId="3" priority="3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39EE-736C-4C8D-9237-B3103A1387DD}">
  <sheetPr codeName="Sheet5"/>
  <dimension ref="A1:C2376"/>
  <sheetViews>
    <sheetView topLeftCell="A2261" workbookViewId="0">
      <selection activeCell="G2276" sqref="G2276"/>
    </sheetView>
  </sheetViews>
  <sheetFormatPr defaultColWidth="16.453125" defaultRowHeight="14.5" x14ac:dyDescent="0.35"/>
  <cols>
    <col min="1" max="1" width="12.7265625" style="1" customWidth="1"/>
    <col min="2" max="26" width="10.1796875" style="1" customWidth="1"/>
    <col min="27" max="16384" width="16.453125" style="1"/>
  </cols>
  <sheetData>
    <row r="1" spans="1:3" x14ac:dyDescent="0.35">
      <c r="A1" s="85" t="s">
        <v>5495</v>
      </c>
      <c r="B1" t="s">
        <v>5496</v>
      </c>
      <c r="C1" t="s">
        <v>5497</v>
      </c>
    </row>
    <row r="2" spans="1:3" x14ac:dyDescent="0.35">
      <c r="A2" s="85">
        <v>1</v>
      </c>
      <c r="B2" t="s">
        <v>150</v>
      </c>
      <c r="C2" t="s">
        <v>155</v>
      </c>
    </row>
    <row r="3" spans="1:3" x14ac:dyDescent="0.35">
      <c r="A3" s="85">
        <v>2</v>
      </c>
      <c r="B3" t="s">
        <v>196</v>
      </c>
      <c r="C3" t="s">
        <v>155</v>
      </c>
    </row>
    <row r="4" spans="1:3" x14ac:dyDescent="0.35">
      <c r="A4" s="85">
        <v>3</v>
      </c>
      <c r="B4" t="s">
        <v>198</v>
      </c>
      <c r="C4" t="s">
        <v>155</v>
      </c>
    </row>
    <row r="5" spans="1:3" x14ac:dyDescent="0.35">
      <c r="A5" s="85">
        <v>4</v>
      </c>
      <c r="B5" t="s">
        <v>200</v>
      </c>
      <c r="C5" t="s">
        <v>155</v>
      </c>
    </row>
    <row r="6" spans="1:3" x14ac:dyDescent="0.35">
      <c r="A6" s="85">
        <v>5</v>
      </c>
      <c r="B6" t="s">
        <v>150</v>
      </c>
      <c r="C6" t="s">
        <v>244</v>
      </c>
    </row>
    <row r="7" spans="1:3" x14ac:dyDescent="0.35">
      <c r="A7" s="85">
        <v>6</v>
      </c>
      <c r="B7" t="s">
        <v>196</v>
      </c>
      <c r="C7" t="s">
        <v>244</v>
      </c>
    </row>
    <row r="8" spans="1:3" x14ac:dyDescent="0.35">
      <c r="A8" s="85">
        <v>7</v>
      </c>
      <c r="B8" t="s">
        <v>198</v>
      </c>
      <c r="C8" t="s">
        <v>244</v>
      </c>
    </row>
    <row r="9" spans="1:3" x14ac:dyDescent="0.35">
      <c r="A9" s="85">
        <v>8</v>
      </c>
      <c r="B9" t="s">
        <v>200</v>
      </c>
      <c r="C9" t="s">
        <v>244</v>
      </c>
    </row>
    <row r="10" spans="1:3" x14ac:dyDescent="0.35">
      <c r="A10" s="85">
        <v>9</v>
      </c>
      <c r="B10" t="s">
        <v>150</v>
      </c>
      <c r="C10" t="s">
        <v>246</v>
      </c>
    </row>
    <row r="11" spans="1:3" x14ac:dyDescent="0.35">
      <c r="A11" s="85">
        <v>10</v>
      </c>
      <c r="B11" t="s">
        <v>196</v>
      </c>
      <c r="C11" t="s">
        <v>246</v>
      </c>
    </row>
    <row r="12" spans="1:3" x14ac:dyDescent="0.35">
      <c r="A12" s="85">
        <v>11</v>
      </c>
      <c r="B12" t="s">
        <v>198</v>
      </c>
      <c r="C12" t="s">
        <v>246</v>
      </c>
    </row>
    <row r="13" spans="1:3" x14ac:dyDescent="0.35">
      <c r="A13" s="85">
        <v>12</v>
      </c>
      <c r="B13" t="s">
        <v>200</v>
      </c>
      <c r="C13" t="s">
        <v>246</v>
      </c>
    </row>
    <row r="14" spans="1:3" x14ac:dyDescent="0.35">
      <c r="A14" s="85">
        <v>13</v>
      </c>
      <c r="B14" t="s">
        <v>150</v>
      </c>
      <c r="C14" t="s">
        <v>248</v>
      </c>
    </row>
    <row r="15" spans="1:3" x14ac:dyDescent="0.35">
      <c r="A15" s="85">
        <v>14</v>
      </c>
      <c r="B15" t="s">
        <v>196</v>
      </c>
      <c r="C15" t="s">
        <v>248</v>
      </c>
    </row>
    <row r="16" spans="1:3" x14ac:dyDescent="0.35">
      <c r="A16" s="85">
        <v>15</v>
      </c>
      <c r="B16" t="s">
        <v>198</v>
      </c>
      <c r="C16" t="s">
        <v>248</v>
      </c>
    </row>
    <row r="17" spans="1:3" x14ac:dyDescent="0.35">
      <c r="A17" s="85">
        <v>16</v>
      </c>
      <c r="B17" t="s">
        <v>200</v>
      </c>
      <c r="C17" t="s">
        <v>248</v>
      </c>
    </row>
    <row r="18" spans="1:3" x14ac:dyDescent="0.35">
      <c r="A18" s="85">
        <v>17</v>
      </c>
      <c r="B18" t="s">
        <v>150</v>
      </c>
      <c r="C18" t="s">
        <v>250</v>
      </c>
    </row>
    <row r="19" spans="1:3" x14ac:dyDescent="0.35">
      <c r="A19" s="85">
        <v>18</v>
      </c>
      <c r="B19" t="s">
        <v>196</v>
      </c>
      <c r="C19" t="s">
        <v>250</v>
      </c>
    </row>
    <row r="20" spans="1:3" x14ac:dyDescent="0.35">
      <c r="A20" s="85">
        <v>19</v>
      </c>
      <c r="B20" t="s">
        <v>198</v>
      </c>
      <c r="C20" t="s">
        <v>250</v>
      </c>
    </row>
    <row r="21" spans="1:3" x14ac:dyDescent="0.35">
      <c r="A21" s="85">
        <v>20</v>
      </c>
      <c r="B21" t="s">
        <v>200</v>
      </c>
      <c r="C21" t="s">
        <v>250</v>
      </c>
    </row>
    <row r="22" spans="1:3" x14ac:dyDescent="0.35">
      <c r="A22" s="85">
        <v>21</v>
      </c>
      <c r="B22" t="s">
        <v>150</v>
      </c>
      <c r="C22" t="s">
        <v>252</v>
      </c>
    </row>
    <row r="23" spans="1:3" x14ac:dyDescent="0.35">
      <c r="A23" s="85">
        <v>22</v>
      </c>
      <c r="B23" t="s">
        <v>196</v>
      </c>
      <c r="C23" t="s">
        <v>252</v>
      </c>
    </row>
    <row r="24" spans="1:3" x14ac:dyDescent="0.35">
      <c r="A24" s="85">
        <v>23</v>
      </c>
      <c r="B24" t="s">
        <v>198</v>
      </c>
      <c r="C24" t="s">
        <v>252</v>
      </c>
    </row>
    <row r="25" spans="1:3" x14ac:dyDescent="0.35">
      <c r="A25" s="85">
        <v>24</v>
      </c>
      <c r="B25" t="s">
        <v>200</v>
      </c>
      <c r="C25" t="s">
        <v>252</v>
      </c>
    </row>
    <row r="26" spans="1:3" x14ac:dyDescent="0.35">
      <c r="A26" s="85">
        <v>25</v>
      </c>
      <c r="B26" t="s">
        <v>150</v>
      </c>
      <c r="C26" t="s">
        <v>254</v>
      </c>
    </row>
    <row r="27" spans="1:3" x14ac:dyDescent="0.35">
      <c r="A27" s="85">
        <v>26</v>
      </c>
      <c r="B27" t="s">
        <v>196</v>
      </c>
      <c r="C27" t="s">
        <v>254</v>
      </c>
    </row>
    <row r="28" spans="1:3" x14ac:dyDescent="0.35">
      <c r="A28" s="85">
        <v>27</v>
      </c>
      <c r="B28" t="s">
        <v>198</v>
      </c>
      <c r="C28" t="s">
        <v>254</v>
      </c>
    </row>
    <row r="29" spans="1:3" x14ac:dyDescent="0.35">
      <c r="A29" s="85">
        <v>28</v>
      </c>
      <c r="B29" t="s">
        <v>200</v>
      </c>
      <c r="C29" t="s">
        <v>254</v>
      </c>
    </row>
    <row r="30" spans="1:3" x14ac:dyDescent="0.35">
      <c r="A30" s="85">
        <v>29</v>
      </c>
      <c r="B30" t="s">
        <v>150</v>
      </c>
      <c r="C30" t="s">
        <v>256</v>
      </c>
    </row>
    <row r="31" spans="1:3" x14ac:dyDescent="0.35">
      <c r="A31" s="85">
        <v>30</v>
      </c>
      <c r="B31" t="s">
        <v>196</v>
      </c>
      <c r="C31" t="s">
        <v>256</v>
      </c>
    </row>
    <row r="32" spans="1:3" x14ac:dyDescent="0.35">
      <c r="A32" s="85">
        <v>31</v>
      </c>
      <c r="B32" t="s">
        <v>198</v>
      </c>
      <c r="C32" t="s">
        <v>256</v>
      </c>
    </row>
    <row r="33" spans="1:3" x14ac:dyDescent="0.35">
      <c r="A33" s="85">
        <v>32</v>
      </c>
      <c r="B33" t="s">
        <v>200</v>
      </c>
      <c r="C33" t="s">
        <v>256</v>
      </c>
    </row>
    <row r="34" spans="1:3" x14ac:dyDescent="0.35">
      <c r="A34" s="85">
        <v>33</v>
      </c>
      <c r="B34" t="s">
        <v>202</v>
      </c>
      <c r="C34" t="s">
        <v>155</v>
      </c>
    </row>
    <row r="35" spans="1:3" x14ac:dyDescent="0.35">
      <c r="A35" s="85">
        <v>34</v>
      </c>
      <c r="B35" t="s">
        <v>204</v>
      </c>
      <c r="C35" t="s">
        <v>155</v>
      </c>
    </row>
    <row r="36" spans="1:3" x14ac:dyDescent="0.35">
      <c r="A36" s="85">
        <v>35</v>
      </c>
      <c r="B36" t="s">
        <v>206</v>
      </c>
      <c r="C36" t="s">
        <v>155</v>
      </c>
    </row>
    <row r="37" spans="1:3" x14ac:dyDescent="0.35">
      <c r="A37" s="85">
        <v>36</v>
      </c>
      <c r="B37" t="s">
        <v>208</v>
      </c>
      <c r="C37" t="s">
        <v>155</v>
      </c>
    </row>
    <row r="38" spans="1:3" x14ac:dyDescent="0.35">
      <c r="A38" s="85">
        <v>37</v>
      </c>
      <c r="B38" t="s">
        <v>202</v>
      </c>
      <c r="C38" t="s">
        <v>244</v>
      </c>
    </row>
    <row r="39" spans="1:3" x14ac:dyDescent="0.35">
      <c r="A39" s="85">
        <v>38</v>
      </c>
      <c r="B39" t="s">
        <v>204</v>
      </c>
      <c r="C39" t="s">
        <v>244</v>
      </c>
    </row>
    <row r="40" spans="1:3" x14ac:dyDescent="0.35">
      <c r="A40" s="85">
        <v>39</v>
      </c>
      <c r="B40" t="s">
        <v>206</v>
      </c>
      <c r="C40" t="s">
        <v>244</v>
      </c>
    </row>
    <row r="41" spans="1:3" x14ac:dyDescent="0.35">
      <c r="A41" s="85">
        <v>40</v>
      </c>
      <c r="B41" t="s">
        <v>208</v>
      </c>
      <c r="C41" t="s">
        <v>244</v>
      </c>
    </row>
    <row r="42" spans="1:3" x14ac:dyDescent="0.35">
      <c r="A42" s="85">
        <v>41</v>
      </c>
      <c r="B42" t="s">
        <v>202</v>
      </c>
      <c r="C42" t="s">
        <v>246</v>
      </c>
    </row>
    <row r="43" spans="1:3" x14ac:dyDescent="0.35">
      <c r="A43" s="85">
        <v>42</v>
      </c>
      <c r="B43" t="s">
        <v>204</v>
      </c>
      <c r="C43" t="s">
        <v>246</v>
      </c>
    </row>
    <row r="44" spans="1:3" x14ac:dyDescent="0.35">
      <c r="A44" s="85">
        <v>43</v>
      </c>
      <c r="B44" t="s">
        <v>206</v>
      </c>
      <c r="C44" t="s">
        <v>246</v>
      </c>
    </row>
    <row r="45" spans="1:3" x14ac:dyDescent="0.35">
      <c r="A45" s="85">
        <v>44</v>
      </c>
      <c r="B45" t="s">
        <v>208</v>
      </c>
      <c r="C45" t="s">
        <v>246</v>
      </c>
    </row>
    <row r="46" spans="1:3" x14ac:dyDescent="0.35">
      <c r="A46" s="85">
        <v>45</v>
      </c>
      <c r="B46" t="s">
        <v>202</v>
      </c>
      <c r="C46" t="s">
        <v>248</v>
      </c>
    </row>
    <row r="47" spans="1:3" x14ac:dyDescent="0.35">
      <c r="A47" s="85">
        <v>46</v>
      </c>
      <c r="B47" t="s">
        <v>204</v>
      </c>
      <c r="C47" t="s">
        <v>248</v>
      </c>
    </row>
    <row r="48" spans="1:3" x14ac:dyDescent="0.35">
      <c r="A48" s="85">
        <v>47</v>
      </c>
      <c r="B48" t="s">
        <v>206</v>
      </c>
      <c r="C48" t="s">
        <v>248</v>
      </c>
    </row>
    <row r="49" spans="1:3" x14ac:dyDescent="0.35">
      <c r="A49" s="85">
        <v>48</v>
      </c>
      <c r="B49" t="s">
        <v>208</v>
      </c>
      <c r="C49" t="s">
        <v>248</v>
      </c>
    </row>
    <row r="50" spans="1:3" x14ac:dyDescent="0.35">
      <c r="A50" s="85">
        <v>49</v>
      </c>
      <c r="B50" t="s">
        <v>202</v>
      </c>
      <c r="C50" t="s">
        <v>250</v>
      </c>
    </row>
    <row r="51" spans="1:3" x14ac:dyDescent="0.35">
      <c r="A51" s="85">
        <v>50</v>
      </c>
      <c r="B51" t="s">
        <v>204</v>
      </c>
      <c r="C51" t="s">
        <v>250</v>
      </c>
    </row>
    <row r="52" spans="1:3" x14ac:dyDescent="0.35">
      <c r="A52" s="85">
        <v>51</v>
      </c>
      <c r="B52" t="s">
        <v>206</v>
      </c>
      <c r="C52" t="s">
        <v>250</v>
      </c>
    </row>
    <row r="53" spans="1:3" x14ac:dyDescent="0.35">
      <c r="A53" s="85">
        <v>52</v>
      </c>
      <c r="B53" t="s">
        <v>208</v>
      </c>
      <c r="C53" t="s">
        <v>250</v>
      </c>
    </row>
    <row r="54" spans="1:3" x14ac:dyDescent="0.35">
      <c r="A54" s="85">
        <v>53</v>
      </c>
      <c r="B54" t="s">
        <v>202</v>
      </c>
      <c r="C54" t="s">
        <v>252</v>
      </c>
    </row>
    <row r="55" spans="1:3" x14ac:dyDescent="0.35">
      <c r="A55" s="85">
        <v>54</v>
      </c>
      <c r="B55" t="s">
        <v>204</v>
      </c>
      <c r="C55" t="s">
        <v>252</v>
      </c>
    </row>
    <row r="56" spans="1:3" x14ac:dyDescent="0.35">
      <c r="A56" s="85">
        <v>55</v>
      </c>
      <c r="B56" t="s">
        <v>206</v>
      </c>
      <c r="C56" t="s">
        <v>252</v>
      </c>
    </row>
    <row r="57" spans="1:3" x14ac:dyDescent="0.35">
      <c r="A57" s="85">
        <v>56</v>
      </c>
      <c r="B57" t="s">
        <v>208</v>
      </c>
      <c r="C57" t="s">
        <v>252</v>
      </c>
    </row>
    <row r="58" spans="1:3" x14ac:dyDescent="0.35">
      <c r="A58" s="85">
        <v>57</v>
      </c>
      <c r="B58" t="s">
        <v>202</v>
      </c>
      <c r="C58" t="s">
        <v>254</v>
      </c>
    </row>
    <row r="59" spans="1:3" x14ac:dyDescent="0.35">
      <c r="A59" s="85">
        <v>58</v>
      </c>
      <c r="B59" t="s">
        <v>204</v>
      </c>
      <c r="C59" t="s">
        <v>254</v>
      </c>
    </row>
    <row r="60" spans="1:3" x14ac:dyDescent="0.35">
      <c r="A60" s="85">
        <v>59</v>
      </c>
      <c r="B60" t="s">
        <v>206</v>
      </c>
      <c r="C60" t="s">
        <v>254</v>
      </c>
    </row>
    <row r="61" spans="1:3" x14ac:dyDescent="0.35">
      <c r="A61" s="85">
        <v>60</v>
      </c>
      <c r="B61" t="s">
        <v>208</v>
      </c>
      <c r="C61" t="s">
        <v>254</v>
      </c>
    </row>
    <row r="62" spans="1:3" x14ac:dyDescent="0.35">
      <c r="A62" s="85">
        <v>61</v>
      </c>
      <c r="B62" t="s">
        <v>202</v>
      </c>
      <c r="C62" t="s">
        <v>256</v>
      </c>
    </row>
    <row r="63" spans="1:3" x14ac:dyDescent="0.35">
      <c r="A63" s="85">
        <v>62</v>
      </c>
      <c r="B63" t="s">
        <v>204</v>
      </c>
      <c r="C63" t="s">
        <v>256</v>
      </c>
    </row>
    <row r="64" spans="1:3" x14ac:dyDescent="0.35">
      <c r="A64" s="85">
        <v>63</v>
      </c>
      <c r="B64" t="s">
        <v>206</v>
      </c>
      <c r="C64" t="s">
        <v>256</v>
      </c>
    </row>
    <row r="65" spans="1:3" x14ac:dyDescent="0.35">
      <c r="A65" s="85">
        <v>64</v>
      </c>
      <c r="B65" t="s">
        <v>208</v>
      </c>
      <c r="C65" t="s">
        <v>256</v>
      </c>
    </row>
    <row r="66" spans="1:3" x14ac:dyDescent="0.35">
      <c r="A66" s="85">
        <v>65</v>
      </c>
      <c r="B66" t="s">
        <v>210</v>
      </c>
      <c r="C66" t="s">
        <v>155</v>
      </c>
    </row>
    <row r="67" spans="1:3" x14ac:dyDescent="0.35">
      <c r="A67" s="85">
        <v>66</v>
      </c>
      <c r="B67" t="s">
        <v>212</v>
      </c>
      <c r="C67" t="s">
        <v>155</v>
      </c>
    </row>
    <row r="68" spans="1:3" x14ac:dyDescent="0.35">
      <c r="A68" s="85">
        <v>67</v>
      </c>
      <c r="B68" t="s">
        <v>214</v>
      </c>
      <c r="C68" t="s">
        <v>155</v>
      </c>
    </row>
    <row r="69" spans="1:3" x14ac:dyDescent="0.35">
      <c r="A69" s="85">
        <v>68</v>
      </c>
      <c r="B69" t="s">
        <v>216</v>
      </c>
      <c r="C69" t="s">
        <v>155</v>
      </c>
    </row>
    <row r="70" spans="1:3" x14ac:dyDescent="0.35">
      <c r="A70" s="85">
        <v>69</v>
      </c>
      <c r="B70" t="s">
        <v>210</v>
      </c>
      <c r="C70" t="s">
        <v>244</v>
      </c>
    </row>
    <row r="71" spans="1:3" x14ac:dyDescent="0.35">
      <c r="A71" s="85">
        <v>70</v>
      </c>
      <c r="B71" t="s">
        <v>212</v>
      </c>
      <c r="C71" t="s">
        <v>244</v>
      </c>
    </row>
    <row r="72" spans="1:3" x14ac:dyDescent="0.35">
      <c r="A72" s="85">
        <v>71</v>
      </c>
      <c r="B72" t="s">
        <v>214</v>
      </c>
      <c r="C72" t="s">
        <v>244</v>
      </c>
    </row>
    <row r="73" spans="1:3" x14ac:dyDescent="0.35">
      <c r="A73" s="85">
        <v>72</v>
      </c>
      <c r="B73" t="s">
        <v>216</v>
      </c>
      <c r="C73" t="s">
        <v>244</v>
      </c>
    </row>
    <row r="74" spans="1:3" x14ac:dyDescent="0.35">
      <c r="A74" s="85">
        <v>73</v>
      </c>
      <c r="B74" t="s">
        <v>210</v>
      </c>
      <c r="C74" t="s">
        <v>246</v>
      </c>
    </row>
    <row r="75" spans="1:3" x14ac:dyDescent="0.35">
      <c r="A75" s="85">
        <v>74</v>
      </c>
      <c r="B75" t="s">
        <v>212</v>
      </c>
      <c r="C75" t="s">
        <v>246</v>
      </c>
    </row>
    <row r="76" spans="1:3" x14ac:dyDescent="0.35">
      <c r="A76" s="85">
        <v>75</v>
      </c>
      <c r="B76" t="s">
        <v>214</v>
      </c>
      <c r="C76" t="s">
        <v>246</v>
      </c>
    </row>
    <row r="77" spans="1:3" x14ac:dyDescent="0.35">
      <c r="A77" s="85">
        <v>76</v>
      </c>
      <c r="B77" t="s">
        <v>216</v>
      </c>
      <c r="C77" t="s">
        <v>246</v>
      </c>
    </row>
    <row r="78" spans="1:3" x14ac:dyDescent="0.35">
      <c r="A78" s="85">
        <v>77</v>
      </c>
      <c r="B78" t="s">
        <v>210</v>
      </c>
      <c r="C78" t="s">
        <v>248</v>
      </c>
    </row>
    <row r="79" spans="1:3" x14ac:dyDescent="0.35">
      <c r="A79" s="85">
        <v>78</v>
      </c>
      <c r="B79" t="s">
        <v>212</v>
      </c>
      <c r="C79" t="s">
        <v>248</v>
      </c>
    </row>
    <row r="80" spans="1:3" x14ac:dyDescent="0.35">
      <c r="A80" s="85">
        <v>79</v>
      </c>
      <c r="B80" t="s">
        <v>214</v>
      </c>
      <c r="C80" t="s">
        <v>248</v>
      </c>
    </row>
    <row r="81" spans="1:3" x14ac:dyDescent="0.35">
      <c r="A81" s="85">
        <v>80</v>
      </c>
      <c r="B81" t="s">
        <v>216</v>
      </c>
      <c r="C81" t="s">
        <v>248</v>
      </c>
    </row>
    <row r="82" spans="1:3" x14ac:dyDescent="0.35">
      <c r="A82" s="85">
        <v>81</v>
      </c>
      <c r="B82" t="s">
        <v>210</v>
      </c>
      <c r="C82" t="s">
        <v>250</v>
      </c>
    </row>
    <row r="83" spans="1:3" x14ac:dyDescent="0.35">
      <c r="A83" s="85">
        <v>82</v>
      </c>
      <c r="B83" t="s">
        <v>212</v>
      </c>
      <c r="C83" t="s">
        <v>250</v>
      </c>
    </row>
    <row r="84" spans="1:3" x14ac:dyDescent="0.35">
      <c r="A84" s="85">
        <v>83</v>
      </c>
      <c r="B84" t="s">
        <v>214</v>
      </c>
      <c r="C84" t="s">
        <v>250</v>
      </c>
    </row>
    <row r="85" spans="1:3" x14ac:dyDescent="0.35">
      <c r="A85" s="85">
        <v>84</v>
      </c>
      <c r="B85" t="s">
        <v>216</v>
      </c>
      <c r="C85" t="s">
        <v>250</v>
      </c>
    </row>
    <row r="86" spans="1:3" x14ac:dyDescent="0.35">
      <c r="A86" s="85">
        <v>85</v>
      </c>
      <c r="B86" t="s">
        <v>210</v>
      </c>
      <c r="C86" t="s">
        <v>252</v>
      </c>
    </row>
    <row r="87" spans="1:3" x14ac:dyDescent="0.35">
      <c r="A87" s="85">
        <v>86</v>
      </c>
      <c r="B87" t="s">
        <v>212</v>
      </c>
      <c r="C87" t="s">
        <v>252</v>
      </c>
    </row>
    <row r="88" spans="1:3" x14ac:dyDescent="0.35">
      <c r="A88" s="85">
        <v>87</v>
      </c>
      <c r="B88" t="s">
        <v>214</v>
      </c>
      <c r="C88" t="s">
        <v>252</v>
      </c>
    </row>
    <row r="89" spans="1:3" x14ac:dyDescent="0.35">
      <c r="A89" s="85">
        <v>88</v>
      </c>
      <c r="B89" t="s">
        <v>216</v>
      </c>
      <c r="C89" t="s">
        <v>252</v>
      </c>
    </row>
    <row r="90" spans="1:3" x14ac:dyDescent="0.35">
      <c r="A90" s="85">
        <v>89</v>
      </c>
      <c r="B90" t="s">
        <v>210</v>
      </c>
      <c r="C90" t="s">
        <v>254</v>
      </c>
    </row>
    <row r="91" spans="1:3" x14ac:dyDescent="0.35">
      <c r="A91" s="85">
        <v>90</v>
      </c>
      <c r="B91" t="s">
        <v>212</v>
      </c>
      <c r="C91" t="s">
        <v>254</v>
      </c>
    </row>
    <row r="92" spans="1:3" x14ac:dyDescent="0.35">
      <c r="A92" s="85">
        <v>91</v>
      </c>
      <c r="B92" t="s">
        <v>214</v>
      </c>
      <c r="C92" t="s">
        <v>254</v>
      </c>
    </row>
    <row r="93" spans="1:3" x14ac:dyDescent="0.35">
      <c r="A93" s="85">
        <v>92</v>
      </c>
      <c r="B93" t="s">
        <v>216</v>
      </c>
      <c r="C93" t="s">
        <v>254</v>
      </c>
    </row>
    <row r="94" spans="1:3" x14ac:dyDescent="0.35">
      <c r="A94" s="85">
        <v>93</v>
      </c>
      <c r="B94" t="s">
        <v>210</v>
      </c>
      <c r="C94" t="s">
        <v>256</v>
      </c>
    </row>
    <row r="95" spans="1:3" x14ac:dyDescent="0.35">
      <c r="A95" s="85">
        <v>94</v>
      </c>
      <c r="B95" t="s">
        <v>212</v>
      </c>
      <c r="C95" t="s">
        <v>256</v>
      </c>
    </row>
    <row r="96" spans="1:3" x14ac:dyDescent="0.35">
      <c r="A96" s="85">
        <v>95</v>
      </c>
      <c r="B96" t="s">
        <v>214</v>
      </c>
      <c r="C96" t="s">
        <v>256</v>
      </c>
    </row>
    <row r="97" spans="1:3" x14ac:dyDescent="0.35">
      <c r="A97" s="85">
        <v>96</v>
      </c>
      <c r="B97" t="s">
        <v>216</v>
      </c>
      <c r="C97" t="s">
        <v>256</v>
      </c>
    </row>
    <row r="98" spans="1:3" x14ac:dyDescent="0.35">
      <c r="A98" s="85">
        <v>97</v>
      </c>
      <c r="B98" t="s">
        <v>218</v>
      </c>
      <c r="C98" t="s">
        <v>258</v>
      </c>
    </row>
    <row r="99" spans="1:3" x14ac:dyDescent="0.35">
      <c r="A99" s="85">
        <v>98</v>
      </c>
      <c r="B99" t="s">
        <v>220</v>
      </c>
      <c r="C99" t="s">
        <v>258</v>
      </c>
    </row>
    <row r="100" spans="1:3" x14ac:dyDescent="0.35">
      <c r="A100" s="85">
        <v>99</v>
      </c>
      <c r="B100" t="s">
        <v>222</v>
      </c>
      <c r="C100" t="s">
        <v>258</v>
      </c>
    </row>
    <row r="101" spans="1:3" x14ac:dyDescent="0.35">
      <c r="A101" s="85">
        <v>100</v>
      </c>
      <c r="B101" t="s">
        <v>224</v>
      </c>
      <c r="C101" t="s">
        <v>258</v>
      </c>
    </row>
    <row r="102" spans="1:3" x14ac:dyDescent="0.35">
      <c r="A102" s="85">
        <v>101</v>
      </c>
      <c r="B102" t="s">
        <v>218</v>
      </c>
      <c r="C102" t="s">
        <v>260</v>
      </c>
    </row>
    <row r="103" spans="1:3" x14ac:dyDescent="0.35">
      <c r="A103" s="85">
        <v>102</v>
      </c>
      <c r="B103" t="s">
        <v>220</v>
      </c>
      <c r="C103" t="s">
        <v>260</v>
      </c>
    </row>
    <row r="104" spans="1:3" x14ac:dyDescent="0.35">
      <c r="A104" s="85">
        <v>103</v>
      </c>
      <c r="B104" t="s">
        <v>222</v>
      </c>
      <c r="C104" t="s">
        <v>260</v>
      </c>
    </row>
    <row r="105" spans="1:3" x14ac:dyDescent="0.35">
      <c r="A105" s="85">
        <v>104</v>
      </c>
      <c r="B105" t="s">
        <v>224</v>
      </c>
      <c r="C105" t="s">
        <v>260</v>
      </c>
    </row>
    <row r="106" spans="1:3" x14ac:dyDescent="0.35">
      <c r="A106" s="85">
        <v>105</v>
      </c>
      <c r="B106" t="s">
        <v>218</v>
      </c>
      <c r="C106" t="s">
        <v>262</v>
      </c>
    </row>
    <row r="107" spans="1:3" x14ac:dyDescent="0.35">
      <c r="A107" s="85">
        <v>106</v>
      </c>
      <c r="B107" t="s">
        <v>220</v>
      </c>
      <c r="C107" t="s">
        <v>262</v>
      </c>
    </row>
    <row r="108" spans="1:3" x14ac:dyDescent="0.35">
      <c r="A108" s="85">
        <v>107</v>
      </c>
      <c r="B108" t="s">
        <v>222</v>
      </c>
      <c r="C108" t="s">
        <v>262</v>
      </c>
    </row>
    <row r="109" spans="1:3" x14ac:dyDescent="0.35">
      <c r="A109" s="85">
        <v>108</v>
      </c>
      <c r="B109" t="s">
        <v>224</v>
      </c>
      <c r="C109" t="s">
        <v>262</v>
      </c>
    </row>
    <row r="110" spans="1:3" x14ac:dyDescent="0.35">
      <c r="A110" s="85">
        <v>109</v>
      </c>
      <c r="B110" t="s">
        <v>218</v>
      </c>
      <c r="C110" t="s">
        <v>264</v>
      </c>
    </row>
    <row r="111" spans="1:3" x14ac:dyDescent="0.35">
      <c r="A111" s="85">
        <v>110</v>
      </c>
      <c r="B111" t="s">
        <v>220</v>
      </c>
      <c r="C111" t="s">
        <v>264</v>
      </c>
    </row>
    <row r="112" spans="1:3" x14ac:dyDescent="0.35">
      <c r="A112" s="85">
        <v>111</v>
      </c>
      <c r="B112" t="s">
        <v>222</v>
      </c>
      <c r="C112" t="s">
        <v>264</v>
      </c>
    </row>
    <row r="113" spans="1:3" x14ac:dyDescent="0.35">
      <c r="A113" s="85">
        <v>112</v>
      </c>
      <c r="B113" t="s">
        <v>224</v>
      </c>
      <c r="C113" t="s">
        <v>264</v>
      </c>
    </row>
    <row r="114" spans="1:3" x14ac:dyDescent="0.35">
      <c r="A114" s="85">
        <v>113</v>
      </c>
      <c r="B114" t="s">
        <v>218</v>
      </c>
      <c r="C114" t="s">
        <v>266</v>
      </c>
    </row>
    <row r="115" spans="1:3" x14ac:dyDescent="0.35">
      <c r="A115" s="85">
        <v>114</v>
      </c>
      <c r="B115" t="s">
        <v>220</v>
      </c>
      <c r="C115" t="s">
        <v>266</v>
      </c>
    </row>
    <row r="116" spans="1:3" x14ac:dyDescent="0.35">
      <c r="A116" s="85">
        <v>115</v>
      </c>
      <c r="B116" t="s">
        <v>222</v>
      </c>
      <c r="C116" t="s">
        <v>266</v>
      </c>
    </row>
    <row r="117" spans="1:3" x14ac:dyDescent="0.35">
      <c r="A117" s="85">
        <v>116</v>
      </c>
      <c r="B117" t="s">
        <v>224</v>
      </c>
      <c r="C117" t="s">
        <v>266</v>
      </c>
    </row>
    <row r="118" spans="1:3" x14ac:dyDescent="0.35">
      <c r="A118" s="85">
        <v>117</v>
      </c>
      <c r="B118" t="s">
        <v>218</v>
      </c>
      <c r="C118" t="s">
        <v>268</v>
      </c>
    </row>
    <row r="119" spans="1:3" x14ac:dyDescent="0.35">
      <c r="A119" s="85">
        <v>118</v>
      </c>
      <c r="B119" t="s">
        <v>220</v>
      </c>
      <c r="C119" t="s">
        <v>268</v>
      </c>
    </row>
    <row r="120" spans="1:3" x14ac:dyDescent="0.35">
      <c r="A120" s="85">
        <v>119</v>
      </c>
      <c r="B120" t="s">
        <v>222</v>
      </c>
      <c r="C120" t="s">
        <v>268</v>
      </c>
    </row>
    <row r="121" spans="1:3" x14ac:dyDescent="0.35">
      <c r="A121" s="85">
        <v>120</v>
      </c>
      <c r="B121" t="s">
        <v>224</v>
      </c>
      <c r="C121" t="s">
        <v>268</v>
      </c>
    </row>
    <row r="122" spans="1:3" x14ac:dyDescent="0.35">
      <c r="A122" s="85">
        <v>121</v>
      </c>
      <c r="B122" t="s">
        <v>218</v>
      </c>
      <c r="C122" t="s">
        <v>270</v>
      </c>
    </row>
    <row r="123" spans="1:3" x14ac:dyDescent="0.35">
      <c r="A123" s="85">
        <v>122</v>
      </c>
      <c r="B123" t="s">
        <v>220</v>
      </c>
      <c r="C123" t="s">
        <v>270</v>
      </c>
    </row>
    <row r="124" spans="1:3" x14ac:dyDescent="0.35">
      <c r="A124" s="85">
        <v>123</v>
      </c>
      <c r="B124" t="s">
        <v>222</v>
      </c>
      <c r="C124" t="s">
        <v>270</v>
      </c>
    </row>
    <row r="125" spans="1:3" x14ac:dyDescent="0.35">
      <c r="A125" s="85">
        <v>124</v>
      </c>
      <c r="B125" t="s">
        <v>224</v>
      </c>
      <c r="C125" t="s">
        <v>270</v>
      </c>
    </row>
    <row r="126" spans="1:3" x14ac:dyDescent="0.35">
      <c r="A126" s="85">
        <v>125</v>
      </c>
      <c r="B126" t="s">
        <v>218</v>
      </c>
      <c r="C126" t="s">
        <v>272</v>
      </c>
    </row>
    <row r="127" spans="1:3" x14ac:dyDescent="0.35">
      <c r="A127" s="85">
        <v>126</v>
      </c>
      <c r="B127" t="s">
        <v>220</v>
      </c>
      <c r="C127" t="s">
        <v>272</v>
      </c>
    </row>
    <row r="128" spans="1:3" x14ac:dyDescent="0.35">
      <c r="A128" s="85">
        <v>127</v>
      </c>
      <c r="B128" t="s">
        <v>222</v>
      </c>
      <c r="C128" t="s">
        <v>272</v>
      </c>
    </row>
    <row r="129" spans="1:3" x14ac:dyDescent="0.35">
      <c r="A129" s="85">
        <v>128</v>
      </c>
      <c r="B129" t="s">
        <v>224</v>
      </c>
      <c r="C129" t="s">
        <v>272</v>
      </c>
    </row>
    <row r="130" spans="1:3" x14ac:dyDescent="0.35">
      <c r="A130" s="85">
        <v>129</v>
      </c>
      <c r="B130" t="s">
        <v>226</v>
      </c>
      <c r="C130" t="s">
        <v>258</v>
      </c>
    </row>
    <row r="131" spans="1:3" x14ac:dyDescent="0.35">
      <c r="A131" s="85">
        <v>130</v>
      </c>
      <c r="B131" t="s">
        <v>228</v>
      </c>
      <c r="C131" t="s">
        <v>258</v>
      </c>
    </row>
    <row r="132" spans="1:3" x14ac:dyDescent="0.35">
      <c r="A132" s="85">
        <v>131</v>
      </c>
      <c r="B132" t="s">
        <v>230</v>
      </c>
      <c r="C132" t="s">
        <v>258</v>
      </c>
    </row>
    <row r="133" spans="1:3" x14ac:dyDescent="0.35">
      <c r="A133" s="85">
        <v>132</v>
      </c>
      <c r="B133" t="s">
        <v>232</v>
      </c>
      <c r="C133" t="s">
        <v>258</v>
      </c>
    </row>
    <row r="134" spans="1:3" x14ac:dyDescent="0.35">
      <c r="A134" s="85">
        <v>133</v>
      </c>
      <c r="B134" t="s">
        <v>226</v>
      </c>
      <c r="C134" t="s">
        <v>260</v>
      </c>
    </row>
    <row r="135" spans="1:3" x14ac:dyDescent="0.35">
      <c r="A135" s="85">
        <v>134</v>
      </c>
      <c r="B135" t="s">
        <v>228</v>
      </c>
      <c r="C135" t="s">
        <v>260</v>
      </c>
    </row>
    <row r="136" spans="1:3" x14ac:dyDescent="0.35">
      <c r="A136" s="85">
        <v>135</v>
      </c>
      <c r="B136" t="s">
        <v>230</v>
      </c>
      <c r="C136" t="s">
        <v>260</v>
      </c>
    </row>
    <row r="137" spans="1:3" x14ac:dyDescent="0.35">
      <c r="A137" s="85">
        <v>136</v>
      </c>
      <c r="B137" t="s">
        <v>232</v>
      </c>
      <c r="C137" t="s">
        <v>260</v>
      </c>
    </row>
    <row r="138" spans="1:3" x14ac:dyDescent="0.35">
      <c r="A138" s="85">
        <v>137</v>
      </c>
      <c r="B138" t="s">
        <v>226</v>
      </c>
      <c r="C138" t="s">
        <v>262</v>
      </c>
    </row>
    <row r="139" spans="1:3" x14ac:dyDescent="0.35">
      <c r="A139" s="85">
        <v>138</v>
      </c>
      <c r="B139" t="s">
        <v>228</v>
      </c>
      <c r="C139" t="s">
        <v>262</v>
      </c>
    </row>
    <row r="140" spans="1:3" x14ac:dyDescent="0.35">
      <c r="A140" s="85">
        <v>139</v>
      </c>
      <c r="B140" t="s">
        <v>230</v>
      </c>
      <c r="C140" t="s">
        <v>262</v>
      </c>
    </row>
    <row r="141" spans="1:3" x14ac:dyDescent="0.35">
      <c r="A141" s="85">
        <v>140</v>
      </c>
      <c r="B141" t="s">
        <v>232</v>
      </c>
      <c r="C141" t="s">
        <v>262</v>
      </c>
    </row>
    <row r="142" spans="1:3" x14ac:dyDescent="0.35">
      <c r="A142" s="85">
        <v>141</v>
      </c>
      <c r="B142" t="s">
        <v>226</v>
      </c>
      <c r="C142" t="s">
        <v>264</v>
      </c>
    </row>
    <row r="143" spans="1:3" x14ac:dyDescent="0.35">
      <c r="A143" s="85">
        <v>142</v>
      </c>
      <c r="B143" t="s">
        <v>228</v>
      </c>
      <c r="C143" t="s">
        <v>264</v>
      </c>
    </row>
    <row r="144" spans="1:3" x14ac:dyDescent="0.35">
      <c r="A144" s="85">
        <v>143</v>
      </c>
      <c r="B144" t="s">
        <v>230</v>
      </c>
      <c r="C144" t="s">
        <v>264</v>
      </c>
    </row>
    <row r="145" spans="1:3" x14ac:dyDescent="0.35">
      <c r="A145" s="85">
        <v>144</v>
      </c>
      <c r="B145" t="s">
        <v>232</v>
      </c>
      <c r="C145" t="s">
        <v>264</v>
      </c>
    </row>
    <row r="146" spans="1:3" x14ac:dyDescent="0.35">
      <c r="A146" s="85">
        <v>145</v>
      </c>
      <c r="B146" t="s">
        <v>226</v>
      </c>
      <c r="C146" t="s">
        <v>266</v>
      </c>
    </row>
    <row r="147" spans="1:3" x14ac:dyDescent="0.35">
      <c r="A147" s="85">
        <v>146</v>
      </c>
      <c r="B147" t="s">
        <v>228</v>
      </c>
      <c r="C147" t="s">
        <v>266</v>
      </c>
    </row>
    <row r="148" spans="1:3" x14ac:dyDescent="0.35">
      <c r="A148" s="85">
        <v>147</v>
      </c>
      <c r="B148" t="s">
        <v>230</v>
      </c>
      <c r="C148" t="s">
        <v>266</v>
      </c>
    </row>
    <row r="149" spans="1:3" x14ac:dyDescent="0.35">
      <c r="A149" s="85">
        <v>148</v>
      </c>
      <c r="B149" t="s">
        <v>232</v>
      </c>
      <c r="C149" t="s">
        <v>266</v>
      </c>
    </row>
    <row r="150" spans="1:3" x14ac:dyDescent="0.35">
      <c r="A150" s="85">
        <v>149</v>
      </c>
      <c r="B150" t="s">
        <v>226</v>
      </c>
      <c r="C150" t="s">
        <v>268</v>
      </c>
    </row>
    <row r="151" spans="1:3" x14ac:dyDescent="0.35">
      <c r="A151" s="85">
        <v>150</v>
      </c>
      <c r="B151" t="s">
        <v>228</v>
      </c>
      <c r="C151" t="s">
        <v>268</v>
      </c>
    </row>
    <row r="152" spans="1:3" x14ac:dyDescent="0.35">
      <c r="A152" s="85">
        <v>151</v>
      </c>
      <c r="B152" t="s">
        <v>230</v>
      </c>
      <c r="C152" t="s">
        <v>268</v>
      </c>
    </row>
    <row r="153" spans="1:3" x14ac:dyDescent="0.35">
      <c r="A153" s="85">
        <v>152</v>
      </c>
      <c r="B153" t="s">
        <v>232</v>
      </c>
      <c r="C153" t="s">
        <v>268</v>
      </c>
    </row>
    <row r="154" spans="1:3" x14ac:dyDescent="0.35">
      <c r="A154" s="85">
        <v>153</v>
      </c>
      <c r="B154" t="s">
        <v>226</v>
      </c>
      <c r="C154" t="s">
        <v>270</v>
      </c>
    </row>
    <row r="155" spans="1:3" x14ac:dyDescent="0.35">
      <c r="A155" s="85">
        <v>154</v>
      </c>
      <c r="B155" t="s">
        <v>228</v>
      </c>
      <c r="C155" t="s">
        <v>270</v>
      </c>
    </row>
    <row r="156" spans="1:3" x14ac:dyDescent="0.35">
      <c r="A156" s="85">
        <v>155</v>
      </c>
      <c r="B156" t="s">
        <v>230</v>
      </c>
      <c r="C156" t="s">
        <v>270</v>
      </c>
    </row>
    <row r="157" spans="1:3" x14ac:dyDescent="0.35">
      <c r="A157" s="85">
        <v>156</v>
      </c>
      <c r="B157" t="s">
        <v>232</v>
      </c>
      <c r="C157" t="s">
        <v>270</v>
      </c>
    </row>
    <row r="158" spans="1:3" x14ac:dyDescent="0.35">
      <c r="A158" s="85">
        <v>157</v>
      </c>
      <c r="B158" t="s">
        <v>226</v>
      </c>
      <c r="C158" t="s">
        <v>272</v>
      </c>
    </row>
    <row r="159" spans="1:3" x14ac:dyDescent="0.35">
      <c r="A159" s="85">
        <v>158</v>
      </c>
      <c r="B159" t="s">
        <v>228</v>
      </c>
      <c r="C159" t="s">
        <v>272</v>
      </c>
    </row>
    <row r="160" spans="1:3" x14ac:dyDescent="0.35">
      <c r="A160" s="85">
        <v>159</v>
      </c>
      <c r="B160" t="s">
        <v>230</v>
      </c>
      <c r="C160" t="s">
        <v>272</v>
      </c>
    </row>
    <row r="161" spans="1:3" x14ac:dyDescent="0.35">
      <c r="A161" s="85">
        <v>160</v>
      </c>
      <c r="B161" t="s">
        <v>232</v>
      </c>
      <c r="C161" t="s">
        <v>272</v>
      </c>
    </row>
    <row r="162" spans="1:3" x14ac:dyDescent="0.35">
      <c r="A162" s="85">
        <v>161</v>
      </c>
      <c r="B162" t="s">
        <v>234</v>
      </c>
      <c r="C162" t="s">
        <v>258</v>
      </c>
    </row>
    <row r="163" spans="1:3" x14ac:dyDescent="0.35">
      <c r="A163" s="85">
        <v>162</v>
      </c>
      <c r="B163" t="s">
        <v>236</v>
      </c>
      <c r="C163" t="s">
        <v>258</v>
      </c>
    </row>
    <row r="164" spans="1:3" x14ac:dyDescent="0.35">
      <c r="A164" s="85">
        <v>163</v>
      </c>
      <c r="B164" t="s">
        <v>238</v>
      </c>
      <c r="C164" t="s">
        <v>258</v>
      </c>
    </row>
    <row r="165" spans="1:3" x14ac:dyDescent="0.35">
      <c r="A165" s="85">
        <v>164</v>
      </c>
      <c r="B165" t="s">
        <v>240</v>
      </c>
      <c r="C165" t="s">
        <v>258</v>
      </c>
    </row>
    <row r="166" spans="1:3" x14ac:dyDescent="0.35">
      <c r="A166" s="85">
        <v>165</v>
      </c>
      <c r="B166" t="s">
        <v>234</v>
      </c>
      <c r="C166" t="s">
        <v>260</v>
      </c>
    </row>
    <row r="167" spans="1:3" x14ac:dyDescent="0.35">
      <c r="A167" s="85">
        <v>166</v>
      </c>
      <c r="B167" t="s">
        <v>236</v>
      </c>
      <c r="C167" t="s">
        <v>260</v>
      </c>
    </row>
    <row r="168" spans="1:3" x14ac:dyDescent="0.35">
      <c r="A168" s="85">
        <v>167</v>
      </c>
      <c r="B168" t="s">
        <v>238</v>
      </c>
      <c r="C168" t="s">
        <v>260</v>
      </c>
    </row>
    <row r="169" spans="1:3" x14ac:dyDescent="0.35">
      <c r="A169" s="85">
        <v>168</v>
      </c>
      <c r="B169" t="s">
        <v>240</v>
      </c>
      <c r="C169" t="s">
        <v>260</v>
      </c>
    </row>
    <row r="170" spans="1:3" x14ac:dyDescent="0.35">
      <c r="A170" s="85">
        <v>169</v>
      </c>
      <c r="B170" t="s">
        <v>234</v>
      </c>
      <c r="C170" t="s">
        <v>262</v>
      </c>
    </row>
    <row r="171" spans="1:3" x14ac:dyDescent="0.35">
      <c r="A171" s="85">
        <v>170</v>
      </c>
      <c r="B171" t="s">
        <v>236</v>
      </c>
      <c r="C171" t="s">
        <v>262</v>
      </c>
    </row>
    <row r="172" spans="1:3" x14ac:dyDescent="0.35">
      <c r="A172" s="85">
        <v>171</v>
      </c>
      <c r="B172" t="s">
        <v>238</v>
      </c>
      <c r="C172" t="s">
        <v>262</v>
      </c>
    </row>
    <row r="173" spans="1:3" x14ac:dyDescent="0.35">
      <c r="A173" s="85">
        <v>172</v>
      </c>
      <c r="B173" t="s">
        <v>240</v>
      </c>
      <c r="C173" t="s">
        <v>262</v>
      </c>
    </row>
    <row r="174" spans="1:3" x14ac:dyDescent="0.35">
      <c r="A174" s="85">
        <v>173</v>
      </c>
      <c r="B174" t="s">
        <v>234</v>
      </c>
      <c r="C174" t="s">
        <v>264</v>
      </c>
    </row>
    <row r="175" spans="1:3" x14ac:dyDescent="0.35">
      <c r="A175" s="85">
        <v>174</v>
      </c>
      <c r="B175" t="s">
        <v>236</v>
      </c>
      <c r="C175" t="s">
        <v>264</v>
      </c>
    </row>
    <row r="176" spans="1:3" x14ac:dyDescent="0.35">
      <c r="A176" s="85">
        <v>175</v>
      </c>
      <c r="B176" t="s">
        <v>238</v>
      </c>
      <c r="C176" t="s">
        <v>264</v>
      </c>
    </row>
    <row r="177" spans="1:3" x14ac:dyDescent="0.35">
      <c r="A177" s="85">
        <v>176</v>
      </c>
      <c r="B177" t="s">
        <v>240</v>
      </c>
      <c r="C177" t="s">
        <v>264</v>
      </c>
    </row>
    <row r="178" spans="1:3" x14ac:dyDescent="0.35">
      <c r="A178" s="85">
        <v>177</v>
      </c>
      <c r="B178" t="s">
        <v>234</v>
      </c>
      <c r="C178" t="s">
        <v>266</v>
      </c>
    </row>
    <row r="179" spans="1:3" x14ac:dyDescent="0.35">
      <c r="A179" s="85">
        <v>178</v>
      </c>
      <c r="B179" t="s">
        <v>236</v>
      </c>
      <c r="C179" t="s">
        <v>266</v>
      </c>
    </row>
    <row r="180" spans="1:3" x14ac:dyDescent="0.35">
      <c r="A180" s="85">
        <v>179</v>
      </c>
      <c r="B180" t="s">
        <v>238</v>
      </c>
      <c r="C180" t="s">
        <v>266</v>
      </c>
    </row>
    <row r="181" spans="1:3" x14ac:dyDescent="0.35">
      <c r="A181" s="85">
        <v>180</v>
      </c>
      <c r="B181" t="s">
        <v>240</v>
      </c>
      <c r="C181" t="s">
        <v>266</v>
      </c>
    </row>
    <row r="182" spans="1:3" x14ac:dyDescent="0.35">
      <c r="A182" s="85">
        <v>181</v>
      </c>
      <c r="B182" t="s">
        <v>234</v>
      </c>
      <c r="C182" t="s">
        <v>268</v>
      </c>
    </row>
    <row r="183" spans="1:3" x14ac:dyDescent="0.35">
      <c r="A183" s="85">
        <v>182</v>
      </c>
      <c r="B183" t="s">
        <v>236</v>
      </c>
      <c r="C183" t="s">
        <v>268</v>
      </c>
    </row>
    <row r="184" spans="1:3" x14ac:dyDescent="0.35">
      <c r="A184" s="85">
        <v>183</v>
      </c>
      <c r="B184" t="s">
        <v>238</v>
      </c>
      <c r="C184" t="s">
        <v>268</v>
      </c>
    </row>
    <row r="185" spans="1:3" x14ac:dyDescent="0.35">
      <c r="A185" s="85">
        <v>184</v>
      </c>
      <c r="B185" t="s">
        <v>240</v>
      </c>
      <c r="C185" t="s">
        <v>268</v>
      </c>
    </row>
    <row r="186" spans="1:3" x14ac:dyDescent="0.35">
      <c r="A186" s="85">
        <v>185</v>
      </c>
      <c r="B186" t="s">
        <v>234</v>
      </c>
      <c r="C186" t="s">
        <v>270</v>
      </c>
    </row>
    <row r="187" spans="1:3" x14ac:dyDescent="0.35">
      <c r="A187" s="85">
        <v>186</v>
      </c>
      <c r="B187" t="s">
        <v>236</v>
      </c>
      <c r="C187" t="s">
        <v>270</v>
      </c>
    </row>
    <row r="188" spans="1:3" x14ac:dyDescent="0.35">
      <c r="A188" s="85">
        <v>187</v>
      </c>
      <c r="B188" t="s">
        <v>238</v>
      </c>
      <c r="C188" t="s">
        <v>270</v>
      </c>
    </row>
    <row r="189" spans="1:3" x14ac:dyDescent="0.35">
      <c r="A189" s="85">
        <v>188</v>
      </c>
      <c r="B189" t="s">
        <v>240</v>
      </c>
      <c r="C189" t="s">
        <v>270</v>
      </c>
    </row>
    <row r="190" spans="1:3" x14ac:dyDescent="0.35">
      <c r="A190" s="85">
        <v>189</v>
      </c>
      <c r="B190" t="s">
        <v>234</v>
      </c>
      <c r="C190" t="s">
        <v>272</v>
      </c>
    </row>
    <row r="191" spans="1:3" x14ac:dyDescent="0.35">
      <c r="A191" s="85">
        <v>190</v>
      </c>
      <c r="B191" t="s">
        <v>236</v>
      </c>
      <c r="C191" t="s">
        <v>272</v>
      </c>
    </row>
    <row r="192" spans="1:3" x14ac:dyDescent="0.35">
      <c r="A192" s="85">
        <v>191</v>
      </c>
      <c r="B192" t="s">
        <v>238</v>
      </c>
      <c r="C192" t="s">
        <v>272</v>
      </c>
    </row>
    <row r="193" spans="1:3" x14ac:dyDescent="0.35">
      <c r="A193" s="85">
        <v>192</v>
      </c>
      <c r="B193" t="s">
        <v>240</v>
      </c>
      <c r="C193" t="s">
        <v>272</v>
      </c>
    </row>
    <row r="194" spans="1:3" x14ac:dyDescent="0.35">
      <c r="A194" s="85">
        <v>193</v>
      </c>
      <c r="B194" t="s">
        <v>218</v>
      </c>
      <c r="C194" t="s">
        <v>155</v>
      </c>
    </row>
    <row r="195" spans="1:3" x14ac:dyDescent="0.35">
      <c r="A195" s="85">
        <v>194</v>
      </c>
      <c r="B195" t="s">
        <v>220</v>
      </c>
      <c r="C195" t="s">
        <v>155</v>
      </c>
    </row>
    <row r="196" spans="1:3" x14ac:dyDescent="0.35">
      <c r="A196" s="85">
        <v>195</v>
      </c>
      <c r="B196" t="s">
        <v>222</v>
      </c>
      <c r="C196" t="s">
        <v>155</v>
      </c>
    </row>
    <row r="197" spans="1:3" x14ac:dyDescent="0.35">
      <c r="A197" s="85">
        <v>196</v>
      </c>
      <c r="B197" t="s">
        <v>224</v>
      </c>
      <c r="C197" t="s">
        <v>155</v>
      </c>
    </row>
    <row r="198" spans="1:3" x14ac:dyDescent="0.35">
      <c r="A198" s="85">
        <v>197</v>
      </c>
      <c r="B198" t="s">
        <v>218</v>
      </c>
      <c r="C198" t="s">
        <v>244</v>
      </c>
    </row>
    <row r="199" spans="1:3" x14ac:dyDescent="0.35">
      <c r="A199" s="85">
        <v>198</v>
      </c>
      <c r="B199" t="s">
        <v>220</v>
      </c>
      <c r="C199" t="s">
        <v>244</v>
      </c>
    </row>
    <row r="200" spans="1:3" x14ac:dyDescent="0.35">
      <c r="A200" s="85">
        <v>199</v>
      </c>
      <c r="B200" t="s">
        <v>222</v>
      </c>
      <c r="C200" t="s">
        <v>244</v>
      </c>
    </row>
    <row r="201" spans="1:3" x14ac:dyDescent="0.35">
      <c r="A201" s="85">
        <v>200</v>
      </c>
      <c r="B201" t="s">
        <v>224</v>
      </c>
      <c r="C201" t="s">
        <v>244</v>
      </c>
    </row>
    <row r="202" spans="1:3" x14ac:dyDescent="0.35">
      <c r="A202" s="85">
        <v>201</v>
      </c>
      <c r="B202" t="s">
        <v>218</v>
      </c>
      <c r="C202" t="s">
        <v>246</v>
      </c>
    </row>
    <row r="203" spans="1:3" x14ac:dyDescent="0.35">
      <c r="A203" s="85">
        <v>202</v>
      </c>
      <c r="B203" t="s">
        <v>220</v>
      </c>
      <c r="C203" t="s">
        <v>246</v>
      </c>
    </row>
    <row r="204" spans="1:3" x14ac:dyDescent="0.35">
      <c r="A204" s="85">
        <v>203</v>
      </c>
      <c r="B204" t="s">
        <v>222</v>
      </c>
      <c r="C204" t="s">
        <v>246</v>
      </c>
    </row>
    <row r="205" spans="1:3" x14ac:dyDescent="0.35">
      <c r="A205" s="85">
        <v>204</v>
      </c>
      <c r="B205" t="s">
        <v>224</v>
      </c>
      <c r="C205" t="s">
        <v>246</v>
      </c>
    </row>
    <row r="206" spans="1:3" x14ac:dyDescent="0.35">
      <c r="A206" s="85">
        <v>205</v>
      </c>
      <c r="B206" t="s">
        <v>218</v>
      </c>
      <c r="C206" t="s">
        <v>248</v>
      </c>
    </row>
    <row r="207" spans="1:3" x14ac:dyDescent="0.35">
      <c r="A207" s="85">
        <v>206</v>
      </c>
      <c r="B207" t="s">
        <v>220</v>
      </c>
      <c r="C207" t="s">
        <v>248</v>
      </c>
    </row>
    <row r="208" spans="1:3" x14ac:dyDescent="0.35">
      <c r="A208" s="85">
        <v>207</v>
      </c>
      <c r="B208" t="s">
        <v>222</v>
      </c>
      <c r="C208" t="s">
        <v>248</v>
      </c>
    </row>
    <row r="209" spans="1:3" x14ac:dyDescent="0.35">
      <c r="A209" s="85">
        <v>208</v>
      </c>
      <c r="B209" t="s">
        <v>224</v>
      </c>
      <c r="C209" t="s">
        <v>248</v>
      </c>
    </row>
    <row r="210" spans="1:3" x14ac:dyDescent="0.35">
      <c r="A210" s="85">
        <v>209</v>
      </c>
      <c r="B210" t="s">
        <v>218</v>
      </c>
      <c r="C210" t="s">
        <v>250</v>
      </c>
    </row>
    <row r="211" spans="1:3" x14ac:dyDescent="0.35">
      <c r="A211" s="85">
        <v>210</v>
      </c>
      <c r="B211" t="s">
        <v>220</v>
      </c>
      <c r="C211" t="s">
        <v>250</v>
      </c>
    </row>
    <row r="212" spans="1:3" x14ac:dyDescent="0.35">
      <c r="A212" s="85">
        <v>211</v>
      </c>
      <c r="B212" t="s">
        <v>222</v>
      </c>
      <c r="C212" t="s">
        <v>250</v>
      </c>
    </row>
    <row r="213" spans="1:3" x14ac:dyDescent="0.35">
      <c r="A213" s="85">
        <v>212</v>
      </c>
      <c r="B213" t="s">
        <v>224</v>
      </c>
      <c r="C213" t="s">
        <v>250</v>
      </c>
    </row>
    <row r="214" spans="1:3" x14ac:dyDescent="0.35">
      <c r="A214" s="85">
        <v>213</v>
      </c>
      <c r="B214" t="s">
        <v>218</v>
      </c>
      <c r="C214" t="s">
        <v>252</v>
      </c>
    </row>
    <row r="215" spans="1:3" x14ac:dyDescent="0.35">
      <c r="A215" s="85">
        <v>214</v>
      </c>
      <c r="B215" t="s">
        <v>220</v>
      </c>
      <c r="C215" t="s">
        <v>252</v>
      </c>
    </row>
    <row r="216" spans="1:3" x14ac:dyDescent="0.35">
      <c r="A216" s="85">
        <v>215</v>
      </c>
      <c r="B216" t="s">
        <v>222</v>
      </c>
      <c r="C216" t="s">
        <v>252</v>
      </c>
    </row>
    <row r="217" spans="1:3" x14ac:dyDescent="0.35">
      <c r="A217" s="85">
        <v>216</v>
      </c>
      <c r="B217" t="s">
        <v>224</v>
      </c>
      <c r="C217" t="s">
        <v>252</v>
      </c>
    </row>
    <row r="218" spans="1:3" x14ac:dyDescent="0.35">
      <c r="A218" s="85">
        <v>217</v>
      </c>
      <c r="B218" t="s">
        <v>218</v>
      </c>
      <c r="C218" t="s">
        <v>254</v>
      </c>
    </row>
    <row r="219" spans="1:3" x14ac:dyDescent="0.35">
      <c r="A219" s="85">
        <v>218</v>
      </c>
      <c r="B219" t="s">
        <v>220</v>
      </c>
      <c r="C219" t="s">
        <v>254</v>
      </c>
    </row>
    <row r="220" spans="1:3" x14ac:dyDescent="0.35">
      <c r="A220" s="85">
        <v>219</v>
      </c>
      <c r="B220" t="s">
        <v>222</v>
      </c>
      <c r="C220" t="s">
        <v>254</v>
      </c>
    </row>
    <row r="221" spans="1:3" x14ac:dyDescent="0.35">
      <c r="A221" s="85">
        <v>220</v>
      </c>
      <c r="B221" t="s">
        <v>224</v>
      </c>
      <c r="C221" t="s">
        <v>254</v>
      </c>
    </row>
    <row r="222" spans="1:3" x14ac:dyDescent="0.35">
      <c r="A222" s="85">
        <v>221</v>
      </c>
      <c r="B222" t="s">
        <v>218</v>
      </c>
      <c r="C222" t="s">
        <v>256</v>
      </c>
    </row>
    <row r="223" spans="1:3" x14ac:dyDescent="0.35">
      <c r="A223" s="85">
        <v>222</v>
      </c>
      <c r="B223" t="s">
        <v>220</v>
      </c>
      <c r="C223" t="s">
        <v>256</v>
      </c>
    </row>
    <row r="224" spans="1:3" x14ac:dyDescent="0.35">
      <c r="A224" s="85">
        <v>223</v>
      </c>
      <c r="B224" t="s">
        <v>222</v>
      </c>
      <c r="C224" t="s">
        <v>256</v>
      </c>
    </row>
    <row r="225" spans="1:3" x14ac:dyDescent="0.35">
      <c r="A225" s="85">
        <v>224</v>
      </c>
      <c r="B225" t="s">
        <v>224</v>
      </c>
      <c r="C225" t="s">
        <v>256</v>
      </c>
    </row>
    <row r="226" spans="1:3" x14ac:dyDescent="0.35">
      <c r="A226" s="85">
        <v>225</v>
      </c>
      <c r="B226" t="s">
        <v>226</v>
      </c>
      <c r="C226" t="s">
        <v>155</v>
      </c>
    </row>
    <row r="227" spans="1:3" x14ac:dyDescent="0.35">
      <c r="A227" s="85">
        <v>226</v>
      </c>
      <c r="B227" t="s">
        <v>228</v>
      </c>
      <c r="C227" t="s">
        <v>155</v>
      </c>
    </row>
    <row r="228" spans="1:3" x14ac:dyDescent="0.35">
      <c r="A228" s="85">
        <v>227</v>
      </c>
      <c r="B228" t="s">
        <v>230</v>
      </c>
      <c r="C228" t="s">
        <v>155</v>
      </c>
    </row>
    <row r="229" spans="1:3" x14ac:dyDescent="0.35">
      <c r="A229" s="85">
        <v>228</v>
      </c>
      <c r="B229" t="s">
        <v>232</v>
      </c>
      <c r="C229" t="s">
        <v>155</v>
      </c>
    </row>
    <row r="230" spans="1:3" x14ac:dyDescent="0.35">
      <c r="A230" s="85">
        <v>229</v>
      </c>
      <c r="B230" t="s">
        <v>226</v>
      </c>
      <c r="C230" t="s">
        <v>244</v>
      </c>
    </row>
    <row r="231" spans="1:3" x14ac:dyDescent="0.35">
      <c r="A231" s="85">
        <v>230</v>
      </c>
      <c r="B231" t="s">
        <v>228</v>
      </c>
      <c r="C231" t="s">
        <v>244</v>
      </c>
    </row>
    <row r="232" spans="1:3" x14ac:dyDescent="0.35">
      <c r="A232" s="85">
        <v>231</v>
      </c>
      <c r="B232" t="s">
        <v>230</v>
      </c>
      <c r="C232" t="s">
        <v>244</v>
      </c>
    </row>
    <row r="233" spans="1:3" x14ac:dyDescent="0.35">
      <c r="A233" s="85">
        <v>232</v>
      </c>
      <c r="B233" t="s">
        <v>232</v>
      </c>
      <c r="C233" t="s">
        <v>244</v>
      </c>
    </row>
    <row r="234" spans="1:3" x14ac:dyDescent="0.35">
      <c r="A234" s="85">
        <v>233</v>
      </c>
      <c r="B234" t="s">
        <v>226</v>
      </c>
      <c r="C234" t="s">
        <v>246</v>
      </c>
    </row>
    <row r="235" spans="1:3" x14ac:dyDescent="0.35">
      <c r="A235" s="85">
        <v>234</v>
      </c>
      <c r="B235" t="s">
        <v>228</v>
      </c>
      <c r="C235" t="s">
        <v>246</v>
      </c>
    </row>
    <row r="236" spans="1:3" x14ac:dyDescent="0.35">
      <c r="A236" s="85">
        <v>235</v>
      </c>
      <c r="B236" t="s">
        <v>230</v>
      </c>
      <c r="C236" t="s">
        <v>246</v>
      </c>
    </row>
    <row r="237" spans="1:3" x14ac:dyDescent="0.35">
      <c r="A237" s="85">
        <v>236</v>
      </c>
      <c r="B237" t="s">
        <v>232</v>
      </c>
      <c r="C237" t="s">
        <v>246</v>
      </c>
    </row>
    <row r="238" spans="1:3" x14ac:dyDescent="0.35">
      <c r="A238" s="85">
        <v>237</v>
      </c>
      <c r="B238" t="s">
        <v>226</v>
      </c>
      <c r="C238" t="s">
        <v>248</v>
      </c>
    </row>
    <row r="239" spans="1:3" x14ac:dyDescent="0.35">
      <c r="A239" s="85">
        <v>238</v>
      </c>
      <c r="B239" t="s">
        <v>228</v>
      </c>
      <c r="C239" t="s">
        <v>248</v>
      </c>
    </row>
    <row r="240" spans="1:3" x14ac:dyDescent="0.35">
      <c r="A240" s="85">
        <v>239</v>
      </c>
      <c r="B240" t="s">
        <v>230</v>
      </c>
      <c r="C240" t="s">
        <v>248</v>
      </c>
    </row>
    <row r="241" spans="1:3" x14ac:dyDescent="0.35">
      <c r="A241" s="85">
        <v>240</v>
      </c>
      <c r="B241" t="s">
        <v>232</v>
      </c>
      <c r="C241" t="s">
        <v>248</v>
      </c>
    </row>
    <row r="242" spans="1:3" x14ac:dyDescent="0.35">
      <c r="A242" s="85">
        <v>241</v>
      </c>
      <c r="B242" t="s">
        <v>226</v>
      </c>
      <c r="C242" t="s">
        <v>250</v>
      </c>
    </row>
    <row r="243" spans="1:3" x14ac:dyDescent="0.35">
      <c r="A243" s="85">
        <v>242</v>
      </c>
      <c r="B243" t="s">
        <v>228</v>
      </c>
      <c r="C243" t="s">
        <v>250</v>
      </c>
    </row>
    <row r="244" spans="1:3" x14ac:dyDescent="0.35">
      <c r="A244" s="85">
        <v>243</v>
      </c>
      <c r="B244" t="s">
        <v>230</v>
      </c>
      <c r="C244" t="s">
        <v>250</v>
      </c>
    </row>
    <row r="245" spans="1:3" x14ac:dyDescent="0.35">
      <c r="A245" s="85">
        <v>244</v>
      </c>
      <c r="B245" t="s">
        <v>232</v>
      </c>
      <c r="C245" t="s">
        <v>250</v>
      </c>
    </row>
    <row r="246" spans="1:3" x14ac:dyDescent="0.35">
      <c r="A246" s="85">
        <v>245</v>
      </c>
      <c r="B246" t="s">
        <v>226</v>
      </c>
      <c r="C246" t="s">
        <v>252</v>
      </c>
    </row>
    <row r="247" spans="1:3" x14ac:dyDescent="0.35">
      <c r="A247" s="85">
        <v>246</v>
      </c>
      <c r="B247" t="s">
        <v>228</v>
      </c>
      <c r="C247" t="s">
        <v>252</v>
      </c>
    </row>
    <row r="248" spans="1:3" x14ac:dyDescent="0.35">
      <c r="A248" s="85">
        <v>247</v>
      </c>
      <c r="B248" t="s">
        <v>230</v>
      </c>
      <c r="C248" t="s">
        <v>252</v>
      </c>
    </row>
    <row r="249" spans="1:3" x14ac:dyDescent="0.35">
      <c r="A249" s="85">
        <v>248</v>
      </c>
      <c r="B249" t="s">
        <v>232</v>
      </c>
      <c r="C249" t="s">
        <v>252</v>
      </c>
    </row>
    <row r="250" spans="1:3" x14ac:dyDescent="0.35">
      <c r="A250" s="85">
        <v>249</v>
      </c>
      <c r="B250" t="s">
        <v>226</v>
      </c>
      <c r="C250" t="s">
        <v>254</v>
      </c>
    </row>
    <row r="251" spans="1:3" x14ac:dyDescent="0.35">
      <c r="A251" s="85">
        <v>250</v>
      </c>
      <c r="B251" t="s">
        <v>228</v>
      </c>
      <c r="C251" t="s">
        <v>254</v>
      </c>
    </row>
    <row r="252" spans="1:3" x14ac:dyDescent="0.35">
      <c r="A252" s="85">
        <v>251</v>
      </c>
      <c r="B252" t="s">
        <v>230</v>
      </c>
      <c r="C252" t="s">
        <v>254</v>
      </c>
    </row>
    <row r="253" spans="1:3" x14ac:dyDescent="0.35">
      <c r="A253" s="85">
        <v>252</v>
      </c>
      <c r="B253" t="s">
        <v>232</v>
      </c>
      <c r="C253" t="s">
        <v>254</v>
      </c>
    </row>
    <row r="254" spans="1:3" x14ac:dyDescent="0.35">
      <c r="A254" s="85">
        <v>253</v>
      </c>
      <c r="B254" t="s">
        <v>226</v>
      </c>
      <c r="C254" t="s">
        <v>256</v>
      </c>
    </row>
    <row r="255" spans="1:3" x14ac:dyDescent="0.35">
      <c r="A255" s="85">
        <v>254</v>
      </c>
      <c r="B255" t="s">
        <v>228</v>
      </c>
      <c r="C255" t="s">
        <v>256</v>
      </c>
    </row>
    <row r="256" spans="1:3" x14ac:dyDescent="0.35">
      <c r="A256" s="85">
        <v>255</v>
      </c>
      <c r="B256" t="s">
        <v>230</v>
      </c>
      <c r="C256" t="s">
        <v>256</v>
      </c>
    </row>
    <row r="257" spans="1:3" x14ac:dyDescent="0.35">
      <c r="A257" s="85">
        <v>256</v>
      </c>
      <c r="B257" t="s">
        <v>232</v>
      </c>
      <c r="C257" t="s">
        <v>256</v>
      </c>
    </row>
    <row r="258" spans="1:3" x14ac:dyDescent="0.35">
      <c r="A258" s="85">
        <v>257</v>
      </c>
      <c r="B258" t="s">
        <v>234</v>
      </c>
      <c r="C258" t="s">
        <v>155</v>
      </c>
    </row>
    <row r="259" spans="1:3" x14ac:dyDescent="0.35">
      <c r="A259" s="85">
        <v>258</v>
      </c>
      <c r="B259" t="s">
        <v>236</v>
      </c>
      <c r="C259" t="s">
        <v>155</v>
      </c>
    </row>
    <row r="260" spans="1:3" x14ac:dyDescent="0.35">
      <c r="A260" s="85">
        <v>259</v>
      </c>
      <c r="B260" t="s">
        <v>238</v>
      </c>
      <c r="C260" t="s">
        <v>155</v>
      </c>
    </row>
    <row r="261" spans="1:3" x14ac:dyDescent="0.35">
      <c r="A261" s="85">
        <v>260</v>
      </c>
      <c r="B261" t="s">
        <v>240</v>
      </c>
      <c r="C261" t="s">
        <v>155</v>
      </c>
    </row>
    <row r="262" spans="1:3" x14ac:dyDescent="0.35">
      <c r="A262" s="85">
        <v>261</v>
      </c>
      <c r="B262" t="s">
        <v>234</v>
      </c>
      <c r="C262" t="s">
        <v>244</v>
      </c>
    </row>
    <row r="263" spans="1:3" x14ac:dyDescent="0.35">
      <c r="A263" s="85">
        <v>262</v>
      </c>
      <c r="B263" t="s">
        <v>236</v>
      </c>
      <c r="C263" t="s">
        <v>244</v>
      </c>
    </row>
    <row r="264" spans="1:3" x14ac:dyDescent="0.35">
      <c r="A264" s="85">
        <v>263</v>
      </c>
      <c r="B264" t="s">
        <v>238</v>
      </c>
      <c r="C264" t="s">
        <v>244</v>
      </c>
    </row>
    <row r="265" spans="1:3" x14ac:dyDescent="0.35">
      <c r="A265" s="85">
        <v>264</v>
      </c>
      <c r="B265" t="s">
        <v>240</v>
      </c>
      <c r="C265" t="s">
        <v>244</v>
      </c>
    </row>
    <row r="266" spans="1:3" x14ac:dyDescent="0.35">
      <c r="A266" s="85">
        <v>265</v>
      </c>
      <c r="B266" t="s">
        <v>234</v>
      </c>
      <c r="C266" t="s">
        <v>246</v>
      </c>
    </row>
    <row r="267" spans="1:3" x14ac:dyDescent="0.35">
      <c r="A267" s="85">
        <v>266</v>
      </c>
      <c r="B267" t="s">
        <v>236</v>
      </c>
      <c r="C267" t="s">
        <v>246</v>
      </c>
    </row>
    <row r="268" spans="1:3" x14ac:dyDescent="0.35">
      <c r="A268" s="85">
        <v>267</v>
      </c>
      <c r="B268" t="s">
        <v>238</v>
      </c>
      <c r="C268" t="s">
        <v>246</v>
      </c>
    </row>
    <row r="269" spans="1:3" x14ac:dyDescent="0.35">
      <c r="A269" s="85">
        <v>268</v>
      </c>
      <c r="B269" t="s">
        <v>240</v>
      </c>
      <c r="C269" t="s">
        <v>246</v>
      </c>
    </row>
    <row r="270" spans="1:3" x14ac:dyDescent="0.35">
      <c r="A270" s="85">
        <v>269</v>
      </c>
      <c r="B270" t="s">
        <v>234</v>
      </c>
      <c r="C270" t="s">
        <v>248</v>
      </c>
    </row>
    <row r="271" spans="1:3" x14ac:dyDescent="0.35">
      <c r="A271" s="85">
        <v>270</v>
      </c>
      <c r="B271" t="s">
        <v>236</v>
      </c>
      <c r="C271" t="s">
        <v>248</v>
      </c>
    </row>
    <row r="272" spans="1:3" x14ac:dyDescent="0.35">
      <c r="A272" s="85">
        <v>271</v>
      </c>
      <c r="B272" t="s">
        <v>238</v>
      </c>
      <c r="C272" t="s">
        <v>248</v>
      </c>
    </row>
    <row r="273" spans="1:3" x14ac:dyDescent="0.35">
      <c r="A273" s="85">
        <v>272</v>
      </c>
      <c r="B273" t="s">
        <v>240</v>
      </c>
      <c r="C273" t="s">
        <v>248</v>
      </c>
    </row>
    <row r="274" spans="1:3" x14ac:dyDescent="0.35">
      <c r="A274" s="85">
        <v>273</v>
      </c>
      <c r="B274" t="s">
        <v>234</v>
      </c>
      <c r="C274" t="s">
        <v>250</v>
      </c>
    </row>
    <row r="275" spans="1:3" x14ac:dyDescent="0.35">
      <c r="A275" s="85">
        <v>274</v>
      </c>
      <c r="B275" t="s">
        <v>236</v>
      </c>
      <c r="C275" t="s">
        <v>250</v>
      </c>
    </row>
    <row r="276" spans="1:3" x14ac:dyDescent="0.35">
      <c r="A276" s="85">
        <v>275</v>
      </c>
      <c r="B276" t="s">
        <v>238</v>
      </c>
      <c r="C276" t="s">
        <v>250</v>
      </c>
    </row>
    <row r="277" spans="1:3" x14ac:dyDescent="0.35">
      <c r="A277" s="85">
        <v>276</v>
      </c>
      <c r="B277" t="s">
        <v>240</v>
      </c>
      <c r="C277" t="s">
        <v>250</v>
      </c>
    </row>
    <row r="278" spans="1:3" x14ac:dyDescent="0.35">
      <c r="A278" s="85">
        <v>277</v>
      </c>
      <c r="B278" t="s">
        <v>234</v>
      </c>
      <c r="C278" t="s">
        <v>252</v>
      </c>
    </row>
    <row r="279" spans="1:3" x14ac:dyDescent="0.35">
      <c r="A279" s="85">
        <v>278</v>
      </c>
      <c r="B279" t="s">
        <v>236</v>
      </c>
      <c r="C279" t="s">
        <v>252</v>
      </c>
    </row>
    <row r="280" spans="1:3" x14ac:dyDescent="0.35">
      <c r="A280" s="85">
        <v>279</v>
      </c>
      <c r="B280" t="s">
        <v>238</v>
      </c>
      <c r="C280" t="s">
        <v>252</v>
      </c>
    </row>
    <row r="281" spans="1:3" x14ac:dyDescent="0.35">
      <c r="A281" s="85">
        <v>280</v>
      </c>
      <c r="B281" t="s">
        <v>240</v>
      </c>
      <c r="C281" t="s">
        <v>252</v>
      </c>
    </row>
    <row r="282" spans="1:3" x14ac:dyDescent="0.35">
      <c r="A282" s="85">
        <v>281</v>
      </c>
      <c r="B282" t="s">
        <v>234</v>
      </c>
      <c r="C282" t="s">
        <v>254</v>
      </c>
    </row>
    <row r="283" spans="1:3" x14ac:dyDescent="0.35">
      <c r="A283" s="85">
        <v>282</v>
      </c>
      <c r="B283" t="s">
        <v>236</v>
      </c>
      <c r="C283" t="s">
        <v>254</v>
      </c>
    </row>
    <row r="284" spans="1:3" x14ac:dyDescent="0.35">
      <c r="A284" s="85">
        <v>283</v>
      </c>
      <c r="B284" t="s">
        <v>238</v>
      </c>
      <c r="C284" t="s">
        <v>254</v>
      </c>
    </row>
    <row r="285" spans="1:3" x14ac:dyDescent="0.35">
      <c r="A285" s="85">
        <v>284</v>
      </c>
      <c r="B285" t="s">
        <v>240</v>
      </c>
      <c r="C285" t="s">
        <v>254</v>
      </c>
    </row>
    <row r="286" spans="1:3" x14ac:dyDescent="0.35">
      <c r="A286" s="85">
        <v>285</v>
      </c>
      <c r="B286" t="s">
        <v>234</v>
      </c>
      <c r="C286" t="s">
        <v>256</v>
      </c>
    </row>
    <row r="287" spans="1:3" x14ac:dyDescent="0.35">
      <c r="A287" s="85">
        <v>286</v>
      </c>
      <c r="B287" t="s">
        <v>236</v>
      </c>
      <c r="C287" t="s">
        <v>256</v>
      </c>
    </row>
    <row r="288" spans="1:3" x14ac:dyDescent="0.35">
      <c r="A288" s="85">
        <v>287</v>
      </c>
      <c r="B288" t="s">
        <v>238</v>
      </c>
      <c r="C288" t="s">
        <v>256</v>
      </c>
    </row>
    <row r="289" spans="1:3" x14ac:dyDescent="0.35">
      <c r="A289" s="85">
        <v>288</v>
      </c>
      <c r="B289" t="s">
        <v>240</v>
      </c>
      <c r="C289" t="s">
        <v>256</v>
      </c>
    </row>
    <row r="290" spans="1:3" x14ac:dyDescent="0.35">
      <c r="A290" s="85">
        <v>289</v>
      </c>
      <c r="B290" t="s">
        <v>150</v>
      </c>
      <c r="C290" t="s">
        <v>258</v>
      </c>
    </row>
    <row r="291" spans="1:3" x14ac:dyDescent="0.35">
      <c r="A291" s="85">
        <v>290</v>
      </c>
      <c r="B291" t="s">
        <v>196</v>
      </c>
      <c r="C291" t="s">
        <v>258</v>
      </c>
    </row>
    <row r="292" spans="1:3" x14ac:dyDescent="0.35">
      <c r="A292" s="85">
        <v>291</v>
      </c>
      <c r="B292" t="s">
        <v>198</v>
      </c>
      <c r="C292" t="s">
        <v>258</v>
      </c>
    </row>
    <row r="293" spans="1:3" x14ac:dyDescent="0.35">
      <c r="A293" s="85">
        <v>292</v>
      </c>
      <c r="B293" t="s">
        <v>200</v>
      </c>
      <c r="C293" t="s">
        <v>258</v>
      </c>
    </row>
    <row r="294" spans="1:3" x14ac:dyDescent="0.35">
      <c r="A294" s="85">
        <v>293</v>
      </c>
      <c r="B294" t="s">
        <v>150</v>
      </c>
      <c r="C294" t="s">
        <v>260</v>
      </c>
    </row>
    <row r="295" spans="1:3" x14ac:dyDescent="0.35">
      <c r="A295" s="85">
        <v>294</v>
      </c>
      <c r="B295" t="s">
        <v>196</v>
      </c>
      <c r="C295" t="s">
        <v>260</v>
      </c>
    </row>
    <row r="296" spans="1:3" x14ac:dyDescent="0.35">
      <c r="A296" s="85">
        <v>295</v>
      </c>
      <c r="B296" t="s">
        <v>198</v>
      </c>
      <c r="C296" t="s">
        <v>260</v>
      </c>
    </row>
    <row r="297" spans="1:3" x14ac:dyDescent="0.35">
      <c r="A297" s="85">
        <v>296</v>
      </c>
      <c r="B297" t="s">
        <v>200</v>
      </c>
      <c r="C297" t="s">
        <v>260</v>
      </c>
    </row>
    <row r="298" spans="1:3" x14ac:dyDescent="0.35">
      <c r="A298" s="85">
        <v>297</v>
      </c>
      <c r="B298" t="s">
        <v>150</v>
      </c>
      <c r="C298" t="s">
        <v>262</v>
      </c>
    </row>
    <row r="299" spans="1:3" x14ac:dyDescent="0.35">
      <c r="A299" s="85">
        <v>298</v>
      </c>
      <c r="B299" t="s">
        <v>196</v>
      </c>
      <c r="C299" t="s">
        <v>262</v>
      </c>
    </row>
    <row r="300" spans="1:3" x14ac:dyDescent="0.35">
      <c r="A300" s="85">
        <v>299</v>
      </c>
      <c r="B300" t="s">
        <v>198</v>
      </c>
      <c r="C300" t="s">
        <v>262</v>
      </c>
    </row>
    <row r="301" spans="1:3" x14ac:dyDescent="0.35">
      <c r="A301" s="85">
        <v>300</v>
      </c>
      <c r="B301" t="s">
        <v>200</v>
      </c>
      <c r="C301" t="s">
        <v>262</v>
      </c>
    </row>
    <row r="302" spans="1:3" x14ac:dyDescent="0.35">
      <c r="A302" s="85">
        <v>301</v>
      </c>
      <c r="B302" t="s">
        <v>150</v>
      </c>
      <c r="C302" t="s">
        <v>264</v>
      </c>
    </row>
    <row r="303" spans="1:3" x14ac:dyDescent="0.35">
      <c r="A303" s="85">
        <v>302</v>
      </c>
      <c r="B303" t="s">
        <v>196</v>
      </c>
      <c r="C303" t="s">
        <v>264</v>
      </c>
    </row>
    <row r="304" spans="1:3" x14ac:dyDescent="0.35">
      <c r="A304" s="85">
        <v>303</v>
      </c>
      <c r="B304" t="s">
        <v>198</v>
      </c>
      <c r="C304" t="s">
        <v>264</v>
      </c>
    </row>
    <row r="305" spans="1:3" x14ac:dyDescent="0.35">
      <c r="A305" s="85">
        <v>304</v>
      </c>
      <c r="B305" t="s">
        <v>200</v>
      </c>
      <c r="C305" t="s">
        <v>264</v>
      </c>
    </row>
    <row r="306" spans="1:3" x14ac:dyDescent="0.35">
      <c r="A306" s="85">
        <v>305</v>
      </c>
      <c r="B306" t="s">
        <v>150</v>
      </c>
      <c r="C306" t="s">
        <v>266</v>
      </c>
    </row>
    <row r="307" spans="1:3" x14ac:dyDescent="0.35">
      <c r="A307" s="85">
        <v>306</v>
      </c>
      <c r="B307" t="s">
        <v>196</v>
      </c>
      <c r="C307" t="s">
        <v>266</v>
      </c>
    </row>
    <row r="308" spans="1:3" x14ac:dyDescent="0.35">
      <c r="A308" s="85">
        <v>307</v>
      </c>
      <c r="B308" t="s">
        <v>198</v>
      </c>
      <c r="C308" t="s">
        <v>266</v>
      </c>
    </row>
    <row r="309" spans="1:3" x14ac:dyDescent="0.35">
      <c r="A309" s="85">
        <v>308</v>
      </c>
      <c r="B309" t="s">
        <v>200</v>
      </c>
      <c r="C309" t="s">
        <v>266</v>
      </c>
    </row>
    <row r="310" spans="1:3" x14ac:dyDescent="0.35">
      <c r="A310" s="85">
        <v>309</v>
      </c>
      <c r="B310" t="s">
        <v>150</v>
      </c>
      <c r="C310" t="s">
        <v>268</v>
      </c>
    </row>
    <row r="311" spans="1:3" x14ac:dyDescent="0.35">
      <c r="A311" s="85">
        <v>310</v>
      </c>
      <c r="B311" t="s">
        <v>196</v>
      </c>
      <c r="C311" t="s">
        <v>268</v>
      </c>
    </row>
    <row r="312" spans="1:3" x14ac:dyDescent="0.35">
      <c r="A312" s="85">
        <v>311</v>
      </c>
      <c r="B312" t="s">
        <v>198</v>
      </c>
      <c r="C312" t="s">
        <v>268</v>
      </c>
    </row>
    <row r="313" spans="1:3" x14ac:dyDescent="0.35">
      <c r="A313" s="85">
        <v>312</v>
      </c>
      <c r="B313" t="s">
        <v>200</v>
      </c>
      <c r="C313" t="s">
        <v>268</v>
      </c>
    </row>
    <row r="314" spans="1:3" x14ac:dyDescent="0.35">
      <c r="A314" s="85">
        <v>313</v>
      </c>
      <c r="B314" t="s">
        <v>150</v>
      </c>
      <c r="C314" t="s">
        <v>270</v>
      </c>
    </row>
    <row r="315" spans="1:3" x14ac:dyDescent="0.35">
      <c r="A315" s="85">
        <v>314</v>
      </c>
      <c r="B315" t="s">
        <v>196</v>
      </c>
      <c r="C315" t="s">
        <v>270</v>
      </c>
    </row>
    <row r="316" spans="1:3" x14ac:dyDescent="0.35">
      <c r="A316" s="85">
        <v>315</v>
      </c>
      <c r="B316" t="s">
        <v>198</v>
      </c>
      <c r="C316" t="s">
        <v>270</v>
      </c>
    </row>
    <row r="317" spans="1:3" x14ac:dyDescent="0.35">
      <c r="A317" s="85">
        <v>316</v>
      </c>
      <c r="B317" t="s">
        <v>200</v>
      </c>
      <c r="C317" t="s">
        <v>270</v>
      </c>
    </row>
    <row r="318" spans="1:3" x14ac:dyDescent="0.35">
      <c r="A318" s="85">
        <v>317</v>
      </c>
      <c r="B318" t="s">
        <v>150</v>
      </c>
      <c r="C318" t="s">
        <v>272</v>
      </c>
    </row>
    <row r="319" spans="1:3" x14ac:dyDescent="0.35">
      <c r="A319" s="85">
        <v>318</v>
      </c>
      <c r="B319" t="s">
        <v>196</v>
      </c>
      <c r="C319" t="s">
        <v>272</v>
      </c>
    </row>
    <row r="320" spans="1:3" x14ac:dyDescent="0.35">
      <c r="A320" s="85">
        <v>319</v>
      </c>
      <c r="B320" t="s">
        <v>198</v>
      </c>
      <c r="C320" t="s">
        <v>272</v>
      </c>
    </row>
    <row r="321" spans="1:3" x14ac:dyDescent="0.35">
      <c r="A321" s="85">
        <v>320</v>
      </c>
      <c r="B321" t="s">
        <v>200</v>
      </c>
      <c r="C321" t="s">
        <v>272</v>
      </c>
    </row>
    <row r="322" spans="1:3" x14ac:dyDescent="0.35">
      <c r="A322" s="85">
        <v>321</v>
      </c>
      <c r="B322" t="s">
        <v>202</v>
      </c>
      <c r="C322" t="s">
        <v>258</v>
      </c>
    </row>
    <row r="323" spans="1:3" x14ac:dyDescent="0.35">
      <c r="A323" s="85">
        <v>322</v>
      </c>
      <c r="B323" t="s">
        <v>204</v>
      </c>
      <c r="C323" t="s">
        <v>258</v>
      </c>
    </row>
    <row r="324" spans="1:3" x14ac:dyDescent="0.35">
      <c r="A324" s="85">
        <v>323</v>
      </c>
      <c r="B324" t="s">
        <v>206</v>
      </c>
      <c r="C324" t="s">
        <v>258</v>
      </c>
    </row>
    <row r="325" spans="1:3" x14ac:dyDescent="0.35">
      <c r="A325" s="85">
        <v>324</v>
      </c>
      <c r="B325" t="s">
        <v>208</v>
      </c>
      <c r="C325" t="s">
        <v>258</v>
      </c>
    </row>
    <row r="326" spans="1:3" x14ac:dyDescent="0.35">
      <c r="A326" s="85">
        <v>325</v>
      </c>
      <c r="B326" t="s">
        <v>202</v>
      </c>
      <c r="C326" t="s">
        <v>260</v>
      </c>
    </row>
    <row r="327" spans="1:3" x14ac:dyDescent="0.35">
      <c r="A327" s="85">
        <v>326</v>
      </c>
      <c r="B327" t="s">
        <v>204</v>
      </c>
      <c r="C327" t="s">
        <v>260</v>
      </c>
    </row>
    <row r="328" spans="1:3" x14ac:dyDescent="0.35">
      <c r="A328" s="85">
        <v>327</v>
      </c>
      <c r="B328" t="s">
        <v>206</v>
      </c>
      <c r="C328" t="s">
        <v>260</v>
      </c>
    </row>
    <row r="329" spans="1:3" x14ac:dyDescent="0.35">
      <c r="A329" s="85">
        <v>328</v>
      </c>
      <c r="B329" t="s">
        <v>208</v>
      </c>
      <c r="C329" t="s">
        <v>260</v>
      </c>
    </row>
    <row r="330" spans="1:3" x14ac:dyDescent="0.35">
      <c r="A330" s="85">
        <v>329</v>
      </c>
      <c r="B330" t="s">
        <v>202</v>
      </c>
      <c r="C330" t="s">
        <v>262</v>
      </c>
    </row>
    <row r="331" spans="1:3" x14ac:dyDescent="0.35">
      <c r="A331" s="85">
        <v>330</v>
      </c>
      <c r="B331" t="s">
        <v>204</v>
      </c>
      <c r="C331" t="s">
        <v>262</v>
      </c>
    </row>
    <row r="332" spans="1:3" x14ac:dyDescent="0.35">
      <c r="A332" s="85">
        <v>331</v>
      </c>
      <c r="B332" t="s">
        <v>206</v>
      </c>
      <c r="C332" t="s">
        <v>262</v>
      </c>
    </row>
    <row r="333" spans="1:3" x14ac:dyDescent="0.35">
      <c r="A333" s="85">
        <v>332</v>
      </c>
      <c r="B333" t="s">
        <v>208</v>
      </c>
      <c r="C333" t="s">
        <v>262</v>
      </c>
    </row>
    <row r="334" spans="1:3" x14ac:dyDescent="0.35">
      <c r="A334" s="85">
        <v>333</v>
      </c>
      <c r="B334" t="s">
        <v>202</v>
      </c>
      <c r="C334" t="s">
        <v>264</v>
      </c>
    </row>
    <row r="335" spans="1:3" x14ac:dyDescent="0.35">
      <c r="A335" s="85">
        <v>334</v>
      </c>
      <c r="B335" t="s">
        <v>204</v>
      </c>
      <c r="C335" t="s">
        <v>264</v>
      </c>
    </row>
    <row r="336" spans="1:3" x14ac:dyDescent="0.35">
      <c r="A336" s="85">
        <v>335</v>
      </c>
      <c r="B336" t="s">
        <v>206</v>
      </c>
      <c r="C336" t="s">
        <v>264</v>
      </c>
    </row>
    <row r="337" spans="1:3" x14ac:dyDescent="0.35">
      <c r="A337" s="85">
        <v>336</v>
      </c>
      <c r="B337" t="s">
        <v>208</v>
      </c>
      <c r="C337" t="s">
        <v>264</v>
      </c>
    </row>
    <row r="338" spans="1:3" x14ac:dyDescent="0.35">
      <c r="A338" s="85">
        <v>337</v>
      </c>
      <c r="B338" t="s">
        <v>202</v>
      </c>
      <c r="C338" t="s">
        <v>266</v>
      </c>
    </row>
    <row r="339" spans="1:3" x14ac:dyDescent="0.35">
      <c r="A339" s="85">
        <v>338</v>
      </c>
      <c r="B339" t="s">
        <v>204</v>
      </c>
      <c r="C339" t="s">
        <v>266</v>
      </c>
    </row>
    <row r="340" spans="1:3" x14ac:dyDescent="0.35">
      <c r="A340" s="85">
        <v>339</v>
      </c>
      <c r="B340" t="s">
        <v>206</v>
      </c>
      <c r="C340" t="s">
        <v>266</v>
      </c>
    </row>
    <row r="341" spans="1:3" x14ac:dyDescent="0.35">
      <c r="A341" s="85">
        <v>340</v>
      </c>
      <c r="B341" t="s">
        <v>208</v>
      </c>
      <c r="C341" t="s">
        <v>266</v>
      </c>
    </row>
    <row r="342" spans="1:3" x14ac:dyDescent="0.35">
      <c r="A342" s="85">
        <v>341</v>
      </c>
      <c r="B342" t="s">
        <v>202</v>
      </c>
      <c r="C342" t="s">
        <v>268</v>
      </c>
    </row>
    <row r="343" spans="1:3" x14ac:dyDescent="0.35">
      <c r="A343" s="85">
        <v>342</v>
      </c>
      <c r="B343" t="s">
        <v>204</v>
      </c>
      <c r="C343" t="s">
        <v>268</v>
      </c>
    </row>
    <row r="344" spans="1:3" x14ac:dyDescent="0.35">
      <c r="A344" s="85">
        <v>343</v>
      </c>
      <c r="B344" t="s">
        <v>206</v>
      </c>
      <c r="C344" t="s">
        <v>268</v>
      </c>
    </row>
    <row r="345" spans="1:3" x14ac:dyDescent="0.35">
      <c r="A345" s="85">
        <v>344</v>
      </c>
      <c r="B345" t="s">
        <v>208</v>
      </c>
      <c r="C345" t="s">
        <v>268</v>
      </c>
    </row>
    <row r="346" spans="1:3" x14ac:dyDescent="0.35">
      <c r="A346" s="85">
        <v>345</v>
      </c>
      <c r="B346" t="s">
        <v>202</v>
      </c>
      <c r="C346" t="s">
        <v>270</v>
      </c>
    </row>
    <row r="347" spans="1:3" x14ac:dyDescent="0.35">
      <c r="A347" s="85">
        <v>346</v>
      </c>
      <c r="B347" t="s">
        <v>204</v>
      </c>
      <c r="C347" t="s">
        <v>270</v>
      </c>
    </row>
    <row r="348" spans="1:3" x14ac:dyDescent="0.35">
      <c r="A348" s="85">
        <v>347</v>
      </c>
      <c r="B348" t="s">
        <v>206</v>
      </c>
      <c r="C348" t="s">
        <v>270</v>
      </c>
    </row>
    <row r="349" spans="1:3" x14ac:dyDescent="0.35">
      <c r="A349" s="85">
        <v>348</v>
      </c>
      <c r="B349" t="s">
        <v>208</v>
      </c>
      <c r="C349" t="s">
        <v>270</v>
      </c>
    </row>
    <row r="350" spans="1:3" x14ac:dyDescent="0.35">
      <c r="A350" s="85">
        <v>349</v>
      </c>
      <c r="B350" t="s">
        <v>202</v>
      </c>
      <c r="C350" t="s">
        <v>272</v>
      </c>
    </row>
    <row r="351" spans="1:3" x14ac:dyDescent="0.35">
      <c r="A351" s="85">
        <v>350</v>
      </c>
      <c r="B351" t="s">
        <v>204</v>
      </c>
      <c r="C351" t="s">
        <v>272</v>
      </c>
    </row>
    <row r="352" spans="1:3" x14ac:dyDescent="0.35">
      <c r="A352" s="85">
        <v>351</v>
      </c>
      <c r="B352" t="s">
        <v>206</v>
      </c>
      <c r="C352" t="s">
        <v>272</v>
      </c>
    </row>
    <row r="353" spans="1:3" x14ac:dyDescent="0.35">
      <c r="A353" s="85">
        <v>352</v>
      </c>
      <c r="B353" t="s">
        <v>208</v>
      </c>
      <c r="C353" t="s">
        <v>272</v>
      </c>
    </row>
    <row r="354" spans="1:3" x14ac:dyDescent="0.35">
      <c r="A354" s="85">
        <v>353</v>
      </c>
      <c r="B354" t="s">
        <v>210</v>
      </c>
      <c r="C354" t="s">
        <v>258</v>
      </c>
    </row>
    <row r="355" spans="1:3" x14ac:dyDescent="0.35">
      <c r="A355" s="85">
        <v>354</v>
      </c>
      <c r="B355" t="s">
        <v>212</v>
      </c>
      <c r="C355" t="s">
        <v>258</v>
      </c>
    </row>
    <row r="356" spans="1:3" x14ac:dyDescent="0.35">
      <c r="A356" s="85">
        <v>355</v>
      </c>
      <c r="B356" t="s">
        <v>214</v>
      </c>
      <c r="C356" t="s">
        <v>258</v>
      </c>
    </row>
    <row r="357" spans="1:3" x14ac:dyDescent="0.35">
      <c r="A357" s="85">
        <v>356</v>
      </c>
      <c r="B357" t="s">
        <v>216</v>
      </c>
      <c r="C357" t="s">
        <v>258</v>
      </c>
    </row>
    <row r="358" spans="1:3" x14ac:dyDescent="0.35">
      <c r="A358" s="85">
        <v>357</v>
      </c>
      <c r="B358" t="s">
        <v>210</v>
      </c>
      <c r="C358" t="s">
        <v>260</v>
      </c>
    </row>
    <row r="359" spans="1:3" x14ac:dyDescent="0.35">
      <c r="A359" s="85">
        <v>358</v>
      </c>
      <c r="B359" t="s">
        <v>212</v>
      </c>
      <c r="C359" t="s">
        <v>260</v>
      </c>
    </row>
    <row r="360" spans="1:3" x14ac:dyDescent="0.35">
      <c r="A360" s="85">
        <v>359</v>
      </c>
      <c r="B360" t="s">
        <v>214</v>
      </c>
      <c r="C360" t="s">
        <v>260</v>
      </c>
    </row>
    <row r="361" spans="1:3" x14ac:dyDescent="0.35">
      <c r="A361" s="85">
        <v>360</v>
      </c>
      <c r="B361" t="s">
        <v>216</v>
      </c>
      <c r="C361" t="s">
        <v>260</v>
      </c>
    </row>
    <row r="362" spans="1:3" x14ac:dyDescent="0.35">
      <c r="A362" s="85">
        <v>361</v>
      </c>
      <c r="B362" t="s">
        <v>210</v>
      </c>
      <c r="C362" t="s">
        <v>262</v>
      </c>
    </row>
    <row r="363" spans="1:3" x14ac:dyDescent="0.35">
      <c r="A363" s="85">
        <v>362</v>
      </c>
      <c r="B363" t="s">
        <v>212</v>
      </c>
      <c r="C363" t="s">
        <v>262</v>
      </c>
    </row>
    <row r="364" spans="1:3" x14ac:dyDescent="0.35">
      <c r="A364" s="85">
        <v>363</v>
      </c>
      <c r="B364" t="s">
        <v>214</v>
      </c>
      <c r="C364" t="s">
        <v>262</v>
      </c>
    </row>
    <row r="365" spans="1:3" x14ac:dyDescent="0.35">
      <c r="A365" s="85">
        <v>364</v>
      </c>
      <c r="B365" t="s">
        <v>216</v>
      </c>
      <c r="C365" t="s">
        <v>262</v>
      </c>
    </row>
    <row r="366" spans="1:3" x14ac:dyDescent="0.35">
      <c r="A366" s="85">
        <v>365</v>
      </c>
      <c r="B366" t="s">
        <v>210</v>
      </c>
      <c r="C366" t="s">
        <v>264</v>
      </c>
    </row>
    <row r="367" spans="1:3" x14ac:dyDescent="0.35">
      <c r="A367" s="85">
        <v>366</v>
      </c>
      <c r="B367" t="s">
        <v>212</v>
      </c>
      <c r="C367" t="s">
        <v>264</v>
      </c>
    </row>
    <row r="368" spans="1:3" x14ac:dyDescent="0.35">
      <c r="A368" s="85">
        <v>367</v>
      </c>
      <c r="B368" t="s">
        <v>214</v>
      </c>
      <c r="C368" t="s">
        <v>264</v>
      </c>
    </row>
    <row r="369" spans="1:3" x14ac:dyDescent="0.35">
      <c r="A369" s="85">
        <v>368</v>
      </c>
      <c r="B369" t="s">
        <v>216</v>
      </c>
      <c r="C369" t="s">
        <v>264</v>
      </c>
    </row>
    <row r="370" spans="1:3" x14ac:dyDescent="0.35">
      <c r="A370" s="85">
        <v>369</v>
      </c>
      <c r="B370" t="s">
        <v>210</v>
      </c>
      <c r="C370" t="s">
        <v>266</v>
      </c>
    </row>
    <row r="371" spans="1:3" x14ac:dyDescent="0.35">
      <c r="A371" s="85">
        <v>370</v>
      </c>
      <c r="B371" t="s">
        <v>212</v>
      </c>
      <c r="C371" t="s">
        <v>266</v>
      </c>
    </row>
    <row r="372" spans="1:3" x14ac:dyDescent="0.35">
      <c r="A372" s="85">
        <v>371</v>
      </c>
      <c r="B372" t="s">
        <v>214</v>
      </c>
      <c r="C372" t="s">
        <v>266</v>
      </c>
    </row>
    <row r="373" spans="1:3" x14ac:dyDescent="0.35">
      <c r="A373" s="85">
        <v>372</v>
      </c>
      <c r="B373" t="s">
        <v>216</v>
      </c>
      <c r="C373" t="s">
        <v>266</v>
      </c>
    </row>
    <row r="374" spans="1:3" x14ac:dyDescent="0.35">
      <c r="A374" s="85">
        <v>373</v>
      </c>
      <c r="B374" t="s">
        <v>210</v>
      </c>
      <c r="C374" t="s">
        <v>268</v>
      </c>
    </row>
    <row r="375" spans="1:3" x14ac:dyDescent="0.35">
      <c r="A375" s="85">
        <v>374</v>
      </c>
      <c r="B375" t="s">
        <v>212</v>
      </c>
      <c r="C375" t="s">
        <v>268</v>
      </c>
    </row>
    <row r="376" spans="1:3" x14ac:dyDescent="0.35">
      <c r="A376" s="85">
        <v>375</v>
      </c>
      <c r="B376" t="s">
        <v>214</v>
      </c>
      <c r="C376" t="s">
        <v>268</v>
      </c>
    </row>
    <row r="377" spans="1:3" x14ac:dyDescent="0.35">
      <c r="A377" s="85">
        <v>376</v>
      </c>
      <c r="B377" t="s">
        <v>216</v>
      </c>
      <c r="C377" t="s">
        <v>268</v>
      </c>
    </row>
    <row r="378" spans="1:3" x14ac:dyDescent="0.35">
      <c r="A378" s="85">
        <v>377</v>
      </c>
      <c r="B378" t="s">
        <v>210</v>
      </c>
      <c r="C378" t="s">
        <v>270</v>
      </c>
    </row>
    <row r="379" spans="1:3" x14ac:dyDescent="0.35">
      <c r="A379" s="85">
        <v>378</v>
      </c>
      <c r="B379" t="s">
        <v>212</v>
      </c>
      <c r="C379" t="s">
        <v>270</v>
      </c>
    </row>
    <row r="380" spans="1:3" x14ac:dyDescent="0.35">
      <c r="A380" s="85">
        <v>379</v>
      </c>
      <c r="B380" t="s">
        <v>214</v>
      </c>
      <c r="C380" t="s">
        <v>270</v>
      </c>
    </row>
    <row r="381" spans="1:3" x14ac:dyDescent="0.35">
      <c r="A381" s="85">
        <v>380</v>
      </c>
      <c r="B381" t="s">
        <v>216</v>
      </c>
      <c r="C381" t="s">
        <v>270</v>
      </c>
    </row>
    <row r="382" spans="1:3" x14ac:dyDescent="0.35">
      <c r="A382" s="85">
        <v>381</v>
      </c>
      <c r="B382" t="s">
        <v>210</v>
      </c>
      <c r="C382" t="s">
        <v>272</v>
      </c>
    </row>
    <row r="383" spans="1:3" x14ac:dyDescent="0.35">
      <c r="A383" s="85">
        <v>382</v>
      </c>
      <c r="B383" t="s">
        <v>212</v>
      </c>
      <c r="C383" t="s">
        <v>272</v>
      </c>
    </row>
    <row r="384" spans="1:3" x14ac:dyDescent="0.35">
      <c r="A384" s="85">
        <v>383</v>
      </c>
      <c r="B384" t="s">
        <v>214</v>
      </c>
      <c r="C384" t="s">
        <v>272</v>
      </c>
    </row>
    <row r="385" spans="1:3" x14ac:dyDescent="0.35">
      <c r="A385" s="85">
        <v>384</v>
      </c>
      <c r="B385" t="s">
        <v>216</v>
      </c>
      <c r="C385" t="s">
        <v>272</v>
      </c>
    </row>
    <row r="386" spans="1:3" x14ac:dyDescent="0.35">
      <c r="A386" s="85">
        <v>385</v>
      </c>
      <c r="B386" s="86" t="s">
        <v>274</v>
      </c>
      <c r="C386" s="86" t="s">
        <v>467</v>
      </c>
    </row>
    <row r="387" spans="1:3" x14ac:dyDescent="0.35">
      <c r="A387" s="85">
        <v>386</v>
      </c>
      <c r="B387" s="86" t="s">
        <v>277</v>
      </c>
      <c r="C387" s="86" t="s">
        <v>469</v>
      </c>
    </row>
    <row r="388" spans="1:3" x14ac:dyDescent="0.35">
      <c r="A388" s="85">
        <v>387</v>
      </c>
      <c r="B388" s="86" t="s">
        <v>279</v>
      </c>
      <c r="C388" s="86" t="s">
        <v>471</v>
      </c>
    </row>
    <row r="389" spans="1:3" x14ac:dyDescent="0.35">
      <c r="A389" s="85">
        <v>388</v>
      </c>
      <c r="B389" s="86" t="s">
        <v>281</v>
      </c>
      <c r="C389" s="86" t="s">
        <v>473</v>
      </c>
    </row>
    <row r="390" spans="1:3" x14ac:dyDescent="0.35">
      <c r="A390" s="85">
        <v>389</v>
      </c>
      <c r="B390" s="86" t="s">
        <v>283</v>
      </c>
      <c r="C390" s="86" t="s">
        <v>475</v>
      </c>
    </row>
    <row r="391" spans="1:3" x14ac:dyDescent="0.35">
      <c r="A391" s="85">
        <v>390</v>
      </c>
      <c r="B391" s="86" t="s">
        <v>285</v>
      </c>
      <c r="C391" s="86" t="s">
        <v>477</v>
      </c>
    </row>
    <row r="392" spans="1:3" x14ac:dyDescent="0.35">
      <c r="A392" s="85">
        <v>391</v>
      </c>
      <c r="B392" s="86" t="s">
        <v>287</v>
      </c>
      <c r="C392" s="86" t="s">
        <v>479</v>
      </c>
    </row>
    <row r="393" spans="1:3" x14ac:dyDescent="0.35">
      <c r="A393" s="85">
        <v>392</v>
      </c>
      <c r="B393" s="86" t="s">
        <v>289</v>
      </c>
      <c r="C393" s="86" t="s">
        <v>481</v>
      </c>
    </row>
    <row r="394" spans="1:3" x14ac:dyDescent="0.35">
      <c r="A394" s="85">
        <v>393</v>
      </c>
      <c r="B394" s="86" t="s">
        <v>291</v>
      </c>
      <c r="C394" s="86" t="s">
        <v>483</v>
      </c>
    </row>
    <row r="395" spans="1:3" x14ac:dyDescent="0.35">
      <c r="A395" s="85">
        <v>394</v>
      </c>
      <c r="B395" s="86" t="s">
        <v>293</v>
      </c>
      <c r="C395" s="86" t="s">
        <v>485</v>
      </c>
    </row>
    <row r="396" spans="1:3" x14ac:dyDescent="0.35">
      <c r="A396" s="85">
        <v>395</v>
      </c>
      <c r="B396" s="86" t="s">
        <v>295</v>
      </c>
      <c r="C396" s="86" t="s">
        <v>487</v>
      </c>
    </row>
    <row r="397" spans="1:3" x14ac:dyDescent="0.35">
      <c r="A397" s="85">
        <v>396</v>
      </c>
      <c r="B397" s="86" t="s">
        <v>297</v>
      </c>
      <c r="C397" s="86" t="s">
        <v>489</v>
      </c>
    </row>
    <row r="398" spans="1:3" x14ac:dyDescent="0.35">
      <c r="A398" s="85">
        <v>397</v>
      </c>
      <c r="B398" s="86" t="s">
        <v>299</v>
      </c>
      <c r="C398" s="86" t="s">
        <v>491</v>
      </c>
    </row>
    <row r="399" spans="1:3" x14ac:dyDescent="0.35">
      <c r="A399" s="85">
        <v>398</v>
      </c>
      <c r="B399" s="86" t="s">
        <v>301</v>
      </c>
      <c r="C399" s="86" t="s">
        <v>493</v>
      </c>
    </row>
    <row r="400" spans="1:3" x14ac:dyDescent="0.35">
      <c r="A400" s="85">
        <v>399</v>
      </c>
      <c r="B400" s="86" t="s">
        <v>303</v>
      </c>
      <c r="C400" s="86" t="s">
        <v>495</v>
      </c>
    </row>
    <row r="401" spans="1:3" x14ac:dyDescent="0.35">
      <c r="A401" s="85">
        <v>400</v>
      </c>
      <c r="B401" s="86" t="s">
        <v>305</v>
      </c>
      <c r="C401" s="86" t="s">
        <v>497</v>
      </c>
    </row>
    <row r="402" spans="1:3" x14ac:dyDescent="0.35">
      <c r="A402" s="85">
        <v>401</v>
      </c>
      <c r="B402" s="86" t="s">
        <v>307</v>
      </c>
      <c r="C402" s="86" t="s">
        <v>499</v>
      </c>
    </row>
    <row r="403" spans="1:3" x14ac:dyDescent="0.35">
      <c r="A403" s="85">
        <v>402</v>
      </c>
      <c r="B403" s="86" t="s">
        <v>309</v>
      </c>
      <c r="C403" s="86" t="s">
        <v>501</v>
      </c>
    </row>
    <row r="404" spans="1:3" x14ac:dyDescent="0.35">
      <c r="A404" s="85">
        <v>403</v>
      </c>
      <c r="B404" s="86" t="s">
        <v>311</v>
      </c>
      <c r="C404" s="86" t="s">
        <v>503</v>
      </c>
    </row>
    <row r="405" spans="1:3" x14ac:dyDescent="0.35">
      <c r="A405" s="85">
        <v>404</v>
      </c>
      <c r="B405" s="86" t="s">
        <v>313</v>
      </c>
      <c r="C405" s="86" t="s">
        <v>505</v>
      </c>
    </row>
    <row r="406" spans="1:3" x14ac:dyDescent="0.35">
      <c r="A406" s="85">
        <v>405</v>
      </c>
      <c r="B406" s="86" t="s">
        <v>315</v>
      </c>
      <c r="C406" s="86" t="s">
        <v>507</v>
      </c>
    </row>
    <row r="407" spans="1:3" x14ac:dyDescent="0.35">
      <c r="A407" s="85">
        <v>406</v>
      </c>
      <c r="B407" s="86" t="s">
        <v>317</v>
      </c>
      <c r="C407" s="86" t="s">
        <v>509</v>
      </c>
    </row>
    <row r="408" spans="1:3" x14ac:dyDescent="0.35">
      <c r="A408" s="85">
        <v>407</v>
      </c>
      <c r="B408" s="86" t="s">
        <v>319</v>
      </c>
      <c r="C408" s="86" t="s">
        <v>511</v>
      </c>
    </row>
    <row r="409" spans="1:3" x14ac:dyDescent="0.35">
      <c r="A409" s="85">
        <v>408</v>
      </c>
      <c r="B409" s="86" t="s">
        <v>321</v>
      </c>
      <c r="C409" s="86" t="s">
        <v>513</v>
      </c>
    </row>
    <row r="410" spans="1:3" x14ac:dyDescent="0.35">
      <c r="A410" s="85">
        <v>409</v>
      </c>
      <c r="B410" s="86" t="s">
        <v>323</v>
      </c>
      <c r="C410" s="86" t="s">
        <v>515</v>
      </c>
    </row>
    <row r="411" spans="1:3" x14ac:dyDescent="0.35">
      <c r="A411" s="85">
        <v>410</v>
      </c>
      <c r="B411" s="86" t="s">
        <v>325</v>
      </c>
      <c r="C411" s="86" t="s">
        <v>517</v>
      </c>
    </row>
    <row r="412" spans="1:3" x14ac:dyDescent="0.35">
      <c r="A412" s="85">
        <v>411</v>
      </c>
      <c r="B412" s="86" t="s">
        <v>327</v>
      </c>
      <c r="C412" s="86" t="s">
        <v>519</v>
      </c>
    </row>
    <row r="413" spans="1:3" x14ac:dyDescent="0.35">
      <c r="A413" s="85">
        <v>412</v>
      </c>
      <c r="B413" s="86" t="s">
        <v>329</v>
      </c>
      <c r="C413" s="86" t="s">
        <v>521</v>
      </c>
    </row>
    <row r="414" spans="1:3" x14ac:dyDescent="0.35">
      <c r="A414" s="85">
        <v>413</v>
      </c>
      <c r="B414" s="86" t="s">
        <v>331</v>
      </c>
      <c r="C414" s="86" t="s">
        <v>523</v>
      </c>
    </row>
    <row r="415" spans="1:3" x14ac:dyDescent="0.35">
      <c r="A415" s="85">
        <v>414</v>
      </c>
      <c r="B415" s="86" t="s">
        <v>333</v>
      </c>
      <c r="C415" s="86" t="s">
        <v>525</v>
      </c>
    </row>
    <row r="416" spans="1:3" x14ac:dyDescent="0.35">
      <c r="A416" s="85">
        <v>415</v>
      </c>
      <c r="B416" s="86" t="s">
        <v>335</v>
      </c>
      <c r="C416" s="86" t="s">
        <v>527</v>
      </c>
    </row>
    <row r="417" spans="1:3" x14ac:dyDescent="0.35">
      <c r="A417" s="85">
        <v>416</v>
      </c>
      <c r="B417" s="86" t="s">
        <v>337</v>
      </c>
      <c r="C417" s="86" t="s">
        <v>529</v>
      </c>
    </row>
    <row r="418" spans="1:3" x14ac:dyDescent="0.35">
      <c r="A418" s="85">
        <v>417</v>
      </c>
      <c r="B418" s="86" t="s">
        <v>339</v>
      </c>
      <c r="C418" s="86" t="s">
        <v>531</v>
      </c>
    </row>
    <row r="419" spans="1:3" x14ac:dyDescent="0.35">
      <c r="A419" s="85">
        <v>418</v>
      </c>
      <c r="B419" s="86" t="s">
        <v>341</v>
      </c>
      <c r="C419" s="86" t="s">
        <v>533</v>
      </c>
    </row>
    <row r="420" spans="1:3" x14ac:dyDescent="0.35">
      <c r="A420" s="85">
        <v>419</v>
      </c>
      <c r="B420" s="86" t="s">
        <v>343</v>
      </c>
      <c r="C420" s="86" t="s">
        <v>535</v>
      </c>
    </row>
    <row r="421" spans="1:3" x14ac:dyDescent="0.35">
      <c r="A421" s="85">
        <v>420</v>
      </c>
      <c r="B421" s="86" t="s">
        <v>345</v>
      </c>
      <c r="C421" s="86" t="s">
        <v>537</v>
      </c>
    </row>
    <row r="422" spans="1:3" x14ac:dyDescent="0.35">
      <c r="A422" s="85">
        <v>421</v>
      </c>
      <c r="B422" s="86" t="s">
        <v>347</v>
      </c>
      <c r="C422" s="86" t="s">
        <v>539</v>
      </c>
    </row>
    <row r="423" spans="1:3" x14ac:dyDescent="0.35">
      <c r="A423" s="85">
        <v>422</v>
      </c>
      <c r="B423" s="86" t="s">
        <v>349</v>
      </c>
      <c r="C423" s="86" t="s">
        <v>541</v>
      </c>
    </row>
    <row r="424" spans="1:3" x14ac:dyDescent="0.35">
      <c r="A424" s="85">
        <v>423</v>
      </c>
      <c r="B424" s="86" t="s">
        <v>351</v>
      </c>
      <c r="C424" s="86" t="s">
        <v>543</v>
      </c>
    </row>
    <row r="425" spans="1:3" x14ac:dyDescent="0.35">
      <c r="A425" s="85">
        <v>424</v>
      </c>
      <c r="B425" s="86" t="s">
        <v>353</v>
      </c>
      <c r="C425" s="86" t="s">
        <v>545</v>
      </c>
    </row>
    <row r="426" spans="1:3" x14ac:dyDescent="0.35">
      <c r="A426" s="85">
        <v>425</v>
      </c>
      <c r="B426" s="86" t="s">
        <v>355</v>
      </c>
      <c r="C426" s="86" t="s">
        <v>547</v>
      </c>
    </row>
    <row r="427" spans="1:3" x14ac:dyDescent="0.35">
      <c r="A427" s="85">
        <v>426</v>
      </c>
      <c r="B427" s="86" t="s">
        <v>357</v>
      </c>
      <c r="C427" s="86" t="s">
        <v>549</v>
      </c>
    </row>
    <row r="428" spans="1:3" x14ac:dyDescent="0.35">
      <c r="A428" s="85">
        <v>427</v>
      </c>
      <c r="B428" s="86" t="s">
        <v>359</v>
      </c>
      <c r="C428" s="86" t="s">
        <v>551</v>
      </c>
    </row>
    <row r="429" spans="1:3" x14ac:dyDescent="0.35">
      <c r="A429" s="85">
        <v>428</v>
      </c>
      <c r="B429" s="86" t="s">
        <v>361</v>
      </c>
      <c r="C429" s="86" t="s">
        <v>553</v>
      </c>
    </row>
    <row r="430" spans="1:3" x14ac:dyDescent="0.35">
      <c r="A430" s="85">
        <v>429</v>
      </c>
      <c r="B430" s="86" t="s">
        <v>363</v>
      </c>
      <c r="C430" s="86" t="s">
        <v>555</v>
      </c>
    </row>
    <row r="431" spans="1:3" x14ac:dyDescent="0.35">
      <c r="A431" s="85">
        <v>430</v>
      </c>
      <c r="B431" s="86" t="s">
        <v>365</v>
      </c>
      <c r="C431" s="86" t="s">
        <v>557</v>
      </c>
    </row>
    <row r="432" spans="1:3" x14ac:dyDescent="0.35">
      <c r="A432" s="85">
        <v>431</v>
      </c>
      <c r="B432" s="86" t="s">
        <v>367</v>
      </c>
      <c r="C432" s="86" t="s">
        <v>559</v>
      </c>
    </row>
    <row r="433" spans="1:3" x14ac:dyDescent="0.35">
      <c r="A433" s="85">
        <v>432</v>
      </c>
      <c r="B433" s="86" t="s">
        <v>369</v>
      </c>
      <c r="C433" s="86" t="s">
        <v>561</v>
      </c>
    </row>
    <row r="434" spans="1:3" x14ac:dyDescent="0.35">
      <c r="A434" s="85">
        <v>433</v>
      </c>
      <c r="B434" s="86" t="s">
        <v>371</v>
      </c>
      <c r="C434" s="86" t="s">
        <v>563</v>
      </c>
    </row>
    <row r="435" spans="1:3" x14ac:dyDescent="0.35">
      <c r="A435" s="85">
        <v>434</v>
      </c>
      <c r="B435" s="86" t="s">
        <v>373</v>
      </c>
      <c r="C435" s="86" t="s">
        <v>565</v>
      </c>
    </row>
    <row r="436" spans="1:3" x14ac:dyDescent="0.35">
      <c r="A436" s="85">
        <v>435</v>
      </c>
      <c r="B436" s="86" t="s">
        <v>375</v>
      </c>
      <c r="C436" s="86" t="s">
        <v>567</v>
      </c>
    </row>
    <row r="437" spans="1:3" x14ac:dyDescent="0.35">
      <c r="A437" s="85">
        <v>436</v>
      </c>
      <c r="B437" s="86" t="s">
        <v>377</v>
      </c>
      <c r="C437" s="86" t="s">
        <v>569</v>
      </c>
    </row>
    <row r="438" spans="1:3" x14ac:dyDescent="0.35">
      <c r="A438" s="85">
        <v>437</v>
      </c>
      <c r="B438" s="86" t="s">
        <v>379</v>
      </c>
      <c r="C438" s="86" t="s">
        <v>571</v>
      </c>
    </row>
    <row r="439" spans="1:3" x14ac:dyDescent="0.35">
      <c r="A439" s="85">
        <v>438</v>
      </c>
      <c r="B439" s="86" t="s">
        <v>381</v>
      </c>
      <c r="C439" s="86" t="s">
        <v>573</v>
      </c>
    </row>
    <row r="440" spans="1:3" x14ac:dyDescent="0.35">
      <c r="A440" s="85">
        <v>439</v>
      </c>
      <c r="B440" s="86" t="s">
        <v>383</v>
      </c>
      <c r="C440" s="86" t="s">
        <v>575</v>
      </c>
    </row>
    <row r="441" spans="1:3" x14ac:dyDescent="0.35">
      <c r="A441" s="85">
        <v>440</v>
      </c>
      <c r="B441" s="86" t="s">
        <v>385</v>
      </c>
      <c r="C441" s="86" t="s">
        <v>577</v>
      </c>
    </row>
    <row r="442" spans="1:3" x14ac:dyDescent="0.35">
      <c r="A442" s="85">
        <v>441</v>
      </c>
      <c r="B442" s="86" t="s">
        <v>387</v>
      </c>
      <c r="C442" s="86" t="s">
        <v>579</v>
      </c>
    </row>
    <row r="443" spans="1:3" x14ac:dyDescent="0.35">
      <c r="A443" s="85">
        <v>442</v>
      </c>
      <c r="B443" s="86" t="s">
        <v>389</v>
      </c>
      <c r="C443" s="86" t="s">
        <v>581</v>
      </c>
    </row>
    <row r="444" spans="1:3" x14ac:dyDescent="0.35">
      <c r="A444" s="85">
        <v>443</v>
      </c>
      <c r="B444" s="86" t="s">
        <v>391</v>
      </c>
      <c r="C444" s="86" t="s">
        <v>583</v>
      </c>
    </row>
    <row r="445" spans="1:3" x14ac:dyDescent="0.35">
      <c r="A445" s="85">
        <v>444</v>
      </c>
      <c r="B445" s="86" t="s">
        <v>393</v>
      </c>
      <c r="C445" s="86" t="s">
        <v>585</v>
      </c>
    </row>
    <row r="446" spans="1:3" x14ac:dyDescent="0.35">
      <c r="A446" s="85">
        <v>445</v>
      </c>
      <c r="B446" s="86" t="s">
        <v>395</v>
      </c>
      <c r="C446" s="86" t="s">
        <v>587</v>
      </c>
    </row>
    <row r="447" spans="1:3" x14ac:dyDescent="0.35">
      <c r="A447" s="85">
        <v>446</v>
      </c>
      <c r="B447" s="86" t="s">
        <v>397</v>
      </c>
      <c r="C447" s="86" t="s">
        <v>589</v>
      </c>
    </row>
    <row r="448" spans="1:3" x14ac:dyDescent="0.35">
      <c r="A448" s="85">
        <v>447</v>
      </c>
      <c r="B448" s="86" t="s">
        <v>399</v>
      </c>
      <c r="C448" s="86" t="s">
        <v>591</v>
      </c>
    </row>
    <row r="449" spans="1:3" x14ac:dyDescent="0.35">
      <c r="A449" s="85">
        <v>448</v>
      </c>
      <c r="B449" s="86" t="s">
        <v>401</v>
      </c>
      <c r="C449" s="86" t="s">
        <v>593</v>
      </c>
    </row>
    <row r="450" spans="1:3" x14ac:dyDescent="0.35">
      <c r="A450" s="85">
        <v>449</v>
      </c>
      <c r="B450" s="86" t="s">
        <v>403</v>
      </c>
      <c r="C450" s="86" t="s">
        <v>595</v>
      </c>
    </row>
    <row r="451" spans="1:3" x14ac:dyDescent="0.35">
      <c r="A451" s="85">
        <v>450</v>
      </c>
      <c r="B451" s="86" t="s">
        <v>405</v>
      </c>
      <c r="C451" s="86" t="s">
        <v>597</v>
      </c>
    </row>
    <row r="452" spans="1:3" x14ac:dyDescent="0.35">
      <c r="A452" s="85">
        <v>451</v>
      </c>
      <c r="B452" s="86" t="s">
        <v>407</v>
      </c>
      <c r="C452" s="86" t="s">
        <v>599</v>
      </c>
    </row>
    <row r="453" spans="1:3" x14ac:dyDescent="0.35">
      <c r="A453" s="85">
        <v>452</v>
      </c>
      <c r="B453" s="86" t="s">
        <v>409</v>
      </c>
      <c r="C453" s="86" t="s">
        <v>601</v>
      </c>
    </row>
    <row r="454" spans="1:3" x14ac:dyDescent="0.35">
      <c r="A454" s="85">
        <v>453</v>
      </c>
      <c r="B454" s="86" t="s">
        <v>411</v>
      </c>
      <c r="C454" s="86" t="s">
        <v>603</v>
      </c>
    </row>
    <row r="455" spans="1:3" x14ac:dyDescent="0.35">
      <c r="A455" s="85">
        <v>454</v>
      </c>
      <c r="B455" s="86" t="s">
        <v>413</v>
      </c>
      <c r="C455" s="86" t="s">
        <v>605</v>
      </c>
    </row>
    <row r="456" spans="1:3" x14ac:dyDescent="0.35">
      <c r="A456" s="85">
        <v>455</v>
      </c>
      <c r="B456" s="86" t="s">
        <v>415</v>
      </c>
      <c r="C456" s="86" t="s">
        <v>607</v>
      </c>
    </row>
    <row r="457" spans="1:3" x14ac:dyDescent="0.35">
      <c r="A457" s="85">
        <v>456</v>
      </c>
      <c r="B457" s="86" t="s">
        <v>417</v>
      </c>
      <c r="C457" s="86" t="s">
        <v>608</v>
      </c>
    </row>
    <row r="458" spans="1:3" x14ac:dyDescent="0.35">
      <c r="A458" s="85">
        <v>457</v>
      </c>
      <c r="B458" s="86" t="s">
        <v>419</v>
      </c>
      <c r="C458" s="86" t="s">
        <v>610</v>
      </c>
    </row>
    <row r="459" spans="1:3" x14ac:dyDescent="0.35">
      <c r="A459" s="85">
        <v>458</v>
      </c>
      <c r="B459" s="86" t="s">
        <v>421</v>
      </c>
      <c r="C459" s="86" t="s">
        <v>612</v>
      </c>
    </row>
    <row r="460" spans="1:3" x14ac:dyDescent="0.35">
      <c r="A460" s="85">
        <v>459</v>
      </c>
      <c r="B460" s="86" t="s">
        <v>423</v>
      </c>
      <c r="C460" s="86" t="s">
        <v>614</v>
      </c>
    </row>
    <row r="461" spans="1:3" x14ac:dyDescent="0.35">
      <c r="A461" s="85">
        <v>460</v>
      </c>
      <c r="B461" s="86" t="s">
        <v>425</v>
      </c>
      <c r="C461" s="86" t="s">
        <v>616</v>
      </c>
    </row>
    <row r="462" spans="1:3" x14ac:dyDescent="0.35">
      <c r="A462" s="85">
        <v>461</v>
      </c>
      <c r="B462" s="86" t="s">
        <v>427</v>
      </c>
      <c r="C462" s="86" t="s">
        <v>618</v>
      </c>
    </row>
    <row r="463" spans="1:3" x14ac:dyDescent="0.35">
      <c r="A463" s="85">
        <v>462</v>
      </c>
      <c r="B463" s="86" t="s">
        <v>429</v>
      </c>
      <c r="C463" s="86" t="s">
        <v>620</v>
      </c>
    </row>
    <row r="464" spans="1:3" x14ac:dyDescent="0.35">
      <c r="A464" s="85">
        <v>463</v>
      </c>
      <c r="B464" s="86" t="s">
        <v>431</v>
      </c>
      <c r="C464" s="86" t="s">
        <v>622</v>
      </c>
    </row>
    <row r="465" spans="1:3" x14ac:dyDescent="0.35">
      <c r="A465" s="85">
        <v>464</v>
      </c>
      <c r="B465" s="86" t="s">
        <v>433</v>
      </c>
      <c r="C465" s="86" t="s">
        <v>623</v>
      </c>
    </row>
    <row r="466" spans="1:3" x14ac:dyDescent="0.35">
      <c r="A466" s="85">
        <v>465</v>
      </c>
      <c r="B466" s="86" t="s">
        <v>435</v>
      </c>
      <c r="C466" s="86" t="s">
        <v>625</v>
      </c>
    </row>
    <row r="467" spans="1:3" x14ac:dyDescent="0.35">
      <c r="A467" s="85">
        <v>466</v>
      </c>
      <c r="B467" s="86" t="s">
        <v>437</v>
      </c>
      <c r="C467" s="86" t="s">
        <v>627</v>
      </c>
    </row>
    <row r="468" spans="1:3" x14ac:dyDescent="0.35">
      <c r="A468" s="85">
        <v>467</v>
      </c>
      <c r="B468" s="86" t="s">
        <v>439</v>
      </c>
      <c r="C468" s="86" t="s">
        <v>629</v>
      </c>
    </row>
    <row r="469" spans="1:3" x14ac:dyDescent="0.35">
      <c r="A469" s="85">
        <v>468</v>
      </c>
      <c r="B469" s="86" t="s">
        <v>441</v>
      </c>
      <c r="C469" s="86" t="s">
        <v>631</v>
      </c>
    </row>
    <row r="470" spans="1:3" x14ac:dyDescent="0.35">
      <c r="A470" s="85">
        <v>469</v>
      </c>
      <c r="B470" s="86" t="s">
        <v>443</v>
      </c>
      <c r="C470" s="86" t="s">
        <v>633</v>
      </c>
    </row>
    <row r="471" spans="1:3" x14ac:dyDescent="0.35">
      <c r="A471" s="85">
        <v>470</v>
      </c>
      <c r="B471" s="86" t="s">
        <v>445</v>
      </c>
      <c r="C471" s="86" t="s">
        <v>635</v>
      </c>
    </row>
    <row r="472" spans="1:3" x14ac:dyDescent="0.35">
      <c r="A472" s="85">
        <v>471</v>
      </c>
      <c r="B472" s="86" t="s">
        <v>447</v>
      </c>
      <c r="C472" s="86" t="s">
        <v>637</v>
      </c>
    </row>
    <row r="473" spans="1:3" x14ac:dyDescent="0.35">
      <c r="A473" s="85">
        <v>472</v>
      </c>
      <c r="B473" s="86" t="s">
        <v>449</v>
      </c>
      <c r="C473" s="86" t="s">
        <v>639</v>
      </c>
    </row>
    <row r="474" spans="1:3" x14ac:dyDescent="0.35">
      <c r="A474" s="85">
        <v>473</v>
      </c>
      <c r="B474" s="86" t="s">
        <v>451</v>
      </c>
      <c r="C474" s="86" t="s">
        <v>641</v>
      </c>
    </row>
    <row r="475" spans="1:3" x14ac:dyDescent="0.35">
      <c r="A475" s="85">
        <v>474</v>
      </c>
      <c r="B475" s="86" t="s">
        <v>453</v>
      </c>
      <c r="C475" s="86" t="s">
        <v>643</v>
      </c>
    </row>
    <row r="476" spans="1:3" x14ac:dyDescent="0.35">
      <c r="A476" s="85">
        <v>475</v>
      </c>
      <c r="B476" s="86" t="s">
        <v>455</v>
      </c>
      <c r="C476" s="86" t="s">
        <v>645</v>
      </c>
    </row>
    <row r="477" spans="1:3" x14ac:dyDescent="0.35">
      <c r="A477" s="85">
        <v>476</v>
      </c>
      <c r="B477" s="86" t="s">
        <v>457</v>
      </c>
      <c r="C477" s="86" t="s">
        <v>647</v>
      </c>
    </row>
    <row r="478" spans="1:3" x14ac:dyDescent="0.35">
      <c r="A478" s="85">
        <v>477</v>
      </c>
      <c r="B478" s="86" t="s">
        <v>459</v>
      </c>
      <c r="C478" s="86" t="s">
        <v>649</v>
      </c>
    </row>
    <row r="479" spans="1:3" x14ac:dyDescent="0.35">
      <c r="A479" s="85">
        <v>478</v>
      </c>
      <c r="B479" s="86" t="s">
        <v>461</v>
      </c>
      <c r="C479" s="86" t="s">
        <v>651</v>
      </c>
    </row>
    <row r="480" spans="1:3" x14ac:dyDescent="0.35">
      <c r="A480" s="85">
        <v>479</v>
      </c>
      <c r="B480" s="86" t="s">
        <v>463</v>
      </c>
      <c r="C480" s="86" t="s">
        <v>653</v>
      </c>
    </row>
    <row r="481" spans="1:3" x14ac:dyDescent="0.35">
      <c r="A481" s="85">
        <v>480</v>
      </c>
      <c r="B481" s="86" t="s">
        <v>465</v>
      </c>
      <c r="C481" s="86" t="s">
        <v>655</v>
      </c>
    </row>
    <row r="482" spans="1:3" ht="15.5" x14ac:dyDescent="0.35">
      <c r="A482" s="87">
        <v>481</v>
      </c>
      <c r="B482" s="32" t="s">
        <v>657</v>
      </c>
      <c r="C482" s="32" t="s">
        <v>848</v>
      </c>
    </row>
    <row r="483" spans="1:3" ht="15.5" x14ac:dyDescent="0.35">
      <c r="A483" s="87">
        <v>482</v>
      </c>
      <c r="B483" s="32" t="s">
        <v>660</v>
      </c>
      <c r="C483" s="32" t="s">
        <v>850</v>
      </c>
    </row>
    <row r="484" spans="1:3" ht="15.5" x14ac:dyDescent="0.35">
      <c r="A484" s="87">
        <v>483</v>
      </c>
      <c r="B484" s="32" t="s">
        <v>662</v>
      </c>
      <c r="C484" s="32" t="s">
        <v>852</v>
      </c>
    </row>
    <row r="485" spans="1:3" ht="15.5" x14ac:dyDescent="0.35">
      <c r="A485" s="87">
        <v>484</v>
      </c>
      <c r="B485" s="32" t="s">
        <v>664</v>
      </c>
      <c r="C485" s="32" t="s">
        <v>854</v>
      </c>
    </row>
    <row r="486" spans="1:3" ht="15.5" x14ac:dyDescent="0.35">
      <c r="A486" s="87">
        <v>485</v>
      </c>
      <c r="B486" s="32" t="s">
        <v>666</v>
      </c>
      <c r="C486" s="32" t="s">
        <v>856</v>
      </c>
    </row>
    <row r="487" spans="1:3" ht="15.5" x14ac:dyDescent="0.35">
      <c r="A487" s="87">
        <v>486</v>
      </c>
      <c r="B487" s="32" t="s">
        <v>668</v>
      </c>
      <c r="C487" s="32" t="s">
        <v>858</v>
      </c>
    </row>
    <row r="488" spans="1:3" ht="15.5" x14ac:dyDescent="0.35">
      <c r="A488" s="87">
        <v>487</v>
      </c>
      <c r="B488" s="32" t="s">
        <v>670</v>
      </c>
      <c r="C488" s="32" t="s">
        <v>860</v>
      </c>
    </row>
    <row r="489" spans="1:3" ht="15.5" x14ac:dyDescent="0.35">
      <c r="A489" s="87">
        <v>488</v>
      </c>
      <c r="B489" s="32" t="s">
        <v>672</v>
      </c>
      <c r="C489" s="32" t="s">
        <v>862</v>
      </c>
    </row>
    <row r="490" spans="1:3" ht="15.5" x14ac:dyDescent="0.35">
      <c r="A490" s="87">
        <v>489</v>
      </c>
      <c r="B490" s="32" t="s">
        <v>674</v>
      </c>
      <c r="C490" s="32" t="s">
        <v>864</v>
      </c>
    </row>
    <row r="491" spans="1:3" ht="15.5" x14ac:dyDescent="0.35">
      <c r="A491" s="87">
        <v>490</v>
      </c>
      <c r="B491" s="32" t="s">
        <v>675</v>
      </c>
      <c r="C491" s="32" t="s">
        <v>866</v>
      </c>
    </row>
    <row r="492" spans="1:3" ht="15.5" x14ac:dyDescent="0.35">
      <c r="A492" s="87">
        <v>491</v>
      </c>
      <c r="B492" s="32" t="s">
        <v>677</v>
      </c>
      <c r="C492" s="32" t="s">
        <v>868</v>
      </c>
    </row>
    <row r="493" spans="1:3" ht="15.5" x14ac:dyDescent="0.35">
      <c r="A493" s="87">
        <v>492</v>
      </c>
      <c r="B493" s="32" t="s">
        <v>679</v>
      </c>
      <c r="C493" s="32" t="s">
        <v>870</v>
      </c>
    </row>
    <row r="494" spans="1:3" ht="15.5" x14ac:dyDescent="0.35">
      <c r="A494" s="87">
        <v>493</v>
      </c>
      <c r="B494" s="32" t="s">
        <v>681</v>
      </c>
      <c r="C494" s="32" t="s">
        <v>872</v>
      </c>
    </row>
    <row r="495" spans="1:3" ht="15.5" x14ac:dyDescent="0.35">
      <c r="A495" s="87">
        <v>494</v>
      </c>
      <c r="B495" s="32" t="s">
        <v>683</v>
      </c>
      <c r="C495" s="32" t="s">
        <v>874</v>
      </c>
    </row>
    <row r="496" spans="1:3" ht="15.5" x14ac:dyDescent="0.35">
      <c r="A496" s="87">
        <v>495</v>
      </c>
      <c r="B496" s="32" t="s">
        <v>685</v>
      </c>
      <c r="C496" s="32" t="s">
        <v>876</v>
      </c>
    </row>
    <row r="497" spans="1:3" ht="15.5" x14ac:dyDescent="0.35">
      <c r="A497" s="87">
        <v>496</v>
      </c>
      <c r="B497" s="32" t="s">
        <v>687</v>
      </c>
      <c r="C497" s="32" t="s">
        <v>878</v>
      </c>
    </row>
    <row r="498" spans="1:3" ht="15.5" x14ac:dyDescent="0.35">
      <c r="A498" s="87">
        <v>497</v>
      </c>
      <c r="B498" s="32" t="s">
        <v>689</v>
      </c>
      <c r="C498" s="32" t="s">
        <v>880</v>
      </c>
    </row>
    <row r="499" spans="1:3" ht="15.5" x14ac:dyDescent="0.35">
      <c r="A499" s="87">
        <v>498</v>
      </c>
      <c r="B499" s="32" t="s">
        <v>691</v>
      </c>
      <c r="C499" s="32" t="s">
        <v>882</v>
      </c>
    </row>
    <row r="500" spans="1:3" ht="15.5" x14ac:dyDescent="0.35">
      <c r="A500" s="87">
        <v>499</v>
      </c>
      <c r="B500" s="32" t="s">
        <v>693</v>
      </c>
      <c r="C500" s="32" t="s">
        <v>884</v>
      </c>
    </row>
    <row r="501" spans="1:3" ht="15.5" x14ac:dyDescent="0.35">
      <c r="A501" s="87">
        <v>500</v>
      </c>
      <c r="B501" s="32" t="s">
        <v>695</v>
      </c>
      <c r="C501" s="32" t="s">
        <v>886</v>
      </c>
    </row>
    <row r="502" spans="1:3" ht="15.5" x14ac:dyDescent="0.35">
      <c r="A502" s="87">
        <v>501</v>
      </c>
      <c r="B502" s="32" t="s">
        <v>697</v>
      </c>
      <c r="C502" s="32" t="s">
        <v>888</v>
      </c>
    </row>
    <row r="503" spans="1:3" ht="15.5" x14ac:dyDescent="0.35">
      <c r="A503" s="87">
        <v>502</v>
      </c>
      <c r="B503" s="32" t="s">
        <v>699</v>
      </c>
      <c r="C503" s="32" t="s">
        <v>890</v>
      </c>
    </row>
    <row r="504" spans="1:3" ht="15.5" x14ac:dyDescent="0.35">
      <c r="A504" s="87">
        <v>503</v>
      </c>
      <c r="B504" s="32" t="s">
        <v>701</v>
      </c>
      <c r="C504" s="32" t="s">
        <v>892</v>
      </c>
    </row>
    <row r="505" spans="1:3" ht="15.5" x14ac:dyDescent="0.35">
      <c r="A505" s="87">
        <v>504</v>
      </c>
      <c r="B505" s="32" t="s">
        <v>703</v>
      </c>
      <c r="C505" s="32" t="s">
        <v>894</v>
      </c>
    </row>
    <row r="506" spans="1:3" ht="15.5" x14ac:dyDescent="0.35">
      <c r="A506" s="87">
        <v>505</v>
      </c>
      <c r="B506" s="32" t="s">
        <v>705</v>
      </c>
      <c r="C506" s="32" t="s">
        <v>896</v>
      </c>
    </row>
    <row r="507" spans="1:3" ht="15.5" x14ac:dyDescent="0.35">
      <c r="A507" s="87">
        <v>506</v>
      </c>
      <c r="B507" s="32" t="s">
        <v>707</v>
      </c>
      <c r="C507" s="32" t="s">
        <v>898</v>
      </c>
    </row>
    <row r="508" spans="1:3" ht="15.5" x14ac:dyDescent="0.35">
      <c r="A508" s="87">
        <v>507</v>
      </c>
      <c r="B508" s="32" t="s">
        <v>709</v>
      </c>
      <c r="C508" s="32" t="s">
        <v>900</v>
      </c>
    </row>
    <row r="509" spans="1:3" ht="15.5" x14ac:dyDescent="0.35">
      <c r="A509" s="87">
        <v>508</v>
      </c>
      <c r="B509" s="32" t="s">
        <v>711</v>
      </c>
      <c r="C509" s="32" t="s">
        <v>902</v>
      </c>
    </row>
    <row r="510" spans="1:3" ht="15.5" x14ac:dyDescent="0.35">
      <c r="A510" s="87">
        <v>509</v>
      </c>
      <c r="B510" s="32" t="s">
        <v>713</v>
      </c>
      <c r="C510" s="32" t="s">
        <v>904</v>
      </c>
    </row>
    <row r="511" spans="1:3" ht="15.5" x14ac:dyDescent="0.35">
      <c r="A511" s="87">
        <v>510</v>
      </c>
      <c r="B511" s="32" t="s">
        <v>715</v>
      </c>
      <c r="C511" s="32" t="s">
        <v>906</v>
      </c>
    </row>
    <row r="512" spans="1:3" ht="15.5" x14ac:dyDescent="0.35">
      <c r="A512" s="87">
        <v>511</v>
      </c>
      <c r="B512" s="32" t="s">
        <v>717</v>
      </c>
      <c r="C512" s="32" t="s">
        <v>908</v>
      </c>
    </row>
    <row r="513" spans="1:3" ht="15.5" x14ac:dyDescent="0.35">
      <c r="A513" s="87">
        <v>512</v>
      </c>
      <c r="B513" s="32" t="s">
        <v>719</v>
      </c>
      <c r="C513" s="32" t="s">
        <v>910</v>
      </c>
    </row>
    <row r="514" spans="1:3" ht="15.5" x14ac:dyDescent="0.35">
      <c r="A514" s="87">
        <v>513</v>
      </c>
      <c r="B514" s="32" t="s">
        <v>721</v>
      </c>
      <c r="C514" s="32" t="s">
        <v>912</v>
      </c>
    </row>
    <row r="515" spans="1:3" ht="15.5" x14ac:dyDescent="0.35">
      <c r="A515" s="87">
        <v>514</v>
      </c>
      <c r="B515" s="32" t="s">
        <v>723</v>
      </c>
      <c r="C515" s="32" t="s">
        <v>914</v>
      </c>
    </row>
    <row r="516" spans="1:3" ht="15.5" x14ac:dyDescent="0.35">
      <c r="A516" s="87">
        <v>515</v>
      </c>
      <c r="B516" s="32" t="s">
        <v>725</v>
      </c>
      <c r="C516" s="32" t="s">
        <v>916</v>
      </c>
    </row>
    <row r="517" spans="1:3" ht="15.5" x14ac:dyDescent="0.35">
      <c r="A517" s="87">
        <v>516</v>
      </c>
      <c r="B517" s="32" t="s">
        <v>727</v>
      </c>
      <c r="C517" s="32" t="s">
        <v>918</v>
      </c>
    </row>
    <row r="518" spans="1:3" ht="15.5" x14ac:dyDescent="0.35">
      <c r="A518" s="87">
        <v>517</v>
      </c>
      <c r="B518" s="32" t="s">
        <v>729</v>
      </c>
      <c r="C518" s="32" t="s">
        <v>920</v>
      </c>
    </row>
    <row r="519" spans="1:3" ht="15.5" x14ac:dyDescent="0.35">
      <c r="A519" s="87">
        <v>518</v>
      </c>
      <c r="B519" s="32" t="s">
        <v>731</v>
      </c>
      <c r="C519" s="32" t="s">
        <v>922</v>
      </c>
    </row>
    <row r="520" spans="1:3" ht="15.5" x14ac:dyDescent="0.35">
      <c r="A520" s="87">
        <v>519</v>
      </c>
      <c r="B520" s="32" t="s">
        <v>733</v>
      </c>
      <c r="C520" s="32" t="s">
        <v>924</v>
      </c>
    </row>
    <row r="521" spans="1:3" ht="15.5" x14ac:dyDescent="0.35">
      <c r="A521" s="87">
        <v>520</v>
      </c>
      <c r="B521" s="32" t="s">
        <v>735</v>
      </c>
      <c r="C521" s="32" t="s">
        <v>926</v>
      </c>
    </row>
    <row r="522" spans="1:3" ht="15.5" x14ac:dyDescent="0.35">
      <c r="A522" s="87">
        <v>521</v>
      </c>
      <c r="B522" s="32" t="s">
        <v>737</v>
      </c>
      <c r="C522" s="32" t="s">
        <v>928</v>
      </c>
    </row>
    <row r="523" spans="1:3" ht="15.5" x14ac:dyDescent="0.35">
      <c r="A523" s="87">
        <v>522</v>
      </c>
      <c r="B523" s="32" t="s">
        <v>739</v>
      </c>
      <c r="C523" s="32" t="s">
        <v>930</v>
      </c>
    </row>
    <row r="524" spans="1:3" ht="15.5" x14ac:dyDescent="0.35">
      <c r="A524" s="87">
        <v>523</v>
      </c>
      <c r="B524" s="32" t="s">
        <v>741</v>
      </c>
      <c r="C524" s="32" t="s">
        <v>932</v>
      </c>
    </row>
    <row r="525" spans="1:3" ht="15.5" x14ac:dyDescent="0.35">
      <c r="A525" s="87">
        <v>524</v>
      </c>
      <c r="B525" s="32" t="s">
        <v>743</v>
      </c>
      <c r="C525" s="32" t="s">
        <v>934</v>
      </c>
    </row>
    <row r="526" spans="1:3" ht="15.5" x14ac:dyDescent="0.35">
      <c r="A526" s="87">
        <v>525</v>
      </c>
      <c r="B526" s="32" t="s">
        <v>745</v>
      </c>
      <c r="C526" s="32" t="s">
        <v>936</v>
      </c>
    </row>
    <row r="527" spans="1:3" ht="15.5" x14ac:dyDescent="0.35">
      <c r="A527" s="87">
        <v>526</v>
      </c>
      <c r="B527" s="32" t="s">
        <v>747</v>
      </c>
      <c r="C527" s="32" t="s">
        <v>938</v>
      </c>
    </row>
    <row r="528" spans="1:3" ht="15.5" x14ac:dyDescent="0.35">
      <c r="A528" s="87">
        <v>527</v>
      </c>
      <c r="B528" s="32" t="s">
        <v>749</v>
      </c>
      <c r="C528" s="32" t="s">
        <v>940</v>
      </c>
    </row>
    <row r="529" spans="1:3" ht="15.5" x14ac:dyDescent="0.35">
      <c r="A529" s="87">
        <v>528</v>
      </c>
      <c r="B529" s="32" t="s">
        <v>751</v>
      </c>
      <c r="C529" s="32" t="s">
        <v>942</v>
      </c>
    </row>
    <row r="530" spans="1:3" ht="15.5" x14ac:dyDescent="0.35">
      <c r="A530" s="87">
        <v>529</v>
      </c>
      <c r="B530" s="32" t="s">
        <v>753</v>
      </c>
      <c r="C530" s="32" t="s">
        <v>944</v>
      </c>
    </row>
    <row r="531" spans="1:3" ht="15.5" x14ac:dyDescent="0.35">
      <c r="A531" s="87">
        <v>530</v>
      </c>
      <c r="B531" s="32" t="s">
        <v>755</v>
      </c>
      <c r="C531" s="32" t="s">
        <v>946</v>
      </c>
    </row>
    <row r="532" spans="1:3" ht="15.5" x14ac:dyDescent="0.35">
      <c r="A532" s="87">
        <v>531</v>
      </c>
      <c r="B532" s="32" t="s">
        <v>757</v>
      </c>
      <c r="C532" s="32" t="s">
        <v>948</v>
      </c>
    </row>
    <row r="533" spans="1:3" ht="15.5" x14ac:dyDescent="0.35">
      <c r="A533" s="87">
        <v>532</v>
      </c>
      <c r="B533" s="32" t="s">
        <v>759</v>
      </c>
      <c r="C533" s="32" t="s">
        <v>950</v>
      </c>
    </row>
    <row r="534" spans="1:3" ht="15.5" x14ac:dyDescent="0.35">
      <c r="A534" s="87">
        <v>533</v>
      </c>
      <c r="B534" s="32" t="s">
        <v>761</v>
      </c>
      <c r="C534" s="32" t="s">
        <v>952</v>
      </c>
    </row>
    <row r="535" spans="1:3" ht="15.5" x14ac:dyDescent="0.35">
      <c r="A535" s="87">
        <v>534</v>
      </c>
      <c r="B535" s="32" t="s">
        <v>763</v>
      </c>
      <c r="C535" s="32" t="s">
        <v>954</v>
      </c>
    </row>
    <row r="536" spans="1:3" ht="15.5" x14ac:dyDescent="0.35">
      <c r="A536" s="87">
        <v>535</v>
      </c>
      <c r="B536" s="32" t="s">
        <v>765</v>
      </c>
      <c r="C536" s="32" t="s">
        <v>956</v>
      </c>
    </row>
    <row r="537" spans="1:3" ht="15.5" x14ac:dyDescent="0.35">
      <c r="A537" s="87">
        <v>536</v>
      </c>
      <c r="B537" s="32" t="s">
        <v>767</v>
      </c>
      <c r="C537" s="32" t="s">
        <v>958</v>
      </c>
    </row>
    <row r="538" spans="1:3" ht="15.5" x14ac:dyDescent="0.35">
      <c r="A538" s="87">
        <v>537</v>
      </c>
      <c r="B538" s="32" t="s">
        <v>769</v>
      </c>
      <c r="C538" s="32" t="s">
        <v>960</v>
      </c>
    </row>
    <row r="539" spans="1:3" ht="15.5" x14ac:dyDescent="0.35">
      <c r="A539" s="87">
        <v>538</v>
      </c>
      <c r="B539" s="32" t="s">
        <v>771</v>
      </c>
      <c r="C539" s="32" t="s">
        <v>962</v>
      </c>
    </row>
    <row r="540" spans="1:3" ht="15.5" x14ac:dyDescent="0.35">
      <c r="A540" s="87">
        <v>539</v>
      </c>
      <c r="B540" s="32" t="s">
        <v>773</v>
      </c>
      <c r="C540" s="32" t="s">
        <v>964</v>
      </c>
    </row>
    <row r="541" spans="1:3" ht="15.5" x14ac:dyDescent="0.35">
      <c r="A541" s="87">
        <v>540</v>
      </c>
      <c r="B541" s="32" t="s">
        <v>775</v>
      </c>
      <c r="C541" s="32" t="s">
        <v>966</v>
      </c>
    </row>
    <row r="542" spans="1:3" ht="15.5" x14ac:dyDescent="0.35">
      <c r="A542" s="87">
        <v>541</v>
      </c>
      <c r="B542" s="32" t="s">
        <v>777</v>
      </c>
      <c r="C542" s="32" t="s">
        <v>968</v>
      </c>
    </row>
    <row r="543" spans="1:3" ht="15.5" x14ac:dyDescent="0.35">
      <c r="A543" s="87">
        <v>542</v>
      </c>
      <c r="B543" s="32" t="s">
        <v>779</v>
      </c>
      <c r="C543" s="32" t="s">
        <v>970</v>
      </c>
    </row>
    <row r="544" spans="1:3" ht="15.5" x14ac:dyDescent="0.35">
      <c r="A544" s="87">
        <v>543</v>
      </c>
      <c r="B544" s="32" t="s">
        <v>781</v>
      </c>
      <c r="C544" s="32" t="s">
        <v>972</v>
      </c>
    </row>
    <row r="545" spans="1:3" ht="15.5" x14ac:dyDescent="0.35">
      <c r="A545" s="87">
        <v>544</v>
      </c>
      <c r="B545" s="32" t="s">
        <v>783</v>
      </c>
      <c r="C545" s="32" t="s">
        <v>974</v>
      </c>
    </row>
    <row r="546" spans="1:3" ht="15.5" x14ac:dyDescent="0.35">
      <c r="A546" s="87">
        <v>545</v>
      </c>
      <c r="B546" s="32" t="s">
        <v>785</v>
      </c>
      <c r="C546" s="32" t="s">
        <v>976</v>
      </c>
    </row>
    <row r="547" spans="1:3" ht="15.5" x14ac:dyDescent="0.35">
      <c r="A547" s="87">
        <v>546</v>
      </c>
      <c r="B547" s="32" t="s">
        <v>787</v>
      </c>
      <c r="C547" s="32" t="s">
        <v>978</v>
      </c>
    </row>
    <row r="548" spans="1:3" ht="15.5" x14ac:dyDescent="0.35">
      <c r="A548" s="87">
        <v>547</v>
      </c>
      <c r="B548" s="32" t="s">
        <v>788</v>
      </c>
      <c r="C548" s="32" t="s">
        <v>980</v>
      </c>
    </row>
    <row r="549" spans="1:3" ht="15.5" x14ac:dyDescent="0.35">
      <c r="A549" s="87">
        <v>548</v>
      </c>
      <c r="B549" s="32" t="s">
        <v>790</v>
      </c>
      <c r="C549" s="32" t="s">
        <v>982</v>
      </c>
    </row>
    <row r="550" spans="1:3" ht="15.5" x14ac:dyDescent="0.35">
      <c r="A550" s="87">
        <v>549</v>
      </c>
      <c r="B550" s="32" t="s">
        <v>792</v>
      </c>
      <c r="C550" s="32" t="s">
        <v>984</v>
      </c>
    </row>
    <row r="551" spans="1:3" ht="15.5" x14ac:dyDescent="0.35">
      <c r="A551" s="87">
        <v>550</v>
      </c>
      <c r="B551" s="32" t="s">
        <v>794</v>
      </c>
      <c r="C551" s="32" t="s">
        <v>986</v>
      </c>
    </row>
    <row r="552" spans="1:3" ht="15.5" x14ac:dyDescent="0.35">
      <c r="A552" s="87">
        <v>551</v>
      </c>
      <c r="B552" s="32" t="s">
        <v>796</v>
      </c>
      <c r="C552" s="32" t="s">
        <v>988</v>
      </c>
    </row>
    <row r="553" spans="1:3" ht="15.5" x14ac:dyDescent="0.35">
      <c r="A553" s="87">
        <v>552</v>
      </c>
      <c r="B553" s="32" t="s">
        <v>798</v>
      </c>
      <c r="C553" s="32" t="s">
        <v>990</v>
      </c>
    </row>
    <row r="554" spans="1:3" ht="15.5" x14ac:dyDescent="0.35">
      <c r="A554" s="87">
        <v>553</v>
      </c>
      <c r="B554" s="32" t="s">
        <v>800</v>
      </c>
      <c r="C554" s="32" t="s">
        <v>992</v>
      </c>
    </row>
    <row r="555" spans="1:3" ht="15.5" x14ac:dyDescent="0.35">
      <c r="A555" s="87">
        <v>554</v>
      </c>
      <c r="B555" s="32" t="s">
        <v>802</v>
      </c>
      <c r="C555" s="32" t="s">
        <v>994</v>
      </c>
    </row>
    <row r="556" spans="1:3" ht="15.5" x14ac:dyDescent="0.35">
      <c r="A556" s="87">
        <v>555</v>
      </c>
      <c r="B556" s="32" t="s">
        <v>804</v>
      </c>
      <c r="C556" s="32" t="s">
        <v>996</v>
      </c>
    </row>
    <row r="557" spans="1:3" ht="15.5" x14ac:dyDescent="0.35">
      <c r="A557" s="87">
        <v>556</v>
      </c>
      <c r="B557" s="32" t="s">
        <v>806</v>
      </c>
      <c r="C557" s="32" t="s">
        <v>998</v>
      </c>
    </row>
    <row r="558" spans="1:3" ht="15.5" x14ac:dyDescent="0.35">
      <c r="A558" s="87">
        <v>557</v>
      </c>
      <c r="B558" s="32" t="s">
        <v>808</v>
      </c>
      <c r="C558" s="32" t="s">
        <v>1000</v>
      </c>
    </row>
    <row r="559" spans="1:3" ht="15.5" x14ac:dyDescent="0.35">
      <c r="A559" s="87">
        <v>558</v>
      </c>
      <c r="B559" s="32" t="s">
        <v>810</v>
      </c>
      <c r="C559" s="32" t="s">
        <v>1002</v>
      </c>
    </row>
    <row r="560" spans="1:3" ht="15.5" x14ac:dyDescent="0.35">
      <c r="A560" s="87">
        <v>559</v>
      </c>
      <c r="B560" s="32" t="s">
        <v>812</v>
      </c>
      <c r="C560" s="32" t="s">
        <v>1004</v>
      </c>
    </row>
    <row r="561" spans="1:3" ht="15.5" x14ac:dyDescent="0.35">
      <c r="A561" s="87">
        <v>560</v>
      </c>
      <c r="B561" s="32" t="s">
        <v>814</v>
      </c>
      <c r="C561" s="32" t="s">
        <v>1006</v>
      </c>
    </row>
    <row r="562" spans="1:3" ht="15.5" x14ac:dyDescent="0.35">
      <c r="A562" s="87">
        <v>561</v>
      </c>
      <c r="B562" s="32" t="s">
        <v>816</v>
      </c>
      <c r="C562" s="32" t="s">
        <v>1008</v>
      </c>
    </row>
    <row r="563" spans="1:3" ht="15.5" x14ac:dyDescent="0.35">
      <c r="A563" s="87">
        <v>562</v>
      </c>
      <c r="B563" s="32" t="s">
        <v>818</v>
      </c>
      <c r="C563" s="32" t="s">
        <v>1010</v>
      </c>
    </row>
    <row r="564" spans="1:3" ht="15.5" x14ac:dyDescent="0.35">
      <c r="A564" s="87">
        <v>563</v>
      </c>
      <c r="B564" s="32" t="s">
        <v>820</v>
      </c>
      <c r="C564" s="32" t="s">
        <v>1012</v>
      </c>
    </row>
    <row r="565" spans="1:3" ht="15.5" x14ac:dyDescent="0.35">
      <c r="A565" s="87">
        <v>564</v>
      </c>
      <c r="B565" s="32" t="s">
        <v>822</v>
      </c>
      <c r="C565" s="32" t="s">
        <v>1014</v>
      </c>
    </row>
    <row r="566" spans="1:3" ht="15.5" x14ac:dyDescent="0.35">
      <c r="A566" s="87">
        <v>565</v>
      </c>
      <c r="B566" s="32" t="s">
        <v>824</v>
      </c>
      <c r="C566" s="32" t="s">
        <v>1016</v>
      </c>
    </row>
    <row r="567" spans="1:3" ht="15.5" x14ac:dyDescent="0.35">
      <c r="A567" s="87">
        <v>566</v>
      </c>
      <c r="B567" s="32" t="s">
        <v>826</v>
      </c>
      <c r="C567" s="32" t="s">
        <v>1018</v>
      </c>
    </row>
    <row r="568" spans="1:3" ht="15.5" x14ac:dyDescent="0.35">
      <c r="A568" s="87">
        <v>567</v>
      </c>
      <c r="B568" s="32" t="s">
        <v>828</v>
      </c>
      <c r="C568" s="32" t="s">
        <v>1020</v>
      </c>
    </row>
    <row r="569" spans="1:3" ht="15.5" x14ac:dyDescent="0.35">
      <c r="A569" s="87">
        <v>568</v>
      </c>
      <c r="B569" s="32" t="s">
        <v>830</v>
      </c>
      <c r="C569" s="32" t="s">
        <v>1022</v>
      </c>
    </row>
    <row r="570" spans="1:3" ht="15.5" x14ac:dyDescent="0.35">
      <c r="A570" s="87">
        <v>569</v>
      </c>
      <c r="B570" s="32" t="s">
        <v>832</v>
      </c>
      <c r="C570" s="32" t="s">
        <v>1024</v>
      </c>
    </row>
    <row r="571" spans="1:3" ht="15.5" x14ac:dyDescent="0.35">
      <c r="A571" s="87">
        <v>570</v>
      </c>
      <c r="B571" s="32" t="s">
        <v>834</v>
      </c>
      <c r="C571" s="32" t="s">
        <v>1026</v>
      </c>
    </row>
    <row r="572" spans="1:3" ht="15.5" x14ac:dyDescent="0.35">
      <c r="A572" s="87">
        <v>571</v>
      </c>
      <c r="B572" s="32" t="s">
        <v>836</v>
      </c>
      <c r="C572" s="32" t="s">
        <v>1028</v>
      </c>
    </row>
    <row r="573" spans="1:3" ht="15.5" x14ac:dyDescent="0.35">
      <c r="A573" s="87">
        <v>572</v>
      </c>
      <c r="B573" s="32" t="s">
        <v>838</v>
      </c>
      <c r="C573" s="32" t="s">
        <v>1030</v>
      </c>
    </row>
    <row r="574" spans="1:3" ht="15.5" x14ac:dyDescent="0.35">
      <c r="A574" s="87">
        <v>573</v>
      </c>
      <c r="B574" s="32" t="s">
        <v>840</v>
      </c>
      <c r="C574" s="32" t="s">
        <v>1032</v>
      </c>
    </row>
    <row r="575" spans="1:3" ht="15.5" x14ac:dyDescent="0.35">
      <c r="A575" s="87">
        <v>574</v>
      </c>
      <c r="B575" s="32" t="s">
        <v>842</v>
      </c>
      <c r="C575" s="32" t="s">
        <v>1034</v>
      </c>
    </row>
    <row r="576" spans="1:3" ht="15.5" x14ac:dyDescent="0.35">
      <c r="A576" s="87">
        <v>575</v>
      </c>
      <c r="B576" s="32" t="s">
        <v>844</v>
      </c>
      <c r="C576" s="32" t="s">
        <v>1036</v>
      </c>
    </row>
    <row r="577" spans="1:3" ht="15.5" x14ac:dyDescent="0.35">
      <c r="A577" s="87">
        <v>576</v>
      </c>
      <c r="B577" s="32" t="s">
        <v>846</v>
      </c>
      <c r="C577" s="32" t="s">
        <v>1038</v>
      </c>
    </row>
    <row r="578" spans="1:3" x14ac:dyDescent="0.35">
      <c r="A578" s="85">
        <v>577</v>
      </c>
      <c r="B578" s="85" t="s">
        <v>1040</v>
      </c>
      <c r="C578" s="85" t="s">
        <v>1232</v>
      </c>
    </row>
    <row r="579" spans="1:3" x14ac:dyDescent="0.35">
      <c r="A579" s="85">
        <v>578</v>
      </c>
      <c r="B579" s="85" t="s">
        <v>1043</v>
      </c>
      <c r="C579" s="85" t="s">
        <v>1234</v>
      </c>
    </row>
    <row r="580" spans="1:3" x14ac:dyDescent="0.35">
      <c r="A580" s="85">
        <v>579</v>
      </c>
      <c r="B580" s="85" t="s">
        <v>1045</v>
      </c>
      <c r="C580" s="85" t="s">
        <v>1236</v>
      </c>
    </row>
    <row r="581" spans="1:3" x14ac:dyDescent="0.35">
      <c r="A581" s="85">
        <v>580</v>
      </c>
      <c r="B581" s="85" t="s">
        <v>1047</v>
      </c>
      <c r="C581" s="85" t="s">
        <v>1238</v>
      </c>
    </row>
    <row r="582" spans="1:3" x14ac:dyDescent="0.35">
      <c r="A582" s="85">
        <v>581</v>
      </c>
      <c r="B582" s="85" t="s">
        <v>1049</v>
      </c>
      <c r="C582" s="85" t="s">
        <v>1240</v>
      </c>
    </row>
    <row r="583" spans="1:3" x14ac:dyDescent="0.35">
      <c r="A583" s="85">
        <v>582</v>
      </c>
      <c r="B583" s="85" t="s">
        <v>1051</v>
      </c>
      <c r="C583" s="85" t="s">
        <v>1242</v>
      </c>
    </row>
    <row r="584" spans="1:3" x14ac:dyDescent="0.35">
      <c r="A584" s="85">
        <v>583</v>
      </c>
      <c r="B584" s="85" t="s">
        <v>1053</v>
      </c>
      <c r="C584" s="85" t="s">
        <v>1244</v>
      </c>
    </row>
    <row r="585" spans="1:3" x14ac:dyDescent="0.35">
      <c r="A585" s="85">
        <v>584</v>
      </c>
      <c r="B585" s="85" t="s">
        <v>1055</v>
      </c>
      <c r="C585" s="85" t="s">
        <v>1246</v>
      </c>
    </row>
    <row r="586" spans="1:3" x14ac:dyDescent="0.35">
      <c r="A586" s="85">
        <v>585</v>
      </c>
      <c r="B586" s="85" t="s">
        <v>1057</v>
      </c>
      <c r="C586" s="85" t="s">
        <v>1248</v>
      </c>
    </row>
    <row r="587" spans="1:3" x14ac:dyDescent="0.35">
      <c r="A587" s="85">
        <v>586</v>
      </c>
      <c r="B587" s="85" t="s">
        <v>1059</v>
      </c>
      <c r="C587" s="85" t="s">
        <v>1250</v>
      </c>
    </row>
    <row r="588" spans="1:3" x14ac:dyDescent="0.35">
      <c r="A588" s="85">
        <v>587</v>
      </c>
      <c r="B588" s="85" t="s">
        <v>1061</v>
      </c>
      <c r="C588" s="85" t="s">
        <v>1252</v>
      </c>
    </row>
    <row r="589" spans="1:3" x14ac:dyDescent="0.35">
      <c r="A589" s="85">
        <v>588</v>
      </c>
      <c r="B589" s="85" t="s">
        <v>1063</v>
      </c>
      <c r="C589" s="85" t="s">
        <v>1254</v>
      </c>
    </row>
    <row r="590" spans="1:3" x14ac:dyDescent="0.35">
      <c r="A590" s="85">
        <v>589</v>
      </c>
      <c r="B590" s="85" t="s">
        <v>1065</v>
      </c>
      <c r="C590" s="85" t="s">
        <v>1256</v>
      </c>
    </row>
    <row r="591" spans="1:3" x14ac:dyDescent="0.35">
      <c r="A591" s="85">
        <v>590</v>
      </c>
      <c r="B591" s="85" t="s">
        <v>1067</v>
      </c>
      <c r="C591" s="85" t="s">
        <v>1258</v>
      </c>
    </row>
    <row r="592" spans="1:3" x14ac:dyDescent="0.35">
      <c r="A592" s="85">
        <v>591</v>
      </c>
      <c r="B592" s="85" t="s">
        <v>1069</v>
      </c>
      <c r="C592" s="85" t="s">
        <v>1260</v>
      </c>
    </row>
    <row r="593" spans="1:3" x14ac:dyDescent="0.35">
      <c r="A593" s="85">
        <v>592</v>
      </c>
      <c r="B593" s="85" t="s">
        <v>1071</v>
      </c>
      <c r="C593" s="85" t="s">
        <v>1262</v>
      </c>
    </row>
    <row r="594" spans="1:3" x14ac:dyDescent="0.35">
      <c r="A594" s="85">
        <v>593</v>
      </c>
      <c r="B594" s="85" t="s">
        <v>1073</v>
      </c>
      <c r="C594" s="85" t="s">
        <v>1264</v>
      </c>
    </row>
    <row r="595" spans="1:3" x14ac:dyDescent="0.35">
      <c r="A595" s="85">
        <v>594</v>
      </c>
      <c r="B595" s="85" t="s">
        <v>1075</v>
      </c>
      <c r="C595" s="85" t="s">
        <v>1266</v>
      </c>
    </row>
    <row r="596" spans="1:3" x14ac:dyDescent="0.35">
      <c r="A596" s="85">
        <v>595</v>
      </c>
      <c r="B596" s="85" t="s">
        <v>1076</v>
      </c>
      <c r="C596" s="85" t="s">
        <v>1268</v>
      </c>
    </row>
    <row r="597" spans="1:3" x14ac:dyDescent="0.35">
      <c r="A597" s="85">
        <v>596</v>
      </c>
      <c r="B597" s="85" t="s">
        <v>1078</v>
      </c>
      <c r="C597" s="85" t="s">
        <v>1270</v>
      </c>
    </row>
    <row r="598" spans="1:3" x14ac:dyDescent="0.35">
      <c r="A598" s="85">
        <v>597</v>
      </c>
      <c r="B598" s="85" t="s">
        <v>1080</v>
      </c>
      <c r="C598" s="85" t="s">
        <v>1272</v>
      </c>
    </row>
    <row r="599" spans="1:3" x14ac:dyDescent="0.35">
      <c r="A599" s="85">
        <v>598</v>
      </c>
      <c r="B599" s="85" t="s">
        <v>1082</v>
      </c>
      <c r="C599" s="85" t="s">
        <v>1274</v>
      </c>
    </row>
    <row r="600" spans="1:3" x14ac:dyDescent="0.35">
      <c r="A600" s="85">
        <v>599</v>
      </c>
      <c r="B600" s="85" t="s">
        <v>1084</v>
      </c>
      <c r="C600" s="85" t="s">
        <v>1276</v>
      </c>
    </row>
    <row r="601" spans="1:3" x14ac:dyDescent="0.35">
      <c r="A601" s="85">
        <v>600</v>
      </c>
      <c r="B601" s="85" t="s">
        <v>1086</v>
      </c>
      <c r="C601" s="85" t="s">
        <v>1278</v>
      </c>
    </row>
    <row r="602" spans="1:3" x14ac:dyDescent="0.35">
      <c r="A602" s="85">
        <v>601</v>
      </c>
      <c r="B602" s="85" t="s">
        <v>1088</v>
      </c>
      <c r="C602" s="85" t="s">
        <v>1280</v>
      </c>
    </row>
    <row r="603" spans="1:3" x14ac:dyDescent="0.35">
      <c r="A603" s="85">
        <v>602</v>
      </c>
      <c r="B603" s="85" t="s">
        <v>1090</v>
      </c>
      <c r="C603" s="85" t="s">
        <v>1282</v>
      </c>
    </row>
    <row r="604" spans="1:3" x14ac:dyDescent="0.35">
      <c r="A604" s="85">
        <v>603</v>
      </c>
      <c r="B604" s="85" t="s">
        <v>1092</v>
      </c>
      <c r="C604" s="85" t="s">
        <v>1284</v>
      </c>
    </row>
    <row r="605" spans="1:3" x14ac:dyDescent="0.35">
      <c r="A605" s="85">
        <v>604</v>
      </c>
      <c r="B605" s="85" t="s">
        <v>1094</v>
      </c>
      <c r="C605" s="85" t="s">
        <v>1286</v>
      </c>
    </row>
    <row r="606" spans="1:3" x14ac:dyDescent="0.35">
      <c r="A606" s="85">
        <v>605</v>
      </c>
      <c r="B606" s="85" t="s">
        <v>1096</v>
      </c>
      <c r="C606" s="85" t="s">
        <v>1288</v>
      </c>
    </row>
    <row r="607" spans="1:3" x14ac:dyDescent="0.35">
      <c r="A607" s="85">
        <v>606</v>
      </c>
      <c r="B607" s="85" t="s">
        <v>1098</v>
      </c>
      <c r="C607" s="85" t="s">
        <v>1290</v>
      </c>
    </row>
    <row r="608" spans="1:3" x14ac:dyDescent="0.35">
      <c r="A608" s="85">
        <v>607</v>
      </c>
      <c r="B608" s="85" t="s">
        <v>1100</v>
      </c>
      <c r="C608" s="85" t="s">
        <v>1292</v>
      </c>
    </row>
    <row r="609" spans="1:3" x14ac:dyDescent="0.35">
      <c r="A609" s="85">
        <v>608</v>
      </c>
      <c r="B609" s="85" t="s">
        <v>1102</v>
      </c>
      <c r="C609" s="85" t="s">
        <v>1294</v>
      </c>
    </row>
    <row r="610" spans="1:3" x14ac:dyDescent="0.35">
      <c r="A610" s="85">
        <v>609</v>
      </c>
      <c r="B610" s="85" t="s">
        <v>1104</v>
      </c>
      <c r="C610" s="85" t="s">
        <v>1296</v>
      </c>
    </row>
    <row r="611" spans="1:3" x14ac:dyDescent="0.35">
      <c r="A611" s="85">
        <v>610</v>
      </c>
      <c r="B611" s="85" t="s">
        <v>1106</v>
      </c>
      <c r="C611" s="85" t="s">
        <v>1298</v>
      </c>
    </row>
    <row r="612" spans="1:3" x14ac:dyDescent="0.35">
      <c r="A612" s="85">
        <v>611</v>
      </c>
      <c r="B612" s="85" t="s">
        <v>1108</v>
      </c>
      <c r="C612" s="85" t="s">
        <v>1300</v>
      </c>
    </row>
    <row r="613" spans="1:3" x14ac:dyDescent="0.35">
      <c r="A613" s="85">
        <v>612</v>
      </c>
      <c r="B613" s="85" t="s">
        <v>1110</v>
      </c>
      <c r="C613" s="85" t="s">
        <v>1302</v>
      </c>
    </row>
    <row r="614" spans="1:3" x14ac:dyDescent="0.35">
      <c r="A614" s="85">
        <v>613</v>
      </c>
      <c r="B614" s="85" t="s">
        <v>1112</v>
      </c>
      <c r="C614" s="85" t="s">
        <v>1304</v>
      </c>
    </row>
    <row r="615" spans="1:3" x14ac:dyDescent="0.35">
      <c r="A615" s="85">
        <v>614</v>
      </c>
      <c r="B615" s="85" t="s">
        <v>1114</v>
      </c>
      <c r="C615" s="85" t="s">
        <v>1306</v>
      </c>
    </row>
    <row r="616" spans="1:3" x14ac:dyDescent="0.35">
      <c r="A616" s="85">
        <v>615</v>
      </c>
      <c r="B616" s="85" t="s">
        <v>1116</v>
      </c>
      <c r="C616" s="85" t="s">
        <v>1308</v>
      </c>
    </row>
    <row r="617" spans="1:3" x14ac:dyDescent="0.35">
      <c r="A617" s="85">
        <v>616</v>
      </c>
      <c r="B617" s="85" t="s">
        <v>1118</v>
      </c>
      <c r="C617" s="85" t="s">
        <v>1310</v>
      </c>
    </row>
    <row r="618" spans="1:3" x14ac:dyDescent="0.35">
      <c r="A618" s="85">
        <v>617</v>
      </c>
      <c r="B618" s="85" t="s">
        <v>1120</v>
      </c>
      <c r="C618" s="85" t="s">
        <v>1312</v>
      </c>
    </row>
    <row r="619" spans="1:3" x14ac:dyDescent="0.35">
      <c r="A619" s="85">
        <v>618</v>
      </c>
      <c r="B619" s="85" t="s">
        <v>1122</v>
      </c>
      <c r="C619" s="85" t="s">
        <v>1314</v>
      </c>
    </row>
    <row r="620" spans="1:3" x14ac:dyDescent="0.35">
      <c r="A620" s="85">
        <v>619</v>
      </c>
      <c r="B620" s="85" t="s">
        <v>1124</v>
      </c>
      <c r="C620" s="85" t="s">
        <v>1316</v>
      </c>
    </row>
    <row r="621" spans="1:3" x14ac:dyDescent="0.35">
      <c r="A621" s="85">
        <v>620</v>
      </c>
      <c r="B621" s="85" t="s">
        <v>1126</v>
      </c>
      <c r="C621" s="85" t="s">
        <v>1318</v>
      </c>
    </row>
    <row r="622" spans="1:3" x14ac:dyDescent="0.35">
      <c r="A622" s="85">
        <v>621</v>
      </c>
      <c r="B622" s="85" t="s">
        <v>1128</v>
      </c>
      <c r="C622" s="85" t="s">
        <v>1320</v>
      </c>
    </row>
    <row r="623" spans="1:3" x14ac:dyDescent="0.35">
      <c r="A623" s="85">
        <v>622</v>
      </c>
      <c r="B623" s="85" t="s">
        <v>1130</v>
      </c>
      <c r="C623" s="85" t="s">
        <v>1322</v>
      </c>
    </row>
    <row r="624" spans="1:3" x14ac:dyDescent="0.35">
      <c r="A624" s="85">
        <v>623</v>
      </c>
      <c r="B624" s="85" t="s">
        <v>1132</v>
      </c>
      <c r="C624" s="85" t="s">
        <v>1324</v>
      </c>
    </row>
    <row r="625" spans="1:3" x14ac:dyDescent="0.35">
      <c r="A625" s="85">
        <v>624</v>
      </c>
      <c r="B625" s="85" t="s">
        <v>1134</v>
      </c>
      <c r="C625" s="85" t="s">
        <v>1326</v>
      </c>
    </row>
    <row r="626" spans="1:3" x14ac:dyDescent="0.35">
      <c r="A626" s="85">
        <v>625</v>
      </c>
      <c r="B626" s="85" t="s">
        <v>1136</v>
      </c>
      <c r="C626" s="85" t="s">
        <v>1328</v>
      </c>
    </row>
    <row r="627" spans="1:3" x14ac:dyDescent="0.35">
      <c r="A627" s="85">
        <v>626</v>
      </c>
      <c r="B627" s="85" t="s">
        <v>1138</v>
      </c>
      <c r="C627" s="85" t="s">
        <v>1330</v>
      </c>
    </row>
    <row r="628" spans="1:3" x14ac:dyDescent="0.35">
      <c r="A628" s="85">
        <v>627</v>
      </c>
      <c r="B628" s="85" t="s">
        <v>1140</v>
      </c>
      <c r="C628" s="85" t="s">
        <v>1332</v>
      </c>
    </row>
    <row r="629" spans="1:3" x14ac:dyDescent="0.35">
      <c r="A629" s="85">
        <v>628</v>
      </c>
      <c r="B629" s="85" t="s">
        <v>1142</v>
      </c>
      <c r="C629" s="85" t="s">
        <v>1334</v>
      </c>
    </row>
    <row r="630" spans="1:3" x14ac:dyDescent="0.35">
      <c r="A630" s="85">
        <v>629</v>
      </c>
      <c r="B630" s="85" t="s">
        <v>1144</v>
      </c>
      <c r="C630" s="85" t="s">
        <v>1336</v>
      </c>
    </row>
    <row r="631" spans="1:3" x14ac:dyDescent="0.35">
      <c r="A631" s="85">
        <v>630</v>
      </c>
      <c r="B631" s="85" t="s">
        <v>1146</v>
      </c>
      <c r="C631" s="85" t="s">
        <v>1338</v>
      </c>
    </row>
    <row r="632" spans="1:3" x14ac:dyDescent="0.35">
      <c r="A632" s="85">
        <v>631</v>
      </c>
      <c r="B632" s="85" t="s">
        <v>1148</v>
      </c>
      <c r="C632" s="85" t="s">
        <v>1340</v>
      </c>
    </row>
    <row r="633" spans="1:3" x14ac:dyDescent="0.35">
      <c r="A633" s="85">
        <v>632</v>
      </c>
      <c r="B633" s="85" t="s">
        <v>1150</v>
      </c>
      <c r="C633" s="85" t="s">
        <v>1342</v>
      </c>
    </row>
    <row r="634" spans="1:3" x14ac:dyDescent="0.35">
      <c r="A634" s="85">
        <v>633</v>
      </c>
      <c r="B634" s="85" t="s">
        <v>1152</v>
      </c>
      <c r="C634" s="85" t="s">
        <v>1344</v>
      </c>
    </row>
    <row r="635" spans="1:3" x14ac:dyDescent="0.35">
      <c r="A635" s="85">
        <v>634</v>
      </c>
      <c r="B635" s="85" t="s">
        <v>1154</v>
      </c>
      <c r="C635" s="85" t="s">
        <v>1346</v>
      </c>
    </row>
    <row r="636" spans="1:3" x14ac:dyDescent="0.35">
      <c r="A636" s="85">
        <v>635</v>
      </c>
      <c r="B636" s="85" t="s">
        <v>1156</v>
      </c>
      <c r="C636" s="85" t="s">
        <v>1348</v>
      </c>
    </row>
    <row r="637" spans="1:3" x14ac:dyDescent="0.35">
      <c r="A637" s="85">
        <v>636</v>
      </c>
      <c r="B637" s="85" t="s">
        <v>1158</v>
      </c>
      <c r="C637" s="85" t="s">
        <v>1350</v>
      </c>
    </row>
    <row r="638" spans="1:3" x14ac:dyDescent="0.35">
      <c r="A638" s="85">
        <v>637</v>
      </c>
      <c r="B638" s="85" t="s">
        <v>1160</v>
      </c>
      <c r="C638" s="85" t="s">
        <v>1352</v>
      </c>
    </row>
    <row r="639" spans="1:3" x14ac:dyDescent="0.35">
      <c r="A639" s="85">
        <v>638</v>
      </c>
      <c r="B639" s="85" t="s">
        <v>1162</v>
      </c>
      <c r="C639" s="85" t="s">
        <v>1354</v>
      </c>
    </row>
    <row r="640" spans="1:3" x14ac:dyDescent="0.35">
      <c r="A640" s="85">
        <v>639</v>
      </c>
      <c r="B640" s="85" t="s">
        <v>1164</v>
      </c>
      <c r="C640" s="85" t="s">
        <v>1356</v>
      </c>
    </row>
    <row r="641" spans="1:3" x14ac:dyDescent="0.35">
      <c r="A641" s="85">
        <v>640</v>
      </c>
      <c r="B641" s="85" t="s">
        <v>1166</v>
      </c>
      <c r="C641" s="85" t="s">
        <v>1358</v>
      </c>
    </row>
    <row r="642" spans="1:3" x14ac:dyDescent="0.35">
      <c r="A642" s="85">
        <v>641</v>
      </c>
      <c r="B642" s="85" t="s">
        <v>1168</v>
      </c>
      <c r="C642" s="85" t="s">
        <v>1360</v>
      </c>
    </row>
    <row r="643" spans="1:3" x14ac:dyDescent="0.35">
      <c r="A643" s="85">
        <v>642</v>
      </c>
      <c r="B643" s="85" t="s">
        <v>1170</v>
      </c>
      <c r="C643" s="85" t="s">
        <v>1362</v>
      </c>
    </row>
    <row r="644" spans="1:3" x14ac:dyDescent="0.35">
      <c r="A644" s="85">
        <v>643</v>
      </c>
      <c r="B644" s="85" t="s">
        <v>1172</v>
      </c>
      <c r="C644" s="85" t="s">
        <v>1363</v>
      </c>
    </row>
    <row r="645" spans="1:3" x14ac:dyDescent="0.35">
      <c r="A645" s="85">
        <v>644</v>
      </c>
      <c r="B645" s="85" t="s">
        <v>1174</v>
      </c>
      <c r="C645" s="85" t="s">
        <v>1365</v>
      </c>
    </row>
    <row r="646" spans="1:3" x14ac:dyDescent="0.35">
      <c r="A646" s="85">
        <v>645</v>
      </c>
      <c r="B646" s="85" t="s">
        <v>1176</v>
      </c>
      <c r="C646" s="85" t="s">
        <v>1367</v>
      </c>
    </row>
    <row r="647" spans="1:3" x14ac:dyDescent="0.35">
      <c r="A647" s="85">
        <v>646</v>
      </c>
      <c r="B647" s="85" t="s">
        <v>1178</v>
      </c>
      <c r="C647" s="85" t="s">
        <v>1369</v>
      </c>
    </row>
    <row r="648" spans="1:3" x14ac:dyDescent="0.35">
      <c r="A648" s="85">
        <v>647</v>
      </c>
      <c r="B648" s="85" t="s">
        <v>1180</v>
      </c>
      <c r="C648" s="85" t="s">
        <v>1371</v>
      </c>
    </row>
    <row r="649" spans="1:3" x14ac:dyDescent="0.35">
      <c r="A649" s="85">
        <v>648</v>
      </c>
      <c r="B649" s="85" t="s">
        <v>1182</v>
      </c>
      <c r="C649" s="85" t="s">
        <v>1373</v>
      </c>
    </row>
    <row r="650" spans="1:3" x14ac:dyDescent="0.35">
      <c r="A650" s="85">
        <v>649</v>
      </c>
      <c r="B650" s="85" t="s">
        <v>1184</v>
      </c>
      <c r="C650" s="85" t="s">
        <v>1375</v>
      </c>
    </row>
    <row r="651" spans="1:3" x14ac:dyDescent="0.35">
      <c r="A651" s="85">
        <v>650</v>
      </c>
      <c r="B651" s="85" t="s">
        <v>1186</v>
      </c>
      <c r="C651" s="85" t="s">
        <v>1377</v>
      </c>
    </row>
    <row r="652" spans="1:3" x14ac:dyDescent="0.35">
      <c r="A652" s="85">
        <v>651</v>
      </c>
      <c r="B652" s="85" t="s">
        <v>1188</v>
      </c>
      <c r="C652" s="85" t="s">
        <v>1379</v>
      </c>
    </row>
    <row r="653" spans="1:3" x14ac:dyDescent="0.35">
      <c r="A653" s="85">
        <v>652</v>
      </c>
      <c r="B653" s="85" t="s">
        <v>1190</v>
      </c>
      <c r="C653" s="85" t="s">
        <v>1381</v>
      </c>
    </row>
    <row r="654" spans="1:3" x14ac:dyDescent="0.35">
      <c r="A654" s="85">
        <v>653</v>
      </c>
      <c r="B654" s="85" t="s">
        <v>1192</v>
      </c>
      <c r="C654" s="85" t="s">
        <v>1383</v>
      </c>
    </row>
    <row r="655" spans="1:3" x14ac:dyDescent="0.35">
      <c r="A655" s="85">
        <v>654</v>
      </c>
      <c r="B655" s="85" t="s">
        <v>1194</v>
      </c>
      <c r="C655" s="85" t="s">
        <v>1385</v>
      </c>
    </row>
    <row r="656" spans="1:3" x14ac:dyDescent="0.35">
      <c r="A656" s="85">
        <v>655</v>
      </c>
      <c r="B656" s="85" t="s">
        <v>1196</v>
      </c>
      <c r="C656" s="85" t="s">
        <v>1387</v>
      </c>
    </row>
    <row r="657" spans="1:3" x14ac:dyDescent="0.35">
      <c r="A657" s="85">
        <v>656</v>
      </c>
      <c r="B657" s="85" t="s">
        <v>1198</v>
      </c>
      <c r="C657" s="85" t="s">
        <v>1389</v>
      </c>
    </row>
    <row r="658" spans="1:3" x14ac:dyDescent="0.35">
      <c r="A658" s="85">
        <v>657</v>
      </c>
      <c r="B658" s="85" t="s">
        <v>1200</v>
      </c>
      <c r="C658" s="85" t="s">
        <v>1391</v>
      </c>
    </row>
    <row r="659" spans="1:3" x14ac:dyDescent="0.35">
      <c r="A659" s="85">
        <v>658</v>
      </c>
      <c r="B659" s="85" t="s">
        <v>1202</v>
      </c>
      <c r="C659" s="85" t="s">
        <v>1393</v>
      </c>
    </row>
    <row r="660" spans="1:3" x14ac:dyDescent="0.35">
      <c r="A660" s="85">
        <v>659</v>
      </c>
      <c r="B660" s="85" t="s">
        <v>1204</v>
      </c>
      <c r="C660" s="85" t="s">
        <v>1395</v>
      </c>
    </row>
    <row r="661" spans="1:3" x14ac:dyDescent="0.35">
      <c r="A661" s="85">
        <v>660</v>
      </c>
      <c r="B661" s="85" t="s">
        <v>1206</v>
      </c>
      <c r="C661" s="85" t="s">
        <v>1397</v>
      </c>
    </row>
    <row r="662" spans="1:3" x14ac:dyDescent="0.35">
      <c r="A662" s="85">
        <v>661</v>
      </c>
      <c r="B662" s="85" t="s">
        <v>1208</v>
      </c>
      <c r="C662" s="85" t="s">
        <v>1399</v>
      </c>
    </row>
    <row r="663" spans="1:3" x14ac:dyDescent="0.35">
      <c r="A663" s="85">
        <v>662</v>
      </c>
      <c r="B663" s="85" t="s">
        <v>1210</v>
      </c>
      <c r="C663" s="85" t="s">
        <v>1401</v>
      </c>
    </row>
    <row r="664" spans="1:3" x14ac:dyDescent="0.35">
      <c r="A664" s="85">
        <v>663</v>
      </c>
      <c r="B664" s="85" t="s">
        <v>1212</v>
      </c>
      <c r="C664" s="85" t="s">
        <v>1403</v>
      </c>
    </row>
    <row r="665" spans="1:3" x14ac:dyDescent="0.35">
      <c r="A665" s="85">
        <v>664</v>
      </c>
      <c r="B665" s="85" t="s">
        <v>1214</v>
      </c>
      <c r="C665" s="85" t="s">
        <v>1405</v>
      </c>
    </row>
    <row r="666" spans="1:3" x14ac:dyDescent="0.35">
      <c r="A666" s="85">
        <v>665</v>
      </c>
      <c r="B666" s="85" t="s">
        <v>1216</v>
      </c>
      <c r="C666" s="85" t="s">
        <v>1407</v>
      </c>
    </row>
    <row r="667" spans="1:3" x14ac:dyDescent="0.35">
      <c r="A667" s="85">
        <v>666</v>
      </c>
      <c r="B667" s="85" t="s">
        <v>1218</v>
      </c>
      <c r="C667" s="85" t="s">
        <v>1409</v>
      </c>
    </row>
    <row r="668" spans="1:3" x14ac:dyDescent="0.35">
      <c r="A668" s="85">
        <v>667</v>
      </c>
      <c r="B668" s="85" t="s">
        <v>1220</v>
      </c>
      <c r="C668" s="85" t="s">
        <v>1411</v>
      </c>
    </row>
    <row r="669" spans="1:3" x14ac:dyDescent="0.35">
      <c r="A669" s="85">
        <v>668</v>
      </c>
      <c r="B669" s="85" t="s">
        <v>1222</v>
      </c>
      <c r="C669" s="85" t="s">
        <v>1413</v>
      </c>
    </row>
    <row r="670" spans="1:3" x14ac:dyDescent="0.35">
      <c r="A670" s="85">
        <v>669</v>
      </c>
      <c r="B670" s="85" t="s">
        <v>1224</v>
      </c>
      <c r="C670" s="85" t="s">
        <v>1415</v>
      </c>
    </row>
    <row r="671" spans="1:3" x14ac:dyDescent="0.35">
      <c r="A671" s="85">
        <v>670</v>
      </c>
      <c r="B671" s="85" t="s">
        <v>1226</v>
      </c>
      <c r="C671" s="85" t="s">
        <v>1417</v>
      </c>
    </row>
    <row r="672" spans="1:3" x14ac:dyDescent="0.35">
      <c r="A672" s="85">
        <v>671</v>
      </c>
      <c r="B672" s="85" t="s">
        <v>1228</v>
      </c>
      <c r="C672" s="85" t="s">
        <v>1419</v>
      </c>
    </row>
    <row r="673" spans="1:3" x14ac:dyDescent="0.35">
      <c r="A673" s="85">
        <v>672</v>
      </c>
      <c r="B673" s="85" t="s">
        <v>1230</v>
      </c>
      <c r="C673" s="85" t="s">
        <v>1421</v>
      </c>
    </row>
    <row r="674" spans="1:3" x14ac:dyDescent="0.35">
      <c r="A674" s="85">
        <v>673</v>
      </c>
      <c r="B674" s="85" t="s">
        <v>1423</v>
      </c>
      <c r="C674" s="85" t="s">
        <v>1614</v>
      </c>
    </row>
    <row r="675" spans="1:3" x14ac:dyDescent="0.35">
      <c r="A675" s="85">
        <v>674</v>
      </c>
      <c r="B675" s="85" t="s">
        <v>1426</v>
      </c>
      <c r="C675" s="85" t="s">
        <v>1616</v>
      </c>
    </row>
    <row r="676" spans="1:3" x14ac:dyDescent="0.35">
      <c r="A676" s="85">
        <v>675</v>
      </c>
      <c r="B676" s="85" t="s">
        <v>1428</v>
      </c>
      <c r="C676" s="85" t="s">
        <v>1618</v>
      </c>
    </row>
    <row r="677" spans="1:3" x14ac:dyDescent="0.35">
      <c r="A677" s="85">
        <v>676</v>
      </c>
      <c r="B677" s="85" t="s">
        <v>1430</v>
      </c>
      <c r="C677" s="85" t="s">
        <v>1620</v>
      </c>
    </row>
    <row r="678" spans="1:3" x14ac:dyDescent="0.35">
      <c r="A678" s="85">
        <v>677</v>
      </c>
      <c r="B678" s="85" t="s">
        <v>1432</v>
      </c>
      <c r="C678" s="85" t="s">
        <v>1622</v>
      </c>
    </row>
    <row r="679" spans="1:3" x14ac:dyDescent="0.35">
      <c r="A679" s="85">
        <v>678</v>
      </c>
      <c r="B679" s="85" t="s">
        <v>1434</v>
      </c>
      <c r="C679" s="85" t="s">
        <v>1624</v>
      </c>
    </row>
    <row r="680" spans="1:3" x14ac:dyDescent="0.35">
      <c r="A680" s="85">
        <v>679</v>
      </c>
      <c r="B680" s="85" t="s">
        <v>1436</v>
      </c>
      <c r="C680" s="85" t="s">
        <v>1626</v>
      </c>
    </row>
    <row r="681" spans="1:3" x14ac:dyDescent="0.35">
      <c r="A681" s="85">
        <v>680</v>
      </c>
      <c r="B681" s="85" t="s">
        <v>1438</v>
      </c>
      <c r="C681" s="85" t="s">
        <v>1628</v>
      </c>
    </row>
    <row r="682" spans="1:3" x14ac:dyDescent="0.35">
      <c r="A682" s="85">
        <v>681</v>
      </c>
      <c r="B682" s="85" t="s">
        <v>1440</v>
      </c>
      <c r="C682" s="85" t="s">
        <v>1630</v>
      </c>
    </row>
    <row r="683" spans="1:3" x14ac:dyDescent="0.35">
      <c r="A683" s="85">
        <v>682</v>
      </c>
      <c r="B683" s="85" t="s">
        <v>1442</v>
      </c>
      <c r="C683" s="85" t="s">
        <v>1632</v>
      </c>
    </row>
    <row r="684" spans="1:3" x14ac:dyDescent="0.35">
      <c r="A684" s="85">
        <v>683</v>
      </c>
      <c r="B684" s="85" t="s">
        <v>1444</v>
      </c>
      <c r="C684" s="85" t="s">
        <v>1634</v>
      </c>
    </row>
    <row r="685" spans="1:3" x14ac:dyDescent="0.35">
      <c r="A685" s="85">
        <v>684</v>
      </c>
      <c r="B685" s="85" t="s">
        <v>1446</v>
      </c>
      <c r="C685" s="85" t="s">
        <v>1636</v>
      </c>
    </row>
    <row r="686" spans="1:3" x14ac:dyDescent="0.35">
      <c r="A686" s="85">
        <v>685</v>
      </c>
      <c r="B686" s="85" t="s">
        <v>1448</v>
      </c>
      <c r="C686" s="85" t="s">
        <v>1638</v>
      </c>
    </row>
    <row r="687" spans="1:3" x14ac:dyDescent="0.35">
      <c r="A687" s="85">
        <v>686</v>
      </c>
      <c r="B687" s="85" t="s">
        <v>1450</v>
      </c>
      <c r="C687" s="85" t="s">
        <v>1640</v>
      </c>
    </row>
    <row r="688" spans="1:3" x14ac:dyDescent="0.35">
      <c r="A688" s="85">
        <v>687</v>
      </c>
      <c r="B688" s="85" t="s">
        <v>1452</v>
      </c>
      <c r="C688" s="85" t="s">
        <v>1642</v>
      </c>
    </row>
    <row r="689" spans="1:3" x14ac:dyDescent="0.35">
      <c r="A689" s="85">
        <v>688</v>
      </c>
      <c r="B689" s="85" t="s">
        <v>1454</v>
      </c>
      <c r="C689" s="85" t="s">
        <v>1644</v>
      </c>
    </row>
    <row r="690" spans="1:3" x14ac:dyDescent="0.35">
      <c r="A690" s="85">
        <v>689</v>
      </c>
      <c r="B690" s="85" t="s">
        <v>1456</v>
      </c>
      <c r="C690" s="85" t="s">
        <v>1646</v>
      </c>
    </row>
    <row r="691" spans="1:3" x14ac:dyDescent="0.35">
      <c r="A691" s="85">
        <v>690</v>
      </c>
      <c r="B691" s="85" t="s">
        <v>1458</v>
      </c>
      <c r="C691" s="85" t="s">
        <v>1648</v>
      </c>
    </row>
    <row r="692" spans="1:3" x14ac:dyDescent="0.35">
      <c r="A692" s="85">
        <v>691</v>
      </c>
      <c r="B692" s="85" t="s">
        <v>1460</v>
      </c>
      <c r="C692" s="85" t="s">
        <v>1650</v>
      </c>
    </row>
    <row r="693" spans="1:3" x14ac:dyDescent="0.35">
      <c r="A693" s="85">
        <v>692</v>
      </c>
      <c r="B693" s="85" t="s">
        <v>1462</v>
      </c>
      <c r="C693" s="85" t="s">
        <v>1652</v>
      </c>
    </row>
    <row r="694" spans="1:3" x14ac:dyDescent="0.35">
      <c r="A694" s="85">
        <v>693</v>
      </c>
      <c r="B694" s="85" t="s">
        <v>1464</v>
      </c>
      <c r="C694" s="85" t="s">
        <v>1654</v>
      </c>
    </row>
    <row r="695" spans="1:3" x14ac:dyDescent="0.35">
      <c r="A695" s="85">
        <v>694</v>
      </c>
      <c r="B695" s="85" t="s">
        <v>1466</v>
      </c>
      <c r="C695" s="85" t="s">
        <v>1656</v>
      </c>
    </row>
    <row r="696" spans="1:3" x14ac:dyDescent="0.35">
      <c r="A696" s="85">
        <v>695</v>
      </c>
      <c r="B696" s="85" t="s">
        <v>1468</v>
      </c>
      <c r="C696" s="85" t="s">
        <v>1658</v>
      </c>
    </row>
    <row r="697" spans="1:3" x14ac:dyDescent="0.35">
      <c r="A697" s="85">
        <v>696</v>
      </c>
      <c r="B697" s="85" t="s">
        <v>1470</v>
      </c>
      <c r="C697" s="85" t="s">
        <v>1660</v>
      </c>
    </row>
    <row r="698" spans="1:3" x14ac:dyDescent="0.35">
      <c r="A698" s="85">
        <v>697</v>
      </c>
      <c r="B698" s="85" t="s">
        <v>1472</v>
      </c>
      <c r="C698" s="85" t="s">
        <v>1662</v>
      </c>
    </row>
    <row r="699" spans="1:3" x14ac:dyDescent="0.35">
      <c r="A699" s="85">
        <v>698</v>
      </c>
      <c r="B699" s="85" t="s">
        <v>1474</v>
      </c>
      <c r="C699" s="85" t="s">
        <v>1664</v>
      </c>
    </row>
    <row r="700" spans="1:3" x14ac:dyDescent="0.35">
      <c r="A700" s="85">
        <v>699</v>
      </c>
      <c r="B700" s="85" t="s">
        <v>1476</v>
      </c>
      <c r="C700" s="85" t="s">
        <v>1666</v>
      </c>
    </row>
    <row r="701" spans="1:3" x14ac:dyDescent="0.35">
      <c r="A701" s="85">
        <v>700</v>
      </c>
      <c r="B701" s="85" t="s">
        <v>1478</v>
      </c>
      <c r="C701" s="85" t="s">
        <v>1668</v>
      </c>
    </row>
    <row r="702" spans="1:3" x14ac:dyDescent="0.35">
      <c r="A702" s="85">
        <v>701</v>
      </c>
      <c r="B702" s="85" t="s">
        <v>1480</v>
      </c>
      <c r="C702" s="85" t="s">
        <v>1670</v>
      </c>
    </row>
    <row r="703" spans="1:3" x14ac:dyDescent="0.35">
      <c r="A703" s="85">
        <v>702</v>
      </c>
      <c r="B703" s="85" t="s">
        <v>1482</v>
      </c>
      <c r="C703" s="85" t="s">
        <v>1672</v>
      </c>
    </row>
    <row r="704" spans="1:3" x14ac:dyDescent="0.35">
      <c r="A704" s="85">
        <v>703</v>
      </c>
      <c r="B704" s="85" t="s">
        <v>1484</v>
      </c>
      <c r="C704" s="85" t="s">
        <v>1674</v>
      </c>
    </row>
    <row r="705" spans="1:3" x14ac:dyDescent="0.35">
      <c r="A705" s="85">
        <v>704</v>
      </c>
      <c r="B705" s="85" t="s">
        <v>1486</v>
      </c>
      <c r="C705" s="85" t="s">
        <v>1676</v>
      </c>
    </row>
    <row r="706" spans="1:3" x14ac:dyDescent="0.35">
      <c r="A706" s="85">
        <v>705</v>
      </c>
      <c r="B706" s="85" t="s">
        <v>1488</v>
      </c>
      <c r="C706" s="85" t="s">
        <v>1678</v>
      </c>
    </row>
    <row r="707" spans="1:3" x14ac:dyDescent="0.35">
      <c r="A707" s="85">
        <v>706</v>
      </c>
      <c r="B707" s="85" t="s">
        <v>1490</v>
      </c>
      <c r="C707" s="85" t="s">
        <v>1680</v>
      </c>
    </row>
    <row r="708" spans="1:3" x14ac:dyDescent="0.35">
      <c r="A708" s="85">
        <v>707</v>
      </c>
      <c r="B708" s="85" t="s">
        <v>1492</v>
      </c>
      <c r="C708" s="85" t="s">
        <v>1682</v>
      </c>
    </row>
    <row r="709" spans="1:3" x14ac:dyDescent="0.35">
      <c r="A709" s="85">
        <v>708</v>
      </c>
      <c r="B709" s="85" t="s">
        <v>1494</v>
      </c>
      <c r="C709" s="85" t="s">
        <v>1684</v>
      </c>
    </row>
    <row r="710" spans="1:3" x14ac:dyDescent="0.35">
      <c r="A710" s="85">
        <v>709</v>
      </c>
      <c r="B710" s="85" t="s">
        <v>1496</v>
      </c>
      <c r="C710" s="85" t="s">
        <v>1686</v>
      </c>
    </row>
    <row r="711" spans="1:3" x14ac:dyDescent="0.35">
      <c r="A711" s="85">
        <v>710</v>
      </c>
      <c r="B711" s="85" t="s">
        <v>1498</v>
      </c>
      <c r="C711" s="85" t="s">
        <v>1688</v>
      </c>
    </row>
    <row r="712" spans="1:3" x14ac:dyDescent="0.35">
      <c r="A712" s="85">
        <v>711</v>
      </c>
      <c r="B712" s="85" t="s">
        <v>1500</v>
      </c>
      <c r="C712" s="85" t="s">
        <v>1690</v>
      </c>
    </row>
    <row r="713" spans="1:3" x14ac:dyDescent="0.35">
      <c r="A713" s="85">
        <v>712</v>
      </c>
      <c r="B713" s="85" t="s">
        <v>1502</v>
      </c>
      <c r="C713" s="85" t="s">
        <v>1692</v>
      </c>
    </row>
    <row r="714" spans="1:3" x14ac:dyDescent="0.35">
      <c r="A714" s="85">
        <v>713</v>
      </c>
      <c r="B714" s="85" t="s">
        <v>1504</v>
      </c>
      <c r="C714" s="85" t="s">
        <v>1694</v>
      </c>
    </row>
    <row r="715" spans="1:3" x14ac:dyDescent="0.35">
      <c r="A715" s="85">
        <v>714</v>
      </c>
      <c r="B715" s="85" t="s">
        <v>1506</v>
      </c>
      <c r="C715" s="85" t="s">
        <v>1696</v>
      </c>
    </row>
    <row r="716" spans="1:3" x14ac:dyDescent="0.35">
      <c r="A716" s="85">
        <v>715</v>
      </c>
      <c r="B716" s="85" t="s">
        <v>1508</v>
      </c>
      <c r="C716" s="85" t="s">
        <v>1698</v>
      </c>
    </row>
    <row r="717" spans="1:3" x14ac:dyDescent="0.35">
      <c r="A717" s="85">
        <v>716</v>
      </c>
      <c r="B717" s="85" t="s">
        <v>1510</v>
      </c>
      <c r="C717" s="85" t="s">
        <v>1699</v>
      </c>
    </row>
    <row r="718" spans="1:3" x14ac:dyDescent="0.35">
      <c r="A718" s="85">
        <v>717</v>
      </c>
      <c r="B718" s="85" t="s">
        <v>1512</v>
      </c>
      <c r="C718" s="85" t="s">
        <v>1701</v>
      </c>
    </row>
    <row r="719" spans="1:3" x14ac:dyDescent="0.35">
      <c r="A719" s="85">
        <v>718</v>
      </c>
      <c r="B719" s="85" t="s">
        <v>1514</v>
      </c>
      <c r="C719" s="85" t="s">
        <v>1703</v>
      </c>
    </row>
    <row r="720" spans="1:3" x14ac:dyDescent="0.35">
      <c r="A720" s="85">
        <v>719</v>
      </c>
      <c r="B720" s="85" t="s">
        <v>1516</v>
      </c>
      <c r="C720" s="85" t="s">
        <v>1705</v>
      </c>
    </row>
    <row r="721" spans="1:3" x14ac:dyDescent="0.35">
      <c r="A721" s="85">
        <v>720</v>
      </c>
      <c r="B721" s="85" t="s">
        <v>1518</v>
      </c>
      <c r="C721" s="85" t="s">
        <v>1707</v>
      </c>
    </row>
    <row r="722" spans="1:3" x14ac:dyDescent="0.35">
      <c r="A722" s="85">
        <v>721</v>
      </c>
      <c r="B722" s="85" t="s">
        <v>1520</v>
      </c>
      <c r="C722" s="85" t="s">
        <v>1709</v>
      </c>
    </row>
    <row r="723" spans="1:3" x14ac:dyDescent="0.35">
      <c r="A723" s="85">
        <v>722</v>
      </c>
      <c r="B723" s="85" t="s">
        <v>1522</v>
      </c>
      <c r="C723" s="85" t="s">
        <v>1711</v>
      </c>
    </row>
    <row r="724" spans="1:3" x14ac:dyDescent="0.35">
      <c r="A724" s="85">
        <v>723</v>
      </c>
      <c r="B724" s="85" t="s">
        <v>1524</v>
      </c>
      <c r="C724" s="85" t="s">
        <v>1713</v>
      </c>
    </row>
    <row r="725" spans="1:3" x14ac:dyDescent="0.35">
      <c r="A725" s="85">
        <v>724</v>
      </c>
      <c r="B725" s="85" t="s">
        <v>1526</v>
      </c>
      <c r="C725" s="85" t="s">
        <v>1715</v>
      </c>
    </row>
    <row r="726" spans="1:3" x14ac:dyDescent="0.35">
      <c r="A726" s="85">
        <v>725</v>
      </c>
      <c r="B726" s="85" t="s">
        <v>1528</v>
      </c>
      <c r="C726" s="85" t="s">
        <v>1717</v>
      </c>
    </row>
    <row r="727" spans="1:3" x14ac:dyDescent="0.35">
      <c r="A727" s="85">
        <v>726</v>
      </c>
      <c r="B727" s="85" t="s">
        <v>1530</v>
      </c>
      <c r="C727" s="85" t="s">
        <v>1719</v>
      </c>
    </row>
    <row r="728" spans="1:3" x14ac:dyDescent="0.35">
      <c r="A728" s="85">
        <v>727</v>
      </c>
      <c r="B728" s="85" t="s">
        <v>1532</v>
      </c>
      <c r="C728" s="85" t="s">
        <v>1721</v>
      </c>
    </row>
    <row r="729" spans="1:3" x14ac:dyDescent="0.35">
      <c r="A729" s="85">
        <v>728</v>
      </c>
      <c r="B729" s="85" t="s">
        <v>1534</v>
      </c>
      <c r="C729" s="85" t="s">
        <v>1723</v>
      </c>
    </row>
    <row r="730" spans="1:3" x14ac:dyDescent="0.35">
      <c r="A730" s="85">
        <v>729</v>
      </c>
      <c r="B730" s="85" t="s">
        <v>1536</v>
      </c>
      <c r="C730" s="85" t="s">
        <v>1725</v>
      </c>
    </row>
    <row r="731" spans="1:3" x14ac:dyDescent="0.35">
      <c r="A731" s="85">
        <v>730</v>
      </c>
      <c r="B731" s="85" t="s">
        <v>1538</v>
      </c>
      <c r="C731" s="85" t="s">
        <v>1727</v>
      </c>
    </row>
    <row r="732" spans="1:3" x14ac:dyDescent="0.35">
      <c r="A732" s="85">
        <v>731</v>
      </c>
      <c r="B732" s="85" t="s">
        <v>1540</v>
      </c>
      <c r="C732" s="85" t="s">
        <v>1729</v>
      </c>
    </row>
    <row r="733" spans="1:3" x14ac:dyDescent="0.35">
      <c r="A733" s="85">
        <v>732</v>
      </c>
      <c r="B733" s="85" t="s">
        <v>1542</v>
      </c>
      <c r="C733" s="85" t="s">
        <v>1731</v>
      </c>
    </row>
    <row r="734" spans="1:3" x14ac:dyDescent="0.35">
      <c r="A734" s="85">
        <v>733</v>
      </c>
      <c r="B734" s="85" t="s">
        <v>1544</v>
      </c>
      <c r="C734" s="85" t="s">
        <v>1733</v>
      </c>
    </row>
    <row r="735" spans="1:3" x14ac:dyDescent="0.35">
      <c r="A735" s="85">
        <v>734</v>
      </c>
      <c r="B735" s="85" t="s">
        <v>1546</v>
      </c>
      <c r="C735" s="85" t="s">
        <v>1735</v>
      </c>
    </row>
    <row r="736" spans="1:3" x14ac:dyDescent="0.35">
      <c r="A736" s="85">
        <v>735</v>
      </c>
      <c r="B736" s="85" t="s">
        <v>1548</v>
      </c>
      <c r="C736" s="85" t="s">
        <v>1737</v>
      </c>
    </row>
    <row r="737" spans="1:3" x14ac:dyDescent="0.35">
      <c r="A737" s="85">
        <v>736</v>
      </c>
      <c r="B737" s="85" t="s">
        <v>1550</v>
      </c>
      <c r="C737" s="85" t="s">
        <v>1739</v>
      </c>
    </row>
    <row r="738" spans="1:3" x14ac:dyDescent="0.35">
      <c r="A738" s="85">
        <v>737</v>
      </c>
      <c r="B738" s="85" t="s">
        <v>1552</v>
      </c>
      <c r="C738" s="85" t="s">
        <v>1741</v>
      </c>
    </row>
    <row r="739" spans="1:3" x14ac:dyDescent="0.35">
      <c r="A739" s="85">
        <v>738</v>
      </c>
      <c r="B739" s="85" t="s">
        <v>1554</v>
      </c>
      <c r="C739" s="85" t="s">
        <v>1743</v>
      </c>
    </row>
    <row r="740" spans="1:3" x14ac:dyDescent="0.35">
      <c r="A740" s="85">
        <v>739</v>
      </c>
      <c r="B740" s="85" t="s">
        <v>1556</v>
      </c>
      <c r="C740" s="85" t="s">
        <v>1745</v>
      </c>
    </row>
    <row r="741" spans="1:3" x14ac:dyDescent="0.35">
      <c r="A741" s="85">
        <v>740</v>
      </c>
      <c r="B741" s="85" t="s">
        <v>1558</v>
      </c>
      <c r="C741" s="85" t="s">
        <v>1747</v>
      </c>
    </row>
    <row r="742" spans="1:3" x14ac:dyDescent="0.35">
      <c r="A742" s="85">
        <v>741</v>
      </c>
      <c r="B742" s="85" t="s">
        <v>1560</v>
      </c>
      <c r="C742" s="85" t="s">
        <v>1749</v>
      </c>
    </row>
    <row r="743" spans="1:3" x14ac:dyDescent="0.35">
      <c r="A743" s="85">
        <v>742</v>
      </c>
      <c r="B743" s="85" t="s">
        <v>1562</v>
      </c>
      <c r="C743" s="85" t="s">
        <v>1751</v>
      </c>
    </row>
    <row r="744" spans="1:3" x14ac:dyDescent="0.35">
      <c r="A744" s="85">
        <v>743</v>
      </c>
      <c r="B744" s="85" t="s">
        <v>1564</v>
      </c>
      <c r="C744" s="85" t="s">
        <v>1753</v>
      </c>
    </row>
    <row r="745" spans="1:3" x14ac:dyDescent="0.35">
      <c r="A745" s="85">
        <v>744</v>
      </c>
      <c r="B745" s="85" t="s">
        <v>1566</v>
      </c>
      <c r="C745" s="85" t="s">
        <v>1755</v>
      </c>
    </row>
    <row r="746" spans="1:3" x14ac:dyDescent="0.35">
      <c r="A746" s="85">
        <v>745</v>
      </c>
      <c r="B746" s="85" t="s">
        <v>1568</v>
      </c>
      <c r="C746" s="85" t="s">
        <v>1757</v>
      </c>
    </row>
    <row r="747" spans="1:3" x14ac:dyDescent="0.35">
      <c r="A747" s="85">
        <v>746</v>
      </c>
      <c r="B747" s="85" t="s">
        <v>1570</v>
      </c>
      <c r="C747" s="85" t="s">
        <v>1759</v>
      </c>
    </row>
    <row r="748" spans="1:3" x14ac:dyDescent="0.35">
      <c r="A748" s="85">
        <v>747</v>
      </c>
      <c r="B748" s="85" t="s">
        <v>1572</v>
      </c>
      <c r="C748" s="85" t="s">
        <v>1761</v>
      </c>
    </row>
    <row r="749" spans="1:3" x14ac:dyDescent="0.35">
      <c r="A749" s="85">
        <v>748</v>
      </c>
      <c r="B749" s="85" t="s">
        <v>1574</v>
      </c>
      <c r="C749" s="85" t="s">
        <v>1763</v>
      </c>
    </row>
    <row r="750" spans="1:3" x14ac:dyDescent="0.35">
      <c r="A750" s="85">
        <v>749</v>
      </c>
      <c r="B750" s="85" t="s">
        <v>1576</v>
      </c>
      <c r="C750" s="85" t="s">
        <v>1765</v>
      </c>
    </row>
    <row r="751" spans="1:3" x14ac:dyDescent="0.35">
      <c r="A751" s="85">
        <v>750</v>
      </c>
      <c r="B751" s="85" t="s">
        <v>1578</v>
      </c>
      <c r="C751" s="85" t="s">
        <v>1767</v>
      </c>
    </row>
    <row r="752" spans="1:3" x14ac:dyDescent="0.35">
      <c r="A752" s="85">
        <v>751</v>
      </c>
      <c r="B752" s="85" t="s">
        <v>1580</v>
      </c>
      <c r="C752" s="85" t="s">
        <v>1769</v>
      </c>
    </row>
    <row r="753" spans="1:3" x14ac:dyDescent="0.35">
      <c r="A753" s="85">
        <v>752</v>
      </c>
      <c r="B753" s="85" t="s">
        <v>1582</v>
      </c>
      <c r="C753" s="85" t="s">
        <v>1771</v>
      </c>
    </row>
    <row r="754" spans="1:3" x14ac:dyDescent="0.35">
      <c r="A754" s="85">
        <v>753</v>
      </c>
      <c r="B754" s="85" t="s">
        <v>1584</v>
      </c>
      <c r="C754" s="85" t="s">
        <v>1773</v>
      </c>
    </row>
    <row r="755" spans="1:3" x14ac:dyDescent="0.35">
      <c r="A755" s="85">
        <v>754</v>
      </c>
      <c r="B755" s="85" t="s">
        <v>1586</v>
      </c>
      <c r="C755" s="85" t="s">
        <v>1775</v>
      </c>
    </row>
    <row r="756" spans="1:3" x14ac:dyDescent="0.35">
      <c r="A756" s="85">
        <v>755</v>
      </c>
      <c r="B756" s="85" t="s">
        <v>1588</v>
      </c>
      <c r="C756" s="85" t="s">
        <v>1777</v>
      </c>
    </row>
    <row r="757" spans="1:3" x14ac:dyDescent="0.35">
      <c r="A757" s="85">
        <v>756</v>
      </c>
      <c r="B757" s="85" t="s">
        <v>1590</v>
      </c>
      <c r="C757" s="85" t="s">
        <v>1779</v>
      </c>
    </row>
    <row r="758" spans="1:3" x14ac:dyDescent="0.35">
      <c r="A758" s="85">
        <v>757</v>
      </c>
      <c r="B758" s="85" t="s">
        <v>1592</v>
      </c>
      <c r="C758" s="85" t="s">
        <v>1781</v>
      </c>
    </row>
    <row r="759" spans="1:3" x14ac:dyDescent="0.35">
      <c r="A759" s="85">
        <v>758</v>
      </c>
      <c r="B759" s="85" t="s">
        <v>1594</v>
      </c>
      <c r="C759" s="85" t="s">
        <v>1783</v>
      </c>
    </row>
    <row r="760" spans="1:3" x14ac:dyDescent="0.35">
      <c r="A760" s="85">
        <v>759</v>
      </c>
      <c r="B760" s="85" t="s">
        <v>1596</v>
      </c>
      <c r="C760" s="85" t="s">
        <v>1785</v>
      </c>
    </row>
    <row r="761" spans="1:3" x14ac:dyDescent="0.35">
      <c r="A761" s="85">
        <v>760</v>
      </c>
      <c r="B761" s="85" t="s">
        <v>1598</v>
      </c>
      <c r="C761" s="85" t="s">
        <v>1787</v>
      </c>
    </row>
    <row r="762" spans="1:3" x14ac:dyDescent="0.35">
      <c r="A762" s="85">
        <v>761</v>
      </c>
      <c r="B762" s="85" t="s">
        <v>1600</v>
      </c>
      <c r="C762" s="85" t="s">
        <v>1789</v>
      </c>
    </row>
    <row r="763" spans="1:3" x14ac:dyDescent="0.35">
      <c r="A763" s="85">
        <v>762</v>
      </c>
      <c r="B763" s="85" t="s">
        <v>1602</v>
      </c>
      <c r="C763" s="85" t="s">
        <v>1791</v>
      </c>
    </row>
    <row r="764" spans="1:3" x14ac:dyDescent="0.35">
      <c r="A764" s="85">
        <v>763</v>
      </c>
      <c r="B764" s="85" t="s">
        <v>1604</v>
      </c>
      <c r="C764" s="85" t="s">
        <v>1793</v>
      </c>
    </row>
    <row r="765" spans="1:3" x14ac:dyDescent="0.35">
      <c r="A765" s="85">
        <v>764</v>
      </c>
      <c r="B765" s="85" t="s">
        <v>1605</v>
      </c>
      <c r="C765" s="85" t="s">
        <v>1795</v>
      </c>
    </row>
    <row r="766" spans="1:3" x14ac:dyDescent="0.35">
      <c r="A766" s="85">
        <v>765</v>
      </c>
      <c r="B766" s="85" t="s">
        <v>1607</v>
      </c>
      <c r="C766" s="85" t="s">
        <v>1797</v>
      </c>
    </row>
    <row r="767" spans="1:3" x14ac:dyDescent="0.35">
      <c r="A767" s="85">
        <v>766</v>
      </c>
      <c r="B767" s="85" t="s">
        <v>1608</v>
      </c>
      <c r="C767" s="85" t="s">
        <v>1799</v>
      </c>
    </row>
    <row r="768" spans="1:3" x14ac:dyDescent="0.35">
      <c r="A768" s="85">
        <v>767</v>
      </c>
      <c r="B768" s="85" t="s">
        <v>1610</v>
      </c>
      <c r="C768" s="85" t="s">
        <v>1801</v>
      </c>
    </row>
    <row r="769" spans="1:3" x14ac:dyDescent="0.35">
      <c r="A769" s="85">
        <v>768</v>
      </c>
      <c r="B769" s="85" t="s">
        <v>1612</v>
      </c>
      <c r="C769" s="85" t="s">
        <v>1803</v>
      </c>
    </row>
    <row r="771" spans="1:3" x14ac:dyDescent="0.35">
      <c r="A771" s="32" t="s">
        <v>1805</v>
      </c>
      <c r="B771" s="32" t="s">
        <v>1805</v>
      </c>
      <c r="C771" t="s">
        <v>1854</v>
      </c>
    </row>
    <row r="772" spans="1:3" x14ac:dyDescent="0.35">
      <c r="A772" s="32" t="s">
        <v>1808</v>
      </c>
      <c r="B772" s="32" t="s">
        <v>1808</v>
      </c>
      <c r="C772" t="s">
        <v>1854</v>
      </c>
    </row>
    <row r="773" spans="1:3" x14ac:dyDescent="0.35">
      <c r="A773" s="32" t="s">
        <v>1810</v>
      </c>
      <c r="B773" s="32" t="s">
        <v>1810</v>
      </c>
      <c r="C773" t="s">
        <v>1854</v>
      </c>
    </row>
    <row r="774" spans="1:3" x14ac:dyDescent="0.35">
      <c r="A774" s="32" t="s">
        <v>1812</v>
      </c>
      <c r="B774" s="32" t="s">
        <v>1812</v>
      </c>
      <c r="C774" t="s">
        <v>1854</v>
      </c>
    </row>
    <row r="775" spans="1:3" x14ac:dyDescent="0.35">
      <c r="A775" s="32" t="s">
        <v>1814</v>
      </c>
      <c r="B775" s="32" t="s">
        <v>1814</v>
      </c>
      <c r="C775" t="s">
        <v>1854</v>
      </c>
    </row>
    <row r="776" spans="1:3" x14ac:dyDescent="0.35">
      <c r="A776" s="32" t="s">
        <v>1816</v>
      </c>
      <c r="B776" s="32" t="s">
        <v>1816</v>
      </c>
      <c r="C776" t="s">
        <v>1854</v>
      </c>
    </row>
    <row r="777" spans="1:3" x14ac:dyDescent="0.35">
      <c r="A777" s="32" t="s">
        <v>1818</v>
      </c>
      <c r="B777" s="32" t="s">
        <v>1818</v>
      </c>
      <c r="C777" t="s">
        <v>1854</v>
      </c>
    </row>
    <row r="778" spans="1:3" x14ac:dyDescent="0.35">
      <c r="A778" s="32" t="s">
        <v>1820</v>
      </c>
      <c r="B778" s="32" t="s">
        <v>1820</v>
      </c>
      <c r="C778" t="s">
        <v>1854</v>
      </c>
    </row>
    <row r="779" spans="1:3" x14ac:dyDescent="0.35">
      <c r="A779" s="32" t="s">
        <v>1822</v>
      </c>
      <c r="B779" s="32" t="s">
        <v>1822</v>
      </c>
      <c r="C779" t="s">
        <v>1854</v>
      </c>
    </row>
    <row r="780" spans="1:3" x14ac:dyDescent="0.35">
      <c r="A780" s="32" t="s">
        <v>1824</v>
      </c>
      <c r="B780" s="32" t="s">
        <v>1824</v>
      </c>
      <c r="C780" t="s">
        <v>1854</v>
      </c>
    </row>
    <row r="781" spans="1:3" x14ac:dyDescent="0.35">
      <c r="A781" s="32" t="s">
        <v>1826</v>
      </c>
      <c r="B781" s="32" t="s">
        <v>1826</v>
      </c>
      <c r="C781" t="s">
        <v>1854</v>
      </c>
    </row>
    <row r="782" spans="1:3" x14ac:dyDescent="0.35">
      <c r="A782" s="32" t="s">
        <v>1828</v>
      </c>
      <c r="B782" s="32" t="s">
        <v>1828</v>
      </c>
      <c r="C782" t="s">
        <v>1854</v>
      </c>
    </row>
    <row r="783" spans="1:3" x14ac:dyDescent="0.35">
      <c r="A783" s="32" t="s">
        <v>1830</v>
      </c>
      <c r="B783" s="32" t="s">
        <v>1830</v>
      </c>
      <c r="C783" t="s">
        <v>1854</v>
      </c>
    </row>
    <row r="784" spans="1:3" x14ac:dyDescent="0.35">
      <c r="A784" s="32" t="s">
        <v>1832</v>
      </c>
      <c r="B784" s="32" t="s">
        <v>1832</v>
      </c>
      <c r="C784" t="s">
        <v>1854</v>
      </c>
    </row>
    <row r="785" spans="1:3" x14ac:dyDescent="0.35">
      <c r="A785" s="32" t="s">
        <v>1834</v>
      </c>
      <c r="B785" s="32" t="s">
        <v>1834</v>
      </c>
      <c r="C785" t="s">
        <v>1854</v>
      </c>
    </row>
    <row r="786" spans="1:3" x14ac:dyDescent="0.35">
      <c r="A786" s="32" t="s">
        <v>1836</v>
      </c>
      <c r="B786" s="32" t="s">
        <v>1836</v>
      </c>
      <c r="C786" t="s">
        <v>1854</v>
      </c>
    </row>
    <row r="787" spans="1:3" x14ac:dyDescent="0.35">
      <c r="A787" s="32" t="s">
        <v>1838</v>
      </c>
      <c r="B787" s="32" t="s">
        <v>1838</v>
      </c>
      <c r="C787" t="s">
        <v>1854</v>
      </c>
    </row>
    <row r="788" spans="1:3" x14ac:dyDescent="0.35">
      <c r="A788" s="32" t="s">
        <v>1840</v>
      </c>
      <c r="B788" s="32" t="s">
        <v>1840</v>
      </c>
      <c r="C788" t="s">
        <v>1854</v>
      </c>
    </row>
    <row r="789" spans="1:3" x14ac:dyDescent="0.35">
      <c r="A789" s="32" t="s">
        <v>1842</v>
      </c>
      <c r="B789" s="32" t="s">
        <v>1842</v>
      </c>
      <c r="C789" t="s">
        <v>1854</v>
      </c>
    </row>
    <row r="790" spans="1:3" x14ac:dyDescent="0.35">
      <c r="A790" s="32" t="s">
        <v>1844</v>
      </c>
      <c r="B790" s="32" t="s">
        <v>1844</v>
      </c>
      <c r="C790" t="s">
        <v>1854</v>
      </c>
    </row>
    <row r="791" spans="1:3" x14ac:dyDescent="0.35">
      <c r="A791" s="32" t="s">
        <v>1846</v>
      </c>
      <c r="B791" s="32" t="s">
        <v>1846</v>
      </c>
      <c r="C791" t="s">
        <v>1854</v>
      </c>
    </row>
    <row r="792" spans="1:3" x14ac:dyDescent="0.35">
      <c r="A792" s="32" t="s">
        <v>1848</v>
      </c>
      <c r="B792" s="32" t="s">
        <v>1848</v>
      </c>
      <c r="C792" t="s">
        <v>1854</v>
      </c>
    </row>
    <row r="793" spans="1:3" x14ac:dyDescent="0.35">
      <c r="A793" s="32" t="s">
        <v>1850</v>
      </c>
      <c r="B793" s="32" t="s">
        <v>1850</v>
      </c>
      <c r="C793" t="s">
        <v>1854</v>
      </c>
    </row>
    <row r="794" spans="1:3" x14ac:dyDescent="0.35">
      <c r="A794" s="32" t="s">
        <v>1852</v>
      </c>
      <c r="B794" s="32" t="s">
        <v>1852</v>
      </c>
      <c r="C794" t="s">
        <v>1854</v>
      </c>
    </row>
    <row r="796" spans="1:3" x14ac:dyDescent="0.35">
      <c r="A796" s="85" t="s">
        <v>1856</v>
      </c>
      <c r="B796" s="85" t="s">
        <v>1856</v>
      </c>
      <c r="C796" t="s">
        <v>1854</v>
      </c>
    </row>
    <row r="797" spans="1:3" x14ac:dyDescent="0.35">
      <c r="A797" s="85" t="s">
        <v>1857</v>
      </c>
      <c r="B797" s="85" t="s">
        <v>1857</v>
      </c>
      <c r="C797" t="s">
        <v>1854</v>
      </c>
    </row>
    <row r="798" spans="1:3" x14ac:dyDescent="0.35">
      <c r="A798" s="85" t="s">
        <v>1858</v>
      </c>
      <c r="B798" s="85" t="s">
        <v>1858</v>
      </c>
      <c r="C798" t="s">
        <v>1854</v>
      </c>
    </row>
    <row r="799" spans="1:3" x14ac:dyDescent="0.35">
      <c r="A799" s="85" t="s">
        <v>1859</v>
      </c>
      <c r="B799" s="85" t="s">
        <v>1859</v>
      </c>
      <c r="C799" t="s">
        <v>1854</v>
      </c>
    </row>
    <row r="800" spans="1:3" x14ac:dyDescent="0.35">
      <c r="A800" s="85" t="s">
        <v>5498</v>
      </c>
      <c r="B800" s="85" t="s">
        <v>1862</v>
      </c>
      <c r="C800" t="s">
        <v>1860</v>
      </c>
    </row>
    <row r="801" spans="1:3" x14ac:dyDescent="0.35">
      <c r="A801" s="85" t="s">
        <v>5499</v>
      </c>
      <c r="B801" s="85" t="s">
        <v>1864</v>
      </c>
      <c r="C801" t="s">
        <v>1886</v>
      </c>
    </row>
    <row r="802" spans="1:3" x14ac:dyDescent="0.35">
      <c r="A802" s="85" t="s">
        <v>5500</v>
      </c>
      <c r="B802" s="85" t="s">
        <v>1867</v>
      </c>
      <c r="C802" t="s">
        <v>1886</v>
      </c>
    </row>
    <row r="803" spans="1:3" x14ac:dyDescent="0.35">
      <c r="A803" s="85" t="s">
        <v>5501</v>
      </c>
      <c r="B803" s="85" t="s">
        <v>1869</v>
      </c>
      <c r="C803" t="s">
        <v>1886</v>
      </c>
    </row>
    <row r="804" spans="1:3" x14ac:dyDescent="0.35">
      <c r="A804" s="85" t="s">
        <v>5502</v>
      </c>
      <c r="B804" s="85" t="s">
        <v>1870</v>
      </c>
      <c r="C804" t="s">
        <v>1886</v>
      </c>
    </row>
    <row r="805" spans="1:3" x14ac:dyDescent="0.35">
      <c r="A805" s="85" t="s">
        <v>5503</v>
      </c>
      <c r="B805" s="85" t="s">
        <v>1864</v>
      </c>
      <c r="C805" t="s">
        <v>1887</v>
      </c>
    </row>
    <row r="806" spans="1:3" x14ac:dyDescent="0.35">
      <c r="A806" s="85" t="s">
        <v>5504</v>
      </c>
      <c r="B806" s="85" t="s">
        <v>1867</v>
      </c>
      <c r="C806" t="s">
        <v>1887</v>
      </c>
    </row>
    <row r="807" spans="1:3" x14ac:dyDescent="0.35">
      <c r="A807" s="85" t="s">
        <v>5505</v>
      </c>
      <c r="B807" s="85" t="s">
        <v>1869</v>
      </c>
      <c r="C807" t="s">
        <v>1887</v>
      </c>
    </row>
    <row r="808" spans="1:3" x14ac:dyDescent="0.35">
      <c r="A808" s="85" t="s">
        <v>5506</v>
      </c>
      <c r="B808" s="85" t="s">
        <v>1870</v>
      </c>
      <c r="C808" t="s">
        <v>1887</v>
      </c>
    </row>
    <row r="809" spans="1:3" x14ac:dyDescent="0.35">
      <c r="A809" s="85" t="s">
        <v>5507</v>
      </c>
      <c r="B809" s="85" t="s">
        <v>1864</v>
      </c>
      <c r="C809" t="s">
        <v>1888</v>
      </c>
    </row>
    <row r="810" spans="1:3" x14ac:dyDescent="0.35">
      <c r="A810" s="85" t="s">
        <v>5508</v>
      </c>
      <c r="B810" s="85" t="s">
        <v>1867</v>
      </c>
      <c r="C810" t="s">
        <v>1888</v>
      </c>
    </row>
    <row r="811" spans="1:3" x14ac:dyDescent="0.35">
      <c r="A811" s="85" t="s">
        <v>5509</v>
      </c>
      <c r="B811" s="85" t="s">
        <v>1869</v>
      </c>
      <c r="C811" t="s">
        <v>1888</v>
      </c>
    </row>
    <row r="812" spans="1:3" x14ac:dyDescent="0.35">
      <c r="A812" s="85" t="s">
        <v>5510</v>
      </c>
      <c r="B812" s="85" t="s">
        <v>1870</v>
      </c>
      <c r="C812" t="s">
        <v>1888</v>
      </c>
    </row>
    <row r="813" spans="1:3" x14ac:dyDescent="0.35">
      <c r="A813" s="85" t="s">
        <v>5511</v>
      </c>
      <c r="B813" s="85" t="s">
        <v>1864</v>
      </c>
      <c r="C813" t="s">
        <v>1890</v>
      </c>
    </row>
    <row r="814" spans="1:3" x14ac:dyDescent="0.35">
      <c r="A814" s="85" t="s">
        <v>5512</v>
      </c>
      <c r="B814" s="85" t="s">
        <v>1867</v>
      </c>
      <c r="C814" t="s">
        <v>1890</v>
      </c>
    </row>
    <row r="815" spans="1:3" x14ac:dyDescent="0.35">
      <c r="A815" s="85" t="s">
        <v>5513</v>
      </c>
      <c r="B815" s="85" t="s">
        <v>1869</v>
      </c>
      <c r="C815" t="s">
        <v>1890</v>
      </c>
    </row>
    <row r="816" spans="1:3" x14ac:dyDescent="0.35">
      <c r="A816" s="85" t="s">
        <v>5514</v>
      </c>
      <c r="B816" s="85" t="s">
        <v>1870</v>
      </c>
      <c r="C816" t="s">
        <v>1890</v>
      </c>
    </row>
    <row r="817" spans="1:3" x14ac:dyDescent="0.35">
      <c r="A817" s="85" t="s">
        <v>5515</v>
      </c>
      <c r="B817" s="85" t="s">
        <v>1864</v>
      </c>
      <c r="C817" t="s">
        <v>1892</v>
      </c>
    </row>
    <row r="818" spans="1:3" x14ac:dyDescent="0.35">
      <c r="A818" s="85" t="s">
        <v>5516</v>
      </c>
      <c r="B818" s="85" t="s">
        <v>1867</v>
      </c>
      <c r="C818" t="s">
        <v>1892</v>
      </c>
    </row>
    <row r="819" spans="1:3" x14ac:dyDescent="0.35">
      <c r="A819" s="85" t="s">
        <v>5517</v>
      </c>
      <c r="B819" s="85" t="s">
        <v>1869</v>
      </c>
      <c r="C819" t="s">
        <v>1892</v>
      </c>
    </row>
    <row r="820" spans="1:3" x14ac:dyDescent="0.35">
      <c r="A820" s="85" t="s">
        <v>5518</v>
      </c>
      <c r="B820" s="85" t="s">
        <v>1870</v>
      </c>
      <c r="C820" t="s">
        <v>1892</v>
      </c>
    </row>
    <row r="821" spans="1:3" x14ac:dyDescent="0.35">
      <c r="A821" s="85" t="s">
        <v>5519</v>
      </c>
      <c r="B821" s="85" t="s">
        <v>1864</v>
      </c>
      <c r="C821" t="s">
        <v>1894</v>
      </c>
    </row>
    <row r="822" spans="1:3" x14ac:dyDescent="0.35">
      <c r="A822" s="85" t="s">
        <v>5520</v>
      </c>
      <c r="B822" s="85" t="s">
        <v>1867</v>
      </c>
      <c r="C822" t="s">
        <v>1894</v>
      </c>
    </row>
    <row r="823" spans="1:3" x14ac:dyDescent="0.35">
      <c r="A823" s="85" t="s">
        <v>5521</v>
      </c>
      <c r="B823" s="85" t="s">
        <v>1869</v>
      </c>
      <c r="C823" t="s">
        <v>1894</v>
      </c>
    </row>
    <row r="824" spans="1:3" x14ac:dyDescent="0.35">
      <c r="A824" s="85" t="s">
        <v>5522</v>
      </c>
      <c r="B824" s="85" t="s">
        <v>1870</v>
      </c>
      <c r="C824" t="s">
        <v>1894</v>
      </c>
    </row>
    <row r="825" spans="1:3" x14ac:dyDescent="0.35">
      <c r="A825" s="85" t="s">
        <v>5523</v>
      </c>
      <c r="B825" s="85" t="s">
        <v>1864</v>
      </c>
      <c r="C825" t="s">
        <v>1896</v>
      </c>
    </row>
    <row r="826" spans="1:3" x14ac:dyDescent="0.35">
      <c r="A826" s="85" t="s">
        <v>5524</v>
      </c>
      <c r="B826" s="85" t="s">
        <v>1867</v>
      </c>
      <c r="C826" t="s">
        <v>1896</v>
      </c>
    </row>
    <row r="827" spans="1:3" x14ac:dyDescent="0.35">
      <c r="A827" s="85" t="s">
        <v>5525</v>
      </c>
      <c r="B827" s="85" t="s">
        <v>1869</v>
      </c>
      <c r="C827" t="s">
        <v>1896</v>
      </c>
    </row>
    <row r="828" spans="1:3" x14ac:dyDescent="0.35">
      <c r="A828" s="85" t="s">
        <v>5526</v>
      </c>
      <c r="B828" s="85" t="s">
        <v>1870</v>
      </c>
      <c r="C828" t="s">
        <v>1896</v>
      </c>
    </row>
    <row r="829" spans="1:3" x14ac:dyDescent="0.35">
      <c r="A829" s="85" t="s">
        <v>5527</v>
      </c>
      <c r="B829" s="85" t="s">
        <v>1864</v>
      </c>
      <c r="C829" t="s">
        <v>1898</v>
      </c>
    </row>
    <row r="830" spans="1:3" x14ac:dyDescent="0.35">
      <c r="A830" s="85" t="s">
        <v>5528</v>
      </c>
      <c r="B830" s="85" t="s">
        <v>1867</v>
      </c>
      <c r="C830" t="s">
        <v>1898</v>
      </c>
    </row>
    <row r="831" spans="1:3" x14ac:dyDescent="0.35">
      <c r="A831" s="85" t="s">
        <v>5529</v>
      </c>
      <c r="B831" s="85" t="s">
        <v>1869</v>
      </c>
      <c r="C831" t="s">
        <v>1898</v>
      </c>
    </row>
    <row r="832" spans="1:3" x14ac:dyDescent="0.35">
      <c r="A832" s="85" t="s">
        <v>5530</v>
      </c>
      <c r="B832" s="85" t="s">
        <v>1870</v>
      </c>
      <c r="C832" t="s">
        <v>1898</v>
      </c>
    </row>
    <row r="833" spans="1:3" x14ac:dyDescent="0.35">
      <c r="A833" s="85" t="s">
        <v>5531</v>
      </c>
      <c r="B833" s="85" t="s">
        <v>1864</v>
      </c>
      <c r="C833" t="s">
        <v>1900</v>
      </c>
    </row>
    <row r="834" spans="1:3" x14ac:dyDescent="0.35">
      <c r="A834" s="85" t="s">
        <v>5532</v>
      </c>
      <c r="B834" s="85" t="s">
        <v>1867</v>
      </c>
      <c r="C834" t="s">
        <v>1900</v>
      </c>
    </row>
    <row r="835" spans="1:3" x14ac:dyDescent="0.35">
      <c r="A835" s="85" t="s">
        <v>5533</v>
      </c>
      <c r="B835" s="85" t="s">
        <v>1869</v>
      </c>
      <c r="C835" t="s">
        <v>1900</v>
      </c>
    </row>
    <row r="836" spans="1:3" x14ac:dyDescent="0.35">
      <c r="A836" s="85" t="s">
        <v>5534</v>
      </c>
      <c r="B836" s="85" t="s">
        <v>1870</v>
      </c>
      <c r="C836" t="s">
        <v>1900</v>
      </c>
    </row>
    <row r="837" spans="1:3" x14ac:dyDescent="0.35">
      <c r="A837" s="85" t="s">
        <v>5535</v>
      </c>
      <c r="B837" s="85" t="s">
        <v>1864</v>
      </c>
      <c r="C837" t="s">
        <v>1902</v>
      </c>
    </row>
    <row r="838" spans="1:3" x14ac:dyDescent="0.35">
      <c r="A838" s="85" t="s">
        <v>5536</v>
      </c>
      <c r="B838" s="85" t="s">
        <v>1867</v>
      </c>
      <c r="C838" t="s">
        <v>1902</v>
      </c>
    </row>
    <row r="839" spans="1:3" x14ac:dyDescent="0.35">
      <c r="A839" s="85" t="s">
        <v>5537</v>
      </c>
      <c r="B839" s="85" t="s">
        <v>1869</v>
      </c>
      <c r="C839" t="s">
        <v>1902</v>
      </c>
    </row>
    <row r="840" spans="1:3" x14ac:dyDescent="0.35">
      <c r="A840" s="85" t="s">
        <v>5538</v>
      </c>
      <c r="B840" s="85" t="s">
        <v>1870</v>
      </c>
      <c r="C840" t="s">
        <v>1902</v>
      </c>
    </row>
    <row r="841" spans="1:3" x14ac:dyDescent="0.35">
      <c r="A841" s="85" t="s">
        <v>5539</v>
      </c>
      <c r="B841" s="85" t="s">
        <v>1864</v>
      </c>
      <c r="C841" t="s">
        <v>1904</v>
      </c>
    </row>
    <row r="842" spans="1:3" x14ac:dyDescent="0.35">
      <c r="A842" s="85" t="s">
        <v>5540</v>
      </c>
      <c r="B842" s="85" t="s">
        <v>1867</v>
      </c>
      <c r="C842" t="s">
        <v>1904</v>
      </c>
    </row>
    <row r="843" spans="1:3" x14ac:dyDescent="0.35">
      <c r="A843" s="85" t="s">
        <v>5541</v>
      </c>
      <c r="B843" s="85" t="s">
        <v>1869</v>
      </c>
      <c r="C843" t="s">
        <v>1904</v>
      </c>
    </row>
    <row r="844" spans="1:3" x14ac:dyDescent="0.35">
      <c r="A844" s="85" t="s">
        <v>5542</v>
      </c>
      <c r="B844" s="85" t="s">
        <v>1870</v>
      </c>
      <c r="C844" t="s">
        <v>1904</v>
      </c>
    </row>
    <row r="845" spans="1:3" x14ac:dyDescent="0.35">
      <c r="A845" s="85" t="s">
        <v>5543</v>
      </c>
      <c r="B845" s="85" t="s">
        <v>1864</v>
      </c>
      <c r="C845" t="s">
        <v>1906</v>
      </c>
    </row>
    <row r="846" spans="1:3" x14ac:dyDescent="0.35">
      <c r="A846" s="85" t="s">
        <v>5544</v>
      </c>
      <c r="B846" s="85" t="s">
        <v>1867</v>
      </c>
      <c r="C846" t="s">
        <v>1906</v>
      </c>
    </row>
    <row r="847" spans="1:3" x14ac:dyDescent="0.35">
      <c r="A847" s="85" t="s">
        <v>5545</v>
      </c>
      <c r="B847" s="85" t="s">
        <v>1869</v>
      </c>
      <c r="C847" t="s">
        <v>1906</v>
      </c>
    </row>
    <row r="848" spans="1:3" x14ac:dyDescent="0.35">
      <c r="A848" s="85" t="s">
        <v>5546</v>
      </c>
      <c r="B848" s="85" t="s">
        <v>1870</v>
      </c>
      <c r="C848" t="s">
        <v>1906</v>
      </c>
    </row>
    <row r="849" spans="1:3" x14ac:dyDescent="0.35">
      <c r="A849" s="85" t="s">
        <v>5547</v>
      </c>
      <c r="B849" s="85" t="s">
        <v>1872</v>
      </c>
      <c r="C849" t="s">
        <v>1886</v>
      </c>
    </row>
    <row r="850" spans="1:3" x14ac:dyDescent="0.35">
      <c r="A850" s="85" t="s">
        <v>5548</v>
      </c>
      <c r="B850" s="85" t="s">
        <v>1874</v>
      </c>
      <c r="C850" t="s">
        <v>1886</v>
      </c>
    </row>
    <row r="851" spans="1:3" x14ac:dyDescent="0.35">
      <c r="A851" s="85" t="s">
        <v>5549</v>
      </c>
      <c r="B851" s="85" t="s">
        <v>1876</v>
      </c>
      <c r="C851" t="s">
        <v>1886</v>
      </c>
    </row>
    <row r="852" spans="1:3" x14ac:dyDescent="0.35">
      <c r="A852" s="85" t="s">
        <v>5550</v>
      </c>
      <c r="B852" s="85" t="s">
        <v>1878</v>
      </c>
      <c r="C852" t="s">
        <v>1886</v>
      </c>
    </row>
    <row r="853" spans="1:3" x14ac:dyDescent="0.35">
      <c r="A853" s="85" t="s">
        <v>5551</v>
      </c>
      <c r="B853" s="85" t="s">
        <v>1872</v>
      </c>
      <c r="C853" t="s">
        <v>1887</v>
      </c>
    </row>
    <row r="854" spans="1:3" x14ac:dyDescent="0.35">
      <c r="A854" s="85" t="s">
        <v>5552</v>
      </c>
      <c r="B854" s="85" t="s">
        <v>1874</v>
      </c>
      <c r="C854" t="s">
        <v>1887</v>
      </c>
    </row>
    <row r="855" spans="1:3" x14ac:dyDescent="0.35">
      <c r="A855" s="85" t="s">
        <v>5553</v>
      </c>
      <c r="B855" s="85" t="s">
        <v>1876</v>
      </c>
      <c r="C855" t="s">
        <v>1887</v>
      </c>
    </row>
    <row r="856" spans="1:3" x14ac:dyDescent="0.35">
      <c r="A856" s="85" t="s">
        <v>5554</v>
      </c>
      <c r="B856" s="85" t="s">
        <v>1878</v>
      </c>
      <c r="C856" t="s">
        <v>1887</v>
      </c>
    </row>
    <row r="857" spans="1:3" x14ac:dyDescent="0.35">
      <c r="A857" s="85" t="s">
        <v>5555</v>
      </c>
      <c r="B857" s="85" t="s">
        <v>1872</v>
      </c>
      <c r="C857" t="s">
        <v>1888</v>
      </c>
    </row>
    <row r="858" spans="1:3" x14ac:dyDescent="0.35">
      <c r="A858" s="85" t="s">
        <v>5556</v>
      </c>
      <c r="B858" s="85" t="s">
        <v>1874</v>
      </c>
      <c r="C858" t="s">
        <v>1888</v>
      </c>
    </row>
    <row r="859" spans="1:3" x14ac:dyDescent="0.35">
      <c r="A859" s="85" t="s">
        <v>5557</v>
      </c>
      <c r="B859" s="85" t="s">
        <v>1876</v>
      </c>
      <c r="C859" t="s">
        <v>1888</v>
      </c>
    </row>
    <row r="860" spans="1:3" x14ac:dyDescent="0.35">
      <c r="A860" s="85" t="s">
        <v>5558</v>
      </c>
      <c r="B860" s="85" t="s">
        <v>1878</v>
      </c>
      <c r="C860" t="s">
        <v>1888</v>
      </c>
    </row>
    <row r="861" spans="1:3" x14ac:dyDescent="0.35">
      <c r="A861" s="85" t="s">
        <v>5559</v>
      </c>
      <c r="B861" s="85" t="s">
        <v>1872</v>
      </c>
      <c r="C861" t="s">
        <v>1890</v>
      </c>
    </row>
    <row r="862" spans="1:3" x14ac:dyDescent="0.35">
      <c r="A862" s="85" t="s">
        <v>5560</v>
      </c>
      <c r="B862" s="85" t="s">
        <v>1874</v>
      </c>
      <c r="C862" t="s">
        <v>1890</v>
      </c>
    </row>
    <row r="863" spans="1:3" x14ac:dyDescent="0.35">
      <c r="A863" s="85" t="s">
        <v>5561</v>
      </c>
      <c r="B863" s="85" t="s">
        <v>1876</v>
      </c>
      <c r="C863" t="s">
        <v>1890</v>
      </c>
    </row>
    <row r="864" spans="1:3" x14ac:dyDescent="0.35">
      <c r="A864" s="85" t="s">
        <v>5562</v>
      </c>
      <c r="B864" s="85" t="s">
        <v>1878</v>
      </c>
      <c r="C864" t="s">
        <v>1890</v>
      </c>
    </row>
    <row r="865" spans="1:3" x14ac:dyDescent="0.35">
      <c r="A865" s="85" t="s">
        <v>5563</v>
      </c>
      <c r="B865" s="85" t="s">
        <v>1872</v>
      </c>
      <c r="C865" t="s">
        <v>1892</v>
      </c>
    </row>
    <row r="866" spans="1:3" x14ac:dyDescent="0.35">
      <c r="A866" s="85" t="s">
        <v>5564</v>
      </c>
      <c r="B866" s="85" t="s">
        <v>1874</v>
      </c>
      <c r="C866" t="s">
        <v>1892</v>
      </c>
    </row>
    <row r="867" spans="1:3" x14ac:dyDescent="0.35">
      <c r="A867" s="85" t="s">
        <v>5565</v>
      </c>
      <c r="B867" s="85" t="s">
        <v>1876</v>
      </c>
      <c r="C867" t="s">
        <v>1892</v>
      </c>
    </row>
    <row r="868" spans="1:3" x14ac:dyDescent="0.35">
      <c r="A868" s="85" t="s">
        <v>5566</v>
      </c>
      <c r="B868" s="85" t="s">
        <v>1878</v>
      </c>
      <c r="C868" t="s">
        <v>1892</v>
      </c>
    </row>
    <row r="869" spans="1:3" x14ac:dyDescent="0.35">
      <c r="A869" s="85" t="s">
        <v>5567</v>
      </c>
      <c r="B869" s="85" t="s">
        <v>1872</v>
      </c>
      <c r="C869" t="s">
        <v>1894</v>
      </c>
    </row>
    <row r="870" spans="1:3" x14ac:dyDescent="0.35">
      <c r="A870" s="85" t="s">
        <v>5568</v>
      </c>
      <c r="B870" s="85" t="s">
        <v>1874</v>
      </c>
      <c r="C870" t="s">
        <v>1894</v>
      </c>
    </row>
    <row r="871" spans="1:3" x14ac:dyDescent="0.35">
      <c r="A871" s="85" t="s">
        <v>5569</v>
      </c>
      <c r="B871" s="85" t="s">
        <v>1876</v>
      </c>
      <c r="C871" t="s">
        <v>1894</v>
      </c>
    </row>
    <row r="872" spans="1:3" x14ac:dyDescent="0.35">
      <c r="A872" s="85" t="s">
        <v>5570</v>
      </c>
      <c r="B872" s="85" t="s">
        <v>1878</v>
      </c>
      <c r="C872" t="s">
        <v>1894</v>
      </c>
    </row>
    <row r="873" spans="1:3" x14ac:dyDescent="0.35">
      <c r="A873" s="85" t="s">
        <v>5571</v>
      </c>
      <c r="B873" s="85" t="s">
        <v>1872</v>
      </c>
      <c r="C873" t="s">
        <v>1896</v>
      </c>
    </row>
    <row r="874" spans="1:3" x14ac:dyDescent="0.35">
      <c r="A874" s="85" t="s">
        <v>5572</v>
      </c>
      <c r="B874" s="85" t="s">
        <v>1874</v>
      </c>
      <c r="C874" t="s">
        <v>1896</v>
      </c>
    </row>
    <row r="875" spans="1:3" x14ac:dyDescent="0.35">
      <c r="A875" s="85" t="s">
        <v>5573</v>
      </c>
      <c r="B875" s="85" t="s">
        <v>1876</v>
      </c>
      <c r="C875" t="s">
        <v>1896</v>
      </c>
    </row>
    <row r="876" spans="1:3" x14ac:dyDescent="0.35">
      <c r="A876" s="85" t="s">
        <v>5574</v>
      </c>
      <c r="B876" s="85" t="s">
        <v>1878</v>
      </c>
      <c r="C876" t="s">
        <v>1896</v>
      </c>
    </row>
    <row r="877" spans="1:3" x14ac:dyDescent="0.35">
      <c r="A877" s="85" t="s">
        <v>5575</v>
      </c>
      <c r="B877" s="85" t="s">
        <v>1872</v>
      </c>
      <c r="C877" t="s">
        <v>1898</v>
      </c>
    </row>
    <row r="878" spans="1:3" x14ac:dyDescent="0.35">
      <c r="A878" s="85" t="s">
        <v>5576</v>
      </c>
      <c r="B878" s="85" t="s">
        <v>1874</v>
      </c>
      <c r="C878" t="s">
        <v>1898</v>
      </c>
    </row>
    <row r="879" spans="1:3" x14ac:dyDescent="0.35">
      <c r="A879" s="85" t="s">
        <v>5577</v>
      </c>
      <c r="B879" s="85" t="s">
        <v>1876</v>
      </c>
      <c r="C879" t="s">
        <v>1898</v>
      </c>
    </row>
    <row r="880" spans="1:3" x14ac:dyDescent="0.35">
      <c r="A880" s="85" t="s">
        <v>5578</v>
      </c>
      <c r="B880" s="85" t="s">
        <v>1878</v>
      </c>
      <c r="C880" t="s">
        <v>1898</v>
      </c>
    </row>
    <row r="881" spans="1:3" x14ac:dyDescent="0.35">
      <c r="A881" s="85" t="s">
        <v>5579</v>
      </c>
      <c r="B881" s="85" t="s">
        <v>1872</v>
      </c>
      <c r="C881" t="s">
        <v>1900</v>
      </c>
    </row>
    <row r="882" spans="1:3" x14ac:dyDescent="0.35">
      <c r="A882" s="85" t="s">
        <v>5580</v>
      </c>
      <c r="B882" s="85" t="s">
        <v>1874</v>
      </c>
      <c r="C882" t="s">
        <v>1900</v>
      </c>
    </row>
    <row r="883" spans="1:3" x14ac:dyDescent="0.35">
      <c r="A883" s="85" t="s">
        <v>5581</v>
      </c>
      <c r="B883" s="85" t="s">
        <v>1876</v>
      </c>
      <c r="C883" t="s">
        <v>1900</v>
      </c>
    </row>
    <row r="884" spans="1:3" x14ac:dyDescent="0.35">
      <c r="A884" s="85" t="s">
        <v>5582</v>
      </c>
      <c r="B884" s="85" t="s">
        <v>1878</v>
      </c>
      <c r="C884" t="s">
        <v>1900</v>
      </c>
    </row>
    <row r="885" spans="1:3" x14ac:dyDescent="0.35">
      <c r="A885" s="85" t="s">
        <v>5583</v>
      </c>
      <c r="B885" s="85" t="s">
        <v>1872</v>
      </c>
      <c r="C885" t="s">
        <v>1902</v>
      </c>
    </row>
    <row r="886" spans="1:3" x14ac:dyDescent="0.35">
      <c r="A886" s="85" t="s">
        <v>5584</v>
      </c>
      <c r="B886" s="85" t="s">
        <v>1874</v>
      </c>
      <c r="C886" t="s">
        <v>1902</v>
      </c>
    </row>
    <row r="887" spans="1:3" x14ac:dyDescent="0.35">
      <c r="A887" s="85" t="s">
        <v>5585</v>
      </c>
      <c r="B887" s="85" t="s">
        <v>1876</v>
      </c>
      <c r="C887" t="s">
        <v>1902</v>
      </c>
    </row>
    <row r="888" spans="1:3" x14ac:dyDescent="0.35">
      <c r="A888" s="85" t="s">
        <v>5586</v>
      </c>
      <c r="B888" s="85" t="s">
        <v>1878</v>
      </c>
      <c r="C888" t="s">
        <v>1902</v>
      </c>
    </row>
    <row r="889" spans="1:3" x14ac:dyDescent="0.35">
      <c r="A889" s="85" t="s">
        <v>5587</v>
      </c>
      <c r="B889" s="85" t="s">
        <v>1872</v>
      </c>
      <c r="C889" t="s">
        <v>1904</v>
      </c>
    </row>
    <row r="890" spans="1:3" x14ac:dyDescent="0.35">
      <c r="A890" s="85" t="s">
        <v>5588</v>
      </c>
      <c r="B890" s="85" t="s">
        <v>1874</v>
      </c>
      <c r="C890" t="s">
        <v>1904</v>
      </c>
    </row>
    <row r="891" spans="1:3" x14ac:dyDescent="0.35">
      <c r="A891" s="85" t="s">
        <v>5589</v>
      </c>
      <c r="B891" s="85" t="s">
        <v>1876</v>
      </c>
      <c r="C891" t="s">
        <v>1904</v>
      </c>
    </row>
    <row r="892" spans="1:3" x14ac:dyDescent="0.35">
      <c r="A892" s="85" t="s">
        <v>5590</v>
      </c>
      <c r="B892" s="85" t="s">
        <v>1878</v>
      </c>
      <c r="C892" t="s">
        <v>1904</v>
      </c>
    </row>
    <row r="893" spans="1:3" x14ac:dyDescent="0.35">
      <c r="A893" s="85" t="s">
        <v>5591</v>
      </c>
      <c r="B893" s="85" t="s">
        <v>1872</v>
      </c>
      <c r="C893" t="s">
        <v>1906</v>
      </c>
    </row>
    <row r="894" spans="1:3" x14ac:dyDescent="0.35">
      <c r="A894" s="85" t="s">
        <v>5592</v>
      </c>
      <c r="B894" s="85" t="s">
        <v>1874</v>
      </c>
      <c r="C894" t="s">
        <v>1906</v>
      </c>
    </row>
    <row r="895" spans="1:3" x14ac:dyDescent="0.35">
      <c r="A895" s="85" t="s">
        <v>5593</v>
      </c>
      <c r="B895" s="85" t="s">
        <v>1876</v>
      </c>
      <c r="C895" t="s">
        <v>1906</v>
      </c>
    </row>
    <row r="896" spans="1:3" x14ac:dyDescent="0.35">
      <c r="A896" s="85" t="s">
        <v>5594</v>
      </c>
      <c r="B896" s="85" t="s">
        <v>1878</v>
      </c>
      <c r="C896" t="s">
        <v>1906</v>
      </c>
    </row>
    <row r="897" spans="1:3" x14ac:dyDescent="0.35">
      <c r="A897" s="85" t="s">
        <v>5595</v>
      </c>
      <c r="B897" s="85" t="s">
        <v>1880</v>
      </c>
      <c r="C897" t="s">
        <v>1886</v>
      </c>
    </row>
    <row r="898" spans="1:3" x14ac:dyDescent="0.35">
      <c r="A898" s="85" t="s">
        <v>5596</v>
      </c>
      <c r="B898" s="85" t="s">
        <v>1882</v>
      </c>
      <c r="C898" t="s">
        <v>1886</v>
      </c>
    </row>
    <row r="899" spans="1:3" x14ac:dyDescent="0.35">
      <c r="A899" s="85" t="s">
        <v>5597</v>
      </c>
      <c r="B899" s="85" t="s">
        <v>1883</v>
      </c>
      <c r="C899" t="s">
        <v>1886</v>
      </c>
    </row>
    <row r="900" spans="1:3" x14ac:dyDescent="0.35">
      <c r="A900" s="85" t="s">
        <v>5598</v>
      </c>
      <c r="B900" s="85" t="s">
        <v>1884</v>
      </c>
      <c r="C900" t="s">
        <v>1886</v>
      </c>
    </row>
    <row r="901" spans="1:3" x14ac:dyDescent="0.35">
      <c r="A901" s="85" t="s">
        <v>5599</v>
      </c>
      <c r="B901" s="85" t="s">
        <v>1880</v>
      </c>
      <c r="C901" t="s">
        <v>1887</v>
      </c>
    </row>
    <row r="902" spans="1:3" x14ac:dyDescent="0.35">
      <c r="A902" s="85" t="s">
        <v>5600</v>
      </c>
      <c r="B902" s="85" t="s">
        <v>1882</v>
      </c>
      <c r="C902" t="s">
        <v>1887</v>
      </c>
    </row>
    <row r="903" spans="1:3" x14ac:dyDescent="0.35">
      <c r="A903" s="85" t="s">
        <v>5601</v>
      </c>
      <c r="B903" s="85" t="s">
        <v>1883</v>
      </c>
      <c r="C903" t="s">
        <v>1887</v>
      </c>
    </row>
    <row r="904" spans="1:3" x14ac:dyDescent="0.35">
      <c r="A904" s="85" t="s">
        <v>5602</v>
      </c>
      <c r="B904" s="85" t="s">
        <v>1884</v>
      </c>
      <c r="C904" t="s">
        <v>1887</v>
      </c>
    </row>
    <row r="905" spans="1:3" x14ac:dyDescent="0.35">
      <c r="A905" s="85" t="s">
        <v>5603</v>
      </c>
      <c r="B905" s="85" t="s">
        <v>1880</v>
      </c>
      <c r="C905" t="s">
        <v>1888</v>
      </c>
    </row>
    <row r="906" spans="1:3" x14ac:dyDescent="0.35">
      <c r="A906" s="85" t="s">
        <v>5604</v>
      </c>
      <c r="B906" s="85" t="s">
        <v>1882</v>
      </c>
      <c r="C906" t="s">
        <v>1888</v>
      </c>
    </row>
    <row r="907" spans="1:3" x14ac:dyDescent="0.35">
      <c r="A907" s="85" t="s">
        <v>5605</v>
      </c>
      <c r="B907" s="85" t="s">
        <v>1883</v>
      </c>
      <c r="C907" t="s">
        <v>1888</v>
      </c>
    </row>
    <row r="908" spans="1:3" x14ac:dyDescent="0.35">
      <c r="A908" s="85" t="s">
        <v>5606</v>
      </c>
      <c r="B908" s="85" t="s">
        <v>1884</v>
      </c>
      <c r="C908" t="s">
        <v>1888</v>
      </c>
    </row>
    <row r="909" spans="1:3" x14ac:dyDescent="0.35">
      <c r="A909" s="85" t="s">
        <v>5607</v>
      </c>
      <c r="B909" s="85" t="s">
        <v>1880</v>
      </c>
      <c r="C909" t="s">
        <v>1890</v>
      </c>
    </row>
    <row r="910" spans="1:3" x14ac:dyDescent="0.35">
      <c r="A910" s="85" t="s">
        <v>5608</v>
      </c>
      <c r="B910" s="85" t="s">
        <v>1882</v>
      </c>
      <c r="C910" t="s">
        <v>1890</v>
      </c>
    </row>
    <row r="911" spans="1:3" x14ac:dyDescent="0.35">
      <c r="A911" s="85" t="s">
        <v>5609</v>
      </c>
      <c r="B911" s="85" t="s">
        <v>1883</v>
      </c>
      <c r="C911" t="s">
        <v>1890</v>
      </c>
    </row>
    <row r="912" spans="1:3" x14ac:dyDescent="0.35">
      <c r="A912" s="85" t="s">
        <v>5610</v>
      </c>
      <c r="B912" s="85" t="s">
        <v>1884</v>
      </c>
      <c r="C912" t="s">
        <v>1890</v>
      </c>
    </row>
    <row r="913" spans="1:3" x14ac:dyDescent="0.35">
      <c r="A913" s="85" t="s">
        <v>5611</v>
      </c>
      <c r="B913" s="85" t="s">
        <v>1880</v>
      </c>
      <c r="C913" t="s">
        <v>1892</v>
      </c>
    </row>
    <row r="914" spans="1:3" x14ac:dyDescent="0.35">
      <c r="A914" s="85" t="s">
        <v>5612</v>
      </c>
      <c r="B914" s="85" t="s">
        <v>1882</v>
      </c>
      <c r="C914" t="s">
        <v>1892</v>
      </c>
    </row>
    <row r="915" spans="1:3" x14ac:dyDescent="0.35">
      <c r="A915" s="85" t="s">
        <v>5613</v>
      </c>
      <c r="B915" s="85" t="s">
        <v>1883</v>
      </c>
      <c r="C915" t="s">
        <v>1892</v>
      </c>
    </row>
    <row r="916" spans="1:3" x14ac:dyDescent="0.35">
      <c r="A916" s="85" t="s">
        <v>5614</v>
      </c>
      <c r="B916" s="85" t="s">
        <v>1884</v>
      </c>
      <c r="C916" t="s">
        <v>1892</v>
      </c>
    </row>
    <row r="917" spans="1:3" x14ac:dyDescent="0.35">
      <c r="A917" s="85" t="s">
        <v>5615</v>
      </c>
      <c r="B917" s="85" t="s">
        <v>1880</v>
      </c>
      <c r="C917" t="s">
        <v>1894</v>
      </c>
    </row>
    <row r="918" spans="1:3" x14ac:dyDescent="0.35">
      <c r="A918" s="85" t="s">
        <v>5616</v>
      </c>
      <c r="B918" s="85" t="s">
        <v>1882</v>
      </c>
      <c r="C918" t="s">
        <v>1894</v>
      </c>
    </row>
    <row r="919" spans="1:3" x14ac:dyDescent="0.35">
      <c r="A919" s="85" t="s">
        <v>5617</v>
      </c>
      <c r="B919" s="85" t="s">
        <v>1883</v>
      </c>
      <c r="C919" t="s">
        <v>1894</v>
      </c>
    </row>
    <row r="920" spans="1:3" x14ac:dyDescent="0.35">
      <c r="A920" s="85" t="s">
        <v>5618</v>
      </c>
      <c r="B920" s="85" t="s">
        <v>1884</v>
      </c>
      <c r="C920" t="s">
        <v>1894</v>
      </c>
    </row>
    <row r="921" spans="1:3" x14ac:dyDescent="0.35">
      <c r="A921" s="85" t="s">
        <v>5619</v>
      </c>
      <c r="B921" s="85" t="s">
        <v>1880</v>
      </c>
      <c r="C921" t="s">
        <v>1896</v>
      </c>
    </row>
    <row r="922" spans="1:3" x14ac:dyDescent="0.35">
      <c r="A922" s="85" t="s">
        <v>5620</v>
      </c>
      <c r="B922" s="85" t="s">
        <v>1882</v>
      </c>
      <c r="C922" t="s">
        <v>1896</v>
      </c>
    </row>
    <row r="923" spans="1:3" x14ac:dyDescent="0.35">
      <c r="A923" s="85" t="s">
        <v>5621</v>
      </c>
      <c r="B923" s="85" t="s">
        <v>1883</v>
      </c>
      <c r="C923" t="s">
        <v>1896</v>
      </c>
    </row>
    <row r="924" spans="1:3" x14ac:dyDescent="0.35">
      <c r="A924" s="85" t="s">
        <v>5622</v>
      </c>
      <c r="B924" s="85" t="s">
        <v>1884</v>
      </c>
      <c r="C924" t="s">
        <v>1896</v>
      </c>
    </row>
    <row r="925" spans="1:3" x14ac:dyDescent="0.35">
      <c r="A925" s="85" t="s">
        <v>5623</v>
      </c>
      <c r="B925" s="85" t="s">
        <v>1880</v>
      </c>
      <c r="C925" t="s">
        <v>1898</v>
      </c>
    </row>
    <row r="926" spans="1:3" x14ac:dyDescent="0.35">
      <c r="A926" s="85" t="s">
        <v>5624</v>
      </c>
      <c r="B926" s="85" t="s">
        <v>1882</v>
      </c>
      <c r="C926" t="s">
        <v>1898</v>
      </c>
    </row>
    <row r="927" spans="1:3" x14ac:dyDescent="0.35">
      <c r="A927" s="85" t="s">
        <v>5625</v>
      </c>
      <c r="B927" s="85" t="s">
        <v>1883</v>
      </c>
      <c r="C927" t="s">
        <v>1898</v>
      </c>
    </row>
    <row r="928" spans="1:3" x14ac:dyDescent="0.35">
      <c r="A928" s="85" t="s">
        <v>5626</v>
      </c>
      <c r="B928" s="85" t="s">
        <v>1884</v>
      </c>
      <c r="C928" t="s">
        <v>1898</v>
      </c>
    </row>
    <row r="929" spans="1:3" x14ac:dyDescent="0.35">
      <c r="A929" s="85" t="s">
        <v>5627</v>
      </c>
      <c r="B929" s="85" t="s">
        <v>1880</v>
      </c>
      <c r="C929" t="s">
        <v>1900</v>
      </c>
    </row>
    <row r="930" spans="1:3" x14ac:dyDescent="0.35">
      <c r="A930" s="85" t="s">
        <v>5628</v>
      </c>
      <c r="B930" s="85" t="s">
        <v>1882</v>
      </c>
      <c r="C930" t="s">
        <v>1900</v>
      </c>
    </row>
    <row r="931" spans="1:3" x14ac:dyDescent="0.35">
      <c r="A931" s="85" t="s">
        <v>5629</v>
      </c>
      <c r="B931" s="85" t="s">
        <v>1883</v>
      </c>
      <c r="C931" t="s">
        <v>1900</v>
      </c>
    </row>
    <row r="932" spans="1:3" x14ac:dyDescent="0.35">
      <c r="A932" s="85" t="s">
        <v>5630</v>
      </c>
      <c r="B932" s="85" t="s">
        <v>1884</v>
      </c>
      <c r="C932" t="s">
        <v>1900</v>
      </c>
    </row>
    <row r="933" spans="1:3" x14ac:dyDescent="0.35">
      <c r="A933" s="85" t="s">
        <v>5631</v>
      </c>
      <c r="B933" s="85" t="s">
        <v>1880</v>
      </c>
      <c r="C933" t="s">
        <v>1902</v>
      </c>
    </row>
    <row r="934" spans="1:3" x14ac:dyDescent="0.35">
      <c r="A934" s="85" t="s">
        <v>5632</v>
      </c>
      <c r="B934" s="85" t="s">
        <v>1882</v>
      </c>
      <c r="C934" t="s">
        <v>1902</v>
      </c>
    </row>
    <row r="935" spans="1:3" x14ac:dyDescent="0.35">
      <c r="A935" s="85" t="s">
        <v>5633</v>
      </c>
      <c r="B935" s="85" t="s">
        <v>1883</v>
      </c>
      <c r="C935" t="s">
        <v>1902</v>
      </c>
    </row>
    <row r="936" spans="1:3" x14ac:dyDescent="0.35">
      <c r="A936" s="85" t="s">
        <v>5634</v>
      </c>
      <c r="B936" s="85" t="s">
        <v>1884</v>
      </c>
      <c r="C936" t="s">
        <v>1902</v>
      </c>
    </row>
    <row r="937" spans="1:3" x14ac:dyDescent="0.35">
      <c r="A937" s="85" t="s">
        <v>5635</v>
      </c>
      <c r="B937" s="85" t="s">
        <v>1880</v>
      </c>
      <c r="C937" t="s">
        <v>1904</v>
      </c>
    </row>
    <row r="938" spans="1:3" x14ac:dyDescent="0.35">
      <c r="A938" s="85" t="s">
        <v>5636</v>
      </c>
      <c r="B938" s="85" t="s">
        <v>1882</v>
      </c>
      <c r="C938" t="s">
        <v>1904</v>
      </c>
    </row>
    <row r="939" spans="1:3" x14ac:dyDescent="0.35">
      <c r="A939" s="85" t="s">
        <v>5637</v>
      </c>
      <c r="B939" s="85" t="s">
        <v>1883</v>
      </c>
      <c r="C939" t="s">
        <v>1904</v>
      </c>
    </row>
    <row r="940" spans="1:3" x14ac:dyDescent="0.35">
      <c r="A940" s="85" t="s">
        <v>5638</v>
      </c>
      <c r="B940" s="85" t="s">
        <v>1884</v>
      </c>
      <c r="C940" t="s">
        <v>1904</v>
      </c>
    </row>
    <row r="941" spans="1:3" x14ac:dyDescent="0.35">
      <c r="A941" s="85" t="s">
        <v>5639</v>
      </c>
      <c r="B941" s="85" t="s">
        <v>1880</v>
      </c>
      <c r="C941" t="s">
        <v>1906</v>
      </c>
    </row>
    <row r="942" spans="1:3" x14ac:dyDescent="0.35">
      <c r="A942" s="85" t="s">
        <v>5640</v>
      </c>
      <c r="B942" s="85" t="s">
        <v>1882</v>
      </c>
      <c r="C942" t="s">
        <v>1906</v>
      </c>
    </row>
    <row r="943" spans="1:3" x14ac:dyDescent="0.35">
      <c r="A943" s="85" t="s">
        <v>5641</v>
      </c>
      <c r="B943" s="85" t="s">
        <v>1883</v>
      </c>
      <c r="C943" t="s">
        <v>1906</v>
      </c>
    </row>
    <row r="944" spans="1:3" x14ac:dyDescent="0.35">
      <c r="A944" s="85" t="s">
        <v>5642</v>
      </c>
      <c r="B944" s="85" t="s">
        <v>1884</v>
      </c>
      <c r="C944" t="s">
        <v>1906</v>
      </c>
    </row>
    <row r="946" spans="1:3" x14ac:dyDescent="0.35">
      <c r="A946" s="41" t="s">
        <v>5643</v>
      </c>
      <c r="B946" s="40" t="s">
        <v>1908</v>
      </c>
      <c r="C946" s="40" t="s">
        <v>2004</v>
      </c>
    </row>
    <row r="947" spans="1:3" x14ac:dyDescent="0.35">
      <c r="A947" s="41" t="s">
        <v>5644</v>
      </c>
      <c r="B947" s="40" t="s">
        <v>1911</v>
      </c>
      <c r="C947" s="40" t="s">
        <v>2006</v>
      </c>
    </row>
    <row r="948" spans="1:3" x14ac:dyDescent="0.35">
      <c r="A948" s="41" t="s">
        <v>5645</v>
      </c>
      <c r="B948" s="40" t="s">
        <v>1913</v>
      </c>
      <c r="C948" s="40" t="s">
        <v>2008</v>
      </c>
    </row>
    <row r="949" spans="1:3" x14ac:dyDescent="0.35">
      <c r="A949" s="41" t="s">
        <v>5646</v>
      </c>
      <c r="B949" s="40" t="s">
        <v>1915</v>
      </c>
      <c r="C949" s="40" t="s">
        <v>2010</v>
      </c>
    </row>
    <row r="950" spans="1:3" x14ac:dyDescent="0.35">
      <c r="A950" s="41" t="s">
        <v>5647</v>
      </c>
      <c r="B950" s="40" t="s">
        <v>1917</v>
      </c>
      <c r="C950" s="40" t="s">
        <v>2012</v>
      </c>
    </row>
    <row r="951" spans="1:3" x14ac:dyDescent="0.35">
      <c r="A951" s="41" t="s">
        <v>5648</v>
      </c>
      <c r="B951" s="40" t="s">
        <v>1919</v>
      </c>
      <c r="C951" s="40" t="s">
        <v>2014</v>
      </c>
    </row>
    <row r="952" spans="1:3" x14ac:dyDescent="0.35">
      <c r="A952" s="41" t="s">
        <v>5649</v>
      </c>
      <c r="B952" s="40" t="s">
        <v>1921</v>
      </c>
      <c r="C952" s="40" t="s">
        <v>2016</v>
      </c>
    </row>
    <row r="953" spans="1:3" x14ac:dyDescent="0.35">
      <c r="A953" s="41" t="s">
        <v>5650</v>
      </c>
      <c r="B953" s="40" t="s">
        <v>1923</v>
      </c>
      <c r="C953" s="40" t="s">
        <v>2018</v>
      </c>
    </row>
    <row r="954" spans="1:3" x14ac:dyDescent="0.35">
      <c r="A954" s="41" t="s">
        <v>5651</v>
      </c>
      <c r="B954" s="40" t="s">
        <v>1925</v>
      </c>
      <c r="C954" s="40" t="s">
        <v>2020</v>
      </c>
    </row>
    <row r="955" spans="1:3" x14ac:dyDescent="0.35">
      <c r="A955" s="41" t="s">
        <v>5652</v>
      </c>
      <c r="B955" s="40" t="s">
        <v>1927</v>
      </c>
      <c r="C955" s="40" t="s">
        <v>2022</v>
      </c>
    </row>
    <row r="956" spans="1:3" x14ac:dyDescent="0.35">
      <c r="A956" s="41" t="s">
        <v>5653</v>
      </c>
      <c r="B956" s="40" t="s">
        <v>1929</v>
      </c>
      <c r="C956" s="40" t="s">
        <v>2024</v>
      </c>
    </row>
    <row r="957" spans="1:3" x14ac:dyDescent="0.35">
      <c r="A957" s="41" t="s">
        <v>5654</v>
      </c>
      <c r="B957" s="40" t="s">
        <v>1931</v>
      </c>
      <c r="C957" s="40" t="s">
        <v>2026</v>
      </c>
    </row>
    <row r="958" spans="1:3" x14ac:dyDescent="0.35">
      <c r="A958" s="41" t="s">
        <v>5655</v>
      </c>
      <c r="B958" s="40" t="s">
        <v>1933</v>
      </c>
      <c r="C958" s="40" t="s">
        <v>2028</v>
      </c>
    </row>
    <row r="959" spans="1:3" x14ac:dyDescent="0.35">
      <c r="A959" s="41" t="s">
        <v>5656</v>
      </c>
      <c r="B959" s="40" t="s">
        <v>1935</v>
      </c>
      <c r="C959" s="40" t="s">
        <v>2030</v>
      </c>
    </row>
    <row r="960" spans="1:3" x14ac:dyDescent="0.35">
      <c r="A960" s="41" t="s">
        <v>5657</v>
      </c>
      <c r="B960" s="40" t="s">
        <v>1937</v>
      </c>
      <c r="C960" s="40" t="s">
        <v>2032</v>
      </c>
    </row>
    <row r="961" spans="1:3" x14ac:dyDescent="0.35">
      <c r="A961" s="41" t="s">
        <v>5658</v>
      </c>
      <c r="B961" s="40" t="s">
        <v>1939</v>
      </c>
      <c r="C961" s="40" t="s">
        <v>2034</v>
      </c>
    </row>
    <row r="962" spans="1:3" x14ac:dyDescent="0.35">
      <c r="A962" s="41" t="s">
        <v>5659</v>
      </c>
      <c r="B962" s="40" t="s">
        <v>1941</v>
      </c>
      <c r="C962" s="40" t="s">
        <v>2036</v>
      </c>
    </row>
    <row r="963" spans="1:3" x14ac:dyDescent="0.35">
      <c r="A963" s="41" t="s">
        <v>5660</v>
      </c>
      <c r="B963" s="40" t="s">
        <v>1943</v>
      </c>
      <c r="C963" s="40" t="s">
        <v>2038</v>
      </c>
    </row>
    <row r="964" spans="1:3" x14ac:dyDescent="0.35">
      <c r="A964" s="41" t="s">
        <v>5661</v>
      </c>
      <c r="B964" s="40" t="s">
        <v>1945</v>
      </c>
      <c r="C964" s="40" t="s">
        <v>2040</v>
      </c>
    </row>
    <row r="965" spans="1:3" x14ac:dyDescent="0.35">
      <c r="A965" s="41" t="s">
        <v>5662</v>
      </c>
      <c r="B965" s="40" t="s">
        <v>1947</v>
      </c>
      <c r="C965" s="40" t="s">
        <v>2042</v>
      </c>
    </row>
    <row r="966" spans="1:3" x14ac:dyDescent="0.35">
      <c r="A966" s="41" t="s">
        <v>5663</v>
      </c>
      <c r="B966" s="40" t="s">
        <v>1949</v>
      </c>
      <c r="C966" s="40" t="s">
        <v>2044</v>
      </c>
    </row>
    <row r="967" spans="1:3" x14ac:dyDescent="0.35">
      <c r="A967" s="41" t="s">
        <v>5664</v>
      </c>
      <c r="B967" s="40" t="s">
        <v>1951</v>
      </c>
      <c r="C967" s="40" t="s">
        <v>2046</v>
      </c>
    </row>
    <row r="968" spans="1:3" x14ac:dyDescent="0.35">
      <c r="A968" s="41" t="s">
        <v>5665</v>
      </c>
      <c r="B968" s="40" t="s">
        <v>1953</v>
      </c>
      <c r="C968" s="40" t="s">
        <v>2048</v>
      </c>
    </row>
    <row r="969" spans="1:3" x14ac:dyDescent="0.35">
      <c r="A969" s="41" t="s">
        <v>5666</v>
      </c>
      <c r="B969" s="40" t="s">
        <v>1955</v>
      </c>
      <c r="C969" s="40" t="s">
        <v>2050</v>
      </c>
    </row>
    <row r="970" spans="1:3" x14ac:dyDescent="0.35">
      <c r="A970" s="41" t="s">
        <v>5667</v>
      </c>
      <c r="B970" s="40" t="s">
        <v>1957</v>
      </c>
      <c r="C970" s="40" t="s">
        <v>2052</v>
      </c>
    </row>
    <row r="971" spans="1:3" x14ac:dyDescent="0.35">
      <c r="A971" s="41" t="s">
        <v>5668</v>
      </c>
      <c r="B971" s="40" t="s">
        <v>1959</v>
      </c>
      <c r="C971" s="40" t="s">
        <v>2053</v>
      </c>
    </row>
    <row r="972" spans="1:3" x14ac:dyDescent="0.35">
      <c r="A972" s="41" t="s">
        <v>5669</v>
      </c>
      <c r="B972" s="40" t="s">
        <v>1961</v>
      </c>
      <c r="C972" s="40" t="s">
        <v>2054</v>
      </c>
    </row>
    <row r="973" spans="1:3" x14ac:dyDescent="0.35">
      <c r="A973" s="41" t="s">
        <v>5670</v>
      </c>
      <c r="B973" s="40" t="s">
        <v>1963</v>
      </c>
      <c r="C973" s="40" t="s">
        <v>2055</v>
      </c>
    </row>
    <row r="974" spans="1:3" x14ac:dyDescent="0.35">
      <c r="A974" s="41" t="s">
        <v>5671</v>
      </c>
      <c r="B974" s="40" t="s">
        <v>1965</v>
      </c>
      <c r="C974" s="40" t="s">
        <v>2056</v>
      </c>
    </row>
    <row r="975" spans="1:3" x14ac:dyDescent="0.35">
      <c r="A975" s="41" t="s">
        <v>5672</v>
      </c>
      <c r="B975" s="40" t="s">
        <v>1967</v>
      </c>
      <c r="C975" s="40" t="s">
        <v>2057</v>
      </c>
    </row>
    <row r="976" spans="1:3" x14ac:dyDescent="0.35">
      <c r="A976" s="41" t="s">
        <v>5673</v>
      </c>
      <c r="B976" s="40" t="s">
        <v>1969</v>
      </c>
      <c r="C976" s="40" t="s">
        <v>2058</v>
      </c>
    </row>
    <row r="977" spans="1:3" x14ac:dyDescent="0.35">
      <c r="A977" s="41" t="s">
        <v>5674</v>
      </c>
      <c r="B977" s="40" t="s">
        <v>1971</v>
      </c>
      <c r="C977" s="40" t="s">
        <v>2059</v>
      </c>
    </row>
    <row r="978" spans="1:3" x14ac:dyDescent="0.35">
      <c r="A978" s="40" t="s">
        <v>5675</v>
      </c>
      <c r="B978" s="40" t="s">
        <v>1973</v>
      </c>
      <c r="C978" s="40" t="s">
        <v>2060</v>
      </c>
    </row>
    <row r="979" spans="1:3" x14ac:dyDescent="0.35">
      <c r="A979" s="40" t="s">
        <v>5676</v>
      </c>
      <c r="B979" s="40" t="s">
        <v>1975</v>
      </c>
      <c r="C979" s="40" t="s">
        <v>2061</v>
      </c>
    </row>
    <row r="980" spans="1:3" x14ac:dyDescent="0.35">
      <c r="A980" s="40" t="s">
        <v>5677</v>
      </c>
      <c r="B980" s="40" t="s">
        <v>1977</v>
      </c>
      <c r="C980" s="40" t="s">
        <v>2062</v>
      </c>
    </row>
    <row r="981" spans="1:3" x14ac:dyDescent="0.35">
      <c r="A981" s="40" t="s">
        <v>5678</v>
      </c>
      <c r="B981" s="40" t="s">
        <v>1979</v>
      </c>
      <c r="C981" s="40" t="s">
        <v>2063</v>
      </c>
    </row>
    <row r="982" spans="1:3" x14ac:dyDescent="0.35">
      <c r="A982" s="40" t="s">
        <v>5679</v>
      </c>
      <c r="B982" s="40" t="s">
        <v>1981</v>
      </c>
      <c r="C982" s="40" t="s">
        <v>2064</v>
      </c>
    </row>
    <row r="983" spans="1:3" x14ac:dyDescent="0.35">
      <c r="A983" s="40" t="s">
        <v>5680</v>
      </c>
      <c r="B983" s="40" t="s">
        <v>1983</v>
      </c>
      <c r="C983" s="40" t="s">
        <v>2065</v>
      </c>
    </row>
    <row r="984" spans="1:3" x14ac:dyDescent="0.35">
      <c r="A984" s="40" t="s">
        <v>5681</v>
      </c>
      <c r="B984" s="40" t="s">
        <v>1984</v>
      </c>
      <c r="C984" s="40" t="s">
        <v>2066</v>
      </c>
    </row>
    <row r="985" spans="1:3" x14ac:dyDescent="0.35">
      <c r="A985" s="40" t="s">
        <v>5682</v>
      </c>
      <c r="B985" s="40" t="s">
        <v>1986</v>
      </c>
      <c r="C985" s="40" t="s">
        <v>2067</v>
      </c>
    </row>
    <row r="986" spans="1:3" x14ac:dyDescent="0.35">
      <c r="A986" s="40" t="s">
        <v>5683</v>
      </c>
      <c r="B986" s="40" t="s">
        <v>1988</v>
      </c>
      <c r="C986" s="40" t="s">
        <v>2068</v>
      </c>
    </row>
    <row r="987" spans="1:3" x14ac:dyDescent="0.35">
      <c r="A987" s="40" t="s">
        <v>5684</v>
      </c>
      <c r="B987" s="40" t="s">
        <v>1990</v>
      </c>
      <c r="C987" s="40" t="s">
        <v>2069</v>
      </c>
    </row>
    <row r="988" spans="1:3" x14ac:dyDescent="0.35">
      <c r="A988" s="40" t="s">
        <v>5685</v>
      </c>
      <c r="B988" s="40" t="s">
        <v>1992</v>
      </c>
      <c r="C988" s="40" t="s">
        <v>2070</v>
      </c>
    </row>
    <row r="989" spans="1:3" x14ac:dyDescent="0.35">
      <c r="A989" s="40" t="s">
        <v>5686</v>
      </c>
      <c r="B989" s="40" t="s">
        <v>1994</v>
      </c>
      <c r="C989" s="40" t="s">
        <v>2071</v>
      </c>
    </row>
    <row r="990" spans="1:3" x14ac:dyDescent="0.35">
      <c r="A990" s="40" t="s">
        <v>5687</v>
      </c>
      <c r="B990" s="40" t="s">
        <v>1996</v>
      </c>
      <c r="C990" s="40" t="s">
        <v>2072</v>
      </c>
    </row>
    <row r="991" spans="1:3" x14ac:dyDescent="0.35">
      <c r="A991" s="40" t="s">
        <v>5688</v>
      </c>
      <c r="B991" s="40" t="s">
        <v>1998</v>
      </c>
      <c r="C991" s="40" t="s">
        <v>2073</v>
      </c>
    </row>
    <row r="992" spans="1:3" x14ac:dyDescent="0.35">
      <c r="A992" s="40" t="s">
        <v>5689</v>
      </c>
      <c r="B992" s="40" t="s">
        <v>2000</v>
      </c>
      <c r="C992" s="40" t="s">
        <v>2074</v>
      </c>
    </row>
    <row r="993" spans="1:3" x14ac:dyDescent="0.35">
      <c r="A993" s="40" t="s">
        <v>5690</v>
      </c>
      <c r="B993" s="40" t="s">
        <v>2002</v>
      </c>
      <c r="C993" s="40" t="s">
        <v>2075</v>
      </c>
    </row>
    <row r="995" spans="1:3" x14ac:dyDescent="0.35">
      <c r="A995" t="s">
        <v>5691</v>
      </c>
      <c r="B995" s="1" t="s">
        <v>2076</v>
      </c>
      <c r="C995" s="1" t="s">
        <v>2119</v>
      </c>
    </row>
    <row r="996" spans="1:3" x14ac:dyDescent="0.35">
      <c r="A996" t="s">
        <v>5692</v>
      </c>
      <c r="B996" s="1" t="s">
        <v>2078</v>
      </c>
      <c r="C996" s="1" t="s">
        <v>2121</v>
      </c>
    </row>
    <row r="997" spans="1:3" x14ac:dyDescent="0.35">
      <c r="A997" t="s">
        <v>5693</v>
      </c>
      <c r="B997" s="1" t="s">
        <v>2080</v>
      </c>
      <c r="C997" s="1" t="s">
        <v>2123</v>
      </c>
    </row>
    <row r="998" spans="1:3" x14ac:dyDescent="0.35">
      <c r="A998" t="s">
        <v>5694</v>
      </c>
      <c r="B998" s="1" t="s">
        <v>2082</v>
      </c>
      <c r="C998" s="1" t="s">
        <v>2125</v>
      </c>
    </row>
    <row r="999" spans="1:3" x14ac:dyDescent="0.35">
      <c r="A999" t="s">
        <v>5695</v>
      </c>
      <c r="B999" s="1" t="s">
        <v>2083</v>
      </c>
      <c r="C999" s="1" t="s">
        <v>2127</v>
      </c>
    </row>
    <row r="1000" spans="1:3" x14ac:dyDescent="0.35">
      <c r="A1000" t="s">
        <v>5696</v>
      </c>
      <c r="B1000" s="1" t="s">
        <v>2085</v>
      </c>
      <c r="C1000" s="1" t="s">
        <v>2129</v>
      </c>
    </row>
    <row r="1001" spans="1:3" x14ac:dyDescent="0.35">
      <c r="A1001" t="s">
        <v>5697</v>
      </c>
      <c r="B1001" s="1" t="s">
        <v>2087</v>
      </c>
      <c r="C1001" s="1" t="s">
        <v>2131</v>
      </c>
    </row>
    <row r="1002" spans="1:3" x14ac:dyDescent="0.35">
      <c r="A1002" t="s">
        <v>5698</v>
      </c>
      <c r="B1002" s="1" t="s">
        <v>2089</v>
      </c>
      <c r="C1002" s="1" t="s">
        <v>2133</v>
      </c>
    </row>
    <row r="1003" spans="1:3" x14ac:dyDescent="0.35">
      <c r="A1003" t="s">
        <v>5699</v>
      </c>
      <c r="B1003" s="1" t="s">
        <v>2091</v>
      </c>
      <c r="C1003" s="1" t="s">
        <v>2135</v>
      </c>
    </row>
    <row r="1004" spans="1:3" x14ac:dyDescent="0.35">
      <c r="A1004" t="s">
        <v>5700</v>
      </c>
      <c r="B1004" s="1" t="s">
        <v>2093</v>
      </c>
      <c r="C1004" s="1" t="s">
        <v>2137</v>
      </c>
    </row>
    <row r="1005" spans="1:3" x14ac:dyDescent="0.35">
      <c r="A1005" t="s">
        <v>5701</v>
      </c>
      <c r="B1005" s="1" t="s">
        <v>2095</v>
      </c>
      <c r="C1005" s="1" t="s">
        <v>2139</v>
      </c>
    </row>
    <row r="1006" spans="1:3" x14ac:dyDescent="0.35">
      <c r="A1006" t="s">
        <v>5702</v>
      </c>
      <c r="B1006" s="1" t="s">
        <v>2096</v>
      </c>
      <c r="C1006" s="1" t="s">
        <v>2141</v>
      </c>
    </row>
    <row r="1007" spans="1:3" x14ac:dyDescent="0.35">
      <c r="A1007" t="s">
        <v>5703</v>
      </c>
      <c r="B1007" s="1" t="s">
        <v>2098</v>
      </c>
      <c r="C1007" s="1" t="s">
        <v>2143</v>
      </c>
    </row>
    <row r="1008" spans="1:3" x14ac:dyDescent="0.35">
      <c r="A1008" t="s">
        <v>5704</v>
      </c>
      <c r="B1008" s="1" t="s">
        <v>2100</v>
      </c>
      <c r="C1008" s="1" t="s">
        <v>2145</v>
      </c>
    </row>
    <row r="1009" spans="1:3" x14ac:dyDescent="0.35">
      <c r="A1009" t="s">
        <v>5705</v>
      </c>
      <c r="B1009" s="1" t="s">
        <v>2101</v>
      </c>
      <c r="C1009" s="1" t="s">
        <v>2147</v>
      </c>
    </row>
    <row r="1010" spans="1:3" x14ac:dyDescent="0.35">
      <c r="A1010" t="s">
        <v>5706</v>
      </c>
      <c r="B1010" s="1" t="s">
        <v>2102</v>
      </c>
      <c r="C1010" s="1" t="s">
        <v>2149</v>
      </c>
    </row>
    <row r="1011" spans="1:3" x14ac:dyDescent="0.35">
      <c r="A1011" t="s">
        <v>5707</v>
      </c>
      <c r="B1011" s="1" t="s">
        <v>2104</v>
      </c>
      <c r="C1011" s="1" t="s">
        <v>2151</v>
      </c>
    </row>
    <row r="1012" spans="1:3" x14ac:dyDescent="0.35">
      <c r="A1012" t="s">
        <v>5708</v>
      </c>
      <c r="B1012" s="1" t="s">
        <v>2106</v>
      </c>
      <c r="C1012" s="1" t="s">
        <v>2153</v>
      </c>
    </row>
    <row r="1013" spans="1:3" x14ac:dyDescent="0.35">
      <c r="A1013" t="s">
        <v>5709</v>
      </c>
      <c r="B1013" s="1" t="s">
        <v>2108</v>
      </c>
      <c r="C1013" s="1" t="s">
        <v>2155</v>
      </c>
    </row>
    <row r="1014" spans="1:3" x14ac:dyDescent="0.35">
      <c r="A1014" t="s">
        <v>5710</v>
      </c>
      <c r="B1014" s="1" t="s">
        <v>2110</v>
      </c>
      <c r="C1014" s="1" t="s">
        <v>2157</v>
      </c>
    </row>
    <row r="1015" spans="1:3" x14ac:dyDescent="0.35">
      <c r="A1015" t="s">
        <v>5711</v>
      </c>
      <c r="B1015" s="1" t="s">
        <v>2112</v>
      </c>
      <c r="C1015" s="1" t="s">
        <v>2159</v>
      </c>
    </row>
    <row r="1016" spans="1:3" x14ac:dyDescent="0.35">
      <c r="A1016" t="s">
        <v>5712</v>
      </c>
      <c r="B1016" s="1" t="s">
        <v>2113</v>
      </c>
      <c r="C1016" s="1" t="s">
        <v>2161</v>
      </c>
    </row>
    <row r="1017" spans="1:3" x14ac:dyDescent="0.35">
      <c r="A1017" t="s">
        <v>5713</v>
      </c>
      <c r="B1017" s="1" t="s">
        <v>2115</v>
      </c>
      <c r="C1017" s="1" t="s">
        <v>2163</v>
      </c>
    </row>
    <row r="1018" spans="1:3" x14ac:dyDescent="0.35">
      <c r="A1018" t="s">
        <v>5714</v>
      </c>
      <c r="B1018" s="1" t="s">
        <v>2117</v>
      </c>
      <c r="C1018" s="1" t="s">
        <v>2165</v>
      </c>
    </row>
    <row r="1021" spans="1:3" x14ac:dyDescent="0.35">
      <c r="A1021" s="50" t="s">
        <v>5715</v>
      </c>
      <c r="B1021" s="50" t="s">
        <v>2167</v>
      </c>
      <c r="C1021" s="1" t="s">
        <v>2215</v>
      </c>
    </row>
    <row r="1022" spans="1:3" x14ac:dyDescent="0.35">
      <c r="A1022" s="50" t="s">
        <v>5716</v>
      </c>
      <c r="B1022" s="50" t="s">
        <v>2170</v>
      </c>
      <c r="C1022" s="1" t="s">
        <v>2215</v>
      </c>
    </row>
    <row r="1023" spans="1:3" x14ac:dyDescent="0.35">
      <c r="A1023" s="50" t="s">
        <v>5717</v>
      </c>
      <c r="B1023" s="50" t="s">
        <v>2172</v>
      </c>
      <c r="C1023" s="1" t="s">
        <v>2215</v>
      </c>
    </row>
    <row r="1024" spans="1:3" x14ac:dyDescent="0.35">
      <c r="A1024" s="50" t="s">
        <v>5718</v>
      </c>
      <c r="B1024" s="50" t="s">
        <v>2174</v>
      </c>
      <c r="C1024" s="1" t="s">
        <v>2215</v>
      </c>
    </row>
    <row r="1025" spans="1:3" x14ac:dyDescent="0.35">
      <c r="A1025" s="50" t="s">
        <v>5719</v>
      </c>
      <c r="B1025" s="50" t="s">
        <v>2176</v>
      </c>
      <c r="C1025" s="1" t="s">
        <v>2215</v>
      </c>
    </row>
    <row r="1026" spans="1:3" x14ac:dyDescent="0.35">
      <c r="A1026" s="50" t="s">
        <v>5720</v>
      </c>
      <c r="B1026" s="50" t="s">
        <v>2177</v>
      </c>
      <c r="C1026" s="1" t="s">
        <v>2215</v>
      </c>
    </row>
    <row r="1027" spans="1:3" x14ac:dyDescent="0.35">
      <c r="A1027" s="50" t="s">
        <v>5721</v>
      </c>
      <c r="B1027" s="50" t="s">
        <v>2179</v>
      </c>
      <c r="C1027" s="1" t="s">
        <v>2215</v>
      </c>
    </row>
    <row r="1028" spans="1:3" x14ac:dyDescent="0.35">
      <c r="A1028" s="50" t="s">
        <v>5722</v>
      </c>
      <c r="B1028" s="50" t="s">
        <v>2181</v>
      </c>
      <c r="C1028" s="1" t="s">
        <v>2215</v>
      </c>
    </row>
    <row r="1029" spans="1:3" x14ac:dyDescent="0.35">
      <c r="A1029" s="50" t="s">
        <v>5723</v>
      </c>
      <c r="B1029" s="50" t="s">
        <v>2183</v>
      </c>
      <c r="C1029" s="1" t="s">
        <v>2215</v>
      </c>
    </row>
    <row r="1030" spans="1:3" x14ac:dyDescent="0.35">
      <c r="A1030" s="50" t="s">
        <v>5724</v>
      </c>
      <c r="B1030" s="50" t="s">
        <v>2185</v>
      </c>
      <c r="C1030" s="1" t="s">
        <v>2215</v>
      </c>
    </row>
    <row r="1031" spans="1:3" x14ac:dyDescent="0.35">
      <c r="A1031" s="50" t="s">
        <v>5725</v>
      </c>
      <c r="B1031" s="50" t="s">
        <v>2187</v>
      </c>
      <c r="C1031" s="1" t="s">
        <v>2215</v>
      </c>
    </row>
    <row r="1032" spans="1:3" x14ac:dyDescent="0.35">
      <c r="A1032" s="50" t="s">
        <v>5726</v>
      </c>
      <c r="B1032" s="50" t="s">
        <v>2189</v>
      </c>
      <c r="C1032" s="1" t="s">
        <v>2215</v>
      </c>
    </row>
    <row r="1033" spans="1:3" x14ac:dyDescent="0.35">
      <c r="A1033" s="50" t="s">
        <v>5727</v>
      </c>
      <c r="B1033" s="50" t="s">
        <v>2191</v>
      </c>
      <c r="C1033" s="1" t="s">
        <v>2215</v>
      </c>
    </row>
    <row r="1034" spans="1:3" x14ac:dyDescent="0.35">
      <c r="A1034" s="50" t="s">
        <v>5728</v>
      </c>
      <c r="B1034" s="50" t="s">
        <v>2193</v>
      </c>
      <c r="C1034" s="1" t="s">
        <v>2215</v>
      </c>
    </row>
    <row r="1035" spans="1:3" x14ac:dyDescent="0.35">
      <c r="A1035" s="50" t="s">
        <v>5729</v>
      </c>
      <c r="B1035" s="50" t="s">
        <v>2195</v>
      </c>
      <c r="C1035" s="1" t="s">
        <v>2215</v>
      </c>
    </row>
    <row r="1036" spans="1:3" x14ac:dyDescent="0.35">
      <c r="A1036" s="50" t="s">
        <v>5730</v>
      </c>
      <c r="B1036" s="50" t="s">
        <v>2197</v>
      </c>
      <c r="C1036" s="1" t="s">
        <v>2215</v>
      </c>
    </row>
    <row r="1037" spans="1:3" x14ac:dyDescent="0.35">
      <c r="A1037" s="50" t="s">
        <v>5731</v>
      </c>
      <c r="B1037" s="50" t="s">
        <v>2199</v>
      </c>
      <c r="C1037" s="1" t="s">
        <v>2215</v>
      </c>
    </row>
    <row r="1038" spans="1:3" x14ac:dyDescent="0.35">
      <c r="A1038" s="50" t="s">
        <v>5732</v>
      </c>
      <c r="B1038" s="50" t="s">
        <v>2201</v>
      </c>
      <c r="C1038" s="1" t="s">
        <v>2215</v>
      </c>
    </row>
    <row r="1039" spans="1:3" x14ac:dyDescent="0.35">
      <c r="A1039" s="50" t="s">
        <v>5733</v>
      </c>
      <c r="B1039" s="50" t="s">
        <v>2203</v>
      </c>
      <c r="C1039" s="1" t="s">
        <v>2215</v>
      </c>
    </row>
    <row r="1040" spans="1:3" x14ac:dyDescent="0.35">
      <c r="A1040" s="50" t="s">
        <v>5734</v>
      </c>
      <c r="B1040" s="50" t="s">
        <v>2205</v>
      </c>
      <c r="C1040" s="1" t="s">
        <v>2215</v>
      </c>
    </row>
    <row r="1041" spans="1:3" x14ac:dyDescent="0.35">
      <c r="A1041" s="50" t="s">
        <v>5735</v>
      </c>
      <c r="B1041" s="50" t="s">
        <v>2207</v>
      </c>
      <c r="C1041" s="1" t="s">
        <v>2215</v>
      </c>
    </row>
    <row r="1042" spans="1:3" x14ac:dyDescent="0.35">
      <c r="A1042" s="50" t="s">
        <v>5736</v>
      </c>
      <c r="B1042" s="50" t="s">
        <v>2209</v>
      </c>
      <c r="C1042" s="1" t="s">
        <v>2215</v>
      </c>
    </row>
    <row r="1043" spans="1:3" x14ac:dyDescent="0.35">
      <c r="A1043" s="50" t="s">
        <v>5737</v>
      </c>
      <c r="B1043" s="50" t="s">
        <v>2211</v>
      </c>
      <c r="C1043" s="1" t="s">
        <v>2215</v>
      </c>
    </row>
    <row r="1044" spans="1:3" x14ac:dyDescent="0.35">
      <c r="A1044" s="50" t="s">
        <v>5738</v>
      </c>
      <c r="B1044" s="50" t="s">
        <v>2213</v>
      </c>
      <c r="C1044" s="1" t="s">
        <v>2215</v>
      </c>
    </row>
    <row r="1046" spans="1:3" x14ac:dyDescent="0.35">
      <c r="A1046" t="s">
        <v>2216</v>
      </c>
      <c r="B1046" t="s">
        <v>2216</v>
      </c>
      <c r="C1046" s="1" t="s">
        <v>2311</v>
      </c>
    </row>
    <row r="1047" spans="1:3" x14ac:dyDescent="0.35">
      <c r="A1047" t="s">
        <v>2219</v>
      </c>
      <c r="B1047" t="s">
        <v>2219</v>
      </c>
      <c r="C1047" s="1" t="s">
        <v>2311</v>
      </c>
    </row>
    <row r="1048" spans="1:3" x14ac:dyDescent="0.35">
      <c r="A1048" t="s">
        <v>2221</v>
      </c>
      <c r="B1048" t="s">
        <v>2221</v>
      </c>
      <c r="C1048" s="1" t="s">
        <v>2311</v>
      </c>
    </row>
    <row r="1049" spans="1:3" x14ac:dyDescent="0.35">
      <c r="A1049" t="s">
        <v>2222</v>
      </c>
      <c r="B1049" t="s">
        <v>2222</v>
      </c>
      <c r="C1049" s="1" t="s">
        <v>2311</v>
      </c>
    </row>
    <row r="1050" spans="1:3" x14ac:dyDescent="0.35">
      <c r="A1050" t="s">
        <v>2224</v>
      </c>
      <c r="B1050" t="s">
        <v>2224</v>
      </c>
      <c r="C1050" s="1" t="s">
        <v>2311</v>
      </c>
    </row>
    <row r="1051" spans="1:3" x14ac:dyDescent="0.35">
      <c r="A1051" t="s">
        <v>2226</v>
      </c>
      <c r="B1051" t="s">
        <v>2226</v>
      </c>
      <c r="C1051" s="1" t="s">
        <v>2311</v>
      </c>
    </row>
    <row r="1052" spans="1:3" x14ac:dyDescent="0.35">
      <c r="A1052" t="s">
        <v>2228</v>
      </c>
      <c r="B1052" t="s">
        <v>2228</v>
      </c>
      <c r="C1052" s="1" t="s">
        <v>2311</v>
      </c>
    </row>
    <row r="1053" spans="1:3" x14ac:dyDescent="0.35">
      <c r="A1053" t="s">
        <v>2230</v>
      </c>
      <c r="B1053" t="s">
        <v>2230</v>
      </c>
      <c r="C1053" s="1" t="s">
        <v>2311</v>
      </c>
    </row>
    <row r="1054" spans="1:3" x14ac:dyDescent="0.35">
      <c r="A1054" t="s">
        <v>2232</v>
      </c>
      <c r="B1054" t="s">
        <v>2232</v>
      </c>
      <c r="C1054" s="1" t="s">
        <v>2311</v>
      </c>
    </row>
    <row r="1055" spans="1:3" x14ac:dyDescent="0.35">
      <c r="A1055" t="s">
        <v>2234</v>
      </c>
      <c r="B1055" t="s">
        <v>2234</v>
      </c>
      <c r="C1055" s="1" t="s">
        <v>2311</v>
      </c>
    </row>
    <row r="1056" spans="1:3" x14ac:dyDescent="0.35">
      <c r="A1056" t="s">
        <v>2236</v>
      </c>
      <c r="B1056" t="s">
        <v>2236</v>
      </c>
      <c r="C1056" s="1" t="s">
        <v>2311</v>
      </c>
    </row>
    <row r="1057" spans="1:3" x14ac:dyDescent="0.35">
      <c r="A1057" t="s">
        <v>2238</v>
      </c>
      <c r="B1057" t="s">
        <v>2238</v>
      </c>
      <c r="C1057" s="1" t="s">
        <v>2311</v>
      </c>
    </row>
    <row r="1058" spans="1:3" x14ac:dyDescent="0.35">
      <c r="A1058" t="s">
        <v>2239</v>
      </c>
      <c r="B1058" t="s">
        <v>2239</v>
      </c>
      <c r="C1058" s="1" t="s">
        <v>2311</v>
      </c>
    </row>
    <row r="1059" spans="1:3" x14ac:dyDescent="0.35">
      <c r="A1059" t="s">
        <v>2241</v>
      </c>
      <c r="B1059" t="s">
        <v>2241</v>
      </c>
      <c r="C1059" s="1" t="s">
        <v>2311</v>
      </c>
    </row>
    <row r="1060" spans="1:3" x14ac:dyDescent="0.35">
      <c r="A1060" t="s">
        <v>2243</v>
      </c>
      <c r="B1060" t="s">
        <v>2243</v>
      </c>
      <c r="C1060" s="1" t="s">
        <v>2311</v>
      </c>
    </row>
    <row r="1061" spans="1:3" x14ac:dyDescent="0.35">
      <c r="A1061" t="s">
        <v>2245</v>
      </c>
      <c r="B1061" t="s">
        <v>2245</v>
      </c>
      <c r="C1061" s="1" t="s">
        <v>2311</v>
      </c>
    </row>
    <row r="1062" spans="1:3" x14ac:dyDescent="0.35">
      <c r="A1062" t="s">
        <v>2247</v>
      </c>
      <c r="B1062" t="s">
        <v>2247</v>
      </c>
      <c r="C1062" s="1" t="s">
        <v>2311</v>
      </c>
    </row>
    <row r="1063" spans="1:3" x14ac:dyDescent="0.35">
      <c r="A1063" t="s">
        <v>2249</v>
      </c>
      <c r="B1063" t="s">
        <v>2249</v>
      </c>
      <c r="C1063" s="1" t="s">
        <v>2311</v>
      </c>
    </row>
    <row r="1064" spans="1:3" x14ac:dyDescent="0.35">
      <c r="A1064" t="s">
        <v>2251</v>
      </c>
      <c r="B1064" t="s">
        <v>2251</v>
      </c>
      <c r="C1064" s="1" t="s">
        <v>2311</v>
      </c>
    </row>
    <row r="1065" spans="1:3" x14ac:dyDescent="0.35">
      <c r="A1065" t="s">
        <v>2253</v>
      </c>
      <c r="B1065" t="s">
        <v>2253</v>
      </c>
      <c r="C1065" s="1" t="s">
        <v>2311</v>
      </c>
    </row>
    <row r="1066" spans="1:3" x14ac:dyDescent="0.35">
      <c r="A1066" t="s">
        <v>2255</v>
      </c>
      <c r="B1066" t="s">
        <v>2255</v>
      </c>
      <c r="C1066" s="1" t="s">
        <v>2311</v>
      </c>
    </row>
    <row r="1067" spans="1:3" x14ac:dyDescent="0.35">
      <c r="A1067" t="s">
        <v>2257</v>
      </c>
      <c r="B1067" t="s">
        <v>2257</v>
      </c>
      <c r="C1067" s="1" t="s">
        <v>2311</v>
      </c>
    </row>
    <row r="1068" spans="1:3" x14ac:dyDescent="0.35">
      <c r="A1068" t="s">
        <v>2259</v>
      </c>
      <c r="B1068" t="s">
        <v>2259</v>
      </c>
      <c r="C1068" s="1" t="s">
        <v>2311</v>
      </c>
    </row>
    <row r="1069" spans="1:3" x14ac:dyDescent="0.35">
      <c r="A1069" t="s">
        <v>2261</v>
      </c>
      <c r="B1069" t="s">
        <v>2261</v>
      </c>
      <c r="C1069" s="1" t="s">
        <v>2311</v>
      </c>
    </row>
    <row r="1070" spans="1:3" x14ac:dyDescent="0.35">
      <c r="A1070" t="s">
        <v>2263</v>
      </c>
      <c r="B1070" t="s">
        <v>2263</v>
      </c>
      <c r="C1070" s="1" t="s">
        <v>2311</v>
      </c>
    </row>
    <row r="1071" spans="1:3" x14ac:dyDescent="0.35">
      <c r="A1071" t="s">
        <v>2265</v>
      </c>
      <c r="B1071" t="s">
        <v>2265</v>
      </c>
      <c r="C1071" s="1" t="s">
        <v>2311</v>
      </c>
    </row>
    <row r="1072" spans="1:3" x14ac:dyDescent="0.35">
      <c r="A1072" t="s">
        <v>2267</v>
      </c>
      <c r="B1072" t="s">
        <v>2267</v>
      </c>
      <c r="C1072" s="1" t="s">
        <v>2311</v>
      </c>
    </row>
    <row r="1073" spans="1:3" x14ac:dyDescent="0.35">
      <c r="A1073" t="s">
        <v>2269</v>
      </c>
      <c r="B1073" t="s">
        <v>2269</v>
      </c>
      <c r="C1073" s="1" t="s">
        <v>2311</v>
      </c>
    </row>
    <row r="1074" spans="1:3" x14ac:dyDescent="0.35">
      <c r="A1074" t="s">
        <v>2271</v>
      </c>
      <c r="B1074" t="s">
        <v>2271</v>
      </c>
      <c r="C1074" s="1" t="s">
        <v>2311</v>
      </c>
    </row>
    <row r="1075" spans="1:3" x14ac:dyDescent="0.35">
      <c r="A1075" t="s">
        <v>2273</v>
      </c>
      <c r="B1075" t="s">
        <v>2273</v>
      </c>
      <c r="C1075" s="1" t="s">
        <v>2311</v>
      </c>
    </row>
    <row r="1076" spans="1:3" x14ac:dyDescent="0.35">
      <c r="A1076" t="s">
        <v>2275</v>
      </c>
      <c r="B1076" t="s">
        <v>2275</v>
      </c>
      <c r="C1076" s="1" t="s">
        <v>2311</v>
      </c>
    </row>
    <row r="1077" spans="1:3" x14ac:dyDescent="0.35">
      <c r="A1077" t="s">
        <v>2277</v>
      </c>
      <c r="B1077" t="s">
        <v>2277</v>
      </c>
      <c r="C1077" s="1" t="s">
        <v>2311</v>
      </c>
    </row>
    <row r="1078" spans="1:3" x14ac:dyDescent="0.35">
      <c r="A1078" t="s">
        <v>2279</v>
      </c>
      <c r="B1078" t="s">
        <v>2279</v>
      </c>
      <c r="C1078" s="1" t="s">
        <v>2311</v>
      </c>
    </row>
    <row r="1079" spans="1:3" x14ac:dyDescent="0.35">
      <c r="A1079" t="s">
        <v>2281</v>
      </c>
      <c r="B1079" t="s">
        <v>2281</v>
      </c>
      <c r="C1079" s="1" t="s">
        <v>2311</v>
      </c>
    </row>
    <row r="1080" spans="1:3" x14ac:dyDescent="0.35">
      <c r="A1080" t="s">
        <v>2283</v>
      </c>
      <c r="B1080" t="s">
        <v>2283</v>
      </c>
      <c r="C1080" s="1" t="s">
        <v>2311</v>
      </c>
    </row>
    <row r="1081" spans="1:3" x14ac:dyDescent="0.35">
      <c r="A1081" t="s">
        <v>2285</v>
      </c>
      <c r="B1081" t="s">
        <v>2285</v>
      </c>
      <c r="C1081" s="1" t="s">
        <v>2311</v>
      </c>
    </row>
    <row r="1082" spans="1:3" x14ac:dyDescent="0.35">
      <c r="A1082" t="s">
        <v>2287</v>
      </c>
      <c r="B1082" t="s">
        <v>2287</v>
      </c>
      <c r="C1082" s="1" t="s">
        <v>2311</v>
      </c>
    </row>
    <row r="1083" spans="1:3" x14ac:dyDescent="0.35">
      <c r="A1083" t="s">
        <v>2289</v>
      </c>
      <c r="B1083" t="s">
        <v>2289</v>
      </c>
      <c r="C1083" s="1" t="s">
        <v>2311</v>
      </c>
    </row>
    <row r="1084" spans="1:3" x14ac:dyDescent="0.35">
      <c r="A1084" t="s">
        <v>2291</v>
      </c>
      <c r="B1084" t="s">
        <v>2291</v>
      </c>
      <c r="C1084" s="1" t="s">
        <v>2311</v>
      </c>
    </row>
    <row r="1085" spans="1:3" x14ac:dyDescent="0.35">
      <c r="A1085" t="s">
        <v>2293</v>
      </c>
      <c r="B1085" t="s">
        <v>2293</v>
      </c>
      <c r="C1085" s="1" t="s">
        <v>2311</v>
      </c>
    </row>
    <row r="1086" spans="1:3" x14ac:dyDescent="0.35">
      <c r="A1086" t="s">
        <v>2295</v>
      </c>
      <c r="B1086" t="s">
        <v>2295</v>
      </c>
      <c r="C1086" s="1" t="s">
        <v>2311</v>
      </c>
    </row>
    <row r="1087" spans="1:3" x14ac:dyDescent="0.35">
      <c r="A1087" t="s">
        <v>2297</v>
      </c>
      <c r="B1087" t="s">
        <v>2297</v>
      </c>
      <c r="C1087" s="1" t="s">
        <v>2311</v>
      </c>
    </row>
    <row r="1088" spans="1:3" x14ac:dyDescent="0.35">
      <c r="A1088" t="s">
        <v>2299</v>
      </c>
      <c r="B1088" t="s">
        <v>2299</v>
      </c>
      <c r="C1088" s="1" t="s">
        <v>2311</v>
      </c>
    </row>
    <row r="1089" spans="1:3" x14ac:dyDescent="0.35">
      <c r="A1089" t="s">
        <v>2301</v>
      </c>
      <c r="B1089" t="s">
        <v>2301</v>
      </c>
      <c r="C1089" s="1" t="s">
        <v>2311</v>
      </c>
    </row>
    <row r="1090" spans="1:3" x14ac:dyDescent="0.35">
      <c r="A1090" t="s">
        <v>2303</v>
      </c>
      <c r="B1090" t="s">
        <v>2303</v>
      </c>
      <c r="C1090" s="1" t="s">
        <v>2311</v>
      </c>
    </row>
    <row r="1091" spans="1:3" x14ac:dyDescent="0.35">
      <c r="A1091" t="s">
        <v>2305</v>
      </c>
      <c r="B1091" t="s">
        <v>2305</v>
      </c>
      <c r="C1091" s="1" t="s">
        <v>2311</v>
      </c>
    </row>
    <row r="1092" spans="1:3" x14ac:dyDescent="0.35">
      <c r="A1092" t="s">
        <v>2307</v>
      </c>
      <c r="B1092" t="s">
        <v>2307</v>
      </c>
      <c r="C1092" s="1" t="s">
        <v>2311</v>
      </c>
    </row>
    <row r="1093" spans="1:3" x14ac:dyDescent="0.35">
      <c r="A1093" t="s">
        <v>2309</v>
      </c>
      <c r="B1093" t="s">
        <v>2309</v>
      </c>
      <c r="C1093" s="1" t="s">
        <v>2311</v>
      </c>
    </row>
    <row r="1095" spans="1:3" x14ac:dyDescent="0.35">
      <c r="A1095" s="88">
        <v>769</v>
      </c>
      <c r="B1095" s="1" t="s">
        <v>2312</v>
      </c>
      <c r="C1095" s="1" t="s">
        <v>2979</v>
      </c>
    </row>
    <row r="1096" spans="1:3" x14ac:dyDescent="0.35">
      <c r="A1096" s="88">
        <v>770</v>
      </c>
      <c r="B1096" s="1" t="s">
        <v>2315</v>
      </c>
      <c r="C1096" s="1" t="s">
        <v>2981</v>
      </c>
    </row>
    <row r="1097" spans="1:3" x14ac:dyDescent="0.35">
      <c r="A1097" s="88">
        <v>771</v>
      </c>
      <c r="B1097" s="1" t="s">
        <v>2317</v>
      </c>
      <c r="C1097" s="1" t="s">
        <v>2982</v>
      </c>
    </row>
    <row r="1098" spans="1:3" x14ac:dyDescent="0.35">
      <c r="A1098" s="88">
        <v>772</v>
      </c>
      <c r="B1098" s="1" t="s">
        <v>2319</v>
      </c>
      <c r="C1098" s="1" t="s">
        <v>2983</v>
      </c>
    </row>
    <row r="1099" spans="1:3" x14ac:dyDescent="0.35">
      <c r="A1099" s="88">
        <v>773</v>
      </c>
      <c r="B1099" s="1" t="s">
        <v>2321</v>
      </c>
      <c r="C1099" s="1" t="s">
        <v>2985</v>
      </c>
    </row>
    <row r="1100" spans="1:3" x14ac:dyDescent="0.35">
      <c r="A1100" s="88">
        <v>774</v>
      </c>
      <c r="B1100" s="1" t="s">
        <v>2323</v>
      </c>
      <c r="C1100" s="1" t="s">
        <v>2987</v>
      </c>
    </row>
    <row r="1101" spans="1:3" x14ac:dyDescent="0.35">
      <c r="A1101" s="88">
        <v>775</v>
      </c>
      <c r="B1101" s="1" t="s">
        <v>2325</v>
      </c>
      <c r="C1101" s="1" t="s">
        <v>2989</v>
      </c>
    </row>
    <row r="1102" spans="1:3" x14ac:dyDescent="0.35">
      <c r="A1102" s="88">
        <v>776</v>
      </c>
      <c r="B1102" s="1" t="s">
        <v>2327</v>
      </c>
      <c r="C1102" s="1" t="s">
        <v>2991</v>
      </c>
    </row>
    <row r="1103" spans="1:3" x14ac:dyDescent="0.35">
      <c r="A1103" s="88">
        <v>777</v>
      </c>
      <c r="B1103" s="1" t="s">
        <v>2329</v>
      </c>
      <c r="C1103" s="1" t="s">
        <v>2993</v>
      </c>
    </row>
    <row r="1104" spans="1:3" x14ac:dyDescent="0.35">
      <c r="A1104" s="88">
        <v>778</v>
      </c>
      <c r="B1104" s="1" t="s">
        <v>2331</v>
      </c>
      <c r="C1104" s="1" t="s">
        <v>2994</v>
      </c>
    </row>
    <row r="1105" spans="1:3" x14ac:dyDescent="0.35">
      <c r="A1105" s="88">
        <v>779</v>
      </c>
      <c r="B1105" s="1" t="s">
        <v>2333</v>
      </c>
      <c r="C1105" s="1" t="s">
        <v>2995</v>
      </c>
    </row>
    <row r="1106" spans="1:3" x14ac:dyDescent="0.35">
      <c r="A1106" s="88">
        <v>780</v>
      </c>
      <c r="B1106" s="1" t="s">
        <v>2334</v>
      </c>
      <c r="C1106" s="1" t="s">
        <v>2997</v>
      </c>
    </row>
    <row r="1107" spans="1:3" x14ac:dyDescent="0.35">
      <c r="A1107" s="88">
        <v>781</v>
      </c>
      <c r="B1107" s="1" t="s">
        <v>2335</v>
      </c>
      <c r="C1107" s="1" t="s">
        <v>2999</v>
      </c>
    </row>
    <row r="1108" spans="1:3" x14ac:dyDescent="0.35">
      <c r="A1108" s="88">
        <v>782</v>
      </c>
      <c r="B1108" s="1" t="s">
        <v>2337</v>
      </c>
      <c r="C1108" s="1" t="s">
        <v>3001</v>
      </c>
    </row>
    <row r="1109" spans="1:3" x14ac:dyDescent="0.35">
      <c r="A1109" s="88">
        <v>783</v>
      </c>
      <c r="B1109" s="1" t="s">
        <v>2339</v>
      </c>
      <c r="C1109" s="1" t="s">
        <v>3003</v>
      </c>
    </row>
    <row r="1110" spans="1:3" x14ac:dyDescent="0.35">
      <c r="A1110" s="88">
        <v>784</v>
      </c>
      <c r="B1110" s="1" t="s">
        <v>2341</v>
      </c>
      <c r="C1110" s="1" t="s">
        <v>3004</v>
      </c>
    </row>
    <row r="1111" spans="1:3" x14ac:dyDescent="0.35">
      <c r="A1111" s="88">
        <v>785</v>
      </c>
      <c r="B1111" s="1" t="s">
        <v>2343</v>
      </c>
      <c r="C1111" s="1" t="s">
        <v>3006</v>
      </c>
    </row>
    <row r="1112" spans="1:3" x14ac:dyDescent="0.35">
      <c r="A1112" s="88">
        <v>786</v>
      </c>
      <c r="B1112" s="1" t="s">
        <v>2345</v>
      </c>
      <c r="C1112" s="1" t="s">
        <v>3008</v>
      </c>
    </row>
    <row r="1113" spans="1:3" x14ac:dyDescent="0.35">
      <c r="A1113" s="88">
        <v>787</v>
      </c>
      <c r="B1113" s="1" t="s">
        <v>2347</v>
      </c>
      <c r="C1113" s="1" t="s">
        <v>3010</v>
      </c>
    </row>
    <row r="1114" spans="1:3" x14ac:dyDescent="0.35">
      <c r="A1114" s="88">
        <v>788</v>
      </c>
      <c r="B1114" s="1" t="s">
        <v>2348</v>
      </c>
      <c r="C1114" s="1" t="s">
        <v>3012</v>
      </c>
    </row>
    <row r="1115" spans="1:3" x14ac:dyDescent="0.35">
      <c r="A1115" s="88">
        <v>789</v>
      </c>
      <c r="B1115" s="1" t="s">
        <v>2349</v>
      </c>
      <c r="C1115" s="1" t="s">
        <v>3014</v>
      </c>
    </row>
    <row r="1116" spans="1:3" x14ac:dyDescent="0.35">
      <c r="A1116" s="88">
        <v>790</v>
      </c>
      <c r="B1116" s="1" t="s">
        <v>2350</v>
      </c>
      <c r="C1116" s="1" t="s">
        <v>3016</v>
      </c>
    </row>
    <row r="1117" spans="1:3" x14ac:dyDescent="0.35">
      <c r="A1117" s="88">
        <v>791</v>
      </c>
      <c r="B1117" s="1" t="s">
        <v>2352</v>
      </c>
      <c r="C1117" s="1" t="s">
        <v>3018</v>
      </c>
    </row>
    <row r="1118" spans="1:3" x14ac:dyDescent="0.35">
      <c r="A1118" s="88">
        <v>792</v>
      </c>
      <c r="B1118" s="1" t="s">
        <v>2354</v>
      </c>
      <c r="C1118" s="1" t="s">
        <v>3020</v>
      </c>
    </row>
    <row r="1119" spans="1:3" x14ac:dyDescent="0.35">
      <c r="A1119" s="88">
        <v>793</v>
      </c>
      <c r="B1119" s="1" t="s">
        <v>2355</v>
      </c>
      <c r="C1119" s="1" t="s">
        <v>3022</v>
      </c>
    </row>
    <row r="1120" spans="1:3" x14ac:dyDescent="0.35">
      <c r="A1120" s="88">
        <v>794</v>
      </c>
      <c r="B1120" s="1" t="s">
        <v>2357</v>
      </c>
      <c r="C1120" s="1" t="s">
        <v>3024</v>
      </c>
    </row>
    <row r="1121" spans="1:3" x14ac:dyDescent="0.35">
      <c r="A1121" s="88">
        <v>795</v>
      </c>
      <c r="B1121" s="1" t="s">
        <v>2359</v>
      </c>
      <c r="C1121" s="1" t="s">
        <v>3026</v>
      </c>
    </row>
    <row r="1122" spans="1:3" x14ac:dyDescent="0.35">
      <c r="A1122" s="88">
        <v>796</v>
      </c>
      <c r="B1122" s="1" t="s">
        <v>2361</v>
      </c>
      <c r="C1122" s="1" t="s">
        <v>3028</v>
      </c>
    </row>
    <row r="1123" spans="1:3" x14ac:dyDescent="0.35">
      <c r="A1123" s="88">
        <v>797</v>
      </c>
      <c r="B1123" s="1" t="s">
        <v>2363</v>
      </c>
      <c r="C1123" s="1" t="s">
        <v>3030</v>
      </c>
    </row>
    <row r="1124" spans="1:3" x14ac:dyDescent="0.35">
      <c r="A1124" s="88">
        <v>798</v>
      </c>
      <c r="B1124" s="1" t="s">
        <v>2365</v>
      </c>
      <c r="C1124" s="1" t="s">
        <v>3032</v>
      </c>
    </row>
    <row r="1125" spans="1:3" x14ac:dyDescent="0.35">
      <c r="A1125" s="88">
        <v>799</v>
      </c>
      <c r="B1125" s="1" t="s">
        <v>2367</v>
      </c>
      <c r="C1125" s="1" t="s">
        <v>3034</v>
      </c>
    </row>
    <row r="1126" spans="1:3" x14ac:dyDescent="0.35">
      <c r="A1126" s="88">
        <v>800</v>
      </c>
      <c r="B1126" s="1" t="s">
        <v>2369</v>
      </c>
      <c r="C1126" s="1" t="s">
        <v>3036</v>
      </c>
    </row>
    <row r="1127" spans="1:3" x14ac:dyDescent="0.35">
      <c r="A1127" s="88">
        <v>801</v>
      </c>
      <c r="B1127" s="1" t="s">
        <v>2371</v>
      </c>
      <c r="C1127" s="1" t="s">
        <v>3038</v>
      </c>
    </row>
    <row r="1128" spans="1:3" x14ac:dyDescent="0.35">
      <c r="A1128" s="88">
        <v>802</v>
      </c>
      <c r="B1128" s="1" t="s">
        <v>2373</v>
      </c>
      <c r="C1128" s="1" t="s">
        <v>3040</v>
      </c>
    </row>
    <row r="1129" spans="1:3" x14ac:dyDescent="0.35">
      <c r="A1129" s="88">
        <v>803</v>
      </c>
      <c r="B1129" s="1" t="s">
        <v>2375</v>
      </c>
      <c r="C1129" s="1" t="s">
        <v>3042</v>
      </c>
    </row>
    <row r="1130" spans="1:3" x14ac:dyDescent="0.35">
      <c r="A1130" s="88">
        <v>804</v>
      </c>
      <c r="B1130" s="1" t="s">
        <v>2377</v>
      </c>
      <c r="C1130" s="1" t="s">
        <v>3044</v>
      </c>
    </row>
    <row r="1131" spans="1:3" x14ac:dyDescent="0.35">
      <c r="A1131" s="88">
        <v>805</v>
      </c>
      <c r="B1131" s="1" t="s">
        <v>2379</v>
      </c>
      <c r="C1131" s="1" t="s">
        <v>3045</v>
      </c>
    </row>
    <row r="1132" spans="1:3" x14ac:dyDescent="0.35">
      <c r="A1132" s="88">
        <v>806</v>
      </c>
      <c r="B1132" s="1" t="s">
        <v>2381</v>
      </c>
      <c r="C1132" s="1" t="s">
        <v>3046</v>
      </c>
    </row>
    <row r="1133" spans="1:3" x14ac:dyDescent="0.35">
      <c r="A1133" s="88">
        <v>807</v>
      </c>
      <c r="B1133" s="1" t="s">
        <v>2383</v>
      </c>
      <c r="C1133" s="1" t="s">
        <v>3048</v>
      </c>
    </row>
    <row r="1134" spans="1:3" x14ac:dyDescent="0.35">
      <c r="A1134" s="88">
        <v>808</v>
      </c>
      <c r="B1134" s="1" t="s">
        <v>2385</v>
      </c>
      <c r="C1134" s="1" t="s">
        <v>3050</v>
      </c>
    </row>
    <row r="1135" spans="1:3" x14ac:dyDescent="0.35">
      <c r="A1135" s="88">
        <v>809</v>
      </c>
      <c r="B1135" s="1" t="s">
        <v>2387</v>
      </c>
      <c r="C1135" s="1" t="s">
        <v>3051</v>
      </c>
    </row>
    <row r="1136" spans="1:3" x14ac:dyDescent="0.35">
      <c r="A1136" s="88">
        <v>810</v>
      </c>
      <c r="B1136" s="1" t="s">
        <v>2389</v>
      </c>
      <c r="C1136" s="1" t="s">
        <v>3053</v>
      </c>
    </row>
    <row r="1137" spans="1:3" x14ac:dyDescent="0.35">
      <c r="A1137" s="88">
        <v>811</v>
      </c>
      <c r="B1137" s="1" t="s">
        <v>2391</v>
      </c>
      <c r="C1137" s="1" t="s">
        <v>3055</v>
      </c>
    </row>
    <row r="1138" spans="1:3" x14ac:dyDescent="0.35">
      <c r="A1138" s="88">
        <v>812</v>
      </c>
      <c r="B1138" s="1" t="s">
        <v>2393</v>
      </c>
      <c r="C1138" s="1" t="s">
        <v>3057</v>
      </c>
    </row>
    <row r="1139" spans="1:3" x14ac:dyDescent="0.35">
      <c r="A1139" s="88">
        <v>813</v>
      </c>
      <c r="B1139" s="1" t="s">
        <v>2395</v>
      </c>
      <c r="C1139" s="1" t="s">
        <v>3058</v>
      </c>
    </row>
    <row r="1140" spans="1:3" x14ac:dyDescent="0.35">
      <c r="A1140" s="88">
        <v>814</v>
      </c>
      <c r="B1140" s="1" t="s">
        <v>2396</v>
      </c>
      <c r="C1140" s="1" t="s">
        <v>3060</v>
      </c>
    </row>
    <row r="1141" spans="1:3" x14ac:dyDescent="0.35">
      <c r="A1141" s="88">
        <v>815</v>
      </c>
      <c r="B1141" s="1" t="s">
        <v>2398</v>
      </c>
      <c r="C1141" s="1" t="s">
        <v>3062</v>
      </c>
    </row>
    <row r="1142" spans="1:3" x14ac:dyDescent="0.35">
      <c r="A1142" s="88">
        <v>816</v>
      </c>
      <c r="B1142" s="1" t="s">
        <v>2400</v>
      </c>
      <c r="C1142" s="1" t="s">
        <v>3063</v>
      </c>
    </row>
    <row r="1143" spans="1:3" x14ac:dyDescent="0.35">
      <c r="A1143" s="88">
        <v>817</v>
      </c>
      <c r="B1143" s="1" t="s">
        <v>2402</v>
      </c>
      <c r="C1143" s="1" t="s">
        <v>3065</v>
      </c>
    </row>
    <row r="1144" spans="1:3" x14ac:dyDescent="0.35">
      <c r="A1144" s="88">
        <v>818</v>
      </c>
      <c r="B1144" s="1" t="s">
        <v>2404</v>
      </c>
      <c r="C1144" s="1" t="s">
        <v>3067</v>
      </c>
    </row>
    <row r="1145" spans="1:3" x14ac:dyDescent="0.35">
      <c r="A1145" s="88">
        <v>819</v>
      </c>
      <c r="B1145" s="1" t="s">
        <v>2405</v>
      </c>
      <c r="C1145" s="1" t="s">
        <v>3069</v>
      </c>
    </row>
    <row r="1146" spans="1:3" x14ac:dyDescent="0.35">
      <c r="A1146" s="88">
        <v>820</v>
      </c>
      <c r="B1146" s="1" t="s">
        <v>2407</v>
      </c>
      <c r="C1146" s="1" t="s">
        <v>3071</v>
      </c>
    </row>
    <row r="1147" spans="1:3" x14ac:dyDescent="0.35">
      <c r="A1147" s="88">
        <v>821</v>
      </c>
      <c r="B1147" s="1" t="s">
        <v>2409</v>
      </c>
      <c r="C1147" s="1" t="s">
        <v>3072</v>
      </c>
    </row>
    <row r="1148" spans="1:3" x14ac:dyDescent="0.35">
      <c r="A1148" s="88">
        <v>822</v>
      </c>
      <c r="B1148" s="1" t="s">
        <v>2411</v>
      </c>
      <c r="C1148" s="1" t="s">
        <v>3074</v>
      </c>
    </row>
    <row r="1149" spans="1:3" x14ac:dyDescent="0.35">
      <c r="A1149" s="88">
        <v>823</v>
      </c>
      <c r="B1149" s="1" t="s">
        <v>2413</v>
      </c>
      <c r="C1149" s="1" t="s">
        <v>3076</v>
      </c>
    </row>
    <row r="1150" spans="1:3" x14ac:dyDescent="0.35">
      <c r="A1150" s="88">
        <v>824</v>
      </c>
      <c r="B1150" s="1" t="s">
        <v>2415</v>
      </c>
      <c r="C1150" s="1" t="s">
        <v>3077</v>
      </c>
    </row>
    <row r="1151" spans="1:3" x14ac:dyDescent="0.35">
      <c r="A1151" s="88">
        <v>825</v>
      </c>
      <c r="B1151" s="1" t="s">
        <v>2417</v>
      </c>
      <c r="C1151" s="1" t="s">
        <v>3079</v>
      </c>
    </row>
    <row r="1152" spans="1:3" x14ac:dyDescent="0.35">
      <c r="A1152" s="88">
        <v>826</v>
      </c>
      <c r="B1152" s="1" t="s">
        <v>2418</v>
      </c>
      <c r="C1152" s="1" t="s">
        <v>3081</v>
      </c>
    </row>
    <row r="1153" spans="1:3" x14ac:dyDescent="0.35">
      <c r="A1153" s="88">
        <v>827</v>
      </c>
      <c r="B1153" s="1" t="s">
        <v>2420</v>
      </c>
      <c r="C1153" s="1" t="s">
        <v>3083</v>
      </c>
    </row>
    <row r="1154" spans="1:3" x14ac:dyDescent="0.35">
      <c r="A1154" s="88">
        <v>828</v>
      </c>
      <c r="B1154" s="1" t="s">
        <v>2422</v>
      </c>
      <c r="C1154" s="1" t="s">
        <v>3085</v>
      </c>
    </row>
    <row r="1155" spans="1:3" x14ac:dyDescent="0.35">
      <c r="A1155" s="88">
        <v>829</v>
      </c>
      <c r="B1155" s="1" t="s">
        <v>2423</v>
      </c>
      <c r="C1155" s="1" t="s">
        <v>3086</v>
      </c>
    </row>
    <row r="1156" spans="1:3" x14ac:dyDescent="0.35">
      <c r="A1156" s="88">
        <v>830</v>
      </c>
      <c r="B1156" s="1" t="s">
        <v>2424</v>
      </c>
      <c r="C1156" s="1" t="s">
        <v>3088</v>
      </c>
    </row>
    <row r="1157" spans="1:3" x14ac:dyDescent="0.35">
      <c r="A1157" s="88">
        <v>831</v>
      </c>
      <c r="B1157" s="1" t="s">
        <v>2426</v>
      </c>
      <c r="C1157" s="1" t="s">
        <v>3090</v>
      </c>
    </row>
    <row r="1158" spans="1:3" x14ac:dyDescent="0.35">
      <c r="A1158" s="88">
        <v>832</v>
      </c>
      <c r="B1158" s="1" t="s">
        <v>2428</v>
      </c>
      <c r="C1158" s="1" t="s">
        <v>3092</v>
      </c>
    </row>
    <row r="1159" spans="1:3" x14ac:dyDescent="0.35">
      <c r="A1159" s="88">
        <v>833</v>
      </c>
      <c r="B1159" s="1" t="s">
        <v>2430</v>
      </c>
      <c r="C1159" s="1" t="s">
        <v>3094</v>
      </c>
    </row>
    <row r="1160" spans="1:3" x14ac:dyDescent="0.35">
      <c r="A1160" s="88">
        <v>834</v>
      </c>
      <c r="B1160" s="1" t="s">
        <v>2432</v>
      </c>
      <c r="C1160" s="1" t="s">
        <v>3096</v>
      </c>
    </row>
    <row r="1161" spans="1:3" x14ac:dyDescent="0.35">
      <c r="A1161" s="88">
        <v>835</v>
      </c>
      <c r="B1161" s="1" t="s">
        <v>2434</v>
      </c>
      <c r="C1161" s="1" t="s">
        <v>3098</v>
      </c>
    </row>
    <row r="1162" spans="1:3" x14ac:dyDescent="0.35">
      <c r="A1162" s="88">
        <v>836</v>
      </c>
      <c r="B1162" s="1" t="s">
        <v>2436</v>
      </c>
      <c r="C1162" s="1" t="s">
        <v>3100</v>
      </c>
    </row>
    <row r="1163" spans="1:3" x14ac:dyDescent="0.35">
      <c r="A1163" s="88">
        <v>837</v>
      </c>
      <c r="B1163" s="1" t="s">
        <v>2438</v>
      </c>
      <c r="C1163" s="1" t="s">
        <v>3102</v>
      </c>
    </row>
    <row r="1164" spans="1:3" x14ac:dyDescent="0.35">
      <c r="A1164" s="88">
        <v>838</v>
      </c>
      <c r="B1164" s="1" t="s">
        <v>2440</v>
      </c>
      <c r="C1164" s="1" t="s">
        <v>3104</v>
      </c>
    </row>
    <row r="1165" spans="1:3" x14ac:dyDescent="0.35">
      <c r="A1165" s="88">
        <v>839</v>
      </c>
      <c r="B1165" s="1" t="s">
        <v>2442</v>
      </c>
      <c r="C1165" s="1" t="s">
        <v>3106</v>
      </c>
    </row>
    <row r="1166" spans="1:3" x14ac:dyDescent="0.35">
      <c r="A1166" s="88">
        <v>840</v>
      </c>
      <c r="B1166" s="1" t="s">
        <v>2443</v>
      </c>
      <c r="C1166" s="1" t="s">
        <v>3108</v>
      </c>
    </row>
    <row r="1167" spans="1:3" x14ac:dyDescent="0.35">
      <c r="A1167" s="88">
        <v>841</v>
      </c>
      <c r="B1167" s="1" t="s">
        <v>2445</v>
      </c>
      <c r="C1167" s="1" t="s">
        <v>3110</v>
      </c>
    </row>
    <row r="1168" spans="1:3" x14ac:dyDescent="0.35">
      <c r="A1168" s="88">
        <v>842</v>
      </c>
      <c r="B1168" s="1" t="s">
        <v>2447</v>
      </c>
      <c r="C1168" s="1" t="s">
        <v>3111</v>
      </c>
    </row>
    <row r="1169" spans="1:3" x14ac:dyDescent="0.35">
      <c r="A1169" s="88">
        <v>843</v>
      </c>
      <c r="B1169" s="1" t="s">
        <v>2449</v>
      </c>
      <c r="C1169" s="1" t="s">
        <v>3113</v>
      </c>
    </row>
    <row r="1170" spans="1:3" x14ac:dyDescent="0.35">
      <c r="A1170" s="88">
        <v>844</v>
      </c>
      <c r="B1170" s="1" t="s">
        <v>2451</v>
      </c>
      <c r="C1170" s="1" t="s">
        <v>3115</v>
      </c>
    </row>
    <row r="1171" spans="1:3" x14ac:dyDescent="0.35">
      <c r="A1171" s="88">
        <v>845</v>
      </c>
      <c r="B1171" s="1" t="s">
        <v>2453</v>
      </c>
      <c r="C1171" s="1" t="s">
        <v>3116</v>
      </c>
    </row>
    <row r="1172" spans="1:3" x14ac:dyDescent="0.35">
      <c r="A1172" s="88">
        <v>846</v>
      </c>
      <c r="B1172" s="1" t="s">
        <v>2455</v>
      </c>
      <c r="C1172" s="1" t="s">
        <v>3117</v>
      </c>
    </row>
    <row r="1173" spans="1:3" x14ac:dyDescent="0.35">
      <c r="A1173" s="88">
        <v>847</v>
      </c>
      <c r="B1173" s="1" t="s">
        <v>2457</v>
      </c>
      <c r="C1173" s="1" t="s">
        <v>3118</v>
      </c>
    </row>
    <row r="1174" spans="1:3" x14ac:dyDescent="0.35">
      <c r="A1174" s="88">
        <v>848</v>
      </c>
      <c r="B1174" s="1" t="s">
        <v>2459</v>
      </c>
      <c r="C1174" s="1" t="s">
        <v>3120</v>
      </c>
    </row>
    <row r="1175" spans="1:3" x14ac:dyDescent="0.35">
      <c r="A1175" s="88">
        <v>849</v>
      </c>
      <c r="B1175" s="1" t="s">
        <v>2461</v>
      </c>
      <c r="C1175" s="1" t="s">
        <v>3122</v>
      </c>
    </row>
    <row r="1176" spans="1:3" x14ac:dyDescent="0.35">
      <c r="A1176" s="88">
        <v>850</v>
      </c>
      <c r="B1176" s="1" t="s">
        <v>2463</v>
      </c>
      <c r="C1176" s="1" t="s">
        <v>3124</v>
      </c>
    </row>
    <row r="1177" spans="1:3" x14ac:dyDescent="0.35">
      <c r="A1177" s="88">
        <v>851</v>
      </c>
      <c r="B1177" s="1" t="s">
        <v>2464</v>
      </c>
      <c r="C1177" s="1" t="s">
        <v>3126</v>
      </c>
    </row>
    <row r="1178" spans="1:3" x14ac:dyDescent="0.35">
      <c r="A1178" s="88">
        <v>852</v>
      </c>
      <c r="B1178" s="1" t="s">
        <v>2466</v>
      </c>
      <c r="C1178" s="1" t="s">
        <v>3128</v>
      </c>
    </row>
    <row r="1179" spans="1:3" x14ac:dyDescent="0.35">
      <c r="A1179" s="88">
        <v>853</v>
      </c>
      <c r="B1179" s="1" t="s">
        <v>2468</v>
      </c>
      <c r="C1179" s="1" t="s">
        <v>3130</v>
      </c>
    </row>
    <row r="1180" spans="1:3" x14ac:dyDescent="0.35">
      <c r="A1180" s="88">
        <v>854</v>
      </c>
      <c r="B1180" s="1" t="s">
        <v>2469</v>
      </c>
      <c r="C1180" s="1" t="s">
        <v>3131</v>
      </c>
    </row>
    <row r="1181" spans="1:3" x14ac:dyDescent="0.35">
      <c r="A1181" s="88">
        <v>855</v>
      </c>
      <c r="B1181" s="1" t="s">
        <v>2470</v>
      </c>
      <c r="C1181" s="1" t="s">
        <v>3132</v>
      </c>
    </row>
    <row r="1182" spans="1:3" x14ac:dyDescent="0.35">
      <c r="A1182" s="88">
        <v>856</v>
      </c>
      <c r="B1182" s="1" t="s">
        <v>2471</v>
      </c>
      <c r="C1182" s="1" t="s">
        <v>3133</v>
      </c>
    </row>
    <row r="1183" spans="1:3" x14ac:dyDescent="0.35">
      <c r="A1183" s="88">
        <v>857</v>
      </c>
      <c r="B1183" s="1" t="s">
        <v>2472</v>
      </c>
      <c r="C1183" s="1" t="s">
        <v>3134</v>
      </c>
    </row>
    <row r="1184" spans="1:3" x14ac:dyDescent="0.35">
      <c r="A1184" s="88">
        <v>858</v>
      </c>
      <c r="B1184" s="1" t="s">
        <v>2473</v>
      </c>
      <c r="C1184" s="1" t="s">
        <v>3135</v>
      </c>
    </row>
    <row r="1185" spans="1:3" x14ac:dyDescent="0.35">
      <c r="A1185" s="88">
        <v>859</v>
      </c>
      <c r="B1185" s="1" t="s">
        <v>2474</v>
      </c>
      <c r="C1185" s="1" t="s">
        <v>3136</v>
      </c>
    </row>
    <row r="1186" spans="1:3" x14ac:dyDescent="0.35">
      <c r="A1186" s="88">
        <v>860</v>
      </c>
      <c r="B1186" s="1" t="s">
        <v>2475</v>
      </c>
      <c r="C1186" s="1" t="s">
        <v>3137</v>
      </c>
    </row>
    <row r="1187" spans="1:3" x14ac:dyDescent="0.35">
      <c r="A1187" s="88">
        <v>861</v>
      </c>
      <c r="B1187" s="1" t="s">
        <v>2476</v>
      </c>
      <c r="C1187" s="1" t="s">
        <v>3138</v>
      </c>
    </row>
    <row r="1188" spans="1:3" x14ac:dyDescent="0.35">
      <c r="A1188" s="88">
        <v>862</v>
      </c>
      <c r="B1188" s="1" t="s">
        <v>2477</v>
      </c>
      <c r="C1188" s="1" t="s">
        <v>3139</v>
      </c>
    </row>
    <row r="1189" spans="1:3" x14ac:dyDescent="0.35">
      <c r="A1189" s="88">
        <v>863</v>
      </c>
      <c r="B1189" s="1" t="s">
        <v>2478</v>
      </c>
      <c r="C1189" s="1" t="s">
        <v>3140</v>
      </c>
    </row>
    <row r="1190" spans="1:3" x14ac:dyDescent="0.35">
      <c r="A1190" s="88">
        <v>864</v>
      </c>
      <c r="B1190" s="1" t="s">
        <v>2479</v>
      </c>
      <c r="C1190" s="1" t="s">
        <v>3141</v>
      </c>
    </row>
    <row r="1191" spans="1:3" x14ac:dyDescent="0.35">
      <c r="A1191" s="88">
        <v>865</v>
      </c>
      <c r="B1191" s="1" t="s">
        <v>2480</v>
      </c>
      <c r="C1191" s="1" t="s">
        <v>3142</v>
      </c>
    </row>
    <row r="1192" spans="1:3" x14ac:dyDescent="0.35">
      <c r="A1192" s="88">
        <v>866</v>
      </c>
      <c r="B1192" s="1" t="s">
        <v>2481</v>
      </c>
      <c r="C1192" s="1" t="s">
        <v>3144</v>
      </c>
    </row>
    <row r="1193" spans="1:3" x14ac:dyDescent="0.35">
      <c r="A1193" s="88">
        <v>867</v>
      </c>
      <c r="B1193" s="1" t="s">
        <v>2483</v>
      </c>
      <c r="C1193" s="1" t="s">
        <v>3146</v>
      </c>
    </row>
    <row r="1194" spans="1:3" x14ac:dyDescent="0.35">
      <c r="A1194" s="88">
        <v>868</v>
      </c>
      <c r="B1194" s="1" t="s">
        <v>2485</v>
      </c>
      <c r="C1194" s="1" t="s">
        <v>3148</v>
      </c>
    </row>
    <row r="1195" spans="1:3" x14ac:dyDescent="0.35">
      <c r="A1195" s="88">
        <v>869</v>
      </c>
      <c r="B1195" s="1" t="s">
        <v>2487</v>
      </c>
      <c r="C1195" s="1" t="s">
        <v>3150</v>
      </c>
    </row>
    <row r="1196" spans="1:3" x14ac:dyDescent="0.35">
      <c r="A1196" s="88">
        <v>870</v>
      </c>
      <c r="B1196" s="1" t="s">
        <v>2489</v>
      </c>
      <c r="C1196" s="1" t="s">
        <v>3152</v>
      </c>
    </row>
    <row r="1197" spans="1:3" x14ac:dyDescent="0.35">
      <c r="A1197" s="88">
        <v>871</v>
      </c>
      <c r="B1197" s="1" t="s">
        <v>2490</v>
      </c>
      <c r="C1197" s="1" t="s">
        <v>3154</v>
      </c>
    </row>
    <row r="1198" spans="1:3" x14ac:dyDescent="0.35">
      <c r="A1198" s="88">
        <v>872</v>
      </c>
      <c r="B1198" s="1" t="s">
        <v>2492</v>
      </c>
      <c r="C1198" s="1" t="s">
        <v>3155</v>
      </c>
    </row>
    <row r="1199" spans="1:3" x14ac:dyDescent="0.35">
      <c r="A1199" s="88">
        <v>873</v>
      </c>
      <c r="B1199" s="1" t="s">
        <v>2494</v>
      </c>
      <c r="C1199" s="1" t="s">
        <v>3157</v>
      </c>
    </row>
    <row r="1200" spans="1:3" x14ac:dyDescent="0.35">
      <c r="A1200" s="88">
        <v>874</v>
      </c>
      <c r="B1200" s="1" t="s">
        <v>2496</v>
      </c>
      <c r="C1200" s="1" t="s">
        <v>3158</v>
      </c>
    </row>
    <row r="1201" spans="1:3" x14ac:dyDescent="0.35">
      <c r="A1201" s="88">
        <v>875</v>
      </c>
      <c r="B1201" s="1" t="s">
        <v>2498</v>
      </c>
      <c r="C1201" s="1" t="s">
        <v>3159</v>
      </c>
    </row>
    <row r="1202" spans="1:3" x14ac:dyDescent="0.35">
      <c r="A1202" s="88">
        <v>876</v>
      </c>
      <c r="B1202" s="1" t="s">
        <v>2499</v>
      </c>
      <c r="C1202" s="1" t="s">
        <v>3160</v>
      </c>
    </row>
    <row r="1203" spans="1:3" x14ac:dyDescent="0.35">
      <c r="A1203" s="88">
        <v>877</v>
      </c>
      <c r="B1203" s="1" t="s">
        <v>2501</v>
      </c>
      <c r="C1203" s="1" t="s">
        <v>3161</v>
      </c>
    </row>
    <row r="1204" spans="1:3" x14ac:dyDescent="0.35">
      <c r="A1204" s="88">
        <v>878</v>
      </c>
      <c r="B1204" s="1" t="s">
        <v>2502</v>
      </c>
      <c r="C1204" s="1" t="s">
        <v>3163</v>
      </c>
    </row>
    <row r="1205" spans="1:3" x14ac:dyDescent="0.35">
      <c r="A1205" s="88">
        <v>879</v>
      </c>
      <c r="B1205" s="1" t="s">
        <v>2504</v>
      </c>
      <c r="C1205" s="1" t="s">
        <v>3165</v>
      </c>
    </row>
    <row r="1206" spans="1:3" x14ac:dyDescent="0.35">
      <c r="A1206" s="88">
        <v>880</v>
      </c>
      <c r="B1206" s="1" t="s">
        <v>2506</v>
      </c>
      <c r="C1206" s="1" t="s">
        <v>3167</v>
      </c>
    </row>
    <row r="1207" spans="1:3" x14ac:dyDescent="0.35">
      <c r="A1207" s="88">
        <v>881</v>
      </c>
      <c r="B1207" s="1" t="s">
        <v>2508</v>
      </c>
      <c r="C1207" s="1" t="s">
        <v>3168</v>
      </c>
    </row>
    <row r="1208" spans="1:3" x14ac:dyDescent="0.35">
      <c r="A1208" s="88">
        <v>882</v>
      </c>
      <c r="B1208" s="1" t="s">
        <v>2509</v>
      </c>
      <c r="C1208" s="1" t="s">
        <v>3170</v>
      </c>
    </row>
    <row r="1209" spans="1:3" x14ac:dyDescent="0.35">
      <c r="A1209" s="88">
        <v>883</v>
      </c>
      <c r="B1209" s="1" t="s">
        <v>2511</v>
      </c>
      <c r="C1209" s="1" t="s">
        <v>3171</v>
      </c>
    </row>
    <row r="1210" spans="1:3" x14ac:dyDescent="0.35">
      <c r="A1210" s="88">
        <v>884</v>
      </c>
      <c r="B1210" s="1" t="s">
        <v>2512</v>
      </c>
      <c r="C1210" s="1" t="s">
        <v>3173</v>
      </c>
    </row>
    <row r="1211" spans="1:3" x14ac:dyDescent="0.35">
      <c r="A1211" s="88">
        <v>885</v>
      </c>
      <c r="B1211" s="1" t="s">
        <v>2513</v>
      </c>
      <c r="C1211" s="1" t="s">
        <v>3174</v>
      </c>
    </row>
    <row r="1212" spans="1:3" x14ac:dyDescent="0.35">
      <c r="A1212" s="88">
        <v>886</v>
      </c>
      <c r="B1212" s="1" t="s">
        <v>2515</v>
      </c>
      <c r="C1212" s="1" t="s">
        <v>3175</v>
      </c>
    </row>
    <row r="1213" spans="1:3" x14ac:dyDescent="0.35">
      <c r="A1213" s="88">
        <v>887</v>
      </c>
      <c r="B1213" s="1" t="s">
        <v>2516</v>
      </c>
      <c r="C1213" s="1" t="s">
        <v>3177</v>
      </c>
    </row>
    <row r="1214" spans="1:3" x14ac:dyDescent="0.35">
      <c r="A1214" s="88">
        <v>888</v>
      </c>
      <c r="B1214" s="1" t="s">
        <v>2518</v>
      </c>
      <c r="C1214" s="1" t="s">
        <v>3179</v>
      </c>
    </row>
    <row r="1215" spans="1:3" x14ac:dyDescent="0.35">
      <c r="A1215" s="88">
        <v>889</v>
      </c>
      <c r="B1215" s="1" t="s">
        <v>2520</v>
      </c>
      <c r="C1215" s="1" t="s">
        <v>3181</v>
      </c>
    </row>
    <row r="1216" spans="1:3" x14ac:dyDescent="0.35">
      <c r="A1216" s="88">
        <v>890</v>
      </c>
      <c r="B1216" s="1" t="s">
        <v>2522</v>
      </c>
      <c r="C1216" s="1" t="s">
        <v>3183</v>
      </c>
    </row>
    <row r="1217" spans="1:3" x14ac:dyDescent="0.35">
      <c r="A1217" s="88">
        <v>891</v>
      </c>
      <c r="B1217" s="1" t="s">
        <v>2524</v>
      </c>
      <c r="C1217" s="1" t="s">
        <v>3184</v>
      </c>
    </row>
    <row r="1218" spans="1:3" x14ac:dyDescent="0.35">
      <c r="A1218" s="88">
        <v>892</v>
      </c>
      <c r="B1218" s="1" t="s">
        <v>2525</v>
      </c>
      <c r="C1218" s="1" t="s">
        <v>3186</v>
      </c>
    </row>
    <row r="1219" spans="1:3" x14ac:dyDescent="0.35">
      <c r="A1219" s="88">
        <v>893</v>
      </c>
      <c r="B1219" s="1" t="s">
        <v>2527</v>
      </c>
      <c r="C1219" s="1" t="s">
        <v>3187</v>
      </c>
    </row>
    <row r="1220" spans="1:3" x14ac:dyDescent="0.35">
      <c r="A1220" s="88">
        <v>894</v>
      </c>
      <c r="B1220" s="1" t="s">
        <v>2529</v>
      </c>
      <c r="C1220" s="1" t="s">
        <v>3189</v>
      </c>
    </row>
    <row r="1221" spans="1:3" x14ac:dyDescent="0.35">
      <c r="A1221" s="88">
        <v>895</v>
      </c>
      <c r="B1221" s="1" t="s">
        <v>2531</v>
      </c>
      <c r="C1221" s="1" t="s">
        <v>3190</v>
      </c>
    </row>
    <row r="1222" spans="1:3" x14ac:dyDescent="0.35">
      <c r="A1222" s="88">
        <v>896</v>
      </c>
      <c r="B1222" s="1" t="s">
        <v>2533</v>
      </c>
      <c r="C1222" s="1" t="s">
        <v>3192</v>
      </c>
    </row>
    <row r="1223" spans="1:3" x14ac:dyDescent="0.35">
      <c r="A1223" s="88">
        <v>897</v>
      </c>
      <c r="B1223" s="1" t="s">
        <v>2535</v>
      </c>
      <c r="C1223" s="1" t="s">
        <v>3194</v>
      </c>
    </row>
    <row r="1224" spans="1:3" x14ac:dyDescent="0.35">
      <c r="A1224" s="88">
        <v>898</v>
      </c>
      <c r="B1224" s="1" t="s">
        <v>2537</v>
      </c>
      <c r="C1224" s="1" t="s">
        <v>3195</v>
      </c>
    </row>
    <row r="1225" spans="1:3" x14ac:dyDescent="0.35">
      <c r="A1225" s="88">
        <v>899</v>
      </c>
      <c r="B1225" s="1" t="s">
        <v>2538</v>
      </c>
      <c r="C1225" s="1" t="s">
        <v>3197</v>
      </c>
    </row>
    <row r="1226" spans="1:3" x14ac:dyDescent="0.35">
      <c r="A1226" s="88">
        <v>900</v>
      </c>
      <c r="B1226" s="1" t="s">
        <v>2539</v>
      </c>
      <c r="C1226" s="1" t="s">
        <v>3199</v>
      </c>
    </row>
    <row r="1227" spans="1:3" x14ac:dyDescent="0.35">
      <c r="A1227" s="88">
        <v>901</v>
      </c>
      <c r="B1227" s="1" t="s">
        <v>2541</v>
      </c>
      <c r="C1227" s="1" t="s">
        <v>3200</v>
      </c>
    </row>
    <row r="1228" spans="1:3" x14ac:dyDescent="0.35">
      <c r="A1228" s="88">
        <v>902</v>
      </c>
      <c r="B1228" s="1" t="s">
        <v>2543</v>
      </c>
      <c r="C1228" s="1" t="s">
        <v>3202</v>
      </c>
    </row>
    <row r="1229" spans="1:3" x14ac:dyDescent="0.35">
      <c r="A1229" s="88">
        <v>903</v>
      </c>
      <c r="B1229" s="1" t="s">
        <v>2545</v>
      </c>
      <c r="C1229" s="1" t="s">
        <v>3204</v>
      </c>
    </row>
    <row r="1230" spans="1:3" x14ac:dyDescent="0.35">
      <c r="A1230" s="88">
        <v>904</v>
      </c>
      <c r="B1230" s="1" t="s">
        <v>2547</v>
      </c>
      <c r="C1230" s="1" t="s">
        <v>3206</v>
      </c>
    </row>
    <row r="1231" spans="1:3" x14ac:dyDescent="0.35">
      <c r="A1231" s="88">
        <v>905</v>
      </c>
      <c r="B1231" s="1" t="s">
        <v>2549</v>
      </c>
      <c r="C1231" s="1" t="s">
        <v>3208</v>
      </c>
    </row>
    <row r="1232" spans="1:3" x14ac:dyDescent="0.35">
      <c r="A1232" s="88">
        <v>906</v>
      </c>
      <c r="B1232" s="1" t="s">
        <v>2550</v>
      </c>
      <c r="C1232" s="1" t="s">
        <v>3209</v>
      </c>
    </row>
    <row r="1233" spans="1:3" x14ac:dyDescent="0.35">
      <c r="A1233" s="88">
        <v>907</v>
      </c>
      <c r="B1233" s="1" t="s">
        <v>2552</v>
      </c>
      <c r="C1233" s="1" t="s">
        <v>3210</v>
      </c>
    </row>
    <row r="1234" spans="1:3" x14ac:dyDescent="0.35">
      <c r="A1234" s="88">
        <v>908</v>
      </c>
      <c r="B1234" s="1" t="s">
        <v>2553</v>
      </c>
      <c r="C1234" s="1" t="s">
        <v>3212</v>
      </c>
    </row>
    <row r="1235" spans="1:3" x14ac:dyDescent="0.35">
      <c r="A1235" s="88">
        <v>909</v>
      </c>
      <c r="B1235" s="1" t="s">
        <v>2554</v>
      </c>
      <c r="C1235" s="1" t="s">
        <v>3213</v>
      </c>
    </row>
    <row r="1236" spans="1:3" x14ac:dyDescent="0.35">
      <c r="A1236" s="88">
        <v>910</v>
      </c>
      <c r="B1236" s="1" t="s">
        <v>2556</v>
      </c>
      <c r="C1236" s="1" t="s">
        <v>3215</v>
      </c>
    </row>
    <row r="1237" spans="1:3" x14ac:dyDescent="0.35">
      <c r="A1237" s="88">
        <v>911</v>
      </c>
      <c r="B1237" s="1" t="s">
        <v>2557</v>
      </c>
      <c r="C1237" s="1" t="s">
        <v>3217</v>
      </c>
    </row>
    <row r="1238" spans="1:3" x14ac:dyDescent="0.35">
      <c r="A1238" s="88">
        <v>912</v>
      </c>
      <c r="B1238" s="1" t="s">
        <v>2559</v>
      </c>
      <c r="C1238" s="1" t="s">
        <v>3219</v>
      </c>
    </row>
    <row r="1239" spans="1:3" x14ac:dyDescent="0.35">
      <c r="A1239" s="88">
        <v>913</v>
      </c>
      <c r="B1239" s="1" t="s">
        <v>2561</v>
      </c>
      <c r="C1239" s="1" t="s">
        <v>3221</v>
      </c>
    </row>
    <row r="1240" spans="1:3" x14ac:dyDescent="0.35">
      <c r="A1240" s="88">
        <v>914</v>
      </c>
      <c r="B1240" s="1" t="s">
        <v>2563</v>
      </c>
      <c r="C1240" s="1" t="s">
        <v>3223</v>
      </c>
    </row>
    <row r="1241" spans="1:3" x14ac:dyDescent="0.35">
      <c r="A1241" s="88">
        <v>915</v>
      </c>
      <c r="B1241" s="1" t="s">
        <v>2565</v>
      </c>
      <c r="C1241" s="1" t="s">
        <v>3225</v>
      </c>
    </row>
    <row r="1242" spans="1:3" x14ac:dyDescent="0.35">
      <c r="A1242" s="88">
        <v>916</v>
      </c>
      <c r="B1242" s="1" t="s">
        <v>2567</v>
      </c>
      <c r="C1242" s="1" t="s">
        <v>3227</v>
      </c>
    </row>
    <row r="1243" spans="1:3" x14ac:dyDescent="0.35">
      <c r="A1243" s="88">
        <v>917</v>
      </c>
      <c r="B1243" s="1" t="s">
        <v>2568</v>
      </c>
      <c r="C1243" s="1" t="s">
        <v>3229</v>
      </c>
    </row>
    <row r="1244" spans="1:3" x14ac:dyDescent="0.35">
      <c r="A1244" s="88">
        <v>918</v>
      </c>
      <c r="B1244" s="1" t="s">
        <v>2570</v>
      </c>
      <c r="C1244" s="1" t="s">
        <v>3230</v>
      </c>
    </row>
    <row r="1245" spans="1:3" x14ac:dyDescent="0.35">
      <c r="A1245" s="88">
        <v>919</v>
      </c>
      <c r="B1245" s="1" t="s">
        <v>2572</v>
      </c>
      <c r="C1245" s="1" t="s">
        <v>3232</v>
      </c>
    </row>
    <row r="1246" spans="1:3" x14ac:dyDescent="0.35">
      <c r="A1246" s="88">
        <v>920</v>
      </c>
      <c r="B1246" s="1" t="s">
        <v>2574</v>
      </c>
      <c r="C1246" s="1" t="s">
        <v>3234</v>
      </c>
    </row>
    <row r="1247" spans="1:3" x14ac:dyDescent="0.35">
      <c r="A1247" s="88">
        <v>921</v>
      </c>
      <c r="B1247" s="1" t="s">
        <v>2576</v>
      </c>
      <c r="C1247" s="1" t="s">
        <v>3235</v>
      </c>
    </row>
    <row r="1248" spans="1:3" x14ac:dyDescent="0.35">
      <c r="A1248" s="88">
        <v>922</v>
      </c>
      <c r="B1248" s="1" t="s">
        <v>2578</v>
      </c>
      <c r="C1248" s="1" t="s">
        <v>3237</v>
      </c>
    </row>
    <row r="1249" spans="1:3" x14ac:dyDescent="0.35">
      <c r="A1249" s="88">
        <v>923</v>
      </c>
      <c r="B1249" s="1" t="s">
        <v>2580</v>
      </c>
      <c r="C1249" s="1" t="s">
        <v>3239</v>
      </c>
    </row>
    <row r="1250" spans="1:3" x14ac:dyDescent="0.35">
      <c r="A1250" s="88">
        <v>924</v>
      </c>
      <c r="B1250" s="1" t="s">
        <v>2581</v>
      </c>
      <c r="C1250" s="1" t="s">
        <v>3241</v>
      </c>
    </row>
    <row r="1251" spans="1:3" x14ac:dyDescent="0.35">
      <c r="A1251" s="88">
        <v>925</v>
      </c>
      <c r="B1251" s="1" t="s">
        <v>2583</v>
      </c>
      <c r="C1251" s="1" t="s">
        <v>3243</v>
      </c>
    </row>
    <row r="1252" spans="1:3" x14ac:dyDescent="0.35">
      <c r="A1252" s="88">
        <v>926</v>
      </c>
      <c r="B1252" s="1" t="s">
        <v>2584</v>
      </c>
      <c r="C1252" s="1" t="s">
        <v>3245</v>
      </c>
    </row>
    <row r="1253" spans="1:3" x14ac:dyDescent="0.35">
      <c r="A1253" s="88">
        <v>927</v>
      </c>
      <c r="B1253" s="1" t="s">
        <v>2585</v>
      </c>
      <c r="C1253" s="1" t="s">
        <v>3247</v>
      </c>
    </row>
    <row r="1254" spans="1:3" x14ac:dyDescent="0.35">
      <c r="A1254" s="88">
        <v>928</v>
      </c>
      <c r="B1254" s="1" t="s">
        <v>2587</v>
      </c>
      <c r="C1254" s="1" t="s">
        <v>3248</v>
      </c>
    </row>
    <row r="1255" spans="1:3" x14ac:dyDescent="0.35">
      <c r="A1255" s="88">
        <v>929</v>
      </c>
      <c r="B1255" s="1" t="s">
        <v>2589</v>
      </c>
      <c r="C1255" s="1" t="s">
        <v>3249</v>
      </c>
    </row>
    <row r="1256" spans="1:3" x14ac:dyDescent="0.35">
      <c r="A1256" s="88">
        <v>930</v>
      </c>
      <c r="B1256" s="1" t="s">
        <v>2591</v>
      </c>
      <c r="C1256" s="1" t="s">
        <v>3251</v>
      </c>
    </row>
    <row r="1257" spans="1:3" x14ac:dyDescent="0.35">
      <c r="A1257" s="88">
        <v>931</v>
      </c>
      <c r="B1257" s="1" t="s">
        <v>2593</v>
      </c>
      <c r="C1257" s="1" t="s">
        <v>3253</v>
      </c>
    </row>
    <row r="1258" spans="1:3" x14ac:dyDescent="0.35">
      <c r="A1258" s="88">
        <v>932</v>
      </c>
      <c r="B1258" s="1" t="s">
        <v>2594</v>
      </c>
      <c r="C1258" s="1" t="s">
        <v>3255</v>
      </c>
    </row>
    <row r="1259" spans="1:3" x14ac:dyDescent="0.35">
      <c r="A1259" s="88">
        <v>933</v>
      </c>
      <c r="B1259" s="1" t="s">
        <v>2596</v>
      </c>
      <c r="C1259" s="1" t="s">
        <v>3256</v>
      </c>
    </row>
    <row r="1260" spans="1:3" x14ac:dyDescent="0.35">
      <c r="A1260" s="88">
        <v>934</v>
      </c>
      <c r="B1260" s="1" t="s">
        <v>2598</v>
      </c>
      <c r="C1260" s="1" t="s">
        <v>3258</v>
      </c>
    </row>
    <row r="1261" spans="1:3" x14ac:dyDescent="0.35">
      <c r="A1261" s="88">
        <v>935</v>
      </c>
      <c r="B1261" s="1" t="s">
        <v>2600</v>
      </c>
      <c r="C1261" s="1" t="s">
        <v>3259</v>
      </c>
    </row>
    <row r="1262" spans="1:3" x14ac:dyDescent="0.35">
      <c r="A1262" s="88">
        <v>936</v>
      </c>
      <c r="B1262" s="1" t="s">
        <v>2601</v>
      </c>
      <c r="C1262" s="1" t="s">
        <v>3261</v>
      </c>
    </row>
    <row r="1263" spans="1:3" x14ac:dyDescent="0.35">
      <c r="A1263" s="88">
        <v>937</v>
      </c>
      <c r="B1263" s="1" t="s">
        <v>2603</v>
      </c>
      <c r="C1263" s="1" t="s">
        <v>3262</v>
      </c>
    </row>
    <row r="1264" spans="1:3" x14ac:dyDescent="0.35">
      <c r="A1264" s="88">
        <v>938</v>
      </c>
      <c r="B1264" s="1" t="s">
        <v>2605</v>
      </c>
      <c r="C1264" s="1" t="s">
        <v>3263</v>
      </c>
    </row>
    <row r="1265" spans="1:3" x14ac:dyDescent="0.35">
      <c r="A1265" s="88">
        <v>939</v>
      </c>
      <c r="B1265" s="1" t="s">
        <v>2607</v>
      </c>
      <c r="C1265" s="1" t="s">
        <v>3265</v>
      </c>
    </row>
    <row r="1266" spans="1:3" x14ac:dyDescent="0.35">
      <c r="A1266" s="88">
        <v>940</v>
      </c>
      <c r="B1266" s="1" t="s">
        <v>2608</v>
      </c>
      <c r="C1266" s="1" t="s">
        <v>3266</v>
      </c>
    </row>
    <row r="1267" spans="1:3" x14ac:dyDescent="0.35">
      <c r="A1267" s="88">
        <v>941</v>
      </c>
      <c r="B1267" s="1" t="s">
        <v>2609</v>
      </c>
      <c r="C1267" s="1" t="s">
        <v>3267</v>
      </c>
    </row>
    <row r="1268" spans="1:3" x14ac:dyDescent="0.35">
      <c r="A1268" s="88">
        <v>942</v>
      </c>
      <c r="B1268" s="1" t="s">
        <v>2611</v>
      </c>
      <c r="C1268" s="1" t="s">
        <v>3268</v>
      </c>
    </row>
    <row r="1269" spans="1:3" x14ac:dyDescent="0.35">
      <c r="A1269" s="88">
        <v>943</v>
      </c>
      <c r="B1269" s="1" t="s">
        <v>2613</v>
      </c>
      <c r="C1269" s="1" t="s">
        <v>3270</v>
      </c>
    </row>
    <row r="1270" spans="1:3" x14ac:dyDescent="0.35">
      <c r="A1270" s="88">
        <v>944</v>
      </c>
      <c r="B1270" s="1" t="s">
        <v>2614</v>
      </c>
      <c r="C1270" s="1" t="s">
        <v>3272</v>
      </c>
    </row>
    <row r="1271" spans="1:3" x14ac:dyDescent="0.35">
      <c r="A1271" s="88">
        <v>945</v>
      </c>
      <c r="B1271" s="1" t="s">
        <v>2616</v>
      </c>
      <c r="C1271" s="1" t="s">
        <v>3273</v>
      </c>
    </row>
    <row r="1272" spans="1:3" x14ac:dyDescent="0.35">
      <c r="A1272" s="88">
        <v>946</v>
      </c>
      <c r="B1272" s="1" t="s">
        <v>2617</v>
      </c>
      <c r="C1272" s="1" t="s">
        <v>3274</v>
      </c>
    </row>
    <row r="1273" spans="1:3" x14ac:dyDescent="0.35">
      <c r="A1273" s="88">
        <v>947</v>
      </c>
      <c r="B1273" s="1" t="s">
        <v>2619</v>
      </c>
      <c r="C1273" s="1" t="s">
        <v>3276</v>
      </c>
    </row>
    <row r="1274" spans="1:3" x14ac:dyDescent="0.35">
      <c r="A1274" s="88">
        <v>948</v>
      </c>
      <c r="B1274" s="1" t="s">
        <v>2621</v>
      </c>
      <c r="C1274" s="1" t="s">
        <v>3277</v>
      </c>
    </row>
    <row r="1275" spans="1:3" x14ac:dyDescent="0.35">
      <c r="A1275" s="88">
        <v>949</v>
      </c>
      <c r="B1275" s="1" t="s">
        <v>2622</v>
      </c>
      <c r="C1275" s="1" t="s">
        <v>3278</v>
      </c>
    </row>
    <row r="1276" spans="1:3" x14ac:dyDescent="0.35">
      <c r="A1276" s="88">
        <v>950</v>
      </c>
      <c r="B1276" s="1" t="s">
        <v>2624</v>
      </c>
      <c r="C1276" s="1" t="s">
        <v>3279</v>
      </c>
    </row>
    <row r="1277" spans="1:3" x14ac:dyDescent="0.35">
      <c r="A1277" s="88">
        <v>951</v>
      </c>
      <c r="B1277" s="1" t="s">
        <v>2626</v>
      </c>
      <c r="C1277" s="1" t="s">
        <v>3281</v>
      </c>
    </row>
    <row r="1278" spans="1:3" x14ac:dyDescent="0.35">
      <c r="A1278" s="88">
        <v>952</v>
      </c>
      <c r="B1278" s="1" t="s">
        <v>2628</v>
      </c>
      <c r="C1278" s="1" t="s">
        <v>3282</v>
      </c>
    </row>
    <row r="1279" spans="1:3" x14ac:dyDescent="0.35">
      <c r="A1279" s="88">
        <v>953</v>
      </c>
      <c r="B1279" s="1" t="s">
        <v>2630</v>
      </c>
      <c r="C1279" s="1" t="s">
        <v>3284</v>
      </c>
    </row>
    <row r="1280" spans="1:3" x14ac:dyDescent="0.35">
      <c r="A1280" s="88">
        <v>954</v>
      </c>
      <c r="B1280" s="1" t="s">
        <v>2632</v>
      </c>
      <c r="C1280" s="1" t="s">
        <v>3286</v>
      </c>
    </row>
    <row r="1281" spans="1:3" x14ac:dyDescent="0.35">
      <c r="A1281" s="88">
        <v>955</v>
      </c>
      <c r="B1281" s="1" t="s">
        <v>2633</v>
      </c>
      <c r="C1281" s="1" t="s">
        <v>3288</v>
      </c>
    </row>
    <row r="1282" spans="1:3" x14ac:dyDescent="0.35">
      <c r="A1282" s="88">
        <v>956</v>
      </c>
      <c r="B1282" s="1" t="s">
        <v>2634</v>
      </c>
      <c r="C1282" s="1" t="s">
        <v>3290</v>
      </c>
    </row>
    <row r="1283" spans="1:3" x14ac:dyDescent="0.35">
      <c r="A1283" s="88">
        <v>957</v>
      </c>
      <c r="B1283" s="1" t="s">
        <v>2636</v>
      </c>
      <c r="C1283" s="1" t="s">
        <v>3291</v>
      </c>
    </row>
    <row r="1284" spans="1:3" x14ac:dyDescent="0.35">
      <c r="A1284" s="88">
        <v>958</v>
      </c>
      <c r="B1284" s="1" t="s">
        <v>2638</v>
      </c>
      <c r="C1284" s="1" t="s">
        <v>3292</v>
      </c>
    </row>
    <row r="1285" spans="1:3" x14ac:dyDescent="0.35">
      <c r="A1285" s="88">
        <v>959</v>
      </c>
      <c r="B1285" s="1" t="s">
        <v>2640</v>
      </c>
      <c r="C1285" s="1" t="s">
        <v>3294</v>
      </c>
    </row>
    <row r="1286" spans="1:3" x14ac:dyDescent="0.35">
      <c r="A1286" s="88">
        <v>960</v>
      </c>
      <c r="B1286" s="1" t="s">
        <v>2642</v>
      </c>
      <c r="C1286" s="1" t="s">
        <v>3296</v>
      </c>
    </row>
    <row r="1287" spans="1:3" x14ac:dyDescent="0.35">
      <c r="A1287" s="88">
        <v>961</v>
      </c>
      <c r="B1287" s="1" t="s">
        <v>2644</v>
      </c>
      <c r="C1287" s="1" t="s">
        <v>3298</v>
      </c>
    </row>
    <row r="1288" spans="1:3" x14ac:dyDescent="0.35">
      <c r="A1288" s="88">
        <v>962</v>
      </c>
      <c r="B1288" s="1" t="s">
        <v>2645</v>
      </c>
      <c r="C1288" s="1" t="s">
        <v>3300</v>
      </c>
    </row>
    <row r="1289" spans="1:3" x14ac:dyDescent="0.35">
      <c r="A1289" s="88">
        <v>963</v>
      </c>
      <c r="B1289" s="1" t="s">
        <v>2647</v>
      </c>
      <c r="C1289" s="1" t="s">
        <v>3302</v>
      </c>
    </row>
    <row r="1290" spans="1:3" x14ac:dyDescent="0.35">
      <c r="A1290" s="88">
        <v>964</v>
      </c>
      <c r="B1290" s="1" t="s">
        <v>2649</v>
      </c>
      <c r="C1290" s="1" t="s">
        <v>3303</v>
      </c>
    </row>
    <row r="1291" spans="1:3" x14ac:dyDescent="0.35">
      <c r="A1291" s="88">
        <v>965</v>
      </c>
      <c r="B1291" s="1" t="s">
        <v>2650</v>
      </c>
      <c r="C1291" s="1" t="s">
        <v>3305</v>
      </c>
    </row>
    <row r="1292" spans="1:3" x14ac:dyDescent="0.35">
      <c r="A1292" s="88">
        <v>966</v>
      </c>
      <c r="B1292" s="1" t="s">
        <v>2652</v>
      </c>
      <c r="C1292" s="1" t="s">
        <v>3307</v>
      </c>
    </row>
    <row r="1293" spans="1:3" x14ac:dyDescent="0.35">
      <c r="A1293" s="88">
        <v>967</v>
      </c>
      <c r="B1293" s="1" t="s">
        <v>2654</v>
      </c>
      <c r="C1293" s="1" t="s">
        <v>3308</v>
      </c>
    </row>
    <row r="1294" spans="1:3" x14ac:dyDescent="0.35">
      <c r="A1294" s="88">
        <v>968</v>
      </c>
      <c r="B1294" s="1" t="s">
        <v>2656</v>
      </c>
      <c r="C1294" s="1" t="s">
        <v>3310</v>
      </c>
    </row>
    <row r="1295" spans="1:3" x14ac:dyDescent="0.35">
      <c r="A1295" s="88">
        <v>969</v>
      </c>
      <c r="B1295" s="1" t="s">
        <v>2657</v>
      </c>
      <c r="C1295" s="1" t="s">
        <v>3312</v>
      </c>
    </row>
    <row r="1296" spans="1:3" x14ac:dyDescent="0.35">
      <c r="A1296" s="88">
        <v>970</v>
      </c>
      <c r="B1296" s="1" t="s">
        <v>2659</v>
      </c>
      <c r="C1296" s="1" t="s">
        <v>3313</v>
      </c>
    </row>
    <row r="1297" spans="1:3" x14ac:dyDescent="0.35">
      <c r="A1297" s="88">
        <v>971</v>
      </c>
      <c r="B1297" s="1" t="s">
        <v>2661</v>
      </c>
      <c r="C1297" s="1" t="s">
        <v>3315</v>
      </c>
    </row>
    <row r="1298" spans="1:3" x14ac:dyDescent="0.35">
      <c r="A1298" s="88">
        <v>972</v>
      </c>
      <c r="B1298" s="1" t="s">
        <v>2662</v>
      </c>
      <c r="C1298" s="1" t="s">
        <v>3317</v>
      </c>
    </row>
    <row r="1299" spans="1:3" x14ac:dyDescent="0.35">
      <c r="A1299" s="88">
        <v>973</v>
      </c>
      <c r="B1299" s="1" t="s">
        <v>2664</v>
      </c>
      <c r="C1299" s="1" t="s">
        <v>3319</v>
      </c>
    </row>
    <row r="1300" spans="1:3" x14ac:dyDescent="0.35">
      <c r="A1300" s="88">
        <v>974</v>
      </c>
      <c r="B1300" s="1" t="s">
        <v>2666</v>
      </c>
      <c r="C1300" s="1" t="s">
        <v>3320</v>
      </c>
    </row>
    <row r="1301" spans="1:3" x14ac:dyDescent="0.35">
      <c r="A1301" s="88">
        <v>975</v>
      </c>
      <c r="B1301" s="1" t="s">
        <v>2667</v>
      </c>
      <c r="C1301" s="1" t="s">
        <v>3322</v>
      </c>
    </row>
    <row r="1302" spans="1:3" x14ac:dyDescent="0.35">
      <c r="A1302" s="88">
        <v>976</v>
      </c>
      <c r="B1302" s="1" t="s">
        <v>2669</v>
      </c>
      <c r="C1302" s="1" t="s">
        <v>3323</v>
      </c>
    </row>
    <row r="1303" spans="1:3" x14ac:dyDescent="0.35">
      <c r="A1303" s="88">
        <v>977</v>
      </c>
      <c r="B1303" s="1" t="s">
        <v>2671</v>
      </c>
      <c r="C1303" s="1" t="s">
        <v>3325</v>
      </c>
    </row>
    <row r="1304" spans="1:3" x14ac:dyDescent="0.35">
      <c r="A1304" s="88">
        <v>978</v>
      </c>
      <c r="B1304" s="1" t="s">
        <v>2673</v>
      </c>
      <c r="C1304" s="1" t="s">
        <v>3327</v>
      </c>
    </row>
    <row r="1305" spans="1:3" x14ac:dyDescent="0.35">
      <c r="A1305" s="88">
        <v>979</v>
      </c>
      <c r="B1305" s="1" t="s">
        <v>2675</v>
      </c>
      <c r="C1305" s="1" t="s">
        <v>3329</v>
      </c>
    </row>
    <row r="1306" spans="1:3" x14ac:dyDescent="0.35">
      <c r="A1306" s="88">
        <v>980</v>
      </c>
      <c r="B1306" s="1" t="s">
        <v>2676</v>
      </c>
      <c r="C1306" s="1" t="s">
        <v>3331</v>
      </c>
    </row>
    <row r="1307" spans="1:3" x14ac:dyDescent="0.35">
      <c r="A1307" s="88">
        <v>981</v>
      </c>
      <c r="B1307" s="1" t="s">
        <v>2678</v>
      </c>
      <c r="C1307" s="1" t="s">
        <v>3333</v>
      </c>
    </row>
    <row r="1308" spans="1:3" x14ac:dyDescent="0.35">
      <c r="A1308" s="88">
        <v>982</v>
      </c>
      <c r="B1308" s="1" t="s">
        <v>2680</v>
      </c>
      <c r="C1308" s="1" t="s">
        <v>3335</v>
      </c>
    </row>
    <row r="1309" spans="1:3" x14ac:dyDescent="0.35">
      <c r="A1309" s="88">
        <v>983</v>
      </c>
      <c r="B1309" s="1" t="s">
        <v>2682</v>
      </c>
      <c r="C1309" s="1" t="s">
        <v>3337</v>
      </c>
    </row>
    <row r="1310" spans="1:3" x14ac:dyDescent="0.35">
      <c r="A1310" s="88">
        <v>984</v>
      </c>
      <c r="B1310" s="1" t="s">
        <v>2684</v>
      </c>
      <c r="C1310" s="1" t="s">
        <v>3339</v>
      </c>
    </row>
    <row r="1311" spans="1:3" x14ac:dyDescent="0.35">
      <c r="A1311" s="88">
        <v>985</v>
      </c>
      <c r="B1311" s="1" t="s">
        <v>2686</v>
      </c>
      <c r="C1311" s="1" t="s">
        <v>3340</v>
      </c>
    </row>
    <row r="1312" spans="1:3" x14ac:dyDescent="0.35">
      <c r="A1312" s="88">
        <v>986</v>
      </c>
      <c r="B1312" s="1" t="s">
        <v>2688</v>
      </c>
      <c r="C1312" s="1" t="s">
        <v>3342</v>
      </c>
    </row>
    <row r="1313" spans="1:3" x14ac:dyDescent="0.35">
      <c r="A1313" s="88">
        <v>987</v>
      </c>
      <c r="B1313" s="1" t="s">
        <v>2689</v>
      </c>
      <c r="C1313" s="1" t="s">
        <v>3344</v>
      </c>
    </row>
    <row r="1314" spans="1:3" x14ac:dyDescent="0.35">
      <c r="A1314" s="88">
        <v>988</v>
      </c>
      <c r="B1314" s="1" t="s">
        <v>2691</v>
      </c>
      <c r="C1314" s="1" t="s">
        <v>3346</v>
      </c>
    </row>
    <row r="1315" spans="1:3" x14ac:dyDescent="0.35">
      <c r="A1315" s="88">
        <v>989</v>
      </c>
      <c r="B1315" s="1" t="s">
        <v>2693</v>
      </c>
      <c r="C1315" s="1" t="s">
        <v>3348</v>
      </c>
    </row>
    <row r="1316" spans="1:3" x14ac:dyDescent="0.35">
      <c r="A1316" s="88">
        <v>990</v>
      </c>
      <c r="B1316" s="1" t="s">
        <v>2695</v>
      </c>
      <c r="C1316" s="1" t="s">
        <v>3350</v>
      </c>
    </row>
    <row r="1317" spans="1:3" x14ac:dyDescent="0.35">
      <c r="A1317" s="88">
        <v>991</v>
      </c>
      <c r="B1317" s="1" t="s">
        <v>2696</v>
      </c>
      <c r="C1317" s="1" t="s">
        <v>3352</v>
      </c>
    </row>
    <row r="1318" spans="1:3" x14ac:dyDescent="0.35">
      <c r="A1318" s="88">
        <v>992</v>
      </c>
      <c r="B1318" s="1" t="s">
        <v>2697</v>
      </c>
      <c r="C1318" s="1" t="s">
        <v>3353</v>
      </c>
    </row>
    <row r="1319" spans="1:3" x14ac:dyDescent="0.35">
      <c r="A1319" s="88">
        <v>993</v>
      </c>
      <c r="B1319" s="1" t="s">
        <v>2699</v>
      </c>
      <c r="C1319" s="1" t="s">
        <v>3355</v>
      </c>
    </row>
    <row r="1320" spans="1:3" x14ac:dyDescent="0.35">
      <c r="A1320" s="88">
        <v>994</v>
      </c>
      <c r="B1320" s="1" t="s">
        <v>2701</v>
      </c>
      <c r="C1320" s="1" t="s">
        <v>3357</v>
      </c>
    </row>
    <row r="1321" spans="1:3" x14ac:dyDescent="0.35">
      <c r="A1321" s="88">
        <v>995</v>
      </c>
      <c r="B1321" s="1" t="s">
        <v>2703</v>
      </c>
      <c r="C1321" s="1" t="s">
        <v>3359</v>
      </c>
    </row>
    <row r="1322" spans="1:3" x14ac:dyDescent="0.35">
      <c r="A1322" s="88">
        <v>996</v>
      </c>
      <c r="B1322" s="1" t="s">
        <v>2705</v>
      </c>
      <c r="C1322" s="1" t="s">
        <v>3360</v>
      </c>
    </row>
    <row r="1323" spans="1:3" x14ac:dyDescent="0.35">
      <c r="A1323" s="88">
        <v>997</v>
      </c>
      <c r="B1323" s="1" t="s">
        <v>2706</v>
      </c>
      <c r="C1323" s="1" t="s">
        <v>3362</v>
      </c>
    </row>
    <row r="1324" spans="1:3" x14ac:dyDescent="0.35">
      <c r="A1324" s="88">
        <v>998</v>
      </c>
      <c r="B1324" s="1" t="s">
        <v>2707</v>
      </c>
      <c r="C1324" s="1" t="s">
        <v>3364</v>
      </c>
    </row>
    <row r="1325" spans="1:3" x14ac:dyDescent="0.35">
      <c r="A1325" s="88">
        <v>999</v>
      </c>
      <c r="B1325" s="1" t="s">
        <v>2709</v>
      </c>
      <c r="C1325" s="1" t="s">
        <v>3366</v>
      </c>
    </row>
    <row r="1326" spans="1:3" x14ac:dyDescent="0.35">
      <c r="A1326" s="88">
        <v>1000</v>
      </c>
      <c r="B1326" s="1" t="s">
        <v>2711</v>
      </c>
      <c r="C1326" s="1" t="s">
        <v>3368</v>
      </c>
    </row>
    <row r="1327" spans="1:3" x14ac:dyDescent="0.35">
      <c r="A1327" s="88">
        <v>1001</v>
      </c>
      <c r="B1327" s="1" t="s">
        <v>2713</v>
      </c>
      <c r="C1327" s="1" t="s">
        <v>3370</v>
      </c>
    </row>
    <row r="1328" spans="1:3" x14ac:dyDescent="0.35">
      <c r="A1328" s="88">
        <v>1002</v>
      </c>
      <c r="B1328" s="1" t="s">
        <v>2714</v>
      </c>
      <c r="C1328" s="1" t="s">
        <v>3371</v>
      </c>
    </row>
    <row r="1329" spans="1:3" x14ac:dyDescent="0.35">
      <c r="A1329" s="88">
        <v>1003</v>
      </c>
      <c r="B1329" s="1" t="s">
        <v>2716</v>
      </c>
      <c r="C1329" s="1" t="s">
        <v>3373</v>
      </c>
    </row>
    <row r="1330" spans="1:3" x14ac:dyDescent="0.35">
      <c r="A1330" s="88">
        <v>1004</v>
      </c>
      <c r="B1330" s="1" t="s">
        <v>2717</v>
      </c>
      <c r="C1330" s="1" t="s">
        <v>3375</v>
      </c>
    </row>
    <row r="1331" spans="1:3" x14ac:dyDescent="0.35">
      <c r="A1331" s="88">
        <v>1005</v>
      </c>
      <c r="B1331" s="1" t="s">
        <v>2719</v>
      </c>
      <c r="C1331" s="1" t="s">
        <v>3376</v>
      </c>
    </row>
    <row r="1332" spans="1:3" x14ac:dyDescent="0.35">
      <c r="A1332" s="88">
        <v>1006</v>
      </c>
      <c r="B1332" s="1" t="s">
        <v>2720</v>
      </c>
      <c r="C1332" s="1" t="s">
        <v>3378</v>
      </c>
    </row>
    <row r="1333" spans="1:3" x14ac:dyDescent="0.35">
      <c r="A1333" s="88">
        <v>1007</v>
      </c>
      <c r="B1333" s="1" t="s">
        <v>2722</v>
      </c>
      <c r="C1333" s="1" t="s">
        <v>3379</v>
      </c>
    </row>
    <row r="1334" spans="1:3" x14ac:dyDescent="0.35">
      <c r="A1334" s="88">
        <v>1008</v>
      </c>
      <c r="B1334" s="1" t="s">
        <v>2724</v>
      </c>
      <c r="C1334" s="1" t="s">
        <v>3381</v>
      </c>
    </row>
    <row r="1335" spans="1:3" x14ac:dyDescent="0.35">
      <c r="A1335" s="88">
        <v>1009</v>
      </c>
      <c r="B1335" s="1" t="s">
        <v>2726</v>
      </c>
      <c r="C1335" s="1" t="s">
        <v>3383</v>
      </c>
    </row>
    <row r="1336" spans="1:3" x14ac:dyDescent="0.35">
      <c r="A1336" s="88">
        <v>1010</v>
      </c>
      <c r="B1336" s="1" t="s">
        <v>2728</v>
      </c>
      <c r="C1336" s="1" t="s">
        <v>3385</v>
      </c>
    </row>
    <row r="1337" spans="1:3" x14ac:dyDescent="0.35">
      <c r="A1337" s="88">
        <v>1011</v>
      </c>
      <c r="B1337" s="1" t="s">
        <v>2730</v>
      </c>
      <c r="C1337" s="1" t="s">
        <v>3386</v>
      </c>
    </row>
    <row r="1338" spans="1:3" x14ac:dyDescent="0.35">
      <c r="A1338" s="88">
        <v>1012</v>
      </c>
      <c r="B1338" s="1" t="s">
        <v>2731</v>
      </c>
      <c r="C1338" s="1" t="s">
        <v>3388</v>
      </c>
    </row>
    <row r="1339" spans="1:3" x14ac:dyDescent="0.35">
      <c r="A1339" s="88">
        <v>1013</v>
      </c>
      <c r="B1339" s="1" t="s">
        <v>2733</v>
      </c>
      <c r="C1339" s="1" t="s">
        <v>3389</v>
      </c>
    </row>
    <row r="1340" spans="1:3" x14ac:dyDescent="0.35">
      <c r="A1340" s="88">
        <v>1014</v>
      </c>
      <c r="B1340" s="1" t="s">
        <v>2734</v>
      </c>
      <c r="C1340" s="1" t="s">
        <v>3391</v>
      </c>
    </row>
    <row r="1341" spans="1:3" x14ac:dyDescent="0.35">
      <c r="A1341" s="88">
        <v>1015</v>
      </c>
      <c r="B1341" s="1" t="s">
        <v>2736</v>
      </c>
      <c r="C1341" s="1" t="s">
        <v>3392</v>
      </c>
    </row>
    <row r="1342" spans="1:3" x14ac:dyDescent="0.35">
      <c r="A1342" s="88">
        <v>1016</v>
      </c>
      <c r="B1342" s="1" t="s">
        <v>2738</v>
      </c>
      <c r="C1342" s="1" t="s">
        <v>3394</v>
      </c>
    </row>
    <row r="1343" spans="1:3" x14ac:dyDescent="0.35">
      <c r="A1343" s="88">
        <v>1017</v>
      </c>
      <c r="B1343" s="1" t="s">
        <v>2739</v>
      </c>
      <c r="C1343" s="1" t="s">
        <v>3395</v>
      </c>
    </row>
    <row r="1344" spans="1:3" x14ac:dyDescent="0.35">
      <c r="A1344" s="88">
        <v>1018</v>
      </c>
      <c r="B1344" s="1" t="s">
        <v>2741</v>
      </c>
      <c r="C1344" s="1" t="s">
        <v>3397</v>
      </c>
    </row>
    <row r="1345" spans="1:3" x14ac:dyDescent="0.35">
      <c r="A1345" s="88">
        <v>1019</v>
      </c>
      <c r="B1345" s="1" t="s">
        <v>2743</v>
      </c>
      <c r="C1345" s="1" t="s">
        <v>3399</v>
      </c>
    </row>
    <row r="1346" spans="1:3" x14ac:dyDescent="0.35">
      <c r="A1346" s="88">
        <v>1020</v>
      </c>
      <c r="B1346" s="1" t="s">
        <v>2745</v>
      </c>
      <c r="C1346" s="1" t="s">
        <v>3401</v>
      </c>
    </row>
    <row r="1347" spans="1:3" x14ac:dyDescent="0.35">
      <c r="A1347" s="88">
        <v>1021</v>
      </c>
      <c r="B1347" s="1" t="s">
        <v>2747</v>
      </c>
      <c r="C1347" s="1" t="s">
        <v>3402</v>
      </c>
    </row>
    <row r="1348" spans="1:3" x14ac:dyDescent="0.35">
      <c r="A1348" s="88">
        <v>1022</v>
      </c>
      <c r="B1348" s="1" t="s">
        <v>2749</v>
      </c>
      <c r="C1348" s="1" t="s">
        <v>3403</v>
      </c>
    </row>
    <row r="1349" spans="1:3" x14ac:dyDescent="0.35">
      <c r="A1349" s="88">
        <v>1023</v>
      </c>
      <c r="B1349" s="1" t="s">
        <v>2750</v>
      </c>
      <c r="C1349" s="1" t="s">
        <v>3405</v>
      </c>
    </row>
    <row r="1350" spans="1:3" x14ac:dyDescent="0.35">
      <c r="A1350" s="88">
        <v>1024</v>
      </c>
      <c r="B1350" s="1" t="s">
        <v>2752</v>
      </c>
      <c r="C1350" s="1" t="s">
        <v>3407</v>
      </c>
    </row>
    <row r="1351" spans="1:3" x14ac:dyDescent="0.35">
      <c r="A1351" s="88">
        <v>1025</v>
      </c>
      <c r="B1351" s="1" t="s">
        <v>2754</v>
      </c>
      <c r="C1351" s="1" t="s">
        <v>3409</v>
      </c>
    </row>
    <row r="1352" spans="1:3" x14ac:dyDescent="0.35">
      <c r="A1352" s="88">
        <v>1026</v>
      </c>
      <c r="B1352" s="1" t="s">
        <v>2756</v>
      </c>
      <c r="C1352" s="1" t="s">
        <v>3411</v>
      </c>
    </row>
    <row r="1353" spans="1:3" x14ac:dyDescent="0.35">
      <c r="A1353" s="88">
        <v>1027</v>
      </c>
      <c r="B1353" s="1" t="s">
        <v>2757</v>
      </c>
      <c r="C1353" s="1" t="s">
        <v>3412</v>
      </c>
    </row>
    <row r="1354" spans="1:3" x14ac:dyDescent="0.35">
      <c r="A1354" s="88">
        <v>1028</v>
      </c>
      <c r="B1354" s="1" t="s">
        <v>2759</v>
      </c>
      <c r="C1354" s="1" t="s">
        <v>3413</v>
      </c>
    </row>
    <row r="1355" spans="1:3" x14ac:dyDescent="0.35">
      <c r="A1355" s="88">
        <v>1029</v>
      </c>
      <c r="B1355" s="1" t="s">
        <v>2761</v>
      </c>
      <c r="C1355" s="1" t="s">
        <v>3415</v>
      </c>
    </row>
    <row r="1356" spans="1:3" x14ac:dyDescent="0.35">
      <c r="A1356" s="88">
        <v>1030</v>
      </c>
      <c r="B1356" s="1" t="s">
        <v>2763</v>
      </c>
      <c r="C1356" s="1" t="s">
        <v>3417</v>
      </c>
    </row>
    <row r="1357" spans="1:3" x14ac:dyDescent="0.35">
      <c r="A1357" s="88">
        <v>1031</v>
      </c>
      <c r="B1357" s="1" t="s">
        <v>2765</v>
      </c>
      <c r="C1357" s="1" t="s">
        <v>3419</v>
      </c>
    </row>
    <row r="1358" spans="1:3" x14ac:dyDescent="0.35">
      <c r="A1358" s="88">
        <v>1032</v>
      </c>
      <c r="B1358" s="1" t="s">
        <v>2767</v>
      </c>
      <c r="C1358" s="1" t="s">
        <v>3420</v>
      </c>
    </row>
    <row r="1359" spans="1:3" x14ac:dyDescent="0.35">
      <c r="A1359" s="88">
        <v>1033</v>
      </c>
      <c r="B1359" s="1" t="s">
        <v>2769</v>
      </c>
      <c r="C1359" s="1" t="s">
        <v>3422</v>
      </c>
    </row>
    <row r="1360" spans="1:3" x14ac:dyDescent="0.35">
      <c r="A1360" s="88">
        <v>1034</v>
      </c>
      <c r="B1360" s="1" t="s">
        <v>2771</v>
      </c>
      <c r="C1360" s="1" t="s">
        <v>3424</v>
      </c>
    </row>
    <row r="1361" spans="1:3" x14ac:dyDescent="0.35">
      <c r="A1361" s="88">
        <v>1035</v>
      </c>
      <c r="B1361" s="1" t="s">
        <v>2773</v>
      </c>
      <c r="C1361" s="1" t="s">
        <v>3426</v>
      </c>
    </row>
    <row r="1362" spans="1:3" x14ac:dyDescent="0.35">
      <c r="A1362" s="88">
        <v>1036</v>
      </c>
      <c r="B1362" s="1" t="s">
        <v>2775</v>
      </c>
      <c r="C1362" s="1" t="s">
        <v>3428</v>
      </c>
    </row>
    <row r="1363" spans="1:3" x14ac:dyDescent="0.35">
      <c r="A1363" s="88">
        <v>1037</v>
      </c>
      <c r="B1363" s="1" t="s">
        <v>2777</v>
      </c>
      <c r="C1363" s="1" t="s">
        <v>3430</v>
      </c>
    </row>
    <row r="1364" spans="1:3" x14ac:dyDescent="0.35">
      <c r="A1364" s="88">
        <v>1038</v>
      </c>
      <c r="B1364" s="1" t="s">
        <v>2779</v>
      </c>
      <c r="C1364" s="1" t="s">
        <v>3432</v>
      </c>
    </row>
    <row r="1365" spans="1:3" x14ac:dyDescent="0.35">
      <c r="A1365" s="88">
        <v>1039</v>
      </c>
      <c r="B1365" s="1" t="s">
        <v>2781</v>
      </c>
      <c r="C1365" s="1" t="s">
        <v>3433</v>
      </c>
    </row>
    <row r="1366" spans="1:3" x14ac:dyDescent="0.35">
      <c r="A1366" s="88">
        <v>1040</v>
      </c>
      <c r="B1366" s="1" t="s">
        <v>2783</v>
      </c>
      <c r="C1366" s="1" t="s">
        <v>3435</v>
      </c>
    </row>
    <row r="1367" spans="1:3" x14ac:dyDescent="0.35">
      <c r="A1367" s="88">
        <v>1041</v>
      </c>
      <c r="B1367" s="1" t="s">
        <v>2785</v>
      </c>
      <c r="C1367" s="1" t="s">
        <v>3437</v>
      </c>
    </row>
    <row r="1368" spans="1:3" x14ac:dyDescent="0.35">
      <c r="A1368" s="88">
        <v>1042</v>
      </c>
      <c r="B1368" s="1" t="s">
        <v>2787</v>
      </c>
      <c r="C1368" s="1" t="s">
        <v>3439</v>
      </c>
    </row>
    <row r="1369" spans="1:3" x14ac:dyDescent="0.35">
      <c r="A1369" s="88">
        <v>1043</v>
      </c>
      <c r="B1369" s="1" t="s">
        <v>2788</v>
      </c>
      <c r="C1369" s="1" t="s">
        <v>3441</v>
      </c>
    </row>
    <row r="1370" spans="1:3" x14ac:dyDescent="0.35">
      <c r="A1370" s="88">
        <v>1044</v>
      </c>
      <c r="B1370" s="1" t="s">
        <v>2790</v>
      </c>
      <c r="C1370" s="1" t="s">
        <v>3442</v>
      </c>
    </row>
    <row r="1371" spans="1:3" x14ac:dyDescent="0.35">
      <c r="A1371" s="88">
        <v>1045</v>
      </c>
      <c r="B1371" s="1" t="s">
        <v>2792</v>
      </c>
      <c r="C1371" s="1" t="s">
        <v>3444</v>
      </c>
    </row>
    <row r="1372" spans="1:3" x14ac:dyDescent="0.35">
      <c r="A1372" s="88">
        <v>1046</v>
      </c>
      <c r="B1372" s="1" t="s">
        <v>2793</v>
      </c>
      <c r="C1372" s="1" t="s">
        <v>3446</v>
      </c>
    </row>
    <row r="1373" spans="1:3" x14ac:dyDescent="0.35">
      <c r="A1373" s="88">
        <v>1047</v>
      </c>
      <c r="B1373" s="1" t="s">
        <v>2795</v>
      </c>
      <c r="C1373" s="1" t="s">
        <v>3447</v>
      </c>
    </row>
    <row r="1374" spans="1:3" x14ac:dyDescent="0.35">
      <c r="A1374" s="88">
        <v>1048</v>
      </c>
      <c r="B1374" s="1" t="s">
        <v>2797</v>
      </c>
      <c r="C1374" s="1" t="s">
        <v>3449</v>
      </c>
    </row>
    <row r="1375" spans="1:3" x14ac:dyDescent="0.35">
      <c r="A1375" s="88">
        <v>1049</v>
      </c>
      <c r="B1375" s="1" t="s">
        <v>2798</v>
      </c>
      <c r="C1375" s="1" t="s">
        <v>3451</v>
      </c>
    </row>
    <row r="1376" spans="1:3" x14ac:dyDescent="0.35">
      <c r="A1376" s="88">
        <v>1050</v>
      </c>
      <c r="B1376" s="1" t="s">
        <v>2800</v>
      </c>
      <c r="C1376" s="1" t="s">
        <v>3452</v>
      </c>
    </row>
    <row r="1377" spans="1:3" x14ac:dyDescent="0.35">
      <c r="A1377" s="88">
        <v>1051</v>
      </c>
      <c r="B1377" s="1" t="s">
        <v>2802</v>
      </c>
      <c r="C1377" s="1" t="s">
        <v>3454</v>
      </c>
    </row>
    <row r="1378" spans="1:3" x14ac:dyDescent="0.35">
      <c r="A1378" s="88">
        <v>1052</v>
      </c>
      <c r="B1378" s="1" t="s">
        <v>2803</v>
      </c>
      <c r="C1378" s="1" t="s">
        <v>3456</v>
      </c>
    </row>
    <row r="1379" spans="1:3" x14ac:dyDescent="0.35">
      <c r="A1379" s="88">
        <v>1053</v>
      </c>
      <c r="B1379" s="1" t="s">
        <v>2805</v>
      </c>
      <c r="C1379" s="1" t="s">
        <v>3458</v>
      </c>
    </row>
    <row r="1380" spans="1:3" x14ac:dyDescent="0.35">
      <c r="A1380" s="88">
        <v>1054</v>
      </c>
      <c r="B1380" s="1" t="s">
        <v>2807</v>
      </c>
      <c r="C1380" s="1" t="s">
        <v>3460</v>
      </c>
    </row>
    <row r="1381" spans="1:3" x14ac:dyDescent="0.35">
      <c r="A1381" s="88">
        <v>1055</v>
      </c>
      <c r="B1381" s="1" t="s">
        <v>2809</v>
      </c>
      <c r="C1381" s="1" t="s">
        <v>3462</v>
      </c>
    </row>
    <row r="1382" spans="1:3" x14ac:dyDescent="0.35">
      <c r="A1382" s="88">
        <v>1056</v>
      </c>
      <c r="B1382" s="1" t="s">
        <v>2811</v>
      </c>
      <c r="C1382" s="1" t="s">
        <v>3464</v>
      </c>
    </row>
    <row r="1383" spans="1:3" x14ac:dyDescent="0.35">
      <c r="A1383" s="88">
        <v>1057</v>
      </c>
      <c r="B1383" s="1" t="s">
        <v>2813</v>
      </c>
      <c r="C1383" s="1" t="s">
        <v>3465</v>
      </c>
    </row>
    <row r="1384" spans="1:3" x14ac:dyDescent="0.35">
      <c r="A1384" s="88">
        <v>1058</v>
      </c>
      <c r="B1384" s="1" t="s">
        <v>2815</v>
      </c>
      <c r="C1384" s="1" t="s">
        <v>3467</v>
      </c>
    </row>
    <row r="1385" spans="1:3" x14ac:dyDescent="0.35">
      <c r="A1385" s="88">
        <v>1059</v>
      </c>
      <c r="B1385" s="1" t="s">
        <v>2817</v>
      </c>
      <c r="C1385" s="1" t="s">
        <v>3469</v>
      </c>
    </row>
    <row r="1386" spans="1:3" x14ac:dyDescent="0.35">
      <c r="A1386" s="88">
        <v>1060</v>
      </c>
      <c r="B1386" s="1" t="s">
        <v>2819</v>
      </c>
      <c r="C1386" s="1" t="s">
        <v>3471</v>
      </c>
    </row>
    <row r="1387" spans="1:3" x14ac:dyDescent="0.35">
      <c r="A1387" s="88">
        <v>1061</v>
      </c>
      <c r="B1387" s="1" t="s">
        <v>2820</v>
      </c>
      <c r="C1387" s="1" t="s">
        <v>3473</v>
      </c>
    </row>
    <row r="1388" spans="1:3" x14ac:dyDescent="0.35">
      <c r="A1388" s="88">
        <v>1062</v>
      </c>
      <c r="B1388" s="1" t="s">
        <v>2821</v>
      </c>
      <c r="C1388" s="1" t="s">
        <v>3475</v>
      </c>
    </row>
    <row r="1389" spans="1:3" x14ac:dyDescent="0.35">
      <c r="A1389" s="88">
        <v>1063</v>
      </c>
      <c r="B1389" s="1" t="s">
        <v>2823</v>
      </c>
      <c r="C1389" s="1" t="s">
        <v>3476</v>
      </c>
    </row>
    <row r="1390" spans="1:3" x14ac:dyDescent="0.35">
      <c r="A1390" s="88">
        <v>1064</v>
      </c>
      <c r="B1390" s="1" t="s">
        <v>2825</v>
      </c>
      <c r="C1390" s="1" t="s">
        <v>3477</v>
      </c>
    </row>
    <row r="1391" spans="1:3" x14ac:dyDescent="0.35">
      <c r="A1391" s="88">
        <v>1065</v>
      </c>
      <c r="B1391" s="1" t="s">
        <v>2827</v>
      </c>
      <c r="C1391" s="1" t="s">
        <v>3478</v>
      </c>
    </row>
    <row r="1392" spans="1:3" x14ac:dyDescent="0.35">
      <c r="A1392" s="88">
        <v>1066</v>
      </c>
      <c r="B1392" s="1" t="s">
        <v>2829</v>
      </c>
      <c r="C1392" s="1" t="s">
        <v>3480</v>
      </c>
    </row>
    <row r="1393" spans="1:3" x14ac:dyDescent="0.35">
      <c r="A1393" s="88">
        <v>1067</v>
      </c>
      <c r="B1393" s="1" t="s">
        <v>2830</v>
      </c>
      <c r="C1393" s="1" t="s">
        <v>3482</v>
      </c>
    </row>
    <row r="1394" spans="1:3" x14ac:dyDescent="0.35">
      <c r="A1394" s="88">
        <v>1068</v>
      </c>
      <c r="B1394" s="1" t="s">
        <v>2832</v>
      </c>
      <c r="C1394" s="1" t="s">
        <v>3484</v>
      </c>
    </row>
    <row r="1395" spans="1:3" x14ac:dyDescent="0.35">
      <c r="A1395" s="88">
        <v>1069</v>
      </c>
      <c r="B1395" s="1" t="s">
        <v>2833</v>
      </c>
      <c r="C1395" s="1" t="s">
        <v>3486</v>
      </c>
    </row>
    <row r="1396" spans="1:3" x14ac:dyDescent="0.35">
      <c r="A1396" s="88">
        <v>1070</v>
      </c>
      <c r="B1396" s="1" t="s">
        <v>2834</v>
      </c>
      <c r="C1396" s="1" t="s">
        <v>3488</v>
      </c>
    </row>
    <row r="1397" spans="1:3" x14ac:dyDescent="0.35">
      <c r="A1397" s="88">
        <v>1071</v>
      </c>
      <c r="B1397" s="1" t="s">
        <v>2835</v>
      </c>
      <c r="C1397" s="1" t="s">
        <v>3490</v>
      </c>
    </row>
    <row r="1398" spans="1:3" x14ac:dyDescent="0.35">
      <c r="A1398" s="88">
        <v>1072</v>
      </c>
      <c r="B1398" s="1" t="s">
        <v>2837</v>
      </c>
      <c r="C1398" s="1" t="s">
        <v>3492</v>
      </c>
    </row>
    <row r="1399" spans="1:3" x14ac:dyDescent="0.35">
      <c r="A1399" s="88">
        <v>1073</v>
      </c>
      <c r="B1399" s="1" t="s">
        <v>2838</v>
      </c>
      <c r="C1399" s="1" t="s">
        <v>3493</v>
      </c>
    </row>
    <row r="1400" spans="1:3" x14ac:dyDescent="0.35">
      <c r="A1400" s="88">
        <v>1074</v>
      </c>
      <c r="B1400" s="1" t="s">
        <v>2839</v>
      </c>
      <c r="C1400" s="1" t="s">
        <v>3494</v>
      </c>
    </row>
    <row r="1401" spans="1:3" x14ac:dyDescent="0.35">
      <c r="A1401" s="88">
        <v>1075</v>
      </c>
      <c r="B1401" s="1" t="s">
        <v>2841</v>
      </c>
      <c r="C1401" s="1" t="s">
        <v>3495</v>
      </c>
    </row>
    <row r="1402" spans="1:3" x14ac:dyDescent="0.35">
      <c r="A1402" s="88">
        <v>1076</v>
      </c>
      <c r="B1402" s="1" t="s">
        <v>2843</v>
      </c>
      <c r="C1402" s="1" t="s">
        <v>3497</v>
      </c>
    </row>
    <row r="1403" spans="1:3" x14ac:dyDescent="0.35">
      <c r="A1403" s="88">
        <v>1077</v>
      </c>
      <c r="B1403" s="1" t="s">
        <v>2844</v>
      </c>
      <c r="C1403" s="1" t="s">
        <v>3499</v>
      </c>
    </row>
    <row r="1404" spans="1:3" x14ac:dyDescent="0.35">
      <c r="A1404" s="88">
        <v>1078</v>
      </c>
      <c r="B1404" s="1" t="s">
        <v>2846</v>
      </c>
      <c r="C1404" s="1" t="s">
        <v>3500</v>
      </c>
    </row>
    <row r="1405" spans="1:3" x14ac:dyDescent="0.35">
      <c r="A1405" s="88">
        <v>1079</v>
      </c>
      <c r="B1405" s="1" t="s">
        <v>2847</v>
      </c>
      <c r="C1405" s="1" t="s">
        <v>3501</v>
      </c>
    </row>
    <row r="1406" spans="1:3" x14ac:dyDescent="0.35">
      <c r="A1406" s="88">
        <v>1080</v>
      </c>
      <c r="B1406" s="1" t="s">
        <v>2849</v>
      </c>
      <c r="C1406" s="1" t="s">
        <v>3503</v>
      </c>
    </row>
    <row r="1407" spans="1:3" x14ac:dyDescent="0.35">
      <c r="A1407" s="88">
        <v>1081</v>
      </c>
      <c r="B1407" s="1" t="s">
        <v>2850</v>
      </c>
      <c r="C1407" s="1" t="s">
        <v>3505</v>
      </c>
    </row>
    <row r="1408" spans="1:3" x14ac:dyDescent="0.35">
      <c r="A1408" s="88">
        <v>1082</v>
      </c>
      <c r="B1408" s="1" t="s">
        <v>2851</v>
      </c>
      <c r="C1408" s="1" t="s">
        <v>3507</v>
      </c>
    </row>
    <row r="1409" spans="1:3" x14ac:dyDescent="0.35">
      <c r="A1409" s="88">
        <v>1083</v>
      </c>
      <c r="B1409" s="1" t="s">
        <v>2853</v>
      </c>
      <c r="C1409" s="1" t="s">
        <v>3508</v>
      </c>
    </row>
    <row r="1410" spans="1:3" x14ac:dyDescent="0.35">
      <c r="A1410" s="88">
        <v>1084</v>
      </c>
      <c r="B1410" s="1" t="s">
        <v>2854</v>
      </c>
      <c r="C1410" s="1" t="s">
        <v>3510</v>
      </c>
    </row>
    <row r="1411" spans="1:3" x14ac:dyDescent="0.35">
      <c r="A1411" s="88">
        <v>1085</v>
      </c>
      <c r="B1411" s="1" t="s">
        <v>2856</v>
      </c>
      <c r="C1411" s="1" t="s">
        <v>3512</v>
      </c>
    </row>
    <row r="1412" spans="1:3" x14ac:dyDescent="0.35">
      <c r="A1412" s="88">
        <v>1086</v>
      </c>
      <c r="B1412" s="1" t="s">
        <v>2857</v>
      </c>
      <c r="C1412" s="1" t="s">
        <v>3514</v>
      </c>
    </row>
    <row r="1413" spans="1:3" x14ac:dyDescent="0.35">
      <c r="A1413" s="88">
        <v>1087</v>
      </c>
      <c r="B1413" s="1" t="s">
        <v>2859</v>
      </c>
      <c r="C1413" s="1" t="s">
        <v>3515</v>
      </c>
    </row>
    <row r="1414" spans="1:3" x14ac:dyDescent="0.35">
      <c r="A1414" s="88">
        <v>1088</v>
      </c>
      <c r="B1414" s="1" t="s">
        <v>2861</v>
      </c>
      <c r="C1414" s="1" t="s">
        <v>3517</v>
      </c>
    </row>
    <row r="1415" spans="1:3" x14ac:dyDescent="0.35">
      <c r="A1415" s="88">
        <v>1089</v>
      </c>
      <c r="B1415" s="1" t="s">
        <v>2863</v>
      </c>
      <c r="C1415" s="1" t="s">
        <v>3519</v>
      </c>
    </row>
    <row r="1416" spans="1:3" x14ac:dyDescent="0.35">
      <c r="A1416" s="88">
        <v>1090</v>
      </c>
      <c r="B1416" s="1" t="s">
        <v>2865</v>
      </c>
      <c r="C1416" s="1" t="s">
        <v>3521</v>
      </c>
    </row>
    <row r="1417" spans="1:3" x14ac:dyDescent="0.35">
      <c r="A1417" s="88">
        <v>1091</v>
      </c>
      <c r="B1417" s="1" t="s">
        <v>2867</v>
      </c>
      <c r="C1417" s="1" t="s">
        <v>3523</v>
      </c>
    </row>
    <row r="1418" spans="1:3" x14ac:dyDescent="0.35">
      <c r="A1418" s="88">
        <v>1092</v>
      </c>
      <c r="B1418" s="1" t="s">
        <v>2869</v>
      </c>
      <c r="C1418" s="1" t="s">
        <v>3525</v>
      </c>
    </row>
    <row r="1419" spans="1:3" x14ac:dyDescent="0.35">
      <c r="A1419" s="88">
        <v>1093</v>
      </c>
      <c r="B1419" s="1" t="s">
        <v>2871</v>
      </c>
      <c r="C1419" s="1" t="s">
        <v>3526</v>
      </c>
    </row>
    <row r="1420" spans="1:3" x14ac:dyDescent="0.35">
      <c r="A1420" s="88">
        <v>1094</v>
      </c>
      <c r="B1420" s="1" t="s">
        <v>2873</v>
      </c>
      <c r="C1420" s="1" t="s">
        <v>3528</v>
      </c>
    </row>
    <row r="1421" spans="1:3" x14ac:dyDescent="0.35">
      <c r="A1421" s="88">
        <v>1095</v>
      </c>
      <c r="B1421" s="1" t="s">
        <v>2875</v>
      </c>
      <c r="C1421" s="1" t="s">
        <v>3529</v>
      </c>
    </row>
    <row r="1422" spans="1:3" x14ac:dyDescent="0.35">
      <c r="A1422" s="88">
        <v>1096</v>
      </c>
      <c r="B1422" s="1" t="s">
        <v>2877</v>
      </c>
      <c r="C1422" s="1" t="s">
        <v>3531</v>
      </c>
    </row>
    <row r="1423" spans="1:3" x14ac:dyDescent="0.35">
      <c r="A1423" s="88">
        <v>1097</v>
      </c>
      <c r="B1423" s="1" t="s">
        <v>2879</v>
      </c>
      <c r="C1423" s="1" t="s">
        <v>3533</v>
      </c>
    </row>
    <row r="1424" spans="1:3" x14ac:dyDescent="0.35">
      <c r="A1424" s="88">
        <v>1098</v>
      </c>
      <c r="B1424" s="1" t="s">
        <v>2880</v>
      </c>
      <c r="C1424" s="1" t="s">
        <v>3535</v>
      </c>
    </row>
    <row r="1425" spans="1:3" x14ac:dyDescent="0.35">
      <c r="A1425" s="88">
        <v>1099</v>
      </c>
      <c r="B1425" s="1" t="s">
        <v>2882</v>
      </c>
      <c r="C1425" s="1" t="s">
        <v>3537</v>
      </c>
    </row>
    <row r="1426" spans="1:3" x14ac:dyDescent="0.35">
      <c r="A1426" s="88">
        <v>1100</v>
      </c>
      <c r="B1426" s="1" t="s">
        <v>2884</v>
      </c>
      <c r="C1426" s="1" t="s">
        <v>3538</v>
      </c>
    </row>
    <row r="1427" spans="1:3" x14ac:dyDescent="0.35">
      <c r="A1427" s="88">
        <v>1101</v>
      </c>
      <c r="B1427" s="1" t="s">
        <v>2886</v>
      </c>
      <c r="C1427" s="1" t="s">
        <v>3540</v>
      </c>
    </row>
    <row r="1428" spans="1:3" x14ac:dyDescent="0.35">
      <c r="A1428" s="88">
        <v>1102</v>
      </c>
      <c r="B1428" s="1" t="s">
        <v>2888</v>
      </c>
      <c r="C1428" s="1" t="s">
        <v>3541</v>
      </c>
    </row>
    <row r="1429" spans="1:3" x14ac:dyDescent="0.35">
      <c r="A1429" s="88">
        <v>1103</v>
      </c>
      <c r="B1429" s="1" t="s">
        <v>2890</v>
      </c>
      <c r="C1429" s="1" t="s">
        <v>3542</v>
      </c>
    </row>
    <row r="1430" spans="1:3" x14ac:dyDescent="0.35">
      <c r="A1430" s="88">
        <v>1104</v>
      </c>
      <c r="B1430" s="1" t="s">
        <v>2892</v>
      </c>
      <c r="C1430" s="1" t="s">
        <v>3544</v>
      </c>
    </row>
    <row r="1431" spans="1:3" x14ac:dyDescent="0.35">
      <c r="A1431" s="88">
        <v>1105</v>
      </c>
      <c r="B1431" s="1" t="s">
        <v>2894</v>
      </c>
      <c r="C1431" s="1" t="s">
        <v>3545</v>
      </c>
    </row>
    <row r="1432" spans="1:3" x14ac:dyDescent="0.35">
      <c r="A1432" s="88">
        <v>1106</v>
      </c>
      <c r="B1432" s="1" t="s">
        <v>2896</v>
      </c>
      <c r="C1432" s="1" t="s">
        <v>3547</v>
      </c>
    </row>
    <row r="1433" spans="1:3" x14ac:dyDescent="0.35">
      <c r="A1433" s="88">
        <v>1107</v>
      </c>
      <c r="B1433" s="1" t="s">
        <v>2898</v>
      </c>
      <c r="C1433" s="1" t="s">
        <v>3548</v>
      </c>
    </row>
    <row r="1434" spans="1:3" x14ac:dyDescent="0.35">
      <c r="A1434" s="88">
        <v>1108</v>
      </c>
      <c r="B1434" s="1" t="s">
        <v>2900</v>
      </c>
      <c r="C1434" s="1" t="s">
        <v>3549</v>
      </c>
    </row>
    <row r="1435" spans="1:3" x14ac:dyDescent="0.35">
      <c r="A1435" s="88">
        <v>1109</v>
      </c>
      <c r="B1435" s="1" t="s">
        <v>2902</v>
      </c>
      <c r="C1435" s="1" t="s">
        <v>3550</v>
      </c>
    </row>
    <row r="1436" spans="1:3" x14ac:dyDescent="0.35">
      <c r="A1436" s="88">
        <v>1110</v>
      </c>
      <c r="B1436" s="1" t="s">
        <v>2903</v>
      </c>
      <c r="C1436" s="1" t="s">
        <v>3551</v>
      </c>
    </row>
    <row r="1437" spans="1:3" x14ac:dyDescent="0.35">
      <c r="A1437" s="88">
        <v>1111</v>
      </c>
      <c r="B1437" s="1" t="s">
        <v>2905</v>
      </c>
      <c r="C1437" s="1" t="s">
        <v>3552</v>
      </c>
    </row>
    <row r="1438" spans="1:3" x14ac:dyDescent="0.35">
      <c r="A1438" s="88">
        <v>1112</v>
      </c>
      <c r="B1438" s="1" t="s">
        <v>2907</v>
      </c>
      <c r="C1438" s="1" t="s">
        <v>3554</v>
      </c>
    </row>
    <row r="1439" spans="1:3" x14ac:dyDescent="0.35">
      <c r="A1439" s="88">
        <v>1113</v>
      </c>
      <c r="B1439" s="1" t="s">
        <v>2908</v>
      </c>
      <c r="C1439" s="1" t="s">
        <v>3555</v>
      </c>
    </row>
    <row r="1440" spans="1:3" x14ac:dyDescent="0.35">
      <c r="A1440" s="88">
        <v>1114</v>
      </c>
      <c r="B1440" s="1" t="s">
        <v>2910</v>
      </c>
      <c r="C1440" s="1" t="s">
        <v>3557</v>
      </c>
    </row>
    <row r="1441" spans="1:3" x14ac:dyDescent="0.35">
      <c r="A1441" s="88">
        <v>1115</v>
      </c>
      <c r="B1441" s="1" t="s">
        <v>2912</v>
      </c>
      <c r="C1441" s="1" t="s">
        <v>3559</v>
      </c>
    </row>
    <row r="1442" spans="1:3" x14ac:dyDescent="0.35">
      <c r="A1442" s="88">
        <v>1116</v>
      </c>
      <c r="B1442" s="1" t="s">
        <v>2914</v>
      </c>
      <c r="C1442" s="1" t="s">
        <v>3561</v>
      </c>
    </row>
    <row r="1443" spans="1:3" x14ac:dyDescent="0.35">
      <c r="A1443" s="88">
        <v>1117</v>
      </c>
      <c r="B1443" s="1" t="s">
        <v>2916</v>
      </c>
      <c r="C1443" s="1" t="s">
        <v>3563</v>
      </c>
    </row>
    <row r="1444" spans="1:3" x14ac:dyDescent="0.35">
      <c r="A1444" s="88">
        <v>1118</v>
      </c>
      <c r="B1444" s="1" t="s">
        <v>2918</v>
      </c>
      <c r="C1444" s="1" t="s">
        <v>3565</v>
      </c>
    </row>
    <row r="1445" spans="1:3" x14ac:dyDescent="0.35">
      <c r="A1445" s="88">
        <v>1119</v>
      </c>
      <c r="B1445" s="1" t="s">
        <v>2920</v>
      </c>
      <c r="C1445" s="1" t="s">
        <v>3566</v>
      </c>
    </row>
    <row r="1446" spans="1:3" x14ac:dyDescent="0.35">
      <c r="A1446" s="88">
        <v>1120</v>
      </c>
      <c r="B1446" s="1" t="s">
        <v>2921</v>
      </c>
      <c r="C1446" s="1" t="s">
        <v>3568</v>
      </c>
    </row>
    <row r="1447" spans="1:3" x14ac:dyDescent="0.35">
      <c r="A1447" s="88">
        <v>1121</v>
      </c>
      <c r="B1447" s="1" t="s">
        <v>2923</v>
      </c>
      <c r="C1447" s="1" t="s">
        <v>3570</v>
      </c>
    </row>
    <row r="1448" spans="1:3" x14ac:dyDescent="0.35">
      <c r="A1448" s="88">
        <v>1122</v>
      </c>
      <c r="B1448" s="1" t="s">
        <v>2925</v>
      </c>
      <c r="C1448" s="1" t="s">
        <v>3572</v>
      </c>
    </row>
    <row r="1449" spans="1:3" x14ac:dyDescent="0.35">
      <c r="A1449" s="88">
        <v>1123</v>
      </c>
      <c r="B1449" s="1" t="s">
        <v>2927</v>
      </c>
      <c r="C1449" s="1" t="s">
        <v>3574</v>
      </c>
    </row>
    <row r="1450" spans="1:3" x14ac:dyDescent="0.35">
      <c r="A1450" s="88">
        <v>1124</v>
      </c>
      <c r="B1450" s="1" t="s">
        <v>2928</v>
      </c>
      <c r="C1450" s="1" t="s">
        <v>3575</v>
      </c>
    </row>
    <row r="1451" spans="1:3" x14ac:dyDescent="0.35">
      <c r="A1451" s="88">
        <v>1125</v>
      </c>
      <c r="B1451" s="1" t="s">
        <v>2930</v>
      </c>
      <c r="C1451" s="1" t="s">
        <v>3577</v>
      </c>
    </row>
    <row r="1452" spans="1:3" x14ac:dyDescent="0.35">
      <c r="A1452" s="88">
        <v>1126</v>
      </c>
      <c r="B1452" s="1" t="s">
        <v>2931</v>
      </c>
      <c r="C1452" s="1" t="s">
        <v>3579</v>
      </c>
    </row>
    <row r="1453" spans="1:3" x14ac:dyDescent="0.35">
      <c r="A1453" s="88">
        <v>1127</v>
      </c>
      <c r="B1453" s="1" t="s">
        <v>2933</v>
      </c>
      <c r="C1453" s="1" t="s">
        <v>3580</v>
      </c>
    </row>
    <row r="1454" spans="1:3" x14ac:dyDescent="0.35">
      <c r="A1454" s="88">
        <v>1128</v>
      </c>
      <c r="B1454" s="1" t="s">
        <v>2934</v>
      </c>
      <c r="C1454" s="1" t="s">
        <v>3582</v>
      </c>
    </row>
    <row r="1455" spans="1:3" x14ac:dyDescent="0.35">
      <c r="A1455" s="88">
        <v>1129</v>
      </c>
      <c r="B1455" s="1" t="s">
        <v>2936</v>
      </c>
      <c r="C1455" s="1" t="s">
        <v>3584</v>
      </c>
    </row>
    <row r="1456" spans="1:3" x14ac:dyDescent="0.35">
      <c r="A1456" s="88">
        <v>1130</v>
      </c>
      <c r="B1456" s="1" t="s">
        <v>2938</v>
      </c>
      <c r="C1456" s="1" t="s">
        <v>3586</v>
      </c>
    </row>
    <row r="1457" spans="1:3" x14ac:dyDescent="0.35">
      <c r="A1457" s="88">
        <v>1131</v>
      </c>
      <c r="B1457" s="1" t="s">
        <v>2940</v>
      </c>
      <c r="C1457" s="1" t="s">
        <v>3588</v>
      </c>
    </row>
    <row r="1458" spans="1:3" x14ac:dyDescent="0.35">
      <c r="A1458" s="88">
        <v>1132</v>
      </c>
      <c r="B1458" s="1" t="s">
        <v>2942</v>
      </c>
      <c r="C1458" s="1" t="s">
        <v>3589</v>
      </c>
    </row>
    <row r="1459" spans="1:3" x14ac:dyDescent="0.35">
      <c r="A1459" s="88">
        <v>1133</v>
      </c>
      <c r="B1459" s="1" t="s">
        <v>2944</v>
      </c>
      <c r="C1459" s="1" t="s">
        <v>3591</v>
      </c>
    </row>
    <row r="1460" spans="1:3" x14ac:dyDescent="0.35">
      <c r="A1460" s="88">
        <v>1134</v>
      </c>
      <c r="B1460" s="1" t="s">
        <v>2945</v>
      </c>
      <c r="C1460" s="1" t="s">
        <v>3592</v>
      </c>
    </row>
    <row r="1461" spans="1:3" x14ac:dyDescent="0.35">
      <c r="A1461" s="88">
        <v>1135</v>
      </c>
      <c r="B1461" s="1" t="s">
        <v>2947</v>
      </c>
      <c r="C1461" s="1" t="s">
        <v>3593</v>
      </c>
    </row>
    <row r="1462" spans="1:3" x14ac:dyDescent="0.35">
      <c r="A1462" s="88">
        <v>1136</v>
      </c>
      <c r="B1462" s="1" t="s">
        <v>2949</v>
      </c>
      <c r="C1462" s="1" t="s">
        <v>3595</v>
      </c>
    </row>
    <row r="1463" spans="1:3" x14ac:dyDescent="0.35">
      <c r="A1463" s="88">
        <v>1137</v>
      </c>
      <c r="B1463" s="1" t="s">
        <v>2951</v>
      </c>
      <c r="C1463" s="1" t="s">
        <v>3596</v>
      </c>
    </row>
    <row r="1464" spans="1:3" x14ac:dyDescent="0.35">
      <c r="A1464" s="88">
        <v>1138</v>
      </c>
      <c r="B1464" s="1" t="s">
        <v>2952</v>
      </c>
      <c r="C1464" s="1" t="s">
        <v>3598</v>
      </c>
    </row>
    <row r="1465" spans="1:3" x14ac:dyDescent="0.35">
      <c r="A1465" s="88">
        <v>1139</v>
      </c>
      <c r="B1465" s="1" t="s">
        <v>2954</v>
      </c>
      <c r="C1465" s="1" t="s">
        <v>3600</v>
      </c>
    </row>
    <row r="1466" spans="1:3" x14ac:dyDescent="0.35">
      <c r="A1466" s="88">
        <v>1140</v>
      </c>
      <c r="B1466" s="1" t="s">
        <v>2956</v>
      </c>
      <c r="C1466" s="1" t="s">
        <v>3602</v>
      </c>
    </row>
    <row r="1467" spans="1:3" x14ac:dyDescent="0.35">
      <c r="A1467" s="88">
        <v>1141</v>
      </c>
      <c r="B1467" s="1" t="s">
        <v>2958</v>
      </c>
      <c r="C1467" s="1" t="s">
        <v>3603</v>
      </c>
    </row>
    <row r="1468" spans="1:3" x14ac:dyDescent="0.35">
      <c r="A1468" s="88">
        <v>1142</v>
      </c>
      <c r="B1468" s="1" t="s">
        <v>2960</v>
      </c>
      <c r="C1468" s="1" t="s">
        <v>3605</v>
      </c>
    </row>
    <row r="1469" spans="1:3" x14ac:dyDescent="0.35">
      <c r="A1469" s="88">
        <v>1143</v>
      </c>
      <c r="B1469" s="1" t="s">
        <v>2962</v>
      </c>
      <c r="C1469" s="1" t="s">
        <v>3606</v>
      </c>
    </row>
    <row r="1470" spans="1:3" x14ac:dyDescent="0.35">
      <c r="A1470" s="88">
        <v>1144</v>
      </c>
      <c r="B1470" s="1" t="s">
        <v>2963</v>
      </c>
      <c r="C1470" s="1" t="s">
        <v>3608</v>
      </c>
    </row>
    <row r="1471" spans="1:3" x14ac:dyDescent="0.35">
      <c r="A1471" s="88">
        <v>1145</v>
      </c>
      <c r="B1471" s="1" t="s">
        <v>2964</v>
      </c>
      <c r="C1471" s="1" t="s">
        <v>3610</v>
      </c>
    </row>
    <row r="1472" spans="1:3" x14ac:dyDescent="0.35">
      <c r="A1472" s="88">
        <v>1146</v>
      </c>
      <c r="B1472" s="1" t="s">
        <v>2965</v>
      </c>
      <c r="C1472" s="1" t="s">
        <v>3612</v>
      </c>
    </row>
    <row r="1473" spans="1:3" x14ac:dyDescent="0.35">
      <c r="A1473" s="88">
        <v>1147</v>
      </c>
      <c r="B1473" s="1" t="s">
        <v>2967</v>
      </c>
      <c r="C1473" s="1" t="s">
        <v>3614</v>
      </c>
    </row>
    <row r="1474" spans="1:3" x14ac:dyDescent="0.35">
      <c r="A1474" s="88">
        <v>1148</v>
      </c>
      <c r="B1474" s="1" t="s">
        <v>2969</v>
      </c>
      <c r="C1474" s="1" t="s">
        <v>3615</v>
      </c>
    </row>
    <row r="1475" spans="1:3" x14ac:dyDescent="0.35">
      <c r="A1475" s="88">
        <v>1149</v>
      </c>
      <c r="B1475" s="1" t="s">
        <v>2971</v>
      </c>
      <c r="C1475" s="1" t="s">
        <v>3617</v>
      </c>
    </row>
    <row r="1476" spans="1:3" x14ac:dyDescent="0.35">
      <c r="A1476" s="88">
        <v>1150</v>
      </c>
      <c r="B1476" s="1" t="s">
        <v>2973</v>
      </c>
      <c r="C1476" s="1" t="s">
        <v>3618</v>
      </c>
    </row>
    <row r="1477" spans="1:3" x14ac:dyDescent="0.35">
      <c r="A1477" s="88">
        <v>1151</v>
      </c>
      <c r="B1477" s="1" t="s">
        <v>2975</v>
      </c>
      <c r="C1477" s="1" t="s">
        <v>3620</v>
      </c>
    </row>
    <row r="1478" spans="1:3" x14ac:dyDescent="0.35">
      <c r="A1478" s="88">
        <v>1152</v>
      </c>
      <c r="B1478" s="1" t="s">
        <v>2977</v>
      </c>
      <c r="C1478" s="1" t="s">
        <v>3622</v>
      </c>
    </row>
    <row r="1480" spans="1:3" x14ac:dyDescent="0.35">
      <c r="A1480" s="1" t="s">
        <v>5739</v>
      </c>
      <c r="B1480" s="1" t="s">
        <v>1862</v>
      </c>
      <c r="C1480" s="1" t="s">
        <v>1860</v>
      </c>
    </row>
    <row r="1481" spans="1:3" x14ac:dyDescent="0.35">
      <c r="A1481" s="1" t="s">
        <v>5740</v>
      </c>
      <c r="B1481" s="1" t="s">
        <v>3638</v>
      </c>
      <c r="C1481" s="1" t="s">
        <v>1860</v>
      </c>
    </row>
    <row r="1482" spans="1:3" x14ac:dyDescent="0.35">
      <c r="A1482" s="1" t="s">
        <v>5741</v>
      </c>
      <c r="B1482" s="1" t="s">
        <v>3640</v>
      </c>
      <c r="C1482" s="1" t="s">
        <v>1860</v>
      </c>
    </row>
    <row r="1483" spans="1:3" x14ac:dyDescent="0.35">
      <c r="A1483" s="1" t="s">
        <v>5742</v>
      </c>
      <c r="B1483" s="1" t="s">
        <v>3642</v>
      </c>
      <c r="C1483" s="1" t="s">
        <v>1860</v>
      </c>
    </row>
    <row r="1484" spans="1:3" x14ac:dyDescent="0.35">
      <c r="A1484" s="1" t="s">
        <v>5743</v>
      </c>
      <c r="B1484" s="1" t="s">
        <v>3644</v>
      </c>
      <c r="C1484" s="1" t="s">
        <v>1860</v>
      </c>
    </row>
    <row r="1485" spans="1:3" x14ac:dyDescent="0.35">
      <c r="A1485" s="1" t="s">
        <v>5744</v>
      </c>
      <c r="B1485" s="1" t="s">
        <v>3646</v>
      </c>
      <c r="C1485" s="1" t="s">
        <v>1860</v>
      </c>
    </row>
    <row r="1486" spans="1:3" x14ac:dyDescent="0.35">
      <c r="A1486" s="1" t="s">
        <v>5745</v>
      </c>
      <c r="B1486" s="1" t="s">
        <v>3648</v>
      </c>
      <c r="C1486" s="1" t="s">
        <v>1860</v>
      </c>
    </row>
    <row r="1487" spans="1:3" x14ac:dyDescent="0.35">
      <c r="A1487" s="1" t="s">
        <v>5746</v>
      </c>
      <c r="B1487" s="1" t="s">
        <v>3650</v>
      </c>
      <c r="C1487" s="1" t="s">
        <v>1860</v>
      </c>
    </row>
    <row r="1488" spans="1:3" x14ac:dyDescent="0.35">
      <c r="A1488" s="1" t="s">
        <v>5747</v>
      </c>
      <c r="B1488" s="1" t="s">
        <v>3652</v>
      </c>
      <c r="C1488" s="1" t="s">
        <v>1860</v>
      </c>
    </row>
    <row r="1489" spans="1:3" x14ac:dyDescent="0.35">
      <c r="A1489" s="1" t="s">
        <v>5748</v>
      </c>
      <c r="B1489" s="1" t="s">
        <v>3653</v>
      </c>
      <c r="C1489" s="1" t="s">
        <v>1860</v>
      </c>
    </row>
    <row r="1490" spans="1:3" x14ac:dyDescent="0.35">
      <c r="A1490" s="1" t="s">
        <v>5749</v>
      </c>
      <c r="B1490" s="1" t="s">
        <v>3655</v>
      </c>
      <c r="C1490" s="1" t="s">
        <v>1860</v>
      </c>
    </row>
    <row r="1491" spans="1:3" x14ac:dyDescent="0.35">
      <c r="A1491" s="1" t="s">
        <v>5750</v>
      </c>
      <c r="B1491" s="1" t="s">
        <v>3657</v>
      </c>
      <c r="C1491" s="1" t="s">
        <v>1860</v>
      </c>
    </row>
    <row r="1492" spans="1:3" x14ac:dyDescent="0.35">
      <c r="A1492" s="1" t="s">
        <v>5751</v>
      </c>
      <c r="B1492" s="1" t="s">
        <v>1862</v>
      </c>
      <c r="C1492" s="1" t="s">
        <v>3624</v>
      </c>
    </row>
    <row r="1493" spans="1:3" x14ac:dyDescent="0.35">
      <c r="A1493" s="1" t="s">
        <v>5752</v>
      </c>
      <c r="B1493" s="1" t="s">
        <v>3638</v>
      </c>
      <c r="C1493" s="1" t="s">
        <v>3624</v>
      </c>
    </row>
    <row r="1494" spans="1:3" x14ac:dyDescent="0.35">
      <c r="A1494" s="1" t="s">
        <v>5753</v>
      </c>
      <c r="B1494" s="1" t="s">
        <v>3640</v>
      </c>
      <c r="C1494" s="1" t="s">
        <v>3624</v>
      </c>
    </row>
    <row r="1495" spans="1:3" x14ac:dyDescent="0.35">
      <c r="A1495" s="1" t="s">
        <v>5754</v>
      </c>
      <c r="B1495" s="1" t="s">
        <v>3642</v>
      </c>
      <c r="C1495" s="1" t="s">
        <v>3624</v>
      </c>
    </row>
    <row r="1496" spans="1:3" x14ac:dyDescent="0.35">
      <c r="A1496" s="1" t="s">
        <v>5755</v>
      </c>
      <c r="B1496" s="1" t="s">
        <v>3644</v>
      </c>
      <c r="C1496" s="1" t="s">
        <v>3624</v>
      </c>
    </row>
    <row r="1497" spans="1:3" x14ac:dyDescent="0.35">
      <c r="A1497" s="1" t="s">
        <v>5756</v>
      </c>
      <c r="B1497" s="1" t="s">
        <v>3646</v>
      </c>
      <c r="C1497" s="1" t="s">
        <v>3624</v>
      </c>
    </row>
    <row r="1498" spans="1:3" x14ac:dyDescent="0.35">
      <c r="A1498" s="1" t="s">
        <v>5757</v>
      </c>
      <c r="B1498" s="1" t="s">
        <v>3648</v>
      </c>
      <c r="C1498" s="1" t="s">
        <v>3624</v>
      </c>
    </row>
    <row r="1499" spans="1:3" x14ac:dyDescent="0.35">
      <c r="A1499" s="1" t="s">
        <v>5758</v>
      </c>
      <c r="B1499" s="1" t="s">
        <v>3650</v>
      </c>
      <c r="C1499" s="1" t="s">
        <v>3624</v>
      </c>
    </row>
    <row r="1500" spans="1:3" x14ac:dyDescent="0.35">
      <c r="A1500" s="1" t="s">
        <v>5759</v>
      </c>
      <c r="B1500" s="1" t="s">
        <v>3652</v>
      </c>
      <c r="C1500" s="1" t="s">
        <v>3624</v>
      </c>
    </row>
    <row r="1501" spans="1:3" x14ac:dyDescent="0.35">
      <c r="A1501" s="1" t="s">
        <v>5760</v>
      </c>
      <c r="B1501" s="1" t="s">
        <v>3653</v>
      </c>
      <c r="C1501" s="1" t="s">
        <v>3624</v>
      </c>
    </row>
    <row r="1502" spans="1:3" x14ac:dyDescent="0.35">
      <c r="A1502" s="1" t="s">
        <v>5761</v>
      </c>
      <c r="B1502" s="1" t="s">
        <v>3655</v>
      </c>
      <c r="C1502" s="1" t="s">
        <v>3624</v>
      </c>
    </row>
    <row r="1503" spans="1:3" x14ac:dyDescent="0.35">
      <c r="A1503" s="1" t="s">
        <v>5762</v>
      </c>
      <c r="B1503" s="1" t="s">
        <v>3657</v>
      </c>
      <c r="C1503" s="1" t="s">
        <v>3624</v>
      </c>
    </row>
    <row r="1504" spans="1:3" x14ac:dyDescent="0.35">
      <c r="A1504" s="1" t="s">
        <v>5763</v>
      </c>
      <c r="B1504" s="1" t="s">
        <v>1862</v>
      </c>
      <c r="C1504" s="1" t="s">
        <v>3626</v>
      </c>
    </row>
    <row r="1505" spans="1:3" x14ac:dyDescent="0.35">
      <c r="A1505" s="1" t="s">
        <v>5764</v>
      </c>
      <c r="B1505" s="1" t="s">
        <v>3638</v>
      </c>
      <c r="C1505" s="1" t="s">
        <v>3626</v>
      </c>
    </row>
    <row r="1506" spans="1:3" x14ac:dyDescent="0.35">
      <c r="A1506" s="1" t="s">
        <v>5765</v>
      </c>
      <c r="B1506" s="1" t="s">
        <v>3640</v>
      </c>
      <c r="C1506" s="1" t="s">
        <v>3626</v>
      </c>
    </row>
    <row r="1507" spans="1:3" x14ac:dyDescent="0.35">
      <c r="A1507" s="1" t="s">
        <v>5766</v>
      </c>
      <c r="B1507" s="1" t="s">
        <v>3642</v>
      </c>
      <c r="C1507" s="1" t="s">
        <v>3626</v>
      </c>
    </row>
    <row r="1508" spans="1:3" x14ac:dyDescent="0.35">
      <c r="A1508" s="1" t="s">
        <v>5767</v>
      </c>
      <c r="B1508" s="1" t="s">
        <v>3644</v>
      </c>
      <c r="C1508" s="1" t="s">
        <v>3626</v>
      </c>
    </row>
    <row r="1509" spans="1:3" x14ac:dyDescent="0.35">
      <c r="A1509" s="1" t="s">
        <v>5768</v>
      </c>
      <c r="B1509" s="1" t="s">
        <v>3646</v>
      </c>
      <c r="C1509" s="1" t="s">
        <v>3626</v>
      </c>
    </row>
    <row r="1510" spans="1:3" x14ac:dyDescent="0.35">
      <c r="A1510" s="1" t="s">
        <v>5769</v>
      </c>
      <c r="B1510" s="1" t="s">
        <v>3648</v>
      </c>
      <c r="C1510" s="1" t="s">
        <v>3626</v>
      </c>
    </row>
    <row r="1511" spans="1:3" x14ac:dyDescent="0.35">
      <c r="A1511" s="1" t="s">
        <v>5770</v>
      </c>
      <c r="B1511" s="1" t="s">
        <v>3650</v>
      </c>
      <c r="C1511" s="1" t="s">
        <v>3626</v>
      </c>
    </row>
    <row r="1512" spans="1:3" x14ac:dyDescent="0.35">
      <c r="A1512" s="1" t="s">
        <v>5771</v>
      </c>
      <c r="B1512" s="1" t="s">
        <v>3652</v>
      </c>
      <c r="C1512" s="1" t="s">
        <v>3626</v>
      </c>
    </row>
    <row r="1513" spans="1:3" x14ac:dyDescent="0.35">
      <c r="A1513" s="1" t="s">
        <v>5772</v>
      </c>
      <c r="B1513" s="1" t="s">
        <v>3653</v>
      </c>
      <c r="C1513" s="1" t="s">
        <v>3626</v>
      </c>
    </row>
    <row r="1514" spans="1:3" x14ac:dyDescent="0.35">
      <c r="A1514" s="1" t="s">
        <v>5773</v>
      </c>
      <c r="B1514" s="1" t="s">
        <v>3655</v>
      </c>
      <c r="C1514" s="1" t="s">
        <v>3626</v>
      </c>
    </row>
    <row r="1515" spans="1:3" x14ac:dyDescent="0.35">
      <c r="A1515" s="1" t="s">
        <v>5774</v>
      </c>
      <c r="B1515" s="1" t="s">
        <v>3657</v>
      </c>
      <c r="C1515" s="1" t="s">
        <v>3626</v>
      </c>
    </row>
    <row r="1516" spans="1:3" x14ac:dyDescent="0.35">
      <c r="A1516" s="1" t="s">
        <v>5775</v>
      </c>
      <c r="B1516" s="1" t="s">
        <v>1862</v>
      </c>
      <c r="C1516" s="1" t="s">
        <v>3628</v>
      </c>
    </row>
    <row r="1517" spans="1:3" x14ac:dyDescent="0.35">
      <c r="A1517" s="1" t="s">
        <v>5776</v>
      </c>
      <c r="B1517" s="1" t="s">
        <v>3638</v>
      </c>
      <c r="C1517" s="1" t="s">
        <v>3628</v>
      </c>
    </row>
    <row r="1518" spans="1:3" x14ac:dyDescent="0.35">
      <c r="A1518" s="1" t="s">
        <v>5777</v>
      </c>
      <c r="B1518" s="1" t="s">
        <v>3640</v>
      </c>
      <c r="C1518" s="1" t="s">
        <v>3628</v>
      </c>
    </row>
    <row r="1519" spans="1:3" x14ac:dyDescent="0.35">
      <c r="A1519" s="1" t="s">
        <v>5778</v>
      </c>
      <c r="B1519" s="1" t="s">
        <v>3642</v>
      </c>
      <c r="C1519" s="1" t="s">
        <v>3628</v>
      </c>
    </row>
    <row r="1520" spans="1:3" x14ac:dyDescent="0.35">
      <c r="A1520" s="1" t="s">
        <v>5779</v>
      </c>
      <c r="B1520" s="1" t="s">
        <v>3644</v>
      </c>
      <c r="C1520" s="1" t="s">
        <v>3628</v>
      </c>
    </row>
    <row r="1521" spans="1:3" x14ac:dyDescent="0.35">
      <c r="A1521" s="1" t="s">
        <v>5780</v>
      </c>
      <c r="B1521" s="1" t="s">
        <v>3646</v>
      </c>
      <c r="C1521" s="1" t="s">
        <v>3628</v>
      </c>
    </row>
    <row r="1522" spans="1:3" x14ac:dyDescent="0.35">
      <c r="A1522" s="1" t="s">
        <v>5781</v>
      </c>
      <c r="B1522" s="1" t="s">
        <v>3648</v>
      </c>
      <c r="C1522" s="1" t="s">
        <v>3628</v>
      </c>
    </row>
    <row r="1523" spans="1:3" x14ac:dyDescent="0.35">
      <c r="A1523" s="1" t="s">
        <v>5782</v>
      </c>
      <c r="B1523" s="1" t="s">
        <v>3650</v>
      </c>
      <c r="C1523" s="1" t="s">
        <v>3628</v>
      </c>
    </row>
    <row r="1524" spans="1:3" x14ac:dyDescent="0.35">
      <c r="A1524" s="1" t="s">
        <v>5783</v>
      </c>
      <c r="B1524" s="1" t="s">
        <v>3652</v>
      </c>
      <c r="C1524" s="1" t="s">
        <v>3628</v>
      </c>
    </row>
    <row r="1525" spans="1:3" x14ac:dyDescent="0.35">
      <c r="A1525" s="1" t="s">
        <v>5784</v>
      </c>
      <c r="B1525" s="1" t="s">
        <v>3653</v>
      </c>
      <c r="C1525" s="1" t="s">
        <v>3628</v>
      </c>
    </row>
    <row r="1526" spans="1:3" x14ac:dyDescent="0.35">
      <c r="A1526" s="1" t="s">
        <v>5785</v>
      </c>
      <c r="B1526" s="1" t="s">
        <v>3655</v>
      </c>
      <c r="C1526" s="1" t="s">
        <v>3628</v>
      </c>
    </row>
    <row r="1527" spans="1:3" x14ac:dyDescent="0.35">
      <c r="A1527" s="1" t="s">
        <v>5786</v>
      </c>
      <c r="B1527" s="1" t="s">
        <v>3657</v>
      </c>
      <c r="C1527" s="1" t="s">
        <v>3628</v>
      </c>
    </row>
    <row r="1528" spans="1:3" x14ac:dyDescent="0.35">
      <c r="A1528" s="1" t="s">
        <v>5787</v>
      </c>
      <c r="B1528" s="1" t="s">
        <v>1862</v>
      </c>
      <c r="C1528" s="1" t="s">
        <v>3630</v>
      </c>
    </row>
    <row r="1529" spans="1:3" x14ac:dyDescent="0.35">
      <c r="A1529" s="1" t="s">
        <v>5788</v>
      </c>
      <c r="B1529" s="1" t="s">
        <v>3638</v>
      </c>
      <c r="C1529" s="1" t="s">
        <v>3630</v>
      </c>
    </row>
    <row r="1530" spans="1:3" x14ac:dyDescent="0.35">
      <c r="A1530" s="1" t="s">
        <v>5789</v>
      </c>
      <c r="B1530" s="1" t="s">
        <v>3640</v>
      </c>
      <c r="C1530" s="1" t="s">
        <v>3630</v>
      </c>
    </row>
    <row r="1531" spans="1:3" x14ac:dyDescent="0.35">
      <c r="A1531" s="1" t="s">
        <v>5790</v>
      </c>
      <c r="B1531" s="1" t="s">
        <v>3642</v>
      </c>
      <c r="C1531" s="1" t="s">
        <v>3630</v>
      </c>
    </row>
    <row r="1532" spans="1:3" x14ac:dyDescent="0.35">
      <c r="A1532" s="1" t="s">
        <v>5791</v>
      </c>
      <c r="B1532" s="1" t="s">
        <v>3644</v>
      </c>
      <c r="C1532" s="1" t="s">
        <v>3630</v>
      </c>
    </row>
    <row r="1533" spans="1:3" x14ac:dyDescent="0.35">
      <c r="A1533" s="1" t="s">
        <v>5792</v>
      </c>
      <c r="B1533" s="1" t="s">
        <v>3646</v>
      </c>
      <c r="C1533" s="1" t="s">
        <v>3630</v>
      </c>
    </row>
    <row r="1534" spans="1:3" x14ac:dyDescent="0.35">
      <c r="A1534" s="1" t="s">
        <v>5793</v>
      </c>
      <c r="B1534" s="1" t="s">
        <v>3648</v>
      </c>
      <c r="C1534" s="1" t="s">
        <v>3630</v>
      </c>
    </row>
    <row r="1535" spans="1:3" x14ac:dyDescent="0.35">
      <c r="A1535" s="1" t="s">
        <v>5794</v>
      </c>
      <c r="B1535" s="1" t="s">
        <v>3650</v>
      </c>
      <c r="C1535" s="1" t="s">
        <v>3630</v>
      </c>
    </row>
    <row r="1536" spans="1:3" x14ac:dyDescent="0.35">
      <c r="A1536" s="1" t="s">
        <v>5795</v>
      </c>
      <c r="B1536" s="1" t="s">
        <v>3652</v>
      </c>
      <c r="C1536" s="1" t="s">
        <v>3630</v>
      </c>
    </row>
    <row r="1537" spans="1:3" x14ac:dyDescent="0.35">
      <c r="A1537" s="1" t="s">
        <v>5796</v>
      </c>
      <c r="B1537" s="1" t="s">
        <v>3653</v>
      </c>
      <c r="C1537" s="1" t="s">
        <v>3630</v>
      </c>
    </row>
    <row r="1538" spans="1:3" x14ac:dyDescent="0.35">
      <c r="A1538" s="1" t="s">
        <v>5797</v>
      </c>
      <c r="B1538" s="1" t="s">
        <v>3655</v>
      </c>
      <c r="C1538" s="1" t="s">
        <v>3630</v>
      </c>
    </row>
    <row r="1539" spans="1:3" x14ac:dyDescent="0.35">
      <c r="A1539" s="1" t="s">
        <v>5798</v>
      </c>
      <c r="B1539" s="1" t="s">
        <v>3657</v>
      </c>
      <c r="C1539" s="1" t="s">
        <v>3630</v>
      </c>
    </row>
    <row r="1540" spans="1:3" x14ac:dyDescent="0.35">
      <c r="A1540" s="1" t="s">
        <v>5799</v>
      </c>
      <c r="B1540" s="1" t="s">
        <v>1862</v>
      </c>
      <c r="C1540" s="1" t="s">
        <v>3632</v>
      </c>
    </row>
    <row r="1541" spans="1:3" x14ac:dyDescent="0.35">
      <c r="A1541" s="1" t="s">
        <v>5800</v>
      </c>
      <c r="B1541" s="1" t="s">
        <v>3638</v>
      </c>
      <c r="C1541" s="1" t="s">
        <v>3632</v>
      </c>
    </row>
    <row r="1542" spans="1:3" x14ac:dyDescent="0.35">
      <c r="A1542" s="1" t="s">
        <v>5801</v>
      </c>
      <c r="B1542" s="1" t="s">
        <v>3640</v>
      </c>
      <c r="C1542" s="1" t="s">
        <v>3632</v>
      </c>
    </row>
    <row r="1543" spans="1:3" x14ac:dyDescent="0.35">
      <c r="A1543" s="1" t="s">
        <v>5802</v>
      </c>
      <c r="B1543" s="1" t="s">
        <v>3642</v>
      </c>
      <c r="C1543" s="1" t="s">
        <v>3632</v>
      </c>
    </row>
    <row r="1544" spans="1:3" x14ac:dyDescent="0.35">
      <c r="A1544" s="1" t="s">
        <v>5803</v>
      </c>
      <c r="B1544" s="1" t="s">
        <v>3644</v>
      </c>
      <c r="C1544" s="1" t="s">
        <v>3632</v>
      </c>
    </row>
    <row r="1545" spans="1:3" x14ac:dyDescent="0.35">
      <c r="A1545" s="1" t="s">
        <v>5804</v>
      </c>
      <c r="B1545" s="1" t="s">
        <v>3646</v>
      </c>
      <c r="C1545" s="1" t="s">
        <v>3632</v>
      </c>
    </row>
    <row r="1546" spans="1:3" x14ac:dyDescent="0.35">
      <c r="A1546" s="1" t="s">
        <v>5805</v>
      </c>
      <c r="B1546" s="1" t="s">
        <v>3648</v>
      </c>
      <c r="C1546" s="1" t="s">
        <v>3632</v>
      </c>
    </row>
    <row r="1547" spans="1:3" x14ac:dyDescent="0.35">
      <c r="A1547" s="1" t="s">
        <v>5806</v>
      </c>
      <c r="B1547" s="1" t="s">
        <v>3650</v>
      </c>
      <c r="C1547" s="1" t="s">
        <v>3632</v>
      </c>
    </row>
    <row r="1548" spans="1:3" x14ac:dyDescent="0.35">
      <c r="A1548" s="1" t="s">
        <v>5807</v>
      </c>
      <c r="B1548" s="1" t="s">
        <v>3652</v>
      </c>
      <c r="C1548" s="1" t="s">
        <v>3632</v>
      </c>
    </row>
    <row r="1549" spans="1:3" x14ac:dyDescent="0.35">
      <c r="A1549" s="1" t="s">
        <v>5808</v>
      </c>
      <c r="B1549" s="1" t="s">
        <v>3653</v>
      </c>
      <c r="C1549" s="1" t="s">
        <v>3632</v>
      </c>
    </row>
    <row r="1550" spans="1:3" x14ac:dyDescent="0.35">
      <c r="A1550" s="1" t="s">
        <v>5809</v>
      </c>
      <c r="B1550" s="1" t="s">
        <v>3655</v>
      </c>
      <c r="C1550" s="1" t="s">
        <v>3632</v>
      </c>
    </row>
    <row r="1551" spans="1:3" x14ac:dyDescent="0.35">
      <c r="A1551" s="1" t="s">
        <v>5810</v>
      </c>
      <c r="B1551" s="1" t="s">
        <v>3657</v>
      </c>
      <c r="C1551" s="1" t="s">
        <v>3632</v>
      </c>
    </row>
    <row r="1552" spans="1:3" x14ac:dyDescent="0.35">
      <c r="A1552" s="1" t="s">
        <v>5811</v>
      </c>
      <c r="B1552" s="1" t="s">
        <v>1862</v>
      </c>
      <c r="C1552" s="1" t="s">
        <v>3634</v>
      </c>
    </row>
    <row r="1553" spans="1:3" x14ac:dyDescent="0.35">
      <c r="A1553" s="1" t="s">
        <v>5812</v>
      </c>
      <c r="B1553" s="1" t="s">
        <v>3638</v>
      </c>
      <c r="C1553" s="1" t="s">
        <v>3634</v>
      </c>
    </row>
    <row r="1554" spans="1:3" x14ac:dyDescent="0.35">
      <c r="A1554" s="1" t="s">
        <v>5813</v>
      </c>
      <c r="B1554" s="1" t="s">
        <v>3640</v>
      </c>
      <c r="C1554" s="1" t="s">
        <v>3634</v>
      </c>
    </row>
    <row r="1555" spans="1:3" x14ac:dyDescent="0.35">
      <c r="A1555" s="1" t="s">
        <v>5814</v>
      </c>
      <c r="B1555" s="1" t="s">
        <v>3642</v>
      </c>
      <c r="C1555" s="1" t="s">
        <v>3634</v>
      </c>
    </row>
    <row r="1556" spans="1:3" x14ac:dyDescent="0.35">
      <c r="A1556" s="1" t="s">
        <v>5815</v>
      </c>
      <c r="B1556" s="1" t="s">
        <v>3644</v>
      </c>
      <c r="C1556" s="1" t="s">
        <v>3634</v>
      </c>
    </row>
    <row r="1557" spans="1:3" x14ac:dyDescent="0.35">
      <c r="A1557" s="1" t="s">
        <v>5816</v>
      </c>
      <c r="B1557" s="1" t="s">
        <v>3646</v>
      </c>
      <c r="C1557" s="1" t="s">
        <v>3634</v>
      </c>
    </row>
    <row r="1558" spans="1:3" x14ac:dyDescent="0.35">
      <c r="A1558" s="1" t="s">
        <v>5817</v>
      </c>
      <c r="B1558" s="1" t="s">
        <v>3648</v>
      </c>
      <c r="C1558" s="1" t="s">
        <v>3634</v>
      </c>
    </row>
    <row r="1559" spans="1:3" x14ac:dyDescent="0.35">
      <c r="A1559" s="1" t="s">
        <v>5818</v>
      </c>
      <c r="B1559" s="1" t="s">
        <v>3650</v>
      </c>
      <c r="C1559" s="1" t="s">
        <v>3634</v>
      </c>
    </row>
    <row r="1560" spans="1:3" x14ac:dyDescent="0.35">
      <c r="A1560" s="1" t="s">
        <v>5819</v>
      </c>
      <c r="B1560" s="1" t="s">
        <v>3652</v>
      </c>
      <c r="C1560" s="1" t="s">
        <v>3634</v>
      </c>
    </row>
    <row r="1561" spans="1:3" x14ac:dyDescent="0.35">
      <c r="A1561" s="1" t="s">
        <v>5820</v>
      </c>
      <c r="B1561" s="1" t="s">
        <v>3653</v>
      </c>
      <c r="C1561" s="1" t="s">
        <v>3634</v>
      </c>
    </row>
    <row r="1562" spans="1:3" x14ac:dyDescent="0.35">
      <c r="A1562" s="1" t="s">
        <v>5821</v>
      </c>
      <c r="B1562" s="1" t="s">
        <v>3655</v>
      </c>
      <c r="C1562" s="1" t="s">
        <v>3634</v>
      </c>
    </row>
    <row r="1563" spans="1:3" x14ac:dyDescent="0.35">
      <c r="A1563" s="1" t="s">
        <v>5822</v>
      </c>
      <c r="B1563" s="1" t="s">
        <v>3657</v>
      </c>
      <c r="C1563" s="1" t="s">
        <v>3634</v>
      </c>
    </row>
    <row r="1564" spans="1:3" x14ac:dyDescent="0.35">
      <c r="A1564" s="1" t="s">
        <v>5823</v>
      </c>
      <c r="B1564" s="1" t="s">
        <v>1862</v>
      </c>
      <c r="C1564" s="1" t="s">
        <v>3636</v>
      </c>
    </row>
    <row r="1565" spans="1:3" x14ac:dyDescent="0.35">
      <c r="A1565" s="1" t="s">
        <v>5824</v>
      </c>
      <c r="B1565" s="1" t="s">
        <v>3638</v>
      </c>
      <c r="C1565" s="1" t="s">
        <v>3636</v>
      </c>
    </row>
    <row r="1566" spans="1:3" x14ac:dyDescent="0.35">
      <c r="A1566" s="1" t="s">
        <v>5825</v>
      </c>
      <c r="B1566" s="1" t="s">
        <v>3640</v>
      </c>
      <c r="C1566" s="1" t="s">
        <v>3636</v>
      </c>
    </row>
    <row r="1567" spans="1:3" x14ac:dyDescent="0.35">
      <c r="A1567" s="1" t="s">
        <v>5826</v>
      </c>
      <c r="B1567" s="1" t="s">
        <v>3642</v>
      </c>
      <c r="C1567" s="1" t="s">
        <v>3636</v>
      </c>
    </row>
    <row r="1568" spans="1:3" x14ac:dyDescent="0.35">
      <c r="A1568" s="1" t="s">
        <v>5827</v>
      </c>
      <c r="B1568" s="1" t="s">
        <v>3644</v>
      </c>
      <c r="C1568" s="1" t="s">
        <v>3636</v>
      </c>
    </row>
    <row r="1569" spans="1:3" x14ac:dyDescent="0.35">
      <c r="A1569" s="1" t="s">
        <v>5828</v>
      </c>
      <c r="B1569" s="1" t="s">
        <v>3646</v>
      </c>
      <c r="C1569" s="1" t="s">
        <v>3636</v>
      </c>
    </row>
    <row r="1570" spans="1:3" x14ac:dyDescent="0.35">
      <c r="A1570" s="1" t="s">
        <v>5829</v>
      </c>
      <c r="B1570" s="1" t="s">
        <v>3648</v>
      </c>
      <c r="C1570" s="1" t="s">
        <v>3636</v>
      </c>
    </row>
    <row r="1571" spans="1:3" x14ac:dyDescent="0.35">
      <c r="A1571" s="1" t="s">
        <v>5830</v>
      </c>
      <c r="B1571" s="1" t="s">
        <v>3650</v>
      </c>
      <c r="C1571" s="1" t="s">
        <v>3636</v>
      </c>
    </row>
    <row r="1572" spans="1:3" x14ac:dyDescent="0.35">
      <c r="A1572" s="1" t="s">
        <v>5831</v>
      </c>
      <c r="B1572" s="1" t="s">
        <v>3652</v>
      </c>
      <c r="C1572" s="1" t="s">
        <v>3636</v>
      </c>
    </row>
    <row r="1573" spans="1:3" x14ac:dyDescent="0.35">
      <c r="A1573" s="1" t="s">
        <v>5832</v>
      </c>
      <c r="B1573" s="1" t="s">
        <v>3653</v>
      </c>
      <c r="C1573" s="1" t="s">
        <v>3636</v>
      </c>
    </row>
    <row r="1574" spans="1:3" x14ac:dyDescent="0.35">
      <c r="A1574" s="1" t="s">
        <v>5833</v>
      </c>
      <c r="B1574" s="1" t="s">
        <v>3655</v>
      </c>
      <c r="C1574" s="1" t="s">
        <v>3636</v>
      </c>
    </row>
    <row r="1575" spans="1:3" x14ac:dyDescent="0.35">
      <c r="A1575" s="1" t="s">
        <v>5834</v>
      </c>
      <c r="B1575" s="1" t="s">
        <v>3657</v>
      </c>
      <c r="C1575" s="1" t="s">
        <v>3636</v>
      </c>
    </row>
    <row r="1577" spans="1:3" x14ac:dyDescent="0.35">
      <c r="A1577" s="1" t="s">
        <v>5835</v>
      </c>
      <c r="B1577" s="1" t="s">
        <v>3659</v>
      </c>
      <c r="C1577" s="1" t="s">
        <v>3764</v>
      </c>
    </row>
    <row r="1578" spans="1:3" x14ac:dyDescent="0.35">
      <c r="A1578" s="1" t="s">
        <v>5836</v>
      </c>
      <c r="B1578" s="1" t="s">
        <v>3661</v>
      </c>
      <c r="C1578" s="1" t="s">
        <v>3766</v>
      </c>
    </row>
    <row r="1579" spans="1:3" x14ac:dyDescent="0.35">
      <c r="A1579" s="1" t="s">
        <v>5837</v>
      </c>
      <c r="B1579" s="1" t="s">
        <v>3662</v>
      </c>
      <c r="C1579" s="1" t="s">
        <v>3768</v>
      </c>
    </row>
    <row r="1580" spans="1:3" x14ac:dyDescent="0.35">
      <c r="A1580" s="1" t="s">
        <v>5838</v>
      </c>
      <c r="B1580" s="1" t="s">
        <v>3663</v>
      </c>
      <c r="C1580" s="1" t="s">
        <v>3770</v>
      </c>
    </row>
    <row r="1581" spans="1:3" x14ac:dyDescent="0.35">
      <c r="A1581" s="1" t="s">
        <v>5839</v>
      </c>
      <c r="B1581" s="1" t="s">
        <v>3664</v>
      </c>
      <c r="C1581" s="1" t="s">
        <v>3772</v>
      </c>
    </row>
    <row r="1582" spans="1:3" x14ac:dyDescent="0.35">
      <c r="A1582" s="1" t="s">
        <v>5840</v>
      </c>
      <c r="B1582" s="1" t="s">
        <v>3665</v>
      </c>
      <c r="C1582" s="1" t="s">
        <v>3774</v>
      </c>
    </row>
    <row r="1583" spans="1:3" x14ac:dyDescent="0.35">
      <c r="A1583" s="1" t="s">
        <v>5841</v>
      </c>
      <c r="B1583" s="1" t="s">
        <v>3666</v>
      </c>
      <c r="C1583" s="1" t="s">
        <v>3776</v>
      </c>
    </row>
    <row r="1584" spans="1:3" x14ac:dyDescent="0.35">
      <c r="A1584" s="1" t="s">
        <v>5842</v>
      </c>
      <c r="B1584" s="1" t="s">
        <v>3667</v>
      </c>
      <c r="C1584" s="1" t="s">
        <v>3778</v>
      </c>
    </row>
    <row r="1585" spans="1:3" x14ac:dyDescent="0.35">
      <c r="A1585" s="1" t="s">
        <v>5843</v>
      </c>
      <c r="B1585" s="1" t="s">
        <v>3668</v>
      </c>
      <c r="C1585" s="1" t="s">
        <v>3780</v>
      </c>
    </row>
    <row r="1586" spans="1:3" x14ac:dyDescent="0.35">
      <c r="A1586" s="1" t="s">
        <v>5844</v>
      </c>
      <c r="B1586" s="1" t="s">
        <v>3669</v>
      </c>
      <c r="C1586" s="1" t="s">
        <v>3782</v>
      </c>
    </row>
    <row r="1587" spans="1:3" x14ac:dyDescent="0.35">
      <c r="A1587" s="1" t="s">
        <v>5845</v>
      </c>
      <c r="B1587" s="1" t="s">
        <v>3670</v>
      </c>
      <c r="C1587" s="1" t="s">
        <v>3784</v>
      </c>
    </row>
    <row r="1588" spans="1:3" x14ac:dyDescent="0.35">
      <c r="A1588" s="1" t="s">
        <v>5846</v>
      </c>
      <c r="B1588" s="1" t="s">
        <v>3671</v>
      </c>
      <c r="C1588" s="1" t="s">
        <v>3786</v>
      </c>
    </row>
    <row r="1589" spans="1:3" x14ac:dyDescent="0.35">
      <c r="A1589" s="1" t="s">
        <v>5847</v>
      </c>
      <c r="B1589" s="1" t="s">
        <v>3672</v>
      </c>
      <c r="C1589" s="1" t="s">
        <v>3788</v>
      </c>
    </row>
    <row r="1590" spans="1:3" x14ac:dyDescent="0.35">
      <c r="A1590" s="1" t="s">
        <v>5848</v>
      </c>
      <c r="B1590" s="1" t="s">
        <v>3673</v>
      </c>
      <c r="C1590" s="1" t="s">
        <v>3790</v>
      </c>
    </row>
    <row r="1591" spans="1:3" x14ac:dyDescent="0.35">
      <c r="A1591" s="1" t="s">
        <v>5849</v>
      </c>
      <c r="B1591" s="1" t="s">
        <v>3674</v>
      </c>
      <c r="C1591" s="1" t="s">
        <v>3792</v>
      </c>
    </row>
    <row r="1592" spans="1:3" x14ac:dyDescent="0.35">
      <c r="A1592" s="1" t="s">
        <v>5850</v>
      </c>
      <c r="B1592" s="1" t="s">
        <v>3676</v>
      </c>
      <c r="C1592" s="1" t="s">
        <v>3793</v>
      </c>
    </row>
    <row r="1593" spans="1:3" x14ac:dyDescent="0.35">
      <c r="A1593" s="1" t="s">
        <v>5851</v>
      </c>
      <c r="B1593" s="1" t="s">
        <v>3677</v>
      </c>
      <c r="C1593" s="1" t="s">
        <v>3795</v>
      </c>
    </row>
    <row r="1594" spans="1:3" x14ac:dyDescent="0.35">
      <c r="A1594" s="1" t="s">
        <v>5852</v>
      </c>
      <c r="B1594" s="1" t="s">
        <v>3678</v>
      </c>
      <c r="C1594" s="1" t="s">
        <v>3797</v>
      </c>
    </row>
    <row r="1595" spans="1:3" x14ac:dyDescent="0.35">
      <c r="A1595" s="1" t="s">
        <v>5853</v>
      </c>
      <c r="B1595" s="1" t="s">
        <v>3679</v>
      </c>
      <c r="C1595" s="1" t="s">
        <v>3799</v>
      </c>
    </row>
    <row r="1596" spans="1:3" x14ac:dyDescent="0.35">
      <c r="A1596" s="1" t="s">
        <v>5854</v>
      </c>
      <c r="B1596" s="1" t="s">
        <v>3680</v>
      </c>
      <c r="C1596" s="1" t="s">
        <v>3801</v>
      </c>
    </row>
    <row r="1597" spans="1:3" x14ac:dyDescent="0.35">
      <c r="A1597" s="1" t="s">
        <v>5855</v>
      </c>
      <c r="B1597" s="1" t="s">
        <v>3681</v>
      </c>
      <c r="C1597" s="1" t="s">
        <v>3803</v>
      </c>
    </row>
    <row r="1598" spans="1:3" x14ac:dyDescent="0.35">
      <c r="A1598" s="1" t="s">
        <v>5856</v>
      </c>
      <c r="B1598" s="1" t="s">
        <v>3682</v>
      </c>
      <c r="C1598" s="1" t="s">
        <v>3805</v>
      </c>
    </row>
    <row r="1599" spans="1:3" x14ac:dyDescent="0.35">
      <c r="A1599" s="1" t="s">
        <v>5857</v>
      </c>
      <c r="B1599" s="1" t="s">
        <v>3683</v>
      </c>
      <c r="C1599" s="1" t="s">
        <v>3807</v>
      </c>
    </row>
    <row r="1600" spans="1:3" x14ac:dyDescent="0.35">
      <c r="A1600" s="1" t="s">
        <v>5858</v>
      </c>
      <c r="B1600" s="1" t="s">
        <v>3684</v>
      </c>
      <c r="C1600" s="1" t="s">
        <v>3809</v>
      </c>
    </row>
    <row r="1601" spans="1:3" x14ac:dyDescent="0.35">
      <c r="A1601" s="1" t="s">
        <v>5859</v>
      </c>
      <c r="B1601" s="1" t="s">
        <v>3686</v>
      </c>
      <c r="C1601" s="1" t="s">
        <v>3811</v>
      </c>
    </row>
    <row r="1602" spans="1:3" x14ac:dyDescent="0.35">
      <c r="A1602" s="1" t="s">
        <v>5860</v>
      </c>
      <c r="B1602" s="1" t="s">
        <v>3687</v>
      </c>
      <c r="C1602" s="1" t="s">
        <v>3813</v>
      </c>
    </row>
    <row r="1603" spans="1:3" x14ac:dyDescent="0.35">
      <c r="A1603" s="1" t="s">
        <v>5861</v>
      </c>
      <c r="B1603" s="1" t="s">
        <v>3688</v>
      </c>
      <c r="C1603" s="1" t="s">
        <v>3815</v>
      </c>
    </row>
    <row r="1604" spans="1:3" x14ac:dyDescent="0.35">
      <c r="A1604" s="1" t="s">
        <v>5862</v>
      </c>
      <c r="B1604" s="1" t="s">
        <v>3689</v>
      </c>
      <c r="C1604" s="1" t="s">
        <v>3817</v>
      </c>
    </row>
    <row r="1605" spans="1:3" x14ac:dyDescent="0.35">
      <c r="A1605" s="1" t="s">
        <v>5863</v>
      </c>
      <c r="B1605" s="1" t="s">
        <v>3690</v>
      </c>
      <c r="C1605" s="1" t="s">
        <v>3819</v>
      </c>
    </row>
    <row r="1606" spans="1:3" x14ac:dyDescent="0.35">
      <c r="A1606" s="1" t="s">
        <v>5864</v>
      </c>
      <c r="B1606" s="1" t="s">
        <v>3691</v>
      </c>
      <c r="C1606" s="1" t="s">
        <v>3821</v>
      </c>
    </row>
    <row r="1607" spans="1:3" x14ac:dyDescent="0.35">
      <c r="A1607" s="1" t="s">
        <v>5865</v>
      </c>
      <c r="B1607" s="1" t="s">
        <v>3692</v>
      </c>
      <c r="C1607" s="1" t="s">
        <v>3823</v>
      </c>
    </row>
    <row r="1608" spans="1:3" x14ac:dyDescent="0.35">
      <c r="A1608" s="1" t="s">
        <v>5866</v>
      </c>
      <c r="B1608" s="1" t="s">
        <v>3693</v>
      </c>
      <c r="C1608" s="1" t="s">
        <v>3825</v>
      </c>
    </row>
    <row r="1609" spans="1:3" x14ac:dyDescent="0.35">
      <c r="A1609" s="1" t="s">
        <v>5867</v>
      </c>
      <c r="B1609" s="1" t="s">
        <v>3695</v>
      </c>
      <c r="C1609" s="1" t="s">
        <v>3827</v>
      </c>
    </row>
    <row r="1610" spans="1:3" x14ac:dyDescent="0.35">
      <c r="A1610" s="1" t="s">
        <v>5868</v>
      </c>
      <c r="B1610" s="1" t="s">
        <v>3697</v>
      </c>
      <c r="C1610" s="1" t="s">
        <v>3829</v>
      </c>
    </row>
    <row r="1611" spans="1:3" x14ac:dyDescent="0.35">
      <c r="A1611" s="1" t="s">
        <v>5869</v>
      </c>
      <c r="B1611" s="1" t="s">
        <v>3698</v>
      </c>
      <c r="C1611" s="1" t="s">
        <v>3831</v>
      </c>
    </row>
    <row r="1612" spans="1:3" x14ac:dyDescent="0.35">
      <c r="A1612" s="1" t="s">
        <v>5870</v>
      </c>
      <c r="B1612" s="1" t="s">
        <v>3700</v>
      </c>
      <c r="C1612" s="1" t="s">
        <v>3833</v>
      </c>
    </row>
    <row r="1613" spans="1:3" x14ac:dyDescent="0.35">
      <c r="A1613" s="1" t="s">
        <v>5871</v>
      </c>
      <c r="B1613" s="1" t="s">
        <v>3702</v>
      </c>
      <c r="C1613" s="1" t="s">
        <v>3835</v>
      </c>
    </row>
    <row r="1614" spans="1:3" x14ac:dyDescent="0.35">
      <c r="A1614" s="1" t="s">
        <v>5872</v>
      </c>
      <c r="B1614" s="1" t="s">
        <v>3704</v>
      </c>
      <c r="C1614" s="1" t="s">
        <v>3837</v>
      </c>
    </row>
    <row r="1615" spans="1:3" x14ac:dyDescent="0.35">
      <c r="A1615" s="1" t="s">
        <v>5873</v>
      </c>
      <c r="B1615" s="1" t="s">
        <v>3706</v>
      </c>
      <c r="C1615" s="1" t="s">
        <v>3839</v>
      </c>
    </row>
    <row r="1616" spans="1:3" x14ac:dyDescent="0.35">
      <c r="A1616" s="1" t="s">
        <v>5874</v>
      </c>
      <c r="B1616" s="1" t="s">
        <v>3708</v>
      </c>
      <c r="C1616" s="1" t="s">
        <v>3841</v>
      </c>
    </row>
    <row r="1617" spans="1:3" x14ac:dyDescent="0.35">
      <c r="A1617" s="1" t="s">
        <v>5875</v>
      </c>
      <c r="B1617" s="1" t="s">
        <v>3710</v>
      </c>
      <c r="C1617" s="1" t="s">
        <v>3843</v>
      </c>
    </row>
    <row r="1618" spans="1:3" x14ac:dyDescent="0.35">
      <c r="A1618" s="1" t="s">
        <v>5876</v>
      </c>
      <c r="B1618" s="1" t="s">
        <v>3712</v>
      </c>
      <c r="C1618" s="1" t="s">
        <v>3845</v>
      </c>
    </row>
    <row r="1619" spans="1:3" x14ac:dyDescent="0.35">
      <c r="A1619" s="1" t="s">
        <v>5877</v>
      </c>
      <c r="B1619" s="1" t="s">
        <v>3714</v>
      </c>
      <c r="C1619" s="1" t="s">
        <v>3847</v>
      </c>
    </row>
    <row r="1620" spans="1:3" x14ac:dyDescent="0.35">
      <c r="A1620" s="1" t="s">
        <v>5878</v>
      </c>
      <c r="B1620" s="1" t="s">
        <v>3716</v>
      </c>
      <c r="C1620" s="1" t="s">
        <v>3848</v>
      </c>
    </row>
    <row r="1621" spans="1:3" x14ac:dyDescent="0.35">
      <c r="A1621" s="1" t="s">
        <v>5879</v>
      </c>
      <c r="B1621" s="1" t="s">
        <v>3718</v>
      </c>
      <c r="C1621" s="1" t="s">
        <v>3850</v>
      </c>
    </row>
    <row r="1622" spans="1:3" x14ac:dyDescent="0.35">
      <c r="A1622" s="1" t="s">
        <v>5880</v>
      </c>
      <c r="B1622" s="1" t="s">
        <v>3720</v>
      </c>
      <c r="C1622" s="1" t="s">
        <v>3852</v>
      </c>
    </row>
    <row r="1623" spans="1:3" x14ac:dyDescent="0.35">
      <c r="A1623" s="1" t="s">
        <v>5881</v>
      </c>
      <c r="B1623" s="1" t="s">
        <v>3722</v>
      </c>
      <c r="C1623" s="1" t="s">
        <v>3854</v>
      </c>
    </row>
    <row r="1624" spans="1:3" x14ac:dyDescent="0.35">
      <c r="A1624" s="1" t="s">
        <v>5882</v>
      </c>
      <c r="B1624" s="1" t="s">
        <v>3724</v>
      </c>
      <c r="C1624" s="1" t="s">
        <v>3856</v>
      </c>
    </row>
    <row r="1625" spans="1:3" x14ac:dyDescent="0.35">
      <c r="A1625" s="1" t="s">
        <v>5883</v>
      </c>
      <c r="B1625" s="1" t="s">
        <v>3726</v>
      </c>
      <c r="C1625" s="1" t="s">
        <v>3857</v>
      </c>
    </row>
    <row r="1626" spans="1:3" x14ac:dyDescent="0.35">
      <c r="A1626" s="1" t="s">
        <v>5884</v>
      </c>
      <c r="B1626" s="1" t="s">
        <v>3728</v>
      </c>
      <c r="C1626" s="1" t="s">
        <v>3858</v>
      </c>
    </row>
    <row r="1627" spans="1:3" x14ac:dyDescent="0.35">
      <c r="A1627" s="1" t="s">
        <v>5885</v>
      </c>
      <c r="B1627" s="1" t="s">
        <v>3729</v>
      </c>
      <c r="C1627" s="1" t="s">
        <v>3859</v>
      </c>
    </row>
    <row r="1628" spans="1:3" x14ac:dyDescent="0.35">
      <c r="A1628" s="1" t="s">
        <v>5886</v>
      </c>
      <c r="B1628" s="1" t="s">
        <v>3731</v>
      </c>
      <c r="C1628" s="1" t="s">
        <v>3860</v>
      </c>
    </row>
    <row r="1629" spans="1:3" x14ac:dyDescent="0.35">
      <c r="A1629" s="1" t="s">
        <v>5887</v>
      </c>
      <c r="B1629" s="1" t="s">
        <v>3733</v>
      </c>
      <c r="C1629" s="1" t="s">
        <v>3861</v>
      </c>
    </row>
    <row r="1630" spans="1:3" x14ac:dyDescent="0.35">
      <c r="A1630" s="1" t="s">
        <v>5888</v>
      </c>
      <c r="B1630" s="1" t="s">
        <v>3735</v>
      </c>
      <c r="C1630" s="1" t="s">
        <v>3862</v>
      </c>
    </row>
    <row r="1631" spans="1:3" x14ac:dyDescent="0.35">
      <c r="A1631" s="1" t="s">
        <v>5889</v>
      </c>
      <c r="B1631" s="1" t="s">
        <v>3737</v>
      </c>
      <c r="C1631" s="1" t="s">
        <v>3863</v>
      </c>
    </row>
    <row r="1632" spans="1:3" x14ac:dyDescent="0.35">
      <c r="A1632" s="1" t="s">
        <v>5890</v>
      </c>
      <c r="B1632" s="1" t="s">
        <v>3739</v>
      </c>
      <c r="C1632" s="1" t="s">
        <v>3864</v>
      </c>
    </row>
    <row r="1633" spans="1:3" x14ac:dyDescent="0.35">
      <c r="A1633" s="1" t="s">
        <v>5891</v>
      </c>
      <c r="B1633" s="1" t="s">
        <v>3741</v>
      </c>
      <c r="C1633" s="1" t="s">
        <v>3866</v>
      </c>
    </row>
    <row r="1634" spans="1:3" x14ac:dyDescent="0.35">
      <c r="A1634" s="1" t="s">
        <v>5892</v>
      </c>
      <c r="B1634" s="1" t="s">
        <v>3743</v>
      </c>
      <c r="C1634" s="1" t="s">
        <v>3867</v>
      </c>
    </row>
    <row r="1635" spans="1:3" x14ac:dyDescent="0.35">
      <c r="A1635" s="1" t="s">
        <v>5893</v>
      </c>
      <c r="B1635" s="1" t="s">
        <v>3745</v>
      </c>
      <c r="C1635" s="1" t="s">
        <v>3868</v>
      </c>
    </row>
    <row r="1636" spans="1:3" x14ac:dyDescent="0.35">
      <c r="A1636" s="1" t="s">
        <v>5894</v>
      </c>
      <c r="B1636" s="1" t="s">
        <v>3747</v>
      </c>
      <c r="C1636" s="1" t="s">
        <v>3869</v>
      </c>
    </row>
    <row r="1637" spans="1:3" x14ac:dyDescent="0.35">
      <c r="A1637" s="1" t="s">
        <v>5895</v>
      </c>
      <c r="B1637" s="1" t="s">
        <v>3749</v>
      </c>
      <c r="C1637" s="1" t="s">
        <v>3870</v>
      </c>
    </row>
    <row r="1638" spans="1:3" x14ac:dyDescent="0.35">
      <c r="A1638" s="1" t="s">
        <v>5896</v>
      </c>
      <c r="B1638" s="1" t="s">
        <v>3750</v>
      </c>
      <c r="C1638" s="1" t="s">
        <v>3871</v>
      </c>
    </row>
    <row r="1639" spans="1:3" x14ac:dyDescent="0.35">
      <c r="A1639" s="1" t="s">
        <v>5897</v>
      </c>
      <c r="B1639" s="1" t="s">
        <v>3751</v>
      </c>
      <c r="C1639" s="1" t="s">
        <v>3872</v>
      </c>
    </row>
    <row r="1640" spans="1:3" x14ac:dyDescent="0.35">
      <c r="A1640" s="1" t="s">
        <v>5898</v>
      </c>
      <c r="B1640" s="1" t="s">
        <v>3752</v>
      </c>
      <c r="C1640" s="1" t="s">
        <v>3873</v>
      </c>
    </row>
    <row r="1641" spans="1:3" x14ac:dyDescent="0.35">
      <c r="A1641" s="1" t="s">
        <v>5899</v>
      </c>
      <c r="B1641" s="1" t="s">
        <v>3753</v>
      </c>
      <c r="C1641" s="1" t="s">
        <v>3874</v>
      </c>
    </row>
    <row r="1642" spans="1:3" x14ac:dyDescent="0.35">
      <c r="A1642" s="1" t="s">
        <v>5900</v>
      </c>
      <c r="B1642" s="1" t="s">
        <v>3754</v>
      </c>
      <c r="C1642" s="1" t="s">
        <v>3875</v>
      </c>
    </row>
    <row r="1643" spans="1:3" x14ac:dyDescent="0.35">
      <c r="A1643" s="1" t="s">
        <v>5901</v>
      </c>
      <c r="B1643" s="1" t="s">
        <v>3755</v>
      </c>
      <c r="C1643" s="1" t="s">
        <v>3876</v>
      </c>
    </row>
    <row r="1644" spans="1:3" x14ac:dyDescent="0.35">
      <c r="A1644" s="1" t="s">
        <v>5902</v>
      </c>
      <c r="B1644" s="1" t="s">
        <v>3756</v>
      </c>
      <c r="C1644" s="1" t="s">
        <v>3877</v>
      </c>
    </row>
    <row r="1645" spans="1:3" x14ac:dyDescent="0.35">
      <c r="A1645" s="1" t="s">
        <v>5903</v>
      </c>
      <c r="B1645" s="1" t="s">
        <v>3757</v>
      </c>
      <c r="C1645" s="1" t="s">
        <v>3878</v>
      </c>
    </row>
    <row r="1646" spans="1:3" x14ac:dyDescent="0.35">
      <c r="A1646" s="1" t="s">
        <v>5904</v>
      </c>
      <c r="B1646" s="1" t="s">
        <v>3759</v>
      </c>
      <c r="C1646" s="1" t="s">
        <v>3879</v>
      </c>
    </row>
    <row r="1647" spans="1:3" x14ac:dyDescent="0.35">
      <c r="A1647" s="1" t="s">
        <v>5905</v>
      </c>
      <c r="B1647" s="1" t="s">
        <v>3760</v>
      </c>
      <c r="C1647" s="1" t="s">
        <v>3881</v>
      </c>
    </row>
    <row r="1648" spans="1:3" x14ac:dyDescent="0.35">
      <c r="A1648" s="1" t="s">
        <v>5906</v>
      </c>
      <c r="B1648" s="1" t="s">
        <v>3762</v>
      </c>
      <c r="C1648" s="1" t="s">
        <v>3882</v>
      </c>
    </row>
    <row r="1650" spans="1:3" x14ac:dyDescent="0.35">
      <c r="A1650" s="1" t="s">
        <v>5907</v>
      </c>
      <c r="B1650" s="1" t="s">
        <v>3883</v>
      </c>
      <c r="C1650" s="1" t="s">
        <v>3907</v>
      </c>
    </row>
    <row r="1651" spans="1:3" x14ac:dyDescent="0.35">
      <c r="A1651" s="1" t="s">
        <v>5908</v>
      </c>
      <c r="B1651" s="1" t="s">
        <v>3886</v>
      </c>
      <c r="C1651" s="1" t="s">
        <v>3907</v>
      </c>
    </row>
    <row r="1652" spans="1:3" x14ac:dyDescent="0.35">
      <c r="A1652" s="1" t="s">
        <v>5909</v>
      </c>
      <c r="B1652" s="1" t="s">
        <v>3887</v>
      </c>
      <c r="C1652" s="1" t="s">
        <v>3907</v>
      </c>
    </row>
    <row r="1653" spans="1:3" x14ac:dyDescent="0.35">
      <c r="A1653" s="1" t="s">
        <v>5910</v>
      </c>
      <c r="B1653" s="1" t="s">
        <v>3889</v>
      </c>
      <c r="C1653" s="1" t="s">
        <v>3907</v>
      </c>
    </row>
    <row r="1654" spans="1:3" x14ac:dyDescent="0.35">
      <c r="A1654" s="1" t="s">
        <v>5911</v>
      </c>
      <c r="B1654" s="1" t="s">
        <v>3891</v>
      </c>
      <c r="C1654" s="1" t="s">
        <v>3907</v>
      </c>
    </row>
    <row r="1655" spans="1:3" x14ac:dyDescent="0.35">
      <c r="A1655" s="1" t="s">
        <v>5912</v>
      </c>
      <c r="B1655" s="1" t="s">
        <v>3893</v>
      </c>
      <c r="C1655" s="1" t="s">
        <v>3907</v>
      </c>
    </row>
    <row r="1656" spans="1:3" x14ac:dyDescent="0.35">
      <c r="A1656" s="1" t="s">
        <v>5913</v>
      </c>
      <c r="B1656" s="1" t="s">
        <v>3895</v>
      </c>
      <c r="C1656" s="1" t="s">
        <v>3907</v>
      </c>
    </row>
    <row r="1657" spans="1:3" x14ac:dyDescent="0.35">
      <c r="A1657" s="1" t="s">
        <v>5914</v>
      </c>
      <c r="B1657" s="1" t="s">
        <v>3897</v>
      </c>
      <c r="C1657" s="1" t="s">
        <v>3907</v>
      </c>
    </row>
    <row r="1658" spans="1:3" x14ac:dyDescent="0.35">
      <c r="A1658" s="1" t="s">
        <v>5915</v>
      </c>
      <c r="B1658" s="1" t="s">
        <v>3899</v>
      </c>
      <c r="C1658" s="1" t="s">
        <v>3907</v>
      </c>
    </row>
    <row r="1659" spans="1:3" x14ac:dyDescent="0.35">
      <c r="A1659" s="1" t="s">
        <v>5916</v>
      </c>
      <c r="B1659" s="1" t="s">
        <v>3901</v>
      </c>
      <c r="C1659" s="1" t="s">
        <v>3907</v>
      </c>
    </row>
    <row r="1660" spans="1:3" x14ac:dyDescent="0.35">
      <c r="A1660" s="1" t="s">
        <v>5917</v>
      </c>
      <c r="B1660" s="1" t="s">
        <v>3903</v>
      </c>
      <c r="C1660" s="1" t="s">
        <v>3907</v>
      </c>
    </row>
    <row r="1661" spans="1:3" x14ac:dyDescent="0.35">
      <c r="A1661" s="1" t="s">
        <v>5918</v>
      </c>
      <c r="B1661" s="1" t="s">
        <v>3905</v>
      </c>
      <c r="C1661" s="1" t="s">
        <v>3907</v>
      </c>
    </row>
    <row r="1662" spans="1:3" x14ac:dyDescent="0.35">
      <c r="A1662" s="1" t="s">
        <v>5919</v>
      </c>
      <c r="B1662" s="1" t="s">
        <v>3883</v>
      </c>
      <c r="C1662" s="1" t="s">
        <v>3909</v>
      </c>
    </row>
    <row r="1663" spans="1:3" x14ac:dyDescent="0.35">
      <c r="A1663" s="1" t="s">
        <v>5920</v>
      </c>
      <c r="B1663" s="1" t="s">
        <v>3886</v>
      </c>
      <c r="C1663" s="1" t="s">
        <v>3909</v>
      </c>
    </row>
    <row r="1664" spans="1:3" x14ac:dyDescent="0.35">
      <c r="A1664" s="1" t="s">
        <v>5921</v>
      </c>
      <c r="B1664" s="1" t="s">
        <v>3887</v>
      </c>
      <c r="C1664" s="1" t="s">
        <v>3909</v>
      </c>
    </row>
    <row r="1665" spans="1:3" x14ac:dyDescent="0.35">
      <c r="A1665" s="1" t="s">
        <v>5922</v>
      </c>
      <c r="B1665" s="1" t="s">
        <v>3889</v>
      </c>
      <c r="C1665" s="1" t="s">
        <v>3909</v>
      </c>
    </row>
    <row r="1666" spans="1:3" x14ac:dyDescent="0.35">
      <c r="A1666" s="1" t="s">
        <v>5923</v>
      </c>
      <c r="B1666" s="1" t="s">
        <v>3891</v>
      </c>
      <c r="C1666" s="1" t="s">
        <v>3909</v>
      </c>
    </row>
    <row r="1667" spans="1:3" x14ac:dyDescent="0.35">
      <c r="A1667" s="1" t="s">
        <v>5924</v>
      </c>
      <c r="B1667" s="1" t="s">
        <v>3893</v>
      </c>
      <c r="C1667" s="1" t="s">
        <v>3909</v>
      </c>
    </row>
    <row r="1668" spans="1:3" x14ac:dyDescent="0.35">
      <c r="A1668" s="1" t="s">
        <v>5925</v>
      </c>
      <c r="B1668" s="1" t="s">
        <v>3895</v>
      </c>
      <c r="C1668" s="1" t="s">
        <v>3909</v>
      </c>
    </row>
    <row r="1669" spans="1:3" x14ac:dyDescent="0.35">
      <c r="A1669" s="1" t="s">
        <v>5926</v>
      </c>
      <c r="B1669" s="1" t="s">
        <v>3897</v>
      </c>
      <c r="C1669" s="1" t="s">
        <v>3909</v>
      </c>
    </row>
    <row r="1670" spans="1:3" x14ac:dyDescent="0.35">
      <c r="A1670" s="1" t="s">
        <v>5927</v>
      </c>
      <c r="B1670" s="1" t="s">
        <v>3899</v>
      </c>
      <c r="C1670" s="1" t="s">
        <v>3909</v>
      </c>
    </row>
    <row r="1671" spans="1:3" x14ac:dyDescent="0.35">
      <c r="A1671" s="1" t="s">
        <v>5928</v>
      </c>
      <c r="B1671" s="1" t="s">
        <v>3901</v>
      </c>
      <c r="C1671" s="1" t="s">
        <v>3909</v>
      </c>
    </row>
    <row r="1672" spans="1:3" x14ac:dyDescent="0.35">
      <c r="A1672" s="1" t="s">
        <v>5929</v>
      </c>
      <c r="B1672" s="1" t="s">
        <v>3903</v>
      </c>
      <c r="C1672" s="1" t="s">
        <v>3909</v>
      </c>
    </row>
    <row r="1673" spans="1:3" x14ac:dyDescent="0.35">
      <c r="A1673" s="1" t="s">
        <v>5930</v>
      </c>
      <c r="B1673" s="1" t="s">
        <v>3905</v>
      </c>
      <c r="C1673" s="1" t="s">
        <v>3909</v>
      </c>
    </row>
    <row r="1674" spans="1:3" x14ac:dyDescent="0.35">
      <c r="A1674" s="1" t="s">
        <v>5931</v>
      </c>
      <c r="B1674" s="1" t="s">
        <v>3883</v>
      </c>
      <c r="C1674" s="1" t="s">
        <v>3911</v>
      </c>
    </row>
    <row r="1675" spans="1:3" x14ac:dyDescent="0.35">
      <c r="A1675" s="1" t="s">
        <v>5932</v>
      </c>
      <c r="B1675" s="1" t="s">
        <v>3886</v>
      </c>
      <c r="C1675" s="1" t="s">
        <v>3911</v>
      </c>
    </row>
    <row r="1676" spans="1:3" x14ac:dyDescent="0.35">
      <c r="A1676" s="1" t="s">
        <v>5933</v>
      </c>
      <c r="B1676" s="1" t="s">
        <v>3887</v>
      </c>
      <c r="C1676" s="1" t="s">
        <v>3911</v>
      </c>
    </row>
    <row r="1677" spans="1:3" x14ac:dyDescent="0.35">
      <c r="A1677" s="1" t="s">
        <v>5934</v>
      </c>
      <c r="B1677" s="1" t="s">
        <v>3889</v>
      </c>
      <c r="C1677" s="1" t="s">
        <v>3911</v>
      </c>
    </row>
    <row r="1678" spans="1:3" x14ac:dyDescent="0.35">
      <c r="A1678" s="1" t="s">
        <v>5935</v>
      </c>
      <c r="B1678" s="1" t="s">
        <v>3891</v>
      </c>
      <c r="C1678" s="1" t="s">
        <v>3911</v>
      </c>
    </row>
    <row r="1679" spans="1:3" x14ac:dyDescent="0.35">
      <c r="A1679" s="1" t="s">
        <v>5936</v>
      </c>
      <c r="B1679" s="1" t="s">
        <v>3893</v>
      </c>
      <c r="C1679" s="1" t="s">
        <v>3911</v>
      </c>
    </row>
    <row r="1680" spans="1:3" x14ac:dyDescent="0.35">
      <c r="A1680" s="1" t="s">
        <v>5937</v>
      </c>
      <c r="B1680" s="1" t="s">
        <v>3895</v>
      </c>
      <c r="C1680" s="1" t="s">
        <v>3911</v>
      </c>
    </row>
    <row r="1681" spans="1:3" x14ac:dyDescent="0.35">
      <c r="A1681" s="1" t="s">
        <v>5938</v>
      </c>
      <c r="B1681" s="1" t="s">
        <v>3897</v>
      </c>
      <c r="C1681" s="1" t="s">
        <v>3911</v>
      </c>
    </row>
    <row r="1682" spans="1:3" x14ac:dyDescent="0.35">
      <c r="A1682" s="1" t="s">
        <v>5939</v>
      </c>
      <c r="B1682" s="1" t="s">
        <v>3899</v>
      </c>
      <c r="C1682" s="1" t="s">
        <v>3911</v>
      </c>
    </row>
    <row r="1683" spans="1:3" x14ac:dyDescent="0.35">
      <c r="A1683" s="1" t="s">
        <v>5940</v>
      </c>
      <c r="B1683" s="1" t="s">
        <v>3901</v>
      </c>
      <c r="C1683" s="1" t="s">
        <v>3911</v>
      </c>
    </row>
    <row r="1684" spans="1:3" x14ac:dyDescent="0.35">
      <c r="A1684" s="1" t="s">
        <v>5941</v>
      </c>
      <c r="B1684" s="1" t="s">
        <v>3903</v>
      </c>
      <c r="C1684" s="1" t="s">
        <v>3911</v>
      </c>
    </row>
    <row r="1685" spans="1:3" x14ac:dyDescent="0.35">
      <c r="A1685" s="1" t="s">
        <v>5942</v>
      </c>
      <c r="B1685" s="1" t="s">
        <v>3905</v>
      </c>
      <c r="C1685" s="1" t="s">
        <v>3911</v>
      </c>
    </row>
    <row r="1686" spans="1:3" x14ac:dyDescent="0.35">
      <c r="A1686" s="1" t="s">
        <v>5943</v>
      </c>
      <c r="B1686" s="1" t="s">
        <v>3883</v>
      </c>
      <c r="C1686" s="1" t="s">
        <v>3913</v>
      </c>
    </row>
    <row r="1687" spans="1:3" x14ac:dyDescent="0.35">
      <c r="A1687" s="1" t="s">
        <v>5944</v>
      </c>
      <c r="B1687" s="1" t="s">
        <v>3886</v>
      </c>
      <c r="C1687" s="1" t="s">
        <v>3913</v>
      </c>
    </row>
    <row r="1688" spans="1:3" x14ac:dyDescent="0.35">
      <c r="A1688" s="1" t="s">
        <v>5945</v>
      </c>
      <c r="B1688" s="1" t="s">
        <v>3887</v>
      </c>
      <c r="C1688" s="1" t="s">
        <v>3913</v>
      </c>
    </row>
    <row r="1689" spans="1:3" x14ac:dyDescent="0.35">
      <c r="A1689" s="1" t="s">
        <v>5946</v>
      </c>
      <c r="B1689" s="1" t="s">
        <v>3889</v>
      </c>
      <c r="C1689" s="1" t="s">
        <v>3913</v>
      </c>
    </row>
    <row r="1690" spans="1:3" x14ac:dyDescent="0.35">
      <c r="A1690" s="1" t="s">
        <v>5947</v>
      </c>
      <c r="B1690" s="1" t="s">
        <v>3891</v>
      </c>
      <c r="C1690" s="1" t="s">
        <v>3913</v>
      </c>
    </row>
    <row r="1691" spans="1:3" x14ac:dyDescent="0.35">
      <c r="A1691" s="1" t="s">
        <v>5948</v>
      </c>
      <c r="B1691" s="1" t="s">
        <v>3893</v>
      </c>
      <c r="C1691" s="1" t="s">
        <v>3913</v>
      </c>
    </row>
    <row r="1692" spans="1:3" x14ac:dyDescent="0.35">
      <c r="A1692" s="1" t="s">
        <v>5949</v>
      </c>
      <c r="B1692" s="1" t="s">
        <v>3895</v>
      </c>
      <c r="C1692" s="1" t="s">
        <v>3913</v>
      </c>
    </row>
    <row r="1693" spans="1:3" x14ac:dyDescent="0.35">
      <c r="A1693" s="1" t="s">
        <v>5950</v>
      </c>
      <c r="B1693" s="1" t="s">
        <v>3897</v>
      </c>
      <c r="C1693" s="1" t="s">
        <v>3913</v>
      </c>
    </row>
    <row r="1694" spans="1:3" x14ac:dyDescent="0.35">
      <c r="A1694" s="1" t="s">
        <v>5951</v>
      </c>
      <c r="B1694" s="1" t="s">
        <v>3899</v>
      </c>
      <c r="C1694" s="1" t="s">
        <v>3913</v>
      </c>
    </row>
    <row r="1695" spans="1:3" x14ac:dyDescent="0.35">
      <c r="A1695" s="1" t="s">
        <v>5952</v>
      </c>
      <c r="B1695" s="1" t="s">
        <v>3901</v>
      </c>
      <c r="C1695" s="1" t="s">
        <v>3913</v>
      </c>
    </row>
    <row r="1696" spans="1:3" x14ac:dyDescent="0.35">
      <c r="A1696" s="1" t="s">
        <v>5953</v>
      </c>
      <c r="B1696" s="1" t="s">
        <v>3903</v>
      </c>
      <c r="C1696" s="1" t="s">
        <v>3913</v>
      </c>
    </row>
    <row r="1697" spans="1:3" x14ac:dyDescent="0.35">
      <c r="A1697" s="1" t="s">
        <v>5954</v>
      </c>
      <c r="B1697" s="1" t="s">
        <v>3905</v>
      </c>
      <c r="C1697" s="1" t="s">
        <v>3913</v>
      </c>
    </row>
    <row r="1698" spans="1:3" x14ac:dyDescent="0.35">
      <c r="A1698" s="1" t="s">
        <v>5955</v>
      </c>
      <c r="B1698" s="1" t="s">
        <v>3883</v>
      </c>
      <c r="C1698" s="1" t="s">
        <v>3915</v>
      </c>
    </row>
    <row r="1699" spans="1:3" x14ac:dyDescent="0.35">
      <c r="A1699" s="1" t="s">
        <v>5956</v>
      </c>
      <c r="B1699" s="1" t="s">
        <v>3886</v>
      </c>
      <c r="C1699" s="1" t="s">
        <v>3915</v>
      </c>
    </row>
    <row r="1700" spans="1:3" x14ac:dyDescent="0.35">
      <c r="A1700" s="1" t="s">
        <v>5957</v>
      </c>
      <c r="B1700" s="1" t="s">
        <v>3887</v>
      </c>
      <c r="C1700" s="1" t="s">
        <v>3915</v>
      </c>
    </row>
    <row r="1701" spans="1:3" x14ac:dyDescent="0.35">
      <c r="A1701" s="1" t="s">
        <v>5958</v>
      </c>
      <c r="B1701" s="1" t="s">
        <v>3889</v>
      </c>
      <c r="C1701" s="1" t="s">
        <v>3915</v>
      </c>
    </row>
    <row r="1702" spans="1:3" x14ac:dyDescent="0.35">
      <c r="A1702" s="1" t="s">
        <v>5959</v>
      </c>
      <c r="B1702" s="1" t="s">
        <v>3891</v>
      </c>
      <c r="C1702" s="1" t="s">
        <v>3915</v>
      </c>
    </row>
    <row r="1703" spans="1:3" x14ac:dyDescent="0.35">
      <c r="A1703" s="1" t="s">
        <v>5960</v>
      </c>
      <c r="B1703" s="1" t="s">
        <v>3893</v>
      </c>
      <c r="C1703" s="1" t="s">
        <v>3915</v>
      </c>
    </row>
    <row r="1704" spans="1:3" x14ac:dyDescent="0.35">
      <c r="A1704" s="1" t="s">
        <v>5961</v>
      </c>
      <c r="B1704" s="1" t="s">
        <v>3895</v>
      </c>
      <c r="C1704" s="1" t="s">
        <v>3915</v>
      </c>
    </row>
    <row r="1705" spans="1:3" x14ac:dyDescent="0.35">
      <c r="A1705" s="1" t="s">
        <v>5962</v>
      </c>
      <c r="B1705" s="1" t="s">
        <v>3897</v>
      </c>
      <c r="C1705" s="1" t="s">
        <v>3915</v>
      </c>
    </row>
    <row r="1706" spans="1:3" x14ac:dyDescent="0.35">
      <c r="A1706" s="1" t="s">
        <v>5963</v>
      </c>
      <c r="B1706" s="1" t="s">
        <v>3899</v>
      </c>
      <c r="C1706" s="1" t="s">
        <v>3915</v>
      </c>
    </row>
    <row r="1707" spans="1:3" x14ac:dyDescent="0.35">
      <c r="A1707" s="1" t="s">
        <v>5964</v>
      </c>
      <c r="B1707" s="1" t="s">
        <v>3901</v>
      </c>
      <c r="C1707" s="1" t="s">
        <v>3915</v>
      </c>
    </row>
    <row r="1708" spans="1:3" x14ac:dyDescent="0.35">
      <c r="A1708" s="1" t="s">
        <v>5965</v>
      </c>
      <c r="B1708" s="1" t="s">
        <v>3903</v>
      </c>
      <c r="C1708" s="1" t="s">
        <v>3915</v>
      </c>
    </row>
    <row r="1709" spans="1:3" x14ac:dyDescent="0.35">
      <c r="A1709" s="1" t="s">
        <v>5966</v>
      </c>
      <c r="B1709" s="1" t="s">
        <v>3905</v>
      </c>
      <c r="C1709" s="1" t="s">
        <v>3915</v>
      </c>
    </row>
    <row r="1710" spans="1:3" x14ac:dyDescent="0.35">
      <c r="A1710" s="1" t="s">
        <v>5967</v>
      </c>
      <c r="B1710" s="1" t="s">
        <v>3883</v>
      </c>
      <c r="C1710" s="1" t="s">
        <v>3917</v>
      </c>
    </row>
    <row r="1711" spans="1:3" x14ac:dyDescent="0.35">
      <c r="A1711" s="1" t="s">
        <v>5968</v>
      </c>
      <c r="B1711" s="1" t="s">
        <v>3886</v>
      </c>
      <c r="C1711" s="1" t="s">
        <v>3917</v>
      </c>
    </row>
    <row r="1712" spans="1:3" x14ac:dyDescent="0.35">
      <c r="A1712" s="1" t="s">
        <v>5969</v>
      </c>
      <c r="B1712" s="1" t="s">
        <v>3887</v>
      </c>
      <c r="C1712" s="1" t="s">
        <v>3917</v>
      </c>
    </row>
    <row r="1713" spans="1:3" x14ac:dyDescent="0.35">
      <c r="A1713" s="1" t="s">
        <v>5970</v>
      </c>
      <c r="B1713" s="1" t="s">
        <v>3889</v>
      </c>
      <c r="C1713" s="1" t="s">
        <v>3917</v>
      </c>
    </row>
    <row r="1714" spans="1:3" x14ac:dyDescent="0.35">
      <c r="A1714" s="1" t="s">
        <v>5971</v>
      </c>
      <c r="B1714" s="1" t="s">
        <v>3891</v>
      </c>
      <c r="C1714" s="1" t="s">
        <v>3917</v>
      </c>
    </row>
    <row r="1715" spans="1:3" x14ac:dyDescent="0.35">
      <c r="A1715" s="1" t="s">
        <v>5972</v>
      </c>
      <c r="B1715" s="1" t="s">
        <v>3893</v>
      </c>
      <c r="C1715" s="1" t="s">
        <v>3917</v>
      </c>
    </row>
    <row r="1716" spans="1:3" x14ac:dyDescent="0.35">
      <c r="A1716" s="1" t="s">
        <v>5973</v>
      </c>
      <c r="B1716" s="1" t="s">
        <v>3895</v>
      </c>
      <c r="C1716" s="1" t="s">
        <v>3917</v>
      </c>
    </row>
    <row r="1717" spans="1:3" x14ac:dyDescent="0.35">
      <c r="A1717" s="1" t="s">
        <v>5974</v>
      </c>
      <c r="B1717" s="1" t="s">
        <v>3897</v>
      </c>
      <c r="C1717" s="1" t="s">
        <v>3917</v>
      </c>
    </row>
    <row r="1718" spans="1:3" x14ac:dyDescent="0.35">
      <c r="A1718" s="1" t="s">
        <v>5975</v>
      </c>
      <c r="B1718" s="1" t="s">
        <v>3899</v>
      </c>
      <c r="C1718" s="1" t="s">
        <v>3917</v>
      </c>
    </row>
    <row r="1719" spans="1:3" x14ac:dyDescent="0.35">
      <c r="A1719" s="1" t="s">
        <v>5976</v>
      </c>
      <c r="B1719" s="1" t="s">
        <v>3901</v>
      </c>
      <c r="C1719" s="1" t="s">
        <v>3917</v>
      </c>
    </row>
    <row r="1720" spans="1:3" x14ac:dyDescent="0.35">
      <c r="A1720" s="1" t="s">
        <v>5977</v>
      </c>
      <c r="B1720" s="1" t="s">
        <v>3903</v>
      </c>
      <c r="C1720" s="1" t="s">
        <v>3917</v>
      </c>
    </row>
    <row r="1721" spans="1:3" x14ac:dyDescent="0.35">
      <c r="A1721" s="1" t="s">
        <v>5978</v>
      </c>
      <c r="B1721" s="1" t="s">
        <v>3905</v>
      </c>
      <c r="C1721" s="1" t="s">
        <v>3917</v>
      </c>
    </row>
    <row r="1722" spans="1:3" x14ac:dyDescent="0.35">
      <c r="A1722" s="1" t="s">
        <v>5979</v>
      </c>
      <c r="B1722" s="1" t="s">
        <v>3883</v>
      </c>
      <c r="C1722" s="1" t="s">
        <v>3919</v>
      </c>
    </row>
    <row r="1723" spans="1:3" x14ac:dyDescent="0.35">
      <c r="A1723" s="1" t="s">
        <v>5980</v>
      </c>
      <c r="B1723" s="1" t="s">
        <v>3886</v>
      </c>
      <c r="C1723" s="1" t="s">
        <v>3919</v>
      </c>
    </row>
    <row r="1724" spans="1:3" x14ac:dyDescent="0.35">
      <c r="A1724" s="1" t="s">
        <v>5981</v>
      </c>
      <c r="B1724" s="1" t="s">
        <v>3887</v>
      </c>
      <c r="C1724" s="1" t="s">
        <v>3919</v>
      </c>
    </row>
    <row r="1725" spans="1:3" x14ac:dyDescent="0.35">
      <c r="A1725" s="1" t="s">
        <v>5982</v>
      </c>
      <c r="B1725" s="1" t="s">
        <v>3889</v>
      </c>
      <c r="C1725" s="1" t="s">
        <v>3919</v>
      </c>
    </row>
    <row r="1726" spans="1:3" x14ac:dyDescent="0.35">
      <c r="A1726" s="1" t="s">
        <v>5983</v>
      </c>
      <c r="B1726" s="1" t="s">
        <v>3891</v>
      </c>
      <c r="C1726" s="1" t="s">
        <v>3919</v>
      </c>
    </row>
    <row r="1727" spans="1:3" x14ac:dyDescent="0.35">
      <c r="A1727" s="1" t="s">
        <v>5984</v>
      </c>
      <c r="B1727" s="1" t="s">
        <v>3893</v>
      </c>
      <c r="C1727" s="1" t="s">
        <v>3919</v>
      </c>
    </row>
    <row r="1728" spans="1:3" x14ac:dyDescent="0.35">
      <c r="A1728" s="1" t="s">
        <v>5985</v>
      </c>
      <c r="B1728" s="1" t="s">
        <v>3895</v>
      </c>
      <c r="C1728" s="1" t="s">
        <v>3919</v>
      </c>
    </row>
    <row r="1729" spans="1:3" x14ac:dyDescent="0.35">
      <c r="A1729" s="1" t="s">
        <v>5986</v>
      </c>
      <c r="B1729" s="1" t="s">
        <v>3897</v>
      </c>
      <c r="C1729" s="1" t="s">
        <v>3919</v>
      </c>
    </row>
    <row r="1730" spans="1:3" x14ac:dyDescent="0.35">
      <c r="A1730" s="1" t="s">
        <v>5987</v>
      </c>
      <c r="B1730" s="1" t="s">
        <v>3899</v>
      </c>
      <c r="C1730" s="1" t="s">
        <v>3919</v>
      </c>
    </row>
    <row r="1731" spans="1:3" x14ac:dyDescent="0.35">
      <c r="A1731" s="1" t="s">
        <v>5988</v>
      </c>
      <c r="B1731" s="1" t="s">
        <v>3901</v>
      </c>
      <c r="C1731" s="1" t="s">
        <v>3919</v>
      </c>
    </row>
    <row r="1732" spans="1:3" x14ac:dyDescent="0.35">
      <c r="A1732" s="1" t="s">
        <v>5989</v>
      </c>
      <c r="B1732" s="1" t="s">
        <v>3903</v>
      </c>
      <c r="C1732" s="1" t="s">
        <v>3919</v>
      </c>
    </row>
    <row r="1733" spans="1:3" x14ac:dyDescent="0.35">
      <c r="A1733" s="1" t="s">
        <v>5990</v>
      </c>
      <c r="B1733" s="1" t="s">
        <v>3905</v>
      </c>
      <c r="C1733" s="1" t="s">
        <v>3919</v>
      </c>
    </row>
    <row r="1734" spans="1:3" x14ac:dyDescent="0.35">
      <c r="A1734" s="1" t="s">
        <v>5991</v>
      </c>
      <c r="B1734" s="1" t="s">
        <v>3883</v>
      </c>
      <c r="C1734" s="1" t="s">
        <v>3921</v>
      </c>
    </row>
    <row r="1735" spans="1:3" x14ac:dyDescent="0.35">
      <c r="A1735" s="1" t="s">
        <v>5992</v>
      </c>
      <c r="B1735" s="1" t="s">
        <v>3886</v>
      </c>
      <c r="C1735" s="1" t="s">
        <v>3921</v>
      </c>
    </row>
    <row r="1736" spans="1:3" x14ac:dyDescent="0.35">
      <c r="A1736" s="1" t="s">
        <v>5993</v>
      </c>
      <c r="B1736" s="1" t="s">
        <v>3887</v>
      </c>
      <c r="C1736" s="1" t="s">
        <v>3921</v>
      </c>
    </row>
    <row r="1737" spans="1:3" x14ac:dyDescent="0.35">
      <c r="A1737" s="1" t="s">
        <v>5994</v>
      </c>
      <c r="B1737" s="1" t="s">
        <v>3889</v>
      </c>
      <c r="C1737" s="1" t="s">
        <v>3921</v>
      </c>
    </row>
    <row r="1738" spans="1:3" x14ac:dyDescent="0.35">
      <c r="A1738" s="1" t="s">
        <v>5995</v>
      </c>
      <c r="B1738" s="1" t="s">
        <v>3891</v>
      </c>
      <c r="C1738" s="1" t="s">
        <v>3921</v>
      </c>
    </row>
    <row r="1739" spans="1:3" x14ac:dyDescent="0.35">
      <c r="A1739" s="1" t="s">
        <v>5996</v>
      </c>
      <c r="B1739" s="1" t="s">
        <v>3893</v>
      </c>
      <c r="C1739" s="1" t="s">
        <v>3921</v>
      </c>
    </row>
    <row r="1740" spans="1:3" x14ac:dyDescent="0.35">
      <c r="A1740" s="1" t="s">
        <v>5997</v>
      </c>
      <c r="B1740" s="1" t="s">
        <v>3895</v>
      </c>
      <c r="C1740" s="1" t="s">
        <v>3921</v>
      </c>
    </row>
    <row r="1741" spans="1:3" x14ac:dyDescent="0.35">
      <c r="A1741" s="1" t="s">
        <v>5998</v>
      </c>
      <c r="B1741" s="1" t="s">
        <v>3897</v>
      </c>
      <c r="C1741" s="1" t="s">
        <v>3921</v>
      </c>
    </row>
    <row r="1742" spans="1:3" x14ac:dyDescent="0.35">
      <c r="A1742" s="1" t="s">
        <v>5999</v>
      </c>
      <c r="B1742" s="1" t="s">
        <v>3899</v>
      </c>
      <c r="C1742" s="1" t="s">
        <v>3921</v>
      </c>
    </row>
    <row r="1743" spans="1:3" x14ac:dyDescent="0.35">
      <c r="A1743" s="1" t="s">
        <v>6000</v>
      </c>
      <c r="B1743" s="1" t="s">
        <v>3901</v>
      </c>
      <c r="C1743" s="1" t="s">
        <v>3921</v>
      </c>
    </row>
    <row r="1744" spans="1:3" x14ac:dyDescent="0.35">
      <c r="A1744" s="1" t="s">
        <v>6001</v>
      </c>
      <c r="B1744" s="1" t="s">
        <v>3903</v>
      </c>
      <c r="C1744" s="1" t="s">
        <v>3921</v>
      </c>
    </row>
    <row r="1745" spans="1:3" x14ac:dyDescent="0.35">
      <c r="A1745" s="1" t="s">
        <v>6002</v>
      </c>
      <c r="B1745" s="1" t="s">
        <v>3905</v>
      </c>
      <c r="C1745" s="1" t="s">
        <v>3921</v>
      </c>
    </row>
    <row r="1747" spans="1:3" x14ac:dyDescent="0.35">
      <c r="A1747" s="1" t="s">
        <v>3923</v>
      </c>
      <c r="B1747" s="1" t="s">
        <v>3923</v>
      </c>
      <c r="C1747" s="1" t="s">
        <v>4054</v>
      </c>
    </row>
    <row r="1748" spans="1:3" x14ac:dyDescent="0.35">
      <c r="A1748" s="1" t="s">
        <v>3926</v>
      </c>
      <c r="B1748" s="1" t="s">
        <v>3926</v>
      </c>
      <c r="C1748" s="1" t="s">
        <v>4054</v>
      </c>
    </row>
    <row r="1749" spans="1:3" x14ac:dyDescent="0.35">
      <c r="A1749" s="1" t="s">
        <v>3928</v>
      </c>
      <c r="B1749" s="1" t="s">
        <v>3928</v>
      </c>
      <c r="C1749" s="1" t="s">
        <v>4054</v>
      </c>
    </row>
    <row r="1750" spans="1:3" x14ac:dyDescent="0.35">
      <c r="A1750" s="1" t="s">
        <v>3930</v>
      </c>
      <c r="B1750" s="1" t="s">
        <v>3930</v>
      </c>
      <c r="C1750" s="1" t="s">
        <v>4054</v>
      </c>
    </row>
    <row r="1751" spans="1:3" x14ac:dyDescent="0.35">
      <c r="A1751" s="1" t="s">
        <v>3932</v>
      </c>
      <c r="B1751" s="1" t="s">
        <v>3932</v>
      </c>
      <c r="C1751" s="1" t="s">
        <v>4054</v>
      </c>
    </row>
    <row r="1752" spans="1:3" x14ac:dyDescent="0.35">
      <c r="A1752" s="1" t="s">
        <v>3934</v>
      </c>
      <c r="B1752" s="1" t="s">
        <v>3934</v>
      </c>
      <c r="C1752" s="1" t="s">
        <v>4054</v>
      </c>
    </row>
    <row r="1753" spans="1:3" x14ac:dyDescent="0.35">
      <c r="A1753" s="1" t="s">
        <v>3936</v>
      </c>
      <c r="B1753" s="1" t="s">
        <v>3936</v>
      </c>
      <c r="C1753" s="1" t="s">
        <v>4054</v>
      </c>
    </row>
    <row r="1754" spans="1:3" x14ac:dyDescent="0.35">
      <c r="A1754" s="1" t="s">
        <v>3938</v>
      </c>
      <c r="B1754" s="1" t="s">
        <v>3938</v>
      </c>
      <c r="C1754" s="1" t="s">
        <v>4054</v>
      </c>
    </row>
    <row r="1755" spans="1:3" x14ac:dyDescent="0.35">
      <c r="A1755" s="1" t="s">
        <v>3940</v>
      </c>
      <c r="B1755" s="1" t="s">
        <v>3940</v>
      </c>
      <c r="C1755" s="1" t="s">
        <v>4054</v>
      </c>
    </row>
    <row r="1756" spans="1:3" x14ac:dyDescent="0.35">
      <c r="A1756" s="1" t="s">
        <v>3942</v>
      </c>
      <c r="B1756" s="1" t="s">
        <v>3942</v>
      </c>
      <c r="C1756" s="1" t="s">
        <v>4054</v>
      </c>
    </row>
    <row r="1757" spans="1:3" x14ac:dyDescent="0.35">
      <c r="A1757" s="1" t="s">
        <v>3944</v>
      </c>
      <c r="B1757" s="1" t="s">
        <v>3944</v>
      </c>
      <c r="C1757" s="1" t="s">
        <v>4054</v>
      </c>
    </row>
    <row r="1758" spans="1:3" x14ac:dyDescent="0.35">
      <c r="A1758" s="1" t="s">
        <v>3946</v>
      </c>
      <c r="B1758" s="1" t="s">
        <v>3946</v>
      </c>
      <c r="C1758" s="1" t="s">
        <v>4054</v>
      </c>
    </row>
    <row r="1759" spans="1:3" x14ac:dyDescent="0.35">
      <c r="A1759" s="1" t="s">
        <v>3948</v>
      </c>
      <c r="B1759" s="1" t="s">
        <v>3948</v>
      </c>
      <c r="C1759" s="1" t="s">
        <v>4054</v>
      </c>
    </row>
    <row r="1760" spans="1:3" x14ac:dyDescent="0.35">
      <c r="A1760" s="1" t="s">
        <v>3950</v>
      </c>
      <c r="B1760" s="1" t="s">
        <v>3950</v>
      </c>
      <c r="C1760" s="1" t="s">
        <v>4054</v>
      </c>
    </row>
    <row r="1761" spans="1:3" x14ac:dyDescent="0.35">
      <c r="A1761" s="1" t="s">
        <v>3952</v>
      </c>
      <c r="B1761" s="1" t="s">
        <v>3952</v>
      </c>
      <c r="C1761" s="1" t="s">
        <v>4054</v>
      </c>
    </row>
    <row r="1762" spans="1:3" x14ac:dyDescent="0.35">
      <c r="A1762" s="1" t="s">
        <v>3954</v>
      </c>
      <c r="B1762" s="1" t="s">
        <v>3954</v>
      </c>
      <c r="C1762" s="1" t="s">
        <v>4054</v>
      </c>
    </row>
    <row r="1763" spans="1:3" x14ac:dyDescent="0.35">
      <c r="A1763" s="1" t="s">
        <v>3956</v>
      </c>
      <c r="B1763" s="1" t="s">
        <v>3956</v>
      </c>
      <c r="C1763" s="1" t="s">
        <v>4054</v>
      </c>
    </row>
    <row r="1764" spans="1:3" x14ac:dyDescent="0.35">
      <c r="A1764" s="1" t="s">
        <v>3958</v>
      </c>
      <c r="B1764" s="1" t="s">
        <v>3958</v>
      </c>
      <c r="C1764" s="1" t="s">
        <v>4054</v>
      </c>
    </row>
    <row r="1765" spans="1:3" x14ac:dyDescent="0.35">
      <c r="A1765" s="1" t="s">
        <v>3960</v>
      </c>
      <c r="B1765" s="1" t="s">
        <v>3960</v>
      </c>
      <c r="C1765" s="1" t="s">
        <v>4054</v>
      </c>
    </row>
    <row r="1766" spans="1:3" x14ac:dyDescent="0.35">
      <c r="A1766" s="1" t="s">
        <v>3962</v>
      </c>
      <c r="B1766" s="1" t="s">
        <v>3962</v>
      </c>
      <c r="C1766" s="1" t="s">
        <v>4054</v>
      </c>
    </row>
    <row r="1767" spans="1:3" x14ac:dyDescent="0.35">
      <c r="A1767" s="1" t="s">
        <v>3964</v>
      </c>
      <c r="B1767" s="1" t="s">
        <v>3964</v>
      </c>
      <c r="C1767" s="1" t="s">
        <v>4054</v>
      </c>
    </row>
    <row r="1768" spans="1:3" x14ac:dyDescent="0.35">
      <c r="A1768" s="1" t="s">
        <v>3966</v>
      </c>
      <c r="B1768" s="1" t="s">
        <v>3966</v>
      </c>
      <c r="C1768" s="1" t="s">
        <v>4054</v>
      </c>
    </row>
    <row r="1769" spans="1:3" x14ac:dyDescent="0.35">
      <c r="A1769" s="1" t="s">
        <v>3968</v>
      </c>
      <c r="B1769" s="1" t="s">
        <v>3968</v>
      </c>
      <c r="C1769" s="1" t="s">
        <v>4054</v>
      </c>
    </row>
    <row r="1770" spans="1:3" x14ac:dyDescent="0.35">
      <c r="A1770" s="1" t="s">
        <v>3970</v>
      </c>
      <c r="B1770" s="1" t="s">
        <v>3970</v>
      </c>
      <c r="C1770" s="1" t="s">
        <v>4054</v>
      </c>
    </row>
    <row r="1771" spans="1:3" x14ac:dyDescent="0.35">
      <c r="A1771" s="1" t="s">
        <v>3972</v>
      </c>
      <c r="B1771" s="1" t="s">
        <v>3972</v>
      </c>
      <c r="C1771" s="1" t="s">
        <v>4054</v>
      </c>
    </row>
    <row r="1772" spans="1:3" x14ac:dyDescent="0.35">
      <c r="A1772" s="1" t="s">
        <v>3975</v>
      </c>
      <c r="B1772" s="1" t="s">
        <v>3975</v>
      </c>
      <c r="C1772" s="1" t="s">
        <v>4054</v>
      </c>
    </row>
    <row r="1773" spans="1:3" x14ac:dyDescent="0.35">
      <c r="A1773" s="1" t="s">
        <v>3977</v>
      </c>
      <c r="B1773" s="1" t="s">
        <v>3977</v>
      </c>
      <c r="C1773" s="1" t="s">
        <v>4054</v>
      </c>
    </row>
    <row r="1774" spans="1:3" x14ac:dyDescent="0.35">
      <c r="A1774" s="1" t="s">
        <v>3979</v>
      </c>
      <c r="B1774" s="1" t="s">
        <v>3979</v>
      </c>
      <c r="C1774" s="1" t="s">
        <v>4054</v>
      </c>
    </row>
    <row r="1775" spans="1:3" x14ac:dyDescent="0.35">
      <c r="A1775" s="1" t="s">
        <v>3981</v>
      </c>
      <c r="B1775" s="1" t="s">
        <v>3981</v>
      </c>
      <c r="C1775" s="1" t="s">
        <v>4054</v>
      </c>
    </row>
    <row r="1776" spans="1:3" x14ac:dyDescent="0.35">
      <c r="A1776" s="1" t="s">
        <v>3983</v>
      </c>
      <c r="B1776" s="1" t="s">
        <v>3983</v>
      </c>
      <c r="C1776" s="1" t="s">
        <v>4054</v>
      </c>
    </row>
    <row r="1777" spans="1:3" x14ac:dyDescent="0.35">
      <c r="A1777" s="1" t="s">
        <v>3985</v>
      </c>
      <c r="B1777" s="1" t="s">
        <v>3985</v>
      </c>
      <c r="C1777" s="1" t="s">
        <v>4054</v>
      </c>
    </row>
    <row r="1778" spans="1:3" x14ac:dyDescent="0.35">
      <c r="A1778" s="1" t="s">
        <v>3986</v>
      </c>
      <c r="B1778" s="1" t="s">
        <v>3986</v>
      </c>
      <c r="C1778" s="1" t="s">
        <v>4054</v>
      </c>
    </row>
    <row r="1779" spans="1:3" x14ac:dyDescent="0.35">
      <c r="A1779" s="1" t="s">
        <v>3987</v>
      </c>
      <c r="B1779" s="1" t="s">
        <v>3987</v>
      </c>
      <c r="C1779" s="1" t="s">
        <v>4054</v>
      </c>
    </row>
    <row r="1780" spans="1:3" x14ac:dyDescent="0.35">
      <c r="A1780" s="1" t="s">
        <v>3988</v>
      </c>
      <c r="B1780" s="1" t="s">
        <v>3988</v>
      </c>
      <c r="C1780" s="1" t="s">
        <v>4054</v>
      </c>
    </row>
    <row r="1781" spans="1:3" x14ac:dyDescent="0.35">
      <c r="A1781" s="1" t="s">
        <v>3989</v>
      </c>
      <c r="B1781" s="1" t="s">
        <v>3989</v>
      </c>
      <c r="C1781" s="1" t="s">
        <v>4054</v>
      </c>
    </row>
    <row r="1782" spans="1:3" x14ac:dyDescent="0.35">
      <c r="A1782" s="1" t="s">
        <v>3990</v>
      </c>
      <c r="B1782" s="1" t="s">
        <v>3990</v>
      </c>
      <c r="C1782" s="1" t="s">
        <v>4054</v>
      </c>
    </row>
    <row r="1783" spans="1:3" x14ac:dyDescent="0.35">
      <c r="A1783" s="1" t="s">
        <v>3991</v>
      </c>
      <c r="B1783" s="1" t="s">
        <v>3991</v>
      </c>
      <c r="C1783" s="1" t="s">
        <v>4054</v>
      </c>
    </row>
    <row r="1784" spans="1:3" x14ac:dyDescent="0.35">
      <c r="A1784" s="1" t="s">
        <v>3992</v>
      </c>
      <c r="B1784" s="1" t="s">
        <v>3992</v>
      </c>
      <c r="C1784" s="1" t="s">
        <v>4054</v>
      </c>
    </row>
    <row r="1785" spans="1:3" x14ac:dyDescent="0.35">
      <c r="A1785" s="1" t="s">
        <v>3993</v>
      </c>
      <c r="B1785" s="1" t="s">
        <v>3993</v>
      </c>
      <c r="C1785" s="1" t="s">
        <v>4054</v>
      </c>
    </row>
    <row r="1786" spans="1:3" x14ac:dyDescent="0.35">
      <c r="A1786" s="1" t="s">
        <v>3994</v>
      </c>
      <c r="B1786" s="1" t="s">
        <v>3994</v>
      </c>
      <c r="C1786" s="1" t="s">
        <v>4054</v>
      </c>
    </row>
    <row r="1787" spans="1:3" x14ac:dyDescent="0.35">
      <c r="A1787" s="1" t="s">
        <v>3995</v>
      </c>
      <c r="B1787" s="1" t="s">
        <v>3995</v>
      </c>
      <c r="C1787" s="1" t="s">
        <v>4054</v>
      </c>
    </row>
    <row r="1788" spans="1:3" x14ac:dyDescent="0.35">
      <c r="A1788" s="1" t="s">
        <v>3996</v>
      </c>
      <c r="B1788" s="1" t="s">
        <v>3996</v>
      </c>
      <c r="C1788" s="1" t="s">
        <v>4054</v>
      </c>
    </row>
    <row r="1789" spans="1:3" x14ac:dyDescent="0.35">
      <c r="A1789" s="1" t="s">
        <v>3997</v>
      </c>
      <c r="B1789" s="1" t="s">
        <v>3997</v>
      </c>
      <c r="C1789" s="1" t="s">
        <v>4054</v>
      </c>
    </row>
    <row r="1790" spans="1:3" x14ac:dyDescent="0.35">
      <c r="A1790" s="1" t="s">
        <v>3998</v>
      </c>
      <c r="B1790" s="1" t="s">
        <v>3998</v>
      </c>
      <c r="C1790" s="1" t="s">
        <v>4054</v>
      </c>
    </row>
    <row r="1791" spans="1:3" x14ac:dyDescent="0.35">
      <c r="A1791" s="1" t="s">
        <v>3999</v>
      </c>
      <c r="B1791" s="1" t="s">
        <v>3999</v>
      </c>
      <c r="C1791" s="1" t="s">
        <v>4054</v>
      </c>
    </row>
    <row r="1792" spans="1:3" x14ac:dyDescent="0.35">
      <c r="A1792" s="1" t="s">
        <v>4000</v>
      </c>
      <c r="B1792" s="1" t="s">
        <v>4000</v>
      </c>
      <c r="C1792" s="1" t="s">
        <v>4054</v>
      </c>
    </row>
    <row r="1793" spans="1:3" x14ac:dyDescent="0.35">
      <c r="A1793" s="1" t="s">
        <v>4001</v>
      </c>
      <c r="B1793" s="1" t="s">
        <v>4001</v>
      </c>
      <c r="C1793" s="1" t="s">
        <v>4054</v>
      </c>
    </row>
    <row r="1794" spans="1:3" x14ac:dyDescent="0.35">
      <c r="A1794" s="1" t="s">
        <v>4002</v>
      </c>
      <c r="B1794" s="1" t="s">
        <v>4002</v>
      </c>
      <c r="C1794" s="1" t="s">
        <v>4054</v>
      </c>
    </row>
    <row r="1795" spans="1:3" x14ac:dyDescent="0.35">
      <c r="A1795" s="1" t="s">
        <v>4003</v>
      </c>
      <c r="B1795" s="1" t="s">
        <v>4003</v>
      </c>
      <c r="C1795" s="1" t="s">
        <v>4054</v>
      </c>
    </row>
    <row r="1796" spans="1:3" x14ac:dyDescent="0.35">
      <c r="A1796" s="1" t="s">
        <v>4005</v>
      </c>
      <c r="B1796" s="1" t="s">
        <v>4005</v>
      </c>
      <c r="C1796" s="1" t="s">
        <v>4054</v>
      </c>
    </row>
    <row r="1797" spans="1:3" x14ac:dyDescent="0.35">
      <c r="A1797" s="1" t="s">
        <v>4006</v>
      </c>
      <c r="B1797" s="1" t="s">
        <v>4006</v>
      </c>
      <c r="C1797" s="1" t="s">
        <v>4054</v>
      </c>
    </row>
    <row r="1798" spans="1:3" x14ac:dyDescent="0.35">
      <c r="A1798" s="1" t="s">
        <v>4007</v>
      </c>
      <c r="B1798" s="1" t="s">
        <v>4007</v>
      </c>
      <c r="C1798" s="1" t="s">
        <v>4054</v>
      </c>
    </row>
    <row r="1799" spans="1:3" x14ac:dyDescent="0.35">
      <c r="A1799" s="1" t="s">
        <v>4008</v>
      </c>
      <c r="B1799" s="1" t="s">
        <v>4008</v>
      </c>
      <c r="C1799" s="1" t="s">
        <v>4054</v>
      </c>
    </row>
    <row r="1800" spans="1:3" x14ac:dyDescent="0.35">
      <c r="A1800" s="1" t="s">
        <v>4009</v>
      </c>
      <c r="B1800" s="1" t="s">
        <v>4009</v>
      </c>
      <c r="C1800" s="1" t="s">
        <v>4054</v>
      </c>
    </row>
    <row r="1801" spans="1:3" x14ac:dyDescent="0.35">
      <c r="A1801" s="1" t="s">
        <v>4010</v>
      </c>
      <c r="B1801" s="1" t="s">
        <v>4010</v>
      </c>
      <c r="C1801" s="1" t="s">
        <v>4054</v>
      </c>
    </row>
    <row r="1802" spans="1:3" x14ac:dyDescent="0.35">
      <c r="A1802" s="1" t="s">
        <v>4011</v>
      </c>
      <c r="B1802" s="1" t="s">
        <v>4011</v>
      </c>
      <c r="C1802" s="1" t="s">
        <v>4054</v>
      </c>
    </row>
    <row r="1803" spans="1:3" x14ac:dyDescent="0.35">
      <c r="A1803" s="1" t="s">
        <v>4012</v>
      </c>
      <c r="B1803" s="1" t="s">
        <v>4012</v>
      </c>
      <c r="C1803" s="1" t="s">
        <v>4054</v>
      </c>
    </row>
    <row r="1804" spans="1:3" x14ac:dyDescent="0.35">
      <c r="A1804" s="1" t="s">
        <v>4013</v>
      </c>
      <c r="B1804" s="1" t="s">
        <v>4013</v>
      </c>
      <c r="C1804" s="1" t="s">
        <v>4054</v>
      </c>
    </row>
    <row r="1805" spans="1:3" x14ac:dyDescent="0.35">
      <c r="A1805" s="1" t="s">
        <v>4014</v>
      </c>
      <c r="B1805" s="1" t="s">
        <v>4014</v>
      </c>
      <c r="C1805" s="1" t="s">
        <v>4054</v>
      </c>
    </row>
    <row r="1806" spans="1:3" x14ac:dyDescent="0.35">
      <c r="A1806" s="1" t="s">
        <v>4015</v>
      </c>
      <c r="B1806" s="1" t="s">
        <v>4015</v>
      </c>
      <c r="C1806" s="1" t="s">
        <v>4054</v>
      </c>
    </row>
    <row r="1807" spans="1:3" x14ac:dyDescent="0.35">
      <c r="A1807" s="1" t="s">
        <v>4016</v>
      </c>
      <c r="B1807" s="1" t="s">
        <v>4016</v>
      </c>
      <c r="C1807" s="1" t="s">
        <v>4054</v>
      </c>
    </row>
    <row r="1808" spans="1:3" x14ac:dyDescent="0.35">
      <c r="A1808" s="1" t="s">
        <v>4017</v>
      </c>
      <c r="B1808" s="1" t="s">
        <v>4017</v>
      </c>
      <c r="C1808" s="1" t="s">
        <v>4054</v>
      </c>
    </row>
    <row r="1809" spans="1:3" x14ac:dyDescent="0.35">
      <c r="A1809" s="1" t="s">
        <v>4018</v>
      </c>
      <c r="B1809" s="1" t="s">
        <v>4018</v>
      </c>
      <c r="C1809" s="1" t="s">
        <v>4054</v>
      </c>
    </row>
    <row r="1810" spans="1:3" x14ac:dyDescent="0.35">
      <c r="A1810" s="1" t="s">
        <v>4019</v>
      </c>
      <c r="B1810" s="1" t="s">
        <v>4019</v>
      </c>
      <c r="C1810" s="1" t="s">
        <v>4054</v>
      </c>
    </row>
    <row r="1811" spans="1:3" x14ac:dyDescent="0.35">
      <c r="A1811" s="1" t="s">
        <v>4020</v>
      </c>
      <c r="B1811" s="1" t="s">
        <v>4020</v>
      </c>
      <c r="C1811" s="1" t="s">
        <v>4054</v>
      </c>
    </row>
    <row r="1812" spans="1:3" x14ac:dyDescent="0.35">
      <c r="A1812" s="1" t="s">
        <v>4022</v>
      </c>
      <c r="B1812" s="1" t="s">
        <v>4022</v>
      </c>
      <c r="C1812" s="1" t="s">
        <v>4054</v>
      </c>
    </row>
    <row r="1813" spans="1:3" x14ac:dyDescent="0.35">
      <c r="A1813" s="1" t="s">
        <v>4023</v>
      </c>
      <c r="B1813" s="1" t="s">
        <v>4023</v>
      </c>
      <c r="C1813" s="1" t="s">
        <v>4054</v>
      </c>
    </row>
    <row r="1814" spans="1:3" x14ac:dyDescent="0.35">
      <c r="A1814" s="1" t="s">
        <v>4024</v>
      </c>
      <c r="B1814" s="1" t="s">
        <v>4024</v>
      </c>
      <c r="C1814" s="1" t="s">
        <v>4054</v>
      </c>
    </row>
    <row r="1815" spans="1:3" x14ac:dyDescent="0.35">
      <c r="A1815" s="1" t="s">
        <v>4025</v>
      </c>
      <c r="B1815" s="1" t="s">
        <v>4025</v>
      </c>
      <c r="C1815" s="1" t="s">
        <v>4054</v>
      </c>
    </row>
    <row r="1816" spans="1:3" x14ac:dyDescent="0.35">
      <c r="A1816" s="1" t="s">
        <v>4026</v>
      </c>
      <c r="B1816" s="1" t="s">
        <v>4026</v>
      </c>
      <c r="C1816" s="1" t="s">
        <v>4054</v>
      </c>
    </row>
    <row r="1817" spans="1:3" x14ac:dyDescent="0.35">
      <c r="A1817" s="1" t="s">
        <v>4027</v>
      </c>
      <c r="B1817" s="1" t="s">
        <v>4027</v>
      </c>
      <c r="C1817" s="1" t="s">
        <v>4054</v>
      </c>
    </row>
    <row r="1818" spans="1:3" x14ac:dyDescent="0.35">
      <c r="A1818" s="1" t="s">
        <v>4028</v>
      </c>
      <c r="B1818" s="1" t="s">
        <v>4028</v>
      </c>
      <c r="C1818" s="1" t="s">
        <v>4054</v>
      </c>
    </row>
    <row r="1819" spans="1:3" x14ac:dyDescent="0.35">
      <c r="A1819" s="1" t="s">
        <v>4029</v>
      </c>
      <c r="B1819" s="1" t="s">
        <v>4029</v>
      </c>
      <c r="C1819" s="1" t="s">
        <v>4054</v>
      </c>
    </row>
    <row r="1820" spans="1:3" x14ac:dyDescent="0.35">
      <c r="A1820" s="1" t="s">
        <v>4031</v>
      </c>
      <c r="B1820" s="1" t="s">
        <v>4031</v>
      </c>
      <c r="C1820" s="1" t="s">
        <v>4054</v>
      </c>
    </row>
    <row r="1821" spans="1:3" x14ac:dyDescent="0.35">
      <c r="A1821" s="1" t="s">
        <v>4032</v>
      </c>
      <c r="B1821" s="1" t="s">
        <v>4032</v>
      </c>
      <c r="C1821" s="1" t="s">
        <v>4054</v>
      </c>
    </row>
    <row r="1822" spans="1:3" x14ac:dyDescent="0.35">
      <c r="A1822" s="1" t="s">
        <v>4033</v>
      </c>
      <c r="B1822" s="1" t="s">
        <v>4033</v>
      </c>
      <c r="C1822" s="1" t="s">
        <v>4054</v>
      </c>
    </row>
    <row r="1823" spans="1:3" x14ac:dyDescent="0.35">
      <c r="A1823" s="1" t="s">
        <v>4034</v>
      </c>
      <c r="B1823" s="1" t="s">
        <v>4034</v>
      </c>
      <c r="C1823" s="1" t="s">
        <v>4054</v>
      </c>
    </row>
    <row r="1824" spans="1:3" x14ac:dyDescent="0.35">
      <c r="A1824" s="1" t="s">
        <v>4035</v>
      </c>
      <c r="B1824" s="1" t="s">
        <v>4035</v>
      </c>
      <c r="C1824" s="1" t="s">
        <v>4054</v>
      </c>
    </row>
    <row r="1825" spans="1:3" x14ac:dyDescent="0.35">
      <c r="A1825" s="1" t="s">
        <v>4036</v>
      </c>
      <c r="B1825" s="1" t="s">
        <v>4036</v>
      </c>
      <c r="C1825" s="1" t="s">
        <v>4054</v>
      </c>
    </row>
    <row r="1826" spans="1:3" x14ac:dyDescent="0.35">
      <c r="A1826" s="1" t="s">
        <v>4037</v>
      </c>
      <c r="B1826" s="1" t="s">
        <v>4037</v>
      </c>
      <c r="C1826" s="1" t="s">
        <v>4054</v>
      </c>
    </row>
    <row r="1827" spans="1:3" x14ac:dyDescent="0.35">
      <c r="A1827" s="1" t="s">
        <v>4038</v>
      </c>
      <c r="B1827" s="1" t="s">
        <v>4038</v>
      </c>
      <c r="C1827" s="1" t="s">
        <v>4054</v>
      </c>
    </row>
    <row r="1828" spans="1:3" x14ac:dyDescent="0.35">
      <c r="A1828" s="1" t="s">
        <v>4039</v>
      </c>
      <c r="B1828" s="1" t="s">
        <v>4039</v>
      </c>
      <c r="C1828" s="1" t="s">
        <v>4054</v>
      </c>
    </row>
    <row r="1829" spans="1:3" x14ac:dyDescent="0.35">
      <c r="A1829" s="1" t="s">
        <v>4040</v>
      </c>
      <c r="B1829" s="1" t="s">
        <v>4040</v>
      </c>
      <c r="C1829" s="1" t="s">
        <v>4054</v>
      </c>
    </row>
    <row r="1830" spans="1:3" x14ac:dyDescent="0.35">
      <c r="A1830" s="1" t="s">
        <v>4041</v>
      </c>
      <c r="B1830" s="1" t="s">
        <v>4041</v>
      </c>
      <c r="C1830" s="1" t="s">
        <v>4054</v>
      </c>
    </row>
    <row r="1831" spans="1:3" x14ac:dyDescent="0.35">
      <c r="A1831" s="1" t="s">
        <v>4042</v>
      </c>
      <c r="B1831" s="1" t="s">
        <v>4042</v>
      </c>
      <c r="C1831" s="1" t="s">
        <v>4054</v>
      </c>
    </row>
    <row r="1832" spans="1:3" x14ac:dyDescent="0.35">
      <c r="A1832" s="1" t="s">
        <v>4043</v>
      </c>
      <c r="B1832" s="1" t="s">
        <v>4043</v>
      </c>
      <c r="C1832" s="1" t="s">
        <v>4054</v>
      </c>
    </row>
    <row r="1833" spans="1:3" x14ac:dyDescent="0.35">
      <c r="A1833" s="1" t="s">
        <v>4044</v>
      </c>
      <c r="B1833" s="1" t="s">
        <v>4044</v>
      </c>
      <c r="C1833" s="1" t="s">
        <v>4054</v>
      </c>
    </row>
    <row r="1834" spans="1:3" x14ac:dyDescent="0.35">
      <c r="A1834" s="1" t="s">
        <v>4045</v>
      </c>
      <c r="B1834" s="1" t="s">
        <v>4045</v>
      </c>
      <c r="C1834" s="1" t="s">
        <v>4054</v>
      </c>
    </row>
    <row r="1835" spans="1:3" x14ac:dyDescent="0.35">
      <c r="A1835" s="1" t="s">
        <v>4046</v>
      </c>
      <c r="B1835" s="1" t="s">
        <v>4046</v>
      </c>
      <c r="C1835" s="1" t="s">
        <v>4054</v>
      </c>
    </row>
    <row r="1836" spans="1:3" x14ac:dyDescent="0.35">
      <c r="A1836" s="1" t="s">
        <v>4047</v>
      </c>
      <c r="B1836" s="1" t="s">
        <v>4047</v>
      </c>
      <c r="C1836" s="1" t="s">
        <v>4054</v>
      </c>
    </row>
    <row r="1837" spans="1:3" x14ac:dyDescent="0.35">
      <c r="A1837" s="1" t="s">
        <v>4048</v>
      </c>
      <c r="B1837" s="1" t="s">
        <v>4048</v>
      </c>
      <c r="C1837" s="1" t="s">
        <v>4054</v>
      </c>
    </row>
    <row r="1838" spans="1:3" x14ac:dyDescent="0.35">
      <c r="A1838" s="1" t="s">
        <v>4049</v>
      </c>
      <c r="B1838" s="1" t="s">
        <v>4049</v>
      </c>
      <c r="C1838" s="1" t="s">
        <v>4054</v>
      </c>
    </row>
    <row r="1839" spans="1:3" x14ac:dyDescent="0.35">
      <c r="A1839" s="1" t="s">
        <v>4050</v>
      </c>
      <c r="B1839" s="1" t="s">
        <v>4050</v>
      </c>
      <c r="C1839" s="1" t="s">
        <v>4054</v>
      </c>
    </row>
    <row r="1840" spans="1:3" x14ac:dyDescent="0.35">
      <c r="A1840" s="1" t="s">
        <v>4051</v>
      </c>
      <c r="B1840" s="1" t="s">
        <v>4051</v>
      </c>
      <c r="C1840" s="1" t="s">
        <v>4054</v>
      </c>
    </row>
    <row r="1841" spans="1:3" x14ac:dyDescent="0.35">
      <c r="A1841" s="1" t="s">
        <v>4052</v>
      </c>
      <c r="B1841" s="1" t="s">
        <v>4052</v>
      </c>
      <c r="C1841" s="1" t="s">
        <v>4054</v>
      </c>
    </row>
    <row r="1842" spans="1:3" x14ac:dyDescent="0.35">
      <c r="A1842" s="1" t="s">
        <v>4053</v>
      </c>
      <c r="B1842" s="1" t="s">
        <v>4053</v>
      </c>
      <c r="C1842" s="1" t="s">
        <v>4054</v>
      </c>
    </row>
    <row r="1844" spans="1:3" x14ac:dyDescent="0.35">
      <c r="A1844" s="125" t="s">
        <v>6003</v>
      </c>
      <c r="B1844" s="125" t="s">
        <v>4056</v>
      </c>
      <c r="C1844" s="125" t="s">
        <v>4153</v>
      </c>
    </row>
    <row r="1845" spans="1:3" x14ac:dyDescent="0.35">
      <c r="A1845" s="125" t="s">
        <v>6004</v>
      </c>
      <c r="B1845" s="125" t="s">
        <v>4058</v>
      </c>
      <c r="C1845" s="125" t="s">
        <v>4154</v>
      </c>
    </row>
    <row r="1846" spans="1:3" x14ac:dyDescent="0.35">
      <c r="A1846" s="125" t="s">
        <v>6005</v>
      </c>
      <c r="B1846" s="125" t="s">
        <v>4059</v>
      </c>
      <c r="C1846" s="125" t="s">
        <v>4155</v>
      </c>
    </row>
    <row r="1847" spans="1:3" x14ac:dyDescent="0.35">
      <c r="A1847" s="125" t="s">
        <v>6006</v>
      </c>
      <c r="B1847" s="125" t="s">
        <v>4060</v>
      </c>
      <c r="C1847" s="125" t="s">
        <v>4156</v>
      </c>
    </row>
    <row r="1848" spans="1:3" x14ac:dyDescent="0.35">
      <c r="A1848" s="125" t="s">
        <v>6007</v>
      </c>
      <c r="B1848" s="125" t="s">
        <v>4061</v>
      </c>
      <c r="C1848" s="125" t="s">
        <v>4157</v>
      </c>
    </row>
    <row r="1849" spans="1:3" x14ac:dyDescent="0.35">
      <c r="A1849" s="125" t="s">
        <v>6008</v>
      </c>
      <c r="B1849" s="125" t="s">
        <v>4062</v>
      </c>
      <c r="C1849" s="125" t="s">
        <v>4158</v>
      </c>
    </row>
    <row r="1850" spans="1:3" x14ac:dyDescent="0.35">
      <c r="A1850" s="125" t="s">
        <v>6009</v>
      </c>
      <c r="B1850" s="125" t="s">
        <v>4063</v>
      </c>
      <c r="C1850" s="125" t="s">
        <v>4159</v>
      </c>
    </row>
    <row r="1851" spans="1:3" x14ac:dyDescent="0.35">
      <c r="A1851" s="125" t="s">
        <v>6010</v>
      </c>
      <c r="B1851" s="125" t="s">
        <v>4064</v>
      </c>
      <c r="C1851" s="125" t="s">
        <v>4160</v>
      </c>
    </row>
    <row r="1852" spans="1:3" x14ac:dyDescent="0.35">
      <c r="A1852" s="125" t="s">
        <v>6011</v>
      </c>
      <c r="B1852" s="125" t="s">
        <v>4065</v>
      </c>
      <c r="C1852" s="125" t="s">
        <v>4161</v>
      </c>
    </row>
    <row r="1853" spans="1:3" x14ac:dyDescent="0.35">
      <c r="A1853" s="125" t="s">
        <v>6012</v>
      </c>
      <c r="B1853" s="125" t="s">
        <v>4066</v>
      </c>
      <c r="C1853" s="125" t="s">
        <v>4162</v>
      </c>
    </row>
    <row r="1854" spans="1:3" x14ac:dyDescent="0.35">
      <c r="A1854" s="125" t="s">
        <v>6013</v>
      </c>
      <c r="B1854" s="125" t="s">
        <v>4067</v>
      </c>
      <c r="C1854" s="125" t="s">
        <v>4163</v>
      </c>
    </row>
    <row r="1855" spans="1:3" x14ac:dyDescent="0.35">
      <c r="A1855" s="125" t="s">
        <v>6014</v>
      </c>
      <c r="B1855" s="125" t="s">
        <v>4068</v>
      </c>
      <c r="C1855" s="125" t="s">
        <v>4164</v>
      </c>
    </row>
    <row r="1856" spans="1:3" x14ac:dyDescent="0.35">
      <c r="A1856" s="125" t="s">
        <v>6015</v>
      </c>
      <c r="B1856" s="125" t="s">
        <v>4069</v>
      </c>
      <c r="C1856" s="125" t="s">
        <v>4165</v>
      </c>
    </row>
    <row r="1857" spans="1:3" x14ac:dyDescent="0.35">
      <c r="A1857" s="125" t="s">
        <v>6016</v>
      </c>
      <c r="B1857" s="125" t="s">
        <v>4070</v>
      </c>
      <c r="C1857" s="125" t="s">
        <v>4166</v>
      </c>
    </row>
    <row r="1858" spans="1:3" x14ac:dyDescent="0.35">
      <c r="A1858" s="125" t="s">
        <v>6017</v>
      </c>
      <c r="B1858" s="125" t="s">
        <v>4071</v>
      </c>
      <c r="C1858" s="125" t="s">
        <v>4167</v>
      </c>
    </row>
    <row r="1859" spans="1:3" x14ac:dyDescent="0.35">
      <c r="A1859" s="125" t="s">
        <v>6018</v>
      </c>
      <c r="B1859" s="125" t="s">
        <v>4072</v>
      </c>
      <c r="C1859" s="125" t="s">
        <v>4168</v>
      </c>
    </row>
    <row r="1860" spans="1:3" x14ac:dyDescent="0.35">
      <c r="A1860" s="125" t="s">
        <v>6019</v>
      </c>
      <c r="B1860" s="125" t="s">
        <v>4073</v>
      </c>
      <c r="C1860" s="125" t="s">
        <v>4169</v>
      </c>
    </row>
    <row r="1861" spans="1:3" x14ac:dyDescent="0.35">
      <c r="A1861" s="125" t="s">
        <v>6020</v>
      </c>
      <c r="B1861" s="125" t="s">
        <v>4074</v>
      </c>
      <c r="C1861" s="125" t="s">
        <v>4170</v>
      </c>
    </row>
    <row r="1862" spans="1:3" x14ac:dyDescent="0.35">
      <c r="A1862" s="125" t="s">
        <v>6021</v>
      </c>
      <c r="B1862" s="125" t="s">
        <v>4075</v>
      </c>
      <c r="C1862" s="125" t="s">
        <v>4171</v>
      </c>
    </row>
    <row r="1863" spans="1:3" x14ac:dyDescent="0.35">
      <c r="A1863" s="125" t="s">
        <v>6022</v>
      </c>
      <c r="B1863" s="125" t="s">
        <v>4076</v>
      </c>
      <c r="C1863" s="125" t="s">
        <v>4172</v>
      </c>
    </row>
    <row r="1864" spans="1:3" x14ac:dyDescent="0.35">
      <c r="A1864" s="125" t="s">
        <v>6023</v>
      </c>
      <c r="B1864" s="125" t="s">
        <v>4077</v>
      </c>
      <c r="C1864" s="125" t="s">
        <v>4173</v>
      </c>
    </row>
    <row r="1865" spans="1:3" x14ac:dyDescent="0.35">
      <c r="A1865" s="125" t="s">
        <v>6024</v>
      </c>
      <c r="B1865" s="125" t="s">
        <v>4078</v>
      </c>
      <c r="C1865" s="125" t="s">
        <v>4174</v>
      </c>
    </row>
    <row r="1866" spans="1:3" x14ac:dyDescent="0.35">
      <c r="A1866" s="125" t="s">
        <v>6025</v>
      </c>
      <c r="B1866" s="125" t="s">
        <v>4079</v>
      </c>
      <c r="C1866" s="125" t="s">
        <v>4175</v>
      </c>
    </row>
    <row r="1867" spans="1:3" x14ac:dyDescent="0.35">
      <c r="A1867" s="125" t="s">
        <v>6026</v>
      </c>
      <c r="B1867" s="125" t="s">
        <v>4080</v>
      </c>
      <c r="C1867" s="125" t="s">
        <v>4176</v>
      </c>
    </row>
    <row r="1868" spans="1:3" x14ac:dyDescent="0.35">
      <c r="A1868" s="125" t="s">
        <v>6027</v>
      </c>
      <c r="B1868" s="125" t="s">
        <v>4081</v>
      </c>
      <c r="C1868" s="125" t="s">
        <v>4177</v>
      </c>
    </row>
    <row r="1869" spans="1:3" x14ac:dyDescent="0.35">
      <c r="A1869" s="125" t="s">
        <v>6028</v>
      </c>
      <c r="B1869" s="125" t="s">
        <v>4082</v>
      </c>
      <c r="C1869" s="125" t="s">
        <v>4178</v>
      </c>
    </row>
    <row r="1870" spans="1:3" x14ac:dyDescent="0.35">
      <c r="A1870" s="125" t="s">
        <v>6029</v>
      </c>
      <c r="B1870" s="125" t="s">
        <v>4083</v>
      </c>
      <c r="C1870" s="125" t="s">
        <v>4179</v>
      </c>
    </row>
    <row r="1871" spans="1:3" x14ac:dyDescent="0.35">
      <c r="A1871" s="125" t="s">
        <v>6030</v>
      </c>
      <c r="B1871" s="125" t="s">
        <v>4084</v>
      </c>
      <c r="C1871" s="125" t="s">
        <v>4180</v>
      </c>
    </row>
    <row r="1872" spans="1:3" x14ac:dyDescent="0.35">
      <c r="A1872" s="125" t="s">
        <v>6031</v>
      </c>
      <c r="B1872" s="125" t="s">
        <v>4085</v>
      </c>
      <c r="C1872" s="125" t="s">
        <v>4181</v>
      </c>
    </row>
    <row r="1873" spans="1:3" x14ac:dyDescent="0.35">
      <c r="A1873" s="125" t="s">
        <v>6032</v>
      </c>
      <c r="B1873" s="125" t="s">
        <v>4086</v>
      </c>
      <c r="C1873" s="125" t="s">
        <v>4182</v>
      </c>
    </row>
    <row r="1874" spans="1:3" x14ac:dyDescent="0.35">
      <c r="A1874" s="125" t="s">
        <v>6033</v>
      </c>
      <c r="B1874" s="125" t="s">
        <v>4087</v>
      </c>
      <c r="C1874" s="125" t="s">
        <v>4183</v>
      </c>
    </row>
    <row r="1875" spans="1:3" x14ac:dyDescent="0.35">
      <c r="A1875" s="125" t="s">
        <v>6034</v>
      </c>
      <c r="B1875" s="125" t="s">
        <v>4088</v>
      </c>
      <c r="C1875" s="125" t="s">
        <v>4184</v>
      </c>
    </row>
    <row r="1876" spans="1:3" x14ac:dyDescent="0.35">
      <c r="A1876" s="125" t="s">
        <v>6035</v>
      </c>
      <c r="B1876" s="125" t="s">
        <v>4089</v>
      </c>
      <c r="C1876" s="125" t="s">
        <v>4185</v>
      </c>
    </row>
    <row r="1877" spans="1:3" x14ac:dyDescent="0.35">
      <c r="A1877" s="125" t="s">
        <v>6036</v>
      </c>
      <c r="B1877" s="125" t="s">
        <v>4090</v>
      </c>
      <c r="C1877" s="125" t="s">
        <v>4186</v>
      </c>
    </row>
    <row r="1878" spans="1:3" x14ac:dyDescent="0.35">
      <c r="A1878" s="125" t="s">
        <v>6037</v>
      </c>
      <c r="B1878" s="125" t="s">
        <v>4091</v>
      </c>
      <c r="C1878" s="125" t="s">
        <v>4187</v>
      </c>
    </row>
    <row r="1879" spans="1:3" x14ac:dyDescent="0.35">
      <c r="A1879" s="125" t="s">
        <v>6038</v>
      </c>
      <c r="B1879" s="125" t="s">
        <v>4092</v>
      </c>
      <c r="C1879" s="125" t="s">
        <v>4188</v>
      </c>
    </row>
    <row r="1880" spans="1:3" x14ac:dyDescent="0.35">
      <c r="A1880" s="125" t="s">
        <v>6039</v>
      </c>
      <c r="B1880" s="125" t="s">
        <v>4093</v>
      </c>
      <c r="C1880" s="125" t="s">
        <v>4189</v>
      </c>
    </row>
    <row r="1881" spans="1:3" x14ac:dyDescent="0.35">
      <c r="A1881" s="125" t="s">
        <v>6040</v>
      </c>
      <c r="B1881" s="125" t="s">
        <v>4094</v>
      </c>
      <c r="C1881" s="125" t="s">
        <v>4190</v>
      </c>
    </row>
    <row r="1882" spans="1:3" x14ac:dyDescent="0.35">
      <c r="A1882" s="125" t="s">
        <v>6041</v>
      </c>
      <c r="B1882" s="125" t="s">
        <v>4095</v>
      </c>
      <c r="C1882" s="125" t="s">
        <v>4191</v>
      </c>
    </row>
    <row r="1883" spans="1:3" x14ac:dyDescent="0.35">
      <c r="A1883" s="125" t="s">
        <v>6042</v>
      </c>
      <c r="B1883" s="125" t="s">
        <v>4096</v>
      </c>
      <c r="C1883" s="125" t="s">
        <v>4192</v>
      </c>
    </row>
    <row r="1884" spans="1:3" x14ac:dyDescent="0.35">
      <c r="A1884" s="125" t="s">
        <v>6043</v>
      </c>
      <c r="B1884" s="125" t="s">
        <v>4097</v>
      </c>
      <c r="C1884" s="125" t="s">
        <v>4193</v>
      </c>
    </row>
    <row r="1885" spans="1:3" x14ac:dyDescent="0.35">
      <c r="A1885" s="125" t="s">
        <v>6044</v>
      </c>
      <c r="B1885" s="125" t="s">
        <v>4098</v>
      </c>
      <c r="C1885" s="125" t="s">
        <v>4194</v>
      </c>
    </row>
    <row r="1886" spans="1:3" x14ac:dyDescent="0.35">
      <c r="A1886" s="125" t="s">
        <v>6045</v>
      </c>
      <c r="B1886" s="125" t="s">
        <v>4099</v>
      </c>
      <c r="C1886" s="125" t="s">
        <v>4195</v>
      </c>
    </row>
    <row r="1887" spans="1:3" x14ac:dyDescent="0.35">
      <c r="A1887" s="125" t="s">
        <v>6046</v>
      </c>
      <c r="B1887" s="125" t="s">
        <v>4100</v>
      </c>
      <c r="C1887" s="125" t="s">
        <v>4196</v>
      </c>
    </row>
    <row r="1888" spans="1:3" x14ac:dyDescent="0.35">
      <c r="A1888" s="125" t="s">
        <v>6047</v>
      </c>
      <c r="B1888" s="125" t="s">
        <v>4101</v>
      </c>
      <c r="C1888" s="125" t="s">
        <v>4197</v>
      </c>
    </row>
    <row r="1889" spans="1:3" x14ac:dyDescent="0.35">
      <c r="A1889" s="125" t="s">
        <v>6048</v>
      </c>
      <c r="B1889" s="125" t="s">
        <v>4102</v>
      </c>
      <c r="C1889" s="125" t="s">
        <v>4198</v>
      </c>
    </row>
    <row r="1890" spans="1:3" x14ac:dyDescent="0.35">
      <c r="A1890" s="125" t="s">
        <v>6049</v>
      </c>
      <c r="B1890" s="125" t="s">
        <v>4103</v>
      </c>
      <c r="C1890" s="125" t="s">
        <v>4199</v>
      </c>
    </row>
    <row r="1891" spans="1:3" x14ac:dyDescent="0.35">
      <c r="A1891" s="125" t="s">
        <v>6050</v>
      </c>
      <c r="B1891" s="125" t="s">
        <v>4104</v>
      </c>
      <c r="C1891" s="125" t="s">
        <v>4200</v>
      </c>
    </row>
    <row r="1892" spans="1:3" x14ac:dyDescent="0.35">
      <c r="A1892" s="125" t="s">
        <v>6051</v>
      </c>
      <c r="B1892" s="125" t="s">
        <v>4105</v>
      </c>
      <c r="C1892" s="125" t="s">
        <v>4201</v>
      </c>
    </row>
    <row r="1893" spans="1:3" x14ac:dyDescent="0.35">
      <c r="A1893" s="125" t="s">
        <v>6052</v>
      </c>
      <c r="B1893" s="125" t="s">
        <v>4106</v>
      </c>
      <c r="C1893" s="125" t="s">
        <v>4202</v>
      </c>
    </row>
    <row r="1894" spans="1:3" x14ac:dyDescent="0.35">
      <c r="A1894" s="125" t="s">
        <v>6053</v>
      </c>
      <c r="B1894" s="125" t="s">
        <v>4107</v>
      </c>
      <c r="C1894" s="125" t="s">
        <v>4203</v>
      </c>
    </row>
    <row r="1895" spans="1:3" x14ac:dyDescent="0.35">
      <c r="A1895" s="125" t="s">
        <v>6054</v>
      </c>
      <c r="B1895" s="125" t="s">
        <v>4108</v>
      </c>
      <c r="C1895" s="125" t="s">
        <v>4204</v>
      </c>
    </row>
    <row r="1896" spans="1:3" x14ac:dyDescent="0.35">
      <c r="A1896" s="125" t="s">
        <v>6055</v>
      </c>
      <c r="B1896" s="125" t="s">
        <v>4109</v>
      </c>
      <c r="C1896" s="125" t="s">
        <v>4205</v>
      </c>
    </row>
    <row r="1897" spans="1:3" x14ac:dyDescent="0.35">
      <c r="A1897" s="125" t="s">
        <v>6056</v>
      </c>
      <c r="B1897" s="125" t="s">
        <v>4110</v>
      </c>
      <c r="C1897" s="125" t="s">
        <v>4206</v>
      </c>
    </row>
    <row r="1898" spans="1:3" x14ac:dyDescent="0.35">
      <c r="A1898" s="125" t="s">
        <v>6057</v>
      </c>
      <c r="B1898" s="125" t="s">
        <v>4111</v>
      </c>
      <c r="C1898" s="125" t="s">
        <v>4207</v>
      </c>
    </row>
    <row r="1899" spans="1:3" x14ac:dyDescent="0.35">
      <c r="A1899" s="125" t="s">
        <v>6058</v>
      </c>
      <c r="B1899" s="125" t="s">
        <v>4112</v>
      </c>
      <c r="C1899" s="125" t="s">
        <v>4208</v>
      </c>
    </row>
    <row r="1900" spans="1:3" x14ac:dyDescent="0.35">
      <c r="A1900" s="125" t="s">
        <v>6059</v>
      </c>
      <c r="B1900" s="125" t="s">
        <v>4113</v>
      </c>
      <c r="C1900" s="125" t="s">
        <v>4209</v>
      </c>
    </row>
    <row r="1901" spans="1:3" x14ac:dyDescent="0.35">
      <c r="A1901" s="125" t="s">
        <v>6060</v>
      </c>
      <c r="B1901" s="125" t="s">
        <v>4114</v>
      </c>
      <c r="C1901" s="125" t="s">
        <v>4210</v>
      </c>
    </row>
    <row r="1902" spans="1:3" x14ac:dyDescent="0.35">
      <c r="A1902" s="125" t="s">
        <v>6061</v>
      </c>
      <c r="B1902" s="125" t="s">
        <v>4115</v>
      </c>
      <c r="C1902" s="125" t="s">
        <v>4211</v>
      </c>
    </row>
    <row r="1903" spans="1:3" x14ac:dyDescent="0.35">
      <c r="A1903" s="125" t="s">
        <v>6062</v>
      </c>
      <c r="B1903" s="125" t="s">
        <v>4116</v>
      </c>
      <c r="C1903" s="125" t="s">
        <v>4212</v>
      </c>
    </row>
    <row r="1904" spans="1:3" x14ac:dyDescent="0.35">
      <c r="A1904" s="125" t="s">
        <v>6063</v>
      </c>
      <c r="B1904" s="125" t="s">
        <v>4117</v>
      </c>
      <c r="C1904" s="125" t="s">
        <v>4213</v>
      </c>
    </row>
    <row r="1905" spans="1:3" x14ac:dyDescent="0.35">
      <c r="A1905" s="125" t="s">
        <v>6064</v>
      </c>
      <c r="B1905" s="125" t="s">
        <v>4118</v>
      </c>
      <c r="C1905" s="125" t="s">
        <v>4214</v>
      </c>
    </row>
    <row r="1906" spans="1:3" x14ac:dyDescent="0.35">
      <c r="A1906" s="125" t="s">
        <v>6065</v>
      </c>
      <c r="B1906" s="125" t="s">
        <v>4119</v>
      </c>
      <c r="C1906" s="125" t="s">
        <v>4215</v>
      </c>
    </row>
    <row r="1907" spans="1:3" x14ac:dyDescent="0.35">
      <c r="A1907" s="125" t="s">
        <v>6066</v>
      </c>
      <c r="B1907" s="125" t="s">
        <v>4120</v>
      </c>
      <c r="C1907" s="125" t="s">
        <v>4216</v>
      </c>
    </row>
    <row r="1908" spans="1:3" x14ac:dyDescent="0.35">
      <c r="A1908" s="125" t="s">
        <v>6067</v>
      </c>
      <c r="B1908" s="125" t="s">
        <v>4121</v>
      </c>
      <c r="C1908" s="125" t="s">
        <v>4217</v>
      </c>
    </row>
    <row r="1909" spans="1:3" x14ac:dyDescent="0.35">
      <c r="A1909" s="125" t="s">
        <v>6068</v>
      </c>
      <c r="B1909" s="125" t="s">
        <v>4122</v>
      </c>
      <c r="C1909" s="125" t="s">
        <v>4218</v>
      </c>
    </row>
    <row r="1910" spans="1:3" x14ac:dyDescent="0.35">
      <c r="A1910" s="125" t="s">
        <v>6069</v>
      </c>
      <c r="B1910" s="125" t="s">
        <v>4123</v>
      </c>
      <c r="C1910" s="125" t="s">
        <v>4219</v>
      </c>
    </row>
    <row r="1911" spans="1:3" x14ac:dyDescent="0.35">
      <c r="A1911" s="125" t="s">
        <v>6070</v>
      </c>
      <c r="B1911" s="125" t="s">
        <v>4124</v>
      </c>
      <c r="C1911" s="125" t="s">
        <v>4220</v>
      </c>
    </row>
    <row r="1912" spans="1:3" x14ac:dyDescent="0.35">
      <c r="A1912" s="125" t="s">
        <v>6071</v>
      </c>
      <c r="B1912" s="125" t="s">
        <v>4125</v>
      </c>
      <c r="C1912" s="125" t="s">
        <v>4221</v>
      </c>
    </row>
    <row r="1913" spans="1:3" x14ac:dyDescent="0.35">
      <c r="A1913" s="125" t="s">
        <v>6072</v>
      </c>
      <c r="B1913" s="125" t="s">
        <v>4126</v>
      </c>
      <c r="C1913" s="125" t="s">
        <v>4222</v>
      </c>
    </row>
    <row r="1914" spans="1:3" x14ac:dyDescent="0.35">
      <c r="A1914" s="125" t="s">
        <v>6073</v>
      </c>
      <c r="B1914" s="125" t="s">
        <v>4127</v>
      </c>
      <c r="C1914" s="125" t="s">
        <v>4223</v>
      </c>
    </row>
    <row r="1915" spans="1:3" x14ac:dyDescent="0.35">
      <c r="A1915" s="125" t="s">
        <v>6074</v>
      </c>
      <c r="B1915" s="125" t="s">
        <v>4128</v>
      </c>
      <c r="C1915" s="125" t="s">
        <v>4224</v>
      </c>
    </row>
    <row r="1916" spans="1:3" x14ac:dyDescent="0.35">
      <c r="A1916" s="125" t="s">
        <v>6075</v>
      </c>
      <c r="B1916" s="125" t="s">
        <v>4129</v>
      </c>
      <c r="C1916" s="125" t="s">
        <v>4225</v>
      </c>
    </row>
    <row r="1917" spans="1:3" x14ac:dyDescent="0.35">
      <c r="A1917" s="125" t="s">
        <v>6076</v>
      </c>
      <c r="B1917" s="125" t="s">
        <v>4130</v>
      </c>
      <c r="C1917" s="125" t="s">
        <v>4226</v>
      </c>
    </row>
    <row r="1918" spans="1:3" x14ac:dyDescent="0.35">
      <c r="A1918" s="125" t="s">
        <v>6077</v>
      </c>
      <c r="B1918" s="125" t="s">
        <v>4131</v>
      </c>
      <c r="C1918" s="125" t="s">
        <v>4227</v>
      </c>
    </row>
    <row r="1919" spans="1:3" x14ac:dyDescent="0.35">
      <c r="A1919" s="125" t="s">
        <v>6078</v>
      </c>
      <c r="B1919" s="125" t="s">
        <v>4132</v>
      </c>
      <c r="C1919" s="125" t="s">
        <v>4228</v>
      </c>
    </row>
    <row r="1920" spans="1:3" x14ac:dyDescent="0.35">
      <c r="A1920" s="125" t="s">
        <v>6079</v>
      </c>
      <c r="B1920" s="125" t="s">
        <v>4133</v>
      </c>
      <c r="C1920" s="125" t="s">
        <v>4229</v>
      </c>
    </row>
    <row r="1921" spans="1:3" x14ac:dyDescent="0.35">
      <c r="A1921" s="125" t="s">
        <v>6080</v>
      </c>
      <c r="B1921" s="125" t="s">
        <v>4134</v>
      </c>
      <c r="C1921" s="125" t="s">
        <v>4230</v>
      </c>
    </row>
    <row r="1922" spans="1:3" x14ac:dyDescent="0.35">
      <c r="A1922" s="125" t="s">
        <v>6081</v>
      </c>
      <c r="B1922" s="125" t="s">
        <v>4135</v>
      </c>
      <c r="C1922" s="125" t="s">
        <v>4231</v>
      </c>
    </row>
    <row r="1923" spans="1:3" x14ac:dyDescent="0.35">
      <c r="A1923" s="125" t="s">
        <v>6082</v>
      </c>
      <c r="B1923" s="125" t="s">
        <v>4136</v>
      </c>
      <c r="C1923" s="125" t="s">
        <v>4232</v>
      </c>
    </row>
    <row r="1924" spans="1:3" x14ac:dyDescent="0.35">
      <c r="A1924" s="125" t="s">
        <v>6083</v>
      </c>
      <c r="B1924" s="125" t="s">
        <v>4137</v>
      </c>
      <c r="C1924" s="125" t="s">
        <v>4233</v>
      </c>
    </row>
    <row r="1925" spans="1:3" x14ac:dyDescent="0.35">
      <c r="A1925" s="125" t="s">
        <v>6084</v>
      </c>
      <c r="B1925" s="125" t="s">
        <v>4138</v>
      </c>
      <c r="C1925" s="125" t="s">
        <v>4234</v>
      </c>
    </row>
    <row r="1926" spans="1:3" x14ac:dyDescent="0.35">
      <c r="A1926" s="125" t="s">
        <v>6085</v>
      </c>
      <c r="B1926" s="125" t="s">
        <v>4139</v>
      </c>
      <c r="C1926" s="125" t="s">
        <v>4235</v>
      </c>
    </row>
    <row r="1927" spans="1:3" x14ac:dyDescent="0.35">
      <c r="A1927" s="125" t="s">
        <v>6086</v>
      </c>
      <c r="B1927" s="125" t="s">
        <v>4140</v>
      </c>
      <c r="C1927" s="125" t="s">
        <v>4236</v>
      </c>
    </row>
    <row r="1928" spans="1:3" x14ac:dyDescent="0.35">
      <c r="A1928" s="125" t="s">
        <v>6087</v>
      </c>
      <c r="B1928" s="125" t="s">
        <v>4141</v>
      </c>
      <c r="C1928" s="125" t="s">
        <v>4237</v>
      </c>
    </row>
    <row r="1929" spans="1:3" x14ac:dyDescent="0.35">
      <c r="A1929" s="125" t="s">
        <v>6088</v>
      </c>
      <c r="B1929" s="125" t="s">
        <v>4142</v>
      </c>
      <c r="C1929" s="125" t="s">
        <v>4238</v>
      </c>
    </row>
    <row r="1930" spans="1:3" x14ac:dyDescent="0.35">
      <c r="A1930" s="125" t="s">
        <v>6089</v>
      </c>
      <c r="B1930" s="125" t="s">
        <v>4143</v>
      </c>
      <c r="C1930" s="125" t="s">
        <v>4239</v>
      </c>
    </row>
    <row r="1931" spans="1:3" x14ac:dyDescent="0.35">
      <c r="A1931" s="125" t="s">
        <v>6090</v>
      </c>
      <c r="B1931" s="125" t="s">
        <v>4144</v>
      </c>
      <c r="C1931" s="125" t="s">
        <v>4240</v>
      </c>
    </row>
    <row r="1932" spans="1:3" x14ac:dyDescent="0.35">
      <c r="A1932" s="125" t="s">
        <v>6091</v>
      </c>
      <c r="B1932" s="125" t="s">
        <v>4145</v>
      </c>
      <c r="C1932" s="125" t="s">
        <v>4241</v>
      </c>
    </row>
    <row r="1933" spans="1:3" x14ac:dyDescent="0.35">
      <c r="A1933" s="125" t="s">
        <v>6092</v>
      </c>
      <c r="B1933" s="125" t="s">
        <v>4146</v>
      </c>
      <c r="C1933" s="125" t="s">
        <v>4242</v>
      </c>
    </row>
    <row r="1934" spans="1:3" x14ac:dyDescent="0.35">
      <c r="A1934" s="125" t="s">
        <v>6093</v>
      </c>
      <c r="B1934" s="125" t="s">
        <v>4147</v>
      </c>
      <c r="C1934" s="125" t="s">
        <v>4243</v>
      </c>
    </row>
    <row r="1935" spans="1:3" x14ac:dyDescent="0.35">
      <c r="A1935" s="125" t="s">
        <v>6094</v>
      </c>
      <c r="B1935" s="125" t="s">
        <v>4148</v>
      </c>
      <c r="C1935" s="125" t="s">
        <v>4244</v>
      </c>
    </row>
    <row r="1936" spans="1:3" x14ac:dyDescent="0.35">
      <c r="A1936" s="125" t="s">
        <v>6095</v>
      </c>
      <c r="B1936" s="125" t="s">
        <v>4149</v>
      </c>
      <c r="C1936" s="125" t="s">
        <v>4245</v>
      </c>
    </row>
    <row r="1937" spans="1:3" x14ac:dyDescent="0.35">
      <c r="A1937" s="125" t="s">
        <v>6096</v>
      </c>
      <c r="B1937" s="125" t="s">
        <v>4150</v>
      </c>
      <c r="C1937" s="125" t="s">
        <v>4246</v>
      </c>
    </row>
    <row r="1938" spans="1:3" x14ac:dyDescent="0.35">
      <c r="A1938" s="125" t="s">
        <v>6097</v>
      </c>
      <c r="B1938" s="125" t="s">
        <v>4151</v>
      </c>
      <c r="C1938" s="125" t="s">
        <v>4247</v>
      </c>
    </row>
    <row r="1939" spans="1:3" x14ac:dyDescent="0.35">
      <c r="A1939" s="125" t="s">
        <v>6098</v>
      </c>
      <c r="B1939" s="125" t="s">
        <v>4152</v>
      </c>
      <c r="C1939" s="125" t="s">
        <v>4248</v>
      </c>
    </row>
    <row r="1941" spans="1:3" x14ac:dyDescent="0.35">
      <c r="A1941" s="40" t="s">
        <v>6099</v>
      </c>
      <c r="B1941" s="40" t="s">
        <v>4249</v>
      </c>
      <c r="C1941" s="40" t="s">
        <v>4321</v>
      </c>
    </row>
    <row r="1942" spans="1:3" x14ac:dyDescent="0.35">
      <c r="A1942" s="40" t="s">
        <v>6100</v>
      </c>
      <c r="B1942" s="40" t="s">
        <v>4252</v>
      </c>
      <c r="C1942" s="40" t="s">
        <v>4322</v>
      </c>
    </row>
    <row r="1943" spans="1:3" x14ac:dyDescent="0.35">
      <c r="A1943" s="40" t="s">
        <v>6101</v>
      </c>
      <c r="B1943" s="40" t="s">
        <v>4254</v>
      </c>
      <c r="C1943" s="40" t="s">
        <v>4323</v>
      </c>
    </row>
    <row r="1944" spans="1:3" x14ac:dyDescent="0.35">
      <c r="A1944" s="40" t="s">
        <v>6102</v>
      </c>
      <c r="B1944" s="40" t="s">
        <v>4256</v>
      </c>
      <c r="C1944" s="40" t="s">
        <v>4324</v>
      </c>
    </row>
    <row r="1945" spans="1:3" x14ac:dyDescent="0.35">
      <c r="A1945" s="40" t="s">
        <v>6103</v>
      </c>
      <c r="B1945" s="40" t="s">
        <v>4258</v>
      </c>
      <c r="C1945" s="40" t="s">
        <v>4325</v>
      </c>
    </row>
    <row r="1946" spans="1:3" x14ac:dyDescent="0.35">
      <c r="A1946" s="40" t="s">
        <v>6104</v>
      </c>
      <c r="B1946" s="40" t="s">
        <v>4260</v>
      </c>
      <c r="C1946" s="40" t="s">
        <v>4326</v>
      </c>
    </row>
    <row r="1947" spans="1:3" x14ac:dyDescent="0.35">
      <c r="A1947" s="40" t="s">
        <v>6105</v>
      </c>
      <c r="B1947" s="40" t="s">
        <v>4262</v>
      </c>
      <c r="C1947" s="40" t="s">
        <v>4327</v>
      </c>
    </row>
    <row r="1948" spans="1:3" x14ac:dyDescent="0.35">
      <c r="A1948" s="40" t="s">
        <v>6106</v>
      </c>
      <c r="B1948" s="40" t="s">
        <v>4264</v>
      </c>
      <c r="C1948" s="40" t="s">
        <v>4328</v>
      </c>
    </row>
    <row r="1949" spans="1:3" x14ac:dyDescent="0.35">
      <c r="A1949" s="40" t="s">
        <v>6107</v>
      </c>
      <c r="B1949" s="40" t="s">
        <v>4266</v>
      </c>
      <c r="C1949" s="40" t="s">
        <v>4329</v>
      </c>
    </row>
    <row r="1950" spans="1:3" x14ac:dyDescent="0.35">
      <c r="A1950" s="40" t="s">
        <v>6108</v>
      </c>
      <c r="B1950" s="40" t="s">
        <v>4267</v>
      </c>
      <c r="C1950" s="40" t="s">
        <v>4330</v>
      </c>
    </row>
    <row r="1951" spans="1:3" x14ac:dyDescent="0.35">
      <c r="A1951" s="40" t="s">
        <v>6109</v>
      </c>
      <c r="B1951" s="40" t="s">
        <v>4269</v>
      </c>
      <c r="C1951" s="40" t="s">
        <v>4331</v>
      </c>
    </row>
    <row r="1952" spans="1:3" x14ac:dyDescent="0.35">
      <c r="A1952" s="40" t="s">
        <v>6110</v>
      </c>
      <c r="B1952" s="40" t="s">
        <v>4271</v>
      </c>
      <c r="C1952" s="40" t="s">
        <v>4332</v>
      </c>
    </row>
    <row r="1953" spans="1:3" x14ac:dyDescent="0.35">
      <c r="A1953" s="40" t="s">
        <v>6111</v>
      </c>
      <c r="B1953" s="40" t="s">
        <v>4273</v>
      </c>
      <c r="C1953" s="40" t="s">
        <v>4333</v>
      </c>
    </row>
    <row r="1954" spans="1:3" x14ac:dyDescent="0.35">
      <c r="A1954" s="40" t="s">
        <v>6112</v>
      </c>
      <c r="B1954" s="40" t="s">
        <v>4275</v>
      </c>
      <c r="C1954" s="40" t="s">
        <v>4334</v>
      </c>
    </row>
    <row r="1955" spans="1:3" x14ac:dyDescent="0.35">
      <c r="A1955" s="40" t="s">
        <v>6113</v>
      </c>
      <c r="B1955" s="40" t="s">
        <v>4277</v>
      </c>
      <c r="C1955" s="40" t="s">
        <v>4335</v>
      </c>
    </row>
    <row r="1956" spans="1:3" x14ac:dyDescent="0.35">
      <c r="A1956" s="40" t="s">
        <v>6114</v>
      </c>
      <c r="B1956" s="40" t="s">
        <v>4279</v>
      </c>
      <c r="C1956" s="40" t="s">
        <v>4336</v>
      </c>
    </row>
    <row r="1957" spans="1:3" x14ac:dyDescent="0.35">
      <c r="A1957" s="40" t="s">
        <v>6115</v>
      </c>
      <c r="B1957" s="40" t="s">
        <v>4281</v>
      </c>
      <c r="C1957" s="40" t="s">
        <v>4337</v>
      </c>
    </row>
    <row r="1958" spans="1:3" x14ac:dyDescent="0.35">
      <c r="A1958" s="40" t="s">
        <v>6116</v>
      </c>
      <c r="B1958" s="40" t="s">
        <v>4283</v>
      </c>
      <c r="C1958" s="40" t="s">
        <v>4338</v>
      </c>
    </row>
    <row r="1959" spans="1:3" x14ac:dyDescent="0.35">
      <c r="A1959" s="40" t="s">
        <v>6117</v>
      </c>
      <c r="B1959" s="40" t="s">
        <v>4285</v>
      </c>
      <c r="C1959" s="40" t="s">
        <v>4339</v>
      </c>
    </row>
    <row r="1960" spans="1:3" x14ac:dyDescent="0.35">
      <c r="A1960" s="40" t="s">
        <v>6118</v>
      </c>
      <c r="B1960" s="40" t="s">
        <v>4287</v>
      </c>
      <c r="C1960" s="40" t="s">
        <v>4340</v>
      </c>
    </row>
    <row r="1961" spans="1:3" x14ac:dyDescent="0.35">
      <c r="A1961" s="40" t="s">
        <v>6119</v>
      </c>
      <c r="B1961" s="40" t="s">
        <v>4289</v>
      </c>
      <c r="C1961" s="40" t="s">
        <v>4341</v>
      </c>
    </row>
    <row r="1962" spans="1:3" x14ac:dyDescent="0.35">
      <c r="A1962" s="40" t="s">
        <v>6120</v>
      </c>
      <c r="B1962" s="40" t="s">
        <v>4291</v>
      </c>
      <c r="C1962" s="40" t="s">
        <v>4342</v>
      </c>
    </row>
    <row r="1963" spans="1:3" x14ac:dyDescent="0.35">
      <c r="A1963" s="40" t="s">
        <v>6121</v>
      </c>
      <c r="B1963" s="40" t="s">
        <v>4293</v>
      </c>
      <c r="C1963" s="40" t="s">
        <v>4343</v>
      </c>
    </row>
    <row r="1964" spans="1:3" x14ac:dyDescent="0.35">
      <c r="A1964" s="40" t="s">
        <v>6122</v>
      </c>
      <c r="B1964" s="40" t="s">
        <v>4295</v>
      </c>
      <c r="C1964" s="40" t="s">
        <v>4344</v>
      </c>
    </row>
    <row r="1965" spans="1:3" x14ac:dyDescent="0.35">
      <c r="A1965" s="40" t="s">
        <v>6123</v>
      </c>
      <c r="B1965" s="40" t="s">
        <v>4297</v>
      </c>
      <c r="C1965" s="40" t="s">
        <v>4345</v>
      </c>
    </row>
    <row r="1966" spans="1:3" x14ac:dyDescent="0.35">
      <c r="A1966" s="40" t="s">
        <v>6124</v>
      </c>
      <c r="B1966" s="40" t="s">
        <v>4298</v>
      </c>
      <c r="C1966" s="40" t="s">
        <v>4346</v>
      </c>
    </row>
    <row r="1967" spans="1:3" x14ac:dyDescent="0.35">
      <c r="A1967" s="40" t="s">
        <v>6125</v>
      </c>
      <c r="B1967" s="40" t="s">
        <v>4299</v>
      </c>
      <c r="C1967" s="40" t="s">
        <v>4347</v>
      </c>
    </row>
    <row r="1968" spans="1:3" x14ac:dyDescent="0.35">
      <c r="A1968" s="40" t="s">
        <v>6126</v>
      </c>
      <c r="B1968" s="40" t="s">
        <v>4300</v>
      </c>
      <c r="C1968" s="40" t="s">
        <v>4348</v>
      </c>
    </row>
    <row r="1969" spans="1:3" x14ac:dyDescent="0.35">
      <c r="A1969" s="40" t="s">
        <v>6127</v>
      </c>
      <c r="B1969" s="40" t="s">
        <v>4301</v>
      </c>
      <c r="C1969" s="40" t="s">
        <v>4349</v>
      </c>
    </row>
    <row r="1970" spans="1:3" x14ac:dyDescent="0.35">
      <c r="A1970" s="40" t="s">
        <v>6128</v>
      </c>
      <c r="B1970" s="40" t="s">
        <v>4302</v>
      </c>
      <c r="C1970" s="40" t="s">
        <v>4350</v>
      </c>
    </row>
    <row r="1971" spans="1:3" x14ac:dyDescent="0.35">
      <c r="A1971" s="40" t="s">
        <v>6129</v>
      </c>
      <c r="B1971" s="40" t="s">
        <v>4303</v>
      </c>
      <c r="C1971" s="40" t="s">
        <v>4351</v>
      </c>
    </row>
    <row r="1972" spans="1:3" x14ac:dyDescent="0.35">
      <c r="A1972" s="40" t="s">
        <v>6130</v>
      </c>
      <c r="B1972" s="40" t="s">
        <v>4304</v>
      </c>
      <c r="C1972" s="40" t="s">
        <v>4352</v>
      </c>
    </row>
    <row r="1973" spans="1:3" x14ac:dyDescent="0.35">
      <c r="A1973" s="40" t="s">
        <v>6131</v>
      </c>
      <c r="B1973" s="40" t="s">
        <v>4305</v>
      </c>
      <c r="C1973" s="40" t="s">
        <v>4353</v>
      </c>
    </row>
    <row r="1974" spans="1:3" x14ac:dyDescent="0.35">
      <c r="A1974" s="40" t="s">
        <v>6132</v>
      </c>
      <c r="B1974" s="40" t="s">
        <v>4306</v>
      </c>
      <c r="C1974" s="40" t="s">
        <v>4354</v>
      </c>
    </row>
    <row r="1975" spans="1:3" x14ac:dyDescent="0.35">
      <c r="A1975" s="40" t="s">
        <v>6133</v>
      </c>
      <c r="B1975" s="40" t="s">
        <v>4307</v>
      </c>
      <c r="C1975" s="40" t="s">
        <v>4355</v>
      </c>
    </row>
    <row r="1976" spans="1:3" x14ac:dyDescent="0.35">
      <c r="A1976" s="40" t="s">
        <v>6134</v>
      </c>
      <c r="B1976" s="40" t="s">
        <v>4308</v>
      </c>
      <c r="C1976" s="40" t="s">
        <v>4356</v>
      </c>
    </row>
    <row r="1977" spans="1:3" x14ac:dyDescent="0.35">
      <c r="A1977" s="40" t="s">
        <v>6135</v>
      </c>
      <c r="B1977" s="40" t="s">
        <v>4309</v>
      </c>
      <c r="C1977" s="40" t="s">
        <v>4357</v>
      </c>
    </row>
    <row r="1978" spans="1:3" x14ac:dyDescent="0.35">
      <c r="A1978" s="40" t="s">
        <v>6136</v>
      </c>
      <c r="B1978" s="40" t="s">
        <v>4310</v>
      </c>
      <c r="C1978" s="40" t="s">
        <v>4358</v>
      </c>
    </row>
    <row r="1979" spans="1:3" x14ac:dyDescent="0.35">
      <c r="A1979" s="40" t="s">
        <v>6137</v>
      </c>
      <c r="B1979" s="40" t="s">
        <v>4311</v>
      </c>
      <c r="C1979" s="40" t="s">
        <v>4359</v>
      </c>
    </row>
    <row r="1980" spans="1:3" x14ac:dyDescent="0.35">
      <c r="A1980" s="40" t="s">
        <v>6138</v>
      </c>
      <c r="B1980" s="40" t="s">
        <v>4312</v>
      </c>
      <c r="C1980" s="40" t="s">
        <v>4360</v>
      </c>
    </row>
    <row r="1981" spans="1:3" x14ac:dyDescent="0.35">
      <c r="A1981" s="40" t="s">
        <v>6139</v>
      </c>
      <c r="B1981" s="40" t="s">
        <v>4313</v>
      </c>
      <c r="C1981" s="40" t="s">
        <v>4361</v>
      </c>
    </row>
    <row r="1982" spans="1:3" x14ac:dyDescent="0.35">
      <c r="A1982" s="40" t="s">
        <v>6140</v>
      </c>
      <c r="B1982" s="40" t="s">
        <v>4314</v>
      </c>
      <c r="C1982" s="40" t="s">
        <v>4362</v>
      </c>
    </row>
    <row r="1983" spans="1:3" x14ac:dyDescent="0.35">
      <c r="A1983" s="40" t="s">
        <v>6141</v>
      </c>
      <c r="B1983" s="40" t="s">
        <v>4315</v>
      </c>
      <c r="C1983" s="40" t="s">
        <v>4363</v>
      </c>
    </row>
    <row r="1984" spans="1:3" x14ac:dyDescent="0.35">
      <c r="A1984" s="40" t="s">
        <v>6142</v>
      </c>
      <c r="B1984" s="40" t="s">
        <v>4316</v>
      </c>
      <c r="C1984" s="40" t="s">
        <v>4364</v>
      </c>
    </row>
    <row r="1985" spans="1:3" x14ac:dyDescent="0.35">
      <c r="A1985" s="40" t="s">
        <v>6143</v>
      </c>
      <c r="B1985" s="40" t="s">
        <v>4317</v>
      </c>
      <c r="C1985" s="40" t="s">
        <v>4365</v>
      </c>
    </row>
    <row r="1986" spans="1:3" x14ac:dyDescent="0.35">
      <c r="A1986" s="40" t="s">
        <v>6144</v>
      </c>
      <c r="B1986" s="40" t="s">
        <v>4318</v>
      </c>
      <c r="C1986" s="40" t="s">
        <v>4366</v>
      </c>
    </row>
    <row r="1987" spans="1:3" x14ac:dyDescent="0.35">
      <c r="A1987" s="40" t="s">
        <v>6145</v>
      </c>
      <c r="B1987" s="40" t="s">
        <v>4319</v>
      </c>
      <c r="C1987" s="40" t="s">
        <v>4367</v>
      </c>
    </row>
    <row r="1988" spans="1:3" x14ac:dyDescent="0.35">
      <c r="A1988" s="40" t="s">
        <v>6146</v>
      </c>
      <c r="B1988" s="40" t="s">
        <v>4320</v>
      </c>
      <c r="C1988" s="40" t="s">
        <v>4368</v>
      </c>
    </row>
    <row r="1990" spans="1:3" x14ac:dyDescent="0.35">
      <c r="A1990" s="85">
        <v>1153</v>
      </c>
      <c r="B1990" s="1" t="s">
        <v>4369</v>
      </c>
      <c r="C1990" s="1" t="s">
        <v>4560</v>
      </c>
    </row>
    <row r="1991" spans="1:3" x14ac:dyDescent="0.35">
      <c r="A1991" s="85">
        <v>1154</v>
      </c>
      <c r="B1991" s="1" t="s">
        <v>4372</v>
      </c>
      <c r="C1991" s="1" t="s">
        <v>4562</v>
      </c>
    </row>
    <row r="1992" spans="1:3" x14ac:dyDescent="0.35">
      <c r="A1992" s="85">
        <v>1155</v>
      </c>
      <c r="B1992" s="1" t="s">
        <v>4374</v>
      </c>
      <c r="C1992" s="1" t="s">
        <v>4564</v>
      </c>
    </row>
    <row r="1993" spans="1:3" x14ac:dyDescent="0.35">
      <c r="A1993" s="85">
        <v>1156</v>
      </c>
      <c r="B1993" s="1" t="s">
        <v>4376</v>
      </c>
      <c r="C1993" s="1" t="s">
        <v>4566</v>
      </c>
    </row>
    <row r="1994" spans="1:3" x14ac:dyDescent="0.35">
      <c r="A1994" s="85">
        <v>1157</v>
      </c>
      <c r="B1994" s="1" t="s">
        <v>4378</v>
      </c>
      <c r="C1994" s="1" t="s">
        <v>4568</v>
      </c>
    </row>
    <row r="1995" spans="1:3" x14ac:dyDescent="0.35">
      <c r="A1995" s="85">
        <v>1158</v>
      </c>
      <c r="B1995" s="1" t="s">
        <v>4380</v>
      </c>
      <c r="C1995" s="1" t="s">
        <v>4570</v>
      </c>
    </row>
    <row r="1996" spans="1:3" x14ac:dyDescent="0.35">
      <c r="A1996" s="85">
        <v>1159</v>
      </c>
      <c r="B1996" s="1" t="s">
        <v>4381</v>
      </c>
      <c r="C1996" s="1" t="s">
        <v>4572</v>
      </c>
    </row>
    <row r="1997" spans="1:3" x14ac:dyDescent="0.35">
      <c r="A1997" s="85">
        <v>1160</v>
      </c>
      <c r="B1997" s="1" t="s">
        <v>4383</v>
      </c>
      <c r="C1997" s="1" t="s">
        <v>4574</v>
      </c>
    </row>
    <row r="1998" spans="1:3" x14ac:dyDescent="0.35">
      <c r="A1998" s="85">
        <v>1161</v>
      </c>
      <c r="B1998" s="1" t="s">
        <v>4385</v>
      </c>
      <c r="C1998" s="1" t="s">
        <v>4576</v>
      </c>
    </row>
    <row r="1999" spans="1:3" x14ac:dyDescent="0.35">
      <c r="A1999" s="85">
        <v>1162</v>
      </c>
      <c r="B1999" s="1" t="s">
        <v>4387</v>
      </c>
      <c r="C1999" s="1" t="s">
        <v>4578</v>
      </c>
    </row>
    <row r="2000" spans="1:3" x14ac:dyDescent="0.35">
      <c r="A2000" s="85">
        <v>1163</v>
      </c>
      <c r="B2000" s="1" t="s">
        <v>4389</v>
      </c>
      <c r="C2000" s="1" t="s">
        <v>4580</v>
      </c>
    </row>
    <row r="2001" spans="1:3" x14ac:dyDescent="0.35">
      <c r="A2001" s="85">
        <v>1164</v>
      </c>
      <c r="B2001" s="1" t="s">
        <v>4391</v>
      </c>
      <c r="C2001" s="1" t="s">
        <v>4582</v>
      </c>
    </row>
    <row r="2002" spans="1:3" x14ac:dyDescent="0.35">
      <c r="A2002" s="85">
        <v>1165</v>
      </c>
      <c r="B2002" s="1" t="s">
        <v>4393</v>
      </c>
      <c r="C2002" s="1" t="s">
        <v>4584</v>
      </c>
    </row>
    <row r="2003" spans="1:3" x14ac:dyDescent="0.35">
      <c r="A2003" s="85">
        <v>1166</v>
      </c>
      <c r="B2003" s="1" t="s">
        <v>4395</v>
      </c>
      <c r="C2003" s="1" t="s">
        <v>4586</v>
      </c>
    </row>
    <row r="2004" spans="1:3" x14ac:dyDescent="0.35">
      <c r="A2004" s="85">
        <v>1167</v>
      </c>
      <c r="B2004" s="1" t="s">
        <v>4397</v>
      </c>
      <c r="C2004" s="1" t="s">
        <v>4588</v>
      </c>
    </row>
    <row r="2005" spans="1:3" x14ac:dyDescent="0.35">
      <c r="A2005" s="85">
        <v>1168</v>
      </c>
      <c r="B2005" s="1" t="s">
        <v>4399</v>
      </c>
      <c r="C2005" s="1" t="s">
        <v>4590</v>
      </c>
    </row>
    <row r="2006" spans="1:3" x14ac:dyDescent="0.35">
      <c r="A2006" s="85">
        <v>1169</v>
      </c>
      <c r="B2006" s="1" t="s">
        <v>4401</v>
      </c>
      <c r="C2006" s="1" t="s">
        <v>4592</v>
      </c>
    </row>
    <row r="2007" spans="1:3" x14ac:dyDescent="0.35">
      <c r="A2007" s="85">
        <v>1170</v>
      </c>
      <c r="B2007" s="1" t="s">
        <v>4403</v>
      </c>
      <c r="C2007" s="1" t="s">
        <v>4594</v>
      </c>
    </row>
    <row r="2008" spans="1:3" x14ac:dyDescent="0.35">
      <c r="A2008" s="85">
        <v>1171</v>
      </c>
      <c r="B2008" s="1" t="s">
        <v>4405</v>
      </c>
      <c r="C2008" s="1" t="s">
        <v>4596</v>
      </c>
    </row>
    <row r="2009" spans="1:3" x14ac:dyDescent="0.35">
      <c r="A2009" s="85">
        <v>1172</v>
      </c>
      <c r="B2009" s="1" t="s">
        <v>4407</v>
      </c>
      <c r="C2009" s="1" t="s">
        <v>4598</v>
      </c>
    </row>
    <row r="2010" spans="1:3" x14ac:dyDescent="0.35">
      <c r="A2010" s="85">
        <v>1173</v>
      </c>
      <c r="B2010" s="1" t="s">
        <v>4409</v>
      </c>
      <c r="C2010" s="1" t="s">
        <v>4599</v>
      </c>
    </row>
    <row r="2011" spans="1:3" x14ac:dyDescent="0.35">
      <c r="A2011" s="85">
        <v>1174</v>
      </c>
      <c r="B2011" s="1" t="s">
        <v>4411</v>
      </c>
      <c r="C2011" s="1" t="s">
        <v>4601</v>
      </c>
    </row>
    <row r="2012" spans="1:3" x14ac:dyDescent="0.35">
      <c r="A2012" s="85">
        <v>1175</v>
      </c>
      <c r="B2012" s="1" t="s">
        <v>4413</v>
      </c>
      <c r="C2012" s="1" t="s">
        <v>4603</v>
      </c>
    </row>
    <row r="2013" spans="1:3" x14ac:dyDescent="0.35">
      <c r="A2013" s="85">
        <v>1176</v>
      </c>
      <c r="B2013" s="1" t="s">
        <v>4415</v>
      </c>
      <c r="C2013" s="1" t="s">
        <v>4605</v>
      </c>
    </row>
    <row r="2014" spans="1:3" x14ac:dyDescent="0.35">
      <c r="A2014" s="85">
        <v>1177</v>
      </c>
      <c r="B2014" s="1" t="s">
        <v>4417</v>
      </c>
      <c r="C2014" s="1" t="s">
        <v>4607</v>
      </c>
    </row>
    <row r="2015" spans="1:3" x14ac:dyDescent="0.35">
      <c r="A2015" s="85">
        <v>1178</v>
      </c>
      <c r="B2015" s="1" t="s">
        <v>4419</v>
      </c>
      <c r="C2015" s="1" t="s">
        <v>4609</v>
      </c>
    </row>
    <row r="2016" spans="1:3" x14ac:dyDescent="0.35">
      <c r="A2016" s="85">
        <v>1179</v>
      </c>
      <c r="B2016" s="1" t="s">
        <v>4421</v>
      </c>
      <c r="C2016" s="1" t="s">
        <v>4611</v>
      </c>
    </row>
    <row r="2017" spans="1:3" x14ac:dyDescent="0.35">
      <c r="A2017" s="85">
        <v>1180</v>
      </c>
      <c r="B2017" s="1" t="s">
        <v>4423</v>
      </c>
      <c r="C2017" s="1" t="s">
        <v>4613</v>
      </c>
    </row>
    <row r="2018" spans="1:3" x14ac:dyDescent="0.35">
      <c r="A2018" s="85">
        <v>1181</v>
      </c>
      <c r="B2018" s="1" t="s">
        <v>4425</v>
      </c>
      <c r="C2018" s="1" t="s">
        <v>4615</v>
      </c>
    </row>
    <row r="2019" spans="1:3" x14ac:dyDescent="0.35">
      <c r="A2019" s="85">
        <v>1182</v>
      </c>
      <c r="B2019" s="1" t="s">
        <v>4427</v>
      </c>
      <c r="C2019" s="1" t="s">
        <v>4617</v>
      </c>
    </row>
    <row r="2020" spans="1:3" x14ac:dyDescent="0.35">
      <c r="A2020" s="85">
        <v>1183</v>
      </c>
      <c r="B2020" s="1" t="s">
        <v>4429</v>
      </c>
      <c r="C2020" s="1" t="s">
        <v>4619</v>
      </c>
    </row>
    <row r="2021" spans="1:3" x14ac:dyDescent="0.35">
      <c r="A2021" s="85">
        <v>1184</v>
      </c>
      <c r="B2021" s="1" t="s">
        <v>4431</v>
      </c>
      <c r="C2021" s="1" t="s">
        <v>4621</v>
      </c>
    </row>
    <row r="2022" spans="1:3" x14ac:dyDescent="0.35">
      <c r="A2022" s="85">
        <v>1185</v>
      </c>
      <c r="B2022" s="1" t="s">
        <v>4433</v>
      </c>
      <c r="C2022" s="1" t="s">
        <v>4623</v>
      </c>
    </row>
    <row r="2023" spans="1:3" x14ac:dyDescent="0.35">
      <c r="A2023" s="85">
        <v>1186</v>
      </c>
      <c r="B2023" s="1" t="s">
        <v>4435</v>
      </c>
      <c r="C2023" s="1" t="s">
        <v>4625</v>
      </c>
    </row>
    <row r="2024" spans="1:3" x14ac:dyDescent="0.35">
      <c r="A2024" s="85">
        <v>1187</v>
      </c>
      <c r="B2024" s="1" t="s">
        <v>4437</v>
      </c>
      <c r="C2024" s="1" t="s">
        <v>4627</v>
      </c>
    </row>
    <row r="2025" spans="1:3" x14ac:dyDescent="0.35">
      <c r="A2025" s="85">
        <v>1188</v>
      </c>
      <c r="B2025" s="1" t="s">
        <v>4439</v>
      </c>
      <c r="C2025" s="1" t="s">
        <v>4629</v>
      </c>
    </row>
    <row r="2026" spans="1:3" x14ac:dyDescent="0.35">
      <c r="A2026" s="85">
        <v>1189</v>
      </c>
      <c r="B2026" s="1" t="s">
        <v>4441</v>
      </c>
      <c r="C2026" s="1" t="s">
        <v>4631</v>
      </c>
    </row>
    <row r="2027" spans="1:3" x14ac:dyDescent="0.35">
      <c r="A2027" s="85">
        <v>1190</v>
      </c>
      <c r="B2027" s="1" t="s">
        <v>4443</v>
      </c>
      <c r="C2027" s="1" t="s">
        <v>4633</v>
      </c>
    </row>
    <row r="2028" spans="1:3" x14ac:dyDescent="0.35">
      <c r="A2028" s="85">
        <v>1191</v>
      </c>
      <c r="B2028" s="1" t="s">
        <v>4445</v>
      </c>
      <c r="C2028" s="1" t="s">
        <v>4635</v>
      </c>
    </row>
    <row r="2029" spans="1:3" x14ac:dyDescent="0.35">
      <c r="A2029" s="85">
        <v>1192</v>
      </c>
      <c r="B2029" s="1" t="s">
        <v>4447</v>
      </c>
      <c r="C2029" s="1" t="s">
        <v>4637</v>
      </c>
    </row>
    <row r="2030" spans="1:3" x14ac:dyDescent="0.35">
      <c r="A2030" s="85">
        <v>1193</v>
      </c>
      <c r="B2030" s="1" t="s">
        <v>4449</v>
      </c>
      <c r="C2030" s="1" t="s">
        <v>4639</v>
      </c>
    </row>
    <row r="2031" spans="1:3" x14ac:dyDescent="0.35">
      <c r="A2031" s="85">
        <v>1194</v>
      </c>
      <c r="B2031" s="1" t="s">
        <v>4451</v>
      </c>
      <c r="C2031" s="1" t="s">
        <v>4641</v>
      </c>
    </row>
    <row r="2032" spans="1:3" x14ac:dyDescent="0.35">
      <c r="A2032" s="85">
        <v>1195</v>
      </c>
      <c r="B2032" s="1" t="s">
        <v>4453</v>
      </c>
      <c r="C2032" s="1" t="s">
        <v>4643</v>
      </c>
    </row>
    <row r="2033" spans="1:3" x14ac:dyDescent="0.35">
      <c r="A2033" s="85">
        <v>1196</v>
      </c>
      <c r="B2033" s="1" t="s">
        <v>4455</v>
      </c>
      <c r="C2033" s="1" t="s">
        <v>4645</v>
      </c>
    </row>
    <row r="2034" spans="1:3" x14ac:dyDescent="0.35">
      <c r="A2034" s="85">
        <v>1197</v>
      </c>
      <c r="B2034" s="1" t="s">
        <v>4457</v>
      </c>
      <c r="C2034" s="1" t="s">
        <v>4647</v>
      </c>
    </row>
    <row r="2035" spans="1:3" x14ac:dyDescent="0.35">
      <c r="A2035" s="85">
        <v>1198</v>
      </c>
      <c r="B2035" s="1" t="s">
        <v>4459</v>
      </c>
      <c r="C2035" s="1" t="s">
        <v>4649</v>
      </c>
    </row>
    <row r="2036" spans="1:3" x14ac:dyDescent="0.35">
      <c r="A2036" s="85">
        <v>1199</v>
      </c>
      <c r="B2036" s="1" t="s">
        <v>4461</v>
      </c>
      <c r="C2036" s="1" t="s">
        <v>4651</v>
      </c>
    </row>
    <row r="2037" spans="1:3" x14ac:dyDescent="0.35">
      <c r="A2037" s="85">
        <v>1200</v>
      </c>
      <c r="B2037" s="1" t="s">
        <v>4463</v>
      </c>
      <c r="C2037" s="1" t="s">
        <v>4653</v>
      </c>
    </row>
    <row r="2038" spans="1:3" x14ac:dyDescent="0.35">
      <c r="A2038" s="85">
        <v>1201</v>
      </c>
      <c r="B2038" s="1" t="s">
        <v>4465</v>
      </c>
      <c r="C2038" s="1" t="s">
        <v>4655</v>
      </c>
    </row>
    <row r="2039" spans="1:3" x14ac:dyDescent="0.35">
      <c r="A2039" s="85">
        <v>1202</v>
      </c>
      <c r="B2039" s="1" t="s">
        <v>4467</v>
      </c>
      <c r="C2039" s="1" t="s">
        <v>4657</v>
      </c>
    </row>
    <row r="2040" spans="1:3" x14ac:dyDescent="0.35">
      <c r="A2040" s="85">
        <v>1203</v>
      </c>
      <c r="B2040" s="1" t="s">
        <v>4469</v>
      </c>
      <c r="C2040" s="1" t="s">
        <v>4659</v>
      </c>
    </row>
    <row r="2041" spans="1:3" x14ac:dyDescent="0.35">
      <c r="A2041" s="85">
        <v>1204</v>
      </c>
      <c r="B2041" s="1" t="s">
        <v>4471</v>
      </c>
      <c r="C2041" s="1" t="s">
        <v>4661</v>
      </c>
    </row>
    <row r="2042" spans="1:3" x14ac:dyDescent="0.35">
      <c r="A2042" s="85">
        <v>1205</v>
      </c>
      <c r="B2042" s="1" t="s">
        <v>4473</v>
      </c>
      <c r="C2042" s="1" t="s">
        <v>4663</v>
      </c>
    </row>
    <row r="2043" spans="1:3" x14ac:dyDescent="0.35">
      <c r="A2043" s="85">
        <v>1206</v>
      </c>
      <c r="B2043" s="1" t="s">
        <v>4475</v>
      </c>
      <c r="C2043" s="1" t="s">
        <v>4665</v>
      </c>
    </row>
    <row r="2044" spans="1:3" x14ac:dyDescent="0.35">
      <c r="A2044" s="85">
        <v>1207</v>
      </c>
      <c r="B2044" s="1" t="s">
        <v>4477</v>
      </c>
      <c r="C2044" s="1" t="s">
        <v>4666</v>
      </c>
    </row>
    <row r="2045" spans="1:3" x14ac:dyDescent="0.35">
      <c r="A2045" s="85">
        <v>1208</v>
      </c>
      <c r="B2045" s="1" t="s">
        <v>4479</v>
      </c>
      <c r="C2045" s="1" t="s">
        <v>4668</v>
      </c>
    </row>
    <row r="2046" spans="1:3" x14ac:dyDescent="0.35">
      <c r="A2046" s="85">
        <v>1209</v>
      </c>
      <c r="B2046" s="1" t="s">
        <v>4481</v>
      </c>
      <c r="C2046" s="1" t="s">
        <v>4670</v>
      </c>
    </row>
    <row r="2047" spans="1:3" x14ac:dyDescent="0.35">
      <c r="A2047" s="85">
        <v>1210</v>
      </c>
      <c r="B2047" s="1" t="s">
        <v>4483</v>
      </c>
      <c r="C2047" s="1" t="s">
        <v>4672</v>
      </c>
    </row>
    <row r="2048" spans="1:3" x14ac:dyDescent="0.35">
      <c r="A2048" s="85">
        <v>1211</v>
      </c>
      <c r="B2048" s="1" t="s">
        <v>4485</v>
      </c>
      <c r="C2048" s="1" t="s">
        <v>4674</v>
      </c>
    </row>
    <row r="2049" spans="1:3" x14ac:dyDescent="0.35">
      <c r="A2049" s="85">
        <v>1212</v>
      </c>
      <c r="B2049" s="1" t="s">
        <v>4487</v>
      </c>
      <c r="C2049" s="1" t="s">
        <v>4676</v>
      </c>
    </row>
    <row r="2050" spans="1:3" x14ac:dyDescent="0.35">
      <c r="A2050" s="85">
        <v>1213</v>
      </c>
      <c r="B2050" s="1" t="s">
        <v>4489</v>
      </c>
      <c r="C2050" s="1" t="s">
        <v>4678</v>
      </c>
    </row>
    <row r="2051" spans="1:3" x14ac:dyDescent="0.35">
      <c r="A2051" s="85">
        <v>1214</v>
      </c>
      <c r="B2051" s="1" t="s">
        <v>4491</v>
      </c>
      <c r="C2051" s="1" t="s">
        <v>4680</v>
      </c>
    </row>
    <row r="2052" spans="1:3" x14ac:dyDescent="0.35">
      <c r="A2052" s="85">
        <v>1215</v>
      </c>
      <c r="B2052" s="1" t="s">
        <v>4493</v>
      </c>
      <c r="C2052" s="1" t="s">
        <v>4682</v>
      </c>
    </row>
    <row r="2053" spans="1:3" x14ac:dyDescent="0.35">
      <c r="A2053" s="85">
        <v>1216</v>
      </c>
      <c r="B2053" s="1" t="s">
        <v>4495</v>
      </c>
      <c r="C2053" s="1" t="s">
        <v>4684</v>
      </c>
    </row>
    <row r="2054" spans="1:3" x14ac:dyDescent="0.35">
      <c r="A2054" s="85">
        <v>1217</v>
      </c>
      <c r="B2054" s="1" t="s">
        <v>4497</v>
      </c>
      <c r="C2054" s="1" t="s">
        <v>4686</v>
      </c>
    </row>
    <row r="2055" spans="1:3" x14ac:dyDescent="0.35">
      <c r="A2055" s="85">
        <v>1218</v>
      </c>
      <c r="B2055" s="1" t="s">
        <v>4499</v>
      </c>
      <c r="C2055" s="1" t="s">
        <v>4688</v>
      </c>
    </row>
    <row r="2056" spans="1:3" x14ac:dyDescent="0.35">
      <c r="A2056" s="85">
        <v>1219</v>
      </c>
      <c r="B2056" s="1" t="s">
        <v>4501</v>
      </c>
      <c r="C2056" s="1" t="s">
        <v>4690</v>
      </c>
    </row>
    <row r="2057" spans="1:3" x14ac:dyDescent="0.35">
      <c r="A2057" s="85">
        <v>1220</v>
      </c>
      <c r="B2057" s="1" t="s">
        <v>4503</v>
      </c>
      <c r="C2057" s="1" t="s">
        <v>4692</v>
      </c>
    </row>
    <row r="2058" spans="1:3" x14ac:dyDescent="0.35">
      <c r="A2058" s="85">
        <v>1221</v>
      </c>
      <c r="B2058" s="1" t="s">
        <v>4504</v>
      </c>
      <c r="C2058" s="1" t="s">
        <v>4694</v>
      </c>
    </row>
    <row r="2059" spans="1:3" x14ac:dyDescent="0.35">
      <c r="A2059" s="85">
        <v>1222</v>
      </c>
      <c r="B2059" s="1" t="s">
        <v>4506</v>
      </c>
      <c r="C2059" s="1" t="s">
        <v>4696</v>
      </c>
    </row>
    <row r="2060" spans="1:3" x14ac:dyDescent="0.35">
      <c r="A2060" s="85">
        <v>1223</v>
      </c>
      <c r="B2060" s="1" t="s">
        <v>4508</v>
      </c>
      <c r="C2060" s="1" t="s">
        <v>4698</v>
      </c>
    </row>
    <row r="2061" spans="1:3" x14ac:dyDescent="0.35">
      <c r="A2061" s="85">
        <v>1224</v>
      </c>
      <c r="B2061" s="1" t="s">
        <v>4510</v>
      </c>
      <c r="C2061" s="1" t="s">
        <v>4700</v>
      </c>
    </row>
    <row r="2062" spans="1:3" x14ac:dyDescent="0.35">
      <c r="A2062" s="85">
        <v>1225</v>
      </c>
      <c r="B2062" s="1" t="s">
        <v>4512</v>
      </c>
      <c r="C2062" s="1" t="s">
        <v>4702</v>
      </c>
    </row>
    <row r="2063" spans="1:3" x14ac:dyDescent="0.35">
      <c r="A2063" s="85">
        <v>1226</v>
      </c>
      <c r="B2063" s="1" t="s">
        <v>4514</v>
      </c>
      <c r="C2063" s="1" t="s">
        <v>4704</v>
      </c>
    </row>
    <row r="2064" spans="1:3" x14ac:dyDescent="0.35">
      <c r="A2064" s="85">
        <v>1227</v>
      </c>
      <c r="B2064" s="1" t="s">
        <v>4516</v>
      </c>
      <c r="C2064" s="1" t="s">
        <v>4706</v>
      </c>
    </row>
    <row r="2065" spans="1:3" x14ac:dyDescent="0.35">
      <c r="A2065" s="85">
        <v>1228</v>
      </c>
      <c r="B2065" s="1" t="s">
        <v>4518</v>
      </c>
      <c r="C2065" s="1" t="s">
        <v>4708</v>
      </c>
    </row>
    <row r="2066" spans="1:3" x14ac:dyDescent="0.35">
      <c r="A2066" s="85">
        <v>1229</v>
      </c>
      <c r="B2066" s="1" t="s">
        <v>4520</v>
      </c>
      <c r="C2066" s="1" t="s">
        <v>4710</v>
      </c>
    </row>
    <row r="2067" spans="1:3" x14ac:dyDescent="0.35">
      <c r="A2067" s="85">
        <v>1230</v>
      </c>
      <c r="B2067" s="1" t="s">
        <v>4522</v>
      </c>
      <c r="C2067" s="1" t="s">
        <v>4712</v>
      </c>
    </row>
    <row r="2068" spans="1:3" x14ac:dyDescent="0.35">
      <c r="A2068" s="85">
        <v>1231</v>
      </c>
      <c r="B2068" s="1" t="s">
        <v>4524</v>
      </c>
      <c r="C2068" s="1" t="s">
        <v>4714</v>
      </c>
    </row>
    <row r="2069" spans="1:3" x14ac:dyDescent="0.35">
      <c r="A2069" s="85">
        <v>1232</v>
      </c>
      <c r="B2069" s="1" t="s">
        <v>4526</v>
      </c>
      <c r="C2069" s="1" t="s">
        <v>4716</v>
      </c>
    </row>
    <row r="2070" spans="1:3" x14ac:dyDescent="0.35">
      <c r="A2070" s="85">
        <v>1233</v>
      </c>
      <c r="B2070" s="1" t="s">
        <v>4528</v>
      </c>
      <c r="C2070" s="1" t="s">
        <v>4718</v>
      </c>
    </row>
    <row r="2071" spans="1:3" x14ac:dyDescent="0.35">
      <c r="A2071" s="85">
        <v>1234</v>
      </c>
      <c r="B2071" s="1" t="s">
        <v>4530</v>
      </c>
      <c r="C2071" s="1" t="s">
        <v>4720</v>
      </c>
    </row>
    <row r="2072" spans="1:3" x14ac:dyDescent="0.35">
      <c r="A2072" s="85">
        <v>1235</v>
      </c>
      <c r="B2072" s="1" t="s">
        <v>4532</v>
      </c>
      <c r="C2072" s="1" t="s">
        <v>4722</v>
      </c>
    </row>
    <row r="2073" spans="1:3" x14ac:dyDescent="0.35">
      <c r="A2073" s="85">
        <v>1236</v>
      </c>
      <c r="B2073" s="1" t="s">
        <v>4534</v>
      </c>
      <c r="C2073" s="1" t="s">
        <v>4724</v>
      </c>
    </row>
    <row r="2074" spans="1:3" x14ac:dyDescent="0.35">
      <c r="A2074" s="85">
        <v>1237</v>
      </c>
      <c r="B2074" s="1" t="s">
        <v>4536</v>
      </c>
      <c r="C2074" s="1" t="s">
        <v>4726</v>
      </c>
    </row>
    <row r="2075" spans="1:3" x14ac:dyDescent="0.35">
      <c r="A2075" s="85">
        <v>1238</v>
      </c>
      <c r="B2075" s="1" t="s">
        <v>4538</v>
      </c>
      <c r="C2075" s="1" t="s">
        <v>4728</v>
      </c>
    </row>
    <row r="2076" spans="1:3" x14ac:dyDescent="0.35">
      <c r="A2076" s="85">
        <v>1239</v>
      </c>
      <c r="B2076" s="1" t="s">
        <v>4540</v>
      </c>
      <c r="C2076" s="1" t="s">
        <v>4730</v>
      </c>
    </row>
    <row r="2077" spans="1:3" x14ac:dyDescent="0.35">
      <c r="A2077" s="85">
        <v>1240</v>
      </c>
      <c r="B2077" s="1" t="s">
        <v>4542</v>
      </c>
      <c r="C2077" s="1" t="s">
        <v>4732</v>
      </c>
    </row>
    <row r="2078" spans="1:3" x14ac:dyDescent="0.35">
      <c r="A2078" s="85">
        <v>1241</v>
      </c>
      <c r="B2078" s="1" t="s">
        <v>4544</v>
      </c>
      <c r="C2078" s="1" t="s">
        <v>4734</v>
      </c>
    </row>
    <row r="2079" spans="1:3" x14ac:dyDescent="0.35">
      <c r="A2079" s="85">
        <v>1242</v>
      </c>
      <c r="B2079" s="1" t="s">
        <v>4546</v>
      </c>
      <c r="C2079" s="1" t="s">
        <v>4736</v>
      </c>
    </row>
    <row r="2080" spans="1:3" x14ac:dyDescent="0.35">
      <c r="A2080" s="85">
        <v>1243</v>
      </c>
      <c r="B2080" s="1" t="s">
        <v>4548</v>
      </c>
      <c r="C2080" s="1" t="s">
        <v>4738</v>
      </c>
    </row>
    <row r="2081" spans="1:3" x14ac:dyDescent="0.35">
      <c r="A2081" s="85">
        <v>1244</v>
      </c>
      <c r="B2081" s="1" t="s">
        <v>4550</v>
      </c>
      <c r="C2081" s="1" t="s">
        <v>4740</v>
      </c>
    </row>
    <row r="2082" spans="1:3" x14ac:dyDescent="0.35">
      <c r="A2082" s="85">
        <v>1245</v>
      </c>
      <c r="B2082" s="1" t="s">
        <v>4552</v>
      </c>
      <c r="C2082" s="1" t="s">
        <v>4742</v>
      </c>
    </row>
    <row r="2083" spans="1:3" x14ac:dyDescent="0.35">
      <c r="A2083" s="85">
        <v>1246</v>
      </c>
      <c r="B2083" s="1" t="s">
        <v>4554</v>
      </c>
      <c r="C2083" s="1" t="s">
        <v>4744</v>
      </c>
    </row>
    <row r="2084" spans="1:3" x14ac:dyDescent="0.35">
      <c r="A2084" s="85">
        <v>1247</v>
      </c>
      <c r="B2084" s="1" t="s">
        <v>4556</v>
      </c>
      <c r="C2084" s="1" t="s">
        <v>4746</v>
      </c>
    </row>
    <row r="2085" spans="1:3" x14ac:dyDescent="0.35">
      <c r="A2085" s="85">
        <v>1248</v>
      </c>
      <c r="B2085" s="1" t="s">
        <v>4558</v>
      </c>
      <c r="C2085" s="1" t="s">
        <v>4748</v>
      </c>
    </row>
    <row r="2087" spans="1:3" x14ac:dyDescent="0.35">
      <c r="A2087" s="1" t="s">
        <v>6147</v>
      </c>
      <c r="B2087" s="1" t="s">
        <v>4750</v>
      </c>
      <c r="C2087" s="1" t="s">
        <v>4935</v>
      </c>
    </row>
    <row r="2088" spans="1:3" x14ac:dyDescent="0.35">
      <c r="A2088" s="1" t="s">
        <v>6148</v>
      </c>
      <c r="B2088" s="1" t="s">
        <v>4753</v>
      </c>
      <c r="C2088" s="1" t="s">
        <v>4937</v>
      </c>
    </row>
    <row r="2089" spans="1:3" x14ac:dyDescent="0.35">
      <c r="A2089" s="1" t="s">
        <v>6149</v>
      </c>
      <c r="B2089" s="1" t="s">
        <v>4755</v>
      </c>
      <c r="C2089" s="1" t="s">
        <v>4939</v>
      </c>
    </row>
    <row r="2090" spans="1:3" x14ac:dyDescent="0.35">
      <c r="A2090" s="1" t="s">
        <v>6150</v>
      </c>
      <c r="B2090" s="1" t="s">
        <v>4757</v>
      </c>
      <c r="C2090" s="1" t="s">
        <v>4941</v>
      </c>
    </row>
    <row r="2091" spans="1:3" x14ac:dyDescent="0.35">
      <c r="A2091" s="1" t="s">
        <v>6151</v>
      </c>
      <c r="B2091" s="1" t="s">
        <v>4759</v>
      </c>
      <c r="C2091" s="1" t="s">
        <v>4943</v>
      </c>
    </row>
    <row r="2092" spans="1:3" x14ac:dyDescent="0.35">
      <c r="A2092" s="1" t="s">
        <v>6152</v>
      </c>
      <c r="B2092" s="1" t="s">
        <v>4761</v>
      </c>
      <c r="C2092" s="1" t="s">
        <v>4945</v>
      </c>
    </row>
    <row r="2093" spans="1:3" x14ac:dyDescent="0.35">
      <c r="A2093" s="1" t="s">
        <v>6153</v>
      </c>
      <c r="B2093" s="1" t="s">
        <v>4763</v>
      </c>
      <c r="C2093" s="1" t="s">
        <v>4947</v>
      </c>
    </row>
    <row r="2094" spans="1:3" x14ac:dyDescent="0.35">
      <c r="A2094" s="1" t="s">
        <v>6154</v>
      </c>
      <c r="B2094" s="1" t="s">
        <v>4765</v>
      </c>
      <c r="C2094" s="1" t="s">
        <v>4949</v>
      </c>
    </row>
    <row r="2095" spans="1:3" x14ac:dyDescent="0.35">
      <c r="A2095" s="1" t="s">
        <v>6155</v>
      </c>
      <c r="B2095" s="1" t="s">
        <v>4767</v>
      </c>
      <c r="C2095" s="1" t="s">
        <v>4951</v>
      </c>
    </row>
    <row r="2096" spans="1:3" x14ac:dyDescent="0.35">
      <c r="A2096" s="1" t="s">
        <v>6156</v>
      </c>
      <c r="B2096" s="1" t="s">
        <v>4769</v>
      </c>
      <c r="C2096" s="1" t="s">
        <v>4953</v>
      </c>
    </row>
    <row r="2097" spans="1:3" x14ac:dyDescent="0.35">
      <c r="A2097" s="1" t="s">
        <v>6157</v>
      </c>
      <c r="B2097" s="1" t="s">
        <v>4771</v>
      </c>
      <c r="C2097" s="1" t="s">
        <v>4955</v>
      </c>
    </row>
    <row r="2098" spans="1:3" x14ac:dyDescent="0.35">
      <c r="A2098" s="1" t="s">
        <v>6158</v>
      </c>
      <c r="B2098" s="1" t="s">
        <v>4773</v>
      </c>
      <c r="C2098" s="1" t="s">
        <v>4957</v>
      </c>
    </row>
    <row r="2099" spans="1:3" x14ac:dyDescent="0.35">
      <c r="A2099" s="1" t="s">
        <v>6159</v>
      </c>
      <c r="B2099" s="1" t="s">
        <v>4775</v>
      </c>
      <c r="C2099" s="1" t="s">
        <v>4959</v>
      </c>
    </row>
    <row r="2100" spans="1:3" x14ac:dyDescent="0.35">
      <c r="A2100" s="1" t="s">
        <v>6160</v>
      </c>
      <c r="B2100" s="1" t="s">
        <v>4777</v>
      </c>
      <c r="C2100" s="1" t="s">
        <v>4960</v>
      </c>
    </row>
    <row r="2101" spans="1:3" x14ac:dyDescent="0.35">
      <c r="A2101" s="1" t="s">
        <v>6161</v>
      </c>
      <c r="B2101" s="1" t="s">
        <v>4779</v>
      </c>
      <c r="C2101" s="1" t="s">
        <v>4962</v>
      </c>
    </row>
    <row r="2102" spans="1:3" x14ac:dyDescent="0.35">
      <c r="A2102" s="1" t="s">
        <v>6162</v>
      </c>
      <c r="B2102" s="1" t="s">
        <v>4780</v>
      </c>
      <c r="C2102" s="1" t="s">
        <v>4964</v>
      </c>
    </row>
    <row r="2103" spans="1:3" x14ac:dyDescent="0.35">
      <c r="A2103" s="1" t="s">
        <v>6163</v>
      </c>
      <c r="B2103" s="1" t="s">
        <v>4782</v>
      </c>
      <c r="C2103" s="1" t="s">
        <v>4966</v>
      </c>
    </row>
    <row r="2104" spans="1:3" x14ac:dyDescent="0.35">
      <c r="A2104" s="1" t="s">
        <v>6164</v>
      </c>
      <c r="B2104" s="1" t="s">
        <v>4784</v>
      </c>
      <c r="C2104" s="1" t="s">
        <v>4968</v>
      </c>
    </row>
    <row r="2105" spans="1:3" x14ac:dyDescent="0.35">
      <c r="A2105" s="1" t="s">
        <v>6165</v>
      </c>
      <c r="B2105" s="1" t="s">
        <v>4786</v>
      </c>
      <c r="C2105" s="1" t="s">
        <v>4970</v>
      </c>
    </row>
    <row r="2106" spans="1:3" x14ac:dyDescent="0.35">
      <c r="A2106" s="1" t="s">
        <v>6166</v>
      </c>
      <c r="B2106" s="1" t="s">
        <v>4788</v>
      </c>
      <c r="C2106" s="1" t="s">
        <v>4972</v>
      </c>
    </row>
    <row r="2107" spans="1:3" x14ac:dyDescent="0.35">
      <c r="A2107" s="1" t="s">
        <v>6167</v>
      </c>
      <c r="B2107" s="1" t="s">
        <v>4790</v>
      </c>
      <c r="C2107" s="1" t="s">
        <v>4974</v>
      </c>
    </row>
    <row r="2108" spans="1:3" x14ac:dyDescent="0.35">
      <c r="A2108" s="1" t="s">
        <v>6168</v>
      </c>
      <c r="B2108" s="1" t="s">
        <v>4792</v>
      </c>
      <c r="C2108" s="1" t="s">
        <v>4976</v>
      </c>
    </row>
    <row r="2109" spans="1:3" x14ac:dyDescent="0.35">
      <c r="A2109" s="1" t="s">
        <v>6169</v>
      </c>
      <c r="B2109" s="1" t="s">
        <v>4794</v>
      </c>
      <c r="C2109" s="1" t="s">
        <v>4978</v>
      </c>
    </row>
    <row r="2110" spans="1:3" x14ac:dyDescent="0.35">
      <c r="A2110" s="1" t="s">
        <v>6170</v>
      </c>
      <c r="B2110" s="1" t="s">
        <v>4796</v>
      </c>
      <c r="C2110" s="1" t="s">
        <v>4980</v>
      </c>
    </row>
    <row r="2111" spans="1:3" x14ac:dyDescent="0.35">
      <c r="A2111" s="1" t="s">
        <v>6171</v>
      </c>
      <c r="B2111" s="1" t="s">
        <v>4798</v>
      </c>
      <c r="C2111" s="1" t="s">
        <v>4982</v>
      </c>
    </row>
    <row r="2112" spans="1:3" x14ac:dyDescent="0.35">
      <c r="A2112" s="1" t="s">
        <v>6172</v>
      </c>
      <c r="B2112" s="1" t="s">
        <v>4800</v>
      </c>
      <c r="C2112" s="1" t="s">
        <v>4984</v>
      </c>
    </row>
    <row r="2113" spans="1:3" x14ac:dyDescent="0.35">
      <c r="A2113" s="1" t="s">
        <v>6173</v>
      </c>
      <c r="B2113" s="1" t="s">
        <v>4802</v>
      </c>
      <c r="C2113" s="1" t="s">
        <v>4985</v>
      </c>
    </row>
    <row r="2114" spans="1:3" x14ac:dyDescent="0.35">
      <c r="A2114" s="1" t="s">
        <v>6174</v>
      </c>
      <c r="B2114" s="1" t="s">
        <v>4803</v>
      </c>
      <c r="C2114" s="1" t="s">
        <v>4987</v>
      </c>
    </row>
    <row r="2115" spans="1:3" x14ac:dyDescent="0.35">
      <c r="A2115" s="1" t="s">
        <v>6175</v>
      </c>
      <c r="B2115" s="1" t="s">
        <v>4805</v>
      </c>
      <c r="C2115" s="1" t="s">
        <v>4989</v>
      </c>
    </row>
    <row r="2116" spans="1:3" x14ac:dyDescent="0.35">
      <c r="A2116" s="1" t="s">
        <v>6176</v>
      </c>
      <c r="B2116" s="1" t="s">
        <v>4807</v>
      </c>
      <c r="C2116" s="1" t="s">
        <v>4991</v>
      </c>
    </row>
    <row r="2117" spans="1:3" x14ac:dyDescent="0.35">
      <c r="A2117" s="1" t="s">
        <v>6177</v>
      </c>
      <c r="B2117" s="1" t="s">
        <v>4809</v>
      </c>
      <c r="C2117" s="1" t="s">
        <v>4993</v>
      </c>
    </row>
    <row r="2118" spans="1:3" x14ac:dyDescent="0.35">
      <c r="A2118" s="1" t="s">
        <v>6178</v>
      </c>
      <c r="B2118" s="1" t="s">
        <v>4811</v>
      </c>
      <c r="C2118" s="1" t="s">
        <v>4995</v>
      </c>
    </row>
    <row r="2119" spans="1:3" x14ac:dyDescent="0.35">
      <c r="A2119" s="1" t="s">
        <v>6179</v>
      </c>
      <c r="B2119" s="1" t="s">
        <v>4813</v>
      </c>
      <c r="C2119" s="1" t="s">
        <v>4997</v>
      </c>
    </row>
    <row r="2120" spans="1:3" x14ac:dyDescent="0.35">
      <c r="A2120" s="1" t="s">
        <v>6180</v>
      </c>
      <c r="B2120" s="1" t="s">
        <v>4815</v>
      </c>
      <c r="C2120" s="1" t="s">
        <v>4999</v>
      </c>
    </row>
    <row r="2121" spans="1:3" x14ac:dyDescent="0.35">
      <c r="A2121" s="1" t="s">
        <v>6181</v>
      </c>
      <c r="B2121" s="1" t="s">
        <v>4817</v>
      </c>
      <c r="C2121" s="1" t="s">
        <v>5001</v>
      </c>
    </row>
    <row r="2122" spans="1:3" x14ac:dyDescent="0.35">
      <c r="A2122" s="1" t="s">
        <v>6182</v>
      </c>
      <c r="B2122" s="1" t="s">
        <v>4819</v>
      </c>
      <c r="C2122" s="1" t="s">
        <v>5003</v>
      </c>
    </row>
    <row r="2123" spans="1:3" x14ac:dyDescent="0.35">
      <c r="A2123" s="1" t="s">
        <v>6183</v>
      </c>
      <c r="B2123" s="1" t="s">
        <v>4821</v>
      </c>
      <c r="C2123" s="1" t="s">
        <v>5005</v>
      </c>
    </row>
    <row r="2124" spans="1:3" x14ac:dyDescent="0.35">
      <c r="A2124" s="1" t="s">
        <v>6184</v>
      </c>
      <c r="B2124" s="1" t="s">
        <v>4823</v>
      </c>
      <c r="C2124" s="1" t="s">
        <v>5007</v>
      </c>
    </row>
    <row r="2125" spans="1:3" x14ac:dyDescent="0.35">
      <c r="A2125" s="1" t="s">
        <v>6185</v>
      </c>
      <c r="B2125" s="1" t="s">
        <v>4825</v>
      </c>
      <c r="C2125" s="1" t="s">
        <v>5009</v>
      </c>
    </row>
    <row r="2126" spans="1:3" x14ac:dyDescent="0.35">
      <c r="A2126" s="1" t="s">
        <v>6186</v>
      </c>
      <c r="B2126" s="1" t="s">
        <v>4827</v>
      </c>
      <c r="C2126" s="1" t="s">
        <v>5011</v>
      </c>
    </row>
    <row r="2127" spans="1:3" x14ac:dyDescent="0.35">
      <c r="A2127" s="1" t="s">
        <v>6187</v>
      </c>
      <c r="B2127" s="1" t="s">
        <v>4828</v>
      </c>
      <c r="C2127" s="1" t="s">
        <v>5013</v>
      </c>
    </row>
    <row r="2128" spans="1:3" x14ac:dyDescent="0.35">
      <c r="A2128" s="1" t="s">
        <v>6188</v>
      </c>
      <c r="B2128" s="1" t="s">
        <v>4830</v>
      </c>
      <c r="C2128" s="1" t="s">
        <v>5015</v>
      </c>
    </row>
    <row r="2129" spans="1:3" x14ac:dyDescent="0.35">
      <c r="A2129" s="1" t="s">
        <v>6189</v>
      </c>
      <c r="B2129" s="1" t="s">
        <v>4832</v>
      </c>
      <c r="C2129" s="1" t="s">
        <v>5017</v>
      </c>
    </row>
    <row r="2130" spans="1:3" x14ac:dyDescent="0.35">
      <c r="A2130" s="1" t="s">
        <v>6190</v>
      </c>
      <c r="B2130" s="1" t="s">
        <v>4834</v>
      </c>
      <c r="C2130" s="1" t="s">
        <v>5019</v>
      </c>
    </row>
    <row r="2131" spans="1:3" x14ac:dyDescent="0.35">
      <c r="A2131" s="1" t="s">
        <v>6191</v>
      </c>
      <c r="B2131" s="1" t="s">
        <v>4835</v>
      </c>
      <c r="C2131" s="1" t="s">
        <v>5021</v>
      </c>
    </row>
    <row r="2132" spans="1:3" x14ac:dyDescent="0.35">
      <c r="A2132" s="1" t="s">
        <v>6192</v>
      </c>
      <c r="B2132" s="1" t="s">
        <v>4837</v>
      </c>
      <c r="C2132" s="1" t="s">
        <v>5023</v>
      </c>
    </row>
    <row r="2133" spans="1:3" x14ac:dyDescent="0.35">
      <c r="A2133" s="1" t="s">
        <v>6193</v>
      </c>
      <c r="B2133" s="1" t="s">
        <v>4839</v>
      </c>
      <c r="C2133" s="1" t="s">
        <v>5025</v>
      </c>
    </row>
    <row r="2134" spans="1:3" x14ac:dyDescent="0.35">
      <c r="A2134" s="1" t="s">
        <v>6194</v>
      </c>
      <c r="B2134" s="1" t="s">
        <v>4841</v>
      </c>
      <c r="C2134" s="1" t="s">
        <v>5027</v>
      </c>
    </row>
    <row r="2135" spans="1:3" x14ac:dyDescent="0.35">
      <c r="A2135" s="1" t="s">
        <v>6195</v>
      </c>
      <c r="B2135" s="1" t="s">
        <v>4843</v>
      </c>
      <c r="C2135" s="1" t="s">
        <v>5029</v>
      </c>
    </row>
    <row r="2136" spans="1:3" x14ac:dyDescent="0.35">
      <c r="A2136" s="1" t="s">
        <v>6196</v>
      </c>
      <c r="B2136" s="1" t="s">
        <v>4845</v>
      </c>
      <c r="C2136" s="1" t="s">
        <v>5031</v>
      </c>
    </row>
    <row r="2137" spans="1:3" x14ac:dyDescent="0.35">
      <c r="A2137" s="1" t="s">
        <v>6197</v>
      </c>
      <c r="B2137" s="1" t="s">
        <v>4847</v>
      </c>
      <c r="C2137" s="1" t="s">
        <v>5032</v>
      </c>
    </row>
    <row r="2138" spans="1:3" x14ac:dyDescent="0.35">
      <c r="A2138" s="1" t="s">
        <v>6198</v>
      </c>
      <c r="B2138" s="1" t="s">
        <v>4849</v>
      </c>
      <c r="C2138" s="1" t="s">
        <v>5034</v>
      </c>
    </row>
    <row r="2139" spans="1:3" x14ac:dyDescent="0.35">
      <c r="A2139" s="1" t="s">
        <v>6199</v>
      </c>
      <c r="B2139" s="1" t="s">
        <v>4851</v>
      </c>
      <c r="C2139" s="1" t="s">
        <v>5035</v>
      </c>
    </row>
    <row r="2140" spans="1:3" x14ac:dyDescent="0.35">
      <c r="A2140" s="1" t="s">
        <v>6200</v>
      </c>
      <c r="B2140" s="1" t="s">
        <v>4853</v>
      </c>
      <c r="C2140" s="1" t="s">
        <v>5037</v>
      </c>
    </row>
    <row r="2141" spans="1:3" x14ac:dyDescent="0.35">
      <c r="A2141" s="1" t="s">
        <v>6201</v>
      </c>
      <c r="B2141" s="1" t="s">
        <v>4855</v>
      </c>
      <c r="C2141" s="1" t="s">
        <v>5039</v>
      </c>
    </row>
    <row r="2142" spans="1:3" x14ac:dyDescent="0.35">
      <c r="A2142" s="1" t="s">
        <v>6202</v>
      </c>
      <c r="B2142" s="1" t="s">
        <v>4857</v>
      </c>
      <c r="C2142" s="1" t="s">
        <v>5041</v>
      </c>
    </row>
    <row r="2143" spans="1:3" x14ac:dyDescent="0.35">
      <c r="A2143" s="1" t="s">
        <v>6203</v>
      </c>
      <c r="B2143" s="1" t="s">
        <v>4858</v>
      </c>
      <c r="C2143" s="1" t="s">
        <v>5043</v>
      </c>
    </row>
    <row r="2144" spans="1:3" x14ac:dyDescent="0.35">
      <c r="A2144" s="1" t="s">
        <v>6204</v>
      </c>
      <c r="B2144" s="1" t="s">
        <v>4859</v>
      </c>
      <c r="C2144" s="1" t="s">
        <v>5045</v>
      </c>
    </row>
    <row r="2145" spans="1:3" x14ac:dyDescent="0.35">
      <c r="A2145" s="1" t="s">
        <v>6205</v>
      </c>
      <c r="B2145" s="1" t="s">
        <v>4861</v>
      </c>
      <c r="C2145" s="1" t="s">
        <v>5047</v>
      </c>
    </row>
    <row r="2146" spans="1:3" x14ac:dyDescent="0.35">
      <c r="A2146" s="1" t="s">
        <v>6206</v>
      </c>
      <c r="B2146" s="1" t="s">
        <v>4863</v>
      </c>
      <c r="C2146" s="1" t="s">
        <v>5049</v>
      </c>
    </row>
    <row r="2147" spans="1:3" x14ac:dyDescent="0.35">
      <c r="A2147" s="1" t="s">
        <v>6207</v>
      </c>
      <c r="B2147" s="1" t="s">
        <v>4865</v>
      </c>
      <c r="C2147" s="1" t="s">
        <v>5051</v>
      </c>
    </row>
    <row r="2148" spans="1:3" x14ac:dyDescent="0.35">
      <c r="A2148" s="1" t="s">
        <v>6208</v>
      </c>
      <c r="B2148" s="1" t="s">
        <v>4867</v>
      </c>
      <c r="C2148" s="1" t="s">
        <v>5052</v>
      </c>
    </row>
    <row r="2149" spans="1:3" x14ac:dyDescent="0.35">
      <c r="A2149" s="1" t="s">
        <v>6209</v>
      </c>
      <c r="B2149" s="1" t="s">
        <v>4869</v>
      </c>
      <c r="C2149" s="1" t="s">
        <v>5054</v>
      </c>
    </row>
    <row r="2150" spans="1:3" x14ac:dyDescent="0.35">
      <c r="A2150" s="1" t="s">
        <v>6210</v>
      </c>
      <c r="B2150" s="1" t="s">
        <v>4871</v>
      </c>
      <c r="C2150" s="1" t="s">
        <v>5055</v>
      </c>
    </row>
    <row r="2151" spans="1:3" x14ac:dyDescent="0.35">
      <c r="A2151" s="1" t="s">
        <v>6211</v>
      </c>
      <c r="B2151" s="1" t="s">
        <v>4873</v>
      </c>
      <c r="C2151" s="1" t="s">
        <v>5057</v>
      </c>
    </row>
    <row r="2152" spans="1:3" x14ac:dyDescent="0.35">
      <c r="A2152" s="1" t="s">
        <v>6212</v>
      </c>
      <c r="B2152" s="1" t="s">
        <v>4875</v>
      </c>
      <c r="C2152" s="1" t="s">
        <v>5059</v>
      </c>
    </row>
    <row r="2153" spans="1:3" x14ac:dyDescent="0.35">
      <c r="A2153" s="1" t="s">
        <v>6213</v>
      </c>
      <c r="B2153" s="1" t="s">
        <v>4877</v>
      </c>
      <c r="C2153" s="1" t="s">
        <v>5061</v>
      </c>
    </row>
    <row r="2154" spans="1:3" x14ac:dyDescent="0.35">
      <c r="A2154" s="1" t="s">
        <v>6214</v>
      </c>
      <c r="B2154" s="1" t="s">
        <v>4879</v>
      </c>
      <c r="C2154" s="1" t="s">
        <v>5063</v>
      </c>
    </row>
    <row r="2155" spans="1:3" x14ac:dyDescent="0.35">
      <c r="A2155" s="1" t="s">
        <v>6215</v>
      </c>
      <c r="B2155" s="1" t="s">
        <v>4881</v>
      </c>
      <c r="C2155" s="1" t="s">
        <v>5065</v>
      </c>
    </row>
    <row r="2156" spans="1:3" x14ac:dyDescent="0.35">
      <c r="A2156" s="1" t="s">
        <v>6216</v>
      </c>
      <c r="B2156" s="1" t="s">
        <v>4883</v>
      </c>
      <c r="C2156" s="1" t="s">
        <v>5067</v>
      </c>
    </row>
    <row r="2157" spans="1:3" x14ac:dyDescent="0.35">
      <c r="A2157" s="1" t="s">
        <v>6217</v>
      </c>
      <c r="B2157" s="1" t="s">
        <v>4885</v>
      </c>
      <c r="C2157" s="1" t="s">
        <v>5069</v>
      </c>
    </row>
    <row r="2158" spans="1:3" x14ac:dyDescent="0.35">
      <c r="A2158" s="1" t="s">
        <v>6218</v>
      </c>
      <c r="B2158" s="1" t="s">
        <v>4886</v>
      </c>
      <c r="C2158" s="1" t="s">
        <v>5071</v>
      </c>
    </row>
    <row r="2159" spans="1:3" x14ac:dyDescent="0.35">
      <c r="A2159" s="1" t="s">
        <v>6219</v>
      </c>
      <c r="B2159" s="1" t="s">
        <v>4887</v>
      </c>
      <c r="C2159" s="1" t="s">
        <v>5073</v>
      </c>
    </row>
    <row r="2160" spans="1:3" x14ac:dyDescent="0.35">
      <c r="A2160" s="1" t="s">
        <v>6220</v>
      </c>
      <c r="B2160" s="1" t="s">
        <v>4889</v>
      </c>
      <c r="C2160" s="1" t="s">
        <v>5075</v>
      </c>
    </row>
    <row r="2161" spans="1:3" x14ac:dyDescent="0.35">
      <c r="A2161" s="1" t="s">
        <v>6221</v>
      </c>
      <c r="B2161" s="1" t="s">
        <v>4891</v>
      </c>
      <c r="C2161" s="1" t="s">
        <v>5077</v>
      </c>
    </row>
    <row r="2162" spans="1:3" x14ac:dyDescent="0.35">
      <c r="A2162" s="1" t="s">
        <v>6222</v>
      </c>
      <c r="B2162" s="1" t="s">
        <v>4893</v>
      </c>
      <c r="C2162" s="1" t="s">
        <v>5079</v>
      </c>
    </row>
    <row r="2163" spans="1:3" x14ac:dyDescent="0.35">
      <c r="A2163" s="1" t="s">
        <v>6223</v>
      </c>
      <c r="B2163" s="1" t="s">
        <v>4895</v>
      </c>
      <c r="C2163" s="1" t="s">
        <v>5081</v>
      </c>
    </row>
    <row r="2164" spans="1:3" x14ac:dyDescent="0.35">
      <c r="A2164" s="1" t="s">
        <v>6224</v>
      </c>
      <c r="B2164" s="1" t="s">
        <v>4897</v>
      </c>
      <c r="C2164" s="1" t="s">
        <v>5083</v>
      </c>
    </row>
    <row r="2165" spans="1:3" x14ac:dyDescent="0.35">
      <c r="A2165" s="1" t="s">
        <v>6225</v>
      </c>
      <c r="B2165" s="1" t="s">
        <v>4899</v>
      </c>
      <c r="C2165" s="1" t="s">
        <v>5085</v>
      </c>
    </row>
    <row r="2166" spans="1:3" x14ac:dyDescent="0.35">
      <c r="A2166" s="1" t="s">
        <v>6226</v>
      </c>
      <c r="B2166" s="1" t="s">
        <v>4901</v>
      </c>
      <c r="C2166" s="1" t="s">
        <v>5087</v>
      </c>
    </row>
    <row r="2167" spans="1:3" x14ac:dyDescent="0.35">
      <c r="A2167" s="1" t="s">
        <v>6227</v>
      </c>
      <c r="B2167" s="1" t="s">
        <v>4903</v>
      </c>
      <c r="C2167" s="1" t="s">
        <v>5089</v>
      </c>
    </row>
    <row r="2168" spans="1:3" x14ac:dyDescent="0.35">
      <c r="A2168" s="1" t="s">
        <v>6228</v>
      </c>
      <c r="B2168" s="1" t="s">
        <v>4905</v>
      </c>
      <c r="C2168" s="1" t="s">
        <v>5091</v>
      </c>
    </row>
    <row r="2169" spans="1:3" x14ac:dyDescent="0.35">
      <c r="A2169" s="1" t="s">
        <v>6229</v>
      </c>
      <c r="B2169" s="1" t="s">
        <v>4907</v>
      </c>
      <c r="C2169" s="1" t="s">
        <v>5093</v>
      </c>
    </row>
    <row r="2170" spans="1:3" x14ac:dyDescent="0.35">
      <c r="A2170" s="1" t="s">
        <v>6230</v>
      </c>
      <c r="B2170" s="1" t="s">
        <v>4909</v>
      </c>
      <c r="C2170" s="1" t="s">
        <v>5095</v>
      </c>
    </row>
    <row r="2171" spans="1:3" x14ac:dyDescent="0.35">
      <c r="A2171" s="1" t="s">
        <v>6231</v>
      </c>
      <c r="B2171" s="1" t="s">
        <v>4911</v>
      </c>
      <c r="C2171" s="1" t="s">
        <v>5097</v>
      </c>
    </row>
    <row r="2172" spans="1:3" x14ac:dyDescent="0.35">
      <c r="A2172" s="1" t="s">
        <v>6232</v>
      </c>
      <c r="B2172" s="1" t="s">
        <v>4913</v>
      </c>
      <c r="C2172" s="1" t="s">
        <v>5099</v>
      </c>
    </row>
    <row r="2173" spans="1:3" x14ac:dyDescent="0.35">
      <c r="A2173" s="1" t="s">
        <v>6233</v>
      </c>
      <c r="B2173" s="1" t="s">
        <v>4915</v>
      </c>
      <c r="C2173" s="1" t="s">
        <v>5100</v>
      </c>
    </row>
    <row r="2174" spans="1:3" x14ac:dyDescent="0.35">
      <c r="A2174" s="1" t="s">
        <v>6234</v>
      </c>
      <c r="B2174" s="1" t="s">
        <v>4917</v>
      </c>
      <c r="C2174" s="1" t="s">
        <v>5102</v>
      </c>
    </row>
    <row r="2175" spans="1:3" x14ac:dyDescent="0.35">
      <c r="A2175" s="1" t="s">
        <v>6235</v>
      </c>
      <c r="B2175" s="1" t="s">
        <v>4919</v>
      </c>
      <c r="C2175" s="1" t="s">
        <v>5104</v>
      </c>
    </row>
    <row r="2176" spans="1:3" x14ac:dyDescent="0.35">
      <c r="A2176" s="1" t="s">
        <v>6236</v>
      </c>
      <c r="B2176" s="1" t="s">
        <v>4921</v>
      </c>
      <c r="C2176" s="1" t="s">
        <v>5106</v>
      </c>
    </row>
    <row r="2177" spans="1:3" x14ac:dyDescent="0.35">
      <c r="A2177" s="1" t="s">
        <v>6237</v>
      </c>
      <c r="B2177" s="1" t="s">
        <v>4923</v>
      </c>
      <c r="C2177" s="1" t="s">
        <v>5108</v>
      </c>
    </row>
    <row r="2178" spans="1:3" x14ac:dyDescent="0.35">
      <c r="A2178" s="1" t="s">
        <v>6238</v>
      </c>
      <c r="B2178" s="1" t="s">
        <v>4925</v>
      </c>
      <c r="C2178" s="1" t="s">
        <v>5110</v>
      </c>
    </row>
    <row r="2179" spans="1:3" x14ac:dyDescent="0.35">
      <c r="A2179" s="1" t="s">
        <v>6239</v>
      </c>
      <c r="B2179" s="1" t="s">
        <v>4927</v>
      </c>
      <c r="C2179" s="1" t="s">
        <v>5112</v>
      </c>
    </row>
    <row r="2180" spans="1:3" x14ac:dyDescent="0.35">
      <c r="A2180" s="1" t="s">
        <v>6240</v>
      </c>
      <c r="B2180" s="1" t="s">
        <v>4929</v>
      </c>
      <c r="C2180" s="1" t="s">
        <v>5114</v>
      </c>
    </row>
    <row r="2181" spans="1:3" x14ac:dyDescent="0.35">
      <c r="A2181" s="1" t="s">
        <v>6241</v>
      </c>
      <c r="B2181" s="1" t="s">
        <v>4931</v>
      </c>
      <c r="C2181" s="1" t="s">
        <v>5116</v>
      </c>
    </row>
    <row r="2182" spans="1:3" x14ac:dyDescent="0.35">
      <c r="A2182" s="1" t="s">
        <v>6242</v>
      </c>
      <c r="B2182" s="1" t="s">
        <v>4933</v>
      </c>
      <c r="C2182" s="1" t="s">
        <v>5118</v>
      </c>
    </row>
    <row r="2184" spans="1:3" x14ac:dyDescent="0.35">
      <c r="A2184" s="37" t="s">
        <v>6243</v>
      </c>
      <c r="B2184" s="1" t="s">
        <v>5120</v>
      </c>
      <c r="C2184" s="1" t="s">
        <v>5309</v>
      </c>
    </row>
    <row r="2185" spans="1:3" x14ac:dyDescent="0.35">
      <c r="A2185" s="37" t="s">
        <v>6244</v>
      </c>
      <c r="B2185" s="1" t="s">
        <v>5123</v>
      </c>
      <c r="C2185" s="1" t="s">
        <v>5311</v>
      </c>
    </row>
    <row r="2186" spans="1:3" x14ac:dyDescent="0.35">
      <c r="A2186" s="37" t="s">
        <v>6245</v>
      </c>
      <c r="B2186" s="1" t="s">
        <v>5125</v>
      </c>
      <c r="C2186" s="1" t="s">
        <v>5313</v>
      </c>
    </row>
    <row r="2187" spans="1:3" x14ac:dyDescent="0.35">
      <c r="A2187" s="37" t="s">
        <v>6246</v>
      </c>
      <c r="B2187" s="1" t="s">
        <v>5127</v>
      </c>
      <c r="C2187" s="1" t="s">
        <v>5315</v>
      </c>
    </row>
    <row r="2188" spans="1:3" x14ac:dyDescent="0.35">
      <c r="A2188" s="37" t="s">
        <v>6247</v>
      </c>
      <c r="B2188" s="1" t="s">
        <v>5129</v>
      </c>
      <c r="C2188" s="1" t="s">
        <v>5317</v>
      </c>
    </row>
    <row r="2189" spans="1:3" x14ac:dyDescent="0.35">
      <c r="A2189" s="37" t="s">
        <v>6248</v>
      </c>
      <c r="B2189" s="1" t="s">
        <v>5131</v>
      </c>
      <c r="C2189" s="1" t="s">
        <v>5319</v>
      </c>
    </row>
    <row r="2190" spans="1:3" x14ac:dyDescent="0.35">
      <c r="A2190" s="37" t="s">
        <v>6249</v>
      </c>
      <c r="B2190" s="1" t="s">
        <v>5133</v>
      </c>
      <c r="C2190" s="1" t="s">
        <v>5321</v>
      </c>
    </row>
    <row r="2191" spans="1:3" x14ac:dyDescent="0.35">
      <c r="A2191" s="37" t="s">
        <v>6250</v>
      </c>
      <c r="B2191" s="1" t="s">
        <v>5135</v>
      </c>
      <c r="C2191" s="1" t="s">
        <v>5323</v>
      </c>
    </row>
    <row r="2192" spans="1:3" x14ac:dyDescent="0.35">
      <c r="A2192" s="37" t="s">
        <v>6251</v>
      </c>
      <c r="B2192" s="1" t="s">
        <v>5137</v>
      </c>
      <c r="C2192" s="1" t="s">
        <v>5325</v>
      </c>
    </row>
    <row r="2193" spans="1:3" x14ac:dyDescent="0.35">
      <c r="A2193" s="37" t="s">
        <v>6252</v>
      </c>
      <c r="B2193" s="1" t="s">
        <v>5139</v>
      </c>
      <c r="C2193" s="1" t="s">
        <v>5327</v>
      </c>
    </row>
    <row r="2194" spans="1:3" x14ac:dyDescent="0.35">
      <c r="A2194" s="37" t="s">
        <v>6253</v>
      </c>
      <c r="B2194" s="1" t="s">
        <v>5141</v>
      </c>
      <c r="C2194" s="1" t="s">
        <v>5329</v>
      </c>
    </row>
    <row r="2195" spans="1:3" x14ac:dyDescent="0.35">
      <c r="A2195" s="37" t="s">
        <v>6254</v>
      </c>
      <c r="B2195" s="1" t="s">
        <v>5143</v>
      </c>
      <c r="C2195" s="1" t="s">
        <v>5331</v>
      </c>
    </row>
    <row r="2196" spans="1:3" x14ac:dyDescent="0.35">
      <c r="A2196" s="37" t="s">
        <v>6255</v>
      </c>
      <c r="B2196" s="1" t="s">
        <v>5145</v>
      </c>
      <c r="C2196" s="1" t="s">
        <v>5333</v>
      </c>
    </row>
    <row r="2197" spans="1:3" x14ac:dyDescent="0.35">
      <c r="A2197" s="37" t="s">
        <v>6256</v>
      </c>
      <c r="B2197" s="1" t="s">
        <v>5147</v>
      </c>
      <c r="C2197" s="1" t="s">
        <v>5335</v>
      </c>
    </row>
    <row r="2198" spans="1:3" x14ac:dyDescent="0.35">
      <c r="A2198" s="37" t="s">
        <v>6257</v>
      </c>
      <c r="B2198" s="1" t="s">
        <v>5149</v>
      </c>
      <c r="C2198" s="1" t="s">
        <v>5337</v>
      </c>
    </row>
    <row r="2199" spans="1:3" x14ac:dyDescent="0.35">
      <c r="A2199" s="37" t="s">
        <v>6258</v>
      </c>
      <c r="B2199" s="1" t="s">
        <v>5151</v>
      </c>
      <c r="C2199" s="1" t="s">
        <v>5339</v>
      </c>
    </row>
    <row r="2200" spans="1:3" x14ac:dyDescent="0.35">
      <c r="A2200" s="37" t="s">
        <v>6259</v>
      </c>
      <c r="B2200" s="1" t="s">
        <v>5152</v>
      </c>
      <c r="C2200" s="1" t="s">
        <v>5341</v>
      </c>
    </row>
    <row r="2201" spans="1:3" x14ac:dyDescent="0.35">
      <c r="A2201" s="37" t="s">
        <v>6260</v>
      </c>
      <c r="B2201" s="1" t="s">
        <v>5154</v>
      </c>
      <c r="C2201" s="1" t="s">
        <v>5343</v>
      </c>
    </row>
    <row r="2202" spans="1:3" x14ac:dyDescent="0.35">
      <c r="A2202" s="37" t="s">
        <v>6261</v>
      </c>
      <c r="B2202" s="1" t="s">
        <v>5156</v>
      </c>
      <c r="C2202" s="1" t="s">
        <v>5345</v>
      </c>
    </row>
    <row r="2203" spans="1:3" x14ac:dyDescent="0.35">
      <c r="A2203" s="37" t="s">
        <v>6262</v>
      </c>
      <c r="B2203" s="1" t="s">
        <v>5158</v>
      </c>
      <c r="C2203" s="1" t="s">
        <v>5347</v>
      </c>
    </row>
    <row r="2204" spans="1:3" x14ac:dyDescent="0.35">
      <c r="A2204" s="37" t="s">
        <v>6263</v>
      </c>
      <c r="B2204" s="1" t="s">
        <v>5160</v>
      </c>
      <c r="C2204" s="1" t="s">
        <v>5348</v>
      </c>
    </row>
    <row r="2205" spans="1:3" x14ac:dyDescent="0.35">
      <c r="A2205" s="37" t="s">
        <v>6264</v>
      </c>
      <c r="B2205" s="1" t="s">
        <v>5162</v>
      </c>
      <c r="C2205" s="1" t="s">
        <v>5350</v>
      </c>
    </row>
    <row r="2206" spans="1:3" x14ac:dyDescent="0.35">
      <c r="A2206" s="37" t="s">
        <v>6265</v>
      </c>
      <c r="B2206" s="1" t="s">
        <v>5164</v>
      </c>
      <c r="C2206" s="1" t="s">
        <v>5352</v>
      </c>
    </row>
    <row r="2207" spans="1:3" x14ac:dyDescent="0.35">
      <c r="A2207" s="37" t="s">
        <v>6266</v>
      </c>
      <c r="B2207" s="1" t="s">
        <v>5166</v>
      </c>
      <c r="C2207" s="1" t="s">
        <v>5354</v>
      </c>
    </row>
    <row r="2208" spans="1:3" x14ac:dyDescent="0.35">
      <c r="A2208" s="37" t="s">
        <v>6267</v>
      </c>
      <c r="B2208" s="1" t="s">
        <v>5167</v>
      </c>
      <c r="C2208" s="1" t="s">
        <v>5356</v>
      </c>
    </row>
    <row r="2209" spans="1:3" x14ac:dyDescent="0.35">
      <c r="A2209" s="37" t="s">
        <v>6268</v>
      </c>
      <c r="B2209" s="1" t="s">
        <v>5169</v>
      </c>
      <c r="C2209" s="1" t="s">
        <v>5358</v>
      </c>
    </row>
    <row r="2210" spans="1:3" x14ac:dyDescent="0.35">
      <c r="A2210" s="37" t="s">
        <v>6269</v>
      </c>
      <c r="B2210" s="1" t="s">
        <v>5171</v>
      </c>
      <c r="C2210" s="1" t="s">
        <v>5360</v>
      </c>
    </row>
    <row r="2211" spans="1:3" x14ac:dyDescent="0.35">
      <c r="A2211" s="37" t="s">
        <v>6270</v>
      </c>
      <c r="B2211" s="1" t="s">
        <v>5173</v>
      </c>
      <c r="C2211" s="1" t="s">
        <v>5361</v>
      </c>
    </row>
    <row r="2212" spans="1:3" x14ac:dyDescent="0.35">
      <c r="A2212" s="37" t="s">
        <v>6271</v>
      </c>
      <c r="B2212" s="1" t="s">
        <v>5175</v>
      </c>
      <c r="C2212" s="1" t="s">
        <v>5363</v>
      </c>
    </row>
    <row r="2213" spans="1:3" x14ac:dyDescent="0.35">
      <c r="A2213" s="37" t="s">
        <v>6272</v>
      </c>
      <c r="B2213" s="1" t="s">
        <v>5177</v>
      </c>
      <c r="C2213" s="1" t="s">
        <v>5365</v>
      </c>
    </row>
    <row r="2214" spans="1:3" x14ac:dyDescent="0.35">
      <c r="A2214" s="37" t="s">
        <v>6273</v>
      </c>
      <c r="B2214" s="1" t="s">
        <v>5179</v>
      </c>
      <c r="C2214" s="1" t="s">
        <v>5367</v>
      </c>
    </row>
    <row r="2215" spans="1:3" x14ac:dyDescent="0.35">
      <c r="A2215" s="37" t="s">
        <v>6274</v>
      </c>
      <c r="B2215" s="1" t="s">
        <v>5181</v>
      </c>
      <c r="C2215" s="1" t="s">
        <v>5369</v>
      </c>
    </row>
    <row r="2216" spans="1:3" x14ac:dyDescent="0.35">
      <c r="A2216" s="37" t="s">
        <v>6275</v>
      </c>
      <c r="B2216" s="1" t="s">
        <v>5183</v>
      </c>
      <c r="C2216" s="1" t="s">
        <v>5371</v>
      </c>
    </row>
    <row r="2217" spans="1:3" x14ac:dyDescent="0.35">
      <c r="A2217" s="37" t="s">
        <v>6276</v>
      </c>
      <c r="B2217" s="1" t="s">
        <v>5185</v>
      </c>
      <c r="C2217" s="1" t="s">
        <v>5372</v>
      </c>
    </row>
    <row r="2218" spans="1:3" x14ac:dyDescent="0.35">
      <c r="A2218" s="37" t="s">
        <v>6277</v>
      </c>
      <c r="B2218" s="1" t="s">
        <v>5187</v>
      </c>
      <c r="C2218" s="1" t="s">
        <v>5374</v>
      </c>
    </row>
    <row r="2219" spans="1:3" x14ac:dyDescent="0.35">
      <c r="A2219" s="37" t="s">
        <v>6278</v>
      </c>
      <c r="B2219" s="1" t="s">
        <v>5189</v>
      </c>
      <c r="C2219" s="1" t="s">
        <v>5376</v>
      </c>
    </row>
    <row r="2220" spans="1:3" x14ac:dyDescent="0.35">
      <c r="A2220" s="37" t="s">
        <v>6279</v>
      </c>
      <c r="B2220" s="1" t="s">
        <v>5191</v>
      </c>
      <c r="C2220" s="1" t="s">
        <v>5378</v>
      </c>
    </row>
    <row r="2221" spans="1:3" x14ac:dyDescent="0.35">
      <c r="A2221" s="37" t="s">
        <v>6280</v>
      </c>
      <c r="B2221" s="1" t="s">
        <v>5193</v>
      </c>
      <c r="C2221" s="1" t="s">
        <v>5380</v>
      </c>
    </row>
    <row r="2222" spans="1:3" x14ac:dyDescent="0.35">
      <c r="A2222" s="37" t="s">
        <v>6281</v>
      </c>
      <c r="B2222" s="1" t="s">
        <v>5195</v>
      </c>
      <c r="C2222" s="1" t="s">
        <v>5382</v>
      </c>
    </row>
    <row r="2223" spans="1:3" x14ac:dyDescent="0.35">
      <c r="A2223" s="37" t="s">
        <v>6282</v>
      </c>
      <c r="B2223" s="1" t="s">
        <v>5197</v>
      </c>
      <c r="C2223" s="1" t="s">
        <v>5383</v>
      </c>
    </row>
    <row r="2224" spans="1:3" x14ac:dyDescent="0.35">
      <c r="A2224" s="37" t="s">
        <v>6283</v>
      </c>
      <c r="B2224" s="1" t="s">
        <v>5198</v>
      </c>
      <c r="C2224" s="1" t="s">
        <v>5385</v>
      </c>
    </row>
    <row r="2225" spans="1:3" x14ac:dyDescent="0.35">
      <c r="A2225" s="37" t="s">
        <v>6284</v>
      </c>
      <c r="B2225" s="1" t="s">
        <v>5200</v>
      </c>
      <c r="C2225" s="1" t="s">
        <v>5386</v>
      </c>
    </row>
    <row r="2226" spans="1:3" x14ac:dyDescent="0.35">
      <c r="A2226" s="37" t="s">
        <v>6285</v>
      </c>
      <c r="B2226" s="1" t="s">
        <v>5202</v>
      </c>
      <c r="C2226" s="1" t="s">
        <v>5388</v>
      </c>
    </row>
    <row r="2227" spans="1:3" x14ac:dyDescent="0.35">
      <c r="A2227" s="37" t="s">
        <v>6286</v>
      </c>
      <c r="B2227" s="1" t="s">
        <v>5204</v>
      </c>
      <c r="C2227" s="1" t="s">
        <v>5390</v>
      </c>
    </row>
    <row r="2228" spans="1:3" x14ac:dyDescent="0.35">
      <c r="A2228" s="37" t="s">
        <v>6287</v>
      </c>
      <c r="B2228" s="1" t="s">
        <v>5206</v>
      </c>
      <c r="C2228" s="1" t="s">
        <v>5392</v>
      </c>
    </row>
    <row r="2229" spans="1:3" x14ac:dyDescent="0.35">
      <c r="A2229" s="37" t="s">
        <v>6288</v>
      </c>
      <c r="B2229" s="1" t="s">
        <v>5208</v>
      </c>
      <c r="C2229" s="1" t="s">
        <v>5394</v>
      </c>
    </row>
    <row r="2230" spans="1:3" x14ac:dyDescent="0.35">
      <c r="A2230" s="37" t="s">
        <v>6289</v>
      </c>
      <c r="B2230" s="1" t="s">
        <v>5210</v>
      </c>
      <c r="C2230" s="1" t="s">
        <v>5396</v>
      </c>
    </row>
    <row r="2231" spans="1:3" x14ac:dyDescent="0.35">
      <c r="A2231" s="37" t="s">
        <v>6290</v>
      </c>
      <c r="B2231" s="1" t="s">
        <v>5212</v>
      </c>
      <c r="C2231" s="1" t="s">
        <v>5398</v>
      </c>
    </row>
    <row r="2232" spans="1:3" x14ac:dyDescent="0.35">
      <c r="A2232" s="37" t="s">
        <v>6291</v>
      </c>
      <c r="B2232" s="1" t="s">
        <v>5214</v>
      </c>
      <c r="C2232" s="1" t="s">
        <v>5400</v>
      </c>
    </row>
    <row r="2233" spans="1:3" x14ac:dyDescent="0.35">
      <c r="A2233" s="37" t="s">
        <v>6292</v>
      </c>
      <c r="B2233" s="1" t="s">
        <v>5216</v>
      </c>
      <c r="C2233" s="1" t="s">
        <v>5402</v>
      </c>
    </row>
    <row r="2234" spans="1:3" x14ac:dyDescent="0.35">
      <c r="A2234" s="37" t="s">
        <v>6293</v>
      </c>
      <c r="B2234" s="1" t="s">
        <v>5218</v>
      </c>
      <c r="C2234" s="1" t="s">
        <v>5404</v>
      </c>
    </row>
    <row r="2235" spans="1:3" x14ac:dyDescent="0.35">
      <c r="A2235" s="37" t="s">
        <v>6294</v>
      </c>
      <c r="B2235" s="1" t="s">
        <v>5220</v>
      </c>
      <c r="C2235" s="1" t="s">
        <v>5406</v>
      </c>
    </row>
    <row r="2236" spans="1:3" x14ac:dyDescent="0.35">
      <c r="A2236" s="37" t="s">
        <v>6295</v>
      </c>
      <c r="B2236" s="1" t="s">
        <v>5222</v>
      </c>
      <c r="C2236" s="1" t="s">
        <v>5408</v>
      </c>
    </row>
    <row r="2237" spans="1:3" x14ac:dyDescent="0.35">
      <c r="A2237" s="37" t="s">
        <v>6296</v>
      </c>
      <c r="B2237" s="1" t="s">
        <v>5224</v>
      </c>
      <c r="C2237" s="1" t="s">
        <v>5410</v>
      </c>
    </row>
    <row r="2238" spans="1:3" x14ac:dyDescent="0.35">
      <c r="A2238" s="37" t="s">
        <v>6297</v>
      </c>
      <c r="B2238" s="1" t="s">
        <v>5226</v>
      </c>
      <c r="C2238" s="1" t="s">
        <v>5412</v>
      </c>
    </row>
    <row r="2239" spans="1:3" x14ac:dyDescent="0.35">
      <c r="A2239" s="37" t="s">
        <v>6298</v>
      </c>
      <c r="B2239" s="1" t="s">
        <v>5228</v>
      </c>
      <c r="C2239" s="1" t="s">
        <v>5414</v>
      </c>
    </row>
    <row r="2240" spans="1:3" x14ac:dyDescent="0.35">
      <c r="A2240" s="37" t="s">
        <v>6299</v>
      </c>
      <c r="B2240" s="1" t="s">
        <v>5230</v>
      </c>
      <c r="C2240" s="1" t="s">
        <v>5416</v>
      </c>
    </row>
    <row r="2241" spans="1:3" x14ac:dyDescent="0.35">
      <c r="A2241" s="37" t="s">
        <v>6300</v>
      </c>
      <c r="B2241" s="1" t="s">
        <v>5232</v>
      </c>
      <c r="C2241" s="1" t="s">
        <v>5418</v>
      </c>
    </row>
    <row r="2242" spans="1:3" x14ac:dyDescent="0.35">
      <c r="A2242" s="37" t="s">
        <v>6301</v>
      </c>
      <c r="B2242" s="1" t="s">
        <v>5234</v>
      </c>
      <c r="C2242" s="1" t="s">
        <v>5420</v>
      </c>
    </row>
    <row r="2243" spans="1:3" x14ac:dyDescent="0.35">
      <c r="A2243" s="37" t="s">
        <v>6302</v>
      </c>
      <c r="B2243" s="1" t="s">
        <v>5236</v>
      </c>
      <c r="C2243" s="1" t="s">
        <v>5422</v>
      </c>
    </row>
    <row r="2244" spans="1:3" x14ac:dyDescent="0.35">
      <c r="A2244" s="37" t="s">
        <v>6303</v>
      </c>
      <c r="B2244" s="1" t="s">
        <v>5238</v>
      </c>
      <c r="C2244" s="1" t="s">
        <v>5424</v>
      </c>
    </row>
    <row r="2245" spans="1:3" x14ac:dyDescent="0.35">
      <c r="A2245" s="37" t="s">
        <v>6304</v>
      </c>
      <c r="B2245" s="1" t="s">
        <v>5240</v>
      </c>
      <c r="C2245" s="1" t="s">
        <v>5426</v>
      </c>
    </row>
    <row r="2246" spans="1:3" x14ac:dyDescent="0.35">
      <c r="A2246" s="37" t="s">
        <v>6305</v>
      </c>
      <c r="B2246" s="1" t="s">
        <v>5242</v>
      </c>
      <c r="C2246" s="1" t="s">
        <v>5428</v>
      </c>
    </row>
    <row r="2247" spans="1:3" x14ac:dyDescent="0.35">
      <c r="A2247" s="37" t="s">
        <v>6306</v>
      </c>
      <c r="B2247" s="1" t="s">
        <v>5244</v>
      </c>
      <c r="C2247" s="1" t="s">
        <v>5430</v>
      </c>
    </row>
    <row r="2248" spans="1:3" x14ac:dyDescent="0.35">
      <c r="A2248" s="37" t="s">
        <v>6307</v>
      </c>
      <c r="B2248" s="1" t="s">
        <v>5246</v>
      </c>
      <c r="C2248" s="1" t="s">
        <v>5432</v>
      </c>
    </row>
    <row r="2249" spans="1:3" x14ac:dyDescent="0.35">
      <c r="A2249" s="37" t="s">
        <v>6308</v>
      </c>
      <c r="B2249" s="1" t="s">
        <v>5248</v>
      </c>
      <c r="C2249" s="1" t="s">
        <v>5433</v>
      </c>
    </row>
    <row r="2250" spans="1:3" x14ac:dyDescent="0.35">
      <c r="A2250" s="37" t="s">
        <v>6309</v>
      </c>
      <c r="B2250" s="1" t="s">
        <v>5250</v>
      </c>
      <c r="C2250" s="1" t="s">
        <v>5435</v>
      </c>
    </row>
    <row r="2251" spans="1:3" x14ac:dyDescent="0.35">
      <c r="A2251" s="37" t="s">
        <v>6310</v>
      </c>
      <c r="B2251" s="1" t="s">
        <v>5252</v>
      </c>
      <c r="C2251" s="1" t="s">
        <v>5437</v>
      </c>
    </row>
    <row r="2252" spans="1:3" x14ac:dyDescent="0.35">
      <c r="A2252" s="37" t="s">
        <v>6311</v>
      </c>
      <c r="B2252" s="1" t="s">
        <v>5254</v>
      </c>
      <c r="C2252" s="1" t="s">
        <v>5439</v>
      </c>
    </row>
    <row r="2253" spans="1:3" x14ac:dyDescent="0.35">
      <c r="A2253" s="37" t="s">
        <v>6312</v>
      </c>
      <c r="B2253" s="1" t="s">
        <v>5256</v>
      </c>
      <c r="C2253" s="1" t="s">
        <v>5441</v>
      </c>
    </row>
    <row r="2254" spans="1:3" x14ac:dyDescent="0.35">
      <c r="A2254" s="37" t="s">
        <v>6313</v>
      </c>
      <c r="B2254" s="1" t="s">
        <v>5258</v>
      </c>
      <c r="C2254" s="1" t="s">
        <v>5443</v>
      </c>
    </row>
    <row r="2255" spans="1:3" x14ac:dyDescent="0.35">
      <c r="A2255" s="37" t="s">
        <v>6314</v>
      </c>
      <c r="B2255" s="1" t="s">
        <v>5260</v>
      </c>
      <c r="C2255" s="1" t="s">
        <v>5445</v>
      </c>
    </row>
    <row r="2256" spans="1:3" x14ac:dyDescent="0.35">
      <c r="A2256" s="37" t="s">
        <v>6315</v>
      </c>
      <c r="B2256" s="1" t="s">
        <v>5262</v>
      </c>
      <c r="C2256" s="1" t="s">
        <v>5447</v>
      </c>
    </row>
    <row r="2257" spans="1:3" x14ac:dyDescent="0.35">
      <c r="A2257" s="37" t="s">
        <v>6316</v>
      </c>
      <c r="B2257" s="1" t="s">
        <v>5264</v>
      </c>
      <c r="C2257" s="1" t="s">
        <v>5449</v>
      </c>
    </row>
    <row r="2258" spans="1:3" x14ac:dyDescent="0.35">
      <c r="A2258" s="37" t="s">
        <v>6317</v>
      </c>
      <c r="B2258" s="1" t="s">
        <v>5266</v>
      </c>
      <c r="C2258" s="1" t="s">
        <v>5451</v>
      </c>
    </row>
    <row r="2259" spans="1:3" x14ac:dyDescent="0.35">
      <c r="A2259" s="37" t="s">
        <v>6318</v>
      </c>
      <c r="B2259" s="1" t="s">
        <v>5268</v>
      </c>
      <c r="C2259" s="1" t="s">
        <v>5453</v>
      </c>
    </row>
    <row r="2260" spans="1:3" x14ac:dyDescent="0.35">
      <c r="A2260" s="37" t="s">
        <v>6319</v>
      </c>
      <c r="B2260" s="1" t="s">
        <v>5270</v>
      </c>
      <c r="C2260" s="1" t="s">
        <v>5455</v>
      </c>
    </row>
    <row r="2261" spans="1:3" x14ac:dyDescent="0.35">
      <c r="A2261" s="37" t="s">
        <v>6320</v>
      </c>
      <c r="B2261" s="1" t="s">
        <v>5271</v>
      </c>
      <c r="C2261" s="1" t="s">
        <v>5457</v>
      </c>
    </row>
    <row r="2262" spans="1:3" x14ac:dyDescent="0.35">
      <c r="A2262" s="37" t="s">
        <v>6321</v>
      </c>
      <c r="B2262" s="1" t="s">
        <v>5273</v>
      </c>
      <c r="C2262" s="1" t="s">
        <v>5459</v>
      </c>
    </row>
    <row r="2263" spans="1:3" x14ac:dyDescent="0.35">
      <c r="A2263" s="37" t="s">
        <v>6322</v>
      </c>
      <c r="B2263" s="1" t="s">
        <v>5275</v>
      </c>
      <c r="C2263" s="1" t="s">
        <v>5461</v>
      </c>
    </row>
    <row r="2264" spans="1:3" x14ac:dyDescent="0.35">
      <c r="A2264" s="37" t="s">
        <v>6323</v>
      </c>
      <c r="B2264" s="1" t="s">
        <v>5277</v>
      </c>
      <c r="C2264" s="1" t="s">
        <v>5463</v>
      </c>
    </row>
    <row r="2265" spans="1:3" x14ac:dyDescent="0.35">
      <c r="A2265" s="37" t="s">
        <v>6324</v>
      </c>
      <c r="B2265" s="1" t="s">
        <v>5279</v>
      </c>
      <c r="C2265" s="1" t="s">
        <v>5465</v>
      </c>
    </row>
    <row r="2266" spans="1:3" x14ac:dyDescent="0.35">
      <c r="A2266" s="37" t="s">
        <v>6325</v>
      </c>
      <c r="B2266" s="1" t="s">
        <v>5281</v>
      </c>
      <c r="C2266" s="1" t="s">
        <v>5467</v>
      </c>
    </row>
    <row r="2267" spans="1:3" x14ac:dyDescent="0.35">
      <c r="A2267" s="37" t="s">
        <v>6326</v>
      </c>
      <c r="B2267" s="1" t="s">
        <v>5283</v>
      </c>
      <c r="C2267" s="1" t="s">
        <v>5469</v>
      </c>
    </row>
    <row r="2268" spans="1:3" x14ac:dyDescent="0.35">
      <c r="A2268" s="37" t="s">
        <v>6327</v>
      </c>
      <c r="B2268" s="1" t="s">
        <v>5285</v>
      </c>
      <c r="C2268" s="1" t="s">
        <v>5471</v>
      </c>
    </row>
    <row r="2269" spans="1:3" x14ac:dyDescent="0.35">
      <c r="A2269" s="37" t="s">
        <v>6328</v>
      </c>
      <c r="B2269" s="1" t="s">
        <v>5287</v>
      </c>
      <c r="C2269" s="1" t="s">
        <v>5473</v>
      </c>
    </row>
    <row r="2270" spans="1:3" x14ac:dyDescent="0.35">
      <c r="A2270" s="37" t="s">
        <v>6329</v>
      </c>
      <c r="B2270" s="1" t="s">
        <v>5289</v>
      </c>
      <c r="C2270" s="1" t="s">
        <v>5475</v>
      </c>
    </row>
    <row r="2271" spans="1:3" x14ac:dyDescent="0.35">
      <c r="A2271" s="37" t="s">
        <v>6330</v>
      </c>
      <c r="B2271" s="1" t="s">
        <v>5291</v>
      </c>
      <c r="C2271" s="1" t="s">
        <v>5477</v>
      </c>
    </row>
    <row r="2272" spans="1:3" x14ac:dyDescent="0.35">
      <c r="A2272" s="37" t="s">
        <v>6331</v>
      </c>
      <c r="B2272" s="1" t="s">
        <v>5293</v>
      </c>
      <c r="C2272" s="1" t="s">
        <v>5479</v>
      </c>
    </row>
    <row r="2273" spans="1:3" x14ac:dyDescent="0.35">
      <c r="A2273" s="37" t="s">
        <v>6332</v>
      </c>
      <c r="B2273" s="1" t="s">
        <v>5295</v>
      </c>
      <c r="C2273" s="1" t="s">
        <v>5481</v>
      </c>
    </row>
    <row r="2274" spans="1:3" x14ac:dyDescent="0.35">
      <c r="A2274" s="37" t="s">
        <v>6333</v>
      </c>
      <c r="B2274" s="1" t="s">
        <v>5297</v>
      </c>
      <c r="C2274" s="1" t="s">
        <v>5483</v>
      </c>
    </row>
    <row r="2275" spans="1:3" x14ac:dyDescent="0.35">
      <c r="A2275" s="37" t="s">
        <v>6334</v>
      </c>
      <c r="B2275" s="1" t="s">
        <v>5299</v>
      </c>
      <c r="C2275" s="1" t="s">
        <v>5485</v>
      </c>
    </row>
    <row r="2276" spans="1:3" x14ac:dyDescent="0.35">
      <c r="A2276" s="37" t="s">
        <v>6335</v>
      </c>
      <c r="B2276" s="1" t="s">
        <v>5301</v>
      </c>
      <c r="C2276" s="1" t="s">
        <v>5487</v>
      </c>
    </row>
    <row r="2277" spans="1:3" x14ac:dyDescent="0.35">
      <c r="A2277" s="37" t="s">
        <v>6336</v>
      </c>
      <c r="B2277" s="1" t="s">
        <v>5303</v>
      </c>
      <c r="C2277" s="1" t="s">
        <v>5489</v>
      </c>
    </row>
    <row r="2278" spans="1:3" x14ac:dyDescent="0.35">
      <c r="A2278" s="37" t="s">
        <v>6337</v>
      </c>
      <c r="B2278" s="1" t="s">
        <v>5305</v>
      </c>
      <c r="C2278" s="1" t="s">
        <v>5491</v>
      </c>
    </row>
    <row r="2279" spans="1:3" x14ac:dyDescent="0.35">
      <c r="A2279" s="37" t="s">
        <v>6338</v>
      </c>
      <c r="B2279" s="1" t="s">
        <v>5307</v>
      </c>
      <c r="C2279" s="1" t="s">
        <v>5493</v>
      </c>
    </row>
    <row r="2281" spans="1:3" x14ac:dyDescent="0.35">
      <c r="A2281" s="1" t="s">
        <v>6384</v>
      </c>
      <c r="B2281" s="1" t="s">
        <v>6352</v>
      </c>
      <c r="C2281" s="1" t="s">
        <v>6376</v>
      </c>
    </row>
    <row r="2282" spans="1:3" x14ac:dyDescent="0.35">
      <c r="A2282" s="1" t="s">
        <v>6385</v>
      </c>
      <c r="B2282" s="1" t="s">
        <v>6352</v>
      </c>
      <c r="C2282" s="1" t="s">
        <v>6377</v>
      </c>
    </row>
    <row r="2283" spans="1:3" x14ac:dyDescent="0.35">
      <c r="A2283" s="1" t="s">
        <v>6386</v>
      </c>
      <c r="B2283" s="1" t="s">
        <v>6352</v>
      </c>
      <c r="C2283" s="1" t="s">
        <v>6378</v>
      </c>
    </row>
    <row r="2284" spans="1:3" x14ac:dyDescent="0.35">
      <c r="A2284" s="1" t="s">
        <v>6387</v>
      </c>
      <c r="B2284" s="1" t="s">
        <v>6352</v>
      </c>
      <c r="C2284" s="1" t="s">
        <v>6379</v>
      </c>
    </row>
    <row r="2285" spans="1:3" x14ac:dyDescent="0.35">
      <c r="A2285" s="1" t="s">
        <v>6388</v>
      </c>
      <c r="B2285" s="1" t="s">
        <v>6352</v>
      </c>
      <c r="C2285" s="1" t="s">
        <v>6380</v>
      </c>
    </row>
    <row r="2286" spans="1:3" x14ac:dyDescent="0.35">
      <c r="A2286" s="1" t="s">
        <v>6389</v>
      </c>
      <c r="B2286" s="1" t="s">
        <v>6352</v>
      </c>
      <c r="C2286" s="1" t="s">
        <v>6381</v>
      </c>
    </row>
    <row r="2287" spans="1:3" x14ac:dyDescent="0.35">
      <c r="A2287" s="1" t="s">
        <v>6390</v>
      </c>
      <c r="B2287" s="1" t="s">
        <v>6352</v>
      </c>
      <c r="C2287" s="1" t="s">
        <v>6382</v>
      </c>
    </row>
    <row r="2288" spans="1:3" x14ac:dyDescent="0.35">
      <c r="A2288" s="1" t="s">
        <v>6391</v>
      </c>
      <c r="B2288" s="1" t="s">
        <v>6352</v>
      </c>
      <c r="C2288" s="1" t="s">
        <v>6383</v>
      </c>
    </row>
    <row r="2289" spans="1:3" x14ac:dyDescent="0.35">
      <c r="A2289" s="1" t="s">
        <v>6392</v>
      </c>
      <c r="B2289" s="1" t="s">
        <v>6355</v>
      </c>
      <c r="C2289" s="1" t="s">
        <v>6376</v>
      </c>
    </row>
    <row r="2290" spans="1:3" x14ac:dyDescent="0.35">
      <c r="A2290" s="1" t="s">
        <v>6393</v>
      </c>
      <c r="B2290" s="1" t="s">
        <v>6355</v>
      </c>
      <c r="C2290" s="1" t="s">
        <v>6377</v>
      </c>
    </row>
    <row r="2291" spans="1:3" x14ac:dyDescent="0.35">
      <c r="A2291" s="1" t="s">
        <v>6394</v>
      </c>
      <c r="B2291" s="1" t="s">
        <v>6355</v>
      </c>
      <c r="C2291" s="1" t="s">
        <v>6378</v>
      </c>
    </row>
    <row r="2292" spans="1:3" x14ac:dyDescent="0.35">
      <c r="A2292" s="1" t="s">
        <v>6395</v>
      </c>
      <c r="B2292" s="1" t="s">
        <v>6355</v>
      </c>
      <c r="C2292" s="1" t="s">
        <v>6379</v>
      </c>
    </row>
    <row r="2293" spans="1:3" x14ac:dyDescent="0.35">
      <c r="A2293" s="1" t="s">
        <v>6396</v>
      </c>
      <c r="B2293" s="1" t="s">
        <v>6355</v>
      </c>
      <c r="C2293" s="1" t="s">
        <v>6380</v>
      </c>
    </row>
    <row r="2294" spans="1:3" x14ac:dyDescent="0.35">
      <c r="A2294" s="1" t="s">
        <v>6397</v>
      </c>
      <c r="B2294" s="1" t="s">
        <v>6355</v>
      </c>
      <c r="C2294" s="1" t="s">
        <v>6381</v>
      </c>
    </row>
    <row r="2295" spans="1:3" x14ac:dyDescent="0.35">
      <c r="A2295" s="1" t="s">
        <v>6398</v>
      </c>
      <c r="B2295" s="1" t="s">
        <v>6355</v>
      </c>
      <c r="C2295" s="1" t="s">
        <v>6382</v>
      </c>
    </row>
    <row r="2296" spans="1:3" x14ac:dyDescent="0.35">
      <c r="A2296" s="1" t="s">
        <v>6399</v>
      </c>
      <c r="B2296" s="1" t="s">
        <v>6355</v>
      </c>
      <c r="C2296" s="1" t="s">
        <v>6383</v>
      </c>
    </row>
    <row r="2297" spans="1:3" x14ac:dyDescent="0.35">
      <c r="A2297" s="1" t="s">
        <v>6400</v>
      </c>
      <c r="B2297" s="1" t="s">
        <v>6357</v>
      </c>
      <c r="C2297" s="1" t="s">
        <v>6376</v>
      </c>
    </row>
    <row r="2298" spans="1:3" x14ac:dyDescent="0.35">
      <c r="A2298" s="1" t="s">
        <v>6401</v>
      </c>
      <c r="B2298" s="1" t="s">
        <v>6357</v>
      </c>
      <c r="C2298" s="1" t="s">
        <v>6377</v>
      </c>
    </row>
    <row r="2299" spans="1:3" x14ac:dyDescent="0.35">
      <c r="A2299" s="1" t="s">
        <v>6402</v>
      </c>
      <c r="B2299" s="1" t="s">
        <v>6357</v>
      </c>
      <c r="C2299" s="1" t="s">
        <v>6378</v>
      </c>
    </row>
    <row r="2300" spans="1:3" x14ac:dyDescent="0.35">
      <c r="A2300" s="1" t="s">
        <v>6403</v>
      </c>
      <c r="B2300" s="1" t="s">
        <v>6357</v>
      </c>
      <c r="C2300" s="1" t="s">
        <v>6379</v>
      </c>
    </row>
    <row r="2301" spans="1:3" x14ac:dyDescent="0.35">
      <c r="A2301" s="1" t="s">
        <v>6404</v>
      </c>
      <c r="B2301" s="1" t="s">
        <v>6357</v>
      </c>
      <c r="C2301" s="1" t="s">
        <v>6380</v>
      </c>
    </row>
    <row r="2302" spans="1:3" x14ac:dyDescent="0.35">
      <c r="A2302" s="1" t="s">
        <v>6405</v>
      </c>
      <c r="B2302" s="1" t="s">
        <v>6357</v>
      </c>
      <c r="C2302" s="1" t="s">
        <v>6381</v>
      </c>
    </row>
    <row r="2303" spans="1:3" x14ac:dyDescent="0.35">
      <c r="A2303" s="1" t="s">
        <v>6406</v>
      </c>
      <c r="B2303" s="1" t="s">
        <v>6357</v>
      </c>
      <c r="C2303" s="1" t="s">
        <v>6382</v>
      </c>
    </row>
    <row r="2304" spans="1:3" x14ac:dyDescent="0.35">
      <c r="A2304" s="1" t="s">
        <v>6407</v>
      </c>
      <c r="B2304" s="1" t="s">
        <v>6357</v>
      </c>
      <c r="C2304" s="1" t="s">
        <v>6383</v>
      </c>
    </row>
    <row r="2305" spans="1:3" x14ac:dyDescent="0.35">
      <c r="A2305" s="1" t="s">
        <v>6408</v>
      </c>
      <c r="B2305" s="1" t="s">
        <v>6359</v>
      </c>
      <c r="C2305" s="1" t="s">
        <v>6376</v>
      </c>
    </row>
    <row r="2306" spans="1:3" x14ac:dyDescent="0.35">
      <c r="A2306" s="1" t="s">
        <v>6409</v>
      </c>
      <c r="B2306" s="1" t="s">
        <v>6359</v>
      </c>
      <c r="C2306" s="1" t="s">
        <v>6377</v>
      </c>
    </row>
    <row r="2307" spans="1:3" x14ac:dyDescent="0.35">
      <c r="A2307" s="1" t="s">
        <v>6410</v>
      </c>
      <c r="B2307" s="1" t="s">
        <v>6359</v>
      </c>
      <c r="C2307" s="1" t="s">
        <v>6378</v>
      </c>
    </row>
    <row r="2308" spans="1:3" x14ac:dyDescent="0.35">
      <c r="A2308" s="1" t="s">
        <v>6411</v>
      </c>
      <c r="B2308" s="1" t="s">
        <v>6359</v>
      </c>
      <c r="C2308" s="1" t="s">
        <v>6379</v>
      </c>
    </row>
    <row r="2309" spans="1:3" x14ac:dyDescent="0.35">
      <c r="A2309" s="1" t="s">
        <v>6412</v>
      </c>
      <c r="B2309" s="1" t="s">
        <v>6359</v>
      </c>
      <c r="C2309" s="1" t="s">
        <v>6380</v>
      </c>
    </row>
    <row r="2310" spans="1:3" x14ac:dyDescent="0.35">
      <c r="A2310" s="1" t="s">
        <v>6413</v>
      </c>
      <c r="B2310" s="1" t="s">
        <v>6359</v>
      </c>
      <c r="C2310" s="1" t="s">
        <v>6381</v>
      </c>
    </row>
    <row r="2311" spans="1:3" x14ac:dyDescent="0.35">
      <c r="A2311" s="1" t="s">
        <v>6414</v>
      </c>
      <c r="B2311" s="1" t="s">
        <v>6359</v>
      </c>
      <c r="C2311" s="1" t="s">
        <v>6382</v>
      </c>
    </row>
    <row r="2312" spans="1:3" x14ac:dyDescent="0.35">
      <c r="A2312" s="1" t="s">
        <v>6415</v>
      </c>
      <c r="B2312" s="1" t="s">
        <v>6359</v>
      </c>
      <c r="C2312" s="1" t="s">
        <v>6383</v>
      </c>
    </row>
    <row r="2313" spans="1:3" x14ac:dyDescent="0.35">
      <c r="A2313" s="1" t="s">
        <v>6416</v>
      </c>
      <c r="B2313" s="1" t="s">
        <v>6361</v>
      </c>
      <c r="C2313" s="1" t="s">
        <v>6376</v>
      </c>
    </row>
    <row r="2314" spans="1:3" x14ac:dyDescent="0.35">
      <c r="A2314" s="1" t="s">
        <v>6417</v>
      </c>
      <c r="B2314" s="1" t="s">
        <v>6361</v>
      </c>
      <c r="C2314" s="1" t="s">
        <v>6377</v>
      </c>
    </row>
    <row r="2315" spans="1:3" x14ac:dyDescent="0.35">
      <c r="A2315" s="1" t="s">
        <v>6418</v>
      </c>
      <c r="B2315" s="1" t="s">
        <v>6361</v>
      </c>
      <c r="C2315" s="1" t="s">
        <v>6378</v>
      </c>
    </row>
    <row r="2316" spans="1:3" x14ac:dyDescent="0.35">
      <c r="A2316" s="1" t="s">
        <v>6419</v>
      </c>
      <c r="B2316" s="1" t="s">
        <v>6361</v>
      </c>
      <c r="C2316" s="1" t="s">
        <v>6379</v>
      </c>
    </row>
    <row r="2317" spans="1:3" x14ac:dyDescent="0.35">
      <c r="A2317" s="1" t="s">
        <v>6420</v>
      </c>
      <c r="B2317" s="1" t="s">
        <v>6361</v>
      </c>
      <c r="C2317" s="1" t="s">
        <v>6380</v>
      </c>
    </row>
    <row r="2318" spans="1:3" x14ac:dyDescent="0.35">
      <c r="A2318" s="1" t="s">
        <v>6421</v>
      </c>
      <c r="B2318" s="1" t="s">
        <v>6361</v>
      </c>
      <c r="C2318" s="1" t="s">
        <v>6381</v>
      </c>
    </row>
    <row r="2319" spans="1:3" x14ac:dyDescent="0.35">
      <c r="A2319" s="1" t="s">
        <v>6422</v>
      </c>
      <c r="B2319" s="1" t="s">
        <v>6361</v>
      </c>
      <c r="C2319" s="1" t="s">
        <v>6382</v>
      </c>
    </row>
    <row r="2320" spans="1:3" x14ac:dyDescent="0.35">
      <c r="A2320" s="1" t="s">
        <v>6423</v>
      </c>
      <c r="B2320" s="1" t="s">
        <v>6361</v>
      </c>
      <c r="C2320" s="1" t="s">
        <v>6383</v>
      </c>
    </row>
    <row r="2321" spans="1:3" x14ac:dyDescent="0.35">
      <c r="A2321" s="1" t="s">
        <v>6424</v>
      </c>
      <c r="B2321" s="1" t="s">
        <v>6363</v>
      </c>
      <c r="C2321" s="1" t="s">
        <v>6376</v>
      </c>
    </row>
    <row r="2322" spans="1:3" x14ac:dyDescent="0.35">
      <c r="A2322" s="1" t="s">
        <v>6425</v>
      </c>
      <c r="B2322" s="1" t="s">
        <v>6363</v>
      </c>
      <c r="C2322" s="1" t="s">
        <v>6377</v>
      </c>
    </row>
    <row r="2323" spans="1:3" x14ac:dyDescent="0.35">
      <c r="A2323" s="1" t="s">
        <v>6426</v>
      </c>
      <c r="B2323" s="1" t="s">
        <v>6363</v>
      </c>
      <c r="C2323" s="1" t="s">
        <v>6378</v>
      </c>
    </row>
    <row r="2324" spans="1:3" x14ac:dyDescent="0.35">
      <c r="A2324" s="1" t="s">
        <v>6427</v>
      </c>
      <c r="B2324" s="1" t="s">
        <v>6363</v>
      </c>
      <c r="C2324" s="1" t="s">
        <v>6379</v>
      </c>
    </row>
    <row r="2325" spans="1:3" x14ac:dyDescent="0.35">
      <c r="A2325" s="1" t="s">
        <v>6428</v>
      </c>
      <c r="B2325" s="1" t="s">
        <v>6363</v>
      </c>
      <c r="C2325" s="1" t="s">
        <v>6380</v>
      </c>
    </row>
    <row r="2326" spans="1:3" x14ac:dyDescent="0.35">
      <c r="A2326" s="1" t="s">
        <v>6429</v>
      </c>
      <c r="B2326" s="1" t="s">
        <v>6363</v>
      </c>
      <c r="C2326" s="1" t="s">
        <v>6381</v>
      </c>
    </row>
    <row r="2327" spans="1:3" x14ac:dyDescent="0.35">
      <c r="A2327" s="1" t="s">
        <v>6430</v>
      </c>
      <c r="B2327" s="1" t="s">
        <v>6363</v>
      </c>
      <c r="C2327" s="1" t="s">
        <v>6382</v>
      </c>
    </row>
    <row r="2328" spans="1:3" x14ac:dyDescent="0.35">
      <c r="A2328" s="1" t="s">
        <v>6431</v>
      </c>
      <c r="B2328" s="1" t="s">
        <v>6363</v>
      </c>
      <c r="C2328" s="1" t="s">
        <v>6383</v>
      </c>
    </row>
    <row r="2329" spans="1:3" x14ac:dyDescent="0.35">
      <c r="A2329" s="1" t="s">
        <v>6432</v>
      </c>
      <c r="B2329" s="1" t="s">
        <v>6365</v>
      </c>
      <c r="C2329" s="1" t="s">
        <v>6376</v>
      </c>
    </row>
    <row r="2330" spans="1:3" x14ac:dyDescent="0.35">
      <c r="A2330" s="1" t="s">
        <v>6433</v>
      </c>
      <c r="B2330" s="1" t="s">
        <v>6365</v>
      </c>
      <c r="C2330" s="1" t="s">
        <v>6377</v>
      </c>
    </row>
    <row r="2331" spans="1:3" x14ac:dyDescent="0.35">
      <c r="A2331" s="1" t="s">
        <v>6434</v>
      </c>
      <c r="B2331" s="1" t="s">
        <v>6365</v>
      </c>
      <c r="C2331" s="1" t="s">
        <v>6378</v>
      </c>
    </row>
    <row r="2332" spans="1:3" x14ac:dyDescent="0.35">
      <c r="A2332" s="1" t="s">
        <v>6435</v>
      </c>
      <c r="B2332" s="1" t="s">
        <v>6365</v>
      </c>
      <c r="C2332" s="1" t="s">
        <v>6379</v>
      </c>
    </row>
    <row r="2333" spans="1:3" x14ac:dyDescent="0.35">
      <c r="A2333" s="1" t="s">
        <v>6436</v>
      </c>
      <c r="B2333" s="1" t="s">
        <v>6365</v>
      </c>
      <c r="C2333" s="1" t="s">
        <v>6380</v>
      </c>
    </row>
    <row r="2334" spans="1:3" x14ac:dyDescent="0.35">
      <c r="A2334" s="1" t="s">
        <v>6437</v>
      </c>
      <c r="B2334" s="1" t="s">
        <v>6365</v>
      </c>
      <c r="C2334" s="1" t="s">
        <v>6381</v>
      </c>
    </row>
    <row r="2335" spans="1:3" x14ac:dyDescent="0.35">
      <c r="A2335" s="1" t="s">
        <v>6438</v>
      </c>
      <c r="B2335" s="1" t="s">
        <v>6365</v>
      </c>
      <c r="C2335" s="1" t="s">
        <v>6382</v>
      </c>
    </row>
    <row r="2336" spans="1:3" x14ac:dyDescent="0.35">
      <c r="A2336" s="1" t="s">
        <v>6439</v>
      </c>
      <c r="B2336" s="1" t="s">
        <v>6365</v>
      </c>
      <c r="C2336" s="1" t="s">
        <v>6383</v>
      </c>
    </row>
    <row r="2337" spans="1:3" x14ac:dyDescent="0.35">
      <c r="A2337" s="1" t="s">
        <v>6440</v>
      </c>
      <c r="B2337" s="1" t="s">
        <v>6366</v>
      </c>
      <c r="C2337" s="1" t="s">
        <v>6376</v>
      </c>
    </row>
    <row r="2338" spans="1:3" x14ac:dyDescent="0.35">
      <c r="A2338" s="1" t="s">
        <v>6441</v>
      </c>
      <c r="B2338" s="1" t="s">
        <v>6366</v>
      </c>
      <c r="C2338" s="1" t="s">
        <v>6377</v>
      </c>
    </row>
    <row r="2339" spans="1:3" x14ac:dyDescent="0.35">
      <c r="A2339" s="1" t="s">
        <v>6442</v>
      </c>
      <c r="B2339" s="1" t="s">
        <v>6366</v>
      </c>
      <c r="C2339" s="1" t="s">
        <v>6378</v>
      </c>
    </row>
    <row r="2340" spans="1:3" x14ac:dyDescent="0.35">
      <c r="A2340" s="1" t="s">
        <v>6443</v>
      </c>
      <c r="B2340" s="1" t="s">
        <v>6366</v>
      </c>
      <c r="C2340" s="1" t="s">
        <v>6379</v>
      </c>
    </row>
    <row r="2341" spans="1:3" x14ac:dyDescent="0.35">
      <c r="A2341" s="1" t="s">
        <v>6444</v>
      </c>
      <c r="B2341" s="1" t="s">
        <v>6366</v>
      </c>
      <c r="C2341" s="1" t="s">
        <v>6380</v>
      </c>
    </row>
    <row r="2342" spans="1:3" x14ac:dyDescent="0.35">
      <c r="A2342" s="1" t="s">
        <v>6445</v>
      </c>
      <c r="B2342" s="1" t="s">
        <v>6366</v>
      </c>
      <c r="C2342" s="1" t="s">
        <v>6381</v>
      </c>
    </row>
    <row r="2343" spans="1:3" x14ac:dyDescent="0.35">
      <c r="A2343" s="1" t="s">
        <v>6446</v>
      </c>
      <c r="B2343" s="1" t="s">
        <v>6366</v>
      </c>
      <c r="C2343" s="1" t="s">
        <v>6382</v>
      </c>
    </row>
    <row r="2344" spans="1:3" x14ac:dyDescent="0.35">
      <c r="A2344" s="1" t="s">
        <v>6447</v>
      </c>
      <c r="B2344" s="1" t="s">
        <v>6366</v>
      </c>
      <c r="C2344" s="1" t="s">
        <v>6383</v>
      </c>
    </row>
    <row r="2345" spans="1:3" x14ac:dyDescent="0.35">
      <c r="A2345" s="1" t="s">
        <v>6448</v>
      </c>
      <c r="B2345" s="1" t="s">
        <v>6368</v>
      </c>
      <c r="C2345" s="1" t="s">
        <v>6376</v>
      </c>
    </row>
    <row r="2346" spans="1:3" x14ac:dyDescent="0.35">
      <c r="A2346" s="1" t="s">
        <v>6449</v>
      </c>
      <c r="B2346" s="1" t="s">
        <v>6368</v>
      </c>
      <c r="C2346" s="1" t="s">
        <v>6377</v>
      </c>
    </row>
    <row r="2347" spans="1:3" x14ac:dyDescent="0.35">
      <c r="A2347" s="1" t="s">
        <v>6450</v>
      </c>
      <c r="B2347" s="1" t="s">
        <v>6368</v>
      </c>
      <c r="C2347" s="1" t="s">
        <v>6378</v>
      </c>
    </row>
    <row r="2348" spans="1:3" x14ac:dyDescent="0.35">
      <c r="A2348" s="1" t="s">
        <v>6451</v>
      </c>
      <c r="B2348" s="1" t="s">
        <v>6368</v>
      </c>
      <c r="C2348" s="1" t="s">
        <v>6379</v>
      </c>
    </row>
    <row r="2349" spans="1:3" x14ac:dyDescent="0.35">
      <c r="A2349" s="1" t="s">
        <v>6452</v>
      </c>
      <c r="B2349" s="1" t="s">
        <v>6368</v>
      </c>
      <c r="C2349" s="1" t="s">
        <v>6380</v>
      </c>
    </row>
    <row r="2350" spans="1:3" x14ac:dyDescent="0.35">
      <c r="A2350" s="1" t="s">
        <v>6453</v>
      </c>
      <c r="B2350" s="1" t="s">
        <v>6368</v>
      </c>
      <c r="C2350" s="1" t="s">
        <v>6381</v>
      </c>
    </row>
    <row r="2351" spans="1:3" x14ac:dyDescent="0.35">
      <c r="A2351" s="1" t="s">
        <v>6454</v>
      </c>
      <c r="B2351" s="1" t="s">
        <v>6368</v>
      </c>
      <c r="C2351" s="1" t="s">
        <v>6382</v>
      </c>
    </row>
    <row r="2352" spans="1:3" x14ac:dyDescent="0.35">
      <c r="A2352" s="1" t="s">
        <v>6455</v>
      </c>
      <c r="B2352" s="1" t="s">
        <v>6368</v>
      </c>
      <c r="C2352" s="1" t="s">
        <v>6383</v>
      </c>
    </row>
    <row r="2353" spans="1:3" x14ac:dyDescent="0.35">
      <c r="A2353" s="1" t="s">
        <v>6456</v>
      </c>
      <c r="B2353" s="1" t="s">
        <v>6370</v>
      </c>
      <c r="C2353" s="1" t="s">
        <v>6376</v>
      </c>
    </row>
    <row r="2354" spans="1:3" x14ac:dyDescent="0.35">
      <c r="A2354" s="1" t="s">
        <v>6457</v>
      </c>
      <c r="B2354" s="1" t="s">
        <v>6370</v>
      </c>
      <c r="C2354" s="1" t="s">
        <v>6377</v>
      </c>
    </row>
    <row r="2355" spans="1:3" x14ac:dyDescent="0.35">
      <c r="A2355" s="1" t="s">
        <v>6458</v>
      </c>
      <c r="B2355" s="1" t="s">
        <v>6370</v>
      </c>
      <c r="C2355" s="1" t="s">
        <v>6378</v>
      </c>
    </row>
    <row r="2356" spans="1:3" x14ac:dyDescent="0.35">
      <c r="A2356" s="1" t="s">
        <v>6459</v>
      </c>
      <c r="B2356" s="1" t="s">
        <v>6370</v>
      </c>
      <c r="C2356" s="1" t="s">
        <v>6379</v>
      </c>
    </row>
    <row r="2357" spans="1:3" x14ac:dyDescent="0.35">
      <c r="A2357" s="1" t="s">
        <v>6460</v>
      </c>
      <c r="B2357" s="1" t="s">
        <v>6370</v>
      </c>
      <c r="C2357" s="1" t="s">
        <v>6380</v>
      </c>
    </row>
    <row r="2358" spans="1:3" x14ac:dyDescent="0.35">
      <c r="A2358" s="1" t="s">
        <v>6461</v>
      </c>
      <c r="B2358" s="1" t="s">
        <v>6370</v>
      </c>
      <c r="C2358" s="1" t="s">
        <v>6381</v>
      </c>
    </row>
    <row r="2359" spans="1:3" x14ac:dyDescent="0.35">
      <c r="A2359" s="1" t="s">
        <v>6462</v>
      </c>
      <c r="B2359" s="1" t="s">
        <v>6370</v>
      </c>
      <c r="C2359" s="1" t="s">
        <v>6382</v>
      </c>
    </row>
    <row r="2360" spans="1:3" x14ac:dyDescent="0.35">
      <c r="A2360" s="1" t="s">
        <v>6463</v>
      </c>
      <c r="B2360" s="1" t="s">
        <v>6370</v>
      </c>
      <c r="C2360" s="1" t="s">
        <v>6383</v>
      </c>
    </row>
    <row r="2361" spans="1:3" x14ac:dyDescent="0.35">
      <c r="A2361" s="1" t="s">
        <v>6464</v>
      </c>
      <c r="B2361" s="1" t="s">
        <v>6372</v>
      </c>
      <c r="C2361" s="1" t="s">
        <v>6376</v>
      </c>
    </row>
    <row r="2362" spans="1:3" x14ac:dyDescent="0.35">
      <c r="A2362" s="1" t="s">
        <v>6465</v>
      </c>
      <c r="B2362" s="1" t="s">
        <v>6372</v>
      </c>
      <c r="C2362" s="1" t="s">
        <v>6377</v>
      </c>
    </row>
    <row r="2363" spans="1:3" x14ac:dyDescent="0.35">
      <c r="A2363" s="1" t="s">
        <v>6466</v>
      </c>
      <c r="B2363" s="1" t="s">
        <v>6372</v>
      </c>
      <c r="C2363" s="1" t="s">
        <v>6378</v>
      </c>
    </row>
    <row r="2364" spans="1:3" x14ac:dyDescent="0.35">
      <c r="A2364" s="1" t="s">
        <v>6467</v>
      </c>
      <c r="B2364" s="1" t="s">
        <v>6372</v>
      </c>
      <c r="C2364" s="1" t="s">
        <v>6379</v>
      </c>
    </row>
    <row r="2365" spans="1:3" x14ac:dyDescent="0.35">
      <c r="A2365" s="1" t="s">
        <v>6468</v>
      </c>
      <c r="B2365" s="1" t="s">
        <v>6372</v>
      </c>
      <c r="C2365" s="1" t="s">
        <v>6380</v>
      </c>
    </row>
    <row r="2366" spans="1:3" x14ac:dyDescent="0.35">
      <c r="A2366" s="1" t="s">
        <v>6469</v>
      </c>
      <c r="B2366" s="1" t="s">
        <v>6372</v>
      </c>
      <c r="C2366" s="1" t="s">
        <v>6381</v>
      </c>
    </row>
    <row r="2367" spans="1:3" x14ac:dyDescent="0.35">
      <c r="A2367" s="1" t="s">
        <v>6470</v>
      </c>
      <c r="B2367" s="1" t="s">
        <v>6372</v>
      </c>
      <c r="C2367" s="1" t="s">
        <v>6382</v>
      </c>
    </row>
    <row r="2368" spans="1:3" x14ac:dyDescent="0.35">
      <c r="A2368" s="1" t="s">
        <v>6471</v>
      </c>
      <c r="B2368" s="1" t="s">
        <v>6372</v>
      </c>
      <c r="C2368" s="1" t="s">
        <v>6383</v>
      </c>
    </row>
    <row r="2369" spans="1:3" x14ac:dyDescent="0.35">
      <c r="A2369" s="1" t="s">
        <v>6472</v>
      </c>
      <c r="B2369" s="1" t="s">
        <v>6374</v>
      </c>
      <c r="C2369" s="1" t="s">
        <v>6376</v>
      </c>
    </row>
    <row r="2370" spans="1:3" x14ac:dyDescent="0.35">
      <c r="A2370" s="1" t="s">
        <v>6473</v>
      </c>
      <c r="B2370" s="1" t="s">
        <v>6374</v>
      </c>
      <c r="C2370" s="1" t="s">
        <v>6377</v>
      </c>
    </row>
    <row r="2371" spans="1:3" x14ac:dyDescent="0.35">
      <c r="A2371" s="1" t="s">
        <v>6474</v>
      </c>
      <c r="B2371" s="1" t="s">
        <v>6374</v>
      </c>
      <c r="C2371" s="1" t="s">
        <v>6378</v>
      </c>
    </row>
    <row r="2372" spans="1:3" x14ac:dyDescent="0.35">
      <c r="A2372" s="1" t="s">
        <v>6475</v>
      </c>
      <c r="B2372" s="1" t="s">
        <v>6374</v>
      </c>
      <c r="C2372" s="1" t="s">
        <v>6379</v>
      </c>
    </row>
    <row r="2373" spans="1:3" x14ac:dyDescent="0.35">
      <c r="A2373" s="1" t="s">
        <v>6476</v>
      </c>
      <c r="B2373" s="1" t="s">
        <v>6374</v>
      </c>
      <c r="C2373" s="1" t="s">
        <v>6380</v>
      </c>
    </row>
    <row r="2374" spans="1:3" x14ac:dyDescent="0.35">
      <c r="A2374" s="1" t="s">
        <v>6477</v>
      </c>
      <c r="B2374" s="1" t="s">
        <v>6374</v>
      </c>
      <c r="C2374" s="1" t="s">
        <v>6381</v>
      </c>
    </row>
    <row r="2375" spans="1:3" x14ac:dyDescent="0.35">
      <c r="A2375" s="1" t="s">
        <v>6478</v>
      </c>
      <c r="B2375" s="1" t="s">
        <v>6374</v>
      </c>
      <c r="C2375" s="1" t="s">
        <v>6382</v>
      </c>
    </row>
    <row r="2376" spans="1:3" x14ac:dyDescent="0.35">
      <c r="A2376" s="1" t="s">
        <v>6479</v>
      </c>
      <c r="B2376" s="1" t="s">
        <v>6374</v>
      </c>
      <c r="C2376" s="1" t="s">
        <v>6383</v>
      </c>
    </row>
  </sheetData>
  <conditionalFormatting sqref="A2:A1018">
    <cfRule type="duplicateValues" dxfId="2" priority="2"/>
  </conditionalFormatting>
  <conditionalFormatting sqref="A1941:A1988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E1105"/>
  <sheetViews>
    <sheetView topLeftCell="A513" workbookViewId="0">
      <selection activeCell="A513" sqref="A1:C1000"/>
    </sheetView>
  </sheetViews>
  <sheetFormatPr defaultColWidth="8.81640625" defaultRowHeight="14.5" x14ac:dyDescent="0.35"/>
  <cols>
    <col min="1" max="1" width="16.26953125" customWidth="1"/>
    <col min="2" max="3" width="7.54296875" customWidth="1"/>
    <col min="4" max="4" width="8.81640625" style="57"/>
    <col min="5" max="5" width="8.81640625" style="54"/>
  </cols>
  <sheetData>
    <row r="1" spans="1:4" ht="15.5" thickTop="1" thickBot="1" x14ac:dyDescent="0.4">
      <c r="A1" s="108"/>
      <c r="B1" s="109"/>
      <c r="C1" s="109"/>
      <c r="D1" s="56" t="s">
        <v>6339</v>
      </c>
    </row>
    <row r="2" spans="1:4" ht="15.5" thickTop="1" thickBot="1" x14ac:dyDescent="0.4">
      <c r="A2" s="106" t="s">
        <v>6340</v>
      </c>
      <c r="B2" s="110">
        <v>1</v>
      </c>
      <c r="C2" s="91">
        <v>8.9</v>
      </c>
    </row>
    <row r="3" spans="1:4" ht="15.5" thickTop="1" thickBot="1" x14ac:dyDescent="0.4">
      <c r="A3" s="106" t="s">
        <v>6340</v>
      </c>
      <c r="B3" s="110">
        <v>2</v>
      </c>
      <c r="C3" s="91">
        <v>8.3000000000000007</v>
      </c>
    </row>
    <row r="4" spans="1:4" ht="15.5" thickTop="1" thickBot="1" x14ac:dyDescent="0.4">
      <c r="A4" s="106" t="s">
        <v>6340</v>
      </c>
      <c r="B4" s="110">
        <v>3</v>
      </c>
      <c r="C4" s="91">
        <v>8.6999999999999993</v>
      </c>
    </row>
    <row r="5" spans="1:4" ht="15.5" thickTop="1" thickBot="1" x14ac:dyDescent="0.4">
      <c r="A5" s="106" t="s">
        <v>6340</v>
      </c>
      <c r="B5" s="110">
        <v>4</v>
      </c>
      <c r="C5" s="91">
        <v>10</v>
      </c>
    </row>
    <row r="6" spans="1:4" ht="15.5" thickTop="1" thickBot="1" x14ac:dyDescent="0.4">
      <c r="A6" s="106" t="s">
        <v>6340</v>
      </c>
      <c r="B6" s="110">
        <v>5</v>
      </c>
      <c r="C6" s="91">
        <v>0.5</v>
      </c>
    </row>
    <row r="7" spans="1:4" ht="15.5" thickTop="1" thickBot="1" x14ac:dyDescent="0.4">
      <c r="A7" s="106" t="s">
        <v>6340</v>
      </c>
      <c r="B7" s="110">
        <v>6</v>
      </c>
      <c r="C7" s="91">
        <v>2.4</v>
      </c>
    </row>
    <row r="8" spans="1:4" ht="15.5" thickTop="1" thickBot="1" x14ac:dyDescent="0.4">
      <c r="A8" s="106" t="s">
        <v>6340</v>
      </c>
      <c r="B8" s="110">
        <v>7</v>
      </c>
      <c r="C8" s="91">
        <v>4.5999999999999996</v>
      </c>
    </row>
    <row r="9" spans="1:4" ht="15.5" thickTop="1" thickBot="1" x14ac:dyDescent="0.4">
      <c r="A9" s="106" t="s">
        <v>6340</v>
      </c>
      <c r="B9" s="110">
        <v>8</v>
      </c>
      <c r="C9" s="91">
        <v>6</v>
      </c>
    </row>
    <row r="10" spans="1:4" ht="15.5" thickTop="1" thickBot="1" x14ac:dyDescent="0.4">
      <c r="A10" s="106" t="s">
        <v>6340</v>
      </c>
      <c r="B10" s="110">
        <v>9</v>
      </c>
      <c r="C10" s="91">
        <v>7.7</v>
      </c>
    </row>
    <row r="11" spans="1:4" ht="15.5" thickTop="1" thickBot="1" x14ac:dyDescent="0.4">
      <c r="A11" s="106" t="s">
        <v>6340</v>
      </c>
      <c r="B11" s="110">
        <v>10</v>
      </c>
      <c r="C11" s="91">
        <v>3.4</v>
      </c>
    </row>
    <row r="12" spans="1:4" ht="15.5" thickTop="1" thickBot="1" x14ac:dyDescent="0.4">
      <c r="A12" s="106" t="s">
        <v>6340</v>
      </c>
      <c r="B12" s="110">
        <v>11</v>
      </c>
      <c r="C12" s="91">
        <v>2.6</v>
      </c>
    </row>
    <row r="13" spans="1:4" ht="15.5" thickTop="1" thickBot="1" x14ac:dyDescent="0.4">
      <c r="A13" s="106" t="s">
        <v>6340</v>
      </c>
      <c r="B13" s="110">
        <v>12</v>
      </c>
      <c r="C13" s="91">
        <v>7.5</v>
      </c>
    </row>
    <row r="14" spans="1:4" ht="15.5" thickTop="1" thickBot="1" x14ac:dyDescent="0.4">
      <c r="A14" s="106" t="s">
        <v>6340</v>
      </c>
      <c r="B14" s="110">
        <v>13</v>
      </c>
      <c r="C14" s="118">
        <v>15.6</v>
      </c>
    </row>
    <row r="15" spans="1:4" ht="15.5" thickTop="1" thickBot="1" x14ac:dyDescent="0.4">
      <c r="A15" s="106" t="s">
        <v>6340</v>
      </c>
      <c r="B15" s="110">
        <v>14</v>
      </c>
      <c r="C15" s="118">
        <v>14.5</v>
      </c>
    </row>
    <row r="16" spans="1:4" ht="15.5" thickTop="1" thickBot="1" x14ac:dyDescent="0.4">
      <c r="A16" s="106" t="s">
        <v>6340</v>
      </c>
      <c r="B16" s="110">
        <v>15</v>
      </c>
      <c r="C16" s="118">
        <v>11</v>
      </c>
    </row>
    <row r="17" spans="1:3" ht="15.5" thickTop="1" thickBot="1" x14ac:dyDescent="0.4">
      <c r="A17" s="106" t="s">
        <v>6340</v>
      </c>
      <c r="B17" s="110">
        <v>16</v>
      </c>
      <c r="C17" s="118">
        <v>6.5</v>
      </c>
    </row>
    <row r="18" spans="1:3" ht="15.5" thickTop="1" thickBot="1" x14ac:dyDescent="0.4">
      <c r="A18" s="106" t="s">
        <v>6340</v>
      </c>
      <c r="B18" s="110">
        <v>17</v>
      </c>
      <c r="C18" s="118">
        <v>19.5</v>
      </c>
    </row>
    <row r="19" spans="1:3" ht="15.5" thickTop="1" thickBot="1" x14ac:dyDescent="0.4">
      <c r="A19" s="106" t="s">
        <v>6340</v>
      </c>
      <c r="B19" s="110">
        <v>18</v>
      </c>
      <c r="C19" s="118">
        <v>22</v>
      </c>
    </row>
    <row r="20" spans="1:3" ht="15.5" thickTop="1" thickBot="1" x14ac:dyDescent="0.4">
      <c r="A20" s="106" t="s">
        <v>6340</v>
      </c>
      <c r="B20" s="110">
        <v>19</v>
      </c>
      <c r="C20" s="118">
        <v>15.3</v>
      </c>
    </row>
    <row r="21" spans="1:3" ht="15.5" thickTop="1" thickBot="1" x14ac:dyDescent="0.4">
      <c r="A21" s="106" t="s">
        <v>6340</v>
      </c>
      <c r="B21" s="110">
        <v>20</v>
      </c>
      <c r="C21" s="118">
        <v>18</v>
      </c>
    </row>
    <row r="22" spans="1:3" ht="15.5" thickTop="1" thickBot="1" x14ac:dyDescent="0.4">
      <c r="A22" s="106" t="s">
        <v>6340</v>
      </c>
      <c r="B22" s="110">
        <v>21</v>
      </c>
      <c r="C22" s="118">
        <v>14</v>
      </c>
    </row>
    <row r="23" spans="1:3" ht="15.5" thickTop="1" thickBot="1" x14ac:dyDescent="0.4">
      <c r="A23" s="106" t="s">
        <v>6340</v>
      </c>
      <c r="B23" s="110">
        <v>22</v>
      </c>
      <c r="C23" s="119">
        <v>2.1</v>
      </c>
    </row>
    <row r="24" spans="1:3" ht="15.5" thickTop="1" thickBot="1" x14ac:dyDescent="0.4">
      <c r="A24" s="106" t="s">
        <v>6340</v>
      </c>
      <c r="B24" s="110">
        <v>23</v>
      </c>
      <c r="C24" s="118">
        <v>12.4</v>
      </c>
    </row>
    <row r="25" spans="1:3" ht="15.5" thickTop="1" thickBot="1" x14ac:dyDescent="0.4">
      <c r="A25" s="106" t="s">
        <v>6340</v>
      </c>
      <c r="B25" s="110">
        <v>24</v>
      </c>
      <c r="C25" s="118">
        <v>5.3</v>
      </c>
    </row>
    <row r="26" spans="1:3" ht="15.5" thickTop="1" thickBot="1" x14ac:dyDescent="0.4">
      <c r="A26" s="106" t="s">
        <v>6340</v>
      </c>
      <c r="B26" s="110">
        <v>25</v>
      </c>
      <c r="C26" s="118">
        <v>12</v>
      </c>
    </row>
    <row r="27" spans="1:3" ht="15.5" thickTop="1" thickBot="1" x14ac:dyDescent="0.4">
      <c r="A27" s="106" t="s">
        <v>6340</v>
      </c>
      <c r="B27" s="110">
        <v>26</v>
      </c>
      <c r="C27" s="118">
        <v>18</v>
      </c>
    </row>
    <row r="28" spans="1:3" ht="15.5" thickTop="1" thickBot="1" x14ac:dyDescent="0.4">
      <c r="A28" s="106" t="s">
        <v>6340</v>
      </c>
      <c r="B28" s="110">
        <v>27</v>
      </c>
      <c r="C28" s="118">
        <v>18.7</v>
      </c>
    </row>
    <row r="29" spans="1:3" ht="15.5" thickTop="1" thickBot="1" x14ac:dyDescent="0.4">
      <c r="A29" s="106" t="s">
        <v>6340</v>
      </c>
      <c r="B29" s="110">
        <v>28</v>
      </c>
      <c r="C29" s="118">
        <v>12</v>
      </c>
    </row>
    <row r="30" spans="1:3" ht="15.5" thickTop="1" thickBot="1" x14ac:dyDescent="0.4">
      <c r="A30" s="106" t="s">
        <v>6340</v>
      </c>
      <c r="B30" s="110">
        <v>29</v>
      </c>
      <c r="C30" s="118">
        <v>7</v>
      </c>
    </row>
    <row r="31" spans="1:3" ht="15.5" thickTop="1" thickBot="1" x14ac:dyDescent="0.4">
      <c r="A31" s="106" t="s">
        <v>6340</v>
      </c>
      <c r="B31" s="110">
        <v>30</v>
      </c>
      <c r="C31" s="118">
        <v>18.399999999999999</v>
      </c>
    </row>
    <row r="32" spans="1:3" ht="15.5" thickTop="1" thickBot="1" x14ac:dyDescent="0.4">
      <c r="A32" s="106" t="s">
        <v>6340</v>
      </c>
      <c r="B32" s="110">
        <v>31</v>
      </c>
      <c r="C32" s="118">
        <v>11.3</v>
      </c>
    </row>
    <row r="33" spans="1:3" ht="15.5" thickTop="1" thickBot="1" x14ac:dyDescent="0.4">
      <c r="A33" s="106" t="s">
        <v>6340</v>
      </c>
      <c r="B33" s="110">
        <v>32</v>
      </c>
      <c r="C33" s="118">
        <v>7.5</v>
      </c>
    </row>
    <row r="34" spans="1:3" ht="15.5" thickTop="1" thickBot="1" x14ac:dyDescent="0.4">
      <c r="A34" s="106" t="s">
        <v>6340</v>
      </c>
      <c r="B34" s="110">
        <v>33</v>
      </c>
      <c r="C34" s="118">
        <v>7.7</v>
      </c>
    </row>
    <row r="35" spans="1:3" ht="15.5" thickTop="1" thickBot="1" x14ac:dyDescent="0.4">
      <c r="A35" s="106" t="s">
        <v>6340</v>
      </c>
      <c r="B35" s="110">
        <v>34</v>
      </c>
      <c r="C35" s="118">
        <v>9.1</v>
      </c>
    </row>
    <row r="36" spans="1:3" ht="15.5" thickTop="1" thickBot="1" x14ac:dyDescent="0.4">
      <c r="A36" s="106" t="s">
        <v>6340</v>
      </c>
      <c r="B36" s="110">
        <v>35</v>
      </c>
      <c r="C36" s="118">
        <v>13.8</v>
      </c>
    </row>
    <row r="37" spans="1:3" ht="15.5" thickTop="1" thickBot="1" x14ac:dyDescent="0.4">
      <c r="A37" s="106" t="s">
        <v>6340</v>
      </c>
      <c r="B37" s="110">
        <v>36</v>
      </c>
      <c r="C37" s="118">
        <v>5.8</v>
      </c>
    </row>
    <row r="38" spans="1:3" ht="15.5" thickTop="1" thickBot="1" x14ac:dyDescent="0.4">
      <c r="A38" s="106" t="s">
        <v>6340</v>
      </c>
      <c r="B38" s="110">
        <v>37</v>
      </c>
      <c r="C38" s="118">
        <v>7.9</v>
      </c>
    </row>
    <row r="39" spans="1:3" ht="15.5" thickTop="1" thickBot="1" x14ac:dyDescent="0.4">
      <c r="A39" s="106" t="s">
        <v>6340</v>
      </c>
      <c r="B39" s="110">
        <v>38</v>
      </c>
      <c r="C39" s="118">
        <v>6.3</v>
      </c>
    </row>
    <row r="40" spans="1:3" ht="15.5" thickTop="1" thickBot="1" x14ac:dyDescent="0.4">
      <c r="A40" s="106" t="s">
        <v>6340</v>
      </c>
      <c r="B40" s="110">
        <v>39</v>
      </c>
      <c r="C40" s="118">
        <v>10.3</v>
      </c>
    </row>
    <row r="41" spans="1:3" ht="15.5" thickTop="1" thickBot="1" x14ac:dyDescent="0.4">
      <c r="A41" s="106" t="s">
        <v>6340</v>
      </c>
      <c r="B41" s="110">
        <v>40</v>
      </c>
      <c r="C41" s="118">
        <v>16</v>
      </c>
    </row>
    <row r="42" spans="1:3" ht="15.5" thickTop="1" thickBot="1" x14ac:dyDescent="0.4">
      <c r="A42" s="106" t="s">
        <v>6340</v>
      </c>
      <c r="B42" s="110">
        <v>41</v>
      </c>
      <c r="C42" s="118">
        <v>14.9</v>
      </c>
    </row>
    <row r="43" spans="1:3" ht="15.5" thickTop="1" thickBot="1" x14ac:dyDescent="0.4">
      <c r="A43" s="106" t="s">
        <v>6340</v>
      </c>
      <c r="B43" s="110">
        <v>42</v>
      </c>
      <c r="C43" s="118">
        <v>14.5</v>
      </c>
    </row>
    <row r="44" spans="1:3" ht="15.5" thickTop="1" thickBot="1" x14ac:dyDescent="0.4">
      <c r="A44" s="106" t="s">
        <v>6340</v>
      </c>
      <c r="B44" s="110">
        <v>43</v>
      </c>
      <c r="C44" s="118">
        <v>11.8</v>
      </c>
    </row>
    <row r="45" spans="1:3" ht="15.5" thickTop="1" thickBot="1" x14ac:dyDescent="0.4">
      <c r="A45" s="106" t="s">
        <v>6340</v>
      </c>
      <c r="B45" s="110">
        <v>44</v>
      </c>
      <c r="C45" s="118">
        <v>12.5</v>
      </c>
    </row>
    <row r="46" spans="1:3" ht="15.5" thickTop="1" thickBot="1" x14ac:dyDescent="0.4">
      <c r="A46" s="106" t="s">
        <v>6340</v>
      </c>
      <c r="B46" s="110">
        <v>45</v>
      </c>
      <c r="C46" s="118">
        <v>15.6</v>
      </c>
    </row>
    <row r="47" spans="1:3" ht="15.5" thickTop="1" thickBot="1" x14ac:dyDescent="0.4">
      <c r="A47" s="106" t="s">
        <v>6340</v>
      </c>
      <c r="B47" s="110">
        <v>46</v>
      </c>
      <c r="C47" s="118">
        <v>7.7</v>
      </c>
    </row>
    <row r="48" spans="1:3" ht="15.5" thickTop="1" thickBot="1" x14ac:dyDescent="0.4">
      <c r="A48" s="106" t="s">
        <v>6340</v>
      </c>
      <c r="B48" s="110">
        <v>47</v>
      </c>
      <c r="C48" s="118">
        <v>11.3</v>
      </c>
    </row>
    <row r="49" spans="1:3" ht="15.5" thickTop="1" thickBot="1" x14ac:dyDescent="0.4">
      <c r="A49" s="106" t="s">
        <v>6340</v>
      </c>
      <c r="B49" s="110">
        <v>48</v>
      </c>
      <c r="C49" s="120">
        <v>9.9</v>
      </c>
    </row>
    <row r="50" spans="1:3" ht="15.5" thickTop="1" thickBot="1" x14ac:dyDescent="0.4">
      <c r="A50" s="106" t="s">
        <v>6341</v>
      </c>
      <c r="B50" s="110">
        <v>1</v>
      </c>
      <c r="C50" s="104">
        <v>9.6999999999999993</v>
      </c>
    </row>
    <row r="51" spans="1:3" ht="15.5" thickTop="1" thickBot="1" x14ac:dyDescent="0.4">
      <c r="A51" s="106" t="s">
        <v>6341</v>
      </c>
      <c r="B51" s="110">
        <v>2</v>
      </c>
      <c r="C51" s="104">
        <v>6.2</v>
      </c>
    </row>
    <row r="52" spans="1:3" ht="15.5" thickTop="1" thickBot="1" x14ac:dyDescent="0.4">
      <c r="A52" s="106" t="s">
        <v>6341</v>
      </c>
      <c r="B52" s="110">
        <v>3</v>
      </c>
      <c r="C52" s="104">
        <v>10</v>
      </c>
    </row>
    <row r="53" spans="1:3" ht="15.5" thickTop="1" thickBot="1" x14ac:dyDescent="0.4">
      <c r="A53" s="106" t="s">
        <v>6341</v>
      </c>
      <c r="B53" s="110">
        <v>4</v>
      </c>
      <c r="C53" s="104">
        <v>8.9</v>
      </c>
    </row>
    <row r="54" spans="1:3" ht="15.5" thickTop="1" thickBot="1" x14ac:dyDescent="0.4">
      <c r="A54" s="106" t="s">
        <v>6341</v>
      </c>
      <c r="B54" s="110">
        <v>5</v>
      </c>
      <c r="C54" s="104">
        <v>12</v>
      </c>
    </row>
    <row r="55" spans="1:3" ht="15.5" thickTop="1" thickBot="1" x14ac:dyDescent="0.4">
      <c r="A55" s="106" t="s">
        <v>6341</v>
      </c>
      <c r="B55" s="110">
        <v>6</v>
      </c>
      <c r="C55" s="104">
        <v>7.4</v>
      </c>
    </row>
    <row r="56" spans="1:3" ht="15.5" thickTop="1" thickBot="1" x14ac:dyDescent="0.4">
      <c r="A56" s="106" t="s">
        <v>6341</v>
      </c>
      <c r="B56" s="110">
        <v>7</v>
      </c>
      <c r="C56" s="104">
        <v>9</v>
      </c>
    </row>
    <row r="57" spans="1:3" ht="15.5" thickTop="1" thickBot="1" x14ac:dyDescent="0.4">
      <c r="A57" s="106" t="s">
        <v>6341</v>
      </c>
      <c r="B57" s="110">
        <v>8</v>
      </c>
      <c r="C57" s="104">
        <v>10</v>
      </c>
    </row>
    <row r="58" spans="1:3" ht="15.5" thickTop="1" thickBot="1" x14ac:dyDescent="0.4">
      <c r="A58" s="106" t="s">
        <v>6341</v>
      </c>
      <c r="B58" s="110">
        <v>9</v>
      </c>
      <c r="C58" s="104">
        <v>13</v>
      </c>
    </row>
    <row r="59" spans="1:3" ht="15.5" thickTop="1" thickBot="1" x14ac:dyDescent="0.4">
      <c r="A59" s="106" t="s">
        <v>6341</v>
      </c>
      <c r="B59" s="110">
        <v>10</v>
      </c>
      <c r="C59" s="104">
        <v>13</v>
      </c>
    </row>
    <row r="60" spans="1:3" ht="15.5" thickTop="1" thickBot="1" x14ac:dyDescent="0.4">
      <c r="A60" s="106" t="s">
        <v>6341</v>
      </c>
      <c r="B60" s="110">
        <v>11</v>
      </c>
      <c r="C60" s="104">
        <v>6.7</v>
      </c>
    </row>
    <row r="61" spans="1:3" ht="15.5" thickTop="1" thickBot="1" x14ac:dyDescent="0.4">
      <c r="A61" s="106" t="s">
        <v>6341</v>
      </c>
      <c r="B61" s="110">
        <v>12</v>
      </c>
      <c r="C61" s="104">
        <v>7.5</v>
      </c>
    </row>
    <row r="62" spans="1:3" ht="15.5" thickTop="1" thickBot="1" x14ac:dyDescent="0.4">
      <c r="A62" s="106" t="s">
        <v>6341</v>
      </c>
      <c r="B62" s="110">
        <v>13</v>
      </c>
      <c r="C62" s="121">
        <v>6.6</v>
      </c>
    </row>
    <row r="63" spans="1:3" ht="15.5" thickTop="1" thickBot="1" x14ac:dyDescent="0.4">
      <c r="A63" s="106" t="s">
        <v>6341</v>
      </c>
      <c r="B63" s="110">
        <v>14</v>
      </c>
      <c r="C63" s="121">
        <v>8.9</v>
      </c>
    </row>
    <row r="64" spans="1:3" ht="15.5" thickTop="1" thickBot="1" x14ac:dyDescent="0.4">
      <c r="A64" s="106" t="s">
        <v>6341</v>
      </c>
      <c r="B64" s="110">
        <v>15</v>
      </c>
      <c r="C64" s="121">
        <v>9.4</v>
      </c>
    </row>
    <row r="65" spans="1:3" ht="15.5" thickTop="1" thickBot="1" x14ac:dyDescent="0.4">
      <c r="A65" s="106" t="s">
        <v>6341</v>
      </c>
      <c r="B65" s="110">
        <v>16</v>
      </c>
      <c r="C65" s="121">
        <v>8.6</v>
      </c>
    </row>
    <row r="66" spans="1:3" ht="15.5" thickTop="1" thickBot="1" x14ac:dyDescent="0.4">
      <c r="A66" s="106" t="s">
        <v>6341</v>
      </c>
      <c r="B66" s="110">
        <v>17</v>
      </c>
      <c r="C66" s="121">
        <v>12</v>
      </c>
    </row>
    <row r="67" spans="1:3" ht="15.5" thickTop="1" thickBot="1" x14ac:dyDescent="0.4">
      <c r="A67" s="106" t="s">
        <v>6341</v>
      </c>
      <c r="B67" s="110">
        <v>18</v>
      </c>
      <c r="C67" s="121">
        <v>6.2</v>
      </c>
    </row>
    <row r="68" spans="1:3" ht="15.5" thickTop="1" thickBot="1" x14ac:dyDescent="0.4">
      <c r="A68" s="106" t="s">
        <v>6341</v>
      </c>
      <c r="B68" s="110">
        <v>19</v>
      </c>
      <c r="C68" s="121">
        <v>10</v>
      </c>
    </row>
    <row r="69" spans="1:3" ht="15.5" thickTop="1" thickBot="1" x14ac:dyDescent="0.4">
      <c r="A69" s="106" t="s">
        <v>6341</v>
      </c>
      <c r="B69" s="110">
        <v>20</v>
      </c>
      <c r="C69" s="121">
        <v>9.5</v>
      </c>
    </row>
    <row r="70" spans="1:3" ht="15.5" thickTop="1" thickBot="1" x14ac:dyDescent="0.4">
      <c r="A70" s="106" t="s">
        <v>6341</v>
      </c>
      <c r="B70" s="110">
        <v>21</v>
      </c>
      <c r="C70" s="121">
        <v>7.6</v>
      </c>
    </row>
    <row r="71" spans="1:3" ht="15.5" thickTop="1" thickBot="1" x14ac:dyDescent="0.4">
      <c r="A71" s="106" t="s">
        <v>6341</v>
      </c>
      <c r="B71" s="110">
        <v>22</v>
      </c>
      <c r="C71" s="121">
        <v>8.1</v>
      </c>
    </row>
    <row r="72" spans="1:3" ht="15.5" thickTop="1" thickBot="1" x14ac:dyDescent="0.4">
      <c r="A72" s="106" t="s">
        <v>6341</v>
      </c>
      <c r="B72" s="110">
        <v>23</v>
      </c>
      <c r="C72" s="121">
        <v>13</v>
      </c>
    </row>
    <row r="73" spans="1:3" ht="15.5" thickTop="1" thickBot="1" x14ac:dyDescent="0.4">
      <c r="A73" s="106" t="s">
        <v>6341</v>
      </c>
      <c r="B73" s="110">
        <v>24</v>
      </c>
      <c r="C73" s="121">
        <v>2.4</v>
      </c>
    </row>
    <row r="74" spans="1:3" ht="15.5" thickTop="1" thickBot="1" x14ac:dyDescent="0.4">
      <c r="A74" s="106" t="s">
        <v>6341</v>
      </c>
      <c r="B74" s="110">
        <v>25</v>
      </c>
      <c r="C74" s="121">
        <v>7.4</v>
      </c>
    </row>
    <row r="75" spans="1:3" ht="15.5" thickTop="1" thickBot="1" x14ac:dyDescent="0.4">
      <c r="A75" s="106" t="s">
        <v>6341</v>
      </c>
      <c r="B75" s="110">
        <v>26</v>
      </c>
      <c r="C75" s="121">
        <v>7.8</v>
      </c>
    </row>
    <row r="76" spans="1:3" ht="15.5" thickTop="1" thickBot="1" x14ac:dyDescent="0.4">
      <c r="A76" s="106" t="s">
        <v>6341</v>
      </c>
      <c r="B76" s="110">
        <v>27</v>
      </c>
      <c r="C76" s="121">
        <v>8.6</v>
      </c>
    </row>
    <row r="77" spans="1:3" ht="15.5" thickTop="1" thickBot="1" x14ac:dyDescent="0.4">
      <c r="A77" s="106" t="s">
        <v>6341</v>
      </c>
      <c r="B77" s="110">
        <v>28</v>
      </c>
      <c r="C77" s="121">
        <v>9.6999999999999993</v>
      </c>
    </row>
    <row r="78" spans="1:3" ht="15.5" thickTop="1" thickBot="1" x14ac:dyDescent="0.4">
      <c r="A78" s="106" t="s">
        <v>6341</v>
      </c>
      <c r="B78" s="110">
        <v>29</v>
      </c>
      <c r="C78" s="121">
        <v>7.3</v>
      </c>
    </row>
    <row r="79" spans="1:3" ht="15.5" thickTop="1" thickBot="1" x14ac:dyDescent="0.4">
      <c r="A79" s="106" t="s">
        <v>6341</v>
      </c>
      <c r="B79" s="110">
        <v>30</v>
      </c>
      <c r="C79" s="121">
        <v>7.1</v>
      </c>
    </row>
    <row r="80" spans="1:3" ht="15.5" thickTop="1" thickBot="1" x14ac:dyDescent="0.4">
      <c r="A80" s="106" t="s">
        <v>6341</v>
      </c>
      <c r="B80" s="110">
        <v>31</v>
      </c>
      <c r="C80" s="121">
        <v>11</v>
      </c>
    </row>
    <row r="81" spans="1:3" ht="15.5" thickTop="1" thickBot="1" x14ac:dyDescent="0.4">
      <c r="A81" s="106" t="s">
        <v>6341</v>
      </c>
      <c r="B81" s="110">
        <v>32</v>
      </c>
      <c r="C81" s="121">
        <v>7.5</v>
      </c>
    </row>
    <row r="82" spans="1:3" ht="15.5" thickTop="1" thickBot="1" x14ac:dyDescent="0.4">
      <c r="A82" s="106" t="s">
        <v>6341</v>
      </c>
      <c r="B82" s="110">
        <v>33</v>
      </c>
      <c r="C82" s="121">
        <v>5</v>
      </c>
    </row>
    <row r="83" spans="1:3" ht="15.5" thickTop="1" thickBot="1" x14ac:dyDescent="0.4">
      <c r="A83" s="106" t="s">
        <v>6341</v>
      </c>
      <c r="B83" s="110">
        <v>34</v>
      </c>
      <c r="C83" s="121">
        <v>9.1</v>
      </c>
    </row>
    <row r="84" spans="1:3" ht="15.5" thickTop="1" thickBot="1" x14ac:dyDescent="0.4">
      <c r="A84" s="106" t="s">
        <v>6341</v>
      </c>
      <c r="B84" s="110">
        <v>35</v>
      </c>
      <c r="C84" s="121">
        <v>5.5</v>
      </c>
    </row>
    <row r="85" spans="1:3" ht="15.5" thickTop="1" thickBot="1" x14ac:dyDescent="0.4">
      <c r="A85" s="106" t="s">
        <v>6341</v>
      </c>
      <c r="B85" s="110">
        <v>36</v>
      </c>
      <c r="C85" s="121">
        <v>3.3</v>
      </c>
    </row>
    <row r="86" spans="1:3" ht="15.5" thickTop="1" thickBot="1" x14ac:dyDescent="0.4">
      <c r="A86" s="106" t="s">
        <v>6341</v>
      </c>
      <c r="B86" s="110">
        <v>37</v>
      </c>
      <c r="C86" s="121">
        <v>5.5</v>
      </c>
    </row>
    <row r="87" spans="1:3" ht="15.5" thickTop="1" thickBot="1" x14ac:dyDescent="0.4">
      <c r="A87" s="106" t="s">
        <v>6341</v>
      </c>
      <c r="B87" s="110">
        <v>38</v>
      </c>
      <c r="C87" s="121">
        <v>10</v>
      </c>
    </row>
    <row r="88" spans="1:3" ht="15.5" thickTop="1" thickBot="1" x14ac:dyDescent="0.4">
      <c r="A88" s="106" t="s">
        <v>6341</v>
      </c>
      <c r="B88" s="110">
        <v>39</v>
      </c>
      <c r="C88" s="121">
        <v>7.2</v>
      </c>
    </row>
    <row r="89" spans="1:3" ht="15.5" thickTop="1" thickBot="1" x14ac:dyDescent="0.4">
      <c r="A89" s="106" t="s">
        <v>6341</v>
      </c>
      <c r="B89" s="110">
        <v>40</v>
      </c>
      <c r="C89" s="121">
        <v>11</v>
      </c>
    </row>
    <row r="90" spans="1:3" ht="15.5" thickTop="1" thickBot="1" x14ac:dyDescent="0.4">
      <c r="A90" s="106" t="s">
        <v>6341</v>
      </c>
      <c r="B90" s="110">
        <v>41</v>
      </c>
      <c r="C90" s="121">
        <v>5.0999999999999996</v>
      </c>
    </row>
    <row r="91" spans="1:3" ht="15.5" thickTop="1" thickBot="1" x14ac:dyDescent="0.4">
      <c r="A91" s="106" t="s">
        <v>6341</v>
      </c>
      <c r="B91" s="110">
        <v>42</v>
      </c>
      <c r="C91" s="121">
        <v>7.1</v>
      </c>
    </row>
    <row r="92" spans="1:3" ht="15.5" thickTop="1" thickBot="1" x14ac:dyDescent="0.4">
      <c r="A92" s="106" t="s">
        <v>6341</v>
      </c>
      <c r="B92" s="110">
        <v>43</v>
      </c>
      <c r="C92" s="114"/>
    </row>
    <row r="93" spans="1:3" ht="15.5" thickTop="1" thickBot="1" x14ac:dyDescent="0.4">
      <c r="A93" s="106" t="s">
        <v>6341</v>
      </c>
      <c r="B93" s="110">
        <v>44</v>
      </c>
      <c r="C93" s="114"/>
    </row>
    <row r="94" spans="1:3" ht="15.5" thickTop="1" thickBot="1" x14ac:dyDescent="0.4">
      <c r="A94" s="106" t="s">
        <v>6341</v>
      </c>
      <c r="B94" s="110">
        <v>45</v>
      </c>
      <c r="C94" s="114"/>
    </row>
    <row r="95" spans="1:3" ht="15.5" thickTop="1" thickBot="1" x14ac:dyDescent="0.4">
      <c r="A95" s="106" t="s">
        <v>6341</v>
      </c>
      <c r="B95" s="110">
        <v>46</v>
      </c>
      <c r="C95" s="114"/>
    </row>
    <row r="96" spans="1:3" ht="15.5" thickTop="1" thickBot="1" x14ac:dyDescent="0.4">
      <c r="A96" s="106" t="s">
        <v>6341</v>
      </c>
      <c r="B96" s="110">
        <v>47</v>
      </c>
      <c r="C96" s="114"/>
    </row>
    <row r="97" spans="1:3" ht="15.5" thickTop="1" thickBot="1" x14ac:dyDescent="0.4">
      <c r="A97" s="106" t="s">
        <v>6341</v>
      </c>
      <c r="B97" s="110">
        <v>48</v>
      </c>
      <c r="C97" s="114"/>
    </row>
    <row r="98" spans="1:3" ht="15.5" thickTop="1" thickBot="1" x14ac:dyDescent="0.4">
      <c r="A98" s="111" t="s">
        <v>6342</v>
      </c>
      <c r="B98" s="110">
        <v>1</v>
      </c>
      <c r="C98" s="118">
        <v>3.8</v>
      </c>
    </row>
    <row r="99" spans="1:3" ht="15.5" thickTop="1" thickBot="1" x14ac:dyDescent="0.4">
      <c r="A99" s="111" t="s">
        <v>6342</v>
      </c>
      <c r="B99" s="110">
        <v>2</v>
      </c>
      <c r="C99" s="118">
        <v>6.7</v>
      </c>
    </row>
    <row r="100" spans="1:3" ht="15.5" thickTop="1" thickBot="1" x14ac:dyDescent="0.4">
      <c r="A100" s="111" t="s">
        <v>6342</v>
      </c>
      <c r="B100" s="110">
        <v>3</v>
      </c>
      <c r="C100" s="118">
        <v>13.4</v>
      </c>
    </row>
    <row r="101" spans="1:3" ht="15.5" thickTop="1" thickBot="1" x14ac:dyDescent="0.4">
      <c r="A101" s="111" t="s">
        <v>6342</v>
      </c>
      <c r="B101" s="110">
        <v>4</v>
      </c>
      <c r="C101" s="118">
        <v>13</v>
      </c>
    </row>
    <row r="102" spans="1:3" ht="15.5" thickTop="1" thickBot="1" x14ac:dyDescent="0.4">
      <c r="A102" s="111" t="s">
        <v>6342</v>
      </c>
      <c r="B102" s="110">
        <v>5</v>
      </c>
      <c r="C102" s="118">
        <v>8.6</v>
      </c>
    </row>
    <row r="103" spans="1:3" ht="15.5" thickTop="1" thickBot="1" x14ac:dyDescent="0.4">
      <c r="A103" s="111" t="s">
        <v>6342</v>
      </c>
      <c r="B103" s="110">
        <v>6</v>
      </c>
      <c r="C103" s="118">
        <v>8.1999999999999993</v>
      </c>
    </row>
    <row r="104" spans="1:3" ht="15.5" thickTop="1" thickBot="1" x14ac:dyDescent="0.4">
      <c r="A104" s="111" t="s">
        <v>6342</v>
      </c>
      <c r="B104" s="110">
        <v>7</v>
      </c>
      <c r="C104" s="118">
        <v>19.100000000000001</v>
      </c>
    </row>
    <row r="105" spans="1:3" ht="15.5" thickTop="1" thickBot="1" x14ac:dyDescent="0.4">
      <c r="A105" s="111" t="s">
        <v>6342</v>
      </c>
      <c r="B105" s="110">
        <v>8</v>
      </c>
      <c r="C105" s="118">
        <v>8.6</v>
      </c>
    </row>
    <row r="106" spans="1:3" ht="15.5" thickTop="1" thickBot="1" x14ac:dyDescent="0.4">
      <c r="A106" s="111" t="s">
        <v>6342</v>
      </c>
      <c r="B106" s="110">
        <v>9</v>
      </c>
      <c r="C106" s="118">
        <v>5.2</v>
      </c>
    </row>
    <row r="107" spans="1:3" ht="15.5" thickTop="1" thickBot="1" x14ac:dyDescent="0.4">
      <c r="A107" s="111" t="s">
        <v>6342</v>
      </c>
      <c r="B107" s="110">
        <v>10</v>
      </c>
      <c r="C107" s="118">
        <v>6.8</v>
      </c>
    </row>
    <row r="108" spans="1:3" ht="15.5" thickTop="1" thickBot="1" x14ac:dyDescent="0.4">
      <c r="A108" s="111" t="s">
        <v>6342</v>
      </c>
      <c r="B108" s="110">
        <v>11</v>
      </c>
      <c r="C108" s="118">
        <v>8.6</v>
      </c>
    </row>
    <row r="109" spans="1:3" ht="15.5" thickTop="1" thickBot="1" x14ac:dyDescent="0.4">
      <c r="A109" s="111" t="s">
        <v>6342</v>
      </c>
      <c r="B109" s="110">
        <v>12</v>
      </c>
      <c r="C109" s="118">
        <v>4</v>
      </c>
    </row>
    <row r="110" spans="1:3" ht="15.5" thickTop="1" thickBot="1" x14ac:dyDescent="0.4">
      <c r="A110" s="111" t="s">
        <v>6342</v>
      </c>
      <c r="B110" s="110">
        <v>13</v>
      </c>
      <c r="C110" s="118">
        <v>4.3</v>
      </c>
    </row>
    <row r="111" spans="1:3" ht="15.5" thickTop="1" thickBot="1" x14ac:dyDescent="0.4">
      <c r="A111" s="111" t="s">
        <v>6342</v>
      </c>
      <c r="B111" s="110">
        <v>14</v>
      </c>
      <c r="C111" s="118">
        <v>13.9</v>
      </c>
    </row>
    <row r="112" spans="1:3" ht="15.5" thickTop="1" thickBot="1" x14ac:dyDescent="0.4">
      <c r="A112" s="111" t="s">
        <v>6342</v>
      </c>
      <c r="B112" s="110">
        <v>15</v>
      </c>
      <c r="C112" s="118">
        <v>13.9</v>
      </c>
    </row>
    <row r="113" spans="1:3" ht="15.5" thickTop="1" thickBot="1" x14ac:dyDescent="0.4">
      <c r="A113" s="111" t="s">
        <v>6342</v>
      </c>
      <c r="B113" s="110">
        <v>16</v>
      </c>
      <c r="C113" s="118">
        <v>5.4</v>
      </c>
    </row>
    <row r="114" spans="1:3" ht="15.5" thickTop="1" thickBot="1" x14ac:dyDescent="0.4">
      <c r="A114" s="111" t="s">
        <v>6342</v>
      </c>
      <c r="B114" s="110">
        <v>17</v>
      </c>
      <c r="C114" s="118">
        <v>11.3</v>
      </c>
    </row>
    <row r="115" spans="1:3" ht="15.5" thickTop="1" thickBot="1" x14ac:dyDescent="0.4">
      <c r="A115" s="111" t="s">
        <v>6342</v>
      </c>
      <c r="B115" s="110">
        <v>18</v>
      </c>
      <c r="C115" s="118">
        <v>6.5</v>
      </c>
    </row>
    <row r="116" spans="1:3" ht="15.5" thickTop="1" thickBot="1" x14ac:dyDescent="0.4">
      <c r="A116" s="111" t="s">
        <v>6342</v>
      </c>
      <c r="B116" s="110">
        <v>19</v>
      </c>
      <c r="C116" s="118">
        <v>11.8</v>
      </c>
    </row>
    <row r="117" spans="1:3" ht="15.5" thickTop="1" thickBot="1" x14ac:dyDescent="0.4">
      <c r="A117" s="111" t="s">
        <v>6342</v>
      </c>
      <c r="B117" s="110">
        <v>20</v>
      </c>
      <c r="C117" s="118">
        <v>10.199999999999999</v>
      </c>
    </row>
    <row r="118" spans="1:3" ht="15.5" thickTop="1" thickBot="1" x14ac:dyDescent="0.4">
      <c r="A118" s="111" t="s">
        <v>6342</v>
      </c>
      <c r="B118" s="110">
        <v>21</v>
      </c>
      <c r="C118" s="118">
        <v>9.9</v>
      </c>
    </row>
    <row r="119" spans="1:3" ht="15.5" thickTop="1" thickBot="1" x14ac:dyDescent="0.4">
      <c r="A119" s="111" t="s">
        <v>6342</v>
      </c>
      <c r="B119" s="110">
        <v>22</v>
      </c>
      <c r="C119" s="118">
        <v>7.7</v>
      </c>
    </row>
    <row r="120" spans="1:3" ht="15.5" thickTop="1" thickBot="1" x14ac:dyDescent="0.4">
      <c r="A120" s="111" t="s">
        <v>6342</v>
      </c>
      <c r="B120" s="110">
        <v>23</v>
      </c>
      <c r="C120" s="118">
        <v>16.600000000000001</v>
      </c>
    </row>
    <row r="121" spans="1:3" ht="15.5" thickTop="1" thickBot="1" x14ac:dyDescent="0.4">
      <c r="A121" s="111" t="s">
        <v>6342</v>
      </c>
      <c r="B121" s="110">
        <v>24</v>
      </c>
      <c r="C121" s="118">
        <v>4.5</v>
      </c>
    </row>
    <row r="122" spans="1:3" ht="15.5" thickTop="1" thickBot="1" x14ac:dyDescent="0.4">
      <c r="A122" s="111" t="s">
        <v>6342</v>
      </c>
      <c r="B122" s="110">
        <v>25</v>
      </c>
      <c r="C122" s="118">
        <v>8.8000000000000007</v>
      </c>
    </row>
    <row r="123" spans="1:3" ht="15.5" thickTop="1" thickBot="1" x14ac:dyDescent="0.4">
      <c r="A123" s="111" t="s">
        <v>6342</v>
      </c>
      <c r="B123" s="110">
        <v>26</v>
      </c>
      <c r="C123" s="118">
        <v>9.1999999999999993</v>
      </c>
    </row>
    <row r="124" spans="1:3" ht="15.5" thickTop="1" thickBot="1" x14ac:dyDescent="0.4">
      <c r="A124" s="111" t="s">
        <v>6342</v>
      </c>
      <c r="B124" s="110">
        <v>27</v>
      </c>
      <c r="C124" s="118">
        <v>14.1</v>
      </c>
    </row>
    <row r="125" spans="1:3" ht="15.5" thickTop="1" thickBot="1" x14ac:dyDescent="0.4">
      <c r="A125" s="111" t="s">
        <v>6342</v>
      </c>
      <c r="B125" s="110">
        <v>28</v>
      </c>
      <c r="C125" s="122">
        <v>15</v>
      </c>
    </row>
    <row r="126" spans="1:3" ht="15.5" thickTop="1" thickBot="1" x14ac:dyDescent="0.4">
      <c r="A126" s="111" t="s">
        <v>6342</v>
      </c>
      <c r="B126" s="110">
        <v>29</v>
      </c>
      <c r="C126" s="118">
        <v>6.9</v>
      </c>
    </row>
    <row r="127" spans="1:3" ht="15.5" thickTop="1" thickBot="1" x14ac:dyDescent="0.4">
      <c r="A127" s="111" t="s">
        <v>6342</v>
      </c>
      <c r="B127" s="110">
        <v>30</v>
      </c>
      <c r="C127" s="118">
        <v>13.1</v>
      </c>
    </row>
    <row r="128" spans="1:3" ht="15.5" thickTop="1" thickBot="1" x14ac:dyDescent="0.4">
      <c r="A128" s="111" t="s">
        <v>6342</v>
      </c>
      <c r="B128" s="110">
        <v>31</v>
      </c>
      <c r="C128" s="118">
        <v>7.5</v>
      </c>
    </row>
    <row r="129" spans="1:3" ht="15.5" thickTop="1" thickBot="1" x14ac:dyDescent="0.4">
      <c r="A129" s="111" t="s">
        <v>6342</v>
      </c>
      <c r="B129" s="110">
        <v>32</v>
      </c>
      <c r="C129" s="118">
        <v>13.2</v>
      </c>
    </row>
    <row r="130" spans="1:3" ht="15.5" thickTop="1" thickBot="1" x14ac:dyDescent="0.4">
      <c r="A130" s="111" t="s">
        <v>6342</v>
      </c>
      <c r="B130" s="110">
        <v>33</v>
      </c>
      <c r="C130" s="118">
        <v>6.4</v>
      </c>
    </row>
    <row r="131" spans="1:3" ht="15.5" thickTop="1" thickBot="1" x14ac:dyDescent="0.4">
      <c r="A131" s="111" t="s">
        <v>6342</v>
      </c>
      <c r="B131" s="110">
        <v>34</v>
      </c>
      <c r="C131" s="118">
        <v>13.4</v>
      </c>
    </row>
    <row r="132" spans="1:3" ht="15.5" thickTop="1" thickBot="1" x14ac:dyDescent="0.4">
      <c r="A132" s="111" t="s">
        <v>6342</v>
      </c>
      <c r="B132" s="110">
        <v>35</v>
      </c>
      <c r="C132" s="118">
        <v>10.7</v>
      </c>
    </row>
    <row r="133" spans="1:3" ht="15.5" thickTop="1" thickBot="1" x14ac:dyDescent="0.4">
      <c r="A133" s="111" t="s">
        <v>6342</v>
      </c>
      <c r="B133" s="110">
        <v>36</v>
      </c>
      <c r="C133" s="118">
        <v>10.7</v>
      </c>
    </row>
    <row r="134" spans="1:3" ht="15.5" thickTop="1" thickBot="1" x14ac:dyDescent="0.4">
      <c r="A134" s="111" t="s">
        <v>6342</v>
      </c>
      <c r="B134" s="110">
        <v>37</v>
      </c>
      <c r="C134" s="118">
        <v>7.5</v>
      </c>
    </row>
    <row r="135" spans="1:3" ht="15.5" thickTop="1" thickBot="1" x14ac:dyDescent="0.4">
      <c r="A135" s="111" t="s">
        <v>6342</v>
      </c>
      <c r="B135" s="110">
        <v>38</v>
      </c>
      <c r="C135" s="118">
        <v>10.6</v>
      </c>
    </row>
    <row r="136" spans="1:3" ht="15.5" thickTop="1" thickBot="1" x14ac:dyDescent="0.4">
      <c r="A136" s="111" t="s">
        <v>6342</v>
      </c>
      <c r="B136" s="110">
        <v>39</v>
      </c>
      <c r="C136" s="118">
        <v>10.7</v>
      </c>
    </row>
    <row r="137" spans="1:3" ht="15.5" thickTop="1" thickBot="1" x14ac:dyDescent="0.4">
      <c r="A137" s="111" t="s">
        <v>6342</v>
      </c>
      <c r="B137" s="110">
        <v>40</v>
      </c>
      <c r="C137" s="122">
        <v>22.5</v>
      </c>
    </row>
    <row r="138" spans="1:3" ht="15.5" thickTop="1" thickBot="1" x14ac:dyDescent="0.4">
      <c r="A138" s="111" t="s">
        <v>6342</v>
      </c>
      <c r="B138" s="110">
        <v>41</v>
      </c>
      <c r="C138" s="118">
        <v>14.5</v>
      </c>
    </row>
    <row r="139" spans="1:3" ht="15.5" thickTop="1" thickBot="1" x14ac:dyDescent="0.4">
      <c r="A139" s="111" t="s">
        <v>6342</v>
      </c>
      <c r="B139" s="110">
        <v>42</v>
      </c>
      <c r="C139" s="118">
        <v>15.6</v>
      </c>
    </row>
    <row r="140" spans="1:3" ht="15.5" thickTop="1" thickBot="1" x14ac:dyDescent="0.4">
      <c r="A140" s="111" t="s">
        <v>6342</v>
      </c>
      <c r="B140" s="110">
        <v>43</v>
      </c>
      <c r="C140" s="118">
        <v>12.4</v>
      </c>
    </row>
    <row r="141" spans="1:3" ht="15.5" thickTop="1" thickBot="1" x14ac:dyDescent="0.4">
      <c r="A141" s="111" t="s">
        <v>6342</v>
      </c>
      <c r="B141" s="110">
        <v>44</v>
      </c>
      <c r="C141" s="118">
        <v>9.5</v>
      </c>
    </row>
    <row r="142" spans="1:3" ht="15.5" thickTop="1" thickBot="1" x14ac:dyDescent="0.4">
      <c r="A142" s="111" t="s">
        <v>6342</v>
      </c>
      <c r="B142" s="110">
        <v>45</v>
      </c>
      <c r="C142" s="118">
        <v>6.6</v>
      </c>
    </row>
    <row r="143" spans="1:3" ht="15.5" thickTop="1" thickBot="1" x14ac:dyDescent="0.4">
      <c r="A143" s="111" t="s">
        <v>6342</v>
      </c>
      <c r="B143" s="110">
        <v>46</v>
      </c>
      <c r="C143" s="118">
        <v>8.6</v>
      </c>
    </row>
    <row r="144" spans="1:3" ht="15.5" thickTop="1" thickBot="1" x14ac:dyDescent="0.4">
      <c r="A144" s="111" t="s">
        <v>6342</v>
      </c>
      <c r="B144" s="110">
        <v>47</v>
      </c>
      <c r="C144" s="118">
        <v>8.6</v>
      </c>
    </row>
    <row r="145" spans="1:3" ht="15.5" thickTop="1" thickBot="1" x14ac:dyDescent="0.4">
      <c r="A145" s="111" t="s">
        <v>6342</v>
      </c>
      <c r="B145" s="110">
        <v>48</v>
      </c>
      <c r="C145" s="120">
        <v>4.5999999999999996</v>
      </c>
    </row>
    <row r="146" spans="1:3" ht="15.5" thickTop="1" thickBot="1" x14ac:dyDescent="0.4">
      <c r="A146" s="123" t="s">
        <v>6343</v>
      </c>
      <c r="B146" s="110">
        <v>1</v>
      </c>
      <c r="C146" s="104">
        <v>6</v>
      </c>
    </row>
    <row r="147" spans="1:3" ht="15.5" thickTop="1" thickBot="1" x14ac:dyDescent="0.4">
      <c r="A147" s="123" t="s">
        <v>6343</v>
      </c>
      <c r="B147" s="110">
        <v>2</v>
      </c>
      <c r="C147" s="104">
        <v>7</v>
      </c>
    </row>
    <row r="148" spans="1:3" ht="15.5" thickTop="1" thickBot="1" x14ac:dyDescent="0.4">
      <c r="A148" s="123" t="s">
        <v>6343</v>
      </c>
      <c r="B148" s="110">
        <v>3</v>
      </c>
      <c r="C148" s="104">
        <v>5.8</v>
      </c>
    </row>
    <row r="149" spans="1:3" ht="15.5" thickTop="1" thickBot="1" x14ac:dyDescent="0.4">
      <c r="A149" s="123" t="s">
        <v>6343</v>
      </c>
      <c r="B149" s="110">
        <v>4</v>
      </c>
      <c r="C149" s="104">
        <v>6.2</v>
      </c>
    </row>
    <row r="150" spans="1:3" ht="15.5" thickTop="1" thickBot="1" x14ac:dyDescent="0.4">
      <c r="A150" s="123" t="s">
        <v>6343</v>
      </c>
      <c r="B150" s="110">
        <v>5</v>
      </c>
      <c r="C150" s="104">
        <v>9.3000000000000007</v>
      </c>
    </row>
    <row r="151" spans="1:3" ht="15.5" thickTop="1" thickBot="1" x14ac:dyDescent="0.4">
      <c r="A151" s="123" t="s">
        <v>6343</v>
      </c>
      <c r="B151" s="110">
        <v>6</v>
      </c>
      <c r="C151" s="104">
        <v>5.5</v>
      </c>
    </row>
    <row r="152" spans="1:3" ht="15.5" thickTop="1" thickBot="1" x14ac:dyDescent="0.4">
      <c r="A152" s="123" t="s">
        <v>6343</v>
      </c>
      <c r="B152" s="110">
        <v>7</v>
      </c>
      <c r="C152" s="104">
        <v>5.8</v>
      </c>
    </row>
    <row r="153" spans="1:3" ht="15.5" thickTop="1" thickBot="1" x14ac:dyDescent="0.4">
      <c r="A153" s="123" t="s">
        <v>6343</v>
      </c>
      <c r="B153" s="110">
        <v>8</v>
      </c>
      <c r="C153" s="104">
        <v>13</v>
      </c>
    </row>
    <row r="154" spans="1:3" ht="15.5" thickTop="1" thickBot="1" x14ac:dyDescent="0.4">
      <c r="A154" s="123" t="s">
        <v>6343</v>
      </c>
      <c r="B154" s="110">
        <v>9</v>
      </c>
      <c r="C154" s="104">
        <v>3.6</v>
      </c>
    </row>
    <row r="155" spans="1:3" ht="15.5" thickTop="1" thickBot="1" x14ac:dyDescent="0.4">
      <c r="A155" s="123" t="s">
        <v>6343</v>
      </c>
      <c r="B155" s="110">
        <v>10</v>
      </c>
      <c r="C155" s="104">
        <v>5.0999999999999996</v>
      </c>
    </row>
    <row r="156" spans="1:3" ht="15.5" thickTop="1" thickBot="1" x14ac:dyDescent="0.4">
      <c r="A156" s="123" t="s">
        <v>6343</v>
      </c>
      <c r="B156" s="110">
        <v>11</v>
      </c>
      <c r="C156" s="104">
        <v>4.5</v>
      </c>
    </row>
    <row r="157" spans="1:3" ht="15.5" thickTop="1" thickBot="1" x14ac:dyDescent="0.4">
      <c r="A157" s="123" t="s">
        <v>6343</v>
      </c>
      <c r="B157" s="110">
        <v>12</v>
      </c>
      <c r="C157" s="104">
        <v>3.3</v>
      </c>
    </row>
    <row r="158" spans="1:3" ht="15.5" thickTop="1" thickBot="1" x14ac:dyDescent="0.4">
      <c r="A158" s="123" t="s">
        <v>6343</v>
      </c>
      <c r="B158" s="110">
        <v>13</v>
      </c>
      <c r="C158" s="104">
        <v>12</v>
      </c>
    </row>
    <row r="159" spans="1:3" ht="15.5" thickTop="1" thickBot="1" x14ac:dyDescent="0.4">
      <c r="A159" s="123" t="s">
        <v>6343</v>
      </c>
      <c r="B159" s="110">
        <v>14</v>
      </c>
      <c r="C159" s="104">
        <v>5.9</v>
      </c>
    </row>
    <row r="160" spans="1:3" ht="15.5" thickTop="1" thickBot="1" x14ac:dyDescent="0.4">
      <c r="A160" s="123" t="s">
        <v>6343</v>
      </c>
      <c r="B160" s="110">
        <v>15</v>
      </c>
      <c r="C160" s="104">
        <v>4.5999999999999996</v>
      </c>
    </row>
    <row r="161" spans="1:3" ht="15.5" thickTop="1" thickBot="1" x14ac:dyDescent="0.4">
      <c r="A161" s="123" t="s">
        <v>6343</v>
      </c>
      <c r="B161" s="110">
        <v>16</v>
      </c>
      <c r="C161" s="104">
        <v>11</v>
      </c>
    </row>
    <row r="162" spans="1:3" ht="15.5" thickTop="1" thickBot="1" x14ac:dyDescent="0.4">
      <c r="A162" s="123" t="s">
        <v>6343</v>
      </c>
      <c r="B162" s="110">
        <v>17</v>
      </c>
      <c r="C162" s="104">
        <v>11</v>
      </c>
    </row>
    <row r="163" spans="1:3" ht="15.5" thickTop="1" thickBot="1" x14ac:dyDescent="0.4">
      <c r="A163" s="123" t="s">
        <v>6343</v>
      </c>
      <c r="B163" s="110">
        <v>18</v>
      </c>
      <c r="C163" s="104">
        <v>6.4</v>
      </c>
    </row>
    <row r="164" spans="1:3" ht="15.5" thickTop="1" thickBot="1" x14ac:dyDescent="0.4">
      <c r="A164" s="123" t="s">
        <v>6343</v>
      </c>
      <c r="B164" s="110">
        <v>19</v>
      </c>
      <c r="C164" s="104">
        <v>4.4000000000000004</v>
      </c>
    </row>
    <row r="165" spans="1:3" ht="15.5" thickTop="1" thickBot="1" x14ac:dyDescent="0.4">
      <c r="A165" s="123" t="s">
        <v>6343</v>
      </c>
      <c r="B165" s="110">
        <v>20</v>
      </c>
      <c r="C165" s="104">
        <v>10</v>
      </c>
    </row>
    <row r="166" spans="1:3" ht="15.5" thickTop="1" thickBot="1" x14ac:dyDescent="0.4">
      <c r="A166" s="123" t="s">
        <v>6343</v>
      </c>
      <c r="B166" s="110">
        <v>21</v>
      </c>
      <c r="C166" s="104">
        <v>3.6</v>
      </c>
    </row>
    <row r="167" spans="1:3" ht="15.5" thickTop="1" thickBot="1" x14ac:dyDescent="0.4">
      <c r="A167" s="123" t="s">
        <v>6343</v>
      </c>
      <c r="B167" s="110">
        <v>22</v>
      </c>
      <c r="C167" s="104">
        <v>6</v>
      </c>
    </row>
    <row r="168" spans="1:3" ht="15.5" thickTop="1" thickBot="1" x14ac:dyDescent="0.4">
      <c r="A168" s="123" t="s">
        <v>6343</v>
      </c>
      <c r="B168" s="110">
        <v>23</v>
      </c>
      <c r="C168" s="104">
        <v>4.0999999999999996</v>
      </c>
    </row>
    <row r="169" spans="1:3" ht="15.5" thickTop="1" thickBot="1" x14ac:dyDescent="0.4">
      <c r="A169" s="123" t="s">
        <v>6343</v>
      </c>
      <c r="B169" s="110">
        <v>24</v>
      </c>
      <c r="C169" s="104">
        <v>3.3</v>
      </c>
    </row>
    <row r="170" spans="1:3" ht="15.5" thickTop="1" thickBot="1" x14ac:dyDescent="0.4">
      <c r="A170" s="123" t="s">
        <v>6343</v>
      </c>
      <c r="B170" s="110">
        <v>25</v>
      </c>
      <c r="C170" s="107">
        <v>5.9</v>
      </c>
    </row>
    <row r="171" spans="1:3" ht="15.5" thickTop="1" thickBot="1" x14ac:dyDescent="0.4">
      <c r="A171" s="123" t="s">
        <v>6343</v>
      </c>
      <c r="B171" s="110">
        <v>26</v>
      </c>
      <c r="C171" s="107">
        <v>6.1</v>
      </c>
    </row>
    <row r="172" spans="1:3" ht="15.5" thickTop="1" thickBot="1" x14ac:dyDescent="0.4">
      <c r="A172" s="123" t="s">
        <v>6343</v>
      </c>
      <c r="B172" s="110">
        <v>27</v>
      </c>
      <c r="C172" s="107">
        <v>11</v>
      </c>
    </row>
    <row r="173" spans="1:3" ht="15.5" thickTop="1" thickBot="1" x14ac:dyDescent="0.4">
      <c r="A173" s="123" t="s">
        <v>6343</v>
      </c>
      <c r="B173" s="110">
        <v>28</v>
      </c>
      <c r="C173" s="107">
        <v>11</v>
      </c>
    </row>
    <row r="174" spans="1:3" ht="15.5" thickTop="1" thickBot="1" x14ac:dyDescent="0.4">
      <c r="A174" s="123" t="s">
        <v>6343</v>
      </c>
      <c r="B174" s="110">
        <v>29</v>
      </c>
      <c r="C174" s="107">
        <v>7.3</v>
      </c>
    </row>
    <row r="175" spans="1:3" ht="15.5" thickTop="1" thickBot="1" x14ac:dyDescent="0.4">
      <c r="A175" s="123" t="s">
        <v>6343</v>
      </c>
      <c r="B175" s="110">
        <v>30</v>
      </c>
      <c r="C175" s="107">
        <v>4.7</v>
      </c>
    </row>
    <row r="176" spans="1:3" ht="15.5" thickTop="1" thickBot="1" x14ac:dyDescent="0.4">
      <c r="A176" s="123" t="s">
        <v>6343</v>
      </c>
      <c r="B176" s="110">
        <v>31</v>
      </c>
      <c r="C176" s="107">
        <v>5.8</v>
      </c>
    </row>
    <row r="177" spans="1:3" ht="15.5" thickTop="1" thickBot="1" x14ac:dyDescent="0.4">
      <c r="A177" s="123" t="s">
        <v>6343</v>
      </c>
      <c r="B177" s="110">
        <v>32</v>
      </c>
      <c r="C177" s="107">
        <v>5.4</v>
      </c>
    </row>
    <row r="178" spans="1:3" ht="15.5" thickTop="1" thickBot="1" x14ac:dyDescent="0.4">
      <c r="A178" s="123" t="s">
        <v>6343</v>
      </c>
      <c r="B178" s="110">
        <v>33</v>
      </c>
      <c r="C178" s="107">
        <v>5.9</v>
      </c>
    </row>
    <row r="179" spans="1:3" ht="15.5" thickTop="1" thickBot="1" x14ac:dyDescent="0.4">
      <c r="A179" s="123" t="s">
        <v>6343</v>
      </c>
      <c r="B179" s="110">
        <v>34</v>
      </c>
      <c r="C179" s="107">
        <v>4.5999999999999996</v>
      </c>
    </row>
    <row r="180" spans="1:3" ht="15.5" thickTop="1" thickBot="1" x14ac:dyDescent="0.4">
      <c r="A180" s="123" t="s">
        <v>6343</v>
      </c>
      <c r="B180" s="110">
        <v>35</v>
      </c>
      <c r="C180" s="107">
        <v>4.7</v>
      </c>
    </row>
    <row r="181" spans="1:3" ht="15.5" thickTop="1" thickBot="1" x14ac:dyDescent="0.4">
      <c r="A181" s="123" t="s">
        <v>6343</v>
      </c>
      <c r="B181" s="110">
        <v>36</v>
      </c>
      <c r="C181" s="117">
        <v>2.9</v>
      </c>
    </row>
    <row r="182" spans="1:3" ht="15.5" thickTop="1" thickBot="1" x14ac:dyDescent="0.4">
      <c r="A182" s="123" t="s">
        <v>6343</v>
      </c>
      <c r="B182" s="110">
        <v>37</v>
      </c>
      <c r="C182" s="107">
        <v>3.9</v>
      </c>
    </row>
    <row r="183" spans="1:3" ht="15.5" thickTop="1" thickBot="1" x14ac:dyDescent="0.4">
      <c r="A183" s="123" t="s">
        <v>6343</v>
      </c>
      <c r="B183" s="110">
        <v>38</v>
      </c>
      <c r="C183" s="107">
        <v>9.3000000000000007</v>
      </c>
    </row>
    <row r="184" spans="1:3" ht="15.5" thickTop="1" thickBot="1" x14ac:dyDescent="0.4">
      <c r="A184" s="123" t="s">
        <v>6343</v>
      </c>
      <c r="B184" s="110">
        <v>39</v>
      </c>
      <c r="C184" s="107">
        <v>6</v>
      </c>
    </row>
    <row r="185" spans="1:3" ht="15.5" thickTop="1" thickBot="1" x14ac:dyDescent="0.4">
      <c r="A185" s="123" t="s">
        <v>6343</v>
      </c>
      <c r="B185" s="110">
        <v>40</v>
      </c>
      <c r="C185" s="107">
        <v>4.5</v>
      </c>
    </row>
    <row r="186" spans="1:3" ht="15.5" thickTop="1" thickBot="1" x14ac:dyDescent="0.4">
      <c r="A186" s="123" t="s">
        <v>6343</v>
      </c>
      <c r="B186" s="110">
        <v>41</v>
      </c>
      <c r="C186" s="107">
        <v>14</v>
      </c>
    </row>
    <row r="187" spans="1:3" ht="15.5" thickTop="1" thickBot="1" x14ac:dyDescent="0.4">
      <c r="A187" s="123" t="s">
        <v>6343</v>
      </c>
      <c r="B187" s="110">
        <v>42</v>
      </c>
      <c r="C187" s="107">
        <v>6.4</v>
      </c>
    </row>
    <row r="188" spans="1:3" ht="15.5" thickTop="1" thickBot="1" x14ac:dyDescent="0.4">
      <c r="A188" s="123" t="s">
        <v>6343</v>
      </c>
      <c r="B188" s="110">
        <v>43</v>
      </c>
      <c r="C188" s="107">
        <v>3.1</v>
      </c>
    </row>
    <row r="189" spans="1:3" ht="15.5" thickTop="1" thickBot="1" x14ac:dyDescent="0.4">
      <c r="A189" s="123" t="s">
        <v>6343</v>
      </c>
      <c r="B189" s="110">
        <v>44</v>
      </c>
      <c r="C189" s="107">
        <v>3</v>
      </c>
    </row>
    <row r="190" spans="1:3" ht="15.5" thickTop="1" thickBot="1" x14ac:dyDescent="0.4">
      <c r="A190" s="123" t="s">
        <v>6343</v>
      </c>
      <c r="B190" s="110">
        <v>45</v>
      </c>
      <c r="C190" s="107">
        <v>4.9000000000000004</v>
      </c>
    </row>
    <row r="191" spans="1:3" ht="15.5" thickTop="1" thickBot="1" x14ac:dyDescent="0.4">
      <c r="A191" s="123" t="s">
        <v>6343</v>
      </c>
      <c r="B191" s="110">
        <v>46</v>
      </c>
      <c r="C191" s="107">
        <v>4.5</v>
      </c>
    </row>
    <row r="192" spans="1:3" ht="15.5" thickTop="1" thickBot="1" x14ac:dyDescent="0.4">
      <c r="A192" s="123" t="s">
        <v>6343</v>
      </c>
      <c r="B192" s="110">
        <v>47</v>
      </c>
      <c r="C192" s="107">
        <v>4.0999999999999996</v>
      </c>
    </row>
    <row r="193" spans="1:3" ht="15.5" thickTop="1" thickBot="1" x14ac:dyDescent="0.4">
      <c r="A193" s="123" t="s">
        <v>6343</v>
      </c>
      <c r="B193" s="110">
        <v>48</v>
      </c>
      <c r="C193" s="107">
        <v>6.7</v>
      </c>
    </row>
    <row r="194" spans="1:3" ht="15.5" thickTop="1" thickBot="1" x14ac:dyDescent="0.4">
      <c r="A194" s="111" t="s">
        <v>6344</v>
      </c>
      <c r="B194" s="110">
        <v>1</v>
      </c>
      <c r="C194" s="118">
        <v>11</v>
      </c>
    </row>
    <row r="195" spans="1:3" ht="15.5" thickTop="1" thickBot="1" x14ac:dyDescent="0.4">
      <c r="A195" s="111" t="s">
        <v>6344</v>
      </c>
      <c r="B195" s="110">
        <v>2</v>
      </c>
      <c r="C195" s="118">
        <v>8.1</v>
      </c>
    </row>
    <row r="196" spans="1:3" ht="15.5" thickTop="1" thickBot="1" x14ac:dyDescent="0.4">
      <c r="A196" s="111" t="s">
        <v>6344</v>
      </c>
      <c r="B196" s="110">
        <v>3</v>
      </c>
      <c r="C196" s="118">
        <v>13.5</v>
      </c>
    </row>
    <row r="197" spans="1:3" ht="15.5" thickTop="1" thickBot="1" x14ac:dyDescent="0.4">
      <c r="A197" s="111" t="s">
        <v>6344</v>
      </c>
      <c r="B197" s="110">
        <v>4</v>
      </c>
      <c r="C197" s="118">
        <v>18.399999999999999</v>
      </c>
    </row>
    <row r="198" spans="1:3" ht="15.5" thickTop="1" thickBot="1" x14ac:dyDescent="0.4">
      <c r="A198" s="111" t="s">
        <v>6344</v>
      </c>
      <c r="B198" s="110">
        <v>5</v>
      </c>
      <c r="C198" s="122">
        <v>12</v>
      </c>
    </row>
    <row r="199" spans="1:3" ht="15.5" thickTop="1" thickBot="1" x14ac:dyDescent="0.4">
      <c r="A199" s="111" t="s">
        <v>6344</v>
      </c>
      <c r="B199" s="110">
        <v>6</v>
      </c>
      <c r="C199" s="118">
        <v>10</v>
      </c>
    </row>
    <row r="200" spans="1:3" ht="15.5" thickTop="1" thickBot="1" x14ac:dyDescent="0.4">
      <c r="A200" s="111" t="s">
        <v>6344</v>
      </c>
      <c r="B200" s="110">
        <v>7</v>
      </c>
      <c r="C200" s="118">
        <v>8.1999999999999993</v>
      </c>
    </row>
    <row r="201" spans="1:3" ht="15.5" thickTop="1" thickBot="1" x14ac:dyDescent="0.4">
      <c r="A201" s="111" t="s">
        <v>6344</v>
      </c>
      <c r="B201" s="110">
        <v>8</v>
      </c>
      <c r="C201" s="118">
        <v>7.4</v>
      </c>
    </row>
    <row r="202" spans="1:3" ht="15.5" thickTop="1" thickBot="1" x14ac:dyDescent="0.4">
      <c r="A202" s="111" t="s">
        <v>6344</v>
      </c>
      <c r="B202" s="110">
        <v>9</v>
      </c>
      <c r="C202" s="118">
        <v>7.6</v>
      </c>
    </row>
    <row r="203" spans="1:3" ht="15.5" thickTop="1" thickBot="1" x14ac:dyDescent="0.4">
      <c r="A203" s="111" t="s">
        <v>6344</v>
      </c>
      <c r="B203" s="110">
        <v>10</v>
      </c>
      <c r="C203" s="118">
        <v>12.8</v>
      </c>
    </row>
    <row r="204" spans="1:3" ht="15.5" thickTop="1" thickBot="1" x14ac:dyDescent="0.4">
      <c r="A204" s="111" t="s">
        <v>6344</v>
      </c>
      <c r="B204" s="110">
        <v>11</v>
      </c>
      <c r="C204" s="118">
        <v>13.4</v>
      </c>
    </row>
    <row r="205" spans="1:3" ht="15.5" thickTop="1" thickBot="1" x14ac:dyDescent="0.4">
      <c r="A205" s="111" t="s">
        <v>6344</v>
      </c>
      <c r="B205" s="110">
        <v>12</v>
      </c>
      <c r="C205" s="122">
        <v>15</v>
      </c>
    </row>
    <row r="206" spans="1:3" ht="15.5" thickTop="1" thickBot="1" x14ac:dyDescent="0.4">
      <c r="A206" s="111" t="s">
        <v>6344</v>
      </c>
      <c r="B206" s="110">
        <v>13</v>
      </c>
      <c r="C206" s="118">
        <v>7.9</v>
      </c>
    </row>
    <row r="207" spans="1:3" ht="15.5" thickTop="1" thickBot="1" x14ac:dyDescent="0.4">
      <c r="A207" s="111" t="s">
        <v>6344</v>
      </c>
      <c r="B207" s="110">
        <v>14</v>
      </c>
      <c r="C207" s="118">
        <v>15.6</v>
      </c>
    </row>
    <row r="208" spans="1:3" ht="15.5" thickTop="1" thickBot="1" x14ac:dyDescent="0.4">
      <c r="A208" s="111" t="s">
        <v>6344</v>
      </c>
      <c r="B208" s="110">
        <v>15</v>
      </c>
      <c r="C208" s="118">
        <v>16.3</v>
      </c>
    </row>
    <row r="209" spans="1:3" ht="15.5" thickTop="1" thickBot="1" x14ac:dyDescent="0.4">
      <c r="A209" s="111" t="s">
        <v>6344</v>
      </c>
      <c r="B209" s="110">
        <v>16</v>
      </c>
      <c r="C209" s="118">
        <v>9.6</v>
      </c>
    </row>
    <row r="210" spans="1:3" ht="15.5" thickTop="1" thickBot="1" x14ac:dyDescent="0.4">
      <c r="A210" s="111" t="s">
        <v>6344</v>
      </c>
      <c r="B210" s="110">
        <v>17</v>
      </c>
      <c r="C210" s="118">
        <v>6.7</v>
      </c>
    </row>
    <row r="211" spans="1:3" ht="15.5" thickTop="1" thickBot="1" x14ac:dyDescent="0.4">
      <c r="A211" s="111" t="s">
        <v>6344</v>
      </c>
      <c r="B211" s="110">
        <v>18</v>
      </c>
      <c r="C211" s="118">
        <v>14.8</v>
      </c>
    </row>
    <row r="212" spans="1:3" ht="15.5" thickTop="1" thickBot="1" x14ac:dyDescent="0.4">
      <c r="A212" s="111" t="s">
        <v>6344</v>
      </c>
      <c r="B212" s="110">
        <v>19</v>
      </c>
      <c r="C212" s="118">
        <v>15.9</v>
      </c>
    </row>
    <row r="213" spans="1:3" ht="15.5" thickTop="1" thickBot="1" x14ac:dyDescent="0.4">
      <c r="A213" s="111" t="s">
        <v>6344</v>
      </c>
      <c r="B213" s="110">
        <v>20</v>
      </c>
      <c r="C213" s="118">
        <v>13.5</v>
      </c>
    </row>
    <row r="214" spans="1:3" ht="15.5" thickTop="1" thickBot="1" x14ac:dyDescent="0.4">
      <c r="A214" s="111" t="s">
        <v>6344</v>
      </c>
      <c r="B214" s="110">
        <v>21</v>
      </c>
      <c r="C214" s="118">
        <v>7.6</v>
      </c>
    </row>
    <row r="215" spans="1:3" ht="15.5" thickTop="1" thickBot="1" x14ac:dyDescent="0.4">
      <c r="A215" s="111" t="s">
        <v>6344</v>
      </c>
      <c r="B215" s="110">
        <v>22</v>
      </c>
      <c r="C215" s="118">
        <v>4.9000000000000004</v>
      </c>
    </row>
    <row r="216" spans="1:3" ht="15.5" thickTop="1" thickBot="1" x14ac:dyDescent="0.4">
      <c r="A216" s="111" t="s">
        <v>6344</v>
      </c>
      <c r="B216" s="110">
        <v>23</v>
      </c>
      <c r="C216" s="118">
        <v>6.1</v>
      </c>
    </row>
    <row r="217" spans="1:3" ht="15.5" thickTop="1" thickBot="1" x14ac:dyDescent="0.4">
      <c r="A217" s="111" t="s">
        <v>6344</v>
      </c>
      <c r="B217" s="110">
        <v>24</v>
      </c>
      <c r="C217" s="118">
        <v>4</v>
      </c>
    </row>
    <row r="218" spans="1:3" ht="15.5" thickTop="1" thickBot="1" x14ac:dyDescent="0.4">
      <c r="A218" s="111" t="s">
        <v>6344</v>
      </c>
      <c r="B218" s="110">
        <v>25</v>
      </c>
      <c r="C218" s="118">
        <v>6.7</v>
      </c>
    </row>
    <row r="219" spans="1:3" ht="15.5" thickTop="1" thickBot="1" x14ac:dyDescent="0.4">
      <c r="A219" s="111" t="s">
        <v>6344</v>
      </c>
      <c r="B219" s="110">
        <v>26</v>
      </c>
      <c r="C219" s="118">
        <v>7.2</v>
      </c>
    </row>
    <row r="220" spans="1:3" ht="15.5" thickTop="1" thickBot="1" x14ac:dyDescent="0.4">
      <c r="A220" s="111" t="s">
        <v>6344</v>
      </c>
      <c r="B220" s="110">
        <v>27</v>
      </c>
      <c r="C220" s="118">
        <v>6.3</v>
      </c>
    </row>
    <row r="221" spans="1:3" ht="15.5" thickTop="1" thickBot="1" x14ac:dyDescent="0.4">
      <c r="A221" s="111" t="s">
        <v>6344</v>
      </c>
      <c r="B221" s="110">
        <v>28</v>
      </c>
      <c r="C221" s="118">
        <v>13.1</v>
      </c>
    </row>
    <row r="222" spans="1:3" ht="15.5" thickTop="1" thickBot="1" x14ac:dyDescent="0.4">
      <c r="A222" s="111" t="s">
        <v>6344</v>
      </c>
      <c r="B222" s="110">
        <v>29</v>
      </c>
      <c r="C222" s="118">
        <v>6.4</v>
      </c>
    </row>
    <row r="223" spans="1:3" ht="15.5" thickTop="1" thickBot="1" x14ac:dyDescent="0.4">
      <c r="A223" s="111" t="s">
        <v>6344</v>
      </c>
      <c r="B223" s="110">
        <v>30</v>
      </c>
      <c r="C223" s="118">
        <v>9.6</v>
      </c>
    </row>
    <row r="224" spans="1:3" ht="15.5" thickTop="1" thickBot="1" x14ac:dyDescent="0.4">
      <c r="A224" s="111" t="s">
        <v>6344</v>
      </c>
      <c r="B224" s="110">
        <v>31</v>
      </c>
      <c r="C224" s="118">
        <v>7.5</v>
      </c>
    </row>
    <row r="225" spans="1:3" ht="15.5" thickTop="1" thickBot="1" x14ac:dyDescent="0.4">
      <c r="A225" s="111" t="s">
        <v>6344</v>
      </c>
      <c r="B225" s="110">
        <v>32</v>
      </c>
      <c r="C225" s="118">
        <v>6.3</v>
      </c>
    </row>
    <row r="226" spans="1:3" ht="15.5" thickTop="1" thickBot="1" x14ac:dyDescent="0.4">
      <c r="A226" s="111" t="s">
        <v>6344</v>
      </c>
      <c r="B226" s="110">
        <v>33</v>
      </c>
      <c r="C226" s="118">
        <v>3.4</v>
      </c>
    </row>
    <row r="227" spans="1:3" ht="15.5" thickTop="1" thickBot="1" x14ac:dyDescent="0.4">
      <c r="A227" s="111" t="s">
        <v>6344</v>
      </c>
      <c r="B227" s="110">
        <v>34</v>
      </c>
      <c r="C227" s="118">
        <v>9.1999999999999993</v>
      </c>
    </row>
    <row r="228" spans="1:3" ht="15.5" thickTop="1" thickBot="1" x14ac:dyDescent="0.4">
      <c r="A228" s="111" t="s">
        <v>6344</v>
      </c>
      <c r="B228" s="110">
        <v>35</v>
      </c>
      <c r="C228" s="118">
        <v>6.3</v>
      </c>
    </row>
    <row r="229" spans="1:3" ht="15.5" thickTop="1" thickBot="1" x14ac:dyDescent="0.4">
      <c r="A229" s="111" t="s">
        <v>6344</v>
      </c>
      <c r="B229" s="110">
        <v>36</v>
      </c>
      <c r="C229" s="118">
        <v>5.7</v>
      </c>
    </row>
    <row r="230" spans="1:3" ht="15.5" thickTop="1" thickBot="1" x14ac:dyDescent="0.4">
      <c r="A230" s="111" t="s">
        <v>6344</v>
      </c>
      <c r="B230" s="110">
        <v>37</v>
      </c>
      <c r="C230" s="118">
        <v>7.3</v>
      </c>
    </row>
    <row r="231" spans="1:3" ht="15.5" thickTop="1" thickBot="1" x14ac:dyDescent="0.4">
      <c r="A231" s="111" t="s">
        <v>6344</v>
      </c>
      <c r="B231" s="110">
        <v>38</v>
      </c>
      <c r="C231" s="118">
        <v>10.5</v>
      </c>
    </row>
    <row r="232" spans="1:3" ht="15.5" thickTop="1" thickBot="1" x14ac:dyDescent="0.4">
      <c r="A232" s="111" t="s">
        <v>6344</v>
      </c>
      <c r="B232" s="110">
        <v>39</v>
      </c>
      <c r="C232" s="118">
        <v>10.7</v>
      </c>
    </row>
    <row r="233" spans="1:3" ht="15.5" thickTop="1" thickBot="1" x14ac:dyDescent="0.4">
      <c r="A233" s="111" t="s">
        <v>6344</v>
      </c>
      <c r="B233" s="110">
        <v>40</v>
      </c>
      <c r="C233" s="122">
        <v>17</v>
      </c>
    </row>
    <row r="234" spans="1:3" ht="15.5" thickTop="1" thickBot="1" x14ac:dyDescent="0.4">
      <c r="A234" s="111" t="s">
        <v>6344</v>
      </c>
      <c r="B234" s="110">
        <v>41</v>
      </c>
      <c r="C234" s="118">
        <v>7.1</v>
      </c>
    </row>
    <row r="235" spans="1:3" ht="15.5" thickTop="1" thickBot="1" x14ac:dyDescent="0.4">
      <c r="A235" s="111" t="s">
        <v>6344</v>
      </c>
      <c r="B235" s="110">
        <v>42</v>
      </c>
      <c r="C235" s="118">
        <v>12</v>
      </c>
    </row>
    <row r="236" spans="1:3" ht="15.5" thickTop="1" thickBot="1" x14ac:dyDescent="0.4">
      <c r="A236" s="111" t="s">
        <v>6344</v>
      </c>
      <c r="B236" s="110">
        <v>43</v>
      </c>
      <c r="C236" s="118">
        <v>8.1</v>
      </c>
    </row>
    <row r="237" spans="1:3" ht="15.5" thickTop="1" thickBot="1" x14ac:dyDescent="0.4">
      <c r="A237" s="111" t="s">
        <v>6344</v>
      </c>
      <c r="B237" s="110">
        <v>44</v>
      </c>
      <c r="C237" s="122">
        <v>16</v>
      </c>
    </row>
    <row r="238" spans="1:3" ht="15.5" thickTop="1" thickBot="1" x14ac:dyDescent="0.4">
      <c r="A238" s="111" t="s">
        <v>6344</v>
      </c>
      <c r="B238" s="110">
        <v>45</v>
      </c>
      <c r="C238" s="118">
        <v>5.3</v>
      </c>
    </row>
    <row r="239" spans="1:3" ht="15.5" thickTop="1" thickBot="1" x14ac:dyDescent="0.4">
      <c r="A239" s="111" t="s">
        <v>6344</v>
      </c>
      <c r="B239" s="110">
        <v>46</v>
      </c>
      <c r="C239" s="118">
        <v>10.7</v>
      </c>
    </row>
    <row r="240" spans="1:3" ht="15.5" thickTop="1" thickBot="1" x14ac:dyDescent="0.4">
      <c r="A240" s="111" t="s">
        <v>6344</v>
      </c>
      <c r="B240" s="110">
        <v>47</v>
      </c>
      <c r="C240" s="118">
        <v>10.7</v>
      </c>
    </row>
    <row r="241" spans="1:3" ht="15.5" thickTop="1" thickBot="1" x14ac:dyDescent="0.4">
      <c r="A241" s="111" t="s">
        <v>6344</v>
      </c>
      <c r="B241" s="110">
        <v>48</v>
      </c>
      <c r="C241" s="118">
        <v>12.1</v>
      </c>
    </row>
    <row r="242" spans="1:3" ht="15.5" thickTop="1" thickBot="1" x14ac:dyDescent="0.4">
      <c r="A242" s="106" t="s">
        <v>6345</v>
      </c>
      <c r="B242" s="110">
        <v>1</v>
      </c>
      <c r="C242" s="118">
        <v>5.9</v>
      </c>
    </row>
    <row r="243" spans="1:3" ht="15.5" thickTop="1" thickBot="1" x14ac:dyDescent="0.4">
      <c r="A243" s="106" t="s">
        <v>6345</v>
      </c>
      <c r="B243" s="110">
        <v>2</v>
      </c>
      <c r="C243" s="118">
        <v>14.5</v>
      </c>
    </row>
    <row r="244" spans="1:3" ht="15.5" thickTop="1" thickBot="1" x14ac:dyDescent="0.4">
      <c r="A244" s="106" t="s">
        <v>6345</v>
      </c>
      <c r="B244" s="110">
        <v>3</v>
      </c>
      <c r="C244" s="118">
        <v>14.4</v>
      </c>
    </row>
    <row r="245" spans="1:3" ht="15.5" thickTop="1" thickBot="1" x14ac:dyDescent="0.4">
      <c r="A245" s="106" t="s">
        <v>6345</v>
      </c>
      <c r="B245" s="110">
        <v>4</v>
      </c>
      <c r="C245" s="122">
        <v>15</v>
      </c>
    </row>
    <row r="246" spans="1:3" ht="15.5" thickTop="1" thickBot="1" x14ac:dyDescent="0.4">
      <c r="A246" s="106" t="s">
        <v>6345</v>
      </c>
      <c r="B246" s="110">
        <v>5</v>
      </c>
      <c r="C246" s="118">
        <v>7.6</v>
      </c>
    </row>
    <row r="247" spans="1:3" ht="15.5" thickTop="1" thickBot="1" x14ac:dyDescent="0.4">
      <c r="A247" s="106" t="s">
        <v>6345</v>
      </c>
      <c r="B247" s="110">
        <v>6</v>
      </c>
      <c r="C247" s="118">
        <v>14.8</v>
      </c>
    </row>
    <row r="248" spans="1:3" ht="15.5" thickTop="1" thickBot="1" x14ac:dyDescent="0.4">
      <c r="A248" s="106" t="s">
        <v>6345</v>
      </c>
      <c r="B248" s="110">
        <v>7</v>
      </c>
      <c r="C248" s="118">
        <v>16.5</v>
      </c>
    </row>
    <row r="249" spans="1:3" ht="15.5" thickTop="1" thickBot="1" x14ac:dyDescent="0.4">
      <c r="A249" s="106" t="s">
        <v>6345</v>
      </c>
      <c r="B249" s="110">
        <v>8</v>
      </c>
      <c r="C249" s="118">
        <v>11.8</v>
      </c>
    </row>
    <row r="250" spans="1:3" ht="15.5" thickTop="1" thickBot="1" x14ac:dyDescent="0.4">
      <c r="A250" s="106" t="s">
        <v>6345</v>
      </c>
      <c r="B250" s="110">
        <v>9</v>
      </c>
      <c r="C250" s="118">
        <v>6.8</v>
      </c>
    </row>
    <row r="251" spans="1:3" ht="15.5" thickTop="1" thickBot="1" x14ac:dyDescent="0.4">
      <c r="A251" s="106" t="s">
        <v>6345</v>
      </c>
      <c r="B251" s="110">
        <v>10</v>
      </c>
      <c r="C251" s="118">
        <v>8.6</v>
      </c>
    </row>
    <row r="252" spans="1:3" ht="15.5" thickTop="1" thickBot="1" x14ac:dyDescent="0.4">
      <c r="A252" s="106" t="s">
        <v>6345</v>
      </c>
      <c r="B252" s="110">
        <v>11</v>
      </c>
      <c r="C252" s="118">
        <v>10.199999999999999</v>
      </c>
    </row>
    <row r="253" spans="1:3" ht="15.5" thickTop="1" thickBot="1" x14ac:dyDescent="0.4">
      <c r="A253" s="106" t="s">
        <v>6345</v>
      </c>
      <c r="B253" s="110">
        <v>12</v>
      </c>
      <c r="C253" s="118">
        <v>7.1</v>
      </c>
    </row>
    <row r="254" spans="1:3" ht="15.5" thickTop="1" thickBot="1" x14ac:dyDescent="0.4">
      <c r="A254" s="106" t="s">
        <v>6345</v>
      </c>
      <c r="B254" s="110">
        <v>13</v>
      </c>
      <c r="C254" s="118">
        <v>3.5</v>
      </c>
    </row>
    <row r="255" spans="1:3" ht="15.5" thickTop="1" thickBot="1" x14ac:dyDescent="0.4">
      <c r="A255" s="106" t="s">
        <v>6345</v>
      </c>
      <c r="B255" s="110">
        <v>14</v>
      </c>
      <c r="C255" s="118">
        <v>12.1</v>
      </c>
    </row>
    <row r="256" spans="1:3" ht="15.5" thickTop="1" thickBot="1" x14ac:dyDescent="0.4">
      <c r="A256" s="106" t="s">
        <v>6345</v>
      </c>
      <c r="B256" s="110">
        <v>15</v>
      </c>
      <c r="C256" s="118">
        <v>8.1999999999999993</v>
      </c>
    </row>
    <row r="257" spans="1:3" ht="15.5" thickTop="1" thickBot="1" x14ac:dyDescent="0.4">
      <c r="A257" s="106" t="s">
        <v>6345</v>
      </c>
      <c r="B257" s="110">
        <v>16</v>
      </c>
      <c r="C257" s="118">
        <v>11.2</v>
      </c>
    </row>
    <row r="258" spans="1:3" ht="15.5" thickTop="1" thickBot="1" x14ac:dyDescent="0.4">
      <c r="A258" s="106" t="s">
        <v>6345</v>
      </c>
      <c r="B258" s="110">
        <v>17</v>
      </c>
      <c r="C258" s="118">
        <v>9.5</v>
      </c>
    </row>
    <row r="259" spans="1:3" ht="15.5" thickTop="1" thickBot="1" x14ac:dyDescent="0.4">
      <c r="A259" s="106" t="s">
        <v>6345</v>
      </c>
      <c r="B259" s="110">
        <v>18</v>
      </c>
      <c r="C259" s="118">
        <v>10.5</v>
      </c>
    </row>
    <row r="260" spans="1:3" ht="15.5" thickTop="1" thickBot="1" x14ac:dyDescent="0.4">
      <c r="A260" s="106" t="s">
        <v>6345</v>
      </c>
      <c r="B260" s="110">
        <v>19</v>
      </c>
      <c r="C260" s="122">
        <v>9.8000000000000007</v>
      </c>
    </row>
    <row r="261" spans="1:3" ht="15.5" thickTop="1" thickBot="1" x14ac:dyDescent="0.4">
      <c r="A261" s="106" t="s">
        <v>6345</v>
      </c>
      <c r="B261" s="110">
        <v>20</v>
      </c>
      <c r="C261" s="118">
        <v>12.8</v>
      </c>
    </row>
    <row r="262" spans="1:3" ht="15.5" thickTop="1" thickBot="1" x14ac:dyDescent="0.4">
      <c r="A262" s="106" t="s">
        <v>6345</v>
      </c>
      <c r="B262" s="110">
        <v>21</v>
      </c>
      <c r="C262" s="118">
        <v>14.8</v>
      </c>
    </row>
    <row r="263" spans="1:3" ht="15.5" thickTop="1" thickBot="1" x14ac:dyDescent="0.4">
      <c r="A263" s="106" t="s">
        <v>6345</v>
      </c>
      <c r="B263" s="110">
        <v>22</v>
      </c>
      <c r="C263" s="118">
        <v>8.1999999999999993</v>
      </c>
    </row>
    <row r="264" spans="1:3" ht="15.5" thickTop="1" thickBot="1" x14ac:dyDescent="0.4">
      <c r="A264" s="106" t="s">
        <v>6345</v>
      </c>
      <c r="B264" s="110">
        <v>23</v>
      </c>
      <c r="C264" s="118">
        <v>6.3</v>
      </c>
    </row>
    <row r="265" spans="1:3" ht="15.5" thickTop="1" thickBot="1" x14ac:dyDescent="0.4">
      <c r="A265" s="106" t="s">
        <v>6345</v>
      </c>
      <c r="B265" s="110">
        <v>24</v>
      </c>
      <c r="C265" s="118">
        <v>7.9</v>
      </c>
    </row>
    <row r="266" spans="1:3" ht="15.5" thickTop="1" thickBot="1" x14ac:dyDescent="0.4">
      <c r="A266" s="106" t="s">
        <v>6345</v>
      </c>
      <c r="B266" s="110">
        <v>25</v>
      </c>
      <c r="C266" s="118">
        <v>5.4</v>
      </c>
    </row>
    <row r="267" spans="1:3" ht="15.5" thickTop="1" thickBot="1" x14ac:dyDescent="0.4">
      <c r="A267" s="106" t="s">
        <v>6345</v>
      </c>
      <c r="B267" s="110">
        <v>26</v>
      </c>
      <c r="C267" s="118">
        <v>11.8</v>
      </c>
    </row>
    <row r="268" spans="1:3" ht="15.5" thickTop="1" thickBot="1" x14ac:dyDescent="0.4">
      <c r="A268" s="106" t="s">
        <v>6345</v>
      </c>
      <c r="B268" s="110">
        <v>27</v>
      </c>
      <c r="C268" s="118">
        <v>11.7</v>
      </c>
    </row>
    <row r="269" spans="1:3" ht="15.5" thickTop="1" thickBot="1" x14ac:dyDescent="0.4">
      <c r="A269" s="106" t="s">
        <v>6345</v>
      </c>
      <c r="B269" s="110">
        <v>28</v>
      </c>
      <c r="C269" s="118">
        <v>13.1</v>
      </c>
    </row>
    <row r="270" spans="1:3" ht="15.5" thickTop="1" thickBot="1" x14ac:dyDescent="0.4">
      <c r="A270" s="106" t="s">
        <v>6345</v>
      </c>
      <c r="B270" s="110">
        <v>29</v>
      </c>
      <c r="C270" s="118">
        <v>13.4</v>
      </c>
    </row>
    <row r="271" spans="1:3" ht="15.5" thickTop="1" thickBot="1" x14ac:dyDescent="0.4">
      <c r="A271" s="106" t="s">
        <v>6345</v>
      </c>
      <c r="B271" s="110">
        <v>30</v>
      </c>
      <c r="C271" s="120">
        <v>6.1</v>
      </c>
    </row>
    <row r="272" spans="1:3" ht="15.5" thickTop="1" thickBot="1" x14ac:dyDescent="0.4">
      <c r="A272" s="106" t="s">
        <v>6345</v>
      </c>
      <c r="B272" s="110">
        <v>31</v>
      </c>
      <c r="C272" s="112"/>
    </row>
    <row r="273" spans="1:3" ht="15.5" thickTop="1" thickBot="1" x14ac:dyDescent="0.4">
      <c r="A273" s="106" t="s">
        <v>6345</v>
      </c>
      <c r="B273" s="110">
        <v>32</v>
      </c>
      <c r="C273" s="112"/>
    </row>
    <row r="274" spans="1:3" ht="15.5" thickTop="1" thickBot="1" x14ac:dyDescent="0.4">
      <c r="A274" s="106" t="s">
        <v>6345</v>
      </c>
      <c r="B274" s="110">
        <v>33</v>
      </c>
      <c r="C274" s="112"/>
    </row>
    <row r="275" spans="1:3" ht="15.5" thickTop="1" thickBot="1" x14ac:dyDescent="0.4">
      <c r="A275" s="106" t="s">
        <v>6345</v>
      </c>
      <c r="B275" s="110">
        <v>34</v>
      </c>
      <c r="C275" s="112"/>
    </row>
    <row r="276" spans="1:3" ht="15.5" thickTop="1" thickBot="1" x14ac:dyDescent="0.4">
      <c r="A276" s="106" t="s">
        <v>6345</v>
      </c>
      <c r="B276" s="110">
        <v>35</v>
      </c>
      <c r="C276" s="112"/>
    </row>
    <row r="277" spans="1:3" ht="15.5" thickTop="1" thickBot="1" x14ac:dyDescent="0.4">
      <c r="A277" s="106" t="s">
        <v>6345</v>
      </c>
      <c r="B277" s="110">
        <v>36</v>
      </c>
      <c r="C277" s="112"/>
    </row>
    <row r="278" spans="1:3" ht="15.5" thickTop="1" thickBot="1" x14ac:dyDescent="0.4">
      <c r="A278" s="106" t="s">
        <v>6345</v>
      </c>
      <c r="B278" s="110">
        <v>37</v>
      </c>
      <c r="C278" s="112"/>
    </row>
    <row r="279" spans="1:3" ht="15.5" thickTop="1" thickBot="1" x14ac:dyDescent="0.4">
      <c r="A279" s="106" t="s">
        <v>6345</v>
      </c>
      <c r="B279" s="110">
        <v>38</v>
      </c>
      <c r="C279" s="112"/>
    </row>
    <row r="280" spans="1:3" ht="15.5" thickTop="1" thickBot="1" x14ac:dyDescent="0.4">
      <c r="A280" s="106" t="s">
        <v>6345</v>
      </c>
      <c r="B280" s="110">
        <v>39</v>
      </c>
      <c r="C280" s="112"/>
    </row>
    <row r="281" spans="1:3" ht="15.5" thickTop="1" thickBot="1" x14ac:dyDescent="0.4">
      <c r="A281" s="106" t="s">
        <v>6345</v>
      </c>
      <c r="B281" s="110">
        <v>40</v>
      </c>
      <c r="C281" s="112"/>
    </row>
    <row r="282" spans="1:3" ht="15.5" thickTop="1" thickBot="1" x14ac:dyDescent="0.4">
      <c r="A282" s="106" t="s">
        <v>6345</v>
      </c>
      <c r="B282" s="110">
        <v>41</v>
      </c>
      <c r="C282" s="112"/>
    </row>
    <row r="283" spans="1:3" ht="15.5" thickTop="1" thickBot="1" x14ac:dyDescent="0.4">
      <c r="A283" s="106" t="s">
        <v>6345</v>
      </c>
      <c r="B283" s="110">
        <v>42</v>
      </c>
      <c r="C283" s="112"/>
    </row>
    <row r="284" spans="1:3" ht="15.5" thickTop="1" thickBot="1" x14ac:dyDescent="0.4">
      <c r="A284" s="106" t="s">
        <v>6345</v>
      </c>
      <c r="B284" s="110">
        <v>43</v>
      </c>
      <c r="C284" s="112"/>
    </row>
    <row r="285" spans="1:3" ht="15.5" thickTop="1" thickBot="1" x14ac:dyDescent="0.4">
      <c r="A285" s="106" t="s">
        <v>6345</v>
      </c>
      <c r="B285" s="110">
        <v>44</v>
      </c>
      <c r="C285" s="112"/>
    </row>
    <row r="286" spans="1:3" ht="15.5" thickTop="1" thickBot="1" x14ac:dyDescent="0.4">
      <c r="A286" s="106" t="s">
        <v>6345</v>
      </c>
      <c r="B286" s="110">
        <v>45</v>
      </c>
      <c r="C286" s="112"/>
    </row>
    <row r="287" spans="1:3" ht="15.5" thickTop="1" thickBot="1" x14ac:dyDescent="0.4">
      <c r="A287" s="106" t="s">
        <v>6345</v>
      </c>
      <c r="B287" s="110">
        <v>46</v>
      </c>
      <c r="C287" s="112"/>
    </row>
    <row r="288" spans="1:3" ht="15.5" thickTop="1" thickBot="1" x14ac:dyDescent="0.4">
      <c r="A288" s="106" t="s">
        <v>6345</v>
      </c>
      <c r="B288" s="110">
        <v>47</v>
      </c>
      <c r="C288" s="112"/>
    </row>
    <row r="289" spans="1:3" ht="15.5" thickTop="1" thickBot="1" x14ac:dyDescent="0.4">
      <c r="A289" s="106" t="s">
        <v>6345</v>
      </c>
      <c r="B289" s="110">
        <v>48</v>
      </c>
      <c r="C289" s="112"/>
    </row>
    <row r="290" spans="1:3" ht="15.5" thickTop="1" thickBot="1" x14ac:dyDescent="0.4">
      <c r="A290" s="111" t="s">
        <v>6346</v>
      </c>
      <c r="B290" s="110">
        <v>1</v>
      </c>
      <c r="C290" s="107">
        <v>7.8</v>
      </c>
    </row>
    <row r="291" spans="1:3" ht="15.5" thickTop="1" thickBot="1" x14ac:dyDescent="0.4">
      <c r="A291" s="111" t="s">
        <v>6346</v>
      </c>
      <c r="B291" s="110">
        <v>2</v>
      </c>
      <c r="C291" s="107">
        <v>6.5</v>
      </c>
    </row>
    <row r="292" spans="1:3" ht="15.5" thickTop="1" thickBot="1" x14ac:dyDescent="0.4">
      <c r="A292" s="111" t="s">
        <v>6346</v>
      </c>
      <c r="B292" s="110">
        <v>3</v>
      </c>
      <c r="C292" s="107">
        <v>6.5</v>
      </c>
    </row>
    <row r="293" spans="1:3" ht="15.5" thickTop="1" thickBot="1" x14ac:dyDescent="0.4">
      <c r="A293" s="111" t="s">
        <v>6346</v>
      </c>
      <c r="B293" s="110">
        <v>4</v>
      </c>
      <c r="C293" s="107">
        <v>3.2</v>
      </c>
    </row>
    <row r="294" spans="1:3" ht="15.5" thickTop="1" thickBot="1" x14ac:dyDescent="0.4">
      <c r="A294" s="111" t="s">
        <v>6346</v>
      </c>
      <c r="B294" s="110">
        <v>5</v>
      </c>
      <c r="C294" s="107">
        <v>9.4</v>
      </c>
    </row>
    <row r="295" spans="1:3" ht="15.5" thickTop="1" thickBot="1" x14ac:dyDescent="0.4">
      <c r="A295" s="111" t="s">
        <v>6346</v>
      </c>
      <c r="B295" s="110">
        <v>6</v>
      </c>
      <c r="C295" s="107">
        <v>4.9000000000000004</v>
      </c>
    </row>
    <row r="296" spans="1:3" ht="15.5" thickTop="1" thickBot="1" x14ac:dyDescent="0.4">
      <c r="A296" s="111" t="s">
        <v>6346</v>
      </c>
      <c r="B296" s="110">
        <v>7</v>
      </c>
      <c r="C296" s="104">
        <v>15</v>
      </c>
    </row>
    <row r="297" spans="1:3" ht="15.5" thickTop="1" thickBot="1" x14ac:dyDescent="0.4">
      <c r="A297" s="111" t="s">
        <v>6346</v>
      </c>
      <c r="B297" s="110">
        <v>8</v>
      </c>
      <c r="C297" s="104">
        <v>10</v>
      </c>
    </row>
    <row r="298" spans="1:3" ht="15.5" thickTop="1" thickBot="1" x14ac:dyDescent="0.4">
      <c r="A298" s="111" t="s">
        <v>6346</v>
      </c>
      <c r="B298" s="110">
        <v>9</v>
      </c>
      <c r="C298" s="104">
        <v>14</v>
      </c>
    </row>
    <row r="299" spans="1:3" ht="15.5" thickTop="1" thickBot="1" x14ac:dyDescent="0.4">
      <c r="A299" s="111" t="s">
        <v>6346</v>
      </c>
      <c r="B299" s="110">
        <v>10</v>
      </c>
      <c r="C299" s="104">
        <v>9.8000000000000007</v>
      </c>
    </row>
    <row r="300" spans="1:3" ht="15.5" thickTop="1" thickBot="1" x14ac:dyDescent="0.4">
      <c r="A300" s="111" t="s">
        <v>6346</v>
      </c>
      <c r="B300" s="110">
        <v>11</v>
      </c>
      <c r="C300" s="104">
        <v>17</v>
      </c>
    </row>
    <row r="301" spans="1:3" ht="15.5" thickTop="1" thickBot="1" x14ac:dyDescent="0.4">
      <c r="A301" s="111" t="s">
        <v>6346</v>
      </c>
      <c r="B301" s="110">
        <v>12</v>
      </c>
      <c r="C301" s="104">
        <v>6.8</v>
      </c>
    </row>
    <row r="302" spans="1:3" ht="15.5" thickTop="1" thickBot="1" x14ac:dyDescent="0.4">
      <c r="A302" s="111" t="s">
        <v>6346</v>
      </c>
      <c r="B302" s="110">
        <v>13</v>
      </c>
      <c r="C302" s="104">
        <v>6.6</v>
      </c>
    </row>
    <row r="303" spans="1:3" ht="15.5" thickTop="1" thickBot="1" x14ac:dyDescent="0.4">
      <c r="A303" s="111" t="s">
        <v>6346</v>
      </c>
      <c r="B303" s="110">
        <v>14</v>
      </c>
      <c r="C303" s="104">
        <v>8</v>
      </c>
    </row>
    <row r="304" spans="1:3" ht="15.5" thickTop="1" thickBot="1" x14ac:dyDescent="0.4">
      <c r="A304" s="111" t="s">
        <v>6346</v>
      </c>
      <c r="B304" s="110">
        <v>15</v>
      </c>
      <c r="C304" s="104">
        <v>6.1</v>
      </c>
    </row>
    <row r="305" spans="1:3" ht="15.5" thickTop="1" thickBot="1" x14ac:dyDescent="0.4">
      <c r="A305" s="111" t="s">
        <v>6346</v>
      </c>
      <c r="B305" s="110">
        <v>16</v>
      </c>
      <c r="C305" s="104">
        <v>5.5</v>
      </c>
    </row>
    <row r="306" spans="1:3" ht="15.5" thickTop="1" thickBot="1" x14ac:dyDescent="0.4">
      <c r="A306" s="111" t="s">
        <v>6346</v>
      </c>
      <c r="B306" s="110">
        <v>17</v>
      </c>
      <c r="C306" s="104">
        <v>13</v>
      </c>
    </row>
    <row r="307" spans="1:3" ht="15.5" thickTop="1" thickBot="1" x14ac:dyDescent="0.4">
      <c r="A307" s="111" t="s">
        <v>6346</v>
      </c>
      <c r="B307" s="110">
        <v>18</v>
      </c>
      <c r="C307" s="104">
        <v>11</v>
      </c>
    </row>
    <row r="308" spans="1:3" ht="15.5" thickTop="1" thickBot="1" x14ac:dyDescent="0.4">
      <c r="A308" s="111" t="s">
        <v>6346</v>
      </c>
      <c r="B308" s="110">
        <v>19</v>
      </c>
      <c r="C308" s="104">
        <v>21</v>
      </c>
    </row>
    <row r="309" spans="1:3" ht="15.5" thickTop="1" thickBot="1" x14ac:dyDescent="0.4">
      <c r="A309" s="111" t="s">
        <v>6346</v>
      </c>
      <c r="B309" s="110">
        <v>20</v>
      </c>
      <c r="C309" s="104">
        <v>11</v>
      </c>
    </row>
    <row r="310" spans="1:3" ht="15.5" thickTop="1" thickBot="1" x14ac:dyDescent="0.4">
      <c r="A310" s="111" t="s">
        <v>6346</v>
      </c>
      <c r="B310" s="110">
        <v>21</v>
      </c>
      <c r="C310" s="104">
        <v>14</v>
      </c>
    </row>
    <row r="311" spans="1:3" ht="15.5" thickTop="1" thickBot="1" x14ac:dyDescent="0.4">
      <c r="A311" s="111" t="s">
        <v>6346</v>
      </c>
      <c r="B311" s="110">
        <v>22</v>
      </c>
      <c r="C311" s="104">
        <v>13</v>
      </c>
    </row>
    <row r="312" spans="1:3" ht="15.5" thickTop="1" thickBot="1" x14ac:dyDescent="0.4">
      <c r="A312" s="111" t="s">
        <v>6346</v>
      </c>
      <c r="B312" s="110">
        <v>23</v>
      </c>
      <c r="C312" s="104">
        <v>6.9</v>
      </c>
    </row>
    <row r="313" spans="1:3" ht="15.5" thickTop="1" thickBot="1" x14ac:dyDescent="0.4">
      <c r="A313" s="111" t="s">
        <v>6346</v>
      </c>
      <c r="B313" s="110">
        <v>24</v>
      </c>
      <c r="C313" s="104">
        <v>8.6</v>
      </c>
    </row>
    <row r="314" spans="1:3" ht="15.5" thickTop="1" thickBot="1" x14ac:dyDescent="0.4">
      <c r="A314" s="111" t="s">
        <v>6346</v>
      </c>
      <c r="B314" s="110">
        <v>25</v>
      </c>
      <c r="C314" s="104">
        <v>4.5999999999999996</v>
      </c>
    </row>
    <row r="315" spans="1:3" ht="15.5" thickTop="1" thickBot="1" x14ac:dyDescent="0.4">
      <c r="A315" s="111" t="s">
        <v>6346</v>
      </c>
      <c r="B315" s="110">
        <v>26</v>
      </c>
      <c r="C315" s="104">
        <v>8.5</v>
      </c>
    </row>
    <row r="316" spans="1:3" ht="15.5" thickTop="1" thickBot="1" x14ac:dyDescent="0.4">
      <c r="A316" s="111" t="s">
        <v>6346</v>
      </c>
      <c r="B316" s="110">
        <v>27</v>
      </c>
      <c r="C316" s="104">
        <v>7.7</v>
      </c>
    </row>
    <row r="317" spans="1:3" ht="15.5" thickTop="1" thickBot="1" x14ac:dyDescent="0.4">
      <c r="A317" s="111" t="s">
        <v>6346</v>
      </c>
      <c r="B317" s="110">
        <v>28</v>
      </c>
      <c r="C317" s="104">
        <v>7.7</v>
      </c>
    </row>
    <row r="318" spans="1:3" ht="15.5" thickTop="1" thickBot="1" x14ac:dyDescent="0.4">
      <c r="A318" s="111" t="s">
        <v>6346</v>
      </c>
      <c r="B318" s="110">
        <v>29</v>
      </c>
      <c r="C318" s="104">
        <v>11</v>
      </c>
    </row>
    <row r="319" spans="1:3" ht="15.5" thickTop="1" thickBot="1" x14ac:dyDescent="0.4">
      <c r="A319" s="111" t="s">
        <v>6346</v>
      </c>
      <c r="B319" s="110">
        <v>30</v>
      </c>
      <c r="C319" s="104">
        <v>11</v>
      </c>
    </row>
    <row r="320" spans="1:3" ht="15.5" thickTop="1" thickBot="1" x14ac:dyDescent="0.4">
      <c r="A320" s="111" t="s">
        <v>6346</v>
      </c>
      <c r="B320" s="110">
        <v>31</v>
      </c>
      <c r="C320" s="104">
        <v>7.2</v>
      </c>
    </row>
    <row r="321" spans="1:3" ht="15.5" thickTop="1" thickBot="1" x14ac:dyDescent="0.4">
      <c r="A321" s="111" t="s">
        <v>6346</v>
      </c>
      <c r="B321" s="110">
        <v>32</v>
      </c>
      <c r="C321" s="104">
        <v>6.2</v>
      </c>
    </row>
    <row r="322" spans="1:3" ht="15.5" thickTop="1" thickBot="1" x14ac:dyDescent="0.4">
      <c r="A322" s="111" t="s">
        <v>6346</v>
      </c>
      <c r="B322" s="110">
        <v>33</v>
      </c>
      <c r="C322" s="104">
        <v>7.5</v>
      </c>
    </row>
    <row r="323" spans="1:3" ht="15.5" thickTop="1" thickBot="1" x14ac:dyDescent="0.4">
      <c r="A323" s="111" t="s">
        <v>6346</v>
      </c>
      <c r="B323" s="110">
        <v>34</v>
      </c>
      <c r="C323" s="104">
        <v>5.4</v>
      </c>
    </row>
    <row r="324" spans="1:3" ht="15.5" thickTop="1" thickBot="1" x14ac:dyDescent="0.4">
      <c r="A324" s="111" t="s">
        <v>6346</v>
      </c>
      <c r="B324" s="110">
        <v>35</v>
      </c>
      <c r="C324" s="104">
        <v>4.4000000000000004</v>
      </c>
    </row>
    <row r="325" spans="1:3" ht="15.5" thickTop="1" thickBot="1" x14ac:dyDescent="0.4">
      <c r="A325" s="111" t="s">
        <v>6346</v>
      </c>
      <c r="B325" s="110">
        <v>36</v>
      </c>
      <c r="C325" s="104">
        <v>8.3000000000000007</v>
      </c>
    </row>
    <row r="326" spans="1:3" ht="15.5" thickTop="1" thickBot="1" x14ac:dyDescent="0.4">
      <c r="A326" s="111" t="s">
        <v>6346</v>
      </c>
      <c r="B326" s="110">
        <v>37</v>
      </c>
      <c r="C326" s="104">
        <v>9.8000000000000007</v>
      </c>
    </row>
    <row r="327" spans="1:3" ht="15.5" thickTop="1" thickBot="1" x14ac:dyDescent="0.4">
      <c r="A327" s="111" t="s">
        <v>6346</v>
      </c>
      <c r="B327" s="110">
        <v>38</v>
      </c>
      <c r="C327" s="104">
        <v>7.3</v>
      </c>
    </row>
    <row r="328" spans="1:3" ht="15.5" thickTop="1" thickBot="1" x14ac:dyDescent="0.4">
      <c r="A328" s="111" t="s">
        <v>6346</v>
      </c>
      <c r="B328" s="110">
        <v>39</v>
      </c>
      <c r="C328" s="104">
        <v>10</v>
      </c>
    </row>
    <row r="329" spans="1:3" ht="15.5" thickTop="1" thickBot="1" x14ac:dyDescent="0.4">
      <c r="A329" s="111" t="s">
        <v>6346</v>
      </c>
      <c r="B329" s="110">
        <v>40</v>
      </c>
      <c r="C329" s="104">
        <v>15</v>
      </c>
    </row>
    <row r="330" spans="1:3" ht="15.5" thickTop="1" thickBot="1" x14ac:dyDescent="0.4">
      <c r="A330" s="111" t="s">
        <v>6346</v>
      </c>
      <c r="B330" s="110">
        <v>41</v>
      </c>
      <c r="C330" s="104">
        <v>10</v>
      </c>
    </row>
    <row r="331" spans="1:3" ht="15.5" thickTop="1" thickBot="1" x14ac:dyDescent="0.4">
      <c r="A331" s="111" t="s">
        <v>6346</v>
      </c>
      <c r="B331" s="110">
        <v>42</v>
      </c>
      <c r="C331" s="104">
        <v>17</v>
      </c>
    </row>
    <row r="332" spans="1:3" ht="15.5" thickTop="1" thickBot="1" x14ac:dyDescent="0.4">
      <c r="A332" s="111" t="s">
        <v>6346</v>
      </c>
      <c r="B332" s="110">
        <v>43</v>
      </c>
      <c r="C332" s="104">
        <v>21</v>
      </c>
    </row>
    <row r="333" spans="1:3" ht="15.5" thickTop="1" thickBot="1" x14ac:dyDescent="0.4">
      <c r="A333" s="111" t="s">
        <v>6346</v>
      </c>
      <c r="B333" s="110">
        <v>44</v>
      </c>
      <c r="C333" s="104">
        <v>7.5</v>
      </c>
    </row>
    <row r="334" spans="1:3" ht="15.5" thickTop="1" thickBot="1" x14ac:dyDescent="0.4">
      <c r="A334" s="111" t="s">
        <v>6346</v>
      </c>
      <c r="B334" s="110">
        <v>45</v>
      </c>
      <c r="C334" s="104">
        <v>9.1999999999999993</v>
      </c>
    </row>
    <row r="335" spans="1:3" ht="15.5" thickTop="1" thickBot="1" x14ac:dyDescent="0.4">
      <c r="A335" s="111" t="s">
        <v>6346</v>
      </c>
      <c r="B335" s="110">
        <v>46</v>
      </c>
      <c r="C335" s="104">
        <v>10</v>
      </c>
    </row>
    <row r="336" spans="1:3" ht="15.5" thickTop="1" thickBot="1" x14ac:dyDescent="0.4">
      <c r="A336" s="111" t="s">
        <v>6346</v>
      </c>
      <c r="B336" s="110">
        <v>47</v>
      </c>
      <c r="C336" s="104">
        <v>8</v>
      </c>
    </row>
    <row r="337" spans="1:3" ht="15.5" thickTop="1" thickBot="1" x14ac:dyDescent="0.4">
      <c r="A337" s="111" t="s">
        <v>6346</v>
      </c>
      <c r="B337" s="110">
        <v>48</v>
      </c>
      <c r="C337" s="104">
        <v>20</v>
      </c>
    </row>
    <row r="338" spans="1:3" ht="15.5" thickTop="1" thickBot="1" x14ac:dyDescent="0.4">
      <c r="A338" s="116" t="s">
        <v>6347</v>
      </c>
      <c r="B338" s="110">
        <v>1</v>
      </c>
      <c r="C338" s="118">
        <v>9.1</v>
      </c>
    </row>
    <row r="339" spans="1:3" ht="15.5" thickTop="1" thickBot="1" x14ac:dyDescent="0.4">
      <c r="A339" s="116" t="s">
        <v>6347</v>
      </c>
      <c r="B339" s="110">
        <v>2</v>
      </c>
      <c r="C339" s="118">
        <v>8</v>
      </c>
    </row>
    <row r="340" spans="1:3" ht="15.5" thickTop="1" thickBot="1" x14ac:dyDescent="0.4">
      <c r="A340" s="116" t="s">
        <v>6347</v>
      </c>
      <c r="B340" s="110">
        <v>3</v>
      </c>
      <c r="C340" s="118">
        <v>12</v>
      </c>
    </row>
    <row r="341" spans="1:3" ht="15.5" thickTop="1" thickBot="1" x14ac:dyDescent="0.4">
      <c r="A341" s="116" t="s">
        <v>6347</v>
      </c>
      <c r="B341" s="110">
        <v>4</v>
      </c>
      <c r="C341" s="118">
        <v>10</v>
      </c>
    </row>
    <row r="342" spans="1:3" ht="15.5" thickTop="1" thickBot="1" x14ac:dyDescent="0.4">
      <c r="A342" s="116" t="s">
        <v>6347</v>
      </c>
      <c r="B342" s="110">
        <v>5</v>
      </c>
      <c r="C342" s="118">
        <v>9.8000000000000007</v>
      </c>
    </row>
    <row r="343" spans="1:3" ht="15.5" thickTop="1" thickBot="1" x14ac:dyDescent="0.4">
      <c r="A343" s="116" t="s">
        <v>6347</v>
      </c>
      <c r="B343" s="110">
        <v>6</v>
      </c>
      <c r="C343" s="118">
        <v>17</v>
      </c>
    </row>
    <row r="344" spans="1:3" ht="15.5" thickTop="1" thickBot="1" x14ac:dyDescent="0.4">
      <c r="A344" s="116" t="s">
        <v>6347</v>
      </c>
      <c r="B344" s="110">
        <v>7</v>
      </c>
      <c r="C344" s="118">
        <v>9.5</v>
      </c>
    </row>
    <row r="345" spans="1:3" ht="15.5" thickTop="1" thickBot="1" x14ac:dyDescent="0.4">
      <c r="A345" s="116" t="s">
        <v>6347</v>
      </c>
      <c r="B345" s="110">
        <v>8</v>
      </c>
      <c r="C345" s="118">
        <v>11</v>
      </c>
    </row>
    <row r="346" spans="1:3" ht="15.5" thickTop="1" thickBot="1" x14ac:dyDescent="0.4">
      <c r="A346" s="116" t="s">
        <v>6347</v>
      </c>
      <c r="B346" s="110">
        <v>9</v>
      </c>
      <c r="C346" s="118">
        <v>12</v>
      </c>
    </row>
    <row r="347" spans="1:3" ht="15.5" thickTop="1" thickBot="1" x14ac:dyDescent="0.4">
      <c r="A347" s="116" t="s">
        <v>6347</v>
      </c>
      <c r="B347" s="110">
        <v>10</v>
      </c>
      <c r="C347" s="118">
        <v>7.4</v>
      </c>
    </row>
    <row r="348" spans="1:3" ht="15.5" thickTop="1" thickBot="1" x14ac:dyDescent="0.4">
      <c r="A348" s="116" t="s">
        <v>6347</v>
      </c>
      <c r="B348" s="110">
        <v>11</v>
      </c>
      <c r="C348" s="118">
        <v>10</v>
      </c>
    </row>
    <row r="349" spans="1:3" ht="15.5" thickTop="1" thickBot="1" x14ac:dyDescent="0.4">
      <c r="A349" s="116" t="s">
        <v>6347</v>
      </c>
      <c r="B349" s="110">
        <v>12</v>
      </c>
      <c r="C349" s="118">
        <v>11</v>
      </c>
    </row>
    <row r="350" spans="1:3" ht="15.5" thickTop="1" thickBot="1" x14ac:dyDescent="0.4">
      <c r="A350" s="116" t="s">
        <v>6347</v>
      </c>
      <c r="B350" s="110">
        <v>13</v>
      </c>
      <c r="C350" s="118">
        <v>7</v>
      </c>
    </row>
    <row r="351" spans="1:3" ht="15.5" thickTop="1" thickBot="1" x14ac:dyDescent="0.4">
      <c r="A351" s="116" t="s">
        <v>6347</v>
      </c>
      <c r="B351" s="110">
        <v>14</v>
      </c>
      <c r="C351" s="118">
        <v>7.6</v>
      </c>
    </row>
    <row r="352" spans="1:3" ht="15.5" thickTop="1" thickBot="1" x14ac:dyDescent="0.4">
      <c r="A352" s="116" t="s">
        <v>6347</v>
      </c>
      <c r="B352" s="110">
        <v>15</v>
      </c>
      <c r="C352" s="118">
        <v>12</v>
      </c>
    </row>
    <row r="353" spans="1:3" ht="15.5" thickTop="1" thickBot="1" x14ac:dyDescent="0.4">
      <c r="A353" s="116" t="s">
        <v>6347</v>
      </c>
      <c r="B353" s="110">
        <v>16</v>
      </c>
      <c r="C353" s="118">
        <v>12</v>
      </c>
    </row>
    <row r="354" spans="1:3" ht="15.5" thickTop="1" thickBot="1" x14ac:dyDescent="0.4">
      <c r="A354" s="116" t="s">
        <v>6347</v>
      </c>
      <c r="B354" s="110">
        <v>17</v>
      </c>
      <c r="C354" s="118">
        <v>16</v>
      </c>
    </row>
    <row r="355" spans="1:3" ht="15.5" thickTop="1" thickBot="1" x14ac:dyDescent="0.4">
      <c r="A355" s="116" t="s">
        <v>6347</v>
      </c>
      <c r="B355" s="110">
        <v>18</v>
      </c>
      <c r="C355" s="118">
        <v>14</v>
      </c>
    </row>
    <row r="356" spans="1:3" ht="15.5" thickTop="1" thickBot="1" x14ac:dyDescent="0.4">
      <c r="A356" s="116" t="s">
        <v>6347</v>
      </c>
      <c r="B356" s="110">
        <v>19</v>
      </c>
      <c r="C356" s="118">
        <v>13</v>
      </c>
    </row>
    <row r="357" spans="1:3" ht="15.5" thickTop="1" thickBot="1" x14ac:dyDescent="0.4">
      <c r="A357" s="116" t="s">
        <v>6347</v>
      </c>
      <c r="B357" s="110">
        <v>20</v>
      </c>
      <c r="C357" s="118">
        <v>12</v>
      </c>
    </row>
    <row r="358" spans="1:3" ht="15.5" thickTop="1" thickBot="1" x14ac:dyDescent="0.4">
      <c r="A358" s="116" t="s">
        <v>6347</v>
      </c>
      <c r="B358" s="110">
        <v>21</v>
      </c>
      <c r="C358" s="118">
        <v>15</v>
      </c>
    </row>
    <row r="359" spans="1:3" ht="15.5" thickTop="1" thickBot="1" x14ac:dyDescent="0.4">
      <c r="A359" s="116" t="s">
        <v>6347</v>
      </c>
      <c r="B359" s="110">
        <v>22</v>
      </c>
      <c r="C359" s="118">
        <v>17</v>
      </c>
    </row>
    <row r="360" spans="1:3" ht="15.5" thickTop="1" thickBot="1" x14ac:dyDescent="0.4">
      <c r="A360" s="116" t="s">
        <v>6347</v>
      </c>
      <c r="B360" s="110">
        <v>23</v>
      </c>
      <c r="C360" s="118">
        <v>19</v>
      </c>
    </row>
    <row r="361" spans="1:3" ht="15.5" thickTop="1" thickBot="1" x14ac:dyDescent="0.4">
      <c r="A361" s="116" t="s">
        <v>6347</v>
      </c>
      <c r="B361" s="110">
        <v>24</v>
      </c>
      <c r="C361" s="118">
        <v>9</v>
      </c>
    </row>
    <row r="362" spans="1:3" ht="15.5" thickTop="1" thickBot="1" x14ac:dyDescent="0.4">
      <c r="A362" s="116" t="s">
        <v>6347</v>
      </c>
      <c r="B362" s="110">
        <v>25</v>
      </c>
      <c r="C362" s="118">
        <v>15</v>
      </c>
    </row>
    <row r="363" spans="1:3" ht="15.5" thickTop="1" thickBot="1" x14ac:dyDescent="0.4">
      <c r="A363" s="116" t="s">
        <v>6347</v>
      </c>
      <c r="B363" s="110">
        <v>26</v>
      </c>
      <c r="C363" s="118">
        <v>7.4</v>
      </c>
    </row>
    <row r="364" spans="1:3" ht="15.5" thickTop="1" thickBot="1" x14ac:dyDescent="0.4">
      <c r="A364" s="116" t="s">
        <v>6347</v>
      </c>
      <c r="B364" s="110">
        <v>27</v>
      </c>
      <c r="C364" s="118">
        <v>23</v>
      </c>
    </row>
    <row r="365" spans="1:3" ht="15.5" thickTop="1" thickBot="1" x14ac:dyDescent="0.4">
      <c r="A365" s="116" t="s">
        <v>6347</v>
      </c>
      <c r="B365" s="110">
        <v>28</v>
      </c>
      <c r="C365" s="118">
        <v>12</v>
      </c>
    </row>
    <row r="366" spans="1:3" ht="15.5" thickTop="1" thickBot="1" x14ac:dyDescent="0.4">
      <c r="A366" s="116" t="s">
        <v>6347</v>
      </c>
      <c r="B366" s="110">
        <v>29</v>
      </c>
      <c r="C366" s="118">
        <v>12</v>
      </c>
    </row>
    <row r="367" spans="1:3" ht="15.5" thickTop="1" thickBot="1" x14ac:dyDescent="0.4">
      <c r="A367" s="116" t="s">
        <v>6347</v>
      </c>
      <c r="B367" s="110">
        <v>30</v>
      </c>
      <c r="C367" s="118">
        <v>9</v>
      </c>
    </row>
    <row r="368" spans="1:3" ht="15.5" thickTop="1" thickBot="1" x14ac:dyDescent="0.4">
      <c r="A368" s="116" t="s">
        <v>6347</v>
      </c>
      <c r="B368" s="110">
        <v>31</v>
      </c>
      <c r="C368" s="118">
        <v>9.1999999999999993</v>
      </c>
    </row>
    <row r="369" spans="1:3" ht="15.5" thickTop="1" thickBot="1" x14ac:dyDescent="0.4">
      <c r="A369" s="116" t="s">
        <v>6347</v>
      </c>
      <c r="B369" s="110">
        <v>32</v>
      </c>
      <c r="C369" s="118">
        <v>8.4</v>
      </c>
    </row>
    <row r="370" spans="1:3" ht="15.5" thickTop="1" thickBot="1" x14ac:dyDescent="0.4">
      <c r="A370" s="116" t="s">
        <v>6347</v>
      </c>
      <c r="B370" s="110">
        <v>33</v>
      </c>
      <c r="C370" s="118">
        <v>18</v>
      </c>
    </row>
    <row r="371" spans="1:3" ht="15.5" thickTop="1" thickBot="1" x14ac:dyDescent="0.4">
      <c r="A371" s="116" t="s">
        <v>6347</v>
      </c>
      <c r="B371" s="110">
        <v>34</v>
      </c>
      <c r="C371" s="118">
        <v>15</v>
      </c>
    </row>
    <row r="372" spans="1:3" ht="15.5" thickTop="1" thickBot="1" x14ac:dyDescent="0.4">
      <c r="A372" s="116" t="s">
        <v>6347</v>
      </c>
      <c r="B372" s="110">
        <v>35</v>
      </c>
      <c r="C372" s="118">
        <v>11</v>
      </c>
    </row>
    <row r="373" spans="1:3" ht="15.5" thickTop="1" thickBot="1" x14ac:dyDescent="0.4">
      <c r="A373" s="116" t="s">
        <v>6347</v>
      </c>
      <c r="B373" s="110">
        <v>36</v>
      </c>
      <c r="C373" s="118">
        <v>11</v>
      </c>
    </row>
    <row r="374" spans="1:3" ht="15.5" thickTop="1" thickBot="1" x14ac:dyDescent="0.4">
      <c r="A374" s="116" t="s">
        <v>6347</v>
      </c>
      <c r="B374" s="110">
        <v>37</v>
      </c>
      <c r="C374" s="118">
        <v>19</v>
      </c>
    </row>
    <row r="375" spans="1:3" ht="15.5" thickTop="1" thickBot="1" x14ac:dyDescent="0.4">
      <c r="A375" s="116" t="s">
        <v>6347</v>
      </c>
      <c r="B375" s="110">
        <v>38</v>
      </c>
      <c r="C375" s="118">
        <v>5.8</v>
      </c>
    </row>
    <row r="376" spans="1:3" ht="15.5" thickTop="1" thickBot="1" x14ac:dyDescent="0.4">
      <c r="A376" s="116" t="s">
        <v>6347</v>
      </c>
      <c r="B376" s="110">
        <v>39</v>
      </c>
      <c r="C376" s="118">
        <v>11</v>
      </c>
    </row>
    <row r="377" spans="1:3" ht="15.5" thickTop="1" thickBot="1" x14ac:dyDescent="0.4">
      <c r="A377" s="116" t="s">
        <v>6347</v>
      </c>
      <c r="B377" s="110">
        <v>40</v>
      </c>
      <c r="C377" s="118">
        <v>6.9</v>
      </c>
    </row>
    <row r="378" spans="1:3" ht="15.5" thickTop="1" thickBot="1" x14ac:dyDescent="0.4">
      <c r="A378" s="116" t="s">
        <v>6347</v>
      </c>
      <c r="B378" s="110">
        <v>41</v>
      </c>
      <c r="C378" s="118">
        <v>9</v>
      </c>
    </row>
    <row r="379" spans="1:3" ht="15.5" thickTop="1" thickBot="1" x14ac:dyDescent="0.4">
      <c r="A379" s="116" t="s">
        <v>6347</v>
      </c>
      <c r="B379" s="110">
        <v>42</v>
      </c>
      <c r="C379" s="118">
        <v>9</v>
      </c>
    </row>
    <row r="380" spans="1:3" ht="15.5" thickTop="1" thickBot="1" x14ac:dyDescent="0.4">
      <c r="A380" s="116" t="s">
        <v>6347</v>
      </c>
      <c r="B380" s="110">
        <v>43</v>
      </c>
      <c r="C380" s="118">
        <v>7.1</v>
      </c>
    </row>
    <row r="381" spans="1:3" ht="15.5" thickTop="1" thickBot="1" x14ac:dyDescent="0.4">
      <c r="A381" s="116" t="s">
        <v>6347</v>
      </c>
      <c r="B381" s="110">
        <v>44</v>
      </c>
      <c r="C381" s="118">
        <v>7</v>
      </c>
    </row>
    <row r="382" spans="1:3" ht="15.5" thickTop="1" thickBot="1" x14ac:dyDescent="0.4">
      <c r="A382" s="116" t="s">
        <v>6347</v>
      </c>
      <c r="B382" s="110">
        <v>45</v>
      </c>
      <c r="C382" s="118">
        <v>7.3</v>
      </c>
    </row>
    <row r="383" spans="1:3" ht="15.5" thickTop="1" thickBot="1" x14ac:dyDescent="0.4">
      <c r="A383" s="116" t="s">
        <v>6347</v>
      </c>
      <c r="B383" s="110">
        <v>46</v>
      </c>
      <c r="C383" s="118">
        <v>13</v>
      </c>
    </row>
    <row r="384" spans="1:3" ht="15.5" thickTop="1" thickBot="1" x14ac:dyDescent="0.4">
      <c r="A384" s="116" t="s">
        <v>6347</v>
      </c>
      <c r="B384" s="110">
        <v>47</v>
      </c>
      <c r="C384" s="118">
        <v>11</v>
      </c>
    </row>
    <row r="385" spans="1:3" ht="15.5" thickTop="1" thickBot="1" x14ac:dyDescent="0.4">
      <c r="A385" s="116" t="s">
        <v>6347</v>
      </c>
      <c r="B385" s="110">
        <v>48</v>
      </c>
      <c r="C385" s="124">
        <v>7.4</v>
      </c>
    </row>
    <row r="386" spans="1:3" ht="15.5" thickTop="1" thickBot="1" x14ac:dyDescent="0.4">
      <c r="A386" s="103" t="s">
        <v>6348</v>
      </c>
      <c r="B386" s="110">
        <v>1</v>
      </c>
      <c r="C386" s="104">
        <v>6.2</v>
      </c>
    </row>
    <row r="387" spans="1:3" ht="15.5" thickTop="1" thickBot="1" x14ac:dyDescent="0.4">
      <c r="A387" s="103" t="s">
        <v>6348</v>
      </c>
      <c r="B387" s="110">
        <v>2</v>
      </c>
      <c r="C387" s="104">
        <v>8.3000000000000007</v>
      </c>
    </row>
    <row r="388" spans="1:3" ht="15.5" thickTop="1" thickBot="1" x14ac:dyDescent="0.4">
      <c r="A388" s="103" t="s">
        <v>6348</v>
      </c>
      <c r="B388" s="110">
        <v>3</v>
      </c>
      <c r="C388" s="104">
        <v>10</v>
      </c>
    </row>
    <row r="389" spans="1:3" ht="15.5" thickTop="1" thickBot="1" x14ac:dyDescent="0.4">
      <c r="A389" s="103" t="s">
        <v>6348</v>
      </c>
      <c r="B389" s="110">
        <v>4</v>
      </c>
      <c r="C389" s="104">
        <v>14</v>
      </c>
    </row>
    <row r="390" spans="1:3" ht="15.5" thickTop="1" thickBot="1" x14ac:dyDescent="0.4">
      <c r="A390" s="103" t="s">
        <v>6348</v>
      </c>
      <c r="B390" s="110">
        <v>5</v>
      </c>
      <c r="C390" s="104">
        <v>7.4</v>
      </c>
    </row>
    <row r="391" spans="1:3" ht="15.5" thickTop="1" thickBot="1" x14ac:dyDescent="0.4">
      <c r="A391" s="103" t="s">
        <v>6348</v>
      </c>
      <c r="B391" s="110">
        <v>6</v>
      </c>
      <c r="C391" s="104">
        <v>21</v>
      </c>
    </row>
    <row r="392" spans="1:3" ht="15.5" thickTop="1" thickBot="1" x14ac:dyDescent="0.4">
      <c r="A392" s="103" t="s">
        <v>6348</v>
      </c>
      <c r="B392" s="110">
        <v>7</v>
      </c>
      <c r="C392" s="104">
        <v>9.1999999999999993</v>
      </c>
    </row>
    <row r="393" spans="1:3" ht="15.5" thickTop="1" thickBot="1" x14ac:dyDescent="0.4">
      <c r="A393" s="103" t="s">
        <v>6348</v>
      </c>
      <c r="B393" s="110">
        <v>8</v>
      </c>
      <c r="C393" s="104">
        <v>30</v>
      </c>
    </row>
    <row r="394" spans="1:3" ht="15.5" thickTop="1" thickBot="1" x14ac:dyDescent="0.4">
      <c r="A394" s="103" t="s">
        <v>6348</v>
      </c>
      <c r="B394" s="110">
        <v>9</v>
      </c>
      <c r="C394" s="104">
        <v>8.6</v>
      </c>
    </row>
    <row r="395" spans="1:3" ht="15.5" thickTop="1" thickBot="1" x14ac:dyDescent="0.4">
      <c r="A395" s="103" t="s">
        <v>6348</v>
      </c>
      <c r="B395" s="110">
        <v>10</v>
      </c>
      <c r="C395" s="104">
        <v>7.1</v>
      </c>
    </row>
    <row r="396" spans="1:3" ht="15.5" thickTop="1" thickBot="1" x14ac:dyDescent="0.4">
      <c r="A396" s="103" t="s">
        <v>6348</v>
      </c>
      <c r="B396" s="110">
        <v>11</v>
      </c>
      <c r="C396" s="104">
        <v>7.3</v>
      </c>
    </row>
    <row r="397" spans="1:3" ht="15.5" thickTop="1" thickBot="1" x14ac:dyDescent="0.4">
      <c r="A397" s="103" t="s">
        <v>6348</v>
      </c>
      <c r="B397" s="110">
        <v>12</v>
      </c>
      <c r="C397" s="104">
        <v>6.4</v>
      </c>
    </row>
    <row r="398" spans="1:3" ht="15.5" thickTop="1" thickBot="1" x14ac:dyDescent="0.4">
      <c r="A398" s="103" t="s">
        <v>6348</v>
      </c>
      <c r="B398" s="110">
        <v>13</v>
      </c>
      <c r="C398" s="104">
        <v>18</v>
      </c>
    </row>
    <row r="399" spans="1:3" ht="15.5" thickTop="1" thickBot="1" x14ac:dyDescent="0.4">
      <c r="A399" s="103" t="s">
        <v>6348</v>
      </c>
      <c r="B399" s="110">
        <v>14</v>
      </c>
      <c r="C399" s="104">
        <v>12</v>
      </c>
    </row>
    <row r="400" spans="1:3" ht="15.5" thickTop="1" thickBot="1" x14ac:dyDescent="0.4">
      <c r="A400" s="103" t="s">
        <v>6348</v>
      </c>
      <c r="B400" s="110">
        <v>15</v>
      </c>
      <c r="C400" s="104">
        <v>16</v>
      </c>
    </row>
    <row r="401" spans="1:3" ht="15.5" thickTop="1" thickBot="1" x14ac:dyDescent="0.4">
      <c r="A401" s="103" t="s">
        <v>6348</v>
      </c>
      <c r="B401" s="110">
        <v>16</v>
      </c>
      <c r="C401" s="104">
        <v>10</v>
      </c>
    </row>
    <row r="402" spans="1:3" ht="15.5" thickTop="1" thickBot="1" x14ac:dyDescent="0.4">
      <c r="A402" s="103" t="s">
        <v>6348</v>
      </c>
      <c r="B402" s="110">
        <v>17</v>
      </c>
      <c r="C402" s="104">
        <v>9.6</v>
      </c>
    </row>
    <row r="403" spans="1:3" ht="15.5" thickTop="1" thickBot="1" x14ac:dyDescent="0.4">
      <c r="A403" s="103" t="s">
        <v>6348</v>
      </c>
      <c r="B403" s="110">
        <v>18</v>
      </c>
      <c r="C403" s="104">
        <v>10</v>
      </c>
    </row>
    <row r="404" spans="1:3" ht="15.5" thickTop="1" thickBot="1" x14ac:dyDescent="0.4">
      <c r="A404" s="103" t="s">
        <v>6348</v>
      </c>
      <c r="B404" s="110">
        <v>19</v>
      </c>
      <c r="C404" s="104">
        <v>7.2</v>
      </c>
    </row>
    <row r="405" spans="1:3" ht="15.5" thickTop="1" thickBot="1" x14ac:dyDescent="0.4">
      <c r="A405" s="103" t="s">
        <v>6348</v>
      </c>
      <c r="B405" s="110">
        <v>20</v>
      </c>
      <c r="C405" s="104">
        <v>8.9</v>
      </c>
    </row>
    <row r="406" spans="1:3" ht="15.5" thickTop="1" thickBot="1" x14ac:dyDescent="0.4">
      <c r="A406" s="103" t="s">
        <v>6348</v>
      </c>
      <c r="B406" s="110">
        <v>21</v>
      </c>
      <c r="C406" s="104">
        <v>6.7</v>
      </c>
    </row>
    <row r="407" spans="1:3" ht="15.5" thickTop="1" thickBot="1" x14ac:dyDescent="0.4">
      <c r="A407" s="103" t="s">
        <v>6348</v>
      </c>
      <c r="B407" s="110">
        <v>22</v>
      </c>
      <c r="C407" s="104">
        <v>11</v>
      </c>
    </row>
    <row r="408" spans="1:3" ht="15.5" thickTop="1" thickBot="1" x14ac:dyDescent="0.4">
      <c r="A408" s="103" t="s">
        <v>6348</v>
      </c>
      <c r="B408" s="110">
        <v>23</v>
      </c>
      <c r="C408" s="104">
        <v>11</v>
      </c>
    </row>
    <row r="409" spans="1:3" ht="15.5" thickTop="1" thickBot="1" x14ac:dyDescent="0.4">
      <c r="A409" s="103" t="s">
        <v>6348</v>
      </c>
      <c r="B409" s="110">
        <v>24</v>
      </c>
      <c r="C409" s="104">
        <v>6.7</v>
      </c>
    </row>
    <row r="410" spans="1:3" ht="15.5" thickTop="1" thickBot="1" x14ac:dyDescent="0.4">
      <c r="A410" s="103" t="s">
        <v>6348</v>
      </c>
      <c r="B410" s="110">
        <v>25</v>
      </c>
      <c r="C410" s="104">
        <v>6.2</v>
      </c>
    </row>
    <row r="411" spans="1:3" ht="15.5" thickTop="1" thickBot="1" x14ac:dyDescent="0.4">
      <c r="A411" s="103" t="s">
        <v>6348</v>
      </c>
      <c r="B411" s="110">
        <v>26</v>
      </c>
      <c r="C411" s="104">
        <v>10</v>
      </c>
    </row>
    <row r="412" spans="1:3" ht="15.5" thickTop="1" thickBot="1" x14ac:dyDescent="0.4">
      <c r="A412" s="103" t="s">
        <v>6348</v>
      </c>
      <c r="B412" s="110">
        <v>27</v>
      </c>
      <c r="C412" s="104">
        <v>12</v>
      </c>
    </row>
    <row r="413" spans="1:3" ht="15.5" thickTop="1" thickBot="1" x14ac:dyDescent="0.4">
      <c r="A413" s="103" t="s">
        <v>6348</v>
      </c>
      <c r="B413" s="110">
        <v>28</v>
      </c>
      <c r="C413" s="104">
        <v>5.4</v>
      </c>
    </row>
    <row r="414" spans="1:3" ht="15.5" thickTop="1" thickBot="1" x14ac:dyDescent="0.4">
      <c r="A414" s="103" t="s">
        <v>6348</v>
      </c>
      <c r="B414" s="110">
        <v>29</v>
      </c>
      <c r="C414" s="113">
        <v>7.3</v>
      </c>
    </row>
    <row r="415" spans="1:3" ht="15.5" thickTop="1" thickBot="1" x14ac:dyDescent="0.4">
      <c r="A415" s="103" t="s">
        <v>6348</v>
      </c>
      <c r="B415" s="110">
        <v>30</v>
      </c>
      <c r="C415" s="104">
        <v>7.7</v>
      </c>
    </row>
    <row r="416" spans="1:3" ht="15.5" thickTop="1" thickBot="1" x14ac:dyDescent="0.4">
      <c r="A416" s="103" t="s">
        <v>6348</v>
      </c>
      <c r="B416" s="110">
        <v>31</v>
      </c>
      <c r="C416" s="104">
        <v>6.4</v>
      </c>
    </row>
    <row r="417" spans="1:3" ht="15.5" thickTop="1" thickBot="1" x14ac:dyDescent="0.4">
      <c r="A417" s="103" t="s">
        <v>6348</v>
      </c>
      <c r="B417" s="110">
        <v>32</v>
      </c>
      <c r="C417" s="104">
        <v>9.6999999999999993</v>
      </c>
    </row>
    <row r="418" spans="1:3" ht="15.5" thickTop="1" thickBot="1" x14ac:dyDescent="0.4">
      <c r="A418" s="103" t="s">
        <v>6348</v>
      </c>
      <c r="B418" s="110">
        <v>33</v>
      </c>
      <c r="C418" s="104">
        <v>11</v>
      </c>
    </row>
    <row r="419" spans="1:3" ht="15.5" thickTop="1" thickBot="1" x14ac:dyDescent="0.4">
      <c r="A419" s="103" t="s">
        <v>6348</v>
      </c>
      <c r="B419" s="110">
        <v>34</v>
      </c>
      <c r="C419" s="104">
        <v>8.8000000000000007</v>
      </c>
    </row>
    <row r="420" spans="1:3" ht="15.5" thickTop="1" thickBot="1" x14ac:dyDescent="0.4">
      <c r="A420" s="103" t="s">
        <v>6348</v>
      </c>
      <c r="B420" s="110">
        <v>35</v>
      </c>
      <c r="C420" s="104">
        <v>17</v>
      </c>
    </row>
    <row r="421" spans="1:3" ht="15.5" thickTop="1" thickBot="1" x14ac:dyDescent="0.4">
      <c r="A421" s="103" t="s">
        <v>6348</v>
      </c>
      <c r="B421" s="110">
        <v>36</v>
      </c>
      <c r="C421" s="104">
        <v>13</v>
      </c>
    </row>
    <row r="422" spans="1:3" ht="15.5" thickTop="1" thickBot="1" x14ac:dyDescent="0.4">
      <c r="A422" s="103" t="s">
        <v>6348</v>
      </c>
      <c r="B422" s="110">
        <v>37</v>
      </c>
      <c r="C422" s="104">
        <v>6.2</v>
      </c>
    </row>
    <row r="423" spans="1:3" ht="15.5" thickTop="1" thickBot="1" x14ac:dyDescent="0.4">
      <c r="A423" s="103" t="s">
        <v>6348</v>
      </c>
      <c r="B423" s="110">
        <v>38</v>
      </c>
      <c r="C423" s="104">
        <v>11</v>
      </c>
    </row>
    <row r="424" spans="1:3" ht="15.5" thickTop="1" thickBot="1" x14ac:dyDescent="0.4">
      <c r="A424" s="103" t="s">
        <v>6348</v>
      </c>
      <c r="B424" s="110">
        <v>39</v>
      </c>
      <c r="C424" s="104">
        <v>17</v>
      </c>
    </row>
    <row r="425" spans="1:3" ht="15.5" thickTop="1" thickBot="1" x14ac:dyDescent="0.4">
      <c r="A425" s="103" t="s">
        <v>6348</v>
      </c>
      <c r="B425" s="110">
        <v>40</v>
      </c>
      <c r="C425" s="104">
        <v>13</v>
      </c>
    </row>
    <row r="426" spans="1:3" ht="15.5" thickTop="1" thickBot="1" x14ac:dyDescent="0.4">
      <c r="A426" s="103" t="s">
        <v>6348</v>
      </c>
      <c r="B426" s="110">
        <v>41</v>
      </c>
      <c r="C426" s="104">
        <v>16</v>
      </c>
    </row>
    <row r="427" spans="1:3" ht="15.5" thickTop="1" thickBot="1" x14ac:dyDescent="0.4">
      <c r="A427" s="103" t="s">
        <v>6348</v>
      </c>
      <c r="B427" s="110">
        <v>42</v>
      </c>
      <c r="C427" s="112"/>
    </row>
    <row r="428" spans="1:3" ht="15.5" thickTop="1" thickBot="1" x14ac:dyDescent="0.4">
      <c r="A428" s="103" t="s">
        <v>6348</v>
      </c>
      <c r="B428" s="110">
        <v>43</v>
      </c>
      <c r="C428" s="112"/>
    </row>
    <row r="429" spans="1:3" ht="15.5" thickTop="1" thickBot="1" x14ac:dyDescent="0.4">
      <c r="A429" s="103" t="s">
        <v>6348</v>
      </c>
      <c r="B429" s="110">
        <v>44</v>
      </c>
      <c r="C429" s="112"/>
    </row>
    <row r="430" spans="1:3" ht="15.5" thickTop="1" thickBot="1" x14ac:dyDescent="0.4">
      <c r="A430" s="103" t="s">
        <v>6348</v>
      </c>
      <c r="B430" s="110">
        <v>45</v>
      </c>
      <c r="C430" s="112"/>
    </row>
    <row r="431" spans="1:3" ht="15.5" thickTop="1" thickBot="1" x14ac:dyDescent="0.4">
      <c r="A431" s="103" t="s">
        <v>6348</v>
      </c>
      <c r="B431" s="110">
        <v>46</v>
      </c>
      <c r="C431" s="112"/>
    </row>
    <row r="432" spans="1:3" ht="15.5" thickTop="1" thickBot="1" x14ac:dyDescent="0.4">
      <c r="A432" s="103" t="s">
        <v>6348</v>
      </c>
      <c r="B432" s="110">
        <v>47</v>
      </c>
      <c r="C432" s="112"/>
    </row>
    <row r="433" spans="1:3" ht="15.5" thickTop="1" thickBot="1" x14ac:dyDescent="0.4">
      <c r="A433" s="103" t="s">
        <v>6348</v>
      </c>
      <c r="B433" s="110">
        <v>48</v>
      </c>
      <c r="C433" s="112"/>
    </row>
    <row r="434" spans="1:3" ht="15.5" thickTop="1" thickBot="1" x14ac:dyDescent="0.4">
      <c r="A434" s="105" t="s">
        <v>6349</v>
      </c>
      <c r="B434" s="110">
        <v>1</v>
      </c>
      <c r="C434" s="104">
        <v>8.6</v>
      </c>
    </row>
    <row r="435" spans="1:3" ht="15.5" thickTop="1" thickBot="1" x14ac:dyDescent="0.4">
      <c r="A435" s="105" t="s">
        <v>6349</v>
      </c>
      <c r="B435" s="110">
        <v>2</v>
      </c>
      <c r="C435" s="104">
        <v>5.9</v>
      </c>
    </row>
    <row r="436" spans="1:3" ht="15.5" thickTop="1" thickBot="1" x14ac:dyDescent="0.4">
      <c r="A436" s="105" t="s">
        <v>6349</v>
      </c>
      <c r="B436" s="110">
        <v>3</v>
      </c>
      <c r="C436" s="104">
        <v>9.6</v>
      </c>
    </row>
    <row r="437" spans="1:3" ht="15.5" thickTop="1" thickBot="1" x14ac:dyDescent="0.4">
      <c r="A437" s="105" t="s">
        <v>6349</v>
      </c>
      <c r="B437" s="110">
        <v>4</v>
      </c>
      <c r="C437" s="104">
        <v>8.1</v>
      </c>
    </row>
    <row r="438" spans="1:3" ht="15.5" thickTop="1" thickBot="1" x14ac:dyDescent="0.4">
      <c r="A438" s="105" t="s">
        <v>6349</v>
      </c>
      <c r="B438" s="110">
        <v>5</v>
      </c>
      <c r="C438" s="104">
        <v>8.1</v>
      </c>
    </row>
    <row r="439" spans="1:3" ht="15.5" thickTop="1" thickBot="1" x14ac:dyDescent="0.4">
      <c r="A439" s="105" t="s">
        <v>6349</v>
      </c>
      <c r="B439" s="110">
        <v>6</v>
      </c>
      <c r="C439" s="104">
        <v>13</v>
      </c>
    </row>
    <row r="440" spans="1:3" ht="15.5" thickTop="1" thickBot="1" x14ac:dyDescent="0.4">
      <c r="A440" s="105" t="s">
        <v>6349</v>
      </c>
      <c r="B440" s="110">
        <v>7</v>
      </c>
      <c r="C440" s="104">
        <v>8.4</v>
      </c>
    </row>
    <row r="441" spans="1:3" ht="15.5" thickTop="1" thickBot="1" x14ac:dyDescent="0.4">
      <c r="A441" s="105" t="s">
        <v>6349</v>
      </c>
      <c r="B441" s="110">
        <v>8</v>
      </c>
      <c r="C441" s="104">
        <v>5.8</v>
      </c>
    </row>
    <row r="442" spans="1:3" ht="15.5" thickTop="1" thickBot="1" x14ac:dyDescent="0.4">
      <c r="A442" s="105" t="s">
        <v>6349</v>
      </c>
      <c r="B442" s="110">
        <v>9</v>
      </c>
      <c r="C442" s="104">
        <v>8.4</v>
      </c>
    </row>
    <row r="443" spans="1:3" ht="15.5" thickTop="1" thickBot="1" x14ac:dyDescent="0.4">
      <c r="A443" s="105" t="s">
        <v>6349</v>
      </c>
      <c r="B443" s="110">
        <v>10</v>
      </c>
      <c r="C443" s="104">
        <v>7.6</v>
      </c>
    </row>
    <row r="444" spans="1:3" ht="15.5" thickTop="1" thickBot="1" x14ac:dyDescent="0.4">
      <c r="A444" s="105" t="s">
        <v>6349</v>
      </c>
      <c r="B444" s="110">
        <v>11</v>
      </c>
      <c r="C444" s="104">
        <v>9.1</v>
      </c>
    </row>
    <row r="445" spans="1:3" ht="15.5" thickTop="1" thickBot="1" x14ac:dyDescent="0.4">
      <c r="A445" s="105" t="s">
        <v>6349</v>
      </c>
      <c r="B445" s="110">
        <v>12</v>
      </c>
      <c r="C445" s="104">
        <v>11</v>
      </c>
    </row>
    <row r="446" spans="1:3" ht="15.5" thickTop="1" thickBot="1" x14ac:dyDescent="0.4">
      <c r="A446" s="105" t="s">
        <v>6349</v>
      </c>
      <c r="B446" s="110">
        <v>13</v>
      </c>
      <c r="C446" s="104">
        <v>8.6999999999999993</v>
      </c>
    </row>
    <row r="447" spans="1:3" ht="15.5" thickTop="1" thickBot="1" x14ac:dyDescent="0.4">
      <c r="A447" s="105" t="s">
        <v>6349</v>
      </c>
      <c r="B447" s="110">
        <v>14</v>
      </c>
      <c r="C447" s="115">
        <v>2.7</v>
      </c>
    </row>
    <row r="448" spans="1:3" ht="15.5" thickTop="1" thickBot="1" x14ac:dyDescent="0.4">
      <c r="A448" s="105" t="s">
        <v>6349</v>
      </c>
      <c r="B448" s="110">
        <v>15</v>
      </c>
      <c r="C448" s="104">
        <v>3.8</v>
      </c>
    </row>
    <row r="449" spans="1:3" ht="15.5" thickTop="1" thickBot="1" x14ac:dyDescent="0.4">
      <c r="A449" s="105" t="s">
        <v>6349</v>
      </c>
      <c r="B449" s="110">
        <v>16</v>
      </c>
      <c r="C449" s="104">
        <v>5.7</v>
      </c>
    </row>
    <row r="450" spans="1:3" ht="15.5" thickTop="1" thickBot="1" x14ac:dyDescent="0.4">
      <c r="A450" s="105" t="s">
        <v>6349</v>
      </c>
      <c r="B450" s="110">
        <v>17</v>
      </c>
      <c r="C450" s="104">
        <v>4.5999999999999996</v>
      </c>
    </row>
    <row r="451" spans="1:3" ht="15.5" thickTop="1" thickBot="1" x14ac:dyDescent="0.4">
      <c r="A451" s="105" t="s">
        <v>6349</v>
      </c>
      <c r="B451" s="110">
        <v>18</v>
      </c>
      <c r="C451" s="104">
        <v>6</v>
      </c>
    </row>
    <row r="452" spans="1:3" ht="15.5" thickTop="1" thickBot="1" x14ac:dyDescent="0.4">
      <c r="A452" s="105" t="s">
        <v>6349</v>
      </c>
      <c r="B452" s="110">
        <v>19</v>
      </c>
      <c r="C452" s="104">
        <v>4.7</v>
      </c>
    </row>
    <row r="453" spans="1:3" ht="15.5" thickTop="1" thickBot="1" x14ac:dyDescent="0.4">
      <c r="A453" s="105" t="s">
        <v>6349</v>
      </c>
      <c r="B453" s="110">
        <v>20</v>
      </c>
      <c r="C453" s="104">
        <v>6.9</v>
      </c>
    </row>
    <row r="454" spans="1:3" ht="15.5" thickTop="1" thickBot="1" x14ac:dyDescent="0.4">
      <c r="A454" s="105" t="s">
        <v>6349</v>
      </c>
      <c r="B454" s="110">
        <v>21</v>
      </c>
      <c r="C454" s="115">
        <v>2.9</v>
      </c>
    </row>
    <row r="455" spans="1:3" ht="15.5" thickTop="1" thickBot="1" x14ac:dyDescent="0.4">
      <c r="A455" s="105" t="s">
        <v>6349</v>
      </c>
      <c r="B455" s="110">
        <v>22</v>
      </c>
      <c r="C455" s="104">
        <v>4</v>
      </c>
    </row>
    <row r="456" spans="1:3" ht="15.5" thickTop="1" thickBot="1" x14ac:dyDescent="0.4">
      <c r="A456" s="105" t="s">
        <v>6349</v>
      </c>
      <c r="B456" s="110">
        <v>23</v>
      </c>
      <c r="C456" s="104">
        <v>6.2</v>
      </c>
    </row>
    <row r="457" spans="1:3" ht="15.5" thickTop="1" thickBot="1" x14ac:dyDescent="0.4">
      <c r="A457" s="105" t="s">
        <v>6349</v>
      </c>
      <c r="B457" s="110">
        <v>24</v>
      </c>
      <c r="C457" s="104">
        <v>9.6999999999999993</v>
      </c>
    </row>
    <row r="458" spans="1:3" ht="15.5" thickTop="1" thickBot="1" x14ac:dyDescent="0.4">
      <c r="A458" s="105" t="s">
        <v>6349</v>
      </c>
      <c r="B458" s="110">
        <v>25</v>
      </c>
      <c r="C458" s="104">
        <v>7.2</v>
      </c>
    </row>
    <row r="459" spans="1:3" ht="15.5" thickTop="1" thickBot="1" x14ac:dyDescent="0.4">
      <c r="A459" s="105" t="s">
        <v>6349</v>
      </c>
      <c r="B459" s="110">
        <v>26</v>
      </c>
      <c r="C459" s="104">
        <v>6.6</v>
      </c>
    </row>
    <row r="460" spans="1:3" ht="15.5" thickTop="1" thickBot="1" x14ac:dyDescent="0.4">
      <c r="A460" s="105" t="s">
        <v>6349</v>
      </c>
      <c r="B460" s="110">
        <v>27</v>
      </c>
      <c r="C460" s="104">
        <v>3.8</v>
      </c>
    </row>
    <row r="461" spans="1:3" ht="15.5" thickTop="1" thickBot="1" x14ac:dyDescent="0.4">
      <c r="A461" s="105" t="s">
        <v>6349</v>
      </c>
      <c r="B461" s="110">
        <v>28</v>
      </c>
      <c r="C461" s="104">
        <v>19</v>
      </c>
    </row>
    <row r="462" spans="1:3" ht="15.5" thickTop="1" thickBot="1" x14ac:dyDescent="0.4">
      <c r="A462" s="105" t="s">
        <v>6349</v>
      </c>
      <c r="B462" s="110">
        <v>29</v>
      </c>
      <c r="C462" s="104">
        <v>6.8</v>
      </c>
    </row>
    <row r="463" spans="1:3" ht="15.5" thickTop="1" thickBot="1" x14ac:dyDescent="0.4">
      <c r="A463" s="105" t="s">
        <v>6349</v>
      </c>
      <c r="B463" s="110">
        <v>30</v>
      </c>
      <c r="C463" s="104">
        <v>5.2</v>
      </c>
    </row>
    <row r="464" spans="1:3" ht="15.5" thickTop="1" thickBot="1" x14ac:dyDescent="0.4">
      <c r="A464" s="105" t="s">
        <v>6349</v>
      </c>
      <c r="B464" s="110">
        <v>31</v>
      </c>
      <c r="C464" s="104">
        <v>4</v>
      </c>
    </row>
    <row r="465" spans="1:3" ht="15.5" thickTop="1" thickBot="1" x14ac:dyDescent="0.4">
      <c r="A465" s="105" t="s">
        <v>6349</v>
      </c>
      <c r="B465" s="110">
        <v>32</v>
      </c>
      <c r="C465" s="104">
        <v>5.6</v>
      </c>
    </row>
    <row r="466" spans="1:3" ht="15.5" thickTop="1" thickBot="1" x14ac:dyDescent="0.4">
      <c r="A466" s="105" t="s">
        <v>6349</v>
      </c>
      <c r="B466" s="110">
        <v>33</v>
      </c>
      <c r="C466" s="104">
        <v>6.3</v>
      </c>
    </row>
    <row r="467" spans="1:3" ht="15.5" thickTop="1" thickBot="1" x14ac:dyDescent="0.4">
      <c r="A467" s="105" t="s">
        <v>6349</v>
      </c>
      <c r="B467" s="110">
        <v>34</v>
      </c>
      <c r="C467" s="104">
        <v>13</v>
      </c>
    </row>
    <row r="468" spans="1:3" ht="15.5" thickTop="1" thickBot="1" x14ac:dyDescent="0.4">
      <c r="A468" s="105" t="s">
        <v>6349</v>
      </c>
      <c r="B468" s="110">
        <v>35</v>
      </c>
      <c r="C468" s="104">
        <v>3.5</v>
      </c>
    </row>
    <row r="469" spans="1:3" ht="15.5" thickTop="1" thickBot="1" x14ac:dyDescent="0.4">
      <c r="A469" s="105" t="s">
        <v>6349</v>
      </c>
      <c r="B469" s="110">
        <v>36</v>
      </c>
      <c r="C469" s="104">
        <v>7.4</v>
      </c>
    </row>
    <row r="470" spans="1:3" ht="15.5" thickTop="1" thickBot="1" x14ac:dyDescent="0.4">
      <c r="A470" s="105" t="s">
        <v>6349</v>
      </c>
      <c r="B470" s="110">
        <v>37</v>
      </c>
      <c r="C470" s="104">
        <v>7.6</v>
      </c>
    </row>
    <row r="471" spans="1:3" ht="15.5" thickTop="1" thickBot="1" x14ac:dyDescent="0.4">
      <c r="A471" s="105" t="s">
        <v>6349</v>
      </c>
      <c r="B471" s="110">
        <v>38</v>
      </c>
      <c r="C471" s="104">
        <v>3.1</v>
      </c>
    </row>
    <row r="472" spans="1:3" ht="15.5" thickTop="1" thickBot="1" x14ac:dyDescent="0.4">
      <c r="A472" s="105" t="s">
        <v>6349</v>
      </c>
      <c r="B472" s="110">
        <v>39</v>
      </c>
      <c r="C472" s="115">
        <v>2.2999999999999998</v>
      </c>
    </row>
    <row r="473" spans="1:3" ht="15.5" thickTop="1" thickBot="1" x14ac:dyDescent="0.4">
      <c r="A473" s="105" t="s">
        <v>6349</v>
      </c>
      <c r="B473" s="110">
        <v>40</v>
      </c>
      <c r="C473" s="115">
        <v>2.6</v>
      </c>
    </row>
    <row r="474" spans="1:3" ht="15.5" thickTop="1" thickBot="1" x14ac:dyDescent="0.4">
      <c r="A474" s="105" t="s">
        <v>6349</v>
      </c>
      <c r="B474" s="110">
        <v>41</v>
      </c>
      <c r="C474" s="115">
        <v>2.2999999999999998</v>
      </c>
    </row>
    <row r="475" spans="1:3" ht="15.5" thickTop="1" thickBot="1" x14ac:dyDescent="0.4">
      <c r="A475" s="105" t="s">
        <v>6349</v>
      </c>
      <c r="B475" s="110">
        <v>42</v>
      </c>
      <c r="C475" s="104">
        <v>4.5999999999999996</v>
      </c>
    </row>
    <row r="476" spans="1:3" ht="15.5" thickTop="1" thickBot="1" x14ac:dyDescent="0.4">
      <c r="A476" s="105" t="s">
        <v>6349</v>
      </c>
      <c r="B476" s="110">
        <v>43</v>
      </c>
      <c r="C476" s="104">
        <v>5.7</v>
      </c>
    </row>
    <row r="477" spans="1:3" ht="15.5" thickTop="1" thickBot="1" x14ac:dyDescent="0.4">
      <c r="A477" s="105" t="s">
        <v>6349</v>
      </c>
      <c r="B477" s="110">
        <v>44</v>
      </c>
      <c r="C477" s="115">
        <v>2.5</v>
      </c>
    </row>
    <row r="478" spans="1:3" ht="15.5" thickTop="1" thickBot="1" x14ac:dyDescent="0.4">
      <c r="A478" s="105" t="s">
        <v>6349</v>
      </c>
      <c r="B478" s="110">
        <v>45</v>
      </c>
      <c r="C478" s="115">
        <v>2</v>
      </c>
    </row>
    <row r="479" spans="1:3" ht="15.5" thickTop="1" thickBot="1" x14ac:dyDescent="0.4">
      <c r="A479" s="105" t="s">
        <v>6349</v>
      </c>
      <c r="B479" s="110">
        <v>46</v>
      </c>
      <c r="C479" s="104">
        <v>5.6</v>
      </c>
    </row>
    <row r="480" spans="1:3" ht="15.5" thickTop="1" thickBot="1" x14ac:dyDescent="0.4">
      <c r="A480" s="105" t="s">
        <v>6349</v>
      </c>
      <c r="B480" s="110">
        <v>47</v>
      </c>
      <c r="C480" s="115">
        <v>0.5</v>
      </c>
    </row>
    <row r="481" spans="1:3" ht="15.5" thickTop="1" thickBot="1" x14ac:dyDescent="0.4">
      <c r="A481" s="105" t="s">
        <v>6349</v>
      </c>
      <c r="B481" s="110">
        <v>48</v>
      </c>
      <c r="C481" s="115">
        <v>0.3</v>
      </c>
    </row>
    <row r="482" spans="1:3" ht="15.5" thickTop="1" thickBot="1" x14ac:dyDescent="0.4">
      <c r="A482" s="106" t="s">
        <v>6350</v>
      </c>
      <c r="B482" s="110">
        <v>1</v>
      </c>
      <c r="C482" s="115">
        <v>0.3</v>
      </c>
    </row>
    <row r="483" spans="1:3" ht="15.5" thickTop="1" thickBot="1" x14ac:dyDescent="0.4">
      <c r="A483" s="106" t="s">
        <v>6350</v>
      </c>
      <c r="B483" s="110">
        <v>2</v>
      </c>
      <c r="C483" s="115">
        <v>1</v>
      </c>
    </row>
    <row r="484" spans="1:3" ht="15.5" thickTop="1" thickBot="1" x14ac:dyDescent="0.4">
      <c r="A484" s="106" t="s">
        <v>6350</v>
      </c>
      <c r="B484" s="110">
        <v>3</v>
      </c>
      <c r="C484" s="104">
        <v>11</v>
      </c>
    </row>
    <row r="485" spans="1:3" ht="15.5" thickTop="1" thickBot="1" x14ac:dyDescent="0.4">
      <c r="A485" s="106" t="s">
        <v>6350</v>
      </c>
      <c r="B485" s="110">
        <v>4</v>
      </c>
      <c r="C485" s="104">
        <v>14</v>
      </c>
    </row>
    <row r="486" spans="1:3" ht="15.5" thickTop="1" thickBot="1" x14ac:dyDescent="0.4">
      <c r="A486" s="106" t="s">
        <v>6350</v>
      </c>
      <c r="B486" s="110">
        <v>5</v>
      </c>
      <c r="C486" s="104">
        <v>10</v>
      </c>
    </row>
    <row r="487" spans="1:3" ht="15.5" thickTop="1" thickBot="1" x14ac:dyDescent="0.4">
      <c r="A487" s="106" t="s">
        <v>6350</v>
      </c>
      <c r="B487" s="110">
        <v>6</v>
      </c>
      <c r="C487" s="104">
        <v>11</v>
      </c>
    </row>
    <row r="488" spans="1:3" ht="15.5" thickTop="1" thickBot="1" x14ac:dyDescent="0.4">
      <c r="A488" s="106" t="s">
        <v>6350</v>
      </c>
      <c r="B488" s="110">
        <v>7</v>
      </c>
      <c r="C488" s="104">
        <v>10</v>
      </c>
    </row>
    <row r="489" spans="1:3" ht="15.5" thickTop="1" thickBot="1" x14ac:dyDescent="0.4">
      <c r="A489" s="106" t="s">
        <v>6350</v>
      </c>
      <c r="B489" s="110">
        <v>8</v>
      </c>
      <c r="C489" s="104">
        <v>19</v>
      </c>
    </row>
    <row r="490" spans="1:3" ht="15.5" thickTop="1" thickBot="1" x14ac:dyDescent="0.4">
      <c r="A490" s="106" t="s">
        <v>6350</v>
      </c>
      <c r="B490" s="110">
        <v>9</v>
      </c>
      <c r="C490" s="104">
        <v>4.0999999999999996</v>
      </c>
    </row>
    <row r="491" spans="1:3" ht="15.5" thickTop="1" thickBot="1" x14ac:dyDescent="0.4">
      <c r="A491" s="106" t="s">
        <v>6350</v>
      </c>
      <c r="B491" s="110">
        <v>10</v>
      </c>
      <c r="C491" s="104">
        <v>10</v>
      </c>
    </row>
    <row r="492" spans="1:3" ht="15.5" thickTop="1" thickBot="1" x14ac:dyDescent="0.4">
      <c r="A492" s="106" t="s">
        <v>6350</v>
      </c>
      <c r="B492" s="110">
        <v>11</v>
      </c>
      <c r="C492" s="104">
        <v>5.6</v>
      </c>
    </row>
    <row r="493" spans="1:3" ht="15.5" thickTop="1" thickBot="1" x14ac:dyDescent="0.4">
      <c r="A493" s="106" t="s">
        <v>6350</v>
      </c>
      <c r="B493" s="110">
        <v>12</v>
      </c>
      <c r="C493" s="104">
        <v>3.7</v>
      </c>
    </row>
    <row r="494" spans="1:3" ht="15.5" thickTop="1" thickBot="1" x14ac:dyDescent="0.4">
      <c r="A494" s="106" t="s">
        <v>6350</v>
      </c>
      <c r="B494" s="110">
        <v>13</v>
      </c>
      <c r="C494" s="104">
        <v>18</v>
      </c>
    </row>
    <row r="495" spans="1:3" ht="15.5" thickTop="1" thickBot="1" x14ac:dyDescent="0.4">
      <c r="A495" s="106" t="s">
        <v>6350</v>
      </c>
      <c r="B495" s="110">
        <v>14</v>
      </c>
      <c r="C495" s="104">
        <v>11</v>
      </c>
    </row>
    <row r="496" spans="1:3" ht="15.5" thickTop="1" thickBot="1" x14ac:dyDescent="0.4">
      <c r="A496" s="106" t="s">
        <v>6350</v>
      </c>
      <c r="B496" s="110">
        <v>15</v>
      </c>
      <c r="C496" s="104">
        <v>13</v>
      </c>
    </row>
    <row r="497" spans="1:3" ht="15.5" thickTop="1" thickBot="1" x14ac:dyDescent="0.4">
      <c r="A497" s="106" t="s">
        <v>6350</v>
      </c>
      <c r="B497" s="110">
        <v>16</v>
      </c>
      <c r="C497" s="104">
        <v>8.8000000000000007</v>
      </c>
    </row>
    <row r="498" spans="1:3" ht="15.5" thickTop="1" thickBot="1" x14ac:dyDescent="0.4">
      <c r="A498" s="106" t="s">
        <v>6350</v>
      </c>
      <c r="B498" s="110">
        <v>17</v>
      </c>
      <c r="C498" s="118">
        <v>11</v>
      </c>
    </row>
    <row r="499" spans="1:3" ht="15.5" thickTop="1" thickBot="1" x14ac:dyDescent="0.4">
      <c r="A499" s="106" t="s">
        <v>6350</v>
      </c>
      <c r="B499" s="110">
        <v>18</v>
      </c>
      <c r="C499" s="118">
        <v>5.0999999999999996</v>
      </c>
    </row>
    <row r="500" spans="1:3" ht="15.5" thickTop="1" thickBot="1" x14ac:dyDescent="0.4">
      <c r="A500" s="106" t="s">
        <v>6350</v>
      </c>
      <c r="B500" s="110">
        <v>19</v>
      </c>
      <c r="C500" s="118">
        <v>7.7</v>
      </c>
    </row>
    <row r="501" spans="1:3" ht="15.5" thickTop="1" thickBot="1" x14ac:dyDescent="0.4">
      <c r="A501" s="106" t="s">
        <v>6350</v>
      </c>
      <c r="B501" s="110">
        <v>20</v>
      </c>
      <c r="C501" s="118">
        <v>6.6</v>
      </c>
    </row>
    <row r="502" spans="1:3" ht="15.5" thickTop="1" thickBot="1" x14ac:dyDescent="0.4">
      <c r="A502" s="106" t="s">
        <v>6350</v>
      </c>
      <c r="B502" s="110">
        <v>21</v>
      </c>
      <c r="C502" s="118">
        <v>6.4</v>
      </c>
    </row>
    <row r="503" spans="1:3" ht="15.5" thickTop="1" thickBot="1" x14ac:dyDescent="0.4">
      <c r="A503" s="106" t="s">
        <v>6350</v>
      </c>
      <c r="B503" s="110">
        <v>22</v>
      </c>
      <c r="C503" s="118">
        <v>4.7</v>
      </c>
    </row>
    <row r="504" spans="1:3" ht="15.5" thickTop="1" thickBot="1" x14ac:dyDescent="0.4">
      <c r="A504" s="106" t="s">
        <v>6350</v>
      </c>
      <c r="B504" s="110">
        <v>23</v>
      </c>
      <c r="C504" s="118">
        <v>12</v>
      </c>
    </row>
    <row r="505" spans="1:3" ht="15.5" thickTop="1" thickBot="1" x14ac:dyDescent="0.4">
      <c r="A505" s="106" t="s">
        <v>6350</v>
      </c>
      <c r="B505" s="110">
        <v>24</v>
      </c>
      <c r="C505" s="118">
        <v>5</v>
      </c>
    </row>
    <row r="506" spans="1:3" ht="15.5" thickTop="1" thickBot="1" x14ac:dyDescent="0.4">
      <c r="A506" s="106" t="s">
        <v>6350</v>
      </c>
      <c r="B506" s="110">
        <v>25</v>
      </c>
      <c r="C506" s="118">
        <v>5.5</v>
      </c>
    </row>
    <row r="507" spans="1:3" ht="15.5" thickTop="1" thickBot="1" x14ac:dyDescent="0.4">
      <c r="A507" s="106" t="s">
        <v>6350</v>
      </c>
      <c r="B507" s="110">
        <v>26</v>
      </c>
      <c r="C507" s="118">
        <v>4.8</v>
      </c>
    </row>
    <row r="508" spans="1:3" ht="15.5" thickTop="1" thickBot="1" x14ac:dyDescent="0.4">
      <c r="A508" s="106" t="s">
        <v>6350</v>
      </c>
      <c r="B508" s="110">
        <v>27</v>
      </c>
      <c r="C508" s="118">
        <v>13</v>
      </c>
    </row>
    <row r="509" spans="1:3" ht="15.5" thickTop="1" thickBot="1" x14ac:dyDescent="0.4">
      <c r="A509" s="106" t="s">
        <v>6350</v>
      </c>
      <c r="B509" s="110">
        <v>28</v>
      </c>
      <c r="C509" s="118">
        <v>17</v>
      </c>
    </row>
    <row r="510" spans="1:3" ht="15.5" thickTop="1" thickBot="1" x14ac:dyDescent="0.4">
      <c r="A510" s="106" t="s">
        <v>6350</v>
      </c>
      <c r="B510" s="110">
        <v>29</v>
      </c>
      <c r="C510" s="118">
        <v>13</v>
      </c>
    </row>
    <row r="511" spans="1:3" ht="15.5" thickTop="1" thickBot="1" x14ac:dyDescent="0.4">
      <c r="A511" s="106" t="s">
        <v>6350</v>
      </c>
      <c r="B511" s="110">
        <v>30</v>
      </c>
      <c r="C511" s="118">
        <v>17</v>
      </c>
    </row>
    <row r="512" spans="1:3" ht="15.5" thickTop="1" thickBot="1" x14ac:dyDescent="0.4">
      <c r="A512" s="106" t="s">
        <v>6350</v>
      </c>
      <c r="B512" s="110">
        <v>31</v>
      </c>
      <c r="C512" s="118">
        <v>16</v>
      </c>
    </row>
    <row r="513" spans="1:3" ht="15.5" thickTop="1" thickBot="1" x14ac:dyDescent="0.4">
      <c r="A513" s="106" t="s">
        <v>6350</v>
      </c>
      <c r="B513" s="110">
        <v>32</v>
      </c>
      <c r="C513" s="118">
        <v>10</v>
      </c>
    </row>
    <row r="514" spans="1:3" ht="15.5" thickTop="1" thickBot="1" x14ac:dyDescent="0.4">
      <c r="A514" s="106" t="s">
        <v>6350</v>
      </c>
      <c r="B514" s="110">
        <v>33</v>
      </c>
      <c r="C514" s="118">
        <v>9.1</v>
      </c>
    </row>
    <row r="515" spans="1:3" ht="15.5" thickTop="1" thickBot="1" x14ac:dyDescent="0.4">
      <c r="A515" s="106" t="s">
        <v>6350</v>
      </c>
      <c r="B515" s="110">
        <v>34</v>
      </c>
      <c r="C515" s="118">
        <v>5.4</v>
      </c>
    </row>
    <row r="516" spans="1:3" ht="15.5" thickTop="1" thickBot="1" x14ac:dyDescent="0.4">
      <c r="A516" s="106" t="s">
        <v>6350</v>
      </c>
      <c r="B516" s="110">
        <v>35</v>
      </c>
      <c r="C516" s="118">
        <v>7.8</v>
      </c>
    </row>
    <row r="517" spans="1:3" ht="15.5" thickTop="1" thickBot="1" x14ac:dyDescent="0.4">
      <c r="A517" s="106" t="s">
        <v>6350</v>
      </c>
      <c r="B517" s="110">
        <v>36</v>
      </c>
      <c r="C517" s="118">
        <v>13</v>
      </c>
    </row>
    <row r="518" spans="1:3" ht="15.5" thickTop="1" thickBot="1" x14ac:dyDescent="0.4">
      <c r="A518" s="106" t="s">
        <v>6350</v>
      </c>
      <c r="B518" s="110">
        <v>37</v>
      </c>
      <c r="C518" s="118">
        <v>17</v>
      </c>
    </row>
    <row r="519" spans="1:3" ht="15.5" thickTop="1" thickBot="1" x14ac:dyDescent="0.4">
      <c r="A519" s="106" t="s">
        <v>6350</v>
      </c>
      <c r="B519" s="110">
        <v>38</v>
      </c>
      <c r="C519" s="118">
        <v>8.9</v>
      </c>
    </row>
    <row r="520" spans="1:3" ht="15.5" thickTop="1" thickBot="1" x14ac:dyDescent="0.4">
      <c r="A520" s="106" t="s">
        <v>6350</v>
      </c>
      <c r="B520" s="110">
        <v>39</v>
      </c>
      <c r="C520" s="118">
        <v>14</v>
      </c>
    </row>
    <row r="521" spans="1:3" ht="15.5" thickTop="1" thickBot="1" x14ac:dyDescent="0.4">
      <c r="A521" s="106" t="s">
        <v>6350</v>
      </c>
      <c r="B521" s="110">
        <v>40</v>
      </c>
      <c r="C521" s="118">
        <v>19</v>
      </c>
    </row>
    <row r="522" spans="1:3" ht="15.5" thickTop="1" thickBot="1" x14ac:dyDescent="0.4">
      <c r="A522" s="106" t="s">
        <v>6350</v>
      </c>
      <c r="B522" s="110">
        <v>41</v>
      </c>
      <c r="C522" s="118">
        <v>11</v>
      </c>
    </row>
    <row r="523" spans="1:3" ht="15.5" thickTop="1" thickBot="1" x14ac:dyDescent="0.4">
      <c r="A523" s="106" t="s">
        <v>6350</v>
      </c>
      <c r="B523" s="110">
        <v>42</v>
      </c>
      <c r="C523" s="118">
        <v>15</v>
      </c>
    </row>
    <row r="524" spans="1:3" ht="15.5" thickTop="1" thickBot="1" x14ac:dyDescent="0.4">
      <c r="A524" s="106" t="s">
        <v>6350</v>
      </c>
      <c r="B524" s="110">
        <v>43</v>
      </c>
      <c r="C524" s="118">
        <v>8.8000000000000007</v>
      </c>
    </row>
    <row r="525" spans="1:3" ht="15.5" thickTop="1" thickBot="1" x14ac:dyDescent="0.4">
      <c r="A525" s="106" t="s">
        <v>6350</v>
      </c>
      <c r="B525" s="110">
        <v>44</v>
      </c>
      <c r="C525" s="118">
        <v>15</v>
      </c>
    </row>
    <row r="526" spans="1:3" ht="15.5" thickTop="1" thickBot="1" x14ac:dyDescent="0.4">
      <c r="A526" s="106" t="s">
        <v>6350</v>
      </c>
      <c r="B526" s="110">
        <v>45</v>
      </c>
      <c r="C526" s="118">
        <v>12</v>
      </c>
    </row>
    <row r="527" spans="1:3" ht="15.5" thickTop="1" thickBot="1" x14ac:dyDescent="0.4">
      <c r="A527" s="106" t="s">
        <v>6350</v>
      </c>
      <c r="B527" s="110">
        <v>46</v>
      </c>
      <c r="C527" s="118">
        <v>10</v>
      </c>
    </row>
    <row r="528" spans="1:3" ht="15.5" thickTop="1" thickBot="1" x14ac:dyDescent="0.4">
      <c r="A528" s="106" t="s">
        <v>6350</v>
      </c>
      <c r="B528" s="110">
        <v>47</v>
      </c>
      <c r="C528" s="118">
        <v>9.9</v>
      </c>
    </row>
    <row r="529" spans="1:3" ht="15.5" thickTop="1" thickBot="1" x14ac:dyDescent="0.4">
      <c r="A529" s="106" t="s">
        <v>6350</v>
      </c>
      <c r="B529" s="110">
        <v>48</v>
      </c>
      <c r="C529" s="124">
        <v>8.1</v>
      </c>
    </row>
    <row r="530" spans="1:3" ht="15.5" thickTop="1" thickBot="1" x14ac:dyDescent="0.4">
      <c r="A530" s="105" t="s">
        <v>6351</v>
      </c>
      <c r="B530" s="110">
        <v>1</v>
      </c>
      <c r="C530" s="107">
        <v>4.8</v>
      </c>
    </row>
    <row r="531" spans="1:3" ht="15.5" thickTop="1" thickBot="1" x14ac:dyDescent="0.4">
      <c r="A531" s="105" t="s">
        <v>6351</v>
      </c>
      <c r="B531" s="110">
        <v>2</v>
      </c>
      <c r="C531" s="107">
        <v>15</v>
      </c>
    </row>
    <row r="532" spans="1:3" ht="15.5" thickTop="1" thickBot="1" x14ac:dyDescent="0.4">
      <c r="A532" s="105" t="s">
        <v>6351</v>
      </c>
      <c r="B532" s="110">
        <v>3</v>
      </c>
      <c r="C532" s="107">
        <v>13</v>
      </c>
    </row>
    <row r="533" spans="1:3" ht="15.5" thickTop="1" thickBot="1" x14ac:dyDescent="0.4">
      <c r="A533" s="105" t="s">
        <v>6351</v>
      </c>
      <c r="B533" s="110">
        <v>4</v>
      </c>
      <c r="C533" s="107">
        <v>16</v>
      </c>
    </row>
    <row r="534" spans="1:3" ht="15.5" thickTop="1" thickBot="1" x14ac:dyDescent="0.4">
      <c r="A534" s="105" t="s">
        <v>6351</v>
      </c>
      <c r="B534" s="110">
        <v>5</v>
      </c>
      <c r="C534" s="107">
        <v>8</v>
      </c>
    </row>
    <row r="535" spans="1:3" ht="15.5" thickTop="1" thickBot="1" x14ac:dyDescent="0.4">
      <c r="A535" s="105" t="s">
        <v>6351</v>
      </c>
      <c r="B535" s="110">
        <v>6</v>
      </c>
      <c r="C535" s="107">
        <v>14</v>
      </c>
    </row>
    <row r="536" spans="1:3" ht="15.5" thickTop="1" thickBot="1" x14ac:dyDescent="0.4">
      <c r="A536" s="105" t="s">
        <v>6351</v>
      </c>
      <c r="B536" s="110">
        <v>7</v>
      </c>
      <c r="C536" s="107">
        <v>11</v>
      </c>
    </row>
    <row r="537" spans="1:3" ht="15.5" thickTop="1" thickBot="1" x14ac:dyDescent="0.4">
      <c r="A537" s="105" t="s">
        <v>6351</v>
      </c>
      <c r="B537" s="110">
        <v>8</v>
      </c>
      <c r="C537" s="107">
        <v>8.6999999999999993</v>
      </c>
    </row>
    <row r="538" spans="1:3" ht="15.5" thickTop="1" thickBot="1" x14ac:dyDescent="0.4">
      <c r="A538" s="105" t="s">
        <v>6351</v>
      </c>
      <c r="B538" s="110">
        <v>9</v>
      </c>
      <c r="C538" s="107">
        <v>14</v>
      </c>
    </row>
    <row r="539" spans="1:3" ht="15.5" thickTop="1" thickBot="1" x14ac:dyDescent="0.4">
      <c r="A539" s="105" t="s">
        <v>6351</v>
      </c>
      <c r="B539" s="110">
        <v>10</v>
      </c>
      <c r="C539" s="107">
        <v>16</v>
      </c>
    </row>
    <row r="540" spans="1:3" ht="15.5" thickTop="1" thickBot="1" x14ac:dyDescent="0.4">
      <c r="A540" s="105" t="s">
        <v>6351</v>
      </c>
      <c r="B540" s="110">
        <v>11</v>
      </c>
      <c r="C540" s="107">
        <v>10</v>
      </c>
    </row>
    <row r="541" spans="1:3" ht="15.5" thickTop="1" thickBot="1" x14ac:dyDescent="0.4">
      <c r="A541" s="105" t="s">
        <v>6351</v>
      </c>
      <c r="B541" s="110">
        <v>12</v>
      </c>
      <c r="C541" s="107">
        <v>3.7</v>
      </c>
    </row>
    <row r="542" spans="1:3" ht="15.5" thickTop="1" thickBot="1" x14ac:dyDescent="0.4">
      <c r="A542" s="105" t="s">
        <v>6351</v>
      </c>
      <c r="B542" s="110">
        <v>13</v>
      </c>
      <c r="C542" s="107">
        <v>12</v>
      </c>
    </row>
    <row r="543" spans="1:3" ht="15.5" thickTop="1" thickBot="1" x14ac:dyDescent="0.4">
      <c r="A543" s="105" t="s">
        <v>6351</v>
      </c>
      <c r="B543" s="110">
        <v>14</v>
      </c>
      <c r="C543" s="107">
        <v>13</v>
      </c>
    </row>
    <row r="544" spans="1:3" ht="15.5" thickTop="1" thickBot="1" x14ac:dyDescent="0.4">
      <c r="A544" s="105" t="s">
        <v>6351</v>
      </c>
      <c r="B544" s="110">
        <v>15</v>
      </c>
      <c r="C544" s="107">
        <v>14</v>
      </c>
    </row>
    <row r="545" spans="1:3" ht="15.5" thickTop="1" thickBot="1" x14ac:dyDescent="0.4">
      <c r="A545" s="105" t="s">
        <v>6351</v>
      </c>
      <c r="B545" s="110">
        <v>16</v>
      </c>
      <c r="C545" s="107">
        <v>10</v>
      </c>
    </row>
    <row r="546" spans="1:3" ht="15.5" thickTop="1" thickBot="1" x14ac:dyDescent="0.4">
      <c r="A546" s="105" t="s">
        <v>6351</v>
      </c>
      <c r="B546" s="110">
        <v>17</v>
      </c>
      <c r="C546" s="107">
        <v>14</v>
      </c>
    </row>
    <row r="547" spans="1:3" ht="15.5" thickTop="1" thickBot="1" x14ac:dyDescent="0.4">
      <c r="A547" s="105" t="s">
        <v>6351</v>
      </c>
      <c r="B547" s="110">
        <v>18</v>
      </c>
      <c r="C547" s="107">
        <v>12</v>
      </c>
    </row>
    <row r="548" spans="1:3" ht="15.5" thickTop="1" thickBot="1" x14ac:dyDescent="0.4">
      <c r="A548" s="105" t="s">
        <v>6351</v>
      </c>
      <c r="B548" s="110">
        <v>19</v>
      </c>
      <c r="C548" s="107">
        <v>13</v>
      </c>
    </row>
    <row r="549" spans="1:3" ht="15.5" thickTop="1" thickBot="1" x14ac:dyDescent="0.4">
      <c r="A549" s="105" t="s">
        <v>6351</v>
      </c>
      <c r="B549" s="110">
        <v>20</v>
      </c>
      <c r="C549" s="107">
        <v>15</v>
      </c>
    </row>
    <row r="550" spans="1:3" ht="15.5" thickTop="1" thickBot="1" x14ac:dyDescent="0.4">
      <c r="A550" s="105" t="s">
        <v>6351</v>
      </c>
      <c r="B550" s="110">
        <v>21</v>
      </c>
      <c r="C550" s="107">
        <v>8.3000000000000007</v>
      </c>
    </row>
    <row r="551" spans="1:3" ht="15.5" thickTop="1" thickBot="1" x14ac:dyDescent="0.4">
      <c r="A551" s="105" t="s">
        <v>6351</v>
      </c>
      <c r="B551" s="110">
        <v>22</v>
      </c>
      <c r="C551" s="107">
        <v>5.6</v>
      </c>
    </row>
    <row r="552" spans="1:3" ht="15.5" thickTop="1" thickBot="1" x14ac:dyDescent="0.4">
      <c r="A552" s="105" t="s">
        <v>6351</v>
      </c>
      <c r="B552" s="110">
        <v>23</v>
      </c>
      <c r="C552" s="107">
        <v>7.1</v>
      </c>
    </row>
    <row r="553" spans="1:3" ht="15.5" thickTop="1" thickBot="1" x14ac:dyDescent="0.4">
      <c r="A553" s="105" t="s">
        <v>6351</v>
      </c>
      <c r="B553" s="110">
        <v>24</v>
      </c>
      <c r="C553" s="107">
        <v>6.4</v>
      </c>
    </row>
    <row r="554" spans="1:3" ht="15.5" thickTop="1" thickBot="1" x14ac:dyDescent="0.4">
      <c r="A554" s="105" t="s">
        <v>6351</v>
      </c>
      <c r="B554" s="110">
        <v>25</v>
      </c>
      <c r="C554" s="107">
        <v>15</v>
      </c>
    </row>
    <row r="555" spans="1:3" ht="15.5" thickTop="1" thickBot="1" x14ac:dyDescent="0.4">
      <c r="A555" s="105" t="s">
        <v>6351</v>
      </c>
      <c r="B555" s="110">
        <v>26</v>
      </c>
      <c r="C555" s="107">
        <v>6.5</v>
      </c>
    </row>
    <row r="556" spans="1:3" ht="15.5" thickTop="1" thickBot="1" x14ac:dyDescent="0.4">
      <c r="A556" s="105" t="s">
        <v>6351</v>
      </c>
      <c r="B556" s="110">
        <v>27</v>
      </c>
      <c r="C556" s="107">
        <v>12</v>
      </c>
    </row>
    <row r="557" spans="1:3" ht="15.5" thickTop="1" thickBot="1" x14ac:dyDescent="0.4">
      <c r="A557" s="105" t="s">
        <v>6351</v>
      </c>
      <c r="B557" s="110">
        <v>28</v>
      </c>
      <c r="C557" s="107">
        <v>15</v>
      </c>
    </row>
    <row r="558" spans="1:3" ht="15.5" thickTop="1" thickBot="1" x14ac:dyDescent="0.4">
      <c r="A558" s="105" t="s">
        <v>6351</v>
      </c>
      <c r="B558" s="110">
        <v>29</v>
      </c>
      <c r="C558" s="107">
        <v>8.9</v>
      </c>
    </row>
    <row r="559" spans="1:3" ht="15.5" thickTop="1" thickBot="1" x14ac:dyDescent="0.4">
      <c r="A559" s="105" t="s">
        <v>6351</v>
      </c>
      <c r="B559" s="110">
        <v>30</v>
      </c>
      <c r="C559" s="107">
        <v>11</v>
      </c>
    </row>
    <row r="560" spans="1:3" ht="15.5" thickTop="1" thickBot="1" x14ac:dyDescent="0.4">
      <c r="A560" s="105" t="s">
        <v>6351</v>
      </c>
      <c r="B560" s="110">
        <v>31</v>
      </c>
      <c r="C560" s="107">
        <v>17</v>
      </c>
    </row>
    <row r="561" spans="1:3" ht="15.5" thickTop="1" thickBot="1" x14ac:dyDescent="0.4">
      <c r="A561" s="105" t="s">
        <v>6351</v>
      </c>
      <c r="B561" s="110">
        <v>32</v>
      </c>
      <c r="C561" s="107">
        <v>8.9</v>
      </c>
    </row>
    <row r="562" spans="1:3" ht="15.5" thickTop="1" thickBot="1" x14ac:dyDescent="0.4">
      <c r="A562" s="105" t="s">
        <v>6351</v>
      </c>
      <c r="B562" s="110">
        <v>33</v>
      </c>
      <c r="C562" s="107">
        <v>7.3</v>
      </c>
    </row>
    <row r="563" spans="1:3" ht="15.5" thickTop="1" thickBot="1" x14ac:dyDescent="0.4">
      <c r="A563" s="105" t="s">
        <v>6351</v>
      </c>
      <c r="B563" s="110">
        <v>34</v>
      </c>
      <c r="C563" s="107">
        <v>5.9</v>
      </c>
    </row>
    <row r="564" spans="1:3" ht="15.5" thickTop="1" thickBot="1" x14ac:dyDescent="0.4">
      <c r="A564" s="105" t="s">
        <v>6351</v>
      </c>
      <c r="B564" s="110">
        <v>35</v>
      </c>
      <c r="C564" s="107">
        <v>6.6</v>
      </c>
    </row>
    <row r="565" spans="1:3" ht="15.5" thickTop="1" thickBot="1" x14ac:dyDescent="0.4">
      <c r="A565" s="105" t="s">
        <v>6351</v>
      </c>
      <c r="B565" s="110">
        <v>36</v>
      </c>
      <c r="C565" s="107">
        <v>7.7</v>
      </c>
    </row>
    <row r="566" spans="1:3" ht="15.5" thickTop="1" thickBot="1" x14ac:dyDescent="0.4">
      <c r="A566" s="105" t="s">
        <v>6351</v>
      </c>
      <c r="B566" s="110">
        <v>37</v>
      </c>
      <c r="C566" s="107">
        <v>3.5</v>
      </c>
    </row>
    <row r="567" spans="1:3" ht="15.5" thickTop="1" thickBot="1" x14ac:dyDescent="0.4">
      <c r="A567" s="105" t="s">
        <v>6351</v>
      </c>
      <c r="B567" s="110">
        <v>38</v>
      </c>
      <c r="C567" s="107">
        <v>12</v>
      </c>
    </row>
    <row r="568" spans="1:3" ht="15.5" thickTop="1" thickBot="1" x14ac:dyDescent="0.4">
      <c r="A568" s="105" t="s">
        <v>6351</v>
      </c>
      <c r="B568" s="110">
        <v>39</v>
      </c>
      <c r="C568" s="107">
        <v>3.9</v>
      </c>
    </row>
    <row r="569" spans="1:3" ht="15.5" thickTop="1" thickBot="1" x14ac:dyDescent="0.4">
      <c r="A569" s="105" t="s">
        <v>6351</v>
      </c>
      <c r="B569" s="110">
        <v>40</v>
      </c>
      <c r="C569" s="107">
        <v>8.3000000000000007</v>
      </c>
    </row>
    <row r="570" spans="1:3" ht="15.5" thickTop="1" thickBot="1" x14ac:dyDescent="0.4">
      <c r="A570" s="105" t="s">
        <v>6351</v>
      </c>
      <c r="B570" s="110">
        <v>41</v>
      </c>
      <c r="C570" s="107">
        <v>3.2</v>
      </c>
    </row>
    <row r="571" spans="1:3" ht="15.5" thickTop="1" thickBot="1" x14ac:dyDescent="0.4">
      <c r="A571" s="105" t="s">
        <v>6351</v>
      </c>
      <c r="B571" s="110">
        <v>42</v>
      </c>
      <c r="C571" s="107">
        <v>4.5</v>
      </c>
    </row>
    <row r="572" spans="1:3" ht="15.5" thickTop="1" thickBot="1" x14ac:dyDescent="0.4">
      <c r="A572" s="105" t="s">
        <v>6351</v>
      </c>
      <c r="B572" s="110">
        <v>43</v>
      </c>
      <c r="C572" s="107">
        <v>3</v>
      </c>
    </row>
    <row r="573" spans="1:3" ht="15.5" thickTop="1" thickBot="1" x14ac:dyDescent="0.4">
      <c r="A573" s="105" t="s">
        <v>6351</v>
      </c>
      <c r="B573" s="110">
        <v>44</v>
      </c>
      <c r="C573" s="117">
        <v>2.6</v>
      </c>
    </row>
    <row r="574" spans="1:3" ht="15.5" thickTop="1" thickBot="1" x14ac:dyDescent="0.4">
      <c r="A574" s="105" t="s">
        <v>6351</v>
      </c>
      <c r="B574" s="110">
        <v>45</v>
      </c>
      <c r="C574" s="107">
        <v>3.5</v>
      </c>
    </row>
    <row r="575" spans="1:3" ht="15.5" thickTop="1" thickBot="1" x14ac:dyDescent="0.4">
      <c r="A575" s="105" t="s">
        <v>6351</v>
      </c>
      <c r="B575" s="110">
        <v>46</v>
      </c>
      <c r="C575" s="117">
        <v>1.9</v>
      </c>
    </row>
    <row r="576" spans="1:3" ht="15.5" thickTop="1" thickBot="1" x14ac:dyDescent="0.4">
      <c r="A576" s="105" t="s">
        <v>6351</v>
      </c>
      <c r="B576" s="110">
        <v>47</v>
      </c>
      <c r="C576" s="107">
        <v>7.1</v>
      </c>
    </row>
    <row r="577" spans="1:3" ht="15.5" thickTop="1" thickBot="1" x14ac:dyDescent="0.4">
      <c r="A577" s="105" t="s">
        <v>6351</v>
      </c>
      <c r="B577" s="110">
        <v>48</v>
      </c>
      <c r="C577" s="107">
        <v>4.5</v>
      </c>
    </row>
    <row r="578" spans="1:3" ht="15.5" thickTop="1" thickBot="1" x14ac:dyDescent="0.4">
      <c r="A578" s="116"/>
      <c r="B578" s="110">
        <v>1</v>
      </c>
      <c r="C578" s="112"/>
    </row>
    <row r="579" spans="1:3" ht="15.5" thickTop="1" thickBot="1" x14ac:dyDescent="0.4">
      <c r="A579" s="116"/>
      <c r="B579" s="110">
        <v>2</v>
      </c>
      <c r="C579" s="112"/>
    </row>
    <row r="580" spans="1:3" ht="15.5" thickTop="1" thickBot="1" x14ac:dyDescent="0.4">
      <c r="A580" s="116"/>
      <c r="B580" s="110">
        <v>3</v>
      </c>
      <c r="C580" s="112"/>
    </row>
    <row r="581" spans="1:3" ht="15.5" thickTop="1" thickBot="1" x14ac:dyDescent="0.4">
      <c r="A581" s="116"/>
      <c r="B581" s="110">
        <v>4</v>
      </c>
      <c r="C581" s="112"/>
    </row>
    <row r="582" spans="1:3" ht="15.5" thickTop="1" thickBot="1" x14ac:dyDescent="0.4">
      <c r="A582" s="116"/>
      <c r="B582" s="110">
        <v>5</v>
      </c>
      <c r="C582" s="112"/>
    </row>
    <row r="583" spans="1:3" ht="15.5" thickTop="1" thickBot="1" x14ac:dyDescent="0.4">
      <c r="A583" s="116"/>
      <c r="B583" s="110">
        <v>6</v>
      </c>
      <c r="C583" s="112"/>
    </row>
    <row r="584" spans="1:3" ht="15.5" thickTop="1" thickBot="1" x14ac:dyDescent="0.4">
      <c r="A584" s="116"/>
      <c r="B584" s="110">
        <v>7</v>
      </c>
      <c r="C584" s="112"/>
    </row>
    <row r="585" spans="1:3" ht="15.5" thickTop="1" thickBot="1" x14ac:dyDescent="0.4">
      <c r="A585" s="116"/>
      <c r="B585" s="110">
        <v>8</v>
      </c>
      <c r="C585" s="112"/>
    </row>
    <row r="586" spans="1:3" ht="15.5" thickTop="1" thickBot="1" x14ac:dyDescent="0.4">
      <c r="A586" s="116"/>
      <c r="B586" s="110">
        <v>9</v>
      </c>
      <c r="C586" s="112"/>
    </row>
    <row r="587" spans="1:3" ht="15.5" thickTop="1" thickBot="1" x14ac:dyDescent="0.4">
      <c r="A587" s="116"/>
      <c r="B587" s="110">
        <v>10</v>
      </c>
      <c r="C587" s="112"/>
    </row>
    <row r="588" spans="1:3" ht="15.5" thickTop="1" thickBot="1" x14ac:dyDescent="0.4">
      <c r="A588" s="116"/>
      <c r="B588" s="110">
        <v>11</v>
      </c>
      <c r="C588" s="112"/>
    </row>
    <row r="589" spans="1:3" ht="15.5" thickTop="1" thickBot="1" x14ac:dyDescent="0.4">
      <c r="A589" s="116"/>
      <c r="B589" s="110">
        <v>12</v>
      </c>
      <c r="C589" s="112"/>
    </row>
    <row r="590" spans="1:3" ht="15.5" thickTop="1" thickBot="1" x14ac:dyDescent="0.4">
      <c r="A590" s="116"/>
      <c r="B590" s="110">
        <v>13</v>
      </c>
      <c r="C590" s="112"/>
    </row>
    <row r="591" spans="1:3" ht="15.5" thickTop="1" thickBot="1" x14ac:dyDescent="0.4">
      <c r="A591" s="116"/>
      <c r="B591" s="110">
        <v>14</v>
      </c>
      <c r="C591" s="112"/>
    </row>
    <row r="592" spans="1:3" ht="15.5" thickTop="1" thickBot="1" x14ac:dyDescent="0.4">
      <c r="A592" s="116"/>
      <c r="B592" s="110">
        <v>15</v>
      </c>
      <c r="C592" s="112"/>
    </row>
    <row r="593" spans="1:3" ht="15.5" thickTop="1" thickBot="1" x14ac:dyDescent="0.4">
      <c r="A593" s="116"/>
      <c r="B593" s="110">
        <v>16</v>
      </c>
      <c r="C593" s="112"/>
    </row>
    <row r="594" spans="1:3" ht="15.5" thickTop="1" thickBot="1" x14ac:dyDescent="0.4">
      <c r="A594" s="116"/>
      <c r="B594" s="110">
        <v>17</v>
      </c>
      <c r="C594" s="112"/>
    </row>
    <row r="595" spans="1:3" ht="15.5" thickTop="1" thickBot="1" x14ac:dyDescent="0.4">
      <c r="A595" s="116"/>
      <c r="B595" s="110">
        <v>18</v>
      </c>
      <c r="C595" s="112"/>
    </row>
    <row r="596" spans="1:3" ht="15.5" thickTop="1" thickBot="1" x14ac:dyDescent="0.4">
      <c r="A596" s="116"/>
      <c r="B596" s="110">
        <v>19</v>
      </c>
      <c r="C596" s="112"/>
    </row>
    <row r="597" spans="1:3" ht="15.5" thickTop="1" thickBot="1" x14ac:dyDescent="0.4">
      <c r="A597" s="116"/>
      <c r="B597" s="110">
        <v>20</v>
      </c>
      <c r="C597" s="112"/>
    </row>
    <row r="598" spans="1:3" ht="15.5" thickTop="1" thickBot="1" x14ac:dyDescent="0.4">
      <c r="A598" s="116"/>
      <c r="B598" s="110">
        <v>21</v>
      </c>
      <c r="C598" s="112"/>
    </row>
    <row r="599" spans="1:3" ht="15.5" thickTop="1" thickBot="1" x14ac:dyDescent="0.4">
      <c r="A599" s="116"/>
      <c r="B599" s="110">
        <v>22</v>
      </c>
      <c r="C599" s="112"/>
    </row>
    <row r="600" spans="1:3" ht="15.5" thickTop="1" thickBot="1" x14ac:dyDescent="0.4">
      <c r="A600" s="116"/>
      <c r="B600" s="110">
        <v>23</v>
      </c>
      <c r="C600" s="112"/>
    </row>
    <row r="601" spans="1:3" ht="15.5" thickTop="1" thickBot="1" x14ac:dyDescent="0.4">
      <c r="A601" s="116"/>
      <c r="B601" s="110">
        <v>24</v>
      </c>
      <c r="C601" s="112"/>
    </row>
    <row r="602" spans="1:3" ht="15.5" thickTop="1" thickBot="1" x14ac:dyDescent="0.4">
      <c r="A602" s="116"/>
      <c r="B602" s="110">
        <v>25</v>
      </c>
      <c r="C602" s="112"/>
    </row>
    <row r="603" spans="1:3" ht="15.5" thickTop="1" thickBot="1" x14ac:dyDescent="0.4">
      <c r="A603" s="116"/>
      <c r="B603" s="110">
        <v>26</v>
      </c>
      <c r="C603" s="112"/>
    </row>
    <row r="604" spans="1:3" ht="15.5" thickTop="1" thickBot="1" x14ac:dyDescent="0.4">
      <c r="A604" s="116"/>
      <c r="B604" s="110">
        <v>27</v>
      </c>
      <c r="C604" s="112"/>
    </row>
    <row r="605" spans="1:3" ht="15.5" thickTop="1" thickBot="1" x14ac:dyDescent="0.4">
      <c r="A605" s="116"/>
      <c r="B605" s="110">
        <v>28</v>
      </c>
      <c r="C605" s="112"/>
    </row>
    <row r="606" spans="1:3" ht="15.5" thickTop="1" thickBot="1" x14ac:dyDescent="0.4">
      <c r="A606" s="116"/>
      <c r="B606" s="110">
        <v>29</v>
      </c>
      <c r="C606" s="112"/>
    </row>
    <row r="607" spans="1:3" ht="15.5" thickTop="1" thickBot="1" x14ac:dyDescent="0.4">
      <c r="A607" s="116"/>
      <c r="B607" s="110">
        <v>30</v>
      </c>
      <c r="C607" s="112"/>
    </row>
    <row r="608" spans="1:3" ht="15.5" thickTop="1" thickBot="1" x14ac:dyDescent="0.4">
      <c r="A608" s="116"/>
      <c r="B608" s="110">
        <v>31</v>
      </c>
      <c r="C608" s="112"/>
    </row>
    <row r="609" spans="1:3" ht="15.5" thickTop="1" thickBot="1" x14ac:dyDescent="0.4">
      <c r="A609" s="116"/>
      <c r="B609" s="110">
        <v>32</v>
      </c>
      <c r="C609" s="112"/>
    </row>
    <row r="610" spans="1:3" ht="15.5" thickTop="1" thickBot="1" x14ac:dyDescent="0.4">
      <c r="A610" s="116"/>
      <c r="B610" s="110">
        <v>33</v>
      </c>
      <c r="C610" s="112"/>
    </row>
    <row r="611" spans="1:3" ht="15.5" thickTop="1" thickBot="1" x14ac:dyDescent="0.4">
      <c r="A611" s="116"/>
      <c r="B611" s="110">
        <v>34</v>
      </c>
      <c r="C611" s="112"/>
    </row>
    <row r="612" spans="1:3" ht="15.5" thickTop="1" thickBot="1" x14ac:dyDescent="0.4">
      <c r="A612" s="116"/>
      <c r="B612" s="110">
        <v>35</v>
      </c>
      <c r="C612" s="112"/>
    </row>
    <row r="613" spans="1:3" ht="15.5" thickTop="1" thickBot="1" x14ac:dyDescent="0.4">
      <c r="A613" s="116"/>
      <c r="B613" s="110">
        <v>36</v>
      </c>
      <c r="C613" s="112"/>
    </row>
    <row r="614" spans="1:3" ht="15.5" thickTop="1" thickBot="1" x14ac:dyDescent="0.4">
      <c r="A614" s="116"/>
      <c r="B614" s="110">
        <v>37</v>
      </c>
      <c r="C614" s="112"/>
    </row>
    <row r="615" spans="1:3" ht="15.5" thickTop="1" thickBot="1" x14ac:dyDescent="0.4">
      <c r="A615" s="116"/>
      <c r="B615" s="110">
        <v>38</v>
      </c>
      <c r="C615" s="112"/>
    </row>
    <row r="616" spans="1:3" ht="15.5" thickTop="1" thickBot="1" x14ac:dyDescent="0.4">
      <c r="A616" s="116"/>
      <c r="B616" s="110">
        <v>39</v>
      </c>
      <c r="C616" s="112"/>
    </row>
    <row r="617" spans="1:3" ht="15.5" thickTop="1" thickBot="1" x14ac:dyDescent="0.4">
      <c r="A617" s="116"/>
      <c r="B617" s="110">
        <v>40</v>
      </c>
      <c r="C617" s="112"/>
    </row>
    <row r="618" spans="1:3" ht="15.5" thickTop="1" thickBot="1" x14ac:dyDescent="0.4">
      <c r="A618" s="116"/>
      <c r="B618" s="110">
        <v>41</v>
      </c>
      <c r="C618" s="112"/>
    </row>
    <row r="619" spans="1:3" ht="15.5" thickTop="1" thickBot="1" x14ac:dyDescent="0.4">
      <c r="A619" s="116"/>
      <c r="B619" s="110">
        <v>42</v>
      </c>
      <c r="C619" s="112"/>
    </row>
    <row r="620" spans="1:3" ht="15.5" thickTop="1" thickBot="1" x14ac:dyDescent="0.4">
      <c r="A620" s="116"/>
      <c r="B620" s="110">
        <v>43</v>
      </c>
      <c r="C620" s="112"/>
    </row>
    <row r="621" spans="1:3" ht="15.5" thickTop="1" thickBot="1" x14ac:dyDescent="0.4">
      <c r="A621" s="116"/>
      <c r="B621" s="110">
        <v>44</v>
      </c>
      <c r="C621" s="112"/>
    </row>
    <row r="622" spans="1:3" ht="15.5" thickTop="1" thickBot="1" x14ac:dyDescent="0.4">
      <c r="A622" s="116"/>
      <c r="B622" s="110">
        <v>45</v>
      </c>
      <c r="C622" s="112"/>
    </row>
    <row r="623" spans="1:3" ht="15.5" thickTop="1" thickBot="1" x14ac:dyDescent="0.4">
      <c r="A623" s="116"/>
      <c r="B623" s="110">
        <v>46</v>
      </c>
      <c r="C623" s="112"/>
    </row>
    <row r="624" spans="1:3" ht="15.5" thickTop="1" thickBot="1" x14ac:dyDescent="0.4">
      <c r="A624" s="116"/>
      <c r="B624" s="110">
        <v>47</v>
      </c>
      <c r="C624" s="112"/>
    </row>
    <row r="625" spans="1:3" ht="15.5" thickTop="1" thickBot="1" x14ac:dyDescent="0.4">
      <c r="A625" s="116"/>
      <c r="B625" s="110">
        <v>48</v>
      </c>
      <c r="C625" s="112"/>
    </row>
    <row r="626" spans="1:3" ht="15.5" thickTop="1" thickBot="1" x14ac:dyDescent="0.4">
      <c r="A626" s="116"/>
      <c r="B626" s="110">
        <v>1</v>
      </c>
      <c r="C626" s="112"/>
    </row>
    <row r="627" spans="1:3" ht="15.5" thickTop="1" thickBot="1" x14ac:dyDescent="0.4">
      <c r="A627" s="116"/>
      <c r="B627" s="110">
        <v>2</v>
      </c>
      <c r="C627" s="112"/>
    </row>
    <row r="628" spans="1:3" ht="15.5" thickTop="1" thickBot="1" x14ac:dyDescent="0.4">
      <c r="A628" s="116"/>
      <c r="B628" s="110">
        <v>3</v>
      </c>
      <c r="C628" s="112"/>
    </row>
    <row r="629" spans="1:3" ht="15.5" thickTop="1" thickBot="1" x14ac:dyDescent="0.4">
      <c r="A629" s="116"/>
      <c r="B629" s="110">
        <v>4</v>
      </c>
      <c r="C629" s="112"/>
    </row>
    <row r="630" spans="1:3" ht="15.5" thickTop="1" thickBot="1" x14ac:dyDescent="0.4">
      <c r="A630" s="116"/>
      <c r="B630" s="110">
        <v>5</v>
      </c>
      <c r="C630" s="112"/>
    </row>
    <row r="631" spans="1:3" ht="15.5" thickTop="1" thickBot="1" x14ac:dyDescent="0.4">
      <c r="A631" s="116"/>
      <c r="B631" s="110">
        <v>6</v>
      </c>
      <c r="C631" s="112"/>
    </row>
    <row r="632" spans="1:3" ht="15.5" thickTop="1" thickBot="1" x14ac:dyDescent="0.4">
      <c r="A632" s="116"/>
      <c r="B632" s="110">
        <v>7</v>
      </c>
      <c r="C632" s="112"/>
    </row>
    <row r="633" spans="1:3" ht="15.5" thickTop="1" thickBot="1" x14ac:dyDescent="0.4">
      <c r="A633" s="116"/>
      <c r="B633" s="110">
        <v>8</v>
      </c>
      <c r="C633" s="112"/>
    </row>
    <row r="634" spans="1:3" ht="15.5" thickTop="1" thickBot="1" x14ac:dyDescent="0.4">
      <c r="A634" s="116"/>
      <c r="B634" s="110">
        <v>9</v>
      </c>
      <c r="C634" s="112"/>
    </row>
    <row r="635" spans="1:3" ht="15.5" thickTop="1" thickBot="1" x14ac:dyDescent="0.4">
      <c r="A635" s="116"/>
      <c r="B635" s="110">
        <v>10</v>
      </c>
      <c r="C635" s="112"/>
    </row>
    <row r="636" spans="1:3" ht="15.5" thickTop="1" thickBot="1" x14ac:dyDescent="0.4">
      <c r="A636" s="116"/>
      <c r="B636" s="110">
        <v>11</v>
      </c>
      <c r="C636" s="112"/>
    </row>
    <row r="637" spans="1:3" ht="15.5" thickTop="1" thickBot="1" x14ac:dyDescent="0.4">
      <c r="A637" s="116"/>
      <c r="B637" s="110">
        <v>12</v>
      </c>
      <c r="C637" s="112"/>
    </row>
    <row r="638" spans="1:3" ht="15.5" thickTop="1" thickBot="1" x14ac:dyDescent="0.4">
      <c r="A638" s="116"/>
      <c r="B638" s="110">
        <v>13</v>
      </c>
      <c r="C638" s="112"/>
    </row>
    <row r="639" spans="1:3" ht="15.5" thickTop="1" thickBot="1" x14ac:dyDescent="0.4">
      <c r="A639" s="116"/>
      <c r="B639" s="110">
        <v>14</v>
      </c>
      <c r="C639" s="112"/>
    </row>
    <row r="640" spans="1:3" ht="15.5" thickTop="1" thickBot="1" x14ac:dyDescent="0.4">
      <c r="A640" s="116"/>
      <c r="B640" s="110">
        <v>15</v>
      </c>
      <c r="C640" s="112"/>
    </row>
    <row r="641" spans="1:3" ht="15.5" thickTop="1" thickBot="1" x14ac:dyDescent="0.4">
      <c r="A641" s="116"/>
      <c r="B641" s="110">
        <v>16</v>
      </c>
      <c r="C641" s="112"/>
    </row>
    <row r="642" spans="1:3" ht="15.5" thickTop="1" thickBot="1" x14ac:dyDescent="0.4">
      <c r="A642" s="116"/>
      <c r="B642" s="110">
        <v>17</v>
      </c>
      <c r="C642" s="112"/>
    </row>
    <row r="643" spans="1:3" ht="15.5" thickTop="1" thickBot="1" x14ac:dyDescent="0.4">
      <c r="A643" s="116"/>
      <c r="B643" s="110">
        <v>18</v>
      </c>
      <c r="C643" s="112"/>
    </row>
    <row r="644" spans="1:3" ht="15.5" thickTop="1" thickBot="1" x14ac:dyDescent="0.4">
      <c r="A644" s="116"/>
      <c r="B644" s="110">
        <v>19</v>
      </c>
      <c r="C644" s="112"/>
    </row>
    <row r="645" spans="1:3" ht="15.5" thickTop="1" thickBot="1" x14ac:dyDescent="0.4">
      <c r="A645" s="116"/>
      <c r="B645" s="110">
        <v>20</v>
      </c>
      <c r="C645" s="112"/>
    </row>
    <row r="646" spans="1:3" ht="15.5" thickTop="1" thickBot="1" x14ac:dyDescent="0.4">
      <c r="A646" s="116"/>
      <c r="B646" s="110">
        <v>21</v>
      </c>
      <c r="C646" s="112"/>
    </row>
    <row r="647" spans="1:3" ht="15.5" thickTop="1" thickBot="1" x14ac:dyDescent="0.4">
      <c r="A647" s="116"/>
      <c r="B647" s="110">
        <v>22</v>
      </c>
      <c r="C647" s="112"/>
    </row>
    <row r="648" spans="1:3" ht="15.5" thickTop="1" thickBot="1" x14ac:dyDescent="0.4">
      <c r="A648" s="116"/>
      <c r="B648" s="110">
        <v>23</v>
      </c>
      <c r="C648" s="112"/>
    </row>
    <row r="649" spans="1:3" ht="15.5" thickTop="1" thickBot="1" x14ac:dyDescent="0.4">
      <c r="A649" s="116"/>
      <c r="B649" s="110">
        <v>24</v>
      </c>
      <c r="C649" s="112"/>
    </row>
    <row r="650" spans="1:3" ht="15.5" thickTop="1" thickBot="1" x14ac:dyDescent="0.4">
      <c r="A650" s="116"/>
      <c r="B650" s="110">
        <v>25</v>
      </c>
      <c r="C650" s="112"/>
    </row>
    <row r="651" spans="1:3" ht="15.5" thickTop="1" thickBot="1" x14ac:dyDescent="0.4">
      <c r="A651" s="116"/>
      <c r="B651" s="110">
        <v>26</v>
      </c>
      <c r="C651" s="112"/>
    </row>
    <row r="652" spans="1:3" ht="15.5" thickTop="1" thickBot="1" x14ac:dyDescent="0.4">
      <c r="A652" s="116"/>
      <c r="B652" s="110">
        <v>27</v>
      </c>
      <c r="C652" s="112"/>
    </row>
    <row r="653" spans="1:3" ht="15.5" thickTop="1" thickBot="1" x14ac:dyDescent="0.4">
      <c r="A653" s="116"/>
      <c r="B653" s="110">
        <v>28</v>
      </c>
      <c r="C653" s="112"/>
    </row>
    <row r="654" spans="1:3" ht="15.5" thickTop="1" thickBot="1" x14ac:dyDescent="0.4">
      <c r="A654" s="116"/>
      <c r="B654" s="110">
        <v>29</v>
      </c>
      <c r="C654" s="112"/>
    </row>
    <row r="655" spans="1:3" ht="15.5" thickTop="1" thickBot="1" x14ac:dyDescent="0.4">
      <c r="A655" s="116"/>
      <c r="B655" s="110">
        <v>30</v>
      </c>
      <c r="C655" s="112"/>
    </row>
    <row r="656" spans="1:3" ht="15.5" thickTop="1" thickBot="1" x14ac:dyDescent="0.4">
      <c r="A656" s="116"/>
      <c r="B656" s="110">
        <v>31</v>
      </c>
      <c r="C656" s="112"/>
    </row>
    <row r="657" spans="1:3" ht="15.5" thickTop="1" thickBot="1" x14ac:dyDescent="0.4">
      <c r="A657" s="116"/>
      <c r="B657" s="110">
        <v>32</v>
      </c>
      <c r="C657" s="112"/>
    </row>
    <row r="658" spans="1:3" ht="15.5" thickTop="1" thickBot="1" x14ac:dyDescent="0.4">
      <c r="A658" s="116"/>
      <c r="B658" s="110">
        <v>33</v>
      </c>
      <c r="C658" s="112"/>
    </row>
    <row r="659" spans="1:3" ht="15.5" thickTop="1" thickBot="1" x14ac:dyDescent="0.4">
      <c r="A659" s="116"/>
      <c r="B659" s="110">
        <v>34</v>
      </c>
      <c r="C659" s="112"/>
    </row>
    <row r="660" spans="1:3" ht="15.5" thickTop="1" thickBot="1" x14ac:dyDescent="0.4">
      <c r="A660" s="116"/>
      <c r="B660" s="110">
        <v>35</v>
      </c>
      <c r="C660" s="112"/>
    </row>
    <row r="661" spans="1:3" ht="15.5" thickTop="1" thickBot="1" x14ac:dyDescent="0.4">
      <c r="A661" s="116"/>
      <c r="B661" s="110">
        <v>36</v>
      </c>
      <c r="C661" s="112"/>
    </row>
    <row r="662" spans="1:3" ht="15.5" thickTop="1" thickBot="1" x14ac:dyDescent="0.4">
      <c r="A662" s="116"/>
      <c r="B662" s="110">
        <v>37</v>
      </c>
      <c r="C662" s="112"/>
    </row>
    <row r="663" spans="1:3" ht="15.5" thickTop="1" thickBot="1" x14ac:dyDescent="0.4">
      <c r="A663" s="116"/>
      <c r="B663" s="110">
        <v>38</v>
      </c>
      <c r="C663" s="112"/>
    </row>
    <row r="664" spans="1:3" ht="15.5" thickTop="1" thickBot="1" x14ac:dyDescent="0.4">
      <c r="A664" s="116"/>
      <c r="B664" s="110">
        <v>39</v>
      </c>
      <c r="C664" s="112"/>
    </row>
    <row r="665" spans="1:3" ht="15.5" thickTop="1" thickBot="1" x14ac:dyDescent="0.4">
      <c r="A665" s="116"/>
      <c r="B665" s="110">
        <v>40</v>
      </c>
      <c r="C665" s="112"/>
    </row>
    <row r="666" spans="1:3" ht="15.5" thickTop="1" thickBot="1" x14ac:dyDescent="0.4">
      <c r="A666" s="116"/>
      <c r="B666" s="110">
        <v>41</v>
      </c>
      <c r="C666" s="112"/>
    </row>
    <row r="667" spans="1:3" ht="15.5" thickTop="1" thickBot="1" x14ac:dyDescent="0.4">
      <c r="A667" s="116"/>
      <c r="B667" s="110">
        <v>42</v>
      </c>
      <c r="C667" s="112"/>
    </row>
    <row r="668" spans="1:3" ht="15.5" thickTop="1" thickBot="1" x14ac:dyDescent="0.4">
      <c r="A668" s="116"/>
      <c r="B668" s="110">
        <v>43</v>
      </c>
      <c r="C668" s="112"/>
    </row>
    <row r="669" spans="1:3" ht="15.5" thickTop="1" thickBot="1" x14ac:dyDescent="0.4">
      <c r="A669" s="116"/>
      <c r="B669" s="110">
        <v>44</v>
      </c>
      <c r="C669" s="112"/>
    </row>
    <row r="670" spans="1:3" ht="15.5" thickTop="1" thickBot="1" x14ac:dyDescent="0.4">
      <c r="A670" s="116"/>
      <c r="B670" s="110">
        <v>45</v>
      </c>
      <c r="C670" s="112"/>
    </row>
    <row r="671" spans="1:3" ht="15.5" thickTop="1" thickBot="1" x14ac:dyDescent="0.4">
      <c r="A671" s="116"/>
      <c r="B671" s="110">
        <v>46</v>
      </c>
      <c r="C671" s="112"/>
    </row>
    <row r="672" spans="1:3" ht="15.5" thickTop="1" thickBot="1" x14ac:dyDescent="0.4">
      <c r="A672" s="116"/>
      <c r="B672" s="110">
        <v>47</v>
      </c>
      <c r="C672" s="112"/>
    </row>
    <row r="673" spans="1:3" ht="15.5" thickTop="1" thickBot="1" x14ac:dyDescent="0.4">
      <c r="A673" s="116"/>
      <c r="B673" s="110">
        <v>48</v>
      </c>
      <c r="C673" s="112"/>
    </row>
    <row r="674" spans="1:3" ht="15.5" thickTop="1" thickBot="1" x14ac:dyDescent="0.4">
      <c r="A674" s="116"/>
      <c r="B674" s="110">
        <v>1</v>
      </c>
      <c r="C674" s="112"/>
    </row>
    <row r="675" spans="1:3" ht="15.5" thickTop="1" thickBot="1" x14ac:dyDescent="0.4">
      <c r="A675" s="116"/>
      <c r="B675" s="110">
        <v>2</v>
      </c>
      <c r="C675" s="112"/>
    </row>
    <row r="676" spans="1:3" ht="15.5" thickTop="1" thickBot="1" x14ac:dyDescent="0.4">
      <c r="A676" s="116"/>
      <c r="B676" s="110">
        <v>3</v>
      </c>
      <c r="C676" s="112"/>
    </row>
    <row r="677" spans="1:3" ht="15.5" thickTop="1" thickBot="1" x14ac:dyDescent="0.4">
      <c r="A677" s="116"/>
      <c r="B677" s="110">
        <v>4</v>
      </c>
      <c r="C677" s="112"/>
    </row>
    <row r="678" spans="1:3" ht="15.5" thickTop="1" thickBot="1" x14ac:dyDescent="0.4">
      <c r="A678" s="116"/>
      <c r="B678" s="110">
        <v>5</v>
      </c>
      <c r="C678" s="112"/>
    </row>
    <row r="679" spans="1:3" ht="15.5" thickTop="1" thickBot="1" x14ac:dyDescent="0.4">
      <c r="A679" s="116"/>
      <c r="B679" s="110">
        <v>6</v>
      </c>
      <c r="C679" s="112"/>
    </row>
    <row r="680" spans="1:3" ht="15.5" thickTop="1" thickBot="1" x14ac:dyDescent="0.4">
      <c r="A680" s="116"/>
      <c r="B680" s="110">
        <v>7</v>
      </c>
      <c r="C680" s="112"/>
    </row>
    <row r="681" spans="1:3" ht="15.5" thickTop="1" thickBot="1" x14ac:dyDescent="0.4">
      <c r="A681" s="116"/>
      <c r="B681" s="110">
        <v>8</v>
      </c>
      <c r="C681" s="112"/>
    </row>
    <row r="682" spans="1:3" ht="15.5" thickTop="1" thickBot="1" x14ac:dyDescent="0.4">
      <c r="A682" s="116"/>
      <c r="B682" s="110">
        <v>9</v>
      </c>
      <c r="C682" s="112"/>
    </row>
    <row r="683" spans="1:3" ht="15.5" thickTop="1" thickBot="1" x14ac:dyDescent="0.4">
      <c r="A683" s="116"/>
      <c r="B683" s="110">
        <v>10</v>
      </c>
      <c r="C683" s="112"/>
    </row>
    <row r="684" spans="1:3" ht="15.5" thickTop="1" thickBot="1" x14ac:dyDescent="0.4">
      <c r="A684" s="116"/>
      <c r="B684" s="110">
        <v>11</v>
      </c>
      <c r="C684" s="112"/>
    </row>
    <row r="685" spans="1:3" ht="15.5" thickTop="1" thickBot="1" x14ac:dyDescent="0.4">
      <c r="A685" s="116"/>
      <c r="B685" s="110">
        <v>12</v>
      </c>
      <c r="C685" s="112"/>
    </row>
    <row r="686" spans="1:3" ht="15.5" thickTop="1" thickBot="1" x14ac:dyDescent="0.4">
      <c r="A686" s="116"/>
      <c r="B686" s="110">
        <v>13</v>
      </c>
      <c r="C686" s="112"/>
    </row>
    <row r="687" spans="1:3" ht="15.5" thickTop="1" thickBot="1" x14ac:dyDescent="0.4">
      <c r="A687" s="116"/>
      <c r="B687" s="110">
        <v>14</v>
      </c>
      <c r="C687" s="112"/>
    </row>
    <row r="688" spans="1:3" ht="15.5" thickTop="1" thickBot="1" x14ac:dyDescent="0.4">
      <c r="A688" s="116"/>
      <c r="B688" s="110">
        <v>15</v>
      </c>
      <c r="C688" s="112"/>
    </row>
    <row r="689" spans="1:3" ht="15.5" thickTop="1" thickBot="1" x14ac:dyDescent="0.4">
      <c r="A689" s="116"/>
      <c r="B689" s="110">
        <v>16</v>
      </c>
      <c r="C689" s="112"/>
    </row>
    <row r="690" spans="1:3" ht="15.5" thickTop="1" thickBot="1" x14ac:dyDescent="0.4">
      <c r="A690" s="116"/>
      <c r="B690" s="110">
        <v>17</v>
      </c>
      <c r="C690" s="112"/>
    </row>
    <row r="691" spans="1:3" ht="15.5" thickTop="1" thickBot="1" x14ac:dyDescent="0.4">
      <c r="A691" s="116"/>
      <c r="B691" s="110">
        <v>18</v>
      </c>
      <c r="C691" s="112"/>
    </row>
    <row r="692" spans="1:3" ht="15.5" thickTop="1" thickBot="1" x14ac:dyDescent="0.4">
      <c r="A692" s="116"/>
      <c r="B692" s="110">
        <v>19</v>
      </c>
      <c r="C692" s="112"/>
    </row>
    <row r="693" spans="1:3" ht="15.5" thickTop="1" thickBot="1" x14ac:dyDescent="0.4">
      <c r="A693" s="116"/>
      <c r="B693" s="110">
        <v>20</v>
      </c>
      <c r="C693" s="112"/>
    </row>
    <row r="694" spans="1:3" ht="15.5" thickTop="1" thickBot="1" x14ac:dyDescent="0.4">
      <c r="A694" s="116"/>
      <c r="B694" s="110">
        <v>21</v>
      </c>
      <c r="C694" s="112"/>
    </row>
    <row r="695" spans="1:3" ht="15.5" thickTop="1" thickBot="1" x14ac:dyDescent="0.4">
      <c r="A695" s="116"/>
      <c r="B695" s="110">
        <v>22</v>
      </c>
      <c r="C695" s="112"/>
    </row>
    <row r="696" spans="1:3" ht="15.5" thickTop="1" thickBot="1" x14ac:dyDescent="0.4">
      <c r="A696" s="116"/>
      <c r="B696" s="110">
        <v>23</v>
      </c>
      <c r="C696" s="112"/>
    </row>
    <row r="697" spans="1:3" ht="15.5" thickTop="1" thickBot="1" x14ac:dyDescent="0.4">
      <c r="A697" s="116"/>
      <c r="B697" s="110">
        <v>24</v>
      </c>
      <c r="C697" s="112"/>
    </row>
    <row r="698" spans="1:3" ht="15.5" thickTop="1" thickBot="1" x14ac:dyDescent="0.4">
      <c r="A698" s="116"/>
      <c r="B698" s="110">
        <v>25</v>
      </c>
      <c r="C698" s="112"/>
    </row>
    <row r="699" spans="1:3" ht="15.5" thickTop="1" thickBot="1" x14ac:dyDescent="0.4">
      <c r="A699" s="116"/>
      <c r="B699" s="110">
        <v>26</v>
      </c>
      <c r="C699" s="112"/>
    </row>
    <row r="700" spans="1:3" ht="15.5" thickTop="1" thickBot="1" x14ac:dyDescent="0.4">
      <c r="A700" s="116"/>
      <c r="B700" s="110">
        <v>27</v>
      </c>
      <c r="C700" s="112"/>
    </row>
    <row r="701" spans="1:3" ht="15.5" thickTop="1" thickBot="1" x14ac:dyDescent="0.4">
      <c r="A701" s="116"/>
      <c r="B701" s="110">
        <v>28</v>
      </c>
      <c r="C701" s="112"/>
    </row>
    <row r="702" spans="1:3" ht="15.5" thickTop="1" thickBot="1" x14ac:dyDescent="0.4">
      <c r="A702" s="116"/>
      <c r="B702" s="110">
        <v>29</v>
      </c>
      <c r="C702" s="112"/>
    </row>
    <row r="703" spans="1:3" ht="15.5" thickTop="1" thickBot="1" x14ac:dyDescent="0.4">
      <c r="A703" s="116"/>
      <c r="B703" s="110">
        <v>30</v>
      </c>
      <c r="C703" s="112"/>
    </row>
    <row r="704" spans="1:3" ht="15.5" thickTop="1" thickBot="1" x14ac:dyDescent="0.4">
      <c r="A704" s="116"/>
      <c r="B704" s="110">
        <v>31</v>
      </c>
      <c r="C704" s="112"/>
    </row>
    <row r="705" spans="1:3" ht="15.5" thickTop="1" thickBot="1" x14ac:dyDescent="0.4">
      <c r="A705" s="116"/>
      <c r="B705" s="110">
        <v>32</v>
      </c>
      <c r="C705" s="112"/>
    </row>
    <row r="706" spans="1:3" ht="15.5" thickTop="1" thickBot="1" x14ac:dyDescent="0.4">
      <c r="A706" s="116"/>
      <c r="B706" s="110">
        <v>33</v>
      </c>
      <c r="C706" s="112"/>
    </row>
    <row r="707" spans="1:3" ht="15.5" thickTop="1" thickBot="1" x14ac:dyDescent="0.4">
      <c r="A707" s="116"/>
      <c r="B707" s="110">
        <v>34</v>
      </c>
      <c r="C707" s="112"/>
    </row>
    <row r="708" spans="1:3" ht="15.5" thickTop="1" thickBot="1" x14ac:dyDescent="0.4">
      <c r="A708" s="116"/>
      <c r="B708" s="110">
        <v>35</v>
      </c>
      <c r="C708" s="112"/>
    </row>
    <row r="709" spans="1:3" ht="15.5" thickTop="1" thickBot="1" x14ac:dyDescent="0.4">
      <c r="A709" s="116"/>
      <c r="B709" s="110">
        <v>36</v>
      </c>
      <c r="C709" s="112"/>
    </row>
    <row r="710" spans="1:3" ht="15.5" thickTop="1" thickBot="1" x14ac:dyDescent="0.4">
      <c r="A710" s="116"/>
      <c r="B710" s="110">
        <v>37</v>
      </c>
      <c r="C710" s="112"/>
    </row>
    <row r="711" spans="1:3" ht="15.5" thickTop="1" thickBot="1" x14ac:dyDescent="0.4">
      <c r="A711" s="116"/>
      <c r="B711" s="110">
        <v>38</v>
      </c>
      <c r="C711" s="112"/>
    </row>
    <row r="712" spans="1:3" ht="15.5" thickTop="1" thickBot="1" x14ac:dyDescent="0.4">
      <c r="A712" s="116"/>
      <c r="B712" s="110">
        <v>39</v>
      </c>
      <c r="C712" s="112"/>
    </row>
    <row r="713" spans="1:3" ht="15.5" thickTop="1" thickBot="1" x14ac:dyDescent="0.4">
      <c r="A713" s="116"/>
      <c r="B713" s="110">
        <v>40</v>
      </c>
      <c r="C713" s="112"/>
    </row>
    <row r="714" spans="1:3" ht="15.5" thickTop="1" thickBot="1" x14ac:dyDescent="0.4">
      <c r="A714" s="116"/>
      <c r="B714" s="110">
        <v>41</v>
      </c>
      <c r="C714" s="112"/>
    </row>
    <row r="715" spans="1:3" ht="15.5" thickTop="1" thickBot="1" x14ac:dyDescent="0.4">
      <c r="A715" s="116"/>
      <c r="B715" s="110">
        <v>42</v>
      </c>
      <c r="C715" s="112"/>
    </row>
    <row r="716" spans="1:3" ht="15.5" thickTop="1" thickBot="1" x14ac:dyDescent="0.4">
      <c r="A716" s="116"/>
      <c r="B716" s="110">
        <v>43</v>
      </c>
      <c r="C716" s="112"/>
    </row>
    <row r="717" spans="1:3" ht="15.5" thickTop="1" thickBot="1" x14ac:dyDescent="0.4">
      <c r="A717" s="116"/>
      <c r="B717" s="110">
        <v>44</v>
      </c>
      <c r="C717" s="112"/>
    </row>
    <row r="718" spans="1:3" ht="15.5" thickTop="1" thickBot="1" x14ac:dyDescent="0.4">
      <c r="A718" s="116"/>
      <c r="B718" s="110">
        <v>45</v>
      </c>
      <c r="C718" s="112"/>
    </row>
    <row r="719" spans="1:3" ht="15.5" thickTop="1" thickBot="1" x14ac:dyDescent="0.4">
      <c r="A719" s="116"/>
      <c r="B719" s="110">
        <v>46</v>
      </c>
      <c r="C719" s="112"/>
    </row>
    <row r="720" spans="1:3" ht="15.5" thickTop="1" thickBot="1" x14ac:dyDescent="0.4">
      <c r="A720" s="116"/>
      <c r="B720" s="110">
        <v>47</v>
      </c>
      <c r="C720" s="112"/>
    </row>
    <row r="721" spans="1:3" ht="15.5" thickTop="1" thickBot="1" x14ac:dyDescent="0.4">
      <c r="A721" s="116"/>
      <c r="B721" s="110">
        <v>48</v>
      </c>
      <c r="C721" s="112"/>
    </row>
    <row r="722" spans="1:3" ht="15.5" thickTop="1" thickBot="1" x14ac:dyDescent="0.4">
      <c r="A722" s="114"/>
      <c r="B722" s="110">
        <v>1</v>
      </c>
      <c r="C722" s="90"/>
    </row>
    <row r="723" spans="1:3" ht="15" thickBot="1" x14ac:dyDescent="0.4">
      <c r="A723" s="114"/>
      <c r="B723" s="110">
        <v>2</v>
      </c>
      <c r="C723" s="90"/>
    </row>
    <row r="724" spans="1:3" ht="15" thickBot="1" x14ac:dyDescent="0.4">
      <c r="A724" s="114"/>
      <c r="B724" s="110">
        <v>3</v>
      </c>
      <c r="C724" s="90"/>
    </row>
    <row r="725" spans="1:3" ht="15" thickBot="1" x14ac:dyDescent="0.4">
      <c r="A725" s="114"/>
      <c r="B725" s="110">
        <v>4</v>
      </c>
      <c r="C725" s="90"/>
    </row>
    <row r="726" spans="1:3" ht="15" thickBot="1" x14ac:dyDescent="0.4">
      <c r="A726" s="114"/>
      <c r="B726" s="110">
        <v>5</v>
      </c>
      <c r="C726" s="90"/>
    </row>
    <row r="727" spans="1:3" ht="15" thickBot="1" x14ac:dyDescent="0.4">
      <c r="A727" s="114"/>
      <c r="B727" s="110">
        <v>6</v>
      </c>
      <c r="C727" s="90"/>
    </row>
    <row r="728" spans="1:3" ht="15" thickBot="1" x14ac:dyDescent="0.4">
      <c r="A728" s="114"/>
      <c r="B728" s="110">
        <v>7</v>
      </c>
      <c r="C728" s="90"/>
    </row>
    <row r="729" spans="1:3" ht="15" thickBot="1" x14ac:dyDescent="0.4">
      <c r="A729" s="114"/>
      <c r="B729" s="110">
        <v>8</v>
      </c>
      <c r="C729" s="90"/>
    </row>
    <row r="730" spans="1:3" ht="15" thickBot="1" x14ac:dyDescent="0.4">
      <c r="A730" s="114"/>
      <c r="B730" s="110">
        <v>9</v>
      </c>
      <c r="C730" s="90"/>
    </row>
    <row r="731" spans="1:3" ht="15" thickBot="1" x14ac:dyDescent="0.4">
      <c r="A731" s="114"/>
      <c r="B731" s="110">
        <v>10</v>
      </c>
      <c r="C731" s="90"/>
    </row>
    <row r="732" spans="1:3" ht="15" thickBot="1" x14ac:dyDescent="0.4">
      <c r="A732" s="114"/>
      <c r="B732" s="110">
        <v>11</v>
      </c>
      <c r="C732" s="90"/>
    </row>
    <row r="733" spans="1:3" ht="15" thickBot="1" x14ac:dyDescent="0.4">
      <c r="A733" s="114"/>
      <c r="B733" s="110">
        <v>12</v>
      </c>
      <c r="C733" s="90"/>
    </row>
    <row r="734" spans="1:3" ht="15" thickBot="1" x14ac:dyDescent="0.4">
      <c r="A734" s="114"/>
      <c r="B734" s="110">
        <v>13</v>
      </c>
      <c r="C734" s="90"/>
    </row>
    <row r="735" spans="1:3" ht="15" thickBot="1" x14ac:dyDescent="0.4">
      <c r="A735" s="114"/>
      <c r="B735" s="110">
        <v>14</v>
      </c>
      <c r="C735" s="90"/>
    </row>
    <row r="736" spans="1:3" ht="15" thickBot="1" x14ac:dyDescent="0.4">
      <c r="A736" s="114"/>
      <c r="B736" s="110">
        <v>15</v>
      </c>
      <c r="C736" s="90"/>
    </row>
    <row r="737" spans="1:3" ht="15" thickBot="1" x14ac:dyDescent="0.4">
      <c r="A737" s="114"/>
      <c r="B737" s="110">
        <v>16</v>
      </c>
      <c r="C737" s="90"/>
    </row>
    <row r="738" spans="1:3" ht="15" thickBot="1" x14ac:dyDescent="0.4">
      <c r="A738" s="114"/>
      <c r="B738" s="110">
        <v>17</v>
      </c>
      <c r="C738" s="90"/>
    </row>
    <row r="739" spans="1:3" ht="15" thickBot="1" x14ac:dyDescent="0.4">
      <c r="A739" s="114"/>
      <c r="B739" s="110">
        <v>18</v>
      </c>
      <c r="C739" s="90"/>
    </row>
    <row r="740" spans="1:3" ht="15" thickBot="1" x14ac:dyDescent="0.4">
      <c r="A740" s="114"/>
      <c r="B740" s="110">
        <v>19</v>
      </c>
      <c r="C740" s="90"/>
    </row>
    <row r="741" spans="1:3" ht="15" thickBot="1" x14ac:dyDescent="0.4">
      <c r="A741" s="114"/>
      <c r="B741" s="110">
        <v>20</v>
      </c>
      <c r="C741" s="90"/>
    </row>
    <row r="742" spans="1:3" ht="15" thickBot="1" x14ac:dyDescent="0.4">
      <c r="A742" s="114"/>
      <c r="B742" s="110">
        <v>21</v>
      </c>
      <c r="C742" s="90"/>
    </row>
    <row r="743" spans="1:3" ht="15" thickBot="1" x14ac:dyDescent="0.4">
      <c r="A743" s="114"/>
      <c r="B743" s="110">
        <v>22</v>
      </c>
      <c r="C743" s="90"/>
    </row>
    <row r="744" spans="1:3" ht="15" thickBot="1" x14ac:dyDescent="0.4">
      <c r="A744" s="114"/>
      <c r="B744" s="110">
        <v>23</v>
      </c>
      <c r="C744" s="90"/>
    </row>
    <row r="745" spans="1:3" ht="15" thickBot="1" x14ac:dyDescent="0.4">
      <c r="A745" s="114"/>
      <c r="B745" s="110">
        <v>24</v>
      </c>
      <c r="C745" s="90"/>
    </row>
    <row r="746" spans="1:3" ht="15" thickBot="1" x14ac:dyDescent="0.4">
      <c r="A746" s="114"/>
      <c r="B746" s="110">
        <v>25</v>
      </c>
      <c r="C746" s="90"/>
    </row>
    <row r="747" spans="1:3" ht="15" thickBot="1" x14ac:dyDescent="0.4">
      <c r="A747" s="114"/>
      <c r="B747" s="110">
        <v>26</v>
      </c>
      <c r="C747" s="90"/>
    </row>
    <row r="748" spans="1:3" ht="15" thickBot="1" x14ac:dyDescent="0.4">
      <c r="A748" s="114"/>
      <c r="B748" s="110">
        <v>27</v>
      </c>
      <c r="C748" s="90"/>
    </row>
    <row r="749" spans="1:3" ht="15" thickBot="1" x14ac:dyDescent="0.4">
      <c r="A749" s="114"/>
      <c r="B749" s="110">
        <v>28</v>
      </c>
      <c r="C749" s="90"/>
    </row>
    <row r="750" spans="1:3" ht="15" thickBot="1" x14ac:dyDescent="0.4">
      <c r="A750" s="114"/>
      <c r="B750" s="110">
        <v>29</v>
      </c>
      <c r="C750" s="90"/>
    </row>
    <row r="751" spans="1:3" ht="15" thickBot="1" x14ac:dyDescent="0.4">
      <c r="A751" s="114"/>
      <c r="B751" s="110">
        <v>30</v>
      </c>
      <c r="C751" s="90"/>
    </row>
    <row r="752" spans="1:3" ht="15" thickBot="1" x14ac:dyDescent="0.4">
      <c r="A752" s="114"/>
      <c r="B752" s="110">
        <v>31</v>
      </c>
      <c r="C752" s="90"/>
    </row>
    <row r="753" spans="1:3" ht="15" thickBot="1" x14ac:dyDescent="0.4">
      <c r="A753" s="114"/>
      <c r="B753" s="110">
        <v>32</v>
      </c>
      <c r="C753" s="90"/>
    </row>
    <row r="754" spans="1:3" ht="15" thickBot="1" x14ac:dyDescent="0.4">
      <c r="A754" s="114"/>
      <c r="B754" s="110">
        <v>33</v>
      </c>
      <c r="C754" s="90"/>
    </row>
    <row r="755" spans="1:3" ht="15" thickBot="1" x14ac:dyDescent="0.4">
      <c r="A755" s="114"/>
      <c r="B755" s="110">
        <v>34</v>
      </c>
      <c r="C755" s="90"/>
    </row>
    <row r="756" spans="1:3" ht="15" thickBot="1" x14ac:dyDescent="0.4">
      <c r="A756" s="114"/>
      <c r="B756" s="110">
        <v>35</v>
      </c>
      <c r="C756" s="90"/>
    </row>
    <row r="757" spans="1:3" ht="15" thickBot="1" x14ac:dyDescent="0.4">
      <c r="A757" s="114"/>
      <c r="B757" s="110">
        <v>36</v>
      </c>
      <c r="C757" s="90"/>
    </row>
    <row r="758" spans="1:3" ht="15" thickBot="1" x14ac:dyDescent="0.4">
      <c r="A758" s="114"/>
      <c r="B758" s="110">
        <v>37</v>
      </c>
      <c r="C758" s="90"/>
    </row>
    <row r="759" spans="1:3" ht="15" thickBot="1" x14ac:dyDescent="0.4">
      <c r="A759" s="114"/>
      <c r="B759" s="110">
        <v>38</v>
      </c>
      <c r="C759" s="90"/>
    </row>
    <row r="760" spans="1:3" ht="15" thickBot="1" x14ac:dyDescent="0.4">
      <c r="A760" s="114"/>
      <c r="B760" s="110">
        <v>39</v>
      </c>
      <c r="C760" s="90"/>
    </row>
    <row r="761" spans="1:3" ht="15" thickBot="1" x14ac:dyDescent="0.4">
      <c r="A761" s="114"/>
      <c r="B761" s="110">
        <v>40</v>
      </c>
      <c r="C761" s="90"/>
    </row>
    <row r="762" spans="1:3" ht="15" thickBot="1" x14ac:dyDescent="0.4">
      <c r="A762" s="114"/>
      <c r="B762" s="110">
        <v>41</v>
      </c>
      <c r="C762" s="90"/>
    </row>
    <row r="763" spans="1:3" ht="15" thickBot="1" x14ac:dyDescent="0.4">
      <c r="A763" s="114"/>
      <c r="B763" s="110">
        <v>42</v>
      </c>
      <c r="C763" s="90"/>
    </row>
    <row r="764" spans="1:3" ht="15" thickBot="1" x14ac:dyDescent="0.4">
      <c r="A764" s="114"/>
      <c r="B764" s="110">
        <v>43</v>
      </c>
      <c r="C764" s="90"/>
    </row>
    <row r="765" spans="1:3" ht="15" thickBot="1" x14ac:dyDescent="0.4">
      <c r="A765" s="114"/>
      <c r="B765" s="110">
        <v>44</v>
      </c>
      <c r="C765" s="90"/>
    </row>
    <row r="766" spans="1:3" ht="15" thickBot="1" x14ac:dyDescent="0.4">
      <c r="A766" s="114"/>
      <c r="B766" s="110">
        <v>45</v>
      </c>
      <c r="C766" s="90"/>
    </row>
    <row r="767" spans="1:3" ht="15" thickBot="1" x14ac:dyDescent="0.4">
      <c r="A767" s="114"/>
      <c r="B767" s="110">
        <v>46</v>
      </c>
      <c r="C767" s="90"/>
    </row>
    <row r="768" spans="1:3" ht="15" thickBot="1" x14ac:dyDescent="0.4">
      <c r="A768" s="114"/>
      <c r="B768" s="110">
        <v>47</v>
      </c>
      <c r="C768" s="90"/>
    </row>
    <row r="769" spans="1:3" ht="15" thickBot="1" x14ac:dyDescent="0.4">
      <c r="A769" s="114"/>
      <c r="B769" s="110">
        <v>48</v>
      </c>
      <c r="C769" s="90"/>
    </row>
    <row r="770" spans="1:3" ht="15" thickBot="1" x14ac:dyDescent="0.4">
      <c r="A770" s="90"/>
      <c r="B770" s="90"/>
      <c r="C770" s="90"/>
    </row>
    <row r="771" spans="1:3" ht="15" thickBot="1" x14ac:dyDescent="0.4">
      <c r="A771" s="90"/>
      <c r="B771" s="90"/>
      <c r="C771" s="90"/>
    </row>
    <row r="772" spans="1:3" ht="15" thickBot="1" x14ac:dyDescent="0.4">
      <c r="A772" s="90"/>
      <c r="B772" s="90"/>
      <c r="C772" s="90"/>
    </row>
    <row r="773" spans="1:3" ht="15" thickBot="1" x14ac:dyDescent="0.4">
      <c r="A773" s="90"/>
      <c r="B773" s="90"/>
      <c r="C773" s="90"/>
    </row>
    <row r="774" spans="1:3" ht="15" thickBot="1" x14ac:dyDescent="0.4">
      <c r="A774" s="90"/>
      <c r="B774" s="90"/>
      <c r="C774" s="90"/>
    </row>
    <row r="775" spans="1:3" ht="15" thickBot="1" x14ac:dyDescent="0.4">
      <c r="A775" s="90"/>
      <c r="B775" s="90"/>
      <c r="C775" s="90"/>
    </row>
    <row r="776" spans="1:3" ht="15" thickBot="1" x14ac:dyDescent="0.4">
      <c r="A776" s="90"/>
      <c r="B776" s="90"/>
      <c r="C776" s="90"/>
    </row>
    <row r="777" spans="1:3" ht="15" thickBot="1" x14ac:dyDescent="0.4">
      <c r="A777" s="90"/>
      <c r="B777" s="90"/>
      <c r="C777" s="90"/>
    </row>
    <row r="778" spans="1:3" ht="15" thickBot="1" x14ac:dyDescent="0.4">
      <c r="A778" s="90"/>
      <c r="B778" s="90"/>
      <c r="C778" s="90"/>
    </row>
    <row r="779" spans="1:3" ht="15" thickBot="1" x14ac:dyDescent="0.4">
      <c r="A779" s="90"/>
      <c r="B779" s="90"/>
      <c r="C779" s="90"/>
    </row>
    <row r="780" spans="1:3" ht="15" thickBot="1" x14ac:dyDescent="0.4">
      <c r="A780" s="90"/>
      <c r="B780" s="90"/>
      <c r="C780" s="90"/>
    </row>
    <row r="781" spans="1:3" ht="15" thickBot="1" x14ac:dyDescent="0.4">
      <c r="A781" s="90"/>
      <c r="B781" s="90"/>
      <c r="C781" s="90"/>
    </row>
    <row r="782" spans="1:3" ht="15" thickBot="1" x14ac:dyDescent="0.4">
      <c r="A782" s="90"/>
      <c r="B782" s="90"/>
      <c r="C782" s="90"/>
    </row>
    <row r="783" spans="1:3" ht="15" thickBot="1" x14ac:dyDescent="0.4">
      <c r="A783" s="90"/>
      <c r="B783" s="90"/>
      <c r="C783" s="90"/>
    </row>
    <row r="784" spans="1:3" ht="15" thickBot="1" x14ac:dyDescent="0.4">
      <c r="A784" s="90"/>
      <c r="B784" s="90"/>
      <c r="C784" s="90"/>
    </row>
    <row r="785" spans="1:3" ht="15" thickBot="1" x14ac:dyDescent="0.4">
      <c r="A785" s="90"/>
      <c r="B785" s="90"/>
      <c r="C785" s="90"/>
    </row>
    <row r="786" spans="1:3" ht="15" thickBot="1" x14ac:dyDescent="0.4">
      <c r="A786" s="90"/>
      <c r="B786" s="90"/>
      <c r="C786" s="90"/>
    </row>
    <row r="787" spans="1:3" ht="15" thickBot="1" x14ac:dyDescent="0.4">
      <c r="A787" s="90"/>
      <c r="B787" s="90"/>
      <c r="C787" s="90"/>
    </row>
    <row r="788" spans="1:3" ht="15" thickBot="1" x14ac:dyDescent="0.4">
      <c r="A788" s="90"/>
      <c r="B788" s="90"/>
      <c r="C788" s="90"/>
    </row>
    <row r="789" spans="1:3" ht="15" thickBot="1" x14ac:dyDescent="0.4">
      <c r="A789" s="90"/>
      <c r="B789" s="90"/>
      <c r="C789" s="90"/>
    </row>
    <row r="790" spans="1:3" ht="15" thickBot="1" x14ac:dyDescent="0.4">
      <c r="A790" s="90"/>
      <c r="B790" s="90"/>
      <c r="C790" s="90"/>
    </row>
    <row r="791" spans="1:3" ht="15" thickBot="1" x14ac:dyDescent="0.4">
      <c r="A791" s="90"/>
      <c r="B791" s="90"/>
      <c r="C791" s="90"/>
    </row>
    <row r="792" spans="1:3" ht="15" thickBot="1" x14ac:dyDescent="0.4">
      <c r="A792" s="90"/>
      <c r="B792" s="90"/>
      <c r="C792" s="90"/>
    </row>
    <row r="793" spans="1:3" ht="15" thickBot="1" x14ac:dyDescent="0.4">
      <c r="A793" s="90"/>
      <c r="B793" s="90"/>
      <c r="C793" s="90"/>
    </row>
    <row r="794" spans="1:3" ht="15" thickBot="1" x14ac:dyDescent="0.4">
      <c r="A794" s="90"/>
      <c r="B794" s="90"/>
      <c r="C794" s="90"/>
    </row>
    <row r="795" spans="1:3" ht="15" thickBot="1" x14ac:dyDescent="0.4">
      <c r="A795" s="90"/>
      <c r="B795" s="90"/>
      <c r="C795" s="90"/>
    </row>
    <row r="796" spans="1:3" ht="15" thickBot="1" x14ac:dyDescent="0.4">
      <c r="A796" s="90"/>
      <c r="B796" s="90"/>
      <c r="C796" s="90"/>
    </row>
    <row r="797" spans="1:3" ht="15" thickBot="1" x14ac:dyDescent="0.4">
      <c r="A797" s="90"/>
      <c r="B797" s="90"/>
      <c r="C797" s="90"/>
    </row>
    <row r="798" spans="1:3" ht="15" thickBot="1" x14ac:dyDescent="0.4">
      <c r="A798" s="90"/>
      <c r="B798" s="90"/>
      <c r="C798" s="90"/>
    </row>
    <row r="799" spans="1:3" ht="15" thickBot="1" x14ac:dyDescent="0.4">
      <c r="A799" s="90"/>
      <c r="B799" s="90"/>
      <c r="C799" s="90"/>
    </row>
    <row r="800" spans="1:3" ht="15" thickBot="1" x14ac:dyDescent="0.4">
      <c r="A800" s="90"/>
      <c r="B800" s="90"/>
      <c r="C800" s="90"/>
    </row>
    <row r="801" spans="1:3" ht="15" thickBot="1" x14ac:dyDescent="0.4">
      <c r="A801" s="90"/>
      <c r="B801" s="90"/>
      <c r="C801" s="90"/>
    </row>
    <row r="802" spans="1:3" ht="15" thickBot="1" x14ac:dyDescent="0.4">
      <c r="A802" s="90"/>
      <c r="B802" s="90"/>
      <c r="C802" s="90"/>
    </row>
    <row r="803" spans="1:3" ht="15" thickBot="1" x14ac:dyDescent="0.4">
      <c r="A803" s="90"/>
      <c r="B803" s="90"/>
      <c r="C803" s="90"/>
    </row>
    <row r="804" spans="1:3" ht="15" thickBot="1" x14ac:dyDescent="0.4">
      <c r="A804" s="90"/>
      <c r="B804" s="90"/>
      <c r="C804" s="90"/>
    </row>
    <row r="805" spans="1:3" ht="15" thickBot="1" x14ac:dyDescent="0.4">
      <c r="A805" s="90"/>
      <c r="B805" s="90"/>
      <c r="C805" s="90"/>
    </row>
    <row r="806" spans="1:3" ht="15" thickBot="1" x14ac:dyDescent="0.4">
      <c r="A806" s="90"/>
      <c r="B806" s="90"/>
      <c r="C806" s="90"/>
    </row>
    <row r="807" spans="1:3" ht="15" thickBot="1" x14ac:dyDescent="0.4">
      <c r="A807" s="90"/>
      <c r="B807" s="90"/>
      <c r="C807" s="90"/>
    </row>
    <row r="808" spans="1:3" ht="15" thickBot="1" x14ac:dyDescent="0.4">
      <c r="A808" s="90"/>
      <c r="B808" s="90"/>
      <c r="C808" s="90"/>
    </row>
    <row r="809" spans="1:3" ht="15" thickBot="1" x14ac:dyDescent="0.4">
      <c r="A809" s="90"/>
      <c r="B809" s="90"/>
      <c r="C809" s="90"/>
    </row>
    <row r="810" spans="1:3" ht="15" thickBot="1" x14ac:dyDescent="0.4">
      <c r="A810" s="90"/>
      <c r="B810" s="90"/>
      <c r="C810" s="90"/>
    </row>
    <row r="811" spans="1:3" ht="15" thickBot="1" x14ac:dyDescent="0.4">
      <c r="A811" s="90"/>
      <c r="B811" s="90"/>
      <c r="C811" s="90"/>
    </row>
    <row r="812" spans="1:3" ht="15" thickBot="1" x14ac:dyDescent="0.4">
      <c r="A812" s="90"/>
      <c r="B812" s="90"/>
      <c r="C812" s="90"/>
    </row>
    <row r="813" spans="1:3" ht="15" thickBot="1" x14ac:dyDescent="0.4">
      <c r="A813" s="90"/>
      <c r="B813" s="90"/>
      <c r="C813" s="90"/>
    </row>
    <row r="814" spans="1:3" ht="15" thickBot="1" x14ac:dyDescent="0.4">
      <c r="A814" s="90"/>
      <c r="B814" s="90"/>
      <c r="C814" s="90"/>
    </row>
    <row r="815" spans="1:3" ht="15" thickBot="1" x14ac:dyDescent="0.4">
      <c r="A815" s="90"/>
      <c r="B815" s="90"/>
      <c r="C815" s="90"/>
    </row>
    <row r="816" spans="1:3" ht="15" thickBot="1" x14ac:dyDescent="0.4">
      <c r="A816" s="90"/>
      <c r="B816" s="90"/>
      <c r="C816" s="90"/>
    </row>
    <row r="817" spans="1:3" ht="15" thickBot="1" x14ac:dyDescent="0.4">
      <c r="A817" s="90"/>
      <c r="B817" s="90"/>
      <c r="C817" s="90"/>
    </row>
    <row r="818" spans="1:3" ht="15" thickBot="1" x14ac:dyDescent="0.4">
      <c r="A818" s="90"/>
      <c r="B818" s="90"/>
      <c r="C818" s="90"/>
    </row>
    <row r="819" spans="1:3" ht="15" thickBot="1" x14ac:dyDescent="0.4">
      <c r="A819" s="90"/>
      <c r="B819" s="90"/>
      <c r="C819" s="90"/>
    </row>
    <row r="820" spans="1:3" ht="15" thickBot="1" x14ac:dyDescent="0.4">
      <c r="A820" s="90"/>
      <c r="B820" s="90"/>
      <c r="C820" s="90"/>
    </row>
    <row r="821" spans="1:3" ht="15" thickBot="1" x14ac:dyDescent="0.4">
      <c r="A821" s="90"/>
      <c r="B821" s="90"/>
      <c r="C821" s="90"/>
    </row>
    <row r="822" spans="1:3" ht="15" thickBot="1" x14ac:dyDescent="0.4">
      <c r="A822" s="90"/>
      <c r="B822" s="90"/>
      <c r="C822" s="90"/>
    </row>
    <row r="823" spans="1:3" ht="15" thickBot="1" x14ac:dyDescent="0.4">
      <c r="A823" s="90"/>
      <c r="B823" s="90"/>
      <c r="C823" s="90"/>
    </row>
    <row r="824" spans="1:3" ht="15" thickBot="1" x14ac:dyDescent="0.4">
      <c r="A824" s="90"/>
      <c r="B824" s="90"/>
      <c r="C824" s="90"/>
    </row>
    <row r="825" spans="1:3" ht="15" thickBot="1" x14ac:dyDescent="0.4">
      <c r="A825" s="90"/>
      <c r="B825" s="90"/>
      <c r="C825" s="90"/>
    </row>
    <row r="826" spans="1:3" ht="15" thickBot="1" x14ac:dyDescent="0.4">
      <c r="A826" s="90"/>
      <c r="B826" s="90"/>
      <c r="C826" s="90"/>
    </row>
    <row r="827" spans="1:3" ht="15" thickBot="1" x14ac:dyDescent="0.4">
      <c r="A827" s="90"/>
      <c r="B827" s="90"/>
      <c r="C827" s="90"/>
    </row>
    <row r="828" spans="1:3" ht="15" thickBot="1" x14ac:dyDescent="0.4">
      <c r="A828" s="90"/>
      <c r="B828" s="90"/>
      <c r="C828" s="90"/>
    </row>
    <row r="829" spans="1:3" ht="15" thickBot="1" x14ac:dyDescent="0.4">
      <c r="A829" s="90"/>
      <c r="B829" s="90"/>
      <c r="C829" s="90"/>
    </row>
    <row r="830" spans="1:3" ht="15" thickBot="1" x14ac:dyDescent="0.4">
      <c r="A830" s="90"/>
      <c r="B830" s="90"/>
      <c r="C830" s="90"/>
    </row>
    <row r="831" spans="1:3" ht="15" thickBot="1" x14ac:dyDescent="0.4">
      <c r="A831" s="90"/>
      <c r="B831" s="90"/>
      <c r="C831" s="90"/>
    </row>
    <row r="832" spans="1:3" ht="15" thickBot="1" x14ac:dyDescent="0.4">
      <c r="A832" s="90"/>
      <c r="B832" s="90"/>
      <c r="C832" s="90"/>
    </row>
    <row r="833" spans="1:3" ht="15" thickBot="1" x14ac:dyDescent="0.4">
      <c r="A833" s="90"/>
      <c r="B833" s="90"/>
      <c r="C833" s="90"/>
    </row>
    <row r="834" spans="1:3" ht="15" thickBot="1" x14ac:dyDescent="0.4">
      <c r="A834" s="90"/>
      <c r="B834" s="90"/>
      <c r="C834" s="90"/>
    </row>
    <row r="835" spans="1:3" ht="15" thickBot="1" x14ac:dyDescent="0.4">
      <c r="A835" s="90"/>
      <c r="B835" s="90"/>
      <c r="C835" s="90"/>
    </row>
    <row r="836" spans="1:3" ht="15" thickBot="1" x14ac:dyDescent="0.4">
      <c r="A836" s="90"/>
      <c r="B836" s="90"/>
      <c r="C836" s="90"/>
    </row>
    <row r="837" spans="1:3" ht="15" thickBot="1" x14ac:dyDescent="0.4">
      <c r="A837" s="90"/>
      <c r="B837" s="90"/>
      <c r="C837" s="90"/>
    </row>
    <row r="838" spans="1:3" ht="15" thickBot="1" x14ac:dyDescent="0.4">
      <c r="A838" s="90"/>
      <c r="B838" s="90"/>
      <c r="C838" s="90"/>
    </row>
    <row r="839" spans="1:3" ht="15" thickBot="1" x14ac:dyDescent="0.4">
      <c r="A839" s="90"/>
      <c r="B839" s="90"/>
      <c r="C839" s="90"/>
    </row>
    <row r="840" spans="1:3" ht="15" thickBot="1" x14ac:dyDescent="0.4">
      <c r="A840" s="90"/>
      <c r="B840" s="90"/>
      <c r="C840" s="90"/>
    </row>
    <row r="841" spans="1:3" ht="15" thickBot="1" x14ac:dyDescent="0.4">
      <c r="A841" s="90"/>
      <c r="B841" s="90"/>
      <c r="C841" s="90"/>
    </row>
    <row r="842" spans="1:3" ht="15" thickBot="1" x14ac:dyDescent="0.4">
      <c r="A842" s="90"/>
      <c r="B842" s="90"/>
      <c r="C842" s="90"/>
    </row>
    <row r="843" spans="1:3" ht="15" thickBot="1" x14ac:dyDescent="0.4">
      <c r="A843" s="90"/>
      <c r="B843" s="90"/>
      <c r="C843" s="90"/>
    </row>
    <row r="844" spans="1:3" ht="15" thickBot="1" x14ac:dyDescent="0.4">
      <c r="A844" s="90"/>
      <c r="B844" s="90"/>
      <c r="C844" s="90"/>
    </row>
    <row r="845" spans="1:3" ht="15" thickBot="1" x14ac:dyDescent="0.4">
      <c r="A845" s="90"/>
      <c r="B845" s="90"/>
      <c r="C845" s="90"/>
    </row>
    <row r="846" spans="1:3" ht="15" thickBot="1" x14ac:dyDescent="0.4">
      <c r="A846" s="90"/>
      <c r="B846" s="90"/>
      <c r="C846" s="90"/>
    </row>
    <row r="847" spans="1:3" ht="15" thickBot="1" x14ac:dyDescent="0.4">
      <c r="A847" s="90"/>
      <c r="B847" s="90"/>
      <c r="C847" s="90"/>
    </row>
    <row r="848" spans="1:3" ht="15" thickBot="1" x14ac:dyDescent="0.4">
      <c r="A848" s="90"/>
      <c r="B848" s="90"/>
      <c r="C848" s="90"/>
    </row>
    <row r="849" spans="1:3" ht="15" thickBot="1" x14ac:dyDescent="0.4">
      <c r="A849" s="90"/>
      <c r="B849" s="90"/>
      <c r="C849" s="90"/>
    </row>
    <row r="850" spans="1:3" ht="15" thickBot="1" x14ac:dyDescent="0.4">
      <c r="A850" s="90"/>
      <c r="B850" s="90"/>
      <c r="C850" s="90"/>
    </row>
    <row r="851" spans="1:3" ht="15" thickBot="1" x14ac:dyDescent="0.4">
      <c r="A851" s="90"/>
      <c r="B851" s="90"/>
      <c r="C851" s="90"/>
    </row>
    <row r="852" spans="1:3" ht="15" thickBot="1" x14ac:dyDescent="0.4">
      <c r="A852" s="90"/>
      <c r="B852" s="90"/>
      <c r="C852" s="90"/>
    </row>
    <row r="853" spans="1:3" ht="15" thickBot="1" x14ac:dyDescent="0.4">
      <c r="A853" s="90"/>
      <c r="B853" s="90"/>
      <c r="C853" s="90"/>
    </row>
    <row r="854" spans="1:3" ht="15" thickBot="1" x14ac:dyDescent="0.4">
      <c r="A854" s="90"/>
      <c r="B854" s="90"/>
      <c r="C854" s="90"/>
    </row>
    <row r="855" spans="1:3" ht="15" thickBot="1" x14ac:dyDescent="0.4">
      <c r="A855" s="90"/>
      <c r="B855" s="90"/>
      <c r="C855" s="90"/>
    </row>
    <row r="856" spans="1:3" ht="15" thickBot="1" x14ac:dyDescent="0.4">
      <c r="A856" s="90"/>
      <c r="B856" s="90"/>
      <c r="C856" s="90"/>
    </row>
    <row r="857" spans="1:3" ht="15" thickBot="1" x14ac:dyDescent="0.4">
      <c r="A857" s="90"/>
      <c r="B857" s="90"/>
      <c r="C857" s="90"/>
    </row>
    <row r="858" spans="1:3" ht="15" thickBot="1" x14ac:dyDescent="0.4">
      <c r="A858" s="90"/>
      <c r="B858" s="90"/>
      <c r="C858" s="90"/>
    </row>
    <row r="859" spans="1:3" ht="15" thickBot="1" x14ac:dyDescent="0.4">
      <c r="A859" s="90"/>
      <c r="B859" s="90"/>
      <c r="C859" s="90"/>
    </row>
    <row r="860" spans="1:3" ht="15" thickBot="1" x14ac:dyDescent="0.4">
      <c r="A860" s="90"/>
      <c r="B860" s="90"/>
      <c r="C860" s="90"/>
    </row>
    <row r="861" spans="1:3" ht="15" thickBot="1" x14ac:dyDescent="0.4">
      <c r="A861" s="90"/>
      <c r="B861" s="90"/>
      <c r="C861" s="90"/>
    </row>
    <row r="862" spans="1:3" ht="15" thickBot="1" x14ac:dyDescent="0.4">
      <c r="A862" s="90"/>
      <c r="B862" s="90"/>
      <c r="C862" s="90"/>
    </row>
    <row r="863" spans="1:3" ht="15" thickBot="1" x14ac:dyDescent="0.4">
      <c r="A863" s="90"/>
      <c r="B863" s="90"/>
      <c r="C863" s="90"/>
    </row>
    <row r="864" spans="1:3" ht="15" thickBot="1" x14ac:dyDescent="0.4">
      <c r="A864" s="90"/>
      <c r="B864" s="90"/>
      <c r="C864" s="90"/>
    </row>
    <row r="865" spans="1:3" ht="15" thickBot="1" x14ac:dyDescent="0.4">
      <c r="A865" s="90"/>
      <c r="B865" s="90"/>
      <c r="C865" s="90"/>
    </row>
    <row r="866" spans="1:3" ht="15" thickBot="1" x14ac:dyDescent="0.4">
      <c r="A866" s="90"/>
      <c r="B866" s="90"/>
      <c r="C866" s="90"/>
    </row>
    <row r="867" spans="1:3" ht="15" thickBot="1" x14ac:dyDescent="0.4">
      <c r="A867" s="90"/>
      <c r="B867" s="90"/>
      <c r="C867" s="90"/>
    </row>
    <row r="868" spans="1:3" ht="15" thickBot="1" x14ac:dyDescent="0.4">
      <c r="A868" s="90"/>
      <c r="B868" s="90"/>
      <c r="C868" s="90"/>
    </row>
    <row r="869" spans="1:3" ht="15" thickBot="1" x14ac:dyDescent="0.4">
      <c r="A869" s="90"/>
      <c r="B869" s="90"/>
      <c r="C869" s="90"/>
    </row>
    <row r="870" spans="1:3" ht="15" thickBot="1" x14ac:dyDescent="0.4">
      <c r="A870" s="90"/>
      <c r="B870" s="90"/>
      <c r="C870" s="90"/>
    </row>
    <row r="871" spans="1:3" ht="15" thickBot="1" x14ac:dyDescent="0.4">
      <c r="A871" s="90"/>
      <c r="B871" s="90"/>
      <c r="C871" s="90"/>
    </row>
    <row r="872" spans="1:3" ht="15" thickBot="1" x14ac:dyDescent="0.4">
      <c r="A872" s="90"/>
      <c r="B872" s="90"/>
      <c r="C872" s="90"/>
    </row>
    <row r="873" spans="1:3" ht="15" thickBot="1" x14ac:dyDescent="0.4">
      <c r="A873" s="90"/>
      <c r="B873" s="90"/>
      <c r="C873" s="90"/>
    </row>
    <row r="874" spans="1:3" ht="15" thickBot="1" x14ac:dyDescent="0.4">
      <c r="A874" s="90"/>
      <c r="B874" s="90"/>
      <c r="C874" s="90"/>
    </row>
    <row r="875" spans="1:3" ht="15" thickBot="1" x14ac:dyDescent="0.4">
      <c r="A875" s="90"/>
      <c r="B875" s="90"/>
      <c r="C875" s="90"/>
    </row>
    <row r="876" spans="1:3" ht="15" thickBot="1" x14ac:dyDescent="0.4">
      <c r="A876" s="90"/>
      <c r="B876" s="90"/>
      <c r="C876" s="90"/>
    </row>
    <row r="877" spans="1:3" ht="15" thickBot="1" x14ac:dyDescent="0.4">
      <c r="A877" s="90"/>
      <c r="B877" s="90"/>
      <c r="C877" s="90"/>
    </row>
    <row r="878" spans="1:3" ht="15" thickBot="1" x14ac:dyDescent="0.4">
      <c r="A878" s="90"/>
      <c r="B878" s="90"/>
      <c r="C878" s="90"/>
    </row>
    <row r="879" spans="1:3" ht="15" thickBot="1" x14ac:dyDescent="0.4">
      <c r="A879" s="90"/>
      <c r="B879" s="90"/>
      <c r="C879" s="90"/>
    </row>
    <row r="880" spans="1:3" ht="15" thickBot="1" x14ac:dyDescent="0.4">
      <c r="A880" s="90"/>
      <c r="B880" s="90"/>
      <c r="C880" s="90"/>
    </row>
    <row r="881" spans="1:3" ht="15" thickBot="1" x14ac:dyDescent="0.4">
      <c r="A881" s="90"/>
      <c r="B881" s="90"/>
      <c r="C881" s="90"/>
    </row>
    <row r="882" spans="1:3" ht="15" thickBot="1" x14ac:dyDescent="0.4">
      <c r="A882" s="90"/>
      <c r="B882" s="90"/>
      <c r="C882" s="90"/>
    </row>
    <row r="883" spans="1:3" ht="15" thickBot="1" x14ac:dyDescent="0.4">
      <c r="A883" s="90"/>
      <c r="B883" s="90"/>
      <c r="C883" s="90"/>
    </row>
    <row r="884" spans="1:3" ht="15" thickBot="1" x14ac:dyDescent="0.4">
      <c r="A884" s="90"/>
      <c r="B884" s="90"/>
      <c r="C884" s="90"/>
    </row>
    <row r="885" spans="1:3" ht="15" thickBot="1" x14ac:dyDescent="0.4">
      <c r="A885" s="90"/>
      <c r="B885" s="90"/>
      <c r="C885" s="90"/>
    </row>
    <row r="886" spans="1:3" ht="15" thickBot="1" x14ac:dyDescent="0.4">
      <c r="A886" s="90"/>
      <c r="B886" s="90"/>
      <c r="C886" s="90"/>
    </row>
    <row r="887" spans="1:3" ht="15" thickBot="1" x14ac:dyDescent="0.4">
      <c r="A887" s="90"/>
      <c r="B887" s="90"/>
      <c r="C887" s="90"/>
    </row>
    <row r="888" spans="1:3" ht="15" thickBot="1" x14ac:dyDescent="0.4">
      <c r="A888" s="90"/>
      <c r="B888" s="90"/>
      <c r="C888" s="90"/>
    </row>
    <row r="889" spans="1:3" ht="15" thickBot="1" x14ac:dyDescent="0.4">
      <c r="A889" s="90"/>
      <c r="B889" s="90"/>
      <c r="C889" s="90"/>
    </row>
    <row r="890" spans="1:3" ht="15" thickBot="1" x14ac:dyDescent="0.4">
      <c r="A890" s="90"/>
      <c r="B890" s="90"/>
      <c r="C890" s="90"/>
    </row>
    <row r="891" spans="1:3" ht="15" thickBot="1" x14ac:dyDescent="0.4">
      <c r="A891" s="90"/>
      <c r="B891" s="90"/>
      <c r="C891" s="90"/>
    </row>
    <row r="892" spans="1:3" ht="15" thickBot="1" x14ac:dyDescent="0.4">
      <c r="A892" s="90"/>
      <c r="B892" s="90"/>
      <c r="C892" s="90"/>
    </row>
    <row r="893" spans="1:3" ht="15" thickBot="1" x14ac:dyDescent="0.4">
      <c r="A893" s="90"/>
      <c r="B893" s="90"/>
      <c r="C893" s="90"/>
    </row>
    <row r="894" spans="1:3" ht="15" thickBot="1" x14ac:dyDescent="0.4">
      <c r="A894" s="90"/>
      <c r="B894" s="90"/>
      <c r="C894" s="90"/>
    </row>
    <row r="895" spans="1:3" ht="15" thickBot="1" x14ac:dyDescent="0.4">
      <c r="A895" s="90"/>
      <c r="B895" s="90"/>
      <c r="C895" s="90"/>
    </row>
    <row r="896" spans="1:3" ht="15" thickBot="1" x14ac:dyDescent="0.4">
      <c r="A896" s="90"/>
      <c r="B896" s="90"/>
      <c r="C896" s="90"/>
    </row>
    <row r="897" spans="1:3" ht="15" thickBot="1" x14ac:dyDescent="0.4">
      <c r="A897" s="90"/>
      <c r="B897" s="90"/>
      <c r="C897" s="90"/>
    </row>
    <row r="898" spans="1:3" ht="15" thickBot="1" x14ac:dyDescent="0.4">
      <c r="A898" s="90"/>
      <c r="B898" s="90"/>
      <c r="C898" s="90"/>
    </row>
    <row r="899" spans="1:3" ht="15" thickBot="1" x14ac:dyDescent="0.4">
      <c r="A899" s="90"/>
      <c r="B899" s="90"/>
      <c r="C899" s="90"/>
    </row>
    <row r="900" spans="1:3" ht="15" thickBot="1" x14ac:dyDescent="0.4">
      <c r="A900" s="90"/>
      <c r="B900" s="90"/>
      <c r="C900" s="90"/>
    </row>
    <row r="901" spans="1:3" ht="15" thickBot="1" x14ac:dyDescent="0.4">
      <c r="A901" s="90"/>
      <c r="B901" s="90"/>
      <c r="C901" s="90"/>
    </row>
    <row r="902" spans="1:3" ht="15" thickBot="1" x14ac:dyDescent="0.4">
      <c r="A902" s="90"/>
      <c r="B902" s="90"/>
      <c r="C902" s="90"/>
    </row>
    <row r="903" spans="1:3" ht="15" thickBot="1" x14ac:dyDescent="0.4">
      <c r="A903" s="90"/>
      <c r="B903" s="90"/>
      <c r="C903" s="90"/>
    </row>
    <row r="904" spans="1:3" ht="15" thickBot="1" x14ac:dyDescent="0.4">
      <c r="A904" s="90"/>
      <c r="B904" s="90"/>
      <c r="C904" s="90"/>
    </row>
    <row r="905" spans="1:3" ht="15" thickBot="1" x14ac:dyDescent="0.4">
      <c r="A905" s="90"/>
      <c r="B905" s="90"/>
      <c r="C905" s="90"/>
    </row>
    <row r="906" spans="1:3" ht="15" thickBot="1" x14ac:dyDescent="0.4">
      <c r="A906" s="90"/>
      <c r="B906" s="90"/>
      <c r="C906" s="90"/>
    </row>
    <row r="907" spans="1:3" ht="15" thickBot="1" x14ac:dyDescent="0.4">
      <c r="A907" s="90"/>
      <c r="B907" s="90"/>
      <c r="C907" s="90"/>
    </row>
    <row r="908" spans="1:3" ht="15" thickBot="1" x14ac:dyDescent="0.4">
      <c r="A908" s="90"/>
      <c r="B908" s="90"/>
      <c r="C908" s="90"/>
    </row>
    <row r="909" spans="1:3" ht="15" thickBot="1" x14ac:dyDescent="0.4">
      <c r="A909" s="90"/>
      <c r="B909" s="90"/>
      <c r="C909" s="90"/>
    </row>
    <row r="910" spans="1:3" ht="15" thickBot="1" x14ac:dyDescent="0.4">
      <c r="A910" s="90"/>
      <c r="B910" s="90"/>
      <c r="C910" s="90"/>
    </row>
    <row r="911" spans="1:3" ht="15" thickBot="1" x14ac:dyDescent="0.4">
      <c r="A911" s="90"/>
      <c r="B911" s="90"/>
      <c r="C911" s="90"/>
    </row>
    <row r="912" spans="1:3" ht="15" thickBot="1" x14ac:dyDescent="0.4">
      <c r="A912" s="90"/>
      <c r="B912" s="90"/>
      <c r="C912" s="90"/>
    </row>
    <row r="913" spans="1:3" ht="15" thickBot="1" x14ac:dyDescent="0.4">
      <c r="A913" s="90"/>
      <c r="B913" s="90"/>
      <c r="C913" s="90"/>
    </row>
    <row r="914" spans="1:3" ht="15" thickBot="1" x14ac:dyDescent="0.4">
      <c r="A914" s="90"/>
      <c r="B914" s="90"/>
      <c r="C914" s="90"/>
    </row>
    <row r="915" spans="1:3" ht="15" thickBot="1" x14ac:dyDescent="0.4">
      <c r="A915" s="90"/>
      <c r="B915" s="90"/>
      <c r="C915" s="90"/>
    </row>
    <row r="916" spans="1:3" ht="15" thickBot="1" x14ac:dyDescent="0.4">
      <c r="A916" s="90"/>
      <c r="B916" s="90"/>
      <c r="C916" s="90"/>
    </row>
    <row r="917" spans="1:3" ht="15" thickBot="1" x14ac:dyDescent="0.4">
      <c r="A917" s="90"/>
      <c r="B917" s="90"/>
      <c r="C917" s="90"/>
    </row>
    <row r="918" spans="1:3" ht="15" thickBot="1" x14ac:dyDescent="0.4">
      <c r="A918" s="90"/>
      <c r="B918" s="90"/>
      <c r="C918" s="90"/>
    </row>
    <row r="919" spans="1:3" ht="15" thickBot="1" x14ac:dyDescent="0.4">
      <c r="A919" s="90"/>
      <c r="B919" s="90"/>
      <c r="C919" s="90"/>
    </row>
    <row r="920" spans="1:3" ht="15" thickBot="1" x14ac:dyDescent="0.4">
      <c r="A920" s="90"/>
      <c r="B920" s="90"/>
      <c r="C920" s="90"/>
    </row>
    <row r="921" spans="1:3" ht="15" thickBot="1" x14ac:dyDescent="0.4">
      <c r="A921" s="90"/>
      <c r="B921" s="90"/>
      <c r="C921" s="90"/>
    </row>
    <row r="922" spans="1:3" ht="15" thickBot="1" x14ac:dyDescent="0.4">
      <c r="A922" s="90"/>
      <c r="B922" s="90"/>
      <c r="C922" s="90"/>
    </row>
    <row r="923" spans="1:3" ht="15" thickBot="1" x14ac:dyDescent="0.4">
      <c r="A923" s="90"/>
      <c r="B923" s="90"/>
      <c r="C923" s="90"/>
    </row>
    <row r="924" spans="1:3" ht="15" thickBot="1" x14ac:dyDescent="0.4">
      <c r="A924" s="90"/>
      <c r="B924" s="90"/>
      <c r="C924" s="90"/>
    </row>
    <row r="925" spans="1:3" ht="15" thickBot="1" x14ac:dyDescent="0.4">
      <c r="A925" s="90"/>
      <c r="B925" s="90"/>
      <c r="C925" s="90"/>
    </row>
    <row r="926" spans="1:3" ht="15" thickBot="1" x14ac:dyDescent="0.4">
      <c r="A926" s="90"/>
      <c r="B926" s="90"/>
      <c r="C926" s="90"/>
    </row>
    <row r="927" spans="1:3" ht="15" thickBot="1" x14ac:dyDescent="0.4">
      <c r="A927" s="90"/>
      <c r="B927" s="90"/>
      <c r="C927" s="90"/>
    </row>
    <row r="928" spans="1:3" ht="15" thickBot="1" x14ac:dyDescent="0.4">
      <c r="A928" s="90"/>
      <c r="B928" s="90"/>
      <c r="C928" s="90"/>
    </row>
    <row r="929" spans="1:3" ht="15" thickBot="1" x14ac:dyDescent="0.4">
      <c r="A929" s="90"/>
      <c r="B929" s="90"/>
      <c r="C929" s="90"/>
    </row>
    <row r="930" spans="1:3" ht="15" thickBot="1" x14ac:dyDescent="0.4">
      <c r="A930" s="90"/>
      <c r="B930" s="90"/>
      <c r="C930" s="90"/>
    </row>
    <row r="931" spans="1:3" ht="15" thickBot="1" x14ac:dyDescent="0.4">
      <c r="A931" s="90"/>
      <c r="B931" s="90"/>
      <c r="C931" s="90"/>
    </row>
    <row r="932" spans="1:3" ht="15" thickBot="1" x14ac:dyDescent="0.4">
      <c r="A932" s="90"/>
      <c r="B932" s="90"/>
      <c r="C932" s="90"/>
    </row>
    <row r="933" spans="1:3" ht="15" thickBot="1" x14ac:dyDescent="0.4">
      <c r="A933" s="90"/>
      <c r="B933" s="90"/>
      <c r="C933" s="90"/>
    </row>
    <row r="934" spans="1:3" ht="15" thickBot="1" x14ac:dyDescent="0.4">
      <c r="A934" s="90"/>
      <c r="B934" s="90"/>
      <c r="C934" s="90"/>
    </row>
    <row r="935" spans="1:3" ht="15" thickBot="1" x14ac:dyDescent="0.4">
      <c r="A935" s="90"/>
      <c r="B935" s="90"/>
      <c r="C935" s="90"/>
    </row>
    <row r="936" spans="1:3" ht="15" thickBot="1" x14ac:dyDescent="0.4">
      <c r="A936" s="90"/>
      <c r="B936" s="90"/>
      <c r="C936" s="90"/>
    </row>
    <row r="937" spans="1:3" ht="15" thickBot="1" x14ac:dyDescent="0.4">
      <c r="A937" s="90"/>
      <c r="B937" s="90"/>
      <c r="C937" s="90"/>
    </row>
    <row r="938" spans="1:3" ht="15" thickBot="1" x14ac:dyDescent="0.4">
      <c r="A938" s="90"/>
      <c r="B938" s="90"/>
      <c r="C938" s="90"/>
    </row>
    <row r="939" spans="1:3" ht="15" thickBot="1" x14ac:dyDescent="0.4">
      <c r="A939" s="90"/>
      <c r="B939" s="90"/>
      <c r="C939" s="90"/>
    </row>
    <row r="940" spans="1:3" ht="15" thickBot="1" x14ac:dyDescent="0.4">
      <c r="A940" s="90"/>
      <c r="B940" s="90"/>
      <c r="C940" s="90"/>
    </row>
    <row r="941" spans="1:3" ht="15" thickBot="1" x14ac:dyDescent="0.4">
      <c r="A941" s="90"/>
      <c r="B941" s="90"/>
      <c r="C941" s="90"/>
    </row>
    <row r="942" spans="1:3" ht="15" thickBot="1" x14ac:dyDescent="0.4">
      <c r="A942" s="90"/>
      <c r="B942" s="90"/>
      <c r="C942" s="90"/>
    </row>
    <row r="943" spans="1:3" ht="15" thickBot="1" x14ac:dyDescent="0.4">
      <c r="A943" s="90"/>
      <c r="B943" s="90"/>
      <c r="C943" s="90"/>
    </row>
    <row r="944" spans="1:3" ht="15" thickBot="1" x14ac:dyDescent="0.4">
      <c r="A944" s="90"/>
      <c r="B944" s="90"/>
      <c r="C944" s="90"/>
    </row>
    <row r="945" spans="1:3" ht="15" thickBot="1" x14ac:dyDescent="0.4">
      <c r="A945" s="90"/>
      <c r="B945" s="90"/>
      <c r="C945" s="90"/>
    </row>
    <row r="946" spans="1:3" ht="15" thickBot="1" x14ac:dyDescent="0.4">
      <c r="A946" s="90"/>
      <c r="B946" s="90"/>
      <c r="C946" s="90"/>
    </row>
    <row r="947" spans="1:3" ht="15" thickBot="1" x14ac:dyDescent="0.4">
      <c r="A947" s="90"/>
      <c r="B947" s="90"/>
      <c r="C947" s="90"/>
    </row>
    <row r="948" spans="1:3" ht="15" thickBot="1" x14ac:dyDescent="0.4">
      <c r="A948" s="90"/>
      <c r="B948" s="90"/>
      <c r="C948" s="90"/>
    </row>
    <row r="949" spans="1:3" ht="15" thickBot="1" x14ac:dyDescent="0.4">
      <c r="A949" s="90"/>
      <c r="B949" s="90"/>
      <c r="C949" s="90"/>
    </row>
    <row r="950" spans="1:3" ht="15" thickBot="1" x14ac:dyDescent="0.4">
      <c r="A950" s="90"/>
      <c r="B950" s="90"/>
      <c r="C950" s="90"/>
    </row>
    <row r="951" spans="1:3" ht="15" thickBot="1" x14ac:dyDescent="0.4">
      <c r="A951" s="90"/>
      <c r="B951" s="90"/>
      <c r="C951" s="90"/>
    </row>
    <row r="952" spans="1:3" ht="15" thickBot="1" x14ac:dyDescent="0.4">
      <c r="A952" s="90"/>
      <c r="B952" s="90"/>
      <c r="C952" s="90"/>
    </row>
    <row r="953" spans="1:3" ht="15" thickBot="1" x14ac:dyDescent="0.4">
      <c r="A953" s="90"/>
      <c r="B953" s="90"/>
      <c r="C953" s="90"/>
    </row>
    <row r="954" spans="1:3" ht="15" thickBot="1" x14ac:dyDescent="0.4">
      <c r="A954" s="90"/>
      <c r="B954" s="90"/>
      <c r="C954" s="90"/>
    </row>
    <row r="955" spans="1:3" ht="15" thickBot="1" x14ac:dyDescent="0.4">
      <c r="A955" s="90"/>
      <c r="B955" s="90"/>
      <c r="C955" s="90"/>
    </row>
    <row r="956" spans="1:3" ht="15" thickBot="1" x14ac:dyDescent="0.4">
      <c r="A956" s="90"/>
      <c r="B956" s="90"/>
      <c r="C956" s="90"/>
    </row>
    <row r="957" spans="1:3" ht="15" thickBot="1" x14ac:dyDescent="0.4">
      <c r="A957" s="90"/>
      <c r="B957" s="90"/>
      <c r="C957" s="90"/>
    </row>
    <row r="958" spans="1:3" ht="15" thickBot="1" x14ac:dyDescent="0.4">
      <c r="A958" s="90"/>
      <c r="B958" s="90"/>
      <c r="C958" s="90"/>
    </row>
    <row r="959" spans="1:3" ht="15" thickBot="1" x14ac:dyDescent="0.4">
      <c r="A959" s="90"/>
      <c r="B959" s="90"/>
      <c r="C959" s="90"/>
    </row>
    <row r="960" spans="1:3" ht="15" thickBot="1" x14ac:dyDescent="0.4">
      <c r="A960" s="90"/>
      <c r="B960" s="90"/>
      <c r="C960" s="90"/>
    </row>
    <row r="961" spans="1:3" ht="15" thickBot="1" x14ac:dyDescent="0.4">
      <c r="A961" s="90"/>
      <c r="B961" s="90"/>
      <c r="C961" s="90"/>
    </row>
    <row r="962" spans="1:3" ht="15" thickBot="1" x14ac:dyDescent="0.4">
      <c r="A962" s="90"/>
      <c r="B962" s="90"/>
      <c r="C962" s="90"/>
    </row>
    <row r="963" spans="1:3" ht="15" thickBot="1" x14ac:dyDescent="0.4">
      <c r="A963" s="90"/>
      <c r="B963" s="90"/>
      <c r="C963" s="90"/>
    </row>
    <row r="964" spans="1:3" ht="15" thickBot="1" x14ac:dyDescent="0.4">
      <c r="A964" s="90"/>
      <c r="B964" s="90"/>
      <c r="C964" s="90"/>
    </row>
    <row r="965" spans="1:3" ht="15" thickBot="1" x14ac:dyDescent="0.4">
      <c r="A965" s="90"/>
      <c r="B965" s="90"/>
      <c r="C965" s="90"/>
    </row>
    <row r="966" spans="1:3" ht="15" thickBot="1" x14ac:dyDescent="0.4">
      <c r="A966" s="90"/>
      <c r="B966" s="90"/>
      <c r="C966" s="90"/>
    </row>
    <row r="967" spans="1:3" ht="15" thickBot="1" x14ac:dyDescent="0.4">
      <c r="A967" s="90"/>
      <c r="B967" s="90"/>
      <c r="C967" s="90"/>
    </row>
    <row r="968" spans="1:3" ht="15" thickBot="1" x14ac:dyDescent="0.4">
      <c r="A968" s="90"/>
      <c r="B968" s="90"/>
      <c r="C968" s="90"/>
    </row>
    <row r="969" spans="1:3" ht="15" thickBot="1" x14ac:dyDescent="0.4">
      <c r="A969" s="90"/>
      <c r="B969" s="90"/>
      <c r="C969" s="90"/>
    </row>
    <row r="970" spans="1:3" ht="15" thickBot="1" x14ac:dyDescent="0.4">
      <c r="A970" s="90"/>
      <c r="B970" s="90"/>
      <c r="C970" s="90"/>
    </row>
    <row r="971" spans="1:3" ht="15" thickBot="1" x14ac:dyDescent="0.4">
      <c r="A971" s="90"/>
      <c r="B971" s="90"/>
      <c r="C971" s="90"/>
    </row>
    <row r="972" spans="1:3" ht="15" thickBot="1" x14ac:dyDescent="0.4">
      <c r="A972" s="90"/>
      <c r="B972" s="90"/>
      <c r="C972" s="90"/>
    </row>
    <row r="973" spans="1:3" ht="15" thickBot="1" x14ac:dyDescent="0.4">
      <c r="A973" s="90"/>
      <c r="B973" s="90"/>
      <c r="C973" s="90"/>
    </row>
    <row r="974" spans="1:3" ht="15" thickBot="1" x14ac:dyDescent="0.4">
      <c r="A974" s="90"/>
      <c r="B974" s="90"/>
      <c r="C974" s="90"/>
    </row>
    <row r="975" spans="1:3" ht="15" thickBot="1" x14ac:dyDescent="0.4">
      <c r="A975" s="90"/>
      <c r="B975" s="90"/>
      <c r="C975" s="90"/>
    </row>
    <row r="976" spans="1:3" ht="15" thickBot="1" x14ac:dyDescent="0.4">
      <c r="A976" s="90"/>
      <c r="B976" s="90"/>
      <c r="C976" s="90"/>
    </row>
    <row r="977" spans="1:3" ht="15" thickBot="1" x14ac:dyDescent="0.4">
      <c r="A977" s="90"/>
      <c r="B977" s="90"/>
      <c r="C977" s="90"/>
    </row>
    <row r="978" spans="1:3" ht="15" thickBot="1" x14ac:dyDescent="0.4">
      <c r="A978" s="90"/>
      <c r="B978" s="90"/>
      <c r="C978" s="90"/>
    </row>
    <row r="979" spans="1:3" ht="15" thickBot="1" x14ac:dyDescent="0.4">
      <c r="A979" s="90"/>
      <c r="B979" s="90"/>
      <c r="C979" s="90"/>
    </row>
    <row r="980" spans="1:3" ht="15" thickBot="1" x14ac:dyDescent="0.4">
      <c r="A980" s="90"/>
      <c r="B980" s="90"/>
      <c r="C980" s="90"/>
    </row>
    <row r="981" spans="1:3" ht="15" thickBot="1" x14ac:dyDescent="0.4">
      <c r="A981" s="90"/>
      <c r="B981" s="90"/>
      <c r="C981" s="90"/>
    </row>
    <row r="982" spans="1:3" ht="15" thickBot="1" x14ac:dyDescent="0.4">
      <c r="A982" s="90"/>
      <c r="B982" s="90"/>
      <c r="C982" s="90"/>
    </row>
    <row r="983" spans="1:3" ht="15" thickBot="1" x14ac:dyDescent="0.4">
      <c r="A983" s="90"/>
      <c r="B983" s="90"/>
      <c r="C983" s="90"/>
    </row>
    <row r="984" spans="1:3" ht="15" thickBot="1" x14ac:dyDescent="0.4">
      <c r="A984" s="90"/>
      <c r="B984" s="90"/>
      <c r="C984" s="90"/>
    </row>
    <row r="985" spans="1:3" ht="15" thickBot="1" x14ac:dyDescent="0.4">
      <c r="A985" s="90"/>
      <c r="B985" s="90"/>
      <c r="C985" s="90"/>
    </row>
    <row r="986" spans="1:3" ht="15" thickBot="1" x14ac:dyDescent="0.4">
      <c r="A986" s="90"/>
      <c r="B986" s="90"/>
      <c r="C986" s="90"/>
    </row>
    <row r="987" spans="1:3" ht="15" thickBot="1" x14ac:dyDescent="0.4">
      <c r="A987" s="90"/>
      <c r="B987" s="90"/>
      <c r="C987" s="90"/>
    </row>
    <row r="988" spans="1:3" ht="15" thickBot="1" x14ac:dyDescent="0.4">
      <c r="A988" s="90"/>
      <c r="B988" s="90"/>
      <c r="C988" s="90"/>
    </row>
    <row r="989" spans="1:3" ht="15" thickBot="1" x14ac:dyDescent="0.4">
      <c r="A989" s="90"/>
      <c r="B989" s="90"/>
      <c r="C989" s="90"/>
    </row>
    <row r="990" spans="1:3" ht="15" thickBot="1" x14ac:dyDescent="0.4">
      <c r="A990" s="90"/>
      <c r="B990" s="90"/>
      <c r="C990" s="90"/>
    </row>
    <row r="991" spans="1:3" ht="15" thickBot="1" x14ac:dyDescent="0.4">
      <c r="A991" s="90"/>
      <c r="B991" s="90"/>
      <c r="C991" s="90"/>
    </row>
    <row r="992" spans="1:3" ht="15" thickBot="1" x14ac:dyDescent="0.4">
      <c r="A992" s="90"/>
      <c r="B992" s="90"/>
      <c r="C992" s="90"/>
    </row>
    <row r="993" spans="1:3" ht="15" thickBot="1" x14ac:dyDescent="0.4">
      <c r="A993" s="90"/>
      <c r="B993" s="90"/>
      <c r="C993" s="90"/>
    </row>
    <row r="994" spans="1:3" ht="15" thickBot="1" x14ac:dyDescent="0.4">
      <c r="A994" s="90"/>
      <c r="B994" s="90"/>
      <c r="C994" s="90"/>
    </row>
    <row r="995" spans="1:3" ht="15" thickBot="1" x14ac:dyDescent="0.4">
      <c r="A995" s="90"/>
      <c r="B995" s="90"/>
      <c r="C995" s="90"/>
    </row>
    <row r="996" spans="1:3" ht="15" thickBot="1" x14ac:dyDescent="0.4">
      <c r="A996" s="90"/>
      <c r="B996" s="90"/>
      <c r="C996" s="90"/>
    </row>
    <row r="997" spans="1:3" ht="15" thickBot="1" x14ac:dyDescent="0.4">
      <c r="A997" s="90"/>
      <c r="B997" s="90"/>
      <c r="C997" s="90"/>
    </row>
    <row r="998" spans="1:3" ht="15" thickBot="1" x14ac:dyDescent="0.4">
      <c r="A998" s="90"/>
      <c r="B998" s="90"/>
      <c r="C998" s="90"/>
    </row>
    <row r="999" spans="1:3" ht="15" thickBot="1" x14ac:dyDescent="0.4">
      <c r="A999" s="90"/>
      <c r="B999" s="90"/>
      <c r="C999" s="90"/>
    </row>
    <row r="1000" spans="1:3" ht="15" thickBot="1" x14ac:dyDescent="0.4">
      <c r="A1000" s="90"/>
      <c r="B1000" s="90"/>
      <c r="C1000" s="90"/>
    </row>
    <row r="1001" spans="1:3" ht="15" thickBot="1" x14ac:dyDescent="0.4">
      <c r="A1001" s="99"/>
      <c r="B1001" s="98">
        <v>40</v>
      </c>
      <c r="C1001" s="101"/>
    </row>
    <row r="1002" spans="1:3" ht="15" thickBot="1" x14ac:dyDescent="0.4">
      <c r="A1002" s="99"/>
      <c r="B1002" s="98">
        <v>41</v>
      </c>
      <c r="C1002" s="101"/>
    </row>
    <row r="1003" spans="1:3" ht="15" thickBot="1" x14ac:dyDescent="0.4">
      <c r="A1003" s="99"/>
      <c r="B1003" s="98">
        <v>42</v>
      </c>
      <c r="C1003" s="101"/>
    </row>
    <row r="1004" spans="1:3" ht="15" thickBot="1" x14ac:dyDescent="0.4">
      <c r="A1004" s="99"/>
      <c r="B1004" s="98">
        <v>43</v>
      </c>
      <c r="C1004" s="101"/>
    </row>
    <row r="1005" spans="1:3" ht="15" thickBot="1" x14ac:dyDescent="0.4">
      <c r="A1005" s="99"/>
      <c r="B1005" s="98">
        <v>44</v>
      </c>
      <c r="C1005" s="101"/>
    </row>
    <row r="1006" spans="1:3" ht="15" thickBot="1" x14ac:dyDescent="0.4">
      <c r="A1006" s="99"/>
      <c r="B1006" s="98">
        <v>45</v>
      </c>
      <c r="C1006" s="101"/>
    </row>
    <row r="1007" spans="1:3" ht="15" thickBot="1" x14ac:dyDescent="0.4">
      <c r="A1007" s="99"/>
      <c r="B1007" s="98">
        <v>46</v>
      </c>
      <c r="C1007" s="101"/>
    </row>
    <row r="1008" spans="1:3" ht="15" thickBot="1" x14ac:dyDescent="0.4">
      <c r="A1008" s="99"/>
      <c r="B1008" s="98">
        <v>47</v>
      </c>
      <c r="C1008" s="101"/>
    </row>
    <row r="1009" spans="1:3" ht="15" thickBot="1" x14ac:dyDescent="0.4">
      <c r="A1009" s="99"/>
      <c r="B1009" s="98">
        <v>48</v>
      </c>
      <c r="C1009" s="101"/>
    </row>
    <row r="1010" spans="1:3" ht="15" thickBot="1" x14ac:dyDescent="0.4">
      <c r="A1010" s="100"/>
      <c r="B1010" s="98">
        <v>1</v>
      </c>
      <c r="C1010" s="101"/>
    </row>
    <row r="1011" spans="1:3" ht="15" thickBot="1" x14ac:dyDescent="0.4">
      <c r="A1011" s="100"/>
      <c r="B1011" s="98">
        <v>2</v>
      </c>
      <c r="C1011" s="101"/>
    </row>
    <row r="1012" spans="1:3" ht="15" thickBot="1" x14ac:dyDescent="0.4">
      <c r="A1012" s="100"/>
      <c r="B1012" s="98">
        <v>3</v>
      </c>
      <c r="C1012" s="101"/>
    </row>
    <row r="1013" spans="1:3" ht="15" thickBot="1" x14ac:dyDescent="0.4">
      <c r="A1013" s="100"/>
      <c r="B1013" s="98">
        <v>4</v>
      </c>
      <c r="C1013" s="101"/>
    </row>
    <row r="1014" spans="1:3" ht="15" thickBot="1" x14ac:dyDescent="0.4">
      <c r="A1014" s="100"/>
      <c r="B1014" s="98">
        <v>5</v>
      </c>
      <c r="C1014" s="101"/>
    </row>
    <row r="1015" spans="1:3" ht="15" thickBot="1" x14ac:dyDescent="0.4">
      <c r="A1015" s="100"/>
      <c r="B1015" s="98">
        <v>6</v>
      </c>
      <c r="C1015" s="101"/>
    </row>
    <row r="1016" spans="1:3" ht="15" thickBot="1" x14ac:dyDescent="0.4">
      <c r="A1016" s="100"/>
      <c r="B1016" s="98">
        <v>7</v>
      </c>
      <c r="C1016" s="101"/>
    </row>
    <row r="1017" spans="1:3" ht="15" thickBot="1" x14ac:dyDescent="0.4">
      <c r="A1017" s="100"/>
      <c r="B1017" s="98">
        <v>8</v>
      </c>
      <c r="C1017" s="101"/>
    </row>
    <row r="1018" spans="1:3" ht="15" thickBot="1" x14ac:dyDescent="0.4">
      <c r="A1018" s="100"/>
      <c r="B1018" s="98">
        <v>9</v>
      </c>
      <c r="C1018" s="101"/>
    </row>
    <row r="1019" spans="1:3" ht="15" thickBot="1" x14ac:dyDescent="0.4">
      <c r="A1019" s="100"/>
      <c r="B1019" s="98">
        <v>10</v>
      </c>
      <c r="C1019" s="101"/>
    </row>
    <row r="1020" spans="1:3" ht="15" thickBot="1" x14ac:dyDescent="0.4">
      <c r="A1020" s="100"/>
      <c r="B1020" s="98">
        <v>11</v>
      </c>
      <c r="C1020" s="101"/>
    </row>
    <row r="1021" spans="1:3" ht="15" thickBot="1" x14ac:dyDescent="0.4">
      <c r="A1021" s="100"/>
      <c r="B1021" s="98">
        <v>12</v>
      </c>
      <c r="C1021" s="101"/>
    </row>
    <row r="1022" spans="1:3" ht="15" thickBot="1" x14ac:dyDescent="0.4">
      <c r="A1022" s="100"/>
      <c r="B1022" s="98">
        <v>13</v>
      </c>
      <c r="C1022" s="101"/>
    </row>
    <row r="1023" spans="1:3" ht="15" thickBot="1" x14ac:dyDescent="0.4">
      <c r="A1023" s="100"/>
      <c r="B1023" s="98">
        <v>14</v>
      </c>
      <c r="C1023" s="101"/>
    </row>
    <row r="1024" spans="1:3" ht="15" thickBot="1" x14ac:dyDescent="0.4">
      <c r="A1024" s="100"/>
      <c r="B1024" s="98">
        <v>15</v>
      </c>
      <c r="C1024" s="101"/>
    </row>
    <row r="1025" spans="1:3" ht="15" thickBot="1" x14ac:dyDescent="0.4">
      <c r="A1025" s="100"/>
      <c r="B1025" s="98">
        <v>16</v>
      </c>
      <c r="C1025" s="101"/>
    </row>
    <row r="1026" spans="1:3" ht="15" thickBot="1" x14ac:dyDescent="0.4">
      <c r="A1026" s="100"/>
      <c r="B1026" s="98">
        <v>17</v>
      </c>
      <c r="C1026" s="101"/>
    </row>
    <row r="1027" spans="1:3" ht="15" thickBot="1" x14ac:dyDescent="0.4">
      <c r="A1027" s="100"/>
      <c r="B1027" s="98">
        <v>18</v>
      </c>
      <c r="C1027" s="101"/>
    </row>
    <row r="1028" spans="1:3" ht="15" thickBot="1" x14ac:dyDescent="0.4">
      <c r="A1028" s="100"/>
      <c r="B1028" s="98">
        <v>19</v>
      </c>
      <c r="C1028" s="101"/>
    </row>
    <row r="1029" spans="1:3" ht="15" thickBot="1" x14ac:dyDescent="0.4">
      <c r="A1029" s="100"/>
      <c r="B1029" s="98">
        <v>20</v>
      </c>
      <c r="C1029" s="101"/>
    </row>
    <row r="1030" spans="1:3" ht="15" thickBot="1" x14ac:dyDescent="0.4">
      <c r="A1030" s="100"/>
      <c r="B1030" s="98">
        <v>21</v>
      </c>
      <c r="C1030" s="101"/>
    </row>
    <row r="1031" spans="1:3" ht="15" thickBot="1" x14ac:dyDescent="0.4">
      <c r="A1031" s="100"/>
      <c r="B1031" s="98">
        <v>22</v>
      </c>
      <c r="C1031" s="101"/>
    </row>
    <row r="1032" spans="1:3" ht="15" thickBot="1" x14ac:dyDescent="0.4">
      <c r="A1032" s="100"/>
      <c r="B1032" s="98">
        <v>23</v>
      </c>
      <c r="C1032" s="101"/>
    </row>
    <row r="1033" spans="1:3" ht="15" thickBot="1" x14ac:dyDescent="0.4">
      <c r="A1033" s="100"/>
      <c r="B1033" s="98">
        <v>24</v>
      </c>
      <c r="C1033" s="101"/>
    </row>
    <row r="1034" spans="1:3" ht="15" thickBot="1" x14ac:dyDescent="0.4">
      <c r="A1034" s="100"/>
      <c r="B1034" s="98">
        <v>25</v>
      </c>
      <c r="C1034" s="101"/>
    </row>
    <row r="1035" spans="1:3" ht="15" thickBot="1" x14ac:dyDescent="0.4">
      <c r="A1035" s="100"/>
      <c r="B1035" s="98">
        <v>26</v>
      </c>
      <c r="C1035" s="101"/>
    </row>
    <row r="1036" spans="1:3" ht="15" thickBot="1" x14ac:dyDescent="0.4">
      <c r="A1036" s="100"/>
      <c r="B1036" s="98">
        <v>27</v>
      </c>
      <c r="C1036" s="101"/>
    </row>
    <row r="1037" spans="1:3" ht="15" thickBot="1" x14ac:dyDescent="0.4">
      <c r="A1037" s="100"/>
      <c r="B1037" s="98">
        <v>28</v>
      </c>
      <c r="C1037" s="101"/>
    </row>
    <row r="1038" spans="1:3" ht="15" thickBot="1" x14ac:dyDescent="0.4">
      <c r="A1038" s="100"/>
      <c r="B1038" s="98">
        <v>29</v>
      </c>
      <c r="C1038" s="101"/>
    </row>
    <row r="1039" spans="1:3" ht="15" thickBot="1" x14ac:dyDescent="0.4">
      <c r="A1039" s="100"/>
      <c r="B1039" s="98">
        <v>30</v>
      </c>
      <c r="C1039" s="101"/>
    </row>
    <row r="1040" spans="1:3" ht="15" thickBot="1" x14ac:dyDescent="0.4">
      <c r="A1040" s="100"/>
      <c r="B1040" s="98">
        <v>31</v>
      </c>
      <c r="C1040" s="101"/>
    </row>
    <row r="1041" spans="1:3" ht="15" thickBot="1" x14ac:dyDescent="0.4">
      <c r="A1041" s="100"/>
      <c r="B1041" s="98">
        <v>32</v>
      </c>
      <c r="C1041" s="101"/>
    </row>
    <row r="1042" spans="1:3" ht="15" thickBot="1" x14ac:dyDescent="0.4">
      <c r="A1042" s="100"/>
      <c r="B1042" s="98">
        <v>33</v>
      </c>
      <c r="C1042" s="101"/>
    </row>
    <row r="1043" spans="1:3" ht="15" thickBot="1" x14ac:dyDescent="0.4">
      <c r="A1043" s="100"/>
      <c r="B1043" s="98">
        <v>34</v>
      </c>
      <c r="C1043" s="101"/>
    </row>
    <row r="1044" spans="1:3" ht="15" thickBot="1" x14ac:dyDescent="0.4">
      <c r="A1044" s="100"/>
      <c r="B1044" s="98">
        <v>35</v>
      </c>
      <c r="C1044" s="101"/>
    </row>
    <row r="1045" spans="1:3" ht="15" thickBot="1" x14ac:dyDescent="0.4">
      <c r="A1045" s="100"/>
      <c r="B1045" s="98">
        <v>36</v>
      </c>
      <c r="C1045" s="101"/>
    </row>
    <row r="1046" spans="1:3" ht="15" thickBot="1" x14ac:dyDescent="0.4">
      <c r="A1046" s="100"/>
      <c r="B1046" s="98">
        <v>37</v>
      </c>
      <c r="C1046" s="101"/>
    </row>
    <row r="1047" spans="1:3" ht="15" thickBot="1" x14ac:dyDescent="0.4">
      <c r="A1047" s="100"/>
      <c r="B1047" s="98">
        <v>38</v>
      </c>
      <c r="C1047" s="101"/>
    </row>
    <row r="1048" spans="1:3" ht="15" thickBot="1" x14ac:dyDescent="0.4">
      <c r="A1048" s="100"/>
      <c r="B1048" s="98">
        <v>39</v>
      </c>
      <c r="C1048" s="101"/>
    </row>
    <row r="1049" spans="1:3" ht="15" thickBot="1" x14ac:dyDescent="0.4">
      <c r="A1049" s="100"/>
      <c r="B1049" s="98">
        <v>40</v>
      </c>
      <c r="C1049" s="101"/>
    </row>
    <row r="1050" spans="1:3" ht="15" thickBot="1" x14ac:dyDescent="0.4">
      <c r="A1050" s="100"/>
      <c r="B1050" s="98">
        <v>41</v>
      </c>
      <c r="C1050" s="101"/>
    </row>
    <row r="1051" spans="1:3" ht="15" thickBot="1" x14ac:dyDescent="0.4">
      <c r="A1051" s="100"/>
      <c r="B1051" s="98">
        <v>42</v>
      </c>
      <c r="C1051" s="101"/>
    </row>
    <row r="1052" spans="1:3" ht="15" thickBot="1" x14ac:dyDescent="0.4">
      <c r="A1052" s="100"/>
      <c r="B1052" s="98">
        <v>43</v>
      </c>
      <c r="C1052" s="101"/>
    </row>
    <row r="1053" spans="1:3" ht="15" thickBot="1" x14ac:dyDescent="0.4">
      <c r="A1053" s="100"/>
      <c r="B1053" s="98">
        <v>44</v>
      </c>
      <c r="C1053" s="101"/>
    </row>
    <row r="1054" spans="1:3" ht="15" thickBot="1" x14ac:dyDescent="0.4">
      <c r="A1054" s="100"/>
      <c r="B1054" s="98">
        <v>45</v>
      </c>
      <c r="C1054" s="101"/>
    </row>
    <row r="1055" spans="1:3" ht="15" thickBot="1" x14ac:dyDescent="0.4">
      <c r="A1055" s="100"/>
      <c r="B1055" s="98">
        <v>46</v>
      </c>
      <c r="C1055" s="101"/>
    </row>
    <row r="1056" spans="1:3" ht="15" thickBot="1" x14ac:dyDescent="0.4">
      <c r="A1056" s="100"/>
      <c r="B1056" s="98">
        <v>47</v>
      </c>
      <c r="C1056" s="101"/>
    </row>
    <row r="1057" spans="1:3" ht="15" thickBot="1" x14ac:dyDescent="0.4">
      <c r="A1057" s="100"/>
      <c r="B1057" s="98">
        <v>48</v>
      </c>
      <c r="C1057" s="101"/>
    </row>
    <row r="1058" spans="1:3" ht="15" thickBot="1" x14ac:dyDescent="0.4">
      <c r="A1058" s="102"/>
      <c r="B1058" s="98">
        <v>1</v>
      </c>
      <c r="C1058" s="101"/>
    </row>
    <row r="1059" spans="1:3" ht="15" thickBot="1" x14ac:dyDescent="0.4">
      <c r="A1059" s="102"/>
      <c r="B1059" s="98">
        <v>2</v>
      </c>
      <c r="C1059" s="101"/>
    </row>
    <row r="1060" spans="1:3" ht="15" thickBot="1" x14ac:dyDescent="0.4">
      <c r="A1060" s="102"/>
      <c r="B1060" s="98">
        <v>3</v>
      </c>
      <c r="C1060" s="101"/>
    </row>
    <row r="1061" spans="1:3" ht="15" thickBot="1" x14ac:dyDescent="0.4">
      <c r="A1061" s="102"/>
      <c r="B1061" s="98">
        <v>4</v>
      </c>
      <c r="C1061" s="101"/>
    </row>
    <row r="1062" spans="1:3" ht="15" thickBot="1" x14ac:dyDescent="0.4">
      <c r="A1062" s="102"/>
      <c r="B1062" s="98">
        <v>5</v>
      </c>
      <c r="C1062" s="101"/>
    </row>
    <row r="1063" spans="1:3" ht="15" thickBot="1" x14ac:dyDescent="0.4">
      <c r="A1063" s="102"/>
      <c r="B1063" s="98">
        <v>6</v>
      </c>
      <c r="C1063" s="101"/>
    </row>
    <row r="1064" spans="1:3" ht="15" thickBot="1" x14ac:dyDescent="0.4">
      <c r="A1064" s="102"/>
      <c r="B1064" s="98">
        <v>7</v>
      </c>
      <c r="C1064" s="101"/>
    </row>
    <row r="1065" spans="1:3" ht="15" thickBot="1" x14ac:dyDescent="0.4">
      <c r="A1065" s="102"/>
      <c r="B1065" s="98">
        <v>8</v>
      </c>
      <c r="C1065" s="101"/>
    </row>
    <row r="1066" spans="1:3" ht="15" thickBot="1" x14ac:dyDescent="0.4">
      <c r="A1066" s="102"/>
      <c r="B1066" s="98">
        <v>9</v>
      </c>
      <c r="C1066" s="101"/>
    </row>
    <row r="1067" spans="1:3" ht="15" thickBot="1" x14ac:dyDescent="0.4">
      <c r="A1067" s="102"/>
      <c r="B1067" s="98">
        <v>10</v>
      </c>
      <c r="C1067" s="101"/>
    </row>
    <row r="1068" spans="1:3" ht="15" thickBot="1" x14ac:dyDescent="0.4">
      <c r="A1068" s="102"/>
      <c r="B1068" s="98">
        <v>11</v>
      </c>
      <c r="C1068" s="101"/>
    </row>
    <row r="1069" spans="1:3" ht="15" thickBot="1" x14ac:dyDescent="0.4">
      <c r="A1069" s="102"/>
      <c r="B1069" s="98">
        <v>12</v>
      </c>
      <c r="C1069" s="101"/>
    </row>
    <row r="1070" spans="1:3" ht="15" thickBot="1" x14ac:dyDescent="0.4">
      <c r="A1070" s="102"/>
      <c r="B1070" s="98">
        <v>13</v>
      </c>
      <c r="C1070" s="101"/>
    </row>
    <row r="1071" spans="1:3" ht="15" thickBot="1" x14ac:dyDescent="0.4">
      <c r="A1071" s="102"/>
      <c r="B1071" s="98">
        <v>14</v>
      </c>
      <c r="C1071" s="101"/>
    </row>
    <row r="1072" spans="1:3" ht="15" thickBot="1" x14ac:dyDescent="0.4">
      <c r="A1072" s="102"/>
      <c r="B1072" s="98">
        <v>15</v>
      </c>
      <c r="C1072" s="101"/>
    </row>
    <row r="1073" spans="1:3" ht="15" thickBot="1" x14ac:dyDescent="0.4">
      <c r="A1073" s="102"/>
      <c r="B1073" s="98">
        <v>16</v>
      </c>
      <c r="C1073" s="101"/>
    </row>
    <row r="1074" spans="1:3" ht="15" thickBot="1" x14ac:dyDescent="0.4">
      <c r="A1074" s="102"/>
      <c r="B1074" s="98">
        <v>17</v>
      </c>
      <c r="C1074" s="101"/>
    </row>
    <row r="1075" spans="1:3" ht="15" thickBot="1" x14ac:dyDescent="0.4">
      <c r="A1075" s="102"/>
      <c r="B1075" s="98">
        <v>18</v>
      </c>
      <c r="C1075" s="101"/>
    </row>
    <row r="1076" spans="1:3" ht="15" thickBot="1" x14ac:dyDescent="0.4">
      <c r="A1076" s="102"/>
      <c r="B1076" s="98">
        <v>19</v>
      </c>
      <c r="C1076" s="101"/>
    </row>
    <row r="1077" spans="1:3" ht="15" thickBot="1" x14ac:dyDescent="0.4">
      <c r="A1077" s="102"/>
      <c r="B1077" s="98">
        <v>20</v>
      </c>
      <c r="C1077" s="101"/>
    </row>
    <row r="1078" spans="1:3" ht="15" thickBot="1" x14ac:dyDescent="0.4">
      <c r="A1078" s="102"/>
      <c r="B1078" s="98">
        <v>21</v>
      </c>
      <c r="C1078" s="101"/>
    </row>
    <row r="1079" spans="1:3" ht="15" thickBot="1" x14ac:dyDescent="0.4">
      <c r="A1079" s="102"/>
      <c r="B1079" s="98">
        <v>22</v>
      </c>
      <c r="C1079" s="101"/>
    </row>
    <row r="1080" spans="1:3" ht="15" thickBot="1" x14ac:dyDescent="0.4">
      <c r="A1080" s="102"/>
      <c r="B1080" s="98">
        <v>23</v>
      </c>
      <c r="C1080" s="101"/>
    </row>
    <row r="1081" spans="1:3" ht="15" thickBot="1" x14ac:dyDescent="0.4">
      <c r="A1081" s="102"/>
      <c r="B1081" s="98">
        <v>24</v>
      </c>
      <c r="C1081" s="101"/>
    </row>
    <row r="1082" spans="1:3" ht="15" thickBot="1" x14ac:dyDescent="0.4">
      <c r="A1082" s="102"/>
      <c r="B1082" s="98">
        <v>25</v>
      </c>
      <c r="C1082" s="101"/>
    </row>
    <row r="1083" spans="1:3" ht="15" thickBot="1" x14ac:dyDescent="0.4">
      <c r="A1083" s="102"/>
      <c r="B1083" s="98">
        <v>26</v>
      </c>
      <c r="C1083" s="101"/>
    </row>
    <row r="1084" spans="1:3" ht="15" thickBot="1" x14ac:dyDescent="0.4">
      <c r="A1084" s="102"/>
      <c r="B1084" s="98">
        <v>27</v>
      </c>
      <c r="C1084" s="101"/>
    </row>
    <row r="1085" spans="1:3" ht="15" thickBot="1" x14ac:dyDescent="0.4">
      <c r="A1085" s="102"/>
      <c r="B1085" s="98">
        <v>28</v>
      </c>
      <c r="C1085" s="101"/>
    </row>
    <row r="1086" spans="1:3" ht="15" thickBot="1" x14ac:dyDescent="0.4">
      <c r="A1086" s="102"/>
      <c r="B1086" s="98">
        <v>29</v>
      </c>
      <c r="C1086" s="101"/>
    </row>
    <row r="1087" spans="1:3" ht="15" thickBot="1" x14ac:dyDescent="0.4">
      <c r="A1087" s="102"/>
      <c r="B1087" s="98">
        <v>30</v>
      </c>
      <c r="C1087" s="101"/>
    </row>
    <row r="1088" spans="1:3" ht="15" thickBot="1" x14ac:dyDescent="0.4">
      <c r="A1088" s="102"/>
      <c r="B1088" s="98">
        <v>31</v>
      </c>
      <c r="C1088" s="101"/>
    </row>
    <row r="1089" spans="1:3" ht="15" thickBot="1" x14ac:dyDescent="0.4">
      <c r="A1089" s="102"/>
      <c r="B1089" s="98">
        <v>32</v>
      </c>
      <c r="C1089" s="101"/>
    </row>
    <row r="1090" spans="1:3" ht="15" thickBot="1" x14ac:dyDescent="0.4">
      <c r="A1090" s="102"/>
      <c r="B1090" s="98">
        <v>33</v>
      </c>
      <c r="C1090" s="101"/>
    </row>
    <row r="1091" spans="1:3" ht="15" thickBot="1" x14ac:dyDescent="0.4">
      <c r="A1091" s="102"/>
      <c r="B1091" s="98">
        <v>34</v>
      </c>
      <c r="C1091" s="101"/>
    </row>
    <row r="1092" spans="1:3" ht="15" thickBot="1" x14ac:dyDescent="0.4">
      <c r="A1092" s="102"/>
      <c r="B1092" s="98">
        <v>35</v>
      </c>
      <c r="C1092" s="101"/>
    </row>
    <row r="1093" spans="1:3" ht="15" thickBot="1" x14ac:dyDescent="0.4">
      <c r="A1093" s="102"/>
      <c r="B1093" s="98">
        <v>36</v>
      </c>
      <c r="C1093" s="101"/>
    </row>
    <row r="1094" spans="1:3" ht="15" thickBot="1" x14ac:dyDescent="0.4">
      <c r="A1094" s="102"/>
      <c r="B1094" s="98">
        <v>37</v>
      </c>
      <c r="C1094" s="101"/>
    </row>
    <row r="1095" spans="1:3" ht="15" thickBot="1" x14ac:dyDescent="0.4">
      <c r="A1095" s="102"/>
      <c r="B1095" s="98">
        <v>38</v>
      </c>
      <c r="C1095" s="101"/>
    </row>
    <row r="1096" spans="1:3" ht="15" thickBot="1" x14ac:dyDescent="0.4">
      <c r="A1096" s="102"/>
      <c r="B1096" s="98">
        <v>39</v>
      </c>
      <c r="C1096" s="101"/>
    </row>
    <row r="1097" spans="1:3" ht="15" thickBot="1" x14ac:dyDescent="0.4">
      <c r="A1097" s="102"/>
      <c r="B1097" s="98">
        <v>40</v>
      </c>
      <c r="C1097" s="101"/>
    </row>
    <row r="1098" spans="1:3" ht="15" thickBot="1" x14ac:dyDescent="0.4">
      <c r="A1098" s="102"/>
      <c r="B1098" s="98">
        <v>41</v>
      </c>
      <c r="C1098" s="101"/>
    </row>
    <row r="1099" spans="1:3" ht="15" thickBot="1" x14ac:dyDescent="0.4">
      <c r="A1099" s="102"/>
      <c r="B1099" s="98">
        <v>42</v>
      </c>
      <c r="C1099" s="101"/>
    </row>
    <row r="1100" spans="1:3" ht="15" thickBot="1" x14ac:dyDescent="0.4">
      <c r="A1100" s="102"/>
      <c r="B1100" s="98">
        <v>43</v>
      </c>
      <c r="C1100" s="101"/>
    </row>
    <row r="1101" spans="1:3" ht="15" thickBot="1" x14ac:dyDescent="0.4">
      <c r="A1101" s="102"/>
      <c r="B1101" s="98">
        <v>44</v>
      </c>
      <c r="C1101" s="101"/>
    </row>
    <row r="1102" spans="1:3" ht="15" thickBot="1" x14ac:dyDescent="0.4">
      <c r="A1102" s="102"/>
      <c r="B1102" s="98">
        <v>45</v>
      </c>
      <c r="C1102" s="101"/>
    </row>
    <row r="1103" spans="1:3" ht="15" thickBot="1" x14ac:dyDescent="0.4">
      <c r="A1103" s="102"/>
      <c r="B1103" s="98">
        <v>46</v>
      </c>
      <c r="C1103" s="101"/>
    </row>
    <row r="1104" spans="1:3" ht="15" thickBot="1" x14ac:dyDescent="0.4">
      <c r="A1104" s="102"/>
      <c r="B1104" s="98">
        <v>47</v>
      </c>
      <c r="C1104" s="101"/>
    </row>
    <row r="1105" spans="1:3" ht="15" thickBot="1" x14ac:dyDescent="0.4">
      <c r="A1105" s="102"/>
      <c r="B1105" s="98">
        <v>48</v>
      </c>
      <c r="C1105" s="101"/>
    </row>
  </sheetData>
  <conditionalFormatting sqref="D1:D1048576">
    <cfRule type="expression" dxfId="0" priority="2">
      <formula>IF(AND(#REF!&lt;&gt;"N",C1&lt;2.8),TRUE,FALSE)</formula>
    </cfRule>
  </conditionalFormatting>
  <pageMargins left="0.7" right="0.7" top="0.75" bottom="0.75" header="0.3" footer="0.3"/>
  <pageSetup paperSize="262" orientation="landscape" horizontalDpi="360" verticalDpi="360" r:id="rId1"/>
</worksheet>
</file>

<file path=docMetadata/LabelInfo.xml><?xml version="1.0" encoding="utf-8"?>
<clbl:labelList xmlns:clbl="http://schemas.microsoft.com/office/2020/mipLabelMetadata">
  <clbl:label id="{73eb6f04-03b2-4080-858a-f558b9a96468}" enabled="0" method="" siteId="{73eb6f04-03b2-4080-858a-f558b9a9646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Sample</vt:lpstr>
      <vt:lpstr>SampleImport</vt:lpstr>
      <vt:lpstr>Aviti Manifest</vt:lpstr>
      <vt:lpstr>Aviti Manifest TEST</vt:lpstr>
      <vt:lpstr>Definitions</vt:lpstr>
      <vt:lpstr>Index Sequence</vt:lpstr>
      <vt:lpstr>Index Sets</vt:lpstr>
      <vt:lpstr>PCR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GS-LABQ7 2</dc:creator>
  <cp:keywords/>
  <dc:description/>
  <cp:lastModifiedBy>VU DUC HAI</cp:lastModifiedBy>
  <cp:revision/>
  <dcterms:created xsi:type="dcterms:W3CDTF">2020-12-05T04:49:28Z</dcterms:created>
  <dcterms:modified xsi:type="dcterms:W3CDTF">2026-01-16T06:40:40Z</dcterms:modified>
  <cp:category/>
  <cp:contentStatus/>
</cp:coreProperties>
</file>